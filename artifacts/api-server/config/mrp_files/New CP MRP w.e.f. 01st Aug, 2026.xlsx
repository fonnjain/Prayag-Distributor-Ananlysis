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in" sheetId="1" r:id="rId5"/>
    <sheet state="hidden" name="Index" sheetId="2" r:id="rId6"/>
    <sheet state="visible" name="MASTER" sheetId="3" r:id="rId7"/>
    <sheet state="visible" name="ALL INDIA ACCESORIES" sheetId="4" r:id="rId8"/>
    <sheet state="visible" name="MRP CHART" sheetId="5" r:id="rId9"/>
    <sheet state="visible" name="COST CHART" sheetId="6" r:id="rId10"/>
    <sheet state="visible" name="Allied" sheetId="7" r:id="rId11"/>
    <sheet state="hidden" name="Copy of ALL INDIA ACCESORIES" sheetId="8" r:id="rId12"/>
    <sheet state="visible" name="BODY &amp; HANDLE" sheetId="9" r:id="rId13"/>
    <sheet state="visible" name="ASPIRE 52" sheetId="10" r:id="rId14"/>
    <sheet state="visible" name="ORBIT 53" sheetId="11" r:id="rId15"/>
    <sheet state="visible" name="AQUA 54" sheetId="12" r:id="rId16"/>
    <sheet state="visible" name="OCEAN 55" sheetId="13" r:id="rId17"/>
    <sheet state="visible" name="BLAZE 62" sheetId="14" r:id="rId18"/>
    <sheet state="visible" name="POLO 60" sheetId="15" r:id="rId19"/>
    <sheet state="hidden" name="LAGOON (ROSE GOLD)" sheetId="16" r:id="rId20"/>
    <sheet state="hidden" name="LAGOON (GOLD)" sheetId="17" r:id="rId21"/>
    <sheet state="hidden" name="LAGOON (BLACK)" sheetId="18" r:id="rId22"/>
    <sheet state="visible" name="VIRGO P66" sheetId="19" r:id="rId23"/>
    <sheet state="visible" name="VINCENT 66" sheetId="20" r:id="rId24"/>
    <sheet state="visible" name="MARCUS 68" sheetId="21" r:id="rId25"/>
    <sheet state="visible" name="GRACIA 74" sheetId="22" r:id="rId26"/>
    <sheet state="visible" name="MACASA 76" sheetId="23" r:id="rId27"/>
    <sheet state="visible" name="VIVA 72" sheetId="24" r:id="rId28"/>
    <sheet state="visible" name="TRANQUIL 73" sheetId="25" r:id="rId29"/>
    <sheet state="visible" name="FROST 77" sheetId="26" r:id="rId30"/>
    <sheet state="visible" name="URBONA 78" sheetId="27" r:id="rId31"/>
    <sheet state="visible" name="SAGA 79F" sheetId="28" r:id="rId32"/>
    <sheet state="visible" name="CYGNUS 71" sheetId="29" r:id="rId33"/>
    <sheet state="hidden" name="ZADE (GOLD)" sheetId="30" r:id="rId34"/>
    <sheet state="hidden" name="ZADE (ROSE GOLD)" sheetId="31" r:id="rId35"/>
    <sheet state="hidden" name="ZADE (BLACK)" sheetId="32" r:id="rId36"/>
    <sheet state="hidden" name="SAPPHIRE (GOLD)" sheetId="33" r:id="rId37"/>
    <sheet state="hidden" name="SAPPHIRE (ROSE GOLD)" sheetId="34" r:id="rId38"/>
    <sheet state="hidden" name="SAPPHIRE (BLACK)" sheetId="35" r:id="rId39"/>
    <sheet state="hidden" name="ZIRCON (GOLD)" sheetId="36" r:id="rId40"/>
    <sheet state="hidden" name="ZIRCON (ROSE GOLD)" sheetId="37" r:id="rId41"/>
    <sheet state="hidden" name="ZIRCON (BLACK)" sheetId="38" r:id="rId42"/>
    <sheet state="visible" name="WAVES 83" sheetId="39" r:id="rId43"/>
    <sheet state="visible" name="EVIAN 87" sheetId="40" r:id="rId44"/>
    <sheet state="visible" name="NIAGARA 81" sheetId="41" r:id="rId45"/>
    <sheet state="visible" name="EUROPA 90" sheetId="42" r:id="rId46"/>
    <sheet state="visible" name="LAGUNA 93" sheetId="43" r:id="rId47"/>
  </sheets>
  <definedNames>
    <definedName hidden="1" localSheetId="2" name="_xlnm._FilterDatabase">MASTER!$A$1:$Y$1317</definedName>
    <definedName hidden="1" localSheetId="3" name="_xlnm._FilterDatabase">'ALL INDIA ACCESORIES'!$A$1:$E$271</definedName>
    <definedName hidden="1" localSheetId="7" name="_xlnm._FilterDatabase">'Copy of ALL INDIA ACCESORIES'!$A$1:$E$293</definedName>
    <definedName hidden="1" localSheetId="2" name="Z_3FB5E89E_B7E5_45D7_AA34_39BB8B29BA31_.wvu.FilterData">MASTER!$B$1:$B$1317</definedName>
  </definedNames>
  <calcPr/>
  <customWorkbookViews>
    <customWorkbookView activeSheetId="0" maximized="1" windowHeight="0" windowWidth="0" guid="{3FB5E89E-B7E5-45D7-AA34-39BB8B29BA31}" name="Filter 1"/>
  </customWorkbookViews>
</workbook>
</file>

<file path=xl/sharedStrings.xml><?xml version="1.0" encoding="utf-8"?>
<sst xmlns="http://schemas.openxmlformats.org/spreadsheetml/2006/main" count="9026" uniqueCount="1816">
  <si>
    <t>Close</t>
  </si>
  <si>
    <t>RANGE</t>
  </si>
  <si>
    <t>Code</t>
  </si>
  <si>
    <t>S.No.</t>
  </si>
  <si>
    <t>Old Name</t>
  </si>
  <si>
    <t>Govt.</t>
  </si>
  <si>
    <t>CATALOGUE Name</t>
  </si>
  <si>
    <t>New</t>
  </si>
  <si>
    <t>ERP NAME</t>
  </si>
  <si>
    <t>Cat No.</t>
  </si>
  <si>
    <t>NO.</t>
  </si>
  <si>
    <t>Product</t>
  </si>
  <si>
    <t>2</t>
  </si>
  <si>
    <t>https://docs.google.com/spreadsheets/d/1_ynjsozdftZ4Yd8GDs4xtHjt1TsCfRpRp0NPM0CZm7g/edit#gid=2060610875</t>
  </si>
  <si>
    <t>ERP CODE</t>
  </si>
  <si>
    <t>Pillar Cock</t>
  </si>
  <si>
    <t>ITEM CODE</t>
  </si>
  <si>
    <t>NAME</t>
  </si>
  <si>
    <t>MRP as on 01st May, 2026</t>
  </si>
  <si>
    <t>New MRP as on 01st Aug, 2026</t>
  </si>
  <si>
    <t>Diff. in %age</t>
  </si>
  <si>
    <t>Emerald (61)</t>
  </si>
  <si>
    <t>OLD COST</t>
  </si>
  <si>
    <t>Matrix (65)</t>
  </si>
  <si>
    <t>NEW COST</t>
  </si>
  <si>
    <t>Aspire (52)</t>
  </si>
  <si>
    <t>https://docs.google.com/spreadsheets/d/1MV6sU7gzgZPpIMlUS0UG11FSX0BsQ4n6XulPCn1NXVA/edit#gid=99474532</t>
  </si>
  <si>
    <t>3</t>
  </si>
  <si>
    <t>Pillar Cock Tall Hight with Flange</t>
  </si>
  <si>
    <t>240</t>
  </si>
  <si>
    <t>Pillar Cock Tall Body</t>
  </si>
  <si>
    <t>Pillar Cock Tall Hight</t>
  </si>
  <si>
    <t>Mist (85)</t>
  </si>
  <si>
    <t>ALLIED</t>
  </si>
  <si>
    <t>CNS-15</t>
  </si>
  <si>
    <t>Marco (P68)</t>
  </si>
  <si>
    <t>Concealed Stop Cock Suitable For 15mm Pipe Line with 1/2" Spindle</t>
  </si>
  <si>
    <t>Orbit (53)</t>
  </si>
  <si>
    <t>3-S</t>
  </si>
  <si>
    <t>Pillar Cock Tall Body (Small)</t>
  </si>
  <si>
    <t>Opus (89)</t>
  </si>
  <si>
    <t>Salsa (78N)</t>
  </si>
  <si>
    <t>Aqua (54)</t>
  </si>
  <si>
    <t>4</t>
  </si>
  <si>
    <t>Balagra (64)</t>
  </si>
  <si>
    <t>Pillar Cock Extended Body with Flange</t>
  </si>
  <si>
    <t>Pillar Cock Extended Body</t>
  </si>
  <si>
    <t>Aster (93N)</t>
  </si>
  <si>
    <t>Ocean (55)</t>
  </si>
  <si>
    <t>Quincy (67)</t>
  </si>
  <si>
    <t>Neptune (PIS)</t>
  </si>
  <si>
    <t>Polo (60)</t>
  </si>
  <si>
    <t>Cost</t>
  </si>
  <si>
    <t>Inox (79)</t>
  </si>
  <si>
    <t>5</t>
  </si>
  <si>
    <t>Nuster (PIS-H)</t>
  </si>
  <si>
    <t>Blaze (62)</t>
  </si>
  <si>
    <t>Bib Cock Nozzle</t>
  </si>
  <si>
    <t>TM-06C</t>
  </si>
  <si>
    <t>Bib Cock Nozzle with Wall Flange</t>
  </si>
  <si>
    <t>Casa (92)</t>
  </si>
  <si>
    <t>Thermostatic Diverter Click Tec Series 3-Outlet Chrome Finish Brass Body</t>
  </si>
  <si>
    <t>Garnet (75)</t>
  </si>
  <si>
    <t>Bib Cock Nozzle with Flange</t>
  </si>
  <si>
    <t>Astro (63-N)</t>
  </si>
  <si>
    <t>6</t>
  </si>
  <si>
    <t>Bib Cock with Flange</t>
  </si>
  <si>
    <t>Bib Cock with Wall Flange</t>
  </si>
  <si>
    <t>Opal (82)</t>
  </si>
  <si>
    <t>Lotus (87-N)</t>
  </si>
  <si>
    <t>7</t>
  </si>
  <si>
    <t>Concealed Wall Mount Pillar Cock</t>
  </si>
  <si>
    <t>Calder (91)</t>
  </si>
  <si>
    <t>CP-07</t>
  </si>
  <si>
    <t>Concealed Pillar Cock Body 15mm</t>
  </si>
  <si>
    <t>Octavia (99)</t>
  </si>
  <si>
    <t>Dawn (98)</t>
  </si>
  <si>
    <t>CP</t>
  </si>
  <si>
    <t>Exposed Parts (Wall Flange, Handle &amp; Spout)</t>
  </si>
  <si>
    <t>8</t>
  </si>
  <si>
    <t>Bib Cock Long Body with Flange</t>
  </si>
  <si>
    <t>Bib Cock Long Body with Wall Flange</t>
  </si>
  <si>
    <t>CNS-20</t>
  </si>
  <si>
    <t>Concealed Stop Cock Suitable For 20mm Pipe Line with 1/2" Spindle</t>
  </si>
  <si>
    <t>9</t>
  </si>
  <si>
    <t>Bib Cock Long Nose with Flange</t>
  </si>
  <si>
    <t>Bib Cock Long Nose with Wall Flange</t>
  </si>
  <si>
    <t>10</t>
  </si>
  <si>
    <t>Angle Cock with Flange</t>
  </si>
  <si>
    <t>Angular Stop Cock with Wall Flange</t>
  </si>
  <si>
    <t>CSS-15</t>
  </si>
  <si>
    <t>11</t>
  </si>
  <si>
    <t>Concealed Stop Cock Suitable For 15mm Pipe Line with 3/4" Spindle</t>
  </si>
  <si>
    <t>2-Way Angle Cock with Flange</t>
  </si>
  <si>
    <t>2-Way Angular Stop Cock with Wall Flange</t>
  </si>
  <si>
    <t>12</t>
  </si>
  <si>
    <t>2-Way Bib Cock with Flange</t>
  </si>
  <si>
    <t>2-Way Bib Cock Double Handle with Wall Flange</t>
  </si>
  <si>
    <t>2-Way Bib Cock Double Handle with Flange</t>
  </si>
  <si>
    <t>TM-07C</t>
  </si>
  <si>
    <t>13</t>
  </si>
  <si>
    <t>2-Way Bib Cock Single Handle with Wall Flange</t>
  </si>
  <si>
    <t>Thermostatic Diverter Click Tec Series 4-Outlet Chrome Finish Brass Body</t>
  </si>
  <si>
    <t>2-Way Bib Cock Single Handle with Flange</t>
  </si>
  <si>
    <t>14</t>
  </si>
  <si>
    <t>Pillar Cock Swan Neck (T/M)</t>
  </si>
  <si>
    <t>Swan Neck Table Mounted</t>
  </si>
  <si>
    <t>CSS-20</t>
  </si>
  <si>
    <t>Pillar Cock Swan Neck T/M</t>
  </si>
  <si>
    <t>Concealed Stop Cock Suitable For 20mm Pipe Line with 3/4" Spindle</t>
  </si>
  <si>
    <t>16</t>
  </si>
  <si>
    <t>Bib Tap Sink Cock Regular Spout with Flange (W/M)</t>
  </si>
  <si>
    <t>Sink Cock Wall Mounted with Flange</t>
  </si>
  <si>
    <t>Bib Tap Sink Cock Regular Spout W/M</t>
  </si>
  <si>
    <t>17</t>
  </si>
  <si>
    <t>CPS-15</t>
  </si>
  <si>
    <t>Sink Cock Wall Mounted with Flange (9" Spout)</t>
  </si>
  <si>
    <t>18</t>
  </si>
  <si>
    <t>Concealed Stop Cock 15mm with Flange</t>
  </si>
  <si>
    <t>Concealed Stop Cock 15mm with Wall Flange</t>
  </si>
  <si>
    <t>20</t>
  </si>
  <si>
    <t>Concealed Stop Cock 20mm with Flange</t>
  </si>
  <si>
    <t>Concealed Stop Cock 20mm with Wall Flange</t>
  </si>
  <si>
    <t>26</t>
  </si>
  <si>
    <t>Stop Cock 15 mm ( M/T )</t>
  </si>
  <si>
    <t>Stop Cock 15mm (Male Thread)</t>
  </si>
  <si>
    <t>TM-08C</t>
  </si>
  <si>
    <t>Stop Cock 15 mm M/T</t>
  </si>
  <si>
    <t>Thermostatic Diverter Click Tec Series 5-Outlet Chrome Finish Brass Body</t>
  </si>
  <si>
    <t>CPS-20</t>
  </si>
  <si>
    <t>28</t>
  </si>
  <si>
    <t>Stop Cock 15 mm ( F/T )</t>
  </si>
  <si>
    <t>Stop Cock 15mm (Female Thread)</t>
  </si>
  <si>
    <t>Stop Cock 15 mm F/T</t>
  </si>
  <si>
    <t>50</t>
  </si>
  <si>
    <t>Center Hole Basin Mixer W/O Pop Up</t>
  </si>
  <si>
    <t>Center Hole Basin Mixer without Popup</t>
  </si>
  <si>
    <t>CNS-52</t>
  </si>
  <si>
    <t>Concealed Flange, Handle &amp; Sleeve</t>
  </si>
  <si>
    <t>51</t>
  </si>
  <si>
    <t>Single Lever Basin Mixer W/O Pop Up Waste System</t>
  </si>
  <si>
    <t>Single Lever Basin Mixer without Popup Waste System</t>
  </si>
  <si>
    <t>Single Lever Basin Mixer</t>
  </si>
  <si>
    <t>TM-09C</t>
  </si>
  <si>
    <t>52</t>
  </si>
  <si>
    <t>Thermostatic Diverter Click Tec Series 6-Outlet Chrome Finish Brass Body</t>
  </si>
  <si>
    <t>Single Lever Basin Mixer Tall Height W/O Pop Up Waste System</t>
  </si>
  <si>
    <t>Single Lever Basin Mixer Tall Body without Popup Waste System</t>
  </si>
  <si>
    <t>Single Lever Basin Mixer Tall Height</t>
  </si>
  <si>
    <t>CNS-53</t>
  </si>
  <si>
    <t>54</t>
  </si>
  <si>
    <t>Single Lever Basin Mixer Wall Mount (Conc)</t>
  </si>
  <si>
    <t>Single Lever Basin Mixer Wall Mount (Concealed)</t>
  </si>
  <si>
    <t>Single Lever Basin Mixer W/M Concealed</t>
  </si>
  <si>
    <t>BD-40</t>
  </si>
  <si>
    <t>Body</t>
  </si>
  <si>
    <t>Single Lever Basin Mixer Wall Mount (Body, Cartridge, Sleeve &amp; Nipple)</t>
  </si>
  <si>
    <t>Single Lever Basin Mixer W/M Conc. Body</t>
  </si>
  <si>
    <t>CNS-54</t>
  </si>
  <si>
    <t>BB</t>
  </si>
  <si>
    <t>Upper (Plate &amp; Handle)</t>
  </si>
  <si>
    <t>Single Lever Basin Mixer W/M Upper Part</t>
  </si>
  <si>
    <t>55</t>
  </si>
  <si>
    <t>Sink Mixer with Regular Spout (W/M) with Flange</t>
  </si>
  <si>
    <t>Sink Mixer with Regular Spout Wall Mounted with Flange</t>
  </si>
  <si>
    <t>Sink Mixer with Regular Spout W/M</t>
  </si>
  <si>
    <t>TM-10C</t>
  </si>
  <si>
    <t>56</t>
  </si>
  <si>
    <t>Thermostatic Diverter Click Tec Series 4-Outlet with Water-Flow Control</t>
  </si>
  <si>
    <t>Single Lever Sink Mixer (W/M) with Flange</t>
  </si>
  <si>
    <t>Single Lever Sink Mixer Wall Mounted with Flange</t>
  </si>
  <si>
    <t>Single Lever Sink Mixer W/M</t>
  </si>
  <si>
    <t>CNS-55</t>
  </si>
  <si>
    <t>60</t>
  </si>
  <si>
    <t xml:space="preserve">Sink Mixer with Regular Spout T/M (Swinging Spout) </t>
  </si>
  <si>
    <t xml:space="preserve">Sink Mixer with Regular Spout Table Mounted (Swinging Spout) </t>
  </si>
  <si>
    <t>Sink Mixer with Regular Spout T/M</t>
  </si>
  <si>
    <t>61</t>
  </si>
  <si>
    <t>Single Lever Sink Mixer (T/M )</t>
  </si>
  <si>
    <t>Single Lever Sink Mixer Table Mounted</t>
  </si>
  <si>
    <t>Single Lever Sink Mixer T/M</t>
  </si>
  <si>
    <t>65</t>
  </si>
  <si>
    <t>Wall Mixer Non Telephonic with Flange</t>
  </si>
  <si>
    <t>CNS-60</t>
  </si>
  <si>
    <t>70</t>
  </si>
  <si>
    <t>Wall Mixer Telephonic with Crutch with (Provision For Hand Shower) with Flange</t>
  </si>
  <si>
    <t>Wall Mixer Telephonic with Crutch &amp; Wall Flange (Provision For Hand Shower)</t>
  </si>
  <si>
    <t>Wall Mixer Telephonic with Crutch</t>
  </si>
  <si>
    <t>BNS-01</t>
  </si>
  <si>
    <t>Round Body Jet 45mm SS Matt Finish</t>
  </si>
  <si>
    <t>71</t>
  </si>
  <si>
    <t>Single Lever Wall Mixer with Flange</t>
  </si>
  <si>
    <t>Single Lever Wall Mixer with Wall Flange</t>
  </si>
  <si>
    <t>CNS-61</t>
  </si>
  <si>
    <t>75</t>
  </si>
  <si>
    <t>Wall Mixer with L Bend (Provision For Over Head Shower) with Flange</t>
  </si>
  <si>
    <t>Wall Mixer "L" Bend with Wall Flange (Provision For Over Head Shower)</t>
  </si>
  <si>
    <t>Wall Mixer with "L" Bend</t>
  </si>
  <si>
    <t>76</t>
  </si>
  <si>
    <t>Single Lever Wall Mixer "L" Bend (Expose Type) with Flange</t>
  </si>
  <si>
    <t>Single Lever Wall Mixer "L" Bend with Wall Flange (Expose Type)</t>
  </si>
  <si>
    <t>Single Lever Wall Mixer "L" Bend</t>
  </si>
  <si>
    <t>REMOVED</t>
  </si>
  <si>
    <t>80</t>
  </si>
  <si>
    <t>Wall Mixer 3 in 1 (Provision for Over Head Shower &amp; Hand Shower) with Flange</t>
  </si>
  <si>
    <t>Wall Mixer 3 In 1 with Wall Flange (Provision For Over Head Shower &amp; Hand Shower)</t>
  </si>
  <si>
    <t>Wall Mixer 3 in 1</t>
  </si>
  <si>
    <t>BNS-02</t>
  </si>
  <si>
    <t>Square Body Jet 45X45mm SS Matt Finish</t>
  </si>
  <si>
    <t>91</t>
  </si>
  <si>
    <t>Single Lever Concealed Diverter Bath &amp; Shower 40mm</t>
  </si>
  <si>
    <t>Single Lever Conc. Div 40mm</t>
  </si>
  <si>
    <t>PD-40-N</t>
  </si>
  <si>
    <t>CNS-62</t>
  </si>
  <si>
    <t>Concealed Diverter Body 40mm (Cartridge, Sleeve, Tipton Assembly)</t>
  </si>
  <si>
    <t>Single Lever Conc. Div 40mm Body</t>
  </si>
  <si>
    <t>DB-N</t>
  </si>
  <si>
    <t>Exposed Parts (Wall Flange &amp; Handle)</t>
  </si>
  <si>
    <t>Single Lever Conc. Div 40mm Upper Part</t>
  </si>
  <si>
    <t>92</t>
  </si>
  <si>
    <t>Single Lever High Flow Concealed Diverter Bath &amp; Shower 46mm</t>
  </si>
  <si>
    <t>Single Lever H F Conc. Div 46mm</t>
  </si>
  <si>
    <t>CNS-66</t>
  </si>
  <si>
    <t>PD-46-H-N</t>
  </si>
  <si>
    <t>High Flow Concealed Diverter Body 46mm (Cartridge, Sleeve, Tipton Assembly)</t>
  </si>
  <si>
    <t>Single Lever H F Conc. Div 46mm Body</t>
  </si>
  <si>
    <t>DB-H-N</t>
  </si>
  <si>
    <t>S L H F Conc. Div 46mm Upper Part</t>
  </si>
  <si>
    <t>92-ON-OFF-N</t>
  </si>
  <si>
    <t>Single Lever High Flow Concealed Diverter Bath &amp; Shower 46mm (ON-OFF)</t>
  </si>
  <si>
    <t>CNS-P66</t>
  </si>
  <si>
    <t>Single Lever H F Conc. Div 46mm (ON-OFF)</t>
  </si>
  <si>
    <t>BNS-03</t>
  </si>
  <si>
    <t>Round 100mm Wall Shower (Cascade)</t>
  </si>
  <si>
    <t>PD-46-H-ON-OFF-N</t>
  </si>
  <si>
    <t>High Flow Concealed Diverter Body 46mm (Cartridge, Sleeve, On-Off Assembly)</t>
  </si>
  <si>
    <t>S L H F Conc. Div 46mm (ON-OFF) Body</t>
  </si>
  <si>
    <t>DB-H-ON-OFF-N</t>
  </si>
  <si>
    <t>S L H F Conc. Div 46mm ON-OFF Upper Part</t>
  </si>
  <si>
    <t>93</t>
  </si>
  <si>
    <t>Single Lever 3 IN Let Concealed Diverter Bath &amp; Shower 46mm</t>
  </si>
  <si>
    <t>Single Lever 3 In Let Concealed Diverter Bath &amp; Shower 46mm</t>
  </si>
  <si>
    <t>Single Lever 3IN Let Conc. Div 46mm</t>
  </si>
  <si>
    <t>PD-3 IN-N</t>
  </si>
  <si>
    <t>3 In Let Concealed Diverter Body 46mm (Cartridge, Sleeve, Tipton Assembly)</t>
  </si>
  <si>
    <t>CNS-68</t>
  </si>
  <si>
    <t>Single Lever 3IN Let Conc. Div 46mm Body</t>
  </si>
  <si>
    <t>DB-3 IN-N</t>
  </si>
  <si>
    <t>S L 3IN Let Conc. Div 46mm Upper Part</t>
  </si>
  <si>
    <t>93-ON-OFF-N</t>
  </si>
  <si>
    <t>Single Lever 3 In Let Concealed Diverter Bath &amp; Shower 46mm (ON-OFF)</t>
  </si>
  <si>
    <t>Single Lever 3IN Conc. Div 46mm (ON-OFF)</t>
  </si>
  <si>
    <t>CSS-71</t>
  </si>
  <si>
    <t>PD-3 IN-ON-OFF-N</t>
  </si>
  <si>
    <t>BNS-04</t>
  </si>
  <si>
    <t>Square 100mm Wall Shower (Cascade)</t>
  </si>
  <si>
    <t>3 In Let Concealed Diverter Body 46mm (Cartridge, Sleeve, On-Off Assembly)</t>
  </si>
  <si>
    <t>S L 3IN Conc. Div 46mm (ON-OFF) Body</t>
  </si>
  <si>
    <t>DB-3 IN-ON-OFF-N</t>
  </si>
  <si>
    <t>S L 3IN Conc. Div 46mm ON-OFF Upper Part</t>
  </si>
  <si>
    <t>94</t>
  </si>
  <si>
    <t>Concealed 4 - Way Diverter (Complete)</t>
  </si>
  <si>
    <t>CSS-72</t>
  </si>
  <si>
    <t>Concealed 4 Way Diverter Set Hot &amp; Cold with Built-In Non Return Valves Complete Set</t>
  </si>
  <si>
    <t>95</t>
  </si>
  <si>
    <t>Bath Tub Spout with Flange</t>
  </si>
  <si>
    <t>Spout with Flange</t>
  </si>
  <si>
    <t>96</t>
  </si>
  <si>
    <t>Bath Tub Spout Tip Ton with Flange</t>
  </si>
  <si>
    <t>Spout Tip Ton with Flange</t>
  </si>
  <si>
    <t>CSS-73</t>
  </si>
  <si>
    <t>98</t>
  </si>
  <si>
    <t>Flush Cock 25mm Half Turn with Adjustable Flange</t>
  </si>
  <si>
    <t>Flush Cock 25mm Half Turn</t>
  </si>
  <si>
    <t>BNS-05</t>
  </si>
  <si>
    <t>Body Jet  Dancing Brass</t>
  </si>
  <si>
    <t>CSS-74</t>
  </si>
  <si>
    <t>CSS-76</t>
  </si>
  <si>
    <t>BS-73</t>
  </si>
  <si>
    <t>ABS Overhead Shower 100mm with Brass Arm 225mm &amp; Flange</t>
  </si>
  <si>
    <t>CSS-77</t>
  </si>
  <si>
    <t>CSS-78</t>
  </si>
  <si>
    <t>BS-73SS</t>
  </si>
  <si>
    <t>ABS Overhead Shower 100mm with SS Arm 225mm &amp; Flange</t>
  </si>
  <si>
    <t>CSS-79F</t>
  </si>
  <si>
    <t>CPS-81</t>
  </si>
  <si>
    <t>CPS-83</t>
  </si>
  <si>
    <t>BS-79</t>
  </si>
  <si>
    <t>ABS Overhead Shower Square 100mm with Brass Arm 225mm &amp; Flange</t>
  </si>
  <si>
    <t>CPS-85</t>
  </si>
  <si>
    <t>CPS-87</t>
  </si>
  <si>
    <t>BS-79SS</t>
  </si>
  <si>
    <t>ABS Overhead Shower Square 100mm with SS Arm 225mm &amp; Flange</t>
  </si>
  <si>
    <t>CPS-89</t>
  </si>
  <si>
    <t>CPS-90</t>
  </si>
  <si>
    <t>BS-78</t>
  </si>
  <si>
    <t>ABS Overhead Shower 150mm with Brass Arm 225mm &amp; Flange</t>
  </si>
  <si>
    <t>CPS-93</t>
  </si>
  <si>
    <t>BS-78SS</t>
  </si>
  <si>
    <t>ABS Overhead Shower 150mm with SS Arm 225mm &amp; Flange</t>
  </si>
  <si>
    <t>ASPIRE 52</t>
  </si>
  <si>
    <t>BS-89</t>
  </si>
  <si>
    <t>ABS Overhead Shower Square 150mm with Brass Arm 375mm &amp; Flange</t>
  </si>
  <si>
    <t>02</t>
  </si>
  <si>
    <t>BS-89SS</t>
  </si>
  <si>
    <t>ABS Overhead Shower Square 150mm with SS Arm 375mm &amp; Flange</t>
  </si>
  <si>
    <t>03</t>
  </si>
  <si>
    <t>BS-104</t>
  </si>
  <si>
    <t>Pluto Multi Flow Round Shower 110 mm</t>
  </si>
  <si>
    <t>04</t>
  </si>
  <si>
    <t>BS-41</t>
  </si>
  <si>
    <t>06</t>
  </si>
  <si>
    <t>Optus Mini Shower Oval 125 mm</t>
  </si>
  <si>
    <t>BS-108</t>
  </si>
  <si>
    <t>Over Head Shower Round Full CP 225 MM</t>
  </si>
  <si>
    <t>07</t>
  </si>
  <si>
    <t>CP-52</t>
  </si>
  <si>
    <t>BS-109</t>
  </si>
  <si>
    <t>Over Head Shower Aesthetic Round 100 mm with 225 mm ss arm</t>
  </si>
  <si>
    <t>BS-112</t>
  </si>
  <si>
    <t>Over Head Shower Aesthetic Square 100 mm with 225 mm ss arm</t>
  </si>
  <si>
    <t>08</t>
  </si>
  <si>
    <t>C 5211</t>
  </si>
  <si>
    <t>BOS-04</t>
  </si>
  <si>
    <t>Brass Overhead Shower 100mm with Brass Arm 150 mm &amp; Flange</t>
  </si>
  <si>
    <t>BS-30</t>
  </si>
  <si>
    <t>ABS Water Fall Square Overhead Shower 100mm with Brass Arm 150mm &amp; Flange</t>
  </si>
  <si>
    <t>BS-30SS</t>
  </si>
  <si>
    <t>ABS Water Fall Square Overhead Shower 100mm with SS Arm 225mm &amp; Flange</t>
  </si>
  <si>
    <t>ECO-65</t>
  </si>
  <si>
    <t>ABS Round Overhead Shower 75mm Full CP with SS Arm 225mm and Flange</t>
  </si>
  <si>
    <t>BOS-41</t>
  </si>
  <si>
    <t>Round Rain Shower 200mm with SS Plate</t>
  </si>
  <si>
    <t>BOS-41SB</t>
  </si>
  <si>
    <t>Round Rain Shower 200mm with SS Plate and Brass Arm 375mm &amp; Flange</t>
  </si>
  <si>
    <t>BOS-41SS</t>
  </si>
  <si>
    <t>Round Rain Shower 200mm with SS Plate and SS Arm 375mm &amp; Flange</t>
  </si>
  <si>
    <t>BOS-42</t>
  </si>
  <si>
    <t>Square Rain Shower 200mm with SS Plate</t>
  </si>
  <si>
    <t>BOS-42SB</t>
  </si>
  <si>
    <t>5254-S</t>
  </si>
  <si>
    <t>Square Rain Shower 200mm with SS Plate and Brass Arm 375mm &amp; Flange</t>
  </si>
  <si>
    <t>54-S</t>
  </si>
  <si>
    <t>BOS-42SS</t>
  </si>
  <si>
    <t>Square Rain Shower 200mm with SS Plate and SS Arm 375mm &amp; Flange</t>
  </si>
  <si>
    <t>BB-52-S</t>
  </si>
  <si>
    <t>BB-S</t>
  </si>
  <si>
    <t>ECO-63</t>
  </si>
  <si>
    <t>ABS Round Overhead Shower 75mm with SS Arm 225mm and Flange</t>
  </si>
  <si>
    <t>BS-66</t>
  </si>
  <si>
    <t>ABS Overhead Shower 125mm Round with SS Arm 225mm &amp; Flange</t>
  </si>
  <si>
    <t>BS-69</t>
  </si>
  <si>
    <t>BOS-6003</t>
  </si>
  <si>
    <t>Chrome Plated Over Head Steppo Shower 150x150mm</t>
  </si>
  <si>
    <t>5291-N</t>
  </si>
  <si>
    <t>BOS-4009</t>
  </si>
  <si>
    <t>Chrome Plated Over Head Steppo Shower 100x100mm</t>
  </si>
  <si>
    <t>DB-52-N</t>
  </si>
  <si>
    <t>DB</t>
  </si>
  <si>
    <t>5292-N</t>
  </si>
  <si>
    <t>BOS-195</t>
  </si>
  <si>
    <t>ABS Overhead Shower Square 150mm with SS Arm 325mm &amp; Flange</t>
  </si>
  <si>
    <t>DB-52-H-N</t>
  </si>
  <si>
    <t>BOS-196</t>
  </si>
  <si>
    <t>ABS Overhead Shower Round 150mm with SS Arm 325mm &amp; Flange</t>
  </si>
  <si>
    <t>5292-ON-OFF-N</t>
  </si>
  <si>
    <t>BOS-107</t>
  </si>
  <si>
    <t>SS Over Head Passion Shower 150x150mm with SS Arm 325mm &amp; Flange</t>
  </si>
  <si>
    <t>92-ON-OFF</t>
  </si>
  <si>
    <t>BOS-108</t>
  </si>
  <si>
    <t>SS Over Head Passion Shower 200x200mm with SS Arm 375mm &amp; Flange</t>
  </si>
  <si>
    <t>PD-ON-OFF</t>
  </si>
  <si>
    <t>DB-52-H-ON-OFF-N</t>
  </si>
  <si>
    <t>BOS-502</t>
  </si>
  <si>
    <t>Chrome Plated Over Head Rain Shower 5"</t>
  </si>
  <si>
    <t>DB-ON-OFF</t>
  </si>
  <si>
    <t>5292-P</t>
  </si>
  <si>
    <t>NEW</t>
  </si>
  <si>
    <t>BOS-118</t>
  </si>
  <si>
    <t>SS Over Head Drizzle Shower 100x100mm</t>
  </si>
  <si>
    <t>92-P</t>
  </si>
  <si>
    <t>PD-46-H-P</t>
  </si>
  <si>
    <t>High Flow Concealed Diverter Body 46mm (Cartridge, Tipton Sleeve without Plated)</t>
  </si>
  <si>
    <t>BOS-119</t>
  </si>
  <si>
    <t>SS Over Head Drizzle Shower 150x150mm</t>
  </si>
  <si>
    <t>DB-52-H-P</t>
  </si>
  <si>
    <t>Exposed Parts (Wall Flange, Handle, Sleeve &amp; Knob)</t>
  </si>
  <si>
    <t>DB-P</t>
  </si>
  <si>
    <t>5292-ON-OFF-P</t>
  </si>
  <si>
    <t>BOS-120</t>
  </si>
  <si>
    <t>SS Over Head Drizzle Shower 200x200mm</t>
  </si>
  <si>
    <t>92-ON-OFF-P</t>
  </si>
  <si>
    <t>PD-46-H-ON-OFF-P</t>
  </si>
  <si>
    <t>High Flow Concealed Diverter Body 46mm (Cartridge, On-Off Tipton Sleeve without Plated)</t>
  </si>
  <si>
    <t>BOS-121</t>
  </si>
  <si>
    <t>SS Over Head Drizzle Shower 300x300mm</t>
  </si>
  <si>
    <t>PD-ON-OFF-P</t>
  </si>
  <si>
    <t>DB-52-H-ON-OFF-P</t>
  </si>
  <si>
    <t>BOS-2001</t>
  </si>
  <si>
    <t>Chrome Plated Over Head Rainduet Shower 5-Function</t>
  </si>
  <si>
    <t>DB-ON-OFF-P</t>
  </si>
  <si>
    <t>5293-N</t>
  </si>
  <si>
    <t>BOS-2011</t>
  </si>
  <si>
    <t>Chrome Plated Over Head Regal Shower 5-Function</t>
  </si>
  <si>
    <t>BOS-802B</t>
  </si>
  <si>
    <t>DB-52-3 IN-N</t>
  </si>
  <si>
    <t>Black 19"x13" Ceiling Shower SS-304 with Frame</t>
  </si>
  <si>
    <t>5293-ON-OFF-N</t>
  </si>
  <si>
    <t>BOS-802RG</t>
  </si>
  <si>
    <t>Rose Gold 19"x13" Ceiling Shower SS-304 with Frame</t>
  </si>
  <si>
    <t>93-ON-OFF</t>
  </si>
  <si>
    <t>BOS-802G</t>
  </si>
  <si>
    <t>Gold 19"x13" Ceiling Shower SS-304 with Frame</t>
  </si>
  <si>
    <t>BOS-803B</t>
  </si>
  <si>
    <t>Black SS Shower 8x8 with Brass Nut &amp; Ball Fittings</t>
  </si>
  <si>
    <t>DB-52-3 IN-ON-OFF-N</t>
  </si>
  <si>
    <t>BOS-803RG</t>
  </si>
  <si>
    <t>Rose Gold SS Shower 8x8 with Brass Nut &amp; Ball Fittings</t>
  </si>
  <si>
    <t>BOS-803G</t>
  </si>
  <si>
    <t>Gold SS Shower 8x8 with Brass Nut &amp; Ball Fittings</t>
  </si>
  <si>
    <t>BOS-8003B</t>
  </si>
  <si>
    <t>Black SS Shower 12x12 with Brass Nut &amp; Ball Fittings</t>
  </si>
  <si>
    <t>ORBIT 53</t>
  </si>
  <si>
    <t>BOS-8003RG</t>
  </si>
  <si>
    <t>Rose Gold SS Shower 12x12 with Brass Nut &amp; Ball Fittings</t>
  </si>
  <si>
    <t>BOS-8003G</t>
  </si>
  <si>
    <t>Gold SS Shower 12x12 with Brass Nut &amp; Ball Fittings</t>
  </si>
  <si>
    <t>BNS-04B</t>
  </si>
  <si>
    <t>Black Brass Body Jet 5"x5"</t>
  </si>
  <si>
    <t>CP-53</t>
  </si>
  <si>
    <t>BNS-04RG</t>
  </si>
  <si>
    <t>Rose Brass Gold Body Jet 5"x5"</t>
  </si>
  <si>
    <t>BNS-04G</t>
  </si>
  <si>
    <t>Gold Brass Body Jet 5"x5"</t>
  </si>
  <si>
    <t>BOS-104</t>
  </si>
  <si>
    <t>Over Head Maze Shower SS 304 150mm</t>
  </si>
  <si>
    <t>BOS-105</t>
  </si>
  <si>
    <t>Over Head Grace Shower SS 201 100mm</t>
  </si>
  <si>
    <t>BOS-106</t>
  </si>
  <si>
    <t>Ceiling Shower (Rain+Mist) SS 304 (250X375mm)</t>
  </si>
  <si>
    <t>BOS-104A</t>
  </si>
  <si>
    <t>Over Head Maze Shower SS 304 200mm</t>
  </si>
  <si>
    <t>BOS-105A</t>
  </si>
  <si>
    <t>Over Head Grace Shower SS 201 150mm</t>
  </si>
  <si>
    <t>BOS-104B</t>
  </si>
  <si>
    <t>Over Head Maze Shower SS 304 300mm</t>
  </si>
  <si>
    <t>BOS-105B</t>
  </si>
  <si>
    <t>Over Head Grace Shower SS 201 200mm</t>
  </si>
  <si>
    <t>5354-S</t>
  </si>
  <si>
    <t>BOS-104C</t>
  </si>
  <si>
    <t>Over Head Maze Shower SS 304 400mm</t>
  </si>
  <si>
    <t>BH-73</t>
  </si>
  <si>
    <t>ABS Hand Shower with 1.5Mtr SS Tube &amp; ABS Hook</t>
  </si>
  <si>
    <t>BB-53-S</t>
  </si>
  <si>
    <t>BH-79</t>
  </si>
  <si>
    <t>BHS-85</t>
  </si>
  <si>
    <t>ABS Hand Shower Multi Flow with 1.5Mtr SS Tube &amp; ABS Hook</t>
  </si>
  <si>
    <t>BHS-89</t>
  </si>
  <si>
    <t>BHS-99</t>
  </si>
  <si>
    <t>5391-N</t>
  </si>
  <si>
    <t>BHS-49</t>
  </si>
  <si>
    <t>SS Shower Tube (1Mtr)</t>
  </si>
  <si>
    <t>BHS-48</t>
  </si>
  <si>
    <t>SS Shower Tube (1.5Mtr)</t>
  </si>
  <si>
    <t>DB-53-N</t>
  </si>
  <si>
    <t>BHS-49S</t>
  </si>
  <si>
    <t>5392-N</t>
  </si>
  <si>
    <t>PVC Shower Tube (1Mtr)</t>
  </si>
  <si>
    <t>BHS-48S</t>
  </si>
  <si>
    <t>PVC Shower Tube (1.5Mtr)</t>
  </si>
  <si>
    <t>DB-53-H-N</t>
  </si>
  <si>
    <t>BHS-103</t>
  </si>
  <si>
    <t>Pluto Hand Shower</t>
  </si>
  <si>
    <t>5392-ON-OFF-N</t>
  </si>
  <si>
    <t>BHS-104</t>
  </si>
  <si>
    <t>Pluto  Multi Flow Hand Shower</t>
  </si>
  <si>
    <t>BHS-81</t>
  </si>
  <si>
    <t>Steppo Hand Shower Single Flow</t>
  </si>
  <si>
    <t>DB-53-H-ON-OFF-N</t>
  </si>
  <si>
    <t>BHS-307</t>
  </si>
  <si>
    <t>Hand Shower Orbit Rain TO Mist Flow</t>
  </si>
  <si>
    <t>5392-P</t>
  </si>
  <si>
    <t>BHS-301</t>
  </si>
  <si>
    <t>Hand Shower Sleek Round With Silicon Nozzles</t>
  </si>
  <si>
    <t>DB-53-H-P</t>
  </si>
  <si>
    <t>5392-ON-OFF-P</t>
  </si>
  <si>
    <t>BHS-1WT</t>
  </si>
  <si>
    <t>Hand Shower Maze Round</t>
  </si>
  <si>
    <t>DB-53-H-ON-OFF-P</t>
  </si>
  <si>
    <t>BHS-2WT</t>
  </si>
  <si>
    <t>Hand Shower Maze Square</t>
  </si>
  <si>
    <t>5393-N</t>
  </si>
  <si>
    <t>BHS-306</t>
  </si>
  <si>
    <t>Multi Flow Hand Shower Full CP</t>
  </si>
  <si>
    <t>BHS-109</t>
  </si>
  <si>
    <t>Hand Shower steppo with 1.5 mtr ss tube &amp; hook</t>
  </si>
  <si>
    <t>DB-53-3 IN-N</t>
  </si>
  <si>
    <t>BHS-802G</t>
  </si>
  <si>
    <t>Gold Brass Hand Shower with 1.5Mtr SS Tube &amp; ABS Adjustable Hook</t>
  </si>
  <si>
    <t>5393-ON-OFF-N</t>
  </si>
  <si>
    <t>BHS-802RG</t>
  </si>
  <si>
    <t>Rose Gold Brass Hand Shower with 1.5Mtr SS Tube &amp; ABS Adjustable Hook</t>
  </si>
  <si>
    <t>BHS-802B</t>
  </si>
  <si>
    <t>Black Brass Hand Shower with 1.5Mtr SS Tube &amp; ABS Adjustable Hook</t>
  </si>
  <si>
    <t>DB-53-3 IN-ON-OFF-N</t>
  </si>
  <si>
    <t>BHS-803B</t>
  </si>
  <si>
    <t>Black ABS Hand Shower with 1.5Mtr SS Tube &amp; ABS Adjustable Hook</t>
  </si>
  <si>
    <t>BHS-803RG</t>
  </si>
  <si>
    <t>Rose Gold ABS Hand Shower with 1.5Mtr SS Tube &amp; ABS Adjustable Hook</t>
  </si>
  <si>
    <t>BHS-803G</t>
  </si>
  <si>
    <t>Gold ABS Hand Shower with 1.5Mtr SS Tube &amp; ABS Adjustable Hook</t>
  </si>
  <si>
    <t>AQUA 54</t>
  </si>
  <si>
    <t>BOS-49</t>
  </si>
  <si>
    <t>Brass Shower Arm 225mm with Flange</t>
  </si>
  <si>
    <t>BOS-49SR</t>
  </si>
  <si>
    <t>SS Shower Arm 225mm with Flange</t>
  </si>
  <si>
    <t>BOS-47</t>
  </si>
  <si>
    <t>Brass Shower Arm 325mm with Flange</t>
  </si>
  <si>
    <t>BOS-47SR</t>
  </si>
  <si>
    <t>SS Shower Arm 300mm with Flange</t>
  </si>
  <si>
    <t>CP-54</t>
  </si>
  <si>
    <t>BOS-50</t>
  </si>
  <si>
    <t>Brass Shower Arm 375mm with Flange</t>
  </si>
  <si>
    <t>BOS-50SR</t>
  </si>
  <si>
    <t>SS Shower Arm 375mm with Flange</t>
  </si>
  <si>
    <t>BOS-48</t>
  </si>
  <si>
    <t>Brass Shower Arm 150mm with Flange</t>
  </si>
  <si>
    <t>BOS-51SR</t>
  </si>
  <si>
    <t>SS Shower Arm 450mm with Flange</t>
  </si>
  <si>
    <t>BOS-52SR</t>
  </si>
  <si>
    <t>SS Shower Arm 600mm with Flange</t>
  </si>
  <si>
    <t>BOS-801G</t>
  </si>
  <si>
    <t>Gold SS Shower Arm 450mm with Flange</t>
  </si>
  <si>
    <t>BOS-801B</t>
  </si>
  <si>
    <t>Black SS Shower Arm 450mm with Flange</t>
  </si>
  <si>
    <t>BOS-801RG</t>
  </si>
  <si>
    <t>Rose Gold SS Shower Arm 450mm with Flange</t>
  </si>
  <si>
    <t>BEA-10</t>
  </si>
  <si>
    <t>Brass Waste Coupling Light (Half Thread) 32mm</t>
  </si>
  <si>
    <t>BEA-10S</t>
  </si>
  <si>
    <t>SS Waste Coupling Light (Half Thread) 32mm</t>
  </si>
  <si>
    <t>BB-54</t>
  </si>
  <si>
    <t>BEA-11</t>
  </si>
  <si>
    <t>Brass Waste Coupling Light (Full Thread) 32mm</t>
  </si>
  <si>
    <t>BEA-11S</t>
  </si>
  <si>
    <t>SS Waste Coupling Light (Full Thread) 32mm</t>
  </si>
  <si>
    <t>5491-N</t>
  </si>
  <si>
    <t>BEA-13</t>
  </si>
  <si>
    <t>Brass Waste Coupling Pop Up 32mm (F/T)</t>
  </si>
  <si>
    <t>DB-54-N</t>
  </si>
  <si>
    <t>BEA-13L</t>
  </si>
  <si>
    <t>Brass Waste Coupling Pop Up 125 mm</t>
  </si>
  <si>
    <t>5492-N</t>
  </si>
  <si>
    <t>BEA-13LL</t>
  </si>
  <si>
    <t>Brass Waste Coupling Pop Up 175 mm</t>
  </si>
  <si>
    <t>DB-54-H-N</t>
  </si>
  <si>
    <t>BEA-11SC</t>
  </si>
  <si>
    <t>SS 304 Crome Plated Waste Coupling (Full Thread) 32mm</t>
  </si>
  <si>
    <t>5492-ON-OFF-N</t>
  </si>
  <si>
    <t>BEA-15</t>
  </si>
  <si>
    <t>Brass Waste Coupling Heavy (Full Thread) 32mm</t>
  </si>
  <si>
    <t>DB-54-H-ON-OFF-N</t>
  </si>
  <si>
    <t>BEA-16</t>
  </si>
  <si>
    <t>Brass Waste Coupling Heavy (Full Thread) 50mm</t>
  </si>
  <si>
    <t>5492-P</t>
  </si>
  <si>
    <t>BEA-16B</t>
  </si>
  <si>
    <t>Brass Waste Coupling Heavy (Full Thread) 40mm</t>
  </si>
  <si>
    <t>BEA-14</t>
  </si>
  <si>
    <t>Brass Waste Coupling Heavy (Half Thread) 32mm</t>
  </si>
  <si>
    <t>DB-54-H-P</t>
  </si>
  <si>
    <t>BEA-18</t>
  </si>
  <si>
    <t>SS Jet Spray (L-Bend) with 1Mtr Tube</t>
  </si>
  <si>
    <t>5492-ON-OFF-P</t>
  </si>
  <si>
    <t>BEA-18B</t>
  </si>
  <si>
    <t>SS Jet Spray with 1.5Mtr Tube</t>
  </si>
  <si>
    <t>DB-54-H-ON-OFF-P</t>
  </si>
  <si>
    <t>BEA-17</t>
  </si>
  <si>
    <t>SS Jet Spray (Butterfly) with 1Mtr Tube</t>
  </si>
  <si>
    <t>5493-N</t>
  </si>
  <si>
    <t>BEA-17B</t>
  </si>
  <si>
    <t>BEA-521</t>
  </si>
  <si>
    <t>SS-202 Jet Spray (Butterfly) with 1Mtr Tube</t>
  </si>
  <si>
    <t>DB-54-3 IN-N</t>
  </si>
  <si>
    <t>BEA-522</t>
  </si>
  <si>
    <t>SS-202 Jet Spray (L-Bend) with 1Mtr Tube</t>
  </si>
  <si>
    <t>5493-ON-OFF-N</t>
  </si>
  <si>
    <t>BEA-523</t>
  </si>
  <si>
    <t>SS Jet Spray (American) with 1Mtr Tube</t>
  </si>
  <si>
    <t>PR-144</t>
  </si>
  <si>
    <t>CP Angle Cock 15mm (PRJ) with Flange</t>
  </si>
  <si>
    <t>DB-54-3 IN-ON-OFF-N</t>
  </si>
  <si>
    <t>PR-244</t>
  </si>
  <si>
    <t>Angle Cock 15mm (Muse) with Flange</t>
  </si>
  <si>
    <t>PR-344</t>
  </si>
  <si>
    <t>Angle Cock 15mm (Tulip) with Flange</t>
  </si>
  <si>
    <t>OCEAN 55</t>
  </si>
  <si>
    <t>PR-444</t>
  </si>
  <si>
    <t>Angle Cock 15mm (Spiro) with Flange</t>
  </si>
  <si>
    <t>PR-544</t>
  </si>
  <si>
    <t>Angle Cock 15mm with Flange</t>
  </si>
  <si>
    <t>PR-644</t>
  </si>
  <si>
    <t>PR-100</t>
  </si>
  <si>
    <t>Angle Cock 15mm SS Body Zinc Handle Brass Internel Fitting</t>
  </si>
  <si>
    <t>CP-55</t>
  </si>
  <si>
    <t>PR-101</t>
  </si>
  <si>
    <t>PR-102</t>
  </si>
  <si>
    <t>Angle Cock 15mm SS Body ABS Handle Brass Internel Fitting</t>
  </si>
  <si>
    <t>PR-103</t>
  </si>
  <si>
    <t>BEA-21</t>
  </si>
  <si>
    <t>Brass Bottle Trap 175mm</t>
  </si>
  <si>
    <t>BEA-22</t>
  </si>
  <si>
    <t>Brass Bottle Trap 300mm</t>
  </si>
  <si>
    <t>BEA-23</t>
  </si>
  <si>
    <t>BEA-26</t>
  </si>
  <si>
    <t>BEA-27Z</t>
  </si>
  <si>
    <t>Zink Bottle Trap with SS Pipe 275 mm</t>
  </si>
  <si>
    <t>BB-55</t>
  </si>
  <si>
    <t>BEA-25</t>
  </si>
  <si>
    <t>Brass Urinal Spreader</t>
  </si>
  <si>
    <t>PR-139</t>
  </si>
  <si>
    <t>CP Push Cock (15mm)</t>
  </si>
  <si>
    <t>BSC-02</t>
  </si>
  <si>
    <t>Self Closer Pillar Tap</t>
  </si>
  <si>
    <t>5591-N</t>
  </si>
  <si>
    <t>BSC-03</t>
  </si>
  <si>
    <t>Pillar Cock Auto Closing System</t>
  </si>
  <si>
    <t>BSC-06</t>
  </si>
  <si>
    <t>Self Closer Bip Tap</t>
  </si>
  <si>
    <t>DB-55-N</t>
  </si>
  <si>
    <t>5592-N</t>
  </si>
  <si>
    <t>BSC-07</t>
  </si>
  <si>
    <t>Bib Cock Auto Closing System</t>
  </si>
  <si>
    <t>BSC-10</t>
  </si>
  <si>
    <t>Self Closer Angle Tap</t>
  </si>
  <si>
    <t>DB-55-H-N</t>
  </si>
  <si>
    <t>5592-ON-OFF-N</t>
  </si>
  <si>
    <t>BSC-09</t>
  </si>
  <si>
    <t>Urinal Valve Auto Closing System</t>
  </si>
  <si>
    <t>BSU-11</t>
  </si>
  <si>
    <t>Sensor Urinal</t>
  </si>
  <si>
    <t>DB-55-H-ON-OFF-N</t>
  </si>
  <si>
    <t>BSD-18</t>
  </si>
  <si>
    <t>Sensor Hand Dryer</t>
  </si>
  <si>
    <t>5592-P</t>
  </si>
  <si>
    <t>BSD-10</t>
  </si>
  <si>
    <t>Hand Dryer</t>
  </si>
  <si>
    <t>DB-55-H-P</t>
  </si>
  <si>
    <t>5592-ON-OFF-P</t>
  </si>
  <si>
    <t>BSD-11</t>
  </si>
  <si>
    <t>BSD-12</t>
  </si>
  <si>
    <t>DB-55-H-ON-OFF-P</t>
  </si>
  <si>
    <t>5593-N</t>
  </si>
  <si>
    <t>BSD-13</t>
  </si>
  <si>
    <t>BSD-14</t>
  </si>
  <si>
    <t>DB-55-3 IN-N</t>
  </si>
  <si>
    <t>TSA-01</t>
  </si>
  <si>
    <t>Tissue Paper Dispenser White</t>
  </si>
  <si>
    <t>5593-ON-OFF-N</t>
  </si>
  <si>
    <t>TSA-02</t>
  </si>
  <si>
    <t>Tissue Paper Dispenser Black</t>
  </si>
  <si>
    <t>BSP-19</t>
  </si>
  <si>
    <t>Sensor Pillar Faucet (Ac-Dc)</t>
  </si>
  <si>
    <t>03-S</t>
  </si>
  <si>
    <t>05</t>
  </si>
  <si>
    <t>DB-55-3 IN-ON-OFF-N</t>
  </si>
  <si>
    <t>09</t>
  </si>
  <si>
    <t>BSP-20</t>
  </si>
  <si>
    <t>PILLAR COCK (02)</t>
  </si>
  <si>
    <t>BSP-17</t>
  </si>
  <si>
    <t>PILLAR COCK TALL HIGHT (03)</t>
  </si>
  <si>
    <t>Pillar Sensor</t>
  </si>
  <si>
    <t>PILLAR COCK EXTENDED BODY (04)</t>
  </si>
  <si>
    <t>BIB COCK NOZZLE (05)</t>
  </si>
  <si>
    <t>BIB COCK (06)</t>
  </si>
  <si>
    <t>CONCEALED PILLAR COCK (07)</t>
  </si>
  <si>
    <t>BODY</t>
  </si>
  <si>
    <t>EXPOSED PARTS</t>
  </si>
  <si>
    <t>BIB COCK LONG BODY (08)</t>
  </si>
  <si>
    <t>BIB COCK LONG NOSE (09)</t>
  </si>
  <si>
    <t>ANGLE COCK (10)</t>
  </si>
  <si>
    <t>2-WAY ANGLE COCK (11)</t>
  </si>
  <si>
    <t>2-WAY BIB COCK (12)</t>
  </si>
  <si>
    <t>2-WAY BIB COCK (13)</t>
  </si>
  <si>
    <t>PILLAR COCK SINK TAP (T/M ) (14)</t>
  </si>
  <si>
    <t>PILLAR COCK SINK TAP (W/M) (16)</t>
  </si>
  <si>
    <t>PILLAR COCK SINK TAP (W/M) (17)</t>
  </si>
  <si>
    <t>STOP COCK 15 MM (18)</t>
  </si>
  <si>
    <t>STOP COCK 20 MM (20)</t>
  </si>
  <si>
    <t>STOP COCK 15 MM ( M/T ) (26)</t>
  </si>
  <si>
    <t>STOP COCK 15 MM ( F/T ) (28)</t>
  </si>
  <si>
    <t>CENTER HOLE BASIN MIXER (50)</t>
  </si>
  <si>
    <t>SINGLE LEVER BASIN MIXER</t>
  </si>
  <si>
    <t>SINGLE LIVER BASIN MIXER TALL HIGHT</t>
  </si>
  <si>
    <t>SINGLE LEVER BASIN MIXER WALL MONTED</t>
  </si>
  <si>
    <t>SINK MIXER ( W/M)</t>
  </si>
  <si>
    <t>SINGLE LEVER SINK MIXER (W/M )</t>
  </si>
  <si>
    <t>SINK MIXER (T/M)</t>
  </si>
  <si>
    <t>SINGLE LEVER SINK MIXER (T/M )</t>
  </si>
  <si>
    <t>WALL MIXER NON TELEPHONIC</t>
  </si>
  <si>
    <t>WALL MIXER TELEPHONIC</t>
  </si>
  <si>
    <t>SINGLE LEVER WALL MIXER</t>
  </si>
  <si>
    <t>WALL MIXER L-BEND</t>
  </si>
  <si>
    <t>SINGLE LEVER WALL MIXER "L" BEND (EXPOSE TYPE)</t>
  </si>
  <si>
    <t>WALL MIXER 3 IN ONE</t>
  </si>
  <si>
    <t>CONCEALED DIVERTOR</t>
  </si>
  <si>
    <t>DIVERTOR HIGH FLOW</t>
  </si>
  <si>
    <t>DIVERTOR HIGH FLOW (Tipton Without Plated)</t>
  </si>
  <si>
    <t>DIVERTOR 3 IN ONE</t>
  </si>
  <si>
    <t>DIVERTOR HIGH FLOW (ON-OFF)</t>
  </si>
  <si>
    <t>DIVERTOR 3 IN ONE (ON-OFF)</t>
  </si>
  <si>
    <t>4 - WAY DIVERTER (COMPLETE)</t>
  </si>
  <si>
    <t>SPOUT PLAIN</t>
  </si>
  <si>
    <t>SPOUT TIP TON</t>
  </si>
  <si>
    <t>FLUSH COCK</t>
  </si>
  <si>
    <t>GBS-01</t>
  </si>
  <si>
    <t>Grab Bar 18" SS304+ABS</t>
  </si>
  <si>
    <t>POLO 60</t>
  </si>
  <si>
    <t>GBS-02</t>
  </si>
  <si>
    <t>Grab Bar 24" SS304+ABS</t>
  </si>
  <si>
    <t>GBS-03</t>
  </si>
  <si>
    <t>Grab Bar U Type 24" SS304+ABS</t>
  </si>
  <si>
    <t>BHS-50</t>
  </si>
  <si>
    <t>Sliding Bar SS-304 Round With Soap Dish</t>
  </si>
  <si>
    <t>CP-60</t>
  </si>
  <si>
    <t>BHS-51</t>
  </si>
  <si>
    <t>Sliding Bar SS-304 Square</t>
  </si>
  <si>
    <t>BEN-01</t>
  </si>
  <si>
    <t>Hexa Nipple</t>
  </si>
  <si>
    <t>BEN-02</t>
  </si>
  <si>
    <t>Extension Nipple 1"</t>
  </si>
  <si>
    <t>BEN-03</t>
  </si>
  <si>
    <t>Extension Nipple 1.5"</t>
  </si>
  <si>
    <t>BEN-04</t>
  </si>
  <si>
    <t>Extension Nipple 2"</t>
  </si>
  <si>
    <t>BEN-05</t>
  </si>
  <si>
    <t>Extension Nipple 2.5"</t>
  </si>
  <si>
    <t>BEN-06</t>
  </si>
  <si>
    <t>Extension Nipple 3"</t>
  </si>
  <si>
    <t>BB-60</t>
  </si>
  <si>
    <t>C-1</t>
  </si>
  <si>
    <t>Faucet Cleaner 100ml</t>
  </si>
  <si>
    <t>C-2</t>
  </si>
  <si>
    <t>Faucet Cleaner 200ml</t>
  </si>
  <si>
    <t>6091-N</t>
  </si>
  <si>
    <t>BCT-03P</t>
  </si>
  <si>
    <t>Polyamide Braided Connection Tube with Brass Nut 450mm</t>
  </si>
  <si>
    <t>BCT-04P</t>
  </si>
  <si>
    <t>Polyamide Braided Connection Tube with Brass Nut 600mm</t>
  </si>
  <si>
    <t>DB-60-N</t>
  </si>
  <si>
    <t>6092-N</t>
  </si>
  <si>
    <t>BCT-05P</t>
  </si>
  <si>
    <t>Polyamide Braided Connection Tube with Brass Nut 750mm</t>
  </si>
  <si>
    <t>DB-60-H-N</t>
  </si>
  <si>
    <t>BCT-06P</t>
  </si>
  <si>
    <t>Polyamide Braided Connection Tube with Brass Nut 900mm</t>
  </si>
  <si>
    <t>6092-ON-OFF-N</t>
  </si>
  <si>
    <t>492B</t>
  </si>
  <si>
    <t>ABS Soap Dispenser Oval 400ml</t>
  </si>
  <si>
    <t>DB-60-H-ON-OFF-N</t>
  </si>
  <si>
    <t>493B</t>
  </si>
  <si>
    <t>ABS Soap Dispenser Round 400ml</t>
  </si>
  <si>
    <t>6092-P</t>
  </si>
  <si>
    <t>BEA-1050</t>
  </si>
  <si>
    <t>ABS Health Faucet Axor with 1Mtr SS Tube &amp; Hook Chrome Plated</t>
  </si>
  <si>
    <t>BEA-1050B</t>
  </si>
  <si>
    <t>Matt Black ABS Health Faucet Axor with 1Mtr SS Tube &amp; Hook</t>
  </si>
  <si>
    <t>DB-60-H-P</t>
  </si>
  <si>
    <t>BEA-1050RG</t>
  </si>
  <si>
    <t>6092-ON-OFF-P</t>
  </si>
  <si>
    <t>Rose Gold ABS Health Faucet Axor with 1Mtr SS Tube &amp; Hook</t>
  </si>
  <si>
    <t>DB-60-H-ON-OFF-P</t>
  </si>
  <si>
    <t>6093-N</t>
  </si>
  <si>
    <t>BEA-1050G</t>
  </si>
  <si>
    <t>Gold ABS Health Faucet Axor with 1Mtr SS Tube &amp; Hook</t>
  </si>
  <si>
    <t>BEA-1049</t>
  </si>
  <si>
    <t>Matt Black ABS Health Faucet Magna with 1Mtr SS Tube &amp; Hook</t>
  </si>
  <si>
    <t>DB-60-3 IN-N</t>
  </si>
  <si>
    <t>6093-ON-OFF-N</t>
  </si>
  <si>
    <t>BEA-1019B</t>
  </si>
  <si>
    <t>Black Health Faucet Brass with 1Mtr SS Tube &amp; Matal Hook</t>
  </si>
  <si>
    <t>BEA-1019RG</t>
  </si>
  <si>
    <t>Rose Gold Health Faucet Brass with 1Mtr SS Tube &amp; Matal Hook</t>
  </si>
  <si>
    <t>DB-60-3 IN-ON-OFF-N</t>
  </si>
  <si>
    <t>BEA-1019G</t>
  </si>
  <si>
    <t>Gold Health Faucet Brass with 1Mtr SS Tube &amp; Matal Hook</t>
  </si>
  <si>
    <t>BEA-40</t>
  </si>
  <si>
    <t>ABS Health Faucet with 1Mtr Tube &amp; Hook</t>
  </si>
  <si>
    <t>BLAZE 62</t>
  </si>
  <si>
    <t>BEA-41</t>
  </si>
  <si>
    <t>Brass Health Faucet with 1Mtr Tube &amp; Hook</t>
  </si>
  <si>
    <t>BEA-81</t>
  </si>
  <si>
    <t>BEA-95</t>
  </si>
  <si>
    <t>CP-62</t>
  </si>
  <si>
    <t>BEA-100</t>
  </si>
  <si>
    <t>BEA-97</t>
  </si>
  <si>
    <t>BEA-103</t>
  </si>
  <si>
    <t>ABS Health Faucet with 1 Mtr Tube &amp; Hook</t>
  </si>
  <si>
    <t>BEA-105</t>
  </si>
  <si>
    <t>BEA-106</t>
  </si>
  <si>
    <t>BEA-888</t>
  </si>
  <si>
    <t>ABS Health Faucet Chrome Plated with 1Mtr Polyamide Gray Tube &amp; ABS Hook</t>
  </si>
  <si>
    <t>451</t>
  </si>
  <si>
    <t>ABS Health Faucet with 1Mtr PVC Tube &amp; Hook</t>
  </si>
  <si>
    <t>BB-62</t>
  </si>
  <si>
    <t>452</t>
  </si>
  <si>
    <t>ABS Health Faucet with 1.5Mtr PVC Tube &amp; Hook</t>
  </si>
  <si>
    <t>453</t>
  </si>
  <si>
    <t>ABS Health Faucet with Hook</t>
  </si>
  <si>
    <t>GV-001</t>
  </si>
  <si>
    <t>Gun Metal Gate Valve 15 mm</t>
  </si>
  <si>
    <t>6291-N</t>
  </si>
  <si>
    <t>GV-002</t>
  </si>
  <si>
    <t>Gun Metal Gate Valve 20 mm</t>
  </si>
  <si>
    <t>DB-62-N</t>
  </si>
  <si>
    <t>GV-003</t>
  </si>
  <si>
    <t>Gun Metal Gate Valve 25 mm</t>
  </si>
  <si>
    <t>6292-N</t>
  </si>
  <si>
    <t>GV-004</t>
  </si>
  <si>
    <t>Gun Metal Gate Valve 32 mm</t>
  </si>
  <si>
    <t>DB-62-H-N</t>
  </si>
  <si>
    <t>GV-005</t>
  </si>
  <si>
    <t>Gun Metal Gate Valve 40 mm</t>
  </si>
  <si>
    <t>6292-ON-OFF-N</t>
  </si>
  <si>
    <t>GV-006</t>
  </si>
  <si>
    <t>Gun Metal Gate Valve 50 mm</t>
  </si>
  <si>
    <t>GV-007</t>
  </si>
  <si>
    <t>Gun Metal Gate Valve 65 mm</t>
  </si>
  <si>
    <t>DB-62-H-ON-OFF-N</t>
  </si>
  <si>
    <t>GV-008</t>
  </si>
  <si>
    <t>Gun Metal Gate Valve 80 mm</t>
  </si>
  <si>
    <t>6292-P</t>
  </si>
  <si>
    <t>GV-009</t>
  </si>
  <si>
    <t>Gun Metal Gate Valve 100 mm</t>
  </si>
  <si>
    <t>DB-62-H-P</t>
  </si>
  <si>
    <t>6292-ON-OFF-P</t>
  </si>
  <si>
    <t>BEA-195A</t>
  </si>
  <si>
    <t>Chrome Plated ABS Health Faucet Croma with 1Mtr SS Tube &amp; Hook in Blister Packing</t>
  </si>
  <si>
    <t>DB-62-H-ON-OFF-P</t>
  </si>
  <si>
    <t>6293-N</t>
  </si>
  <si>
    <t>BEA-101A</t>
  </si>
  <si>
    <t>Chrome Plated ABS Health Faucet With Clening Oppuction Milano with 1Mtr SS Tube &amp; Hook in Blister Packing</t>
  </si>
  <si>
    <t>BEA-102A</t>
  </si>
  <si>
    <t>Chrome Plated ABS Health Faucet EVA with 1Mtr PVC Tube &amp; Hook in Blister Packing</t>
  </si>
  <si>
    <t>DB-62-3 IN-N</t>
  </si>
  <si>
    <t>BS-1001</t>
  </si>
  <si>
    <t>Over Head Shower Edge Slim 4x4 Blister Set</t>
  </si>
  <si>
    <t>6293-ON-OFF-N</t>
  </si>
  <si>
    <t>BS-1002</t>
  </si>
  <si>
    <t>Over Head Shower Nova Slim 4 Blister Set (Round)</t>
  </si>
  <si>
    <t>DB-62-3 IN-ON-OFF-N</t>
  </si>
  <si>
    <t>BS-1003</t>
  </si>
  <si>
    <t>Over Head Shower Edge Slim 5x5 Blister Set</t>
  </si>
  <si>
    <t>BS-1004</t>
  </si>
  <si>
    <t>Over Head Shower Nova Slim  5Blister Set (Round)</t>
  </si>
  <si>
    <t>SE-05</t>
  </si>
  <si>
    <t>Oval Hook ABS</t>
  </si>
  <si>
    <t>EMERALD 61</t>
  </si>
  <si>
    <t>SE-06</t>
  </si>
  <si>
    <t>H.F. Hook Square</t>
  </si>
  <si>
    <t>TBH-01</t>
  </si>
  <si>
    <t>Toilet Brush Holder ABS</t>
  </si>
  <si>
    <t>6103-S</t>
  </si>
  <si>
    <t>RB-45</t>
  </si>
  <si>
    <t>Rag Bolt Assy 5/8"</t>
  </si>
  <si>
    <t>RB-46</t>
  </si>
  <si>
    <t>Rag Bolt Assy 3/8"</t>
  </si>
  <si>
    <t>CP-61</t>
  </si>
  <si>
    <t>BEA-31</t>
  </si>
  <si>
    <t>Flush Cock Droplets (Push Type) 25mm</t>
  </si>
  <si>
    <t>BEA-32</t>
  </si>
  <si>
    <t>Flush Cock (Lever Type) 25mm</t>
  </si>
  <si>
    <t>BEA-33</t>
  </si>
  <si>
    <t>Flush Cock Droplets (Half Turn) 25mm</t>
  </si>
  <si>
    <t>BEA-34</t>
  </si>
  <si>
    <t>Flush Cock-1 1/4” (Push Type)</t>
  </si>
  <si>
    <t>BEA-35</t>
  </si>
  <si>
    <t>Conc. Flush Valve 32mm</t>
  </si>
  <si>
    <t>BEA-36</t>
  </si>
  <si>
    <t>Dual Push Conc. Flush Valve 32mm</t>
  </si>
  <si>
    <t>BEA-37</t>
  </si>
  <si>
    <t>Conc. Flush Valve 40mm</t>
  </si>
  <si>
    <t>BEA-42</t>
  </si>
  <si>
    <t>Corner Glass Shelf 200mm (Brass Bracket)</t>
  </si>
  <si>
    <t>BB-61</t>
  </si>
  <si>
    <t>6154-S</t>
  </si>
  <si>
    <t>BEA-44</t>
  </si>
  <si>
    <t>Corner Glass Shelf 300mm (Brass Bracket)</t>
  </si>
  <si>
    <t>BB-61-S</t>
  </si>
  <si>
    <t>BEA-45</t>
  </si>
  <si>
    <t>Glass Shelf 500X125mm</t>
  </si>
  <si>
    <t>BEA-49</t>
  </si>
  <si>
    <t>Glass Shelf 300mm (12")</t>
  </si>
  <si>
    <t>BEA-43</t>
  </si>
  <si>
    <t>Glass Shelf 300mm (ABS) 200X125X600</t>
  </si>
  <si>
    <t>6191-N</t>
  </si>
  <si>
    <t>BEA-46</t>
  </si>
  <si>
    <t>Corner Glass Shelf</t>
  </si>
  <si>
    <t>DB-61-N</t>
  </si>
  <si>
    <t>BEA-47</t>
  </si>
  <si>
    <t>Glass Shelf 500X60mm</t>
  </si>
  <si>
    <t>6192-N</t>
  </si>
  <si>
    <t>BEA-48</t>
  </si>
  <si>
    <t>Corner Glass Shelf 200mm</t>
  </si>
  <si>
    <t>DB-61-H-N</t>
  </si>
  <si>
    <t>TTS-01</t>
  </si>
  <si>
    <t>Teflon Thread Seal (10Mtr L) 12mm</t>
  </si>
  <si>
    <t>6192-ON-OFF-N</t>
  </si>
  <si>
    <t>TTS-02</t>
  </si>
  <si>
    <t>Teflon Thread Seal (10Mtr L) 19mm</t>
  </si>
  <si>
    <t>DB-61-H-ON-OFF-N</t>
  </si>
  <si>
    <t>TTS-03</t>
  </si>
  <si>
    <t>6193-N</t>
  </si>
  <si>
    <t>BA-40</t>
  </si>
  <si>
    <t>Brass Towel Rail (600mm)</t>
  </si>
  <si>
    <t>BA-41</t>
  </si>
  <si>
    <t>Brass Towel Ring</t>
  </si>
  <si>
    <t>DB-61-3 IN-N</t>
  </si>
  <si>
    <t>BA-42</t>
  </si>
  <si>
    <t>Brass Towel Rack</t>
  </si>
  <si>
    <t>6193-ON-OFF-N</t>
  </si>
  <si>
    <t>BA-45</t>
  </si>
  <si>
    <t>Brass Soap Dish</t>
  </si>
  <si>
    <t>DB-61-3 IN-ON-OFF-N</t>
  </si>
  <si>
    <t>BA-46</t>
  </si>
  <si>
    <t>Brass Tumbler Holder</t>
  </si>
  <si>
    <t>BA-47</t>
  </si>
  <si>
    <t>Brass Robe Hook</t>
  </si>
  <si>
    <t>BA-48</t>
  </si>
  <si>
    <t>Brass Toilet Paper Holder</t>
  </si>
  <si>
    <t>VIRGO P66</t>
  </si>
  <si>
    <t>P6602</t>
  </si>
  <si>
    <t>BA-01</t>
  </si>
  <si>
    <t>P6603</t>
  </si>
  <si>
    <t>BA-02</t>
  </si>
  <si>
    <t>P6605</t>
  </si>
  <si>
    <t>P6606</t>
  </si>
  <si>
    <t>BA-03</t>
  </si>
  <si>
    <t>P6607</t>
  </si>
  <si>
    <t>BA-05</t>
  </si>
  <si>
    <t>CP-P66</t>
  </si>
  <si>
    <t>BA-06</t>
  </si>
  <si>
    <t>P6608</t>
  </si>
  <si>
    <t>BA-07</t>
  </si>
  <si>
    <t>P6609</t>
  </si>
  <si>
    <t>P6610</t>
  </si>
  <si>
    <t>BA-10S</t>
  </si>
  <si>
    <t>SS Towel Rail (600mm)</t>
  </si>
  <si>
    <t>P6611</t>
  </si>
  <si>
    <t>BA-11S</t>
  </si>
  <si>
    <t>SS Towel Ring</t>
  </si>
  <si>
    <t>P6612</t>
  </si>
  <si>
    <t>P6614</t>
  </si>
  <si>
    <t>BA-12S</t>
  </si>
  <si>
    <t>SS Towel Rack</t>
  </si>
  <si>
    <t>P6616</t>
  </si>
  <si>
    <t>P6618</t>
  </si>
  <si>
    <t>BA-15S</t>
  </si>
  <si>
    <t>SS Soap Dish</t>
  </si>
  <si>
    <t>P6620</t>
  </si>
  <si>
    <t>P6650</t>
  </si>
  <si>
    <t>BA-16S</t>
  </si>
  <si>
    <t>SS Tumbler Holder</t>
  </si>
  <si>
    <t>P6651</t>
  </si>
  <si>
    <t>BA-17S</t>
  </si>
  <si>
    <t>SS Robe Hook</t>
  </si>
  <si>
    <t>P6652</t>
  </si>
  <si>
    <t>BA-18S</t>
  </si>
  <si>
    <t>SS Toilet Paper Holder</t>
  </si>
  <si>
    <t>P6654</t>
  </si>
  <si>
    <t>BA-20N</t>
  </si>
  <si>
    <t>Zinc Towel Rail 600mm</t>
  </si>
  <si>
    <t>BB-P66</t>
  </si>
  <si>
    <t>BA-21N</t>
  </si>
  <si>
    <t>Zinc Towel Ring</t>
  </si>
  <si>
    <t>P6654-S</t>
  </si>
  <si>
    <t>BA-25N</t>
  </si>
  <si>
    <t>Glass Soap Dish with Zinc Stand</t>
  </si>
  <si>
    <t>BB-P66-S</t>
  </si>
  <si>
    <t>P6655</t>
  </si>
  <si>
    <t>BA-26N</t>
  </si>
  <si>
    <t>Glass Tumbler Holder with Zinc Stand</t>
  </si>
  <si>
    <t>P6670</t>
  </si>
  <si>
    <t>BA-27N</t>
  </si>
  <si>
    <t>Zinc Robe Hook</t>
  </si>
  <si>
    <t>P6675</t>
  </si>
  <si>
    <t>BA-01S</t>
  </si>
  <si>
    <t>P6680</t>
  </si>
  <si>
    <t>BA-02S</t>
  </si>
  <si>
    <t>P6691-N</t>
  </si>
  <si>
    <t>BA-05S</t>
  </si>
  <si>
    <t>DB-P66-N</t>
  </si>
  <si>
    <t>BA-06S</t>
  </si>
  <si>
    <t>P6692-N</t>
  </si>
  <si>
    <t>BA-07S</t>
  </si>
  <si>
    <t>DB-P66-H-N</t>
  </si>
  <si>
    <t>BA-08S</t>
  </si>
  <si>
    <t>P6692-ON-OFF-N</t>
  </si>
  <si>
    <t>BSS-01</t>
  </si>
  <si>
    <t>SS Bath Set</t>
  </si>
  <si>
    <t>DB-P66-H-ON-OFF-N</t>
  </si>
  <si>
    <t>P6693-N</t>
  </si>
  <si>
    <t>DB-P66-3 IN-N</t>
  </si>
  <si>
    <t>P6693-ON-OFF-N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</si>
  <si>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</si>
  <si>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DB-P66-3 IN-ON-OFF-N</t>
  </si>
  <si>
    <t>Series</t>
  </si>
  <si>
    <t>P6695</t>
  </si>
  <si>
    <t>P6696</t>
  </si>
  <si>
    <t>P6698</t>
  </si>
  <si>
    <t>15MM</t>
  </si>
  <si>
    <t>Complete MRP</t>
  </si>
  <si>
    <t>VINCENT 66</t>
  </si>
  <si>
    <t>Body + Handle</t>
  </si>
  <si>
    <t>20MM</t>
  </si>
  <si>
    <t>6603</t>
  </si>
  <si>
    <t>CONCEALED STOP COCK WITH FITTING</t>
  </si>
  <si>
    <t>6603-S</t>
  </si>
  <si>
    <t>5000
6000</t>
  </si>
  <si>
    <t>CP-66</t>
  </si>
  <si>
    <t>SUPERIOR BODY CONCEALED STOP COCK WITH FITTING</t>
  </si>
  <si>
    <t>PREMIUM BODY CONCEALED STOP COCK WITH FITTING</t>
  </si>
  <si>
    <t>8000
9000</t>
  </si>
  <si>
    <t>BB-66</t>
  </si>
  <si>
    <t>CONCEALED FLANGE, HANDLE &amp; SLEEVE</t>
  </si>
  <si>
    <t>15 MM</t>
  </si>
  <si>
    <t>20 MM</t>
  </si>
  <si>
    <t>ASPIRE</t>
  </si>
  <si>
    <t>6654-S</t>
  </si>
  <si>
    <t>BB-66-S</t>
  </si>
  <si>
    <t>ORBIT</t>
  </si>
  <si>
    <t>AQUA</t>
  </si>
  <si>
    <t>6691-N</t>
  </si>
  <si>
    <t>DB-66-N</t>
  </si>
  <si>
    <t>OCEAN</t>
  </si>
  <si>
    <t>6692-N</t>
  </si>
  <si>
    <t>POLO</t>
  </si>
  <si>
    <t>DB-66-H-N</t>
  </si>
  <si>
    <t>6692-ON-OFF-N</t>
  </si>
  <si>
    <t>EMERALD</t>
  </si>
  <si>
    <t>DB-66-H-ON-OFF-N</t>
  </si>
  <si>
    <t>BLAZE</t>
  </si>
  <si>
    <t>6693-N</t>
  </si>
  <si>
    <t>VINCENT</t>
  </si>
  <si>
    <t>DB-66-3 IN-N</t>
  </si>
  <si>
    <t>6693-ON-OFF-N</t>
  </si>
  <si>
    <t>VIRGO</t>
  </si>
  <si>
    <t>DB-66-3 IN-ON-OFF-N</t>
  </si>
  <si>
    <t>MARCUS</t>
  </si>
  <si>
    <t>CYGNUS</t>
  </si>
  <si>
    <t>MARCUS 68</t>
  </si>
  <si>
    <t>6803-S</t>
  </si>
  <si>
    <t>VIVA</t>
  </si>
  <si>
    <t>TRANQUIL</t>
  </si>
  <si>
    <t>GRACIA</t>
  </si>
  <si>
    <t>CP-68</t>
  </si>
  <si>
    <t>MACASA</t>
  </si>
  <si>
    <t>FROST</t>
  </si>
  <si>
    <t>URBONA</t>
  </si>
  <si>
    <t>SAGA</t>
  </si>
  <si>
    <t>7918-F</t>
  </si>
  <si>
    <t>7920-F</t>
  </si>
  <si>
    <t>NIAGARA</t>
  </si>
  <si>
    <t>WAVES</t>
  </si>
  <si>
    <t>BB-68</t>
  </si>
  <si>
    <t>MIST</t>
  </si>
  <si>
    <t>6854-S</t>
  </si>
  <si>
    <t>EVIAN</t>
  </si>
  <si>
    <t>BB-68-S</t>
  </si>
  <si>
    <t>OPUS</t>
  </si>
  <si>
    <t>EUROPA</t>
  </si>
  <si>
    <t>6891-N</t>
  </si>
  <si>
    <t>LAGUNA</t>
  </si>
  <si>
    <t>DB-68-N</t>
  </si>
  <si>
    <t>6892-N</t>
  </si>
  <si>
    <t>DB-68-H-N</t>
  </si>
  <si>
    <t>6892-ON-OFF-N</t>
  </si>
  <si>
    <t>CODE</t>
  </si>
  <si>
    <t>CATALOGUE NAME</t>
  </si>
  <si>
    <t>MRP as on 15th Jan, 2025</t>
  </si>
  <si>
    <t>DB-68-H-ON-OFF-N</t>
  </si>
  <si>
    <t>MRP as on 01st Jan, 2026</t>
  </si>
  <si>
    <t>MRP as on 15th Jan, 2026</t>
  </si>
  <si>
    <t>COST</t>
  </si>
  <si>
    <t>6892-P</t>
  </si>
  <si>
    <t>BS-90</t>
  </si>
  <si>
    <t>ABS Magnum Shower Round 12" With Arm</t>
  </si>
  <si>
    <t>DB-68-H-P</t>
  </si>
  <si>
    <t>6892-ON-OFF-P</t>
  </si>
  <si>
    <t>BS-105</t>
  </si>
  <si>
    <t>Primus Square Shower 85 mm</t>
  </si>
  <si>
    <t>DB-68-H-ON-OFF-P</t>
  </si>
  <si>
    <t>BS-102</t>
  </si>
  <si>
    <t>Opera Round Shower 85 mm</t>
  </si>
  <si>
    <t>BS-101</t>
  </si>
  <si>
    <t>Mini Globe Round Shower 85 mm</t>
  </si>
  <si>
    <t>6893-N</t>
  </si>
  <si>
    <t>BS-103</t>
  </si>
  <si>
    <t>Pluto Round Shower 110 mm</t>
  </si>
  <si>
    <t>BS-81</t>
  </si>
  <si>
    <t>Steppo Square Shower 250x250 mm</t>
  </si>
  <si>
    <t>BS-26</t>
  </si>
  <si>
    <t>Imagica Shower SS 100X100 MM</t>
  </si>
  <si>
    <t>DB-68-3 IN-N</t>
  </si>
  <si>
    <t>BS-27</t>
  </si>
  <si>
    <t>Imagica Shower SS 150X150 MM</t>
  </si>
  <si>
    <t>BS-28</t>
  </si>
  <si>
    <t>Imagica Shower SS 200X200 MM</t>
  </si>
  <si>
    <t>BS-29</t>
  </si>
  <si>
    <t>6893-ON-OFF-N</t>
  </si>
  <si>
    <t>Imagica Shower SS 300X300 MM</t>
  </si>
  <si>
    <t>BS-306</t>
  </si>
  <si>
    <t>Multi Flow Over Head Shower Storm Full CP 100 MM</t>
  </si>
  <si>
    <t>DB-68-3 IN-ON-OFF-N</t>
  </si>
  <si>
    <t>BS-71B</t>
  </si>
  <si>
    <t>Over Head Shower Mist Flow 100 mm Bilister Set</t>
  </si>
  <si>
    <t>BS-66B</t>
  </si>
  <si>
    <t>Over Head Shower Mist Flow 125 mm Bilister Set</t>
  </si>
  <si>
    <t>BS-110</t>
  </si>
  <si>
    <t>Over Head Shower Aesthetic Round 230 mm with 375 mm ss arm</t>
  </si>
  <si>
    <t>BS-111</t>
  </si>
  <si>
    <t>Over Head Shower Aesthetic 150x225 mm with 375 mm ss arm</t>
  </si>
  <si>
    <t>GRACIA 74</t>
  </si>
  <si>
    <t>CP-74</t>
  </si>
  <si>
    <t>BS-65</t>
  </si>
  <si>
    <t>ABS Overhead Shower 100mm Round with SS Arm 225mm &amp; Flange</t>
  </si>
  <si>
    <t>BOS-102</t>
  </si>
  <si>
    <t>Over Head Fashion Shower 3 Function 80mm with Brass Arm 150mm &amp; Flange</t>
  </si>
  <si>
    <t>BOS-102SS</t>
  </si>
  <si>
    <t>Over Head Fashion Shower 3 Function 80mm with SS Arm 225mm &amp; Flange</t>
  </si>
  <si>
    <t>MACASA 76</t>
  </si>
  <si>
    <t>CP-76</t>
  </si>
  <si>
    <t>GB-01</t>
  </si>
  <si>
    <t>GB-02</t>
  </si>
  <si>
    <t>GB-03</t>
  </si>
  <si>
    <t>BOS-49SQ</t>
  </si>
  <si>
    <t>SS Square Shower Arm 225mm with Flange</t>
  </si>
  <si>
    <t>BOS-47SQ</t>
  </si>
  <si>
    <t>SS Square Shower Arm 300mm with Flange</t>
  </si>
  <si>
    <t>BOS-50SQ</t>
  </si>
  <si>
    <t>SS Square Shower Arm 375mm with Flange</t>
  </si>
  <si>
    <t>BB-76</t>
  </si>
  <si>
    <t>BHS-2001</t>
  </si>
  <si>
    <t>Chrome Plated ABS Hand Rainduet Shower 5-Function with 1.5Mtr SS Tube &amp; ABS Hook</t>
  </si>
  <si>
    <t>7691-N</t>
  </si>
  <si>
    <t>BHS-2011</t>
  </si>
  <si>
    <t>DB-76-N</t>
  </si>
  <si>
    <t>7692-N</t>
  </si>
  <si>
    <t>DB-76-H-N</t>
  </si>
  <si>
    <t>BEA-108</t>
  </si>
  <si>
    <t>Helath Faucet Square  brass with 1 mtr ss tube &amp; brass hook</t>
  </si>
  <si>
    <t>7692-ON-OFF-N</t>
  </si>
  <si>
    <t>DB-76-H-ON-OFF-N</t>
  </si>
  <si>
    <t>7692-P</t>
  </si>
  <si>
    <t>DB-76-H-P</t>
  </si>
  <si>
    <t>7692-ON-OFF-P</t>
  </si>
  <si>
    <t>DB-76-H-ON-OFF-P</t>
  </si>
  <si>
    <t>7693-N</t>
  </si>
  <si>
    <t>454</t>
  </si>
  <si>
    <t>455</t>
  </si>
  <si>
    <t>456</t>
  </si>
  <si>
    <t>Chrome Plated ABS Health Faucet Milano with 1Mtr SS Tube &amp; Hook in Blister Packing</t>
  </si>
  <si>
    <t>DB-76-3 IN-N</t>
  </si>
  <si>
    <t>BEA-103A</t>
  </si>
  <si>
    <t>Chrome Plated ABS Health Faucet Dolphin with 1Mtr SS Tube &amp; Hook in Blister Packing</t>
  </si>
  <si>
    <t>7693-ON-OFF-N</t>
  </si>
  <si>
    <t>DB-76-3 IN-ON-OFF-N</t>
  </si>
  <si>
    <t>VIVA 72</t>
  </si>
  <si>
    <t>BEA-30</t>
  </si>
  <si>
    <t>Brass Peg Set Of 6</t>
  </si>
  <si>
    <t>TRANQUIL 73</t>
  </si>
  <si>
    <t>BA-10</t>
  </si>
  <si>
    <t>BA-11</t>
  </si>
  <si>
    <t>BA-12</t>
  </si>
  <si>
    <t>BA-15</t>
  </si>
  <si>
    <t>ABS Soap Dish with Brass Stand</t>
  </si>
  <si>
    <t>BA-15G</t>
  </si>
  <si>
    <t>Glass Soap Dish with Brass Stand</t>
  </si>
  <si>
    <t>BA-16</t>
  </si>
  <si>
    <t>ABS Tumbler Holder with Brass Stand</t>
  </si>
  <si>
    <t>BA-16G</t>
  </si>
  <si>
    <t>Glass Tumbler Holder with Brass Stand</t>
  </si>
  <si>
    <t>BA-17</t>
  </si>
  <si>
    <t>BA-18</t>
  </si>
  <si>
    <t>FROST 77</t>
  </si>
  <si>
    <t>CP-77</t>
  </si>
  <si>
    <t>SL-1011</t>
  </si>
  <si>
    <t>SS Kitchen Sink Mixer 3-Function Flow</t>
  </si>
  <si>
    <t>SL-1009C</t>
  </si>
  <si>
    <t>Brass Kitchen Sink Mixer Chrome 360 Degree Rotable</t>
  </si>
  <si>
    <t>URBONA 78</t>
  </si>
  <si>
    <t>CP-78</t>
  </si>
  <si>
    <t>BB-78</t>
  </si>
  <si>
    <t>7891-N</t>
  </si>
  <si>
    <t>DB-78-N</t>
  </si>
  <si>
    <t>7892-N</t>
  </si>
  <si>
    <t>DB-78-H-N</t>
  </si>
  <si>
    <t>7892-ON-OFF-N</t>
  </si>
  <si>
    <t>DB-78-H-ON-OFF-N</t>
  </si>
  <si>
    <t>7893-N</t>
  </si>
  <si>
    <t>DB-78-3 IN-N</t>
  </si>
  <si>
    <t>7893-ON-OFF-N</t>
  </si>
  <si>
    <t>DB-78-3 IN-ON-OFF-N</t>
  </si>
  <si>
    <t>SAGA 79F</t>
  </si>
  <si>
    <t>7902-F</t>
  </si>
  <si>
    <t>7903-F</t>
  </si>
  <si>
    <t>7904-F</t>
  </si>
  <si>
    <t>7906-F</t>
  </si>
  <si>
    <t>7908-F</t>
  </si>
  <si>
    <t>7910-F</t>
  </si>
  <si>
    <t>7911-F</t>
  </si>
  <si>
    <t>7913-F</t>
  </si>
  <si>
    <t>7914-F</t>
  </si>
  <si>
    <t>7916-F</t>
  </si>
  <si>
    <t>7950-F</t>
  </si>
  <si>
    <t>7951-F</t>
  </si>
  <si>
    <t>7952-F</t>
  </si>
  <si>
    <t>7954-F</t>
  </si>
  <si>
    <t>BB-79 F</t>
  </si>
  <si>
    <t>7955-F</t>
  </si>
  <si>
    <t>7970-F</t>
  </si>
  <si>
    <t>7975-F</t>
  </si>
  <si>
    <t>7980-F</t>
  </si>
  <si>
    <t>7991 F-N</t>
  </si>
  <si>
    <t>DB-79 F-N</t>
  </si>
  <si>
    <t>7992 F-N</t>
  </si>
  <si>
    <t>DB-79 F-H-N</t>
  </si>
  <si>
    <t>7992 F-ON-OFF-N</t>
  </si>
  <si>
    <t>DB-79 F-H-ON-OFF-N</t>
  </si>
  <si>
    <t>7993 F-N</t>
  </si>
  <si>
    <t>DB-79 F-3 IN-N</t>
  </si>
  <si>
    <t>7993 F-ON-OFF-N</t>
  </si>
  <si>
    <t>DB-79 F-3 IN-ON-OFF-N</t>
  </si>
  <si>
    <t>7995-F</t>
  </si>
  <si>
    <t>7996-F</t>
  </si>
  <si>
    <t>7998-F</t>
  </si>
  <si>
    <t>CYGNUS 71</t>
  </si>
  <si>
    <t>BB-71</t>
  </si>
  <si>
    <t>7191-N</t>
  </si>
  <si>
    <t>DB-71-N</t>
  </si>
  <si>
    <t>7192-N</t>
  </si>
  <si>
    <t>DB-71-H-N</t>
  </si>
  <si>
    <t>7192-ON-OFF-N</t>
  </si>
  <si>
    <t>DB-71-H-ON-OFF-N</t>
  </si>
  <si>
    <t>7193-N</t>
  </si>
  <si>
    <t>DB-71-3 IN-N</t>
  </si>
  <si>
    <t>7193-ON-OFF-N</t>
  </si>
  <si>
    <t>DB-71-3 IN-ON-OFF-N</t>
  </si>
  <si>
    <t>WAVES 83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</si>
  <si>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</si>
  <si>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CAT NO</t>
  </si>
  <si>
    <t>MIST 85</t>
  </si>
  <si>
    <t>92-New</t>
  </si>
  <si>
    <t>High Flow Concealed Diverter Body 46mm (Cartridge, Sleeve, Tipton without Plated)</t>
  </si>
  <si>
    <t>92-New-ON-OFF</t>
  </si>
  <si>
    <t>High Flow Concealed Diverter Body 46mm (Cartridge, Sleeve, On-Off Tipton without Plated)</t>
  </si>
  <si>
    <t>CONCEALED PILLAR COCK HANDLE</t>
  </si>
  <si>
    <t>OPUS 89</t>
  </si>
  <si>
    <t>BB-89</t>
  </si>
  <si>
    <t>BASIN MIXER WALL MOUNT HANDLE</t>
  </si>
  <si>
    <t>8991-N</t>
  </si>
  <si>
    <t>DB-89-N</t>
  </si>
  <si>
    <t>8992-N</t>
  </si>
  <si>
    <t>DB-89-H-N</t>
  </si>
  <si>
    <t>8992-ON-OFF-N</t>
  </si>
  <si>
    <t>DB-89-H-ON-OFF-N</t>
  </si>
  <si>
    <t>8993-N</t>
  </si>
  <si>
    <t>DB-89-3 IN-N</t>
  </si>
  <si>
    <t>8993-ON-OFF-N</t>
  </si>
  <si>
    <t>DB-89-3 IN-ON-OFF-N</t>
  </si>
  <si>
    <t>EVIAN 87</t>
  </si>
  <si>
    <t>BB-87</t>
  </si>
  <si>
    <t>NIAGARA 81</t>
  </si>
  <si>
    <t>BB-81</t>
  </si>
  <si>
    <t>EUROPA 90</t>
  </si>
  <si>
    <t>BB-90</t>
  </si>
  <si>
    <t>LAGUNA 93</t>
  </si>
  <si>
    <t>BB-93</t>
  </si>
  <si>
    <t>91, 92 &amp;93 DIVERTER HANDLE</t>
  </si>
  <si>
    <t>8791-N</t>
  </si>
  <si>
    <t>DB-87-N</t>
  </si>
  <si>
    <t>8792-N</t>
  </si>
  <si>
    <t>DB-87-H-N</t>
  </si>
  <si>
    <t>8792-ON-OFF-N</t>
  </si>
  <si>
    <t>DB-87-H-ON-OFF-N</t>
  </si>
  <si>
    <t>8792-P</t>
  </si>
  <si>
    <t>DB-87-H-P</t>
  </si>
  <si>
    <t>8792-ON-OFF-P</t>
  </si>
  <si>
    <t>DB-87-H-ON-OFF-P</t>
  </si>
  <si>
    <t>8793-N</t>
  </si>
  <si>
    <t>DB-87-3 IN-N</t>
  </si>
  <si>
    <t>8793-ON-OFF-N</t>
  </si>
  <si>
    <t>DB-87-3 IN-ON-OFF-N</t>
  </si>
  <si>
    <t>8191-N</t>
  </si>
  <si>
    <t>DB-81-N</t>
  </si>
  <si>
    <t>8192-N</t>
  </si>
  <si>
    <t>DB-81-H-N</t>
  </si>
  <si>
    <t>8192-ON-OFF-N</t>
  </si>
  <si>
    <t>DB-81-H-ON-OFF-N</t>
  </si>
  <si>
    <t>8193-N</t>
  </si>
  <si>
    <t>DB-81-3 IN-N</t>
  </si>
  <si>
    <t>8193-ON-OFF-N</t>
  </si>
  <si>
    <t>DB-81-3 IN-ON-OFF-N</t>
  </si>
  <si>
    <t>9091-N</t>
  </si>
  <si>
    <t>DB-90-N</t>
  </si>
  <si>
    <t>9092-N</t>
  </si>
  <si>
    <t>DB-90-H-N</t>
  </si>
  <si>
    <t>9092-ON-OFF-N</t>
  </si>
  <si>
    <t>DB-90-H-ON-OFF-N</t>
  </si>
  <si>
    <t>DB-90-3 IN-N</t>
  </si>
  <si>
    <t>DB-90-3 IN-ON-OFF-N</t>
  </si>
  <si>
    <t>9093-N</t>
  </si>
  <si>
    <t>DB-93-N</t>
  </si>
  <si>
    <t>DB-93-H-N</t>
  </si>
  <si>
    <t>9093-ON-OFF-N</t>
  </si>
  <si>
    <t>DB-93-H-ON-OFF-N</t>
  </si>
  <si>
    <t>DB-93-3 IN-N</t>
  </si>
  <si>
    <t>DB-93-3 IN-ON-OFF-N</t>
  </si>
  <si>
    <t>Sink Mixer with Regular Spout Table Mounted (Swinging Spout)</t>
  </si>
  <si>
    <t>9391-N</t>
  </si>
  <si>
    <t>9392-N</t>
  </si>
  <si>
    <t>NEW 69</t>
  </si>
  <si>
    <t>9392-ON-OFF-N</t>
  </si>
  <si>
    <t>9392-P</t>
  </si>
  <si>
    <t>DB-93-H-P</t>
  </si>
  <si>
    <t>9392-ON-OFF-P</t>
  </si>
  <si>
    <t>DB-93-H-ON-OFF-P</t>
  </si>
  <si>
    <t>9393-N</t>
  </si>
  <si>
    <t>9393-ON-OFF-N</t>
  </si>
  <si>
    <t>ACCESSORIES</t>
  </si>
  <si>
    <t>Gun Metal Gate Valve 15 MM</t>
  </si>
  <si>
    <t>Gun Metal Gate Valve 20 MM</t>
  </si>
  <si>
    <t>Gun Metal Gate Valve 25 MM</t>
  </si>
  <si>
    <t>Gun Metal Gate Valve 32 MM</t>
  </si>
  <si>
    <t>Gun Metal Gate Valve 40 MM</t>
  </si>
  <si>
    <t>Gun Metal Gate Valve 50 MM</t>
  </si>
  <si>
    <t>Gun Metal Gate Valve 65 MM</t>
  </si>
  <si>
    <t>Gun Metal Gate Valve 80 MM</t>
  </si>
  <si>
    <t>Gun Metal Gate Valve 100 MM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</si>
  <si>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</si>
  <si>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6102-RG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</si>
  <si>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</si>
  <si>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6102-G</t>
  </si>
  <si>
    <t>6103-RG</t>
  </si>
  <si>
    <t>6104-RG</t>
  </si>
  <si>
    <t>6103-G</t>
  </si>
  <si>
    <t>6106-RG</t>
  </si>
  <si>
    <t>6104-G</t>
  </si>
  <si>
    <t>6108-RG</t>
  </si>
  <si>
    <t>6106-G</t>
  </si>
  <si>
    <t>6110-RG</t>
  </si>
  <si>
    <t>6108-G</t>
  </si>
  <si>
    <t>6111-RG</t>
  </si>
  <si>
    <t>6110-G</t>
  </si>
  <si>
    <t>6112-RG</t>
  </si>
  <si>
    <t>6113-RG</t>
  </si>
  <si>
    <t>6111-G</t>
  </si>
  <si>
    <t>6114-RG</t>
  </si>
  <si>
    <t>6112-G</t>
  </si>
  <si>
    <t>6116-RG</t>
  </si>
  <si>
    <t>6113-G</t>
  </si>
  <si>
    <t>6118-RG</t>
  </si>
  <si>
    <t>6114-G</t>
  </si>
  <si>
    <t>6120-RG</t>
  </si>
  <si>
    <t>6116-G</t>
  </si>
  <si>
    <t>6151-RG</t>
  </si>
  <si>
    <t>6118-G</t>
  </si>
  <si>
    <t>6154-RG</t>
  </si>
  <si>
    <t>6120-G</t>
  </si>
  <si>
    <t>6151-G</t>
  </si>
  <si>
    <t>BB-61-RG</t>
  </si>
  <si>
    <t>6154-G</t>
  </si>
  <si>
    <t>6155-RG</t>
  </si>
  <si>
    <t>6175-RG</t>
  </si>
  <si>
    <t>BB-61-G</t>
  </si>
  <si>
    <t>6155-G</t>
  </si>
  <si>
    <t>6191-NRG</t>
  </si>
  <si>
    <t>6175-G</t>
  </si>
  <si>
    <t>6191-NG</t>
  </si>
  <si>
    <t>DB-61-NRG</t>
  </si>
  <si>
    <t>6192-NRG</t>
  </si>
  <si>
    <t>DB-61-NG</t>
  </si>
  <si>
    <t>6192-NG</t>
  </si>
  <si>
    <t>DB-61-H-NG</t>
  </si>
  <si>
    <t>DB-61-H-NRG</t>
  </si>
  <si>
    <t>6192-ON-OFF-NG</t>
  </si>
  <si>
    <t>6192-ON-OFF-NRG</t>
  </si>
  <si>
    <t>DB-61-H-ON-OFF-NG</t>
  </si>
  <si>
    <t>DB-61-H-ON-OFF-NRG</t>
  </si>
  <si>
    <t>6193-NG</t>
  </si>
  <si>
    <t>6193-NRG</t>
  </si>
  <si>
    <t>DB-61-3 IN-NG</t>
  </si>
  <si>
    <t>6193-ON-OFF-NG</t>
  </si>
  <si>
    <t>DB-61-3 IN-NRG</t>
  </si>
  <si>
    <t>6193-ON-OFF-NRG</t>
  </si>
  <si>
    <t>DB-61-3 IN-ON-OFF-NG</t>
  </si>
  <si>
    <t>6195-G</t>
  </si>
  <si>
    <t>DB-61-3 IN-ON-OFF-NRG</t>
  </si>
  <si>
    <t>6196-G</t>
  </si>
  <si>
    <t>6195-RG</t>
  </si>
  <si>
    <t>6196-RG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</si>
  <si>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</si>
  <si>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r>
      <rPr>
        <rFont val="Roboto"/>
        <b/>
        <color rgb="FF000000"/>
        <sz val="15.0"/>
      </rPr>
      <t>S.No</t>
    </r>
    <r>
      <rPr>
        <rFont val="Roboto"/>
        <b/>
        <color rgb="FF0000FF"/>
        <sz val="15.0"/>
      </rPr>
      <t>.</t>
    </r>
  </si>
  <si>
    <t>6102-B</t>
  </si>
  <si>
    <t>OLD CAT NO.</t>
  </si>
  <si>
    <t>6103-B</t>
  </si>
  <si>
    <t>6104-B</t>
  </si>
  <si>
    <t>6106-B</t>
  </si>
  <si>
    <t>6108-B</t>
  </si>
  <si>
    <t>6110-B</t>
  </si>
  <si>
    <t>6111-B</t>
  </si>
  <si>
    <t>6112-B</t>
  </si>
  <si>
    <t>6113-B</t>
  </si>
  <si>
    <t>6114-B</t>
  </si>
  <si>
    <t>6116-B</t>
  </si>
  <si>
    <t>6118-B</t>
  </si>
  <si>
    <t>6120-B</t>
  </si>
  <si>
    <t>6151-B</t>
  </si>
  <si>
    <t>6154-B</t>
  </si>
  <si>
    <t>BB-61-B</t>
  </si>
  <si>
    <t>6155-B</t>
  </si>
  <si>
    <t>6175-B</t>
  </si>
  <si>
    <t>6191-NB</t>
  </si>
  <si>
    <t>DB-61-NB</t>
  </si>
  <si>
    <t>6192-NB</t>
  </si>
  <si>
    <t>DB-61-H-NB</t>
  </si>
  <si>
    <t>6192-ON-OFF-NB</t>
  </si>
  <si>
    <t>DB-61-H-ON-OFF-NB</t>
  </si>
  <si>
    <t>6193-NB</t>
  </si>
  <si>
    <t>DB-61-3 IN-NB</t>
  </si>
  <si>
    <t>6193-ON-OFF-NB</t>
  </si>
  <si>
    <t>DB-61-3 IN-ON-OFF-NB</t>
  </si>
  <si>
    <t>6195-B</t>
  </si>
  <si>
    <t>6196-B</t>
  </si>
  <si>
    <r>
      <rPr>
        <rFont val="Roboto"/>
        <b/>
        <color rgb="FF000000"/>
        <sz val="15.0"/>
      </rPr>
      <t>S.No</t>
    </r>
    <r>
      <rPr>
        <rFont val="Roboto"/>
        <b/>
        <color rgb="FF0000FF"/>
        <sz val="15.0"/>
      </rPr>
      <t>.</t>
    </r>
  </si>
  <si>
    <t>P6691</t>
  </si>
  <si>
    <t>PD-40-F</t>
  </si>
  <si>
    <t>DB-P66</t>
  </si>
  <si>
    <t>P6692</t>
  </si>
  <si>
    <t>PD-46-H</t>
  </si>
  <si>
    <t>DB-P66-H</t>
  </si>
  <si>
    <t>P6693</t>
  </si>
  <si>
    <t>PD-3 IN</t>
  </si>
  <si>
    <t>DB-P66-3 IN</t>
  </si>
  <si>
    <t>P6692-ON-OFF</t>
  </si>
  <si>
    <t>PD-46-H-ON-OFF</t>
  </si>
  <si>
    <t>DB-P66-H-ON-OFF</t>
  </si>
  <si>
    <t>P6693-ON-OFF</t>
  </si>
  <si>
    <t>PD-3 IN-ON-OFF</t>
  </si>
  <si>
    <t>DB-66</t>
  </si>
  <si>
    <t>DB-P66-3 IN-ON-OFF</t>
  </si>
  <si>
    <t>DB-66-H</t>
  </si>
  <si>
    <t>DB-66-3 IN</t>
  </si>
  <si>
    <t>6692-ON-OFF</t>
  </si>
  <si>
    <t>DB-66-H-ON-OFF</t>
  </si>
  <si>
    <t>6693-ON-OFF</t>
  </si>
  <si>
    <t>DB-66-3 IN-ON-OFF</t>
  </si>
  <si>
    <t>6604</t>
  </si>
  <si>
    <t>DB-68</t>
  </si>
  <si>
    <t>DB-68-H</t>
  </si>
  <si>
    <t>DB-68-3 IN</t>
  </si>
  <si>
    <t>6892-ON-OFF</t>
  </si>
  <si>
    <t>DB-68-H-ON-OFF</t>
  </si>
  <si>
    <t>DB-76</t>
  </si>
  <si>
    <t>DB-76-H</t>
  </si>
  <si>
    <t>6893-ON-OFF</t>
  </si>
  <si>
    <t>DB-76-3 IN</t>
  </si>
  <si>
    <t>7692-ON-OFF</t>
  </si>
  <si>
    <t>DB-68-3 IN-ON-OFF</t>
  </si>
  <si>
    <t>DB-76-H-ON-OFF</t>
  </si>
  <si>
    <t>7693-ON-OFF</t>
  </si>
  <si>
    <t>DB-76-3 IN-ON-OFF</t>
  </si>
  <si>
    <r>
      <rPr>
        <rFont val="Roboto"/>
        <b/>
        <color rgb="FF000000"/>
        <sz val="15.0"/>
      </rPr>
      <t>S.No</t>
    </r>
    <r>
      <rPr>
        <rFont val="Roboto"/>
        <b/>
        <color rgb="FF0000FF"/>
        <sz val="15.0"/>
      </rPr>
      <t>.</t>
    </r>
  </si>
  <si>
    <t>7991 F</t>
  </si>
  <si>
    <t>DB-79 F</t>
  </si>
  <si>
    <t>7992 F</t>
  </si>
  <si>
    <t>DB-79 F-H</t>
  </si>
  <si>
    <t>7993 F</t>
  </si>
  <si>
    <t>DB-78</t>
  </si>
  <si>
    <t>DB-79 F-3 IN</t>
  </si>
  <si>
    <t>7992 F-ON-OFF</t>
  </si>
  <si>
    <t>DB-78-H</t>
  </si>
  <si>
    <t>DB-79 F-H-ON-OFF</t>
  </si>
  <si>
    <t>7993 F-ON-OFF</t>
  </si>
  <si>
    <t>DB-78-3 IN</t>
  </si>
  <si>
    <t>DB-79 F-3 IN-ON-OFF</t>
  </si>
  <si>
    <t>7892-ON-OFF</t>
  </si>
  <si>
    <t>DB-78-H-ON-OFF</t>
  </si>
  <si>
    <t>7893-ON-OFF</t>
  </si>
  <si>
    <t>DB-78-3 IN-ON-OFF</t>
  </si>
  <si>
    <r>
      <rPr>
        <rFont val="Roboto"/>
        <b/>
        <color rgb="FF000000"/>
        <sz val="15.0"/>
      </rPr>
      <t>S.No</t>
    </r>
    <r>
      <rPr>
        <rFont val="Roboto"/>
        <b/>
        <color rgb="FF0000FF"/>
        <sz val="15.0"/>
      </rPr>
      <t>.</t>
    </r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</si>
  <si>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</si>
  <si>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DB-71</t>
  </si>
  <si>
    <t>6602-G</t>
  </si>
  <si>
    <t>6603-G</t>
  </si>
  <si>
    <t>DB-71-H</t>
  </si>
  <si>
    <t>6606-G</t>
  </si>
  <si>
    <t>6608-G</t>
  </si>
  <si>
    <t>6610-G</t>
  </si>
  <si>
    <t>6611-G</t>
  </si>
  <si>
    <t>6612-G</t>
  </si>
  <si>
    <t>DB-71-3 IN</t>
  </si>
  <si>
    <t>6613-G</t>
  </si>
  <si>
    <t>7192-ON-OFF</t>
  </si>
  <si>
    <t>6614-G</t>
  </si>
  <si>
    <t>6616-G</t>
  </si>
  <si>
    <t>6618-G</t>
  </si>
  <si>
    <t>6620-G</t>
  </si>
  <si>
    <t>DB-71-H-ON-OFF</t>
  </si>
  <si>
    <t>6651-G</t>
  </si>
  <si>
    <t>6654-G</t>
  </si>
  <si>
    <t>7193-ON-OFF</t>
  </si>
  <si>
    <t>BB-66-G</t>
  </si>
  <si>
    <t>6655-G</t>
  </si>
  <si>
    <t>6675-G</t>
  </si>
  <si>
    <t>6680-G</t>
  </si>
  <si>
    <t>DB-71-3 IN-ON-OFF</t>
  </si>
  <si>
    <t>6691-NG</t>
  </si>
  <si>
    <t>DB-66-NG</t>
  </si>
  <si>
    <t>6692-NG</t>
  </si>
  <si>
    <t>DB-66-H-NG</t>
  </si>
  <si>
    <t>6692-ON-OFF-NG</t>
  </si>
  <si>
    <t>DB-66-H-ON-OFF-NG</t>
  </si>
  <si>
    <t>6693-NG</t>
  </si>
  <si>
    <t>DB-66-3 IN-NG</t>
  </si>
  <si>
    <t>6693-ON-OFF-NG</t>
  </si>
  <si>
    <t>DB-66-3 IN-ON-OFF-NG</t>
  </si>
  <si>
    <t>6695-G</t>
  </si>
  <si>
    <t>6696-G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</si>
  <si>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</si>
  <si>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6602-RG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</si>
  <si>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</si>
  <si>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6603-RG</t>
  </si>
  <si>
    <t>6602-B</t>
  </si>
  <si>
    <t>6606-RG</t>
  </si>
  <si>
    <t>6608-RG</t>
  </si>
  <si>
    <t>6610-RG</t>
  </si>
  <si>
    <t>6603-B</t>
  </si>
  <si>
    <t>6611-RG</t>
  </si>
  <si>
    <t>6612-RG</t>
  </si>
  <si>
    <t>6606-B</t>
  </si>
  <si>
    <t>6613-RG</t>
  </si>
  <si>
    <t>6608-B</t>
  </si>
  <si>
    <t>6614-RG</t>
  </si>
  <si>
    <t>6616-RG</t>
  </si>
  <si>
    <t>6618-RG</t>
  </si>
  <si>
    <t>6610-B</t>
  </si>
  <si>
    <t>6620-RG</t>
  </si>
  <si>
    <t>6611-B</t>
  </si>
  <si>
    <t>6651-RG</t>
  </si>
  <si>
    <t>6612-B</t>
  </si>
  <si>
    <t>6654-RG</t>
  </si>
  <si>
    <t>6613-B</t>
  </si>
  <si>
    <t>BB-66-RG</t>
  </si>
  <si>
    <t>6614-B</t>
  </si>
  <si>
    <t>6655-RG</t>
  </si>
  <si>
    <t>6616-B</t>
  </si>
  <si>
    <t>6675-RG</t>
  </si>
  <si>
    <t>6618-B</t>
  </si>
  <si>
    <t>6680-RG</t>
  </si>
  <si>
    <t>6620-B</t>
  </si>
  <si>
    <t>6691-NRG</t>
  </si>
  <si>
    <t>6651-B</t>
  </si>
  <si>
    <t>DB-66-NRG</t>
  </si>
  <si>
    <t>6654-B</t>
  </si>
  <si>
    <t>6692-NRG</t>
  </si>
  <si>
    <t>DB-66-H-NRG</t>
  </si>
  <si>
    <t>6692-ON-OFF-NRG</t>
  </si>
  <si>
    <t>BB-66-B</t>
  </si>
  <si>
    <t>DB-66-H-ON-OFF-NRG</t>
  </si>
  <si>
    <t>6655-B</t>
  </si>
  <si>
    <t>6693-NRG</t>
  </si>
  <si>
    <t>6675-B</t>
  </si>
  <si>
    <t>DB-66-3 IN-NRG</t>
  </si>
  <si>
    <t>6693-ON-OFF-NRG</t>
  </si>
  <si>
    <t>6680-B</t>
  </si>
  <si>
    <t>DB-66-3 IN-ON-OFF-NRG</t>
  </si>
  <si>
    <t>6691-NB</t>
  </si>
  <si>
    <t>6695-RG</t>
  </si>
  <si>
    <t>6696-RG</t>
  </si>
  <si>
    <t>DB-66-NB</t>
  </si>
  <si>
    <t>6692-NB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</si>
  <si>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</si>
  <si>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DB-66-H-NB</t>
  </si>
  <si>
    <t>6692-ON-OFF-NB</t>
  </si>
  <si>
    <t>6802-G</t>
  </si>
  <si>
    <t>DB-66-H-ON-OFF-NB</t>
  </si>
  <si>
    <t>6803-G</t>
  </si>
  <si>
    <t>6693-NB</t>
  </si>
  <si>
    <t>6804-G</t>
  </si>
  <si>
    <t>6806-G</t>
  </si>
  <si>
    <t>6808-G</t>
  </si>
  <si>
    <t>DB-66-3 IN-NB</t>
  </si>
  <si>
    <t>6810-G</t>
  </si>
  <si>
    <t>6811-G</t>
  </si>
  <si>
    <t>6693-ON-OFF-NB</t>
  </si>
  <si>
    <t>6812-G</t>
  </si>
  <si>
    <t>6813-G</t>
  </si>
  <si>
    <t>6814-G</t>
  </si>
  <si>
    <t>DB-66-3 IN-ON-OFF-NB</t>
  </si>
  <si>
    <t>6695-B</t>
  </si>
  <si>
    <t>6816-G</t>
  </si>
  <si>
    <t>6818-G</t>
  </si>
  <si>
    <t>6696-B</t>
  </si>
  <si>
    <t>6820-G</t>
  </si>
  <si>
    <t>6851-G</t>
  </si>
  <si>
    <t>6852-G</t>
  </si>
  <si>
    <t>6854-G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</si>
  <si>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</si>
  <si>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BB-68-G</t>
  </si>
  <si>
    <t>6802-RG</t>
  </si>
  <si>
    <t>6855-G</t>
  </si>
  <si>
    <t>6875-G</t>
  </si>
  <si>
    <t>6880-G</t>
  </si>
  <si>
    <t>6803-RG</t>
  </si>
  <si>
    <t>6891-NG</t>
  </si>
  <si>
    <t>6804-RG</t>
  </si>
  <si>
    <t>6806-RG</t>
  </si>
  <si>
    <t>DB-68-NG</t>
  </si>
  <si>
    <t>6808-RG</t>
  </si>
  <si>
    <t>6892-NG</t>
  </si>
  <si>
    <t>6810-RG</t>
  </si>
  <si>
    <t>6811-RG</t>
  </si>
  <si>
    <t>6812-RG</t>
  </si>
  <si>
    <t>DB-68-H-NG</t>
  </si>
  <si>
    <t>6813-RG</t>
  </si>
  <si>
    <t>6892-ON-OFF-NG</t>
  </si>
  <si>
    <t>6814-RG</t>
  </si>
  <si>
    <t>6816-RG</t>
  </si>
  <si>
    <t>6818-RG</t>
  </si>
  <si>
    <t>DB-68-H-ON-OFF-NG</t>
  </si>
  <si>
    <t>6820-RG</t>
  </si>
  <si>
    <t>6893-NG</t>
  </si>
  <si>
    <t>6851-RG</t>
  </si>
  <si>
    <t>6852-RG</t>
  </si>
  <si>
    <t>6854-RG</t>
  </si>
  <si>
    <t>DB-68-3 IN-NG</t>
  </si>
  <si>
    <t>6893-ON-OFF-NG</t>
  </si>
  <si>
    <t>BB-68-RG</t>
  </si>
  <si>
    <t>6855-RG</t>
  </si>
  <si>
    <t>DB-68-3 IN-ON-OFF-NG</t>
  </si>
  <si>
    <t>6875-RG</t>
  </si>
  <si>
    <t>6880-RG</t>
  </si>
  <si>
    <t>6895-G</t>
  </si>
  <si>
    <t>6891-NRG</t>
  </si>
  <si>
    <t>6896-G</t>
  </si>
  <si>
    <t>DB-68-NRG</t>
  </si>
  <si>
    <t>6892-NRG</t>
  </si>
  <si>
    <t>DB-68-H-NRG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</si>
  <si>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</si>
  <si>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6892-ON-OFF-NRG</t>
  </si>
  <si>
    <t>DB-68-H-ON-OFF-NRG</t>
  </si>
  <si>
    <t>6802-B</t>
  </si>
  <si>
    <t>6893-NRG</t>
  </si>
  <si>
    <t>DB-68-3 IN-NRG</t>
  </si>
  <si>
    <t>6893-ON-OFF-NRG</t>
  </si>
  <si>
    <t>6803-B</t>
  </si>
  <si>
    <t>DB-68-3 IN-ON-OFF-NRG</t>
  </si>
  <si>
    <t>6804-B</t>
  </si>
  <si>
    <t>6895-RG</t>
  </si>
  <si>
    <t>6806-B</t>
  </si>
  <si>
    <t>6896-RG</t>
  </si>
  <si>
    <t>6808-B</t>
  </si>
  <si>
    <t>6810-B</t>
  </si>
  <si>
    <t>6811-B</t>
  </si>
  <si>
    <t>6812-B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</si>
  <si>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</si>
  <si>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6813-B</t>
  </si>
  <si>
    <t>6814-B</t>
  </si>
  <si>
    <t>6816-B</t>
  </si>
  <si>
    <t>6818-B</t>
  </si>
  <si>
    <t>7102-G</t>
  </si>
  <si>
    <t>6820-B</t>
  </si>
  <si>
    <t>6851-B</t>
  </si>
  <si>
    <t>6852-B</t>
  </si>
  <si>
    <t>7103-G</t>
  </si>
  <si>
    <t>6854-B</t>
  </si>
  <si>
    <t>7104-G</t>
  </si>
  <si>
    <t>7106-G</t>
  </si>
  <si>
    <t>BB-68-B</t>
  </si>
  <si>
    <t>7108-G</t>
  </si>
  <si>
    <t>6855-B</t>
  </si>
  <si>
    <t>7110-G</t>
  </si>
  <si>
    <t>6875-B</t>
  </si>
  <si>
    <t>6880-B</t>
  </si>
  <si>
    <t>7111-G</t>
  </si>
  <si>
    <t>6891-NB</t>
  </si>
  <si>
    <t>7113-G</t>
  </si>
  <si>
    <t>7114-G</t>
  </si>
  <si>
    <t>7116-G</t>
  </si>
  <si>
    <t>DB-68-NB</t>
  </si>
  <si>
    <t>7118-G</t>
  </si>
  <si>
    <t>6892-NB</t>
  </si>
  <si>
    <t>7120-G</t>
  </si>
  <si>
    <t>7151-G</t>
  </si>
  <si>
    <t>7152-G</t>
  </si>
  <si>
    <t>DB-68-H-NB</t>
  </si>
  <si>
    <t>6892-ON-OFF-NB</t>
  </si>
  <si>
    <t>7154-G</t>
  </si>
  <si>
    <t>DB-68-H-ON-OFF-NB</t>
  </si>
  <si>
    <t>6893-NB</t>
  </si>
  <si>
    <t>BB-71-G</t>
  </si>
  <si>
    <t>DB-68-3 IN-NB</t>
  </si>
  <si>
    <t>6893-ON-OFF-NB</t>
  </si>
  <si>
    <t>7155-G</t>
  </si>
  <si>
    <t>7170-G</t>
  </si>
  <si>
    <t>DB-68-3 IN-ON-OFF-NB</t>
  </si>
  <si>
    <t>7175-G</t>
  </si>
  <si>
    <t>6895-B</t>
  </si>
  <si>
    <t>6896-B</t>
  </si>
  <si>
    <t>7180-G</t>
  </si>
  <si>
    <t>7191-NG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</si>
  <si>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</si>
  <si>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DB-71-NG</t>
  </si>
  <si>
    <t>7192-NG</t>
  </si>
  <si>
    <t>7102-RG</t>
  </si>
  <si>
    <t>7103-RG</t>
  </si>
  <si>
    <t>DB-71-H-NG</t>
  </si>
  <si>
    <t>7104-RG</t>
  </si>
  <si>
    <t>7106-RG</t>
  </si>
  <si>
    <t>7192-ON-OFF-NG</t>
  </si>
  <si>
    <t>7108-RG</t>
  </si>
  <si>
    <t>7110-RG</t>
  </si>
  <si>
    <t>DB-71-H-ON-OFF-NG</t>
  </si>
  <si>
    <t>7111-RG</t>
  </si>
  <si>
    <t>7113-RG</t>
  </si>
  <si>
    <t>7193-NG</t>
  </si>
  <si>
    <t>7114-RG</t>
  </si>
  <si>
    <t>7116-RG</t>
  </si>
  <si>
    <t>7118-RG</t>
  </si>
  <si>
    <t>7120-RG</t>
  </si>
  <si>
    <t>DB-71-3 IN-NG</t>
  </si>
  <si>
    <t>7151-RG</t>
  </si>
  <si>
    <t>7193-ON-OFF-NG</t>
  </si>
  <si>
    <t>7152-RG</t>
  </si>
  <si>
    <t>7154-RG</t>
  </si>
  <si>
    <t>BB-71-RG</t>
  </si>
  <si>
    <t>DB-71-3 IN-ON-OFF-NG</t>
  </si>
  <si>
    <t>7155-RG</t>
  </si>
  <si>
    <t>7195-G</t>
  </si>
  <si>
    <t>7170-RG</t>
  </si>
  <si>
    <t>7196-G</t>
  </si>
  <si>
    <t>7175-RG</t>
  </si>
  <si>
    <t>7180-RG</t>
  </si>
  <si>
    <t>7191-NRG</t>
  </si>
  <si>
    <t>DB-71-NRG</t>
  </si>
  <si>
    <r>
      <rPr>
        <rFont val="Calibri"/>
        <b/>
        <color rgb="FF000000"/>
        <sz val="12.0"/>
      </rPr>
      <t>S.No</t>
    </r>
    <r>
      <rPr>
        <rFont val="Calibri"/>
        <b/>
        <color theme="1"/>
        <sz val="12.0"/>
      </rPr>
      <t>.</t>
    </r>
  </si>
  <si>
    <t>7192-NRG</t>
  </si>
  <si>
    <t>DB-71-H-NRG</t>
  </si>
  <si>
    <t>7102-B</t>
  </si>
  <si>
    <t>7192-ON-OFF-NRG</t>
  </si>
  <si>
    <t>DB-71-H-ON-OFF-NRG</t>
  </si>
  <si>
    <t>7193-NRG</t>
  </si>
  <si>
    <t>7103-B</t>
  </si>
  <si>
    <t>DB-71-3 IN-NRG</t>
  </si>
  <si>
    <t>7104-B</t>
  </si>
  <si>
    <t>7193-ON-OFF-NRG</t>
  </si>
  <si>
    <t>7106-B</t>
  </si>
  <si>
    <t>DB-71-3 IN-ON-OFF-NRG</t>
  </si>
  <si>
    <t>7108-B</t>
  </si>
  <si>
    <t>7195-RG</t>
  </si>
  <si>
    <t>7110-B</t>
  </si>
  <si>
    <t>7196-RG</t>
  </si>
  <si>
    <t>7111-B</t>
  </si>
  <si>
    <t>7113-B</t>
  </si>
  <si>
    <t>7114-B</t>
  </si>
  <si>
    <t>7116-B</t>
  </si>
  <si>
    <t>7118-B</t>
  </si>
  <si>
    <t>7120-B</t>
  </si>
  <si>
    <t>7151-B</t>
  </si>
  <si>
    <t>7152-B</t>
  </si>
  <si>
    <t>7154-B</t>
  </si>
  <si>
    <t>BB-71-B</t>
  </si>
  <si>
    <t>7155-B</t>
  </si>
  <si>
    <t>7170-B</t>
  </si>
  <si>
    <t>7175-B</t>
  </si>
  <si>
    <t>7180-B</t>
  </si>
  <si>
    <t>7191-NB</t>
  </si>
  <si>
    <t>DB-71-NB</t>
  </si>
  <si>
    <t>7192-NB</t>
  </si>
  <si>
    <t>DB-71-H-NB</t>
  </si>
  <si>
    <t>7192-ON-OFF-NB</t>
  </si>
  <si>
    <t>DB-71-H-ON-OFF-NB</t>
  </si>
  <si>
    <t>7193-NB</t>
  </si>
  <si>
    <t>DB-71-3 IN-NB</t>
  </si>
  <si>
    <t>7193-ON-OFF-NB</t>
  </si>
  <si>
    <t>DB-71-3 IN-ON-OFF-NB</t>
  </si>
  <si>
    <t>7195-B</t>
  </si>
  <si>
    <t>7196-B</t>
  </si>
  <si>
    <t>DB-87</t>
  </si>
  <si>
    <t>DB-87-H</t>
  </si>
  <si>
    <t>DB-87-3 IN</t>
  </si>
  <si>
    <t>8792-ON-OFF</t>
  </si>
  <si>
    <t>DB-87-H-ON-OFF</t>
  </si>
  <si>
    <t>8793-ON-OFF</t>
  </si>
  <si>
    <t>DB-87-3 IN-ON-OFF</t>
  </si>
  <si>
    <t>DB-81</t>
  </si>
  <si>
    <t>DB-81-H</t>
  </si>
  <si>
    <t>DB-81-3 IN</t>
  </si>
  <si>
    <t>8192-ON-OFF</t>
  </si>
  <si>
    <t>DB-81-H-ON-OFF</t>
  </si>
  <si>
    <t>8193-ON-OFF</t>
  </si>
  <si>
    <t>DB-81-3 IN-ON-OFF</t>
  </si>
  <si>
    <t>DB-90</t>
  </si>
  <si>
    <t>DB-90-H</t>
  </si>
  <si>
    <t>DB-90-3 IN</t>
  </si>
  <si>
    <t>9092-ON-OFF</t>
  </si>
  <si>
    <t>DB-90-H-ON-OFF</t>
  </si>
  <si>
    <t>9093-ON-OFF</t>
  </si>
  <si>
    <t>DB-90-3 IN-ON-OFF</t>
  </si>
  <si>
    <t>DB-93</t>
  </si>
  <si>
    <t>DB-93-H</t>
  </si>
  <si>
    <t>DB-93-3 IN</t>
  </si>
  <si>
    <t>9392-ON-OFF</t>
  </si>
  <si>
    <t>DB-93-H-ON-OFF</t>
  </si>
  <si>
    <t>9393-ON-OFF</t>
  </si>
  <si>
    <t>DB-93-3 IN-ON-OFF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</si>
</sst>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0.000"/>
  </numFmts>
  <fonts count="38">
    <font>
      <sz val="10.0"/>
      <color rgb="FF000000"/>
      <name val="Arial"/>
      <scheme val="minor"/>
    </font>
    <font>
      <b/>
      <sz val="15.0"/>
      <color theme="1"/>
      <name val="Calibri"/>
    </font>
    <font>
      <color theme="1"/>
      <name val="Arial"/>
      <scheme val="minor"/>
    </font>
    <font>
      <b/>
      <sz val="15.0"/>
      <color rgb="FF0000FF"/>
      <name val="Roboto"/>
    </font>
    <font>
      <b/>
      <sz val="12.0"/>
      <color theme="1"/>
      <name val="Arial"/>
      <scheme val="minor"/>
    </font>
    <font>
      <sz val="11.0"/>
      <color theme="1"/>
      <name val="Calibri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b/>
      <sz val="15.0"/>
      <color rgb="FF0000FF"/>
      <name val="Calibri"/>
    </font>
    <font>
      <sz val="12.0"/>
      <color rgb="FFFFFFFF"/>
      <name val="Arial"/>
      <scheme val="minor"/>
    </font>
    <font>
      <u/>
      <color rgb="FF0000FF"/>
    </font>
    <font>
      <sz val="12.0"/>
      <color theme="1"/>
      <name val="Calibri"/>
    </font>
    <font>
      <b/>
      <color theme="1"/>
      <name val="Arial"/>
    </font>
    <font>
      <sz val="11.0"/>
      <color theme="1"/>
      <name val="Arial"/>
    </font>
    <font>
      <color rgb="FFFFFFFF"/>
      <name val="Arial"/>
      <scheme val="minor"/>
    </font>
    <font>
      <b/>
      <sz val="12.0"/>
      <color rgb="FFFF0000"/>
      <name val="Arial"/>
      <scheme val="minor"/>
    </font>
    <font>
      <sz val="15.0"/>
      <color theme="1"/>
      <name val="Arial"/>
      <scheme val="minor"/>
    </font>
    <font>
      <b/>
      <sz val="15.0"/>
      <color rgb="FF980000"/>
      <name val="Arial"/>
    </font>
    <font>
      <sz val="12.0"/>
      <color theme="1"/>
      <name val="Arial"/>
    </font>
    <font>
      <b/>
      <sz val="12.0"/>
      <color rgb="FF980000"/>
      <name val="Arial"/>
    </font>
    <font>
      <b/>
      <sz val="12.0"/>
      <color rgb="FF666666"/>
      <name val="Arial"/>
      <scheme val="minor"/>
    </font>
    <font>
      <b/>
      <i/>
      <sz val="12.0"/>
      <color rgb="FF0000FF"/>
      <name val="Arial"/>
      <scheme val="minor"/>
    </font>
    <font>
      <b/>
      <sz val="12.0"/>
      <color rgb="FFFF9900"/>
      <name val="Arial"/>
      <scheme val="minor"/>
    </font>
    <font/>
    <font>
      <b/>
      <sz val="12.0"/>
      <color rgb="FF980000"/>
      <name val="Arial"/>
      <scheme val="minor"/>
    </font>
    <font>
      <b/>
      <sz val="12.0"/>
      <color theme="1"/>
      <name val="Calibri"/>
    </font>
    <font>
      <sz val="10.0"/>
      <color rgb="FFD9D9D9"/>
      <name val="Arial"/>
    </font>
    <font>
      <sz val="10.0"/>
      <color rgb="FFD9D9D9"/>
      <name val="Arial"/>
      <scheme val="minor"/>
    </font>
    <font>
      <b/>
      <sz val="12.0"/>
      <color rgb="FFFF00FF"/>
      <name val="Arial"/>
      <scheme val="minor"/>
    </font>
    <font>
      <b/>
      <sz val="12.0"/>
      <color rgb="FF0000FF"/>
      <name val="Arial"/>
      <scheme val="minor"/>
    </font>
    <font>
      <sz val="12.0"/>
      <color rgb="FF000000"/>
      <name val="Arial"/>
      <scheme val="minor"/>
    </font>
    <font>
      <b/>
      <sz val="12.0"/>
      <color rgb="FF073763"/>
      <name val="Arial"/>
      <scheme val="minor"/>
    </font>
    <font>
      <sz val="12.0"/>
      <color rgb="FFFFFFFF"/>
      <name val="Calibri"/>
    </font>
    <font>
      <color theme="1"/>
      <name val="Arial"/>
    </font>
    <font>
      <color rgb="FF000000"/>
      <name val="Arial"/>
      <scheme val="minor"/>
    </font>
    <font>
      <b/>
      <sz val="12.0"/>
      <color rgb="FF9900FF"/>
      <name val="Arial"/>
      <scheme val="minor"/>
    </font>
    <font>
      <sz val="12.0"/>
      <color rgb="FF000000"/>
      <name val="Calibri"/>
    </font>
    <font>
      <sz val="12.0"/>
      <color rgb="FF222222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readingOrder="0" vertical="center"/>
    </xf>
    <xf borderId="1" fillId="2" fontId="4" numFmtId="0" xfId="0" applyAlignment="1" applyBorder="1" applyFont="1">
      <alignment readingOrder="0" vertical="center"/>
    </xf>
    <xf borderId="0" fillId="0" fontId="5" numFmtId="49" xfId="0" applyAlignment="1" applyFont="1" applyNumberFormat="1">
      <alignment horizontal="center" vertical="center"/>
    </xf>
    <xf borderId="0" fillId="2" fontId="5" numFmtId="49" xfId="0" applyAlignment="1" applyFont="1" applyNumberFormat="1">
      <alignment horizontal="left" vertical="center"/>
    </xf>
    <xf borderId="1" fillId="2" fontId="6" numFmtId="0" xfId="0" applyAlignment="1" applyBorder="1" applyFont="1">
      <alignment horizontal="left" readingOrder="0" vertical="center"/>
    </xf>
    <xf borderId="0" fillId="2" fontId="7" numFmtId="0" xfId="0" applyAlignment="1" applyFont="1">
      <alignment vertical="center"/>
    </xf>
    <xf borderId="0" fillId="2" fontId="7" numFmtId="49" xfId="0" applyAlignment="1" applyFont="1" applyNumberFormat="1">
      <alignment vertical="center"/>
    </xf>
    <xf borderId="1" fillId="2" fontId="6" numFmtId="0" xfId="0" applyAlignment="1" applyBorder="1" applyFont="1">
      <alignment readingOrder="0" vertical="center"/>
    </xf>
    <xf borderId="1" fillId="2" fontId="8" numFmtId="1" xfId="0" applyAlignment="1" applyBorder="1" applyFont="1" applyNumberFormat="1">
      <alignment horizontal="center" readingOrder="0" shrinkToFit="0" vertical="center" wrapText="1"/>
    </xf>
    <xf borderId="0" fillId="2" fontId="9" numFmtId="4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2" fontId="6" numFmtId="1" xfId="0" applyAlignment="1" applyFont="1" applyNumberForma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0" fillId="2" fontId="6" numFmtId="164" xfId="0" applyAlignment="1" applyFont="1" applyNumberForma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6" numFmtId="0" xfId="0" applyAlignment="1" applyFont="1">
      <alignment horizontal="center" vertical="center"/>
    </xf>
    <xf borderId="0" fillId="2" fontId="2" numFmtId="49" xfId="0" applyAlignment="1" applyFont="1" applyNumberFormat="1">
      <alignment horizontal="center" vertical="center"/>
    </xf>
    <xf borderId="0" fillId="2" fontId="2" numFmtId="0" xfId="0" applyAlignment="1" applyFont="1">
      <alignment horizontal="left" readingOrder="0"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left" readingOrder="0" vertical="center"/>
    </xf>
    <xf borderId="0" fillId="2" fontId="5" numFmtId="49" xfId="0" applyAlignment="1" applyFont="1" applyNumberFormat="1">
      <alignment horizontal="left" readingOrder="0" vertical="center"/>
    </xf>
    <xf borderId="0" fillId="0" fontId="12" numFmtId="49" xfId="0" applyAlignment="1" applyFont="1" applyNumberFormat="1">
      <alignment horizontal="left" readingOrder="0" vertical="center"/>
    </xf>
    <xf borderId="0" fillId="2" fontId="7" numFmtId="0" xfId="0" applyAlignment="1" applyFont="1">
      <alignment readingOrder="0" vertical="center"/>
    </xf>
    <xf borderId="0" fillId="2" fontId="7" numFmtId="49" xfId="0" applyAlignment="1" applyFont="1" applyNumberFormat="1">
      <alignment readingOrder="0" vertical="center"/>
    </xf>
    <xf borderId="2" fillId="0" fontId="11" numFmtId="0" xfId="0" applyAlignment="1" applyBorder="1" applyFont="1">
      <alignment horizontal="center" vertical="center"/>
    </xf>
    <xf borderId="1" fillId="2" fontId="3" numFmtId="1" xfId="0" applyAlignment="1" applyBorder="1" applyFont="1" applyNumberFormat="1">
      <alignment horizontal="center" readingOrder="0" shrinkToFit="0" vertical="center" wrapText="1"/>
    </xf>
    <xf borderId="1" fillId="2" fontId="6" numFmtId="3" xfId="0" applyAlignment="1" applyBorder="1" applyFont="1" applyNumberFormat="1">
      <alignment horizontal="center" readingOrder="0" vertical="center"/>
    </xf>
    <xf borderId="2" fillId="0" fontId="11" numFmtId="0" xfId="0" applyAlignment="1" applyBorder="1" applyFont="1">
      <alignment horizontal="center" readingOrder="0" vertical="center"/>
    </xf>
    <xf borderId="0" fillId="0" fontId="5" numFmtId="49" xfId="0" applyAlignment="1" applyFont="1" applyNumberFormat="1">
      <alignment horizontal="center" readingOrder="0" vertical="center"/>
    </xf>
    <xf borderId="1" fillId="2" fontId="13" numFmtId="1" xfId="0" applyAlignment="1" applyBorder="1" applyFont="1" applyNumberForma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vertical="center"/>
    </xf>
    <xf borderId="0" fillId="2" fontId="13" numFmtId="165" xfId="0" applyAlignment="1" applyFont="1" applyNumberFormat="1">
      <alignment horizontal="center" readingOrder="0" shrinkToFit="0" vertical="center" wrapText="1"/>
    </xf>
    <xf borderId="1" fillId="2" fontId="6" numFmtId="0" xfId="0" applyAlignment="1" applyBorder="1" applyFont="1">
      <alignment horizontal="left" vertical="center"/>
    </xf>
    <xf borderId="0" fillId="2" fontId="7" numFmtId="0" xfId="0" applyAlignment="1" applyFont="1">
      <alignment readingOrder="0"/>
    </xf>
    <xf borderId="1" fillId="2" fontId="6" numFmtId="0" xfId="0" applyAlignment="1" applyBorder="1" applyFont="1">
      <alignment vertical="center"/>
    </xf>
    <xf borderId="3" fillId="0" fontId="11" numFmtId="0" xfId="0" applyAlignment="1" applyBorder="1" applyFont="1">
      <alignment horizontal="center" vertical="center"/>
    </xf>
    <xf borderId="1" fillId="2" fontId="6" numFmtId="9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0" fillId="0" fontId="5" numFmtId="49" xfId="0" applyAlignment="1" applyFont="1" applyNumberFormat="1">
      <alignment horizontal="left" readingOrder="0" vertical="center"/>
    </xf>
    <xf borderId="4" fillId="2" fontId="11" numFmtId="0" xfId="0" applyAlignment="1" applyBorder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2" fontId="6" numFmtId="1" xfId="0" applyAlignment="1" applyFont="1" applyNumberForma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6" numFmtId="166" xfId="0" applyAlignment="1" applyFont="1" applyNumberFormat="1">
      <alignment horizontal="left" vertical="center"/>
    </xf>
    <xf borderId="0" fillId="0" fontId="2" numFmtId="0" xfId="0" applyAlignment="1" applyFont="1">
      <alignment readingOrder="0" vertical="center"/>
    </xf>
    <xf borderId="0" fillId="2" fontId="2" numFmtId="0" xfId="0" applyAlignment="1" applyFont="1">
      <alignment horizontal="left" vertical="center"/>
    </xf>
    <xf borderId="0" fillId="2" fontId="6" numFmtId="1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2" fontId="6" numFmtId="2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2" fontId="6" numFmtId="0" xfId="0" applyAlignment="1" applyFont="1">
      <alignment horizontal="left" vertical="center"/>
    </xf>
    <xf borderId="0" fillId="2" fontId="6" numFmtId="49" xfId="0" applyAlignment="1" applyFont="1" applyNumberFormat="1">
      <alignment horizontal="left" readingOrder="0" vertical="center"/>
    </xf>
    <xf borderId="0" fillId="2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vertical="center"/>
    </xf>
    <xf borderId="0" fillId="2" fontId="6" numFmtId="3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readingOrder="0" shrinkToFit="0" vertical="center" wrapText="0"/>
    </xf>
    <xf borderId="0" fillId="0" fontId="14" numFmtId="49" xfId="0" applyAlignment="1" applyFont="1" applyNumberFormat="1">
      <alignment horizontal="center" readingOrder="0" vertical="center"/>
    </xf>
    <xf borderId="1" fillId="2" fontId="6" numFmtId="3" xfId="0" applyAlignment="1" applyBorder="1" applyFont="1" applyNumberFormat="1">
      <alignment horizontal="center" vertical="center"/>
    </xf>
    <xf borderId="0" fillId="0" fontId="5" numFmtId="0" xfId="0" applyAlignment="1" applyFont="1">
      <alignment readingOrder="0" shrinkToFit="0" vertical="center" wrapText="0"/>
    </xf>
    <xf borderId="0" fillId="2" fontId="6" numFmtId="49" xfId="0" applyAlignment="1" applyFont="1" applyNumberFormat="1">
      <alignment horizontal="left" vertical="center"/>
    </xf>
    <xf borderId="0" fillId="0" fontId="5" numFmtId="0" xfId="0" applyAlignment="1" applyFont="1">
      <alignment horizontal="left" shrinkToFit="0" vertical="center" wrapText="0"/>
    </xf>
    <xf borderId="0" fillId="2" fontId="7" numFmtId="49" xfId="0" applyAlignment="1" applyFont="1" applyNumberFormat="1">
      <alignment horizontal="left" readingOrder="0" vertical="center"/>
    </xf>
    <xf borderId="0" fillId="2" fontId="6" numFmtId="166" xfId="0" applyAlignment="1" applyFont="1" applyNumberFormat="1">
      <alignment horizontal="center" readingOrder="0" vertical="center"/>
    </xf>
    <xf borderId="0" fillId="2" fontId="6" numFmtId="166" xfId="0" applyAlignment="1" applyFont="1" applyNumberFormat="1">
      <alignment horizontal="center" vertical="center"/>
    </xf>
    <xf borderId="1" fillId="3" fontId="15" numFmtId="0" xfId="0" applyAlignment="1" applyBorder="1" applyFill="1" applyFont="1">
      <alignment horizontal="left" readingOrder="0" vertical="center"/>
    </xf>
    <xf borderId="1" fillId="2" fontId="15" numFmtId="3" xfId="0" applyAlignment="1" applyBorder="1" applyFont="1" applyNumberFormat="1">
      <alignment horizontal="center" readingOrder="0" vertical="center"/>
    </xf>
    <xf borderId="1" fillId="4" fontId="6" numFmtId="3" xfId="0" applyAlignment="1" applyBorder="1" applyFill="1" applyFont="1" applyNumberFormat="1">
      <alignment horizontal="center" readingOrder="0" vertical="center"/>
    </xf>
    <xf borderId="1" fillId="4" fontId="6" numFmtId="0" xfId="0" applyAlignment="1" applyBorder="1" applyFont="1">
      <alignment horizontal="left" vertical="center"/>
    </xf>
    <xf borderId="1" fillId="4" fontId="6" numFmtId="0" xfId="0" applyAlignment="1" applyBorder="1" applyFont="1">
      <alignment vertical="center"/>
    </xf>
    <xf borderId="1" fillId="4" fontId="6" numFmtId="9" xfId="0" applyAlignment="1" applyBorder="1" applyFont="1" applyNumberFormat="1">
      <alignment horizontal="center" vertical="center"/>
    </xf>
    <xf borderId="0" fillId="4" fontId="6" numFmtId="3" xfId="0" applyAlignment="1" applyFont="1" applyNumberFormat="1">
      <alignment horizontal="center" readingOrder="0"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0" fillId="2" fontId="6" numFmtId="49" xfId="0" applyAlignment="1" applyFont="1" applyNumberFormat="1">
      <alignment horizontal="center" vertical="center"/>
    </xf>
    <xf borderId="1" fillId="2" fontId="6" numFmtId="1" xfId="0" applyAlignment="1" applyBorder="1" applyFont="1" applyNumberFormat="1">
      <alignment horizontal="center" vertical="center"/>
    </xf>
    <xf borderId="1" fillId="2" fontId="6" numFmtId="49" xfId="0" applyAlignment="1" applyBorder="1" applyFont="1" applyNumberFormat="1">
      <alignment horizontal="left" vertical="center"/>
    </xf>
    <xf borderId="1" fillId="2" fontId="6" numFmtId="49" xfId="0" applyAlignment="1" applyBorder="1" applyFont="1" applyNumberFormat="1">
      <alignment horizontal="left" readingOrder="0" vertical="center"/>
    </xf>
    <xf borderId="0" fillId="4" fontId="6" numFmtId="165" xfId="0" applyAlignment="1" applyFont="1" applyNumberFormat="1">
      <alignment horizontal="center" readingOrder="0" vertical="center"/>
    </xf>
    <xf borderId="1" fillId="5" fontId="6" numFmtId="3" xfId="0" applyAlignment="1" applyBorder="1" applyFill="1" applyFont="1" applyNumberForma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3" xfId="0" applyAlignment="1" applyFont="1" applyNumberFormat="1">
      <alignment horizontal="center" vertical="center"/>
    </xf>
    <xf borderId="0" fillId="3" fontId="6" numFmtId="3" xfId="0" applyAlignment="1" applyFont="1" applyNumberForma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0" fillId="6" fontId="6" numFmtId="3" xfId="0" applyAlignment="1" applyFill="1" applyFont="1" applyNumberFormat="1">
      <alignment horizontal="center" readingOrder="0" vertical="center"/>
    </xf>
    <xf borderId="0" fillId="2" fontId="14" numFmtId="9" xfId="0" applyAlignment="1" applyFont="1" applyNumberFormat="1">
      <alignment horizontal="center" readingOrder="0" vertical="center"/>
    </xf>
    <xf borderId="0" fillId="2" fontId="16" numFmtId="0" xfId="0" applyAlignment="1" applyFont="1">
      <alignment horizontal="center" vertical="center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vertical="center"/>
    </xf>
    <xf borderId="1" fillId="0" fontId="17" numFmtId="49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17" numFmtId="49" xfId="0" applyAlignment="1" applyBorder="1" applyFont="1" applyNumberForma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center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5" fillId="7" fontId="21" numFmtId="0" xfId="0" applyAlignment="1" applyBorder="1" applyFill="1" applyFont="1">
      <alignment horizontal="center" vertical="center"/>
    </xf>
    <xf borderId="1" fillId="0" fontId="22" numFmtId="0" xfId="0" applyAlignment="1" applyBorder="1" applyFont="1">
      <alignment horizontal="center" readingOrder="0" vertical="center"/>
    </xf>
    <xf borderId="1" fillId="0" fontId="6" numFmtId="3" xfId="0" applyAlignment="1" applyBorder="1" applyFont="1" applyNumberFormat="1">
      <alignment horizontal="center" vertical="center"/>
    </xf>
    <xf borderId="3" fillId="0" fontId="23" numFmtId="0" xfId="0" applyBorder="1" applyFont="1"/>
    <xf borderId="1" fillId="4" fontId="24" numFmtId="0" xfId="0" applyAlignment="1" applyBorder="1" applyFont="1">
      <alignment readingOrder="0" vertical="center"/>
    </xf>
    <xf borderId="0" fillId="2" fontId="6" numFmtId="0" xfId="0" applyAlignment="1" applyFont="1">
      <alignment vertical="center"/>
    </xf>
    <xf borderId="0" fillId="2" fontId="6" numFmtId="165" xfId="0" applyAlignment="1" applyFont="1" applyNumberFormat="1">
      <alignment horizontal="center" vertical="center"/>
    </xf>
    <xf borderId="5" fillId="2" fontId="25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left" readingOrder="0" vertical="center"/>
    </xf>
    <xf borderId="0" fillId="2" fontId="6" numFmtId="9" xfId="0" applyAlignment="1" applyFont="1" applyNumberFormat="1">
      <alignment horizontal="center" readingOrder="0" shrinkToFit="0" vertical="center" wrapText="1"/>
    </xf>
    <xf borderId="0" fillId="8" fontId="26" numFmtId="4" xfId="0" applyAlignment="1" applyFill="1" applyFont="1" applyNumberFormat="1">
      <alignment horizontal="center" shrinkToFit="0" vertical="center" wrapText="0"/>
    </xf>
    <xf borderId="0" fillId="0" fontId="18" numFmtId="4" xfId="0" applyAlignment="1" applyFont="1" applyNumberFormat="1">
      <alignment horizontal="center" readingOrder="0" shrinkToFit="0" vertical="center" wrapText="1"/>
    </xf>
    <xf borderId="0" fillId="2" fontId="6" numFmtId="4" xfId="0" applyAlignment="1" applyFont="1" applyNumberFormat="1">
      <alignment horizontal="center" readingOrder="0" shrinkToFit="0" vertical="center" wrapText="1"/>
    </xf>
    <xf borderId="0" fillId="8" fontId="6" numFmtId="4" xfId="0" applyAlignment="1" applyFont="1" applyNumberFormat="1">
      <alignment horizontal="center" readingOrder="0" shrinkToFit="0" vertical="center" wrapText="1"/>
    </xf>
    <xf borderId="6" fillId="2" fontId="16" numFmtId="0" xfId="0" applyAlignment="1" applyBorder="1" applyFont="1">
      <alignment horizontal="left" readingOrder="0" vertical="center"/>
    </xf>
    <xf borderId="7" fillId="2" fontId="16" numFmtId="0" xfId="0" applyAlignment="1" applyBorder="1" applyFont="1">
      <alignment horizontal="left" readingOrder="0" vertical="center"/>
    </xf>
    <xf borderId="0" fillId="2" fontId="16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0" fillId="8" fontId="27" numFmtId="4" xfId="0" applyAlignment="1" applyFont="1" applyNumberFormat="1">
      <alignment horizontal="center" shrinkToFit="0" vertical="center" wrapText="0"/>
    </xf>
    <xf borderId="0" fillId="0" fontId="6" numFmtId="4" xfId="0" applyAlignment="1" applyFont="1" applyNumberFormat="1">
      <alignment horizontal="center" vertical="center"/>
    </xf>
    <xf borderId="0" fillId="8" fontId="6" numFmtId="4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5" fillId="2" fontId="4" numFmtId="0" xfId="0" applyAlignment="1" applyBorder="1" applyFont="1">
      <alignment horizontal="center" readingOrder="0" vertical="center"/>
    </xf>
    <xf borderId="1" fillId="2" fontId="25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readingOrder="0" vertical="center"/>
    </xf>
    <xf borderId="1" fillId="2" fontId="6" numFmtId="10" xfId="0" applyAlignment="1" applyBorder="1" applyFont="1" applyNumberFormat="1">
      <alignment horizontal="center" vertical="center"/>
    </xf>
    <xf borderId="0" fillId="2" fontId="6" numFmtId="10" xfId="0" applyAlignment="1" applyFont="1" applyNumberFormat="1">
      <alignment horizontal="center" readingOrder="0" vertical="center"/>
    </xf>
    <xf borderId="2" fillId="0" fontId="23" numFmtId="0" xfId="0" applyBorder="1" applyFont="1"/>
    <xf borderId="7" fillId="2" fontId="16" numFmtId="3" xfId="0" applyAlignment="1" applyBorder="1" applyFont="1" applyNumberFormat="1">
      <alignment horizontal="left" readingOrder="0" vertical="center"/>
    </xf>
    <xf borderId="8" fillId="0" fontId="6" numFmtId="0" xfId="0" applyAlignment="1" applyBorder="1" applyFont="1">
      <alignment horizontal="left" readingOrder="0" vertical="center"/>
    </xf>
    <xf borderId="0" fillId="2" fontId="6" numFmtId="0" xfId="0" applyAlignment="1" applyFont="1">
      <alignment horizontal="left" readingOrder="0" vertical="center"/>
    </xf>
    <xf borderId="0" fillId="8" fontId="27" numFmtId="4" xfId="0" applyAlignment="1" applyFont="1" applyNumberFormat="1">
      <alignment horizontal="left" readingOrder="0" shrinkToFit="0" vertical="center" wrapText="0"/>
    </xf>
    <xf borderId="0" fillId="2" fontId="6" numFmtId="4" xfId="0" applyAlignment="1" applyFont="1" applyNumberFormat="1">
      <alignment horizontal="left" readingOrder="0" vertical="center"/>
    </xf>
    <xf borderId="0" fillId="2" fontId="6" numFmtId="4" xfId="0" applyAlignment="1" applyFont="1" applyNumberFormat="1">
      <alignment horizontal="center" readingOrder="0" vertical="center"/>
    </xf>
    <xf borderId="0" fillId="8" fontId="6" numFmtId="4" xfId="0" applyAlignment="1" applyFont="1" applyNumberForma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2" fontId="6" numFmtId="4" xfId="0" applyAlignment="1" applyFont="1" applyNumberFormat="1">
      <alignment horizontal="center" vertical="center"/>
    </xf>
    <xf borderId="7" fillId="0" fontId="23" numFmtId="0" xfId="0" applyBorder="1" applyFont="1"/>
    <xf borderId="8" fillId="0" fontId="23" numFmtId="0" xfId="0" applyBorder="1" applyFont="1"/>
    <xf borderId="6" fillId="2" fontId="6" numFmtId="4" xfId="0" applyAlignment="1" applyBorder="1" applyFont="1" applyNumberFormat="1">
      <alignment horizontal="center" readingOrder="0" vertical="center"/>
    </xf>
    <xf borderId="1" fillId="2" fontId="25" numFmtId="0" xfId="0" applyAlignment="1" applyBorder="1" applyFont="1">
      <alignment horizontal="left" readingOrder="0" vertical="center"/>
    </xf>
    <xf borderId="1" fillId="2" fontId="25" numFmtId="0" xfId="0" applyAlignment="1" applyBorder="1" applyFont="1">
      <alignment readingOrder="0" vertical="center"/>
    </xf>
    <xf borderId="0" fillId="8" fontId="27" numFmtId="0" xfId="0" applyAlignment="1" applyFont="1">
      <alignment horizontal="center" readingOrder="0" shrinkToFit="0" vertical="center" wrapText="0"/>
    </xf>
    <xf borderId="1" fillId="2" fontId="15" numFmtId="3" xfId="0" applyAlignment="1" applyBorder="1" applyFont="1" applyNumberFormat="1">
      <alignment horizontal="center" vertical="center"/>
    </xf>
    <xf borderId="1" fillId="0" fontId="28" numFmtId="0" xfId="0" applyAlignment="1" applyBorder="1" applyFont="1">
      <alignment horizontal="center" readingOrder="0" vertical="center"/>
    </xf>
    <xf borderId="1" fillId="2" fontId="29" numFmtId="1" xfId="0" applyAlignment="1" applyBorder="1" applyFont="1" applyNumberFormat="1">
      <alignment horizontal="center" readingOrder="0" shrinkToFit="0" vertical="center" wrapText="1"/>
    </xf>
    <xf borderId="1" fillId="3" fontId="29" numFmtId="1" xfId="0" applyAlignment="1" applyBorder="1" applyFont="1" applyNumberFormat="1">
      <alignment horizontal="center" readingOrder="0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0" fillId="2" fontId="6" numFmtId="3" xfId="0" applyAlignment="1" applyFont="1" applyNumberFormat="1">
      <alignment horizontal="center" readingOrder="0" shrinkToFit="0" vertical="center" wrapText="1"/>
    </xf>
    <xf borderId="1" fillId="3" fontId="6" numFmtId="3" xfId="0" applyAlignment="1" applyBorder="1" applyFont="1" applyNumberFormat="1">
      <alignment horizontal="center" readingOrder="0" vertical="center"/>
    </xf>
    <xf borderId="0" fillId="2" fontId="6" numFmtId="10" xfId="0" applyAlignment="1" applyFont="1" applyNumberForma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1" fillId="3" fontId="6" numFmtId="3" xfId="0" applyAlignment="1" applyBorder="1" applyFont="1" applyNumberFormat="1">
      <alignment horizontal="center" vertical="center"/>
    </xf>
    <xf borderId="1" fillId="2" fontId="6" numFmtId="1" xfId="0" applyAlignment="1" applyBorder="1" applyFont="1" applyNumberFormat="1">
      <alignment horizontal="center" readingOrder="0" vertical="center"/>
    </xf>
    <xf borderId="1" fillId="2" fontId="6" numFmtId="0" xfId="0" applyAlignment="1" applyBorder="1" applyFont="1">
      <alignment vertical="center"/>
    </xf>
    <xf borderId="0" fillId="3" fontId="6" numFmtId="0" xfId="0" applyAlignment="1" applyFont="1">
      <alignment horizontal="center" vertical="center"/>
    </xf>
    <xf borderId="0" fillId="2" fontId="6" numFmtId="3" xfId="0" applyAlignment="1" applyFont="1" applyNumberFormat="1">
      <alignment horizontal="center" vertical="center"/>
    </xf>
    <xf borderId="5" fillId="2" fontId="25" numFmtId="0" xfId="0" applyAlignment="1" applyBorder="1" applyFont="1">
      <alignment horizontal="left" readingOrder="0" vertical="center"/>
    </xf>
    <xf borderId="5" fillId="2" fontId="25" numFmtId="0" xfId="0" applyAlignment="1" applyBorder="1" applyFont="1">
      <alignment horizontal="left" vertical="center"/>
    </xf>
    <xf borderId="1" fillId="0" fontId="2" numFmtId="1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center" readingOrder="0" vertical="center"/>
    </xf>
    <xf borderId="7" fillId="0" fontId="2" numFmtId="0" xfId="0" applyBorder="1" applyFont="1"/>
    <xf borderId="7" fillId="2" fontId="6" numFmtId="0" xfId="0" applyAlignment="1" applyBorder="1" applyFont="1">
      <alignment horizontal="left" readingOrder="0" vertical="center"/>
    </xf>
    <xf borderId="7" fillId="2" fontId="6" numFmtId="0" xfId="0" applyAlignment="1" applyBorder="1" applyFont="1">
      <alignment horizontal="left" vertical="center"/>
    </xf>
    <xf borderId="0" fillId="0" fontId="2" numFmtId="0" xfId="0" applyAlignment="1" applyFont="1">
      <alignment horizontal="center"/>
    </xf>
    <xf borderId="0" fillId="0" fontId="14" numFmtId="0" xfId="0" applyAlignment="1" applyFont="1">
      <alignment horizontal="center" vertical="center"/>
    </xf>
    <xf borderId="2" fillId="0" fontId="6" numFmtId="0" xfId="0" applyAlignment="1" applyBorder="1" applyFont="1">
      <alignment horizontal="center" readingOrder="0" vertical="center"/>
    </xf>
    <xf borderId="3" fillId="2" fontId="6" numFmtId="49" xfId="0" applyAlignment="1" applyBorder="1" applyFont="1" applyNumberFormat="1">
      <alignment horizontal="left" readingOrder="0" vertical="center"/>
    </xf>
    <xf borderId="3" fillId="2" fontId="6" numFmtId="0" xfId="0" applyAlignment="1" applyBorder="1" applyFont="1">
      <alignment horizontal="left" readingOrder="0" vertical="center"/>
    </xf>
    <xf borderId="3" fillId="2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horizontal="left" readingOrder="0" vertical="center"/>
    </xf>
    <xf borderId="4" fillId="0" fontId="6" numFmtId="0" xfId="0" applyBorder="1" applyFont="1"/>
    <xf borderId="4" fillId="2" fontId="16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left"/>
    </xf>
    <xf borderId="0" fillId="0" fontId="6" numFmtId="0" xfId="0" applyFont="1"/>
    <xf borderId="10" fillId="0" fontId="2" numFmtId="0" xfId="0" applyBorder="1" applyFont="1"/>
    <xf borderId="10" fillId="2" fontId="16" numFmtId="0" xfId="0" applyAlignment="1" applyBorder="1" applyFont="1">
      <alignment horizontal="left" readingOrder="0" vertical="center"/>
    </xf>
    <xf borderId="10" fillId="0" fontId="6" numFmtId="0" xfId="0" applyAlignment="1" applyBorder="1" applyFont="1">
      <alignment horizontal="left"/>
    </xf>
    <xf borderId="4" fillId="2" fontId="16" numFmtId="0" xfId="0" applyAlignment="1" applyBorder="1" applyFont="1">
      <alignment horizontal="left" vertical="center"/>
    </xf>
    <xf borderId="0" fillId="0" fontId="6" numFmtId="0" xfId="0" applyAlignment="1" applyFont="1">
      <alignment horizontal="left"/>
    </xf>
    <xf borderId="10" fillId="0" fontId="6" numFmtId="0" xfId="0" applyBorder="1" applyFont="1"/>
    <xf borderId="11" fillId="2" fontId="6" numFmtId="0" xfId="0" applyAlignment="1" applyBorder="1" applyFont="1">
      <alignment horizontal="left" readingOrder="0" vertical="center"/>
    </xf>
    <xf borderId="12" fillId="2" fontId="6" numFmtId="0" xfId="0" applyAlignment="1" applyBorder="1" applyFont="1">
      <alignment horizontal="left" readingOrder="0" vertical="center"/>
    </xf>
    <xf borderId="2" fillId="2" fontId="6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 vertical="center"/>
    </xf>
    <xf borderId="10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readingOrder="0" vertical="center"/>
    </xf>
    <xf borderId="2" fillId="0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1" fillId="2" fontId="30" numFmtId="0" xfId="0" applyAlignment="1" applyBorder="1" applyFont="1">
      <alignment readingOrder="0" vertical="center"/>
    </xf>
    <xf borderId="0" fillId="2" fontId="25" numFmtId="0" xfId="0" applyAlignment="1" applyFont="1">
      <alignment horizontal="center" vertical="center"/>
    </xf>
    <xf borderId="1" fillId="2" fontId="11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left" vertical="center"/>
    </xf>
    <xf borderId="1" fillId="2" fontId="11" numFmtId="3" xfId="0" applyAlignment="1" applyBorder="1" applyFont="1" applyNumberFormat="1">
      <alignment horizontal="center" readingOrder="0" vertical="center"/>
    </xf>
    <xf borderId="1" fillId="0" fontId="11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5" fillId="2" fontId="11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1" fillId="2" fontId="11" numFmtId="3" xfId="0" applyAlignment="1" applyBorder="1" applyFont="1" applyNumberFormat="1">
      <alignment horizontal="center" vertical="center"/>
    </xf>
    <xf borderId="0" fillId="2" fontId="11" numFmtId="49" xfId="0" applyAlignment="1" applyFont="1" applyNumberFormat="1">
      <alignment horizontal="center" readingOrder="0" vertical="center"/>
    </xf>
    <xf borderId="1" fillId="2" fontId="11" numFmtId="49" xfId="0" applyAlignment="1" applyBorder="1" applyFont="1" applyNumberFormat="1">
      <alignment horizontal="center" readingOrder="0" vertical="center"/>
    </xf>
    <xf borderId="1" fillId="2" fontId="11" numFmtId="0" xfId="0" applyAlignment="1" applyBorder="1" applyFont="1">
      <alignment horizontal="left" readingOrder="0" vertical="center"/>
    </xf>
    <xf borderId="1" fillId="0" fontId="31" numFmtId="0" xfId="0" applyAlignment="1" applyBorder="1" applyFont="1">
      <alignment horizontal="center" readingOrder="0" vertical="center"/>
    </xf>
    <xf borderId="1" fillId="5" fontId="11" numFmtId="3" xfId="0" applyAlignment="1" applyBorder="1" applyFont="1" applyNumberFormat="1">
      <alignment horizontal="center" readingOrder="0" vertical="center"/>
    </xf>
    <xf borderId="0" fillId="5" fontId="6" numFmtId="3" xfId="0" applyAlignment="1" applyFont="1" applyNumberFormat="1">
      <alignment horizontal="center" readingOrder="0" vertical="center"/>
    </xf>
    <xf borderId="2" fillId="2" fontId="11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readingOrder="0" vertical="center"/>
    </xf>
    <xf borderId="0" fillId="0" fontId="2" numFmtId="4" xfId="0" applyAlignment="1" applyFont="1" applyNumberFormat="1">
      <alignment horizontal="center" vertical="center"/>
    </xf>
    <xf borderId="1" fillId="2" fontId="8" numFmtId="4" xfId="0" applyAlignment="1" applyBorder="1" applyFont="1" applyNumberFormat="1">
      <alignment horizontal="center" readingOrder="0" shrinkToFit="0" vertical="center" wrapText="1"/>
    </xf>
    <xf borderId="0" fillId="2" fontId="8" numFmtId="4" xfId="0" applyAlignment="1" applyFont="1" applyNumberFormat="1">
      <alignment horizontal="center" readingOrder="0" shrinkToFit="0" vertical="center" wrapText="1"/>
    </xf>
    <xf borderId="11" fillId="2" fontId="6" numFmtId="4" xfId="0" applyAlignment="1" applyBorder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horizontal="center" vertical="center"/>
    </xf>
    <xf borderId="11" fillId="0" fontId="2" numFmtId="4" xfId="0" applyAlignment="1" applyBorder="1" applyFont="1" applyNumberFormat="1">
      <alignment horizontal="center" readingOrder="0" vertical="center"/>
    </xf>
    <xf borderId="5" fillId="2" fontId="6" numFmtId="3" xfId="0" applyAlignment="1" applyBorder="1" applyFont="1" applyNumberFormat="1">
      <alignment horizontal="center" readingOrder="0" vertical="center"/>
    </xf>
    <xf borderId="0" fillId="2" fontId="6" numFmtId="0" xfId="0" applyAlignment="1" applyFont="1">
      <alignment readingOrder="0" vertical="center"/>
    </xf>
    <xf borderId="0" fillId="2" fontId="6" numFmtId="0" xfId="0" applyAlignment="1" applyFont="1">
      <alignment horizontal="left" vertical="center"/>
    </xf>
    <xf borderId="4" fillId="2" fontId="6" numFmtId="3" xfId="0" applyAlignment="1" applyBorder="1" applyFont="1" applyNumberFormat="1">
      <alignment horizontal="center" readingOrder="0" vertical="center"/>
    </xf>
    <xf borderId="0" fillId="2" fontId="6" numFmtId="9" xfId="0" applyAlignment="1" applyFont="1" applyNumberFormat="1">
      <alignment horizontal="center" vertical="center"/>
    </xf>
    <xf borderId="11" fillId="0" fontId="2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vertical="center"/>
    </xf>
    <xf borderId="1" fillId="2" fontId="25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left" readingOrder="0" shrinkToFit="0" vertical="center" wrapText="1"/>
    </xf>
    <xf borderId="0" fillId="2" fontId="9" numFmtId="0" xfId="0" applyAlignment="1" applyFont="1">
      <alignment horizontal="center" readingOrder="0" vertical="center"/>
    </xf>
    <xf borderId="0" fillId="0" fontId="9" numFmtId="164" xfId="0" applyAlignment="1" applyFont="1" applyNumberFormat="1">
      <alignment horizontal="center" vertical="center"/>
    </xf>
    <xf borderId="0" fillId="2" fontId="2" numFmtId="164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left" vertical="center"/>
    </xf>
    <xf borderId="0" fillId="2" fontId="2" numFmtId="0" xfId="0" applyAlignment="1" applyFont="1">
      <alignment horizontal="center" readingOrder="0" shrinkToFit="0" vertical="center" wrapText="0"/>
    </xf>
    <xf borderId="1" fillId="2" fontId="11" numFmtId="10" xfId="0" applyAlignment="1" applyBorder="1" applyFont="1" applyNumberFormat="1">
      <alignment horizontal="center" vertical="center"/>
    </xf>
    <xf borderId="2" fillId="2" fontId="11" numFmtId="0" xfId="0" applyAlignment="1" applyBorder="1" applyFont="1">
      <alignment horizontal="center" vertical="center"/>
    </xf>
    <xf borderId="0" fillId="2" fontId="32" numFmtId="0" xfId="0" applyAlignment="1" applyFont="1">
      <alignment horizontal="center" readingOrder="0" vertical="center"/>
    </xf>
    <xf borderId="0" fillId="2" fontId="2" numFmtId="1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left" vertical="center"/>
    </xf>
    <xf borderId="0" fillId="2" fontId="33" numFmtId="0" xfId="0" applyAlignment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1" fillId="3" fontId="11" numFmtId="3" xfId="0" applyAlignment="1" applyBorder="1" applyFont="1" applyNumberFormat="1">
      <alignment horizontal="center" readingOrder="0" vertical="center"/>
    </xf>
    <xf borderId="0" fillId="0" fontId="5" numFmtId="49" xfId="0" applyAlignment="1" applyFont="1" applyNumberFormat="1">
      <alignment horizontal="center"/>
    </xf>
    <xf borderId="8" fillId="2" fontId="11" numFmtId="0" xfId="0" applyAlignment="1" applyBorder="1" applyFont="1">
      <alignment horizontal="center" readingOrder="0" vertical="center"/>
    </xf>
    <xf borderId="13" fillId="2" fontId="11" numFmtId="0" xfId="0" applyAlignment="1" applyBorder="1" applyFont="1">
      <alignment horizontal="center" vertical="center"/>
    </xf>
    <xf borderId="13" fillId="2" fontId="11" numFmtId="0" xfId="0" applyAlignment="1" applyBorder="1" applyFont="1">
      <alignment horizontal="center" readingOrder="0" vertical="center"/>
    </xf>
    <xf borderId="13" fillId="2" fontId="11" numFmtId="0" xfId="0" applyAlignment="1" applyBorder="1" applyFont="1">
      <alignment horizontal="center" vertical="center"/>
    </xf>
    <xf borderId="0" fillId="0" fontId="34" numFmtId="0" xfId="0" applyAlignment="1" applyFont="1">
      <alignment vertical="center"/>
    </xf>
    <xf borderId="0" fillId="2" fontId="14" numFmtId="0" xfId="0" applyAlignment="1" applyFont="1">
      <alignment horizontal="center" vertical="center"/>
    </xf>
    <xf borderId="1" fillId="0" fontId="11" numFmtId="3" xfId="0" applyAlignment="1" applyBorder="1" applyFont="1" applyNumberFormat="1">
      <alignment horizontal="center" readingOrder="0" vertical="center"/>
    </xf>
    <xf borderId="0" fillId="2" fontId="32" numFmtId="3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11" numFmtId="49" xfId="0" applyAlignment="1" applyFont="1" applyNumberFormat="1">
      <alignment horizontal="center" readingOrder="0" vertical="center"/>
    </xf>
    <xf borderId="1" fillId="2" fontId="11" numFmtId="0" xfId="0" applyAlignment="1" applyBorder="1" applyFont="1">
      <alignment horizontal="center" readingOrder="0"/>
    </xf>
    <xf borderId="1" fillId="0" fontId="11" numFmtId="49" xfId="0" applyAlignment="1" applyBorder="1" applyFont="1" applyNumberFormat="1">
      <alignment horizontal="left" readingOrder="0" vertical="center"/>
    </xf>
    <xf borderId="1" fillId="2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readingOrder="0" vertical="center"/>
    </xf>
    <xf borderId="1" fillId="0" fontId="35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/>
    </xf>
    <xf borderId="2" fillId="2" fontId="11" numFmtId="0" xfId="0" applyAlignment="1" applyBorder="1" applyFont="1">
      <alignment horizontal="center"/>
    </xf>
    <xf borderId="0" fillId="0" fontId="11" numFmtId="0" xfId="0" applyAlignment="1" applyFont="1">
      <alignment horizontal="center" readingOrder="0" vertical="center"/>
    </xf>
    <xf borderId="1" fillId="2" fontId="11" numFmtId="0" xfId="0" applyAlignment="1" applyBorder="1" applyFont="1">
      <alignment horizontal="center"/>
    </xf>
    <xf borderId="0" fillId="0" fontId="11" numFmtId="49" xfId="0" applyAlignment="1" applyFont="1" applyNumberFormat="1">
      <alignment horizontal="center" vertical="center"/>
    </xf>
    <xf borderId="2" fillId="2" fontId="11" numFmtId="49" xfId="0" applyAlignment="1" applyBorder="1" applyFont="1" applyNumberFormat="1">
      <alignment horizontal="center" vertical="center"/>
    </xf>
    <xf borderId="1" fillId="2" fontId="11" numFmtId="49" xfId="0" applyAlignment="1" applyBorder="1" applyFont="1" applyNumberFormat="1">
      <alignment horizontal="center" vertical="center"/>
    </xf>
    <xf borderId="2" fillId="2" fontId="11" numFmtId="49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vertical="center"/>
    </xf>
    <xf borderId="2" fillId="0" fontId="11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0" fillId="2" fontId="25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2" fontId="11" numFmtId="49" xfId="0" applyAlignment="1" applyFont="1" applyNumberFormat="1">
      <alignment horizontal="center" vertical="center"/>
    </xf>
    <xf borderId="1" fillId="5" fontId="11" numFmtId="3" xfId="0" applyAlignment="1" applyBorder="1" applyFont="1" applyNumberFormat="1">
      <alignment horizontal="center" vertical="center"/>
    </xf>
    <xf borderId="11" fillId="0" fontId="2" numFmtId="10" xfId="0" applyAlignment="1" applyBorder="1" applyFont="1" applyNumberFormat="1">
      <alignment horizontal="center" vertical="center"/>
    </xf>
    <xf borderId="0" fillId="2" fontId="33" numFmtId="0" xfId="0" applyAlignment="1" applyFont="1">
      <alignment vertical="center"/>
    </xf>
    <xf borderId="0" fillId="2" fontId="11" numFmtId="0" xfId="0" applyAlignment="1" applyFont="1">
      <alignment vertical="center"/>
    </xf>
    <xf borderId="0" fillId="2" fontId="11" numFmtId="0" xfId="0" applyAlignment="1" applyFont="1">
      <alignment horizontal="left" vertical="center"/>
    </xf>
    <xf borderId="0" fillId="2" fontId="2" numFmtId="0" xfId="0" applyFont="1"/>
    <xf borderId="0" fillId="0" fontId="2" numFmtId="0" xfId="0" applyAlignment="1" applyFont="1">
      <alignment horizontal="center" vertical="center"/>
    </xf>
    <xf borderId="1" fillId="7" fontId="21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0" fillId="0" fontId="11" numFmtId="49" xfId="0" applyAlignment="1" applyFont="1" applyNumberFormat="1">
      <alignment readingOrder="0" vertical="center"/>
    </xf>
    <xf borderId="0" fillId="0" fontId="14" numFmtId="164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32" numFmtId="164" xfId="0" applyAlignment="1" applyFont="1" applyNumberFormat="1">
      <alignment horizontal="center" vertical="center"/>
    </xf>
    <xf borderId="0" fillId="0" fontId="11" numFmtId="1" xfId="0" applyAlignment="1" applyFont="1" applyNumberFormat="1">
      <alignment horizontal="center" vertical="center"/>
    </xf>
    <xf borderId="1" fillId="0" fontId="11" numFmtId="49" xfId="0" applyAlignment="1" applyBorder="1" applyFont="1" applyNumberFormat="1">
      <alignment horizontal="center" readingOrder="0" vertical="center"/>
    </xf>
    <xf borderId="1" fillId="2" fontId="11" numFmtId="1" xfId="0" applyAlignment="1" applyBorder="1" applyFont="1" applyNumberFormat="1">
      <alignment horizontal="center" readingOrder="0" vertical="center"/>
    </xf>
    <xf borderId="0" fillId="2" fontId="32" numFmtId="0" xfId="0" applyAlignment="1" applyFont="1">
      <alignment horizontal="center" vertical="center"/>
    </xf>
    <xf borderId="0" fillId="0" fontId="11" numFmtId="2" xfId="0" applyAlignment="1" applyFont="1" applyNumberFormat="1">
      <alignment horizontal="center" vertical="center"/>
    </xf>
    <xf borderId="0" fillId="2" fontId="33" numFmtId="0" xfId="0" applyAlignment="1" applyFont="1">
      <alignment horizontal="center"/>
    </xf>
    <xf borderId="0" fillId="0" fontId="14" numFmtId="164" xfId="0" applyAlignment="1" applyFont="1" applyNumberFormat="1">
      <alignment horizontal="center"/>
    </xf>
    <xf borderId="0" fillId="2" fontId="34" numFmtId="0" xfId="0" applyAlignment="1" applyFont="1">
      <alignment horizontal="center" vertical="center"/>
    </xf>
    <xf borderId="0" fillId="2" fontId="32" numFmtId="164" xfId="0" applyAlignment="1" applyFont="1" applyNumberFormat="1">
      <alignment horizontal="center" vertical="center"/>
    </xf>
    <xf borderId="0" fillId="2" fontId="36" numFmtId="0" xfId="0" applyAlignment="1" applyFont="1">
      <alignment horizontal="center" vertical="center"/>
    </xf>
    <xf borderId="3" fillId="2" fontId="11" numFmtId="0" xfId="0" applyAlignment="1" applyBorder="1" applyFont="1">
      <alignment horizontal="center" readingOrder="0" vertical="center"/>
    </xf>
    <xf borderId="0" fillId="2" fontId="14" numFmtId="164" xfId="0" applyAlignment="1" applyFont="1" applyNumberFormat="1">
      <alignment horizontal="center" vertical="center"/>
    </xf>
    <xf borderId="8" fillId="2" fontId="8" numFmtId="1" xfId="0" applyAlignment="1" applyBorder="1" applyFont="1" applyNumberFormat="1">
      <alignment horizontal="center" readingOrder="0" shrinkToFit="0" vertical="center" wrapText="1"/>
    </xf>
    <xf borderId="0" fillId="0" fontId="14" numFmtId="164" xfId="0" applyAlignment="1" applyFont="1" applyNumberFormat="1">
      <alignment horizontal="center" readingOrder="0" shrinkToFit="0" vertical="center" wrapText="0"/>
    </xf>
    <xf borderId="0" fillId="0" fontId="34" numFmtId="0" xfId="0" applyAlignment="1" applyFont="1">
      <alignment horizontal="center" vertical="center"/>
    </xf>
    <xf borderId="8" fillId="2" fontId="11" numFmtId="0" xfId="0" applyAlignment="1" applyBorder="1" applyFont="1">
      <alignment horizontal="center" vertical="center"/>
    </xf>
    <xf borderId="0" fillId="0" fontId="36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" fillId="3" fontId="11" numFmtId="3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1"/>
    </xf>
    <xf borderId="14" fillId="2" fontId="25" numFmtId="49" xfId="0" applyAlignment="1" applyBorder="1" applyFont="1" applyNumberFormat="1">
      <alignment horizontal="center" readingOrder="0" vertical="center"/>
    </xf>
    <xf borderId="8" fillId="2" fontId="25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vertical="center"/>
    </xf>
    <xf borderId="5" fillId="0" fontId="33" numFmtId="0" xfId="0" applyAlignment="1" applyBorder="1" applyFont="1">
      <alignment horizontal="center" readingOrder="0" vertical="center"/>
    </xf>
    <xf borderId="0" fillId="0" fontId="2" numFmtId="49" xfId="0" applyAlignment="1" applyFont="1" applyNumberFormat="1">
      <alignment vertical="center"/>
    </xf>
    <xf borderId="1" fillId="2" fontId="11" numFmtId="0" xfId="0" applyAlignment="1" applyBorder="1" applyFont="1">
      <alignment horizontal="center" readingOrder="0" vertical="bottom"/>
    </xf>
    <xf borderId="2" fillId="2" fontId="11" numFmtId="0" xfId="0" applyAlignment="1" applyBorder="1" applyFont="1">
      <alignment horizontal="center" readingOrder="0" vertical="bottom"/>
    </xf>
    <xf borderId="0" fillId="2" fontId="11" numFmtId="0" xfId="0" applyAlignment="1" applyFont="1">
      <alignment horizontal="center" vertical="center"/>
    </xf>
    <xf borderId="2" fillId="2" fontId="37" numFmtId="0" xfId="0" applyAlignment="1" applyBorder="1" applyFont="1">
      <alignment horizontal="center" readingOrder="0" vertical="center"/>
    </xf>
    <xf borderId="0" fillId="2" fontId="5" numFmtId="49" xfId="0" applyAlignment="1" applyFont="1" applyNumberFormat="1">
      <alignment horizontal="center"/>
    </xf>
    <xf borderId="1" fillId="2" fontId="3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ynjsozdftZ4Yd8GDs4xtHjt1TsCfRpRp0NPM0CZm7g/edit" TargetMode="External"/><Relationship Id="rId2" Type="http://schemas.openxmlformats.org/officeDocument/2006/relationships/hyperlink" Target="https://docs.google.com/spreadsheets/d/1MV6sU7gzgZPpIMlUS0UG11FSX0BsQ4n6XulPCn1NXVA/edi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60.75"/>
    <col customWidth="1" min="3" max="3" width="84.75"/>
    <col customWidth="1" hidden="1" min="4" max="4" width="38.13"/>
    <col customWidth="1" hidden="1" min="5" max="5" width="4.0"/>
    <col customWidth="1" min="6" max="6" width="36.0"/>
    <col customWidth="1" min="7" max="7" width="65.88"/>
  </cols>
  <sheetData>
    <row r="1">
      <c r="A1" s="2" t="s">
        <v>2</v>
      </c>
      <c r="B1" s="4" t="s">
        <v>4</v>
      </c>
      <c r="C1" s="4" t="s">
        <v>6</v>
      </c>
      <c r="D1" s="7" t="s">
        <v>8</v>
      </c>
      <c r="E1" s="7" t="s">
        <v>10</v>
      </c>
      <c r="F1" s="2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3" t="s">
        <v>12</v>
      </c>
      <c r="B2" s="14" t="s">
        <v>15</v>
      </c>
      <c r="C2" s="16" t="s">
        <v>15</v>
      </c>
      <c r="D2" s="17" t="s">
        <v>15</v>
      </c>
      <c r="E2" s="27">
        <f t="shared" ref="E2:E7" si="1">LEN(D2)</f>
        <v>11</v>
      </c>
      <c r="F2" s="29"/>
      <c r="G2" s="3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3" t="s">
        <v>27</v>
      </c>
      <c r="B3" s="33" t="s">
        <v>28</v>
      </c>
      <c r="C3" s="35" t="s">
        <v>30</v>
      </c>
      <c r="D3" s="36" t="s">
        <v>31</v>
      </c>
      <c r="E3" s="27">
        <f t="shared" si="1"/>
        <v>22</v>
      </c>
      <c r="F3" s="29"/>
      <c r="G3" s="30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1" t="s">
        <v>38</v>
      </c>
      <c r="B4" s="33"/>
      <c r="C4" s="35" t="s">
        <v>39</v>
      </c>
      <c r="D4" s="35" t="s">
        <v>39</v>
      </c>
      <c r="E4" s="27">
        <f t="shared" si="1"/>
        <v>29</v>
      </c>
      <c r="F4" s="29"/>
      <c r="G4" s="3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1" t="s">
        <v>43</v>
      </c>
      <c r="B5" s="33" t="s">
        <v>45</v>
      </c>
      <c r="C5" s="35" t="s">
        <v>46</v>
      </c>
      <c r="D5" s="36" t="s">
        <v>46</v>
      </c>
      <c r="E5" s="27">
        <f t="shared" si="1"/>
        <v>25</v>
      </c>
      <c r="F5" s="44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 t="s">
        <v>54</v>
      </c>
      <c r="B6" s="33" t="s">
        <v>57</v>
      </c>
      <c r="C6" s="47" t="s">
        <v>59</v>
      </c>
      <c r="D6" s="36" t="s">
        <v>63</v>
      </c>
      <c r="E6" s="27">
        <f t="shared" si="1"/>
        <v>27</v>
      </c>
      <c r="F6" s="29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 t="s">
        <v>65</v>
      </c>
      <c r="B7" s="52" t="s">
        <v>66</v>
      </c>
      <c r="C7" s="35" t="s">
        <v>67</v>
      </c>
      <c r="D7" s="36" t="s">
        <v>66</v>
      </c>
      <c r="E7" s="27">
        <f t="shared" si="1"/>
        <v>20</v>
      </c>
      <c r="F7" s="5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1" t="s">
        <v>70</v>
      </c>
      <c r="B8" s="52" t="s">
        <v>71</v>
      </c>
      <c r="C8" s="35" t="s">
        <v>71</v>
      </c>
      <c r="D8" s="36"/>
      <c r="E8" s="27"/>
      <c r="F8" s="5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61" t="s">
        <v>73</v>
      </c>
      <c r="B9" s="52" t="s">
        <v>74</v>
      </c>
      <c r="C9" s="35" t="s">
        <v>74</v>
      </c>
      <c r="D9" s="36"/>
      <c r="E9" s="27"/>
      <c r="F9" s="5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1" t="s">
        <v>77</v>
      </c>
      <c r="B10" s="52" t="s">
        <v>78</v>
      </c>
      <c r="C10" s="35" t="s">
        <v>78</v>
      </c>
      <c r="D10" s="36"/>
      <c r="E10" s="27"/>
      <c r="F10" s="5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3" t="s">
        <v>79</v>
      </c>
      <c r="B11" s="52" t="s">
        <v>80</v>
      </c>
      <c r="C11" s="35" t="s">
        <v>81</v>
      </c>
      <c r="D11" s="36" t="s">
        <v>80</v>
      </c>
      <c r="E11" s="27">
        <f t="shared" ref="E11:E58" si="2">LEN(D11)</f>
        <v>30</v>
      </c>
      <c r="F11" s="5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3" t="s">
        <v>84</v>
      </c>
      <c r="B12" s="68" t="s">
        <v>85</v>
      </c>
      <c r="C12" s="47" t="s">
        <v>86</v>
      </c>
      <c r="D12" s="35" t="s">
        <v>85</v>
      </c>
      <c r="E12" s="27">
        <f t="shared" si="2"/>
        <v>30</v>
      </c>
      <c r="F12" s="5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3" t="s">
        <v>87</v>
      </c>
      <c r="B13" s="68" t="s">
        <v>88</v>
      </c>
      <c r="C13" s="35" t="s">
        <v>89</v>
      </c>
      <c r="D13" s="35" t="s">
        <v>88</v>
      </c>
      <c r="E13" s="27">
        <f t="shared" si="2"/>
        <v>22</v>
      </c>
      <c r="F13" s="5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3" t="s">
        <v>91</v>
      </c>
      <c r="B14" s="68" t="s">
        <v>93</v>
      </c>
      <c r="C14" s="35" t="s">
        <v>94</v>
      </c>
      <c r="D14" s="35" t="s">
        <v>93</v>
      </c>
      <c r="E14" s="27">
        <f t="shared" si="2"/>
        <v>28</v>
      </c>
      <c r="F14" s="5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3" t="s">
        <v>95</v>
      </c>
      <c r="B15" s="68" t="s">
        <v>96</v>
      </c>
      <c r="C15" s="35" t="s">
        <v>97</v>
      </c>
      <c r="D15" s="35" t="s">
        <v>98</v>
      </c>
      <c r="E15" s="27">
        <f t="shared" si="2"/>
        <v>40</v>
      </c>
      <c r="F15" s="5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1" t="s">
        <v>100</v>
      </c>
      <c r="B16" s="68" t="s">
        <v>96</v>
      </c>
      <c r="C16" s="35" t="s">
        <v>101</v>
      </c>
      <c r="D16" s="35" t="s">
        <v>103</v>
      </c>
      <c r="E16" s="27">
        <f t="shared" si="2"/>
        <v>40</v>
      </c>
      <c r="F16" s="2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3" t="s">
        <v>104</v>
      </c>
      <c r="B17" s="72" t="s">
        <v>105</v>
      </c>
      <c r="C17" s="16" t="s">
        <v>106</v>
      </c>
      <c r="D17" s="35" t="s">
        <v>108</v>
      </c>
      <c r="E17" s="27">
        <f t="shared" si="2"/>
        <v>25</v>
      </c>
      <c r="F17" s="54"/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3" t="s">
        <v>110</v>
      </c>
      <c r="B18" s="73" t="s">
        <v>111</v>
      </c>
      <c r="C18" s="35" t="s">
        <v>112</v>
      </c>
      <c r="D18" s="35" t="s">
        <v>113</v>
      </c>
      <c r="E18" s="27">
        <f t="shared" si="2"/>
        <v>35</v>
      </c>
      <c r="F18" s="5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1" t="s">
        <v>114</v>
      </c>
      <c r="B19" s="73"/>
      <c r="C19" s="35" t="s">
        <v>112</v>
      </c>
      <c r="D19" s="35" t="s">
        <v>113</v>
      </c>
      <c r="E19" s="27">
        <f t="shared" si="2"/>
        <v>35</v>
      </c>
      <c r="F19" s="74" t="s">
        <v>116</v>
      </c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3" t="s">
        <v>117</v>
      </c>
      <c r="B20" s="73" t="s">
        <v>118</v>
      </c>
      <c r="C20" s="35" t="s">
        <v>119</v>
      </c>
      <c r="D20" s="35" t="s">
        <v>118</v>
      </c>
      <c r="E20" s="27">
        <f t="shared" si="2"/>
        <v>36</v>
      </c>
      <c r="F20" s="5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3" t="s">
        <v>120</v>
      </c>
      <c r="B21" s="73" t="s">
        <v>121</v>
      </c>
      <c r="C21" s="35" t="s">
        <v>122</v>
      </c>
      <c r="D21" s="35" t="s">
        <v>121</v>
      </c>
      <c r="E21" s="27">
        <f t="shared" si="2"/>
        <v>36</v>
      </c>
      <c r="F21" s="29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1" t="s">
        <v>123</v>
      </c>
      <c r="B22" s="76" t="s">
        <v>124</v>
      </c>
      <c r="C22" s="47" t="s">
        <v>125</v>
      </c>
      <c r="D22" s="35" t="s">
        <v>127</v>
      </c>
      <c r="E22" s="27">
        <f t="shared" si="2"/>
        <v>19</v>
      </c>
      <c r="F22" s="4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1" t="s">
        <v>130</v>
      </c>
      <c r="B23" s="76" t="s">
        <v>131</v>
      </c>
      <c r="C23" s="47" t="s">
        <v>132</v>
      </c>
      <c r="D23" s="35" t="s">
        <v>133</v>
      </c>
      <c r="E23" s="27">
        <f t="shared" si="2"/>
        <v>19</v>
      </c>
      <c r="F23" s="4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3" t="s">
        <v>134</v>
      </c>
      <c r="B24" s="72" t="s">
        <v>135</v>
      </c>
      <c r="C24" s="35" t="s">
        <v>136</v>
      </c>
      <c r="D24" s="16" t="s">
        <v>135</v>
      </c>
      <c r="E24" s="27">
        <f t="shared" si="2"/>
        <v>34</v>
      </c>
      <c r="F24" s="29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3" t="s">
        <v>139</v>
      </c>
      <c r="B25" s="78" t="s">
        <v>140</v>
      </c>
      <c r="C25" s="35" t="s">
        <v>141</v>
      </c>
      <c r="D25" s="35" t="s">
        <v>142</v>
      </c>
      <c r="E25" s="27">
        <f t="shared" si="2"/>
        <v>24</v>
      </c>
      <c r="F25" s="29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3" t="s">
        <v>144</v>
      </c>
      <c r="B26" s="78" t="s">
        <v>146</v>
      </c>
      <c r="C26" s="35" t="s">
        <v>147</v>
      </c>
      <c r="D26" s="35" t="s">
        <v>148</v>
      </c>
      <c r="E26" s="27">
        <f t="shared" si="2"/>
        <v>36</v>
      </c>
      <c r="F26" s="29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3" t="s">
        <v>150</v>
      </c>
      <c r="B27" s="78" t="s">
        <v>151</v>
      </c>
      <c r="C27" s="16" t="s">
        <v>152</v>
      </c>
      <c r="D27" s="35" t="s">
        <v>153</v>
      </c>
      <c r="E27" s="27">
        <f t="shared" si="2"/>
        <v>38</v>
      </c>
      <c r="F27" s="29"/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1" t="s">
        <v>154</v>
      </c>
      <c r="B28" s="68" t="s">
        <v>155</v>
      </c>
      <c r="C28" s="35" t="s">
        <v>156</v>
      </c>
      <c r="D28" s="35" t="s">
        <v>157</v>
      </c>
      <c r="E28" s="27">
        <f t="shared" si="2"/>
        <v>39</v>
      </c>
      <c r="F28" s="79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1" t="s">
        <v>159</v>
      </c>
      <c r="B29" s="68" t="s">
        <v>160</v>
      </c>
      <c r="C29" s="35" t="s">
        <v>78</v>
      </c>
      <c r="D29" s="35" t="s">
        <v>161</v>
      </c>
      <c r="E29" s="27">
        <f t="shared" si="2"/>
        <v>39</v>
      </c>
      <c r="F29" s="79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3" t="s">
        <v>162</v>
      </c>
      <c r="B30" s="68" t="s">
        <v>163</v>
      </c>
      <c r="C30" s="35" t="s">
        <v>164</v>
      </c>
      <c r="D30" s="35" t="s">
        <v>165</v>
      </c>
      <c r="E30" s="27">
        <f t="shared" si="2"/>
        <v>33</v>
      </c>
      <c r="F30" s="29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1" t="s">
        <v>167</v>
      </c>
      <c r="B31" s="68" t="s">
        <v>169</v>
      </c>
      <c r="C31" s="35" t="s">
        <v>170</v>
      </c>
      <c r="D31" s="35" t="s">
        <v>171</v>
      </c>
      <c r="E31" s="27">
        <f t="shared" si="2"/>
        <v>27</v>
      </c>
      <c r="F31" s="4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1" t="s">
        <v>173</v>
      </c>
      <c r="B32" s="68" t="s">
        <v>174</v>
      </c>
      <c r="C32" s="35" t="s">
        <v>175</v>
      </c>
      <c r="D32" s="35" t="s">
        <v>176</v>
      </c>
      <c r="E32" s="27">
        <f t="shared" si="2"/>
        <v>33</v>
      </c>
      <c r="F32" s="4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1" t="s">
        <v>177</v>
      </c>
      <c r="B33" s="72" t="s">
        <v>178</v>
      </c>
      <c r="C33" s="35" t="s">
        <v>179</v>
      </c>
      <c r="D33" s="35" t="s">
        <v>180</v>
      </c>
      <c r="E33" s="27">
        <f t="shared" si="2"/>
        <v>27</v>
      </c>
      <c r="F33" s="4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3" t="s">
        <v>181</v>
      </c>
      <c r="B34" s="68" t="s">
        <v>182</v>
      </c>
      <c r="C34" s="35" t="s">
        <v>182</v>
      </c>
      <c r="D34" s="35" t="s">
        <v>182</v>
      </c>
      <c r="E34" s="27">
        <f t="shared" si="2"/>
        <v>37</v>
      </c>
      <c r="F34" s="29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3" t="s">
        <v>184</v>
      </c>
      <c r="B35" s="73" t="s">
        <v>185</v>
      </c>
      <c r="C35" s="35" t="s">
        <v>186</v>
      </c>
      <c r="D35" s="35" t="s">
        <v>187</v>
      </c>
      <c r="E35" s="27">
        <f t="shared" si="2"/>
        <v>33</v>
      </c>
      <c r="F35" s="29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3" t="s">
        <v>190</v>
      </c>
      <c r="B36" s="73" t="s">
        <v>191</v>
      </c>
      <c r="C36" s="35" t="s">
        <v>192</v>
      </c>
      <c r="D36" s="35" t="s">
        <v>191</v>
      </c>
      <c r="E36" s="27">
        <f t="shared" si="2"/>
        <v>35</v>
      </c>
      <c r="F36" s="29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3" t="s">
        <v>194</v>
      </c>
      <c r="B37" s="73" t="s">
        <v>195</v>
      </c>
      <c r="C37" s="35" t="s">
        <v>196</v>
      </c>
      <c r="D37" s="35" t="s">
        <v>197</v>
      </c>
      <c r="E37" s="27">
        <f t="shared" si="2"/>
        <v>24</v>
      </c>
      <c r="F37" s="29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3" t="s">
        <v>198</v>
      </c>
      <c r="B38" s="73" t="s">
        <v>199</v>
      </c>
      <c r="C38" s="35" t="s">
        <v>200</v>
      </c>
      <c r="D38" s="35" t="s">
        <v>201</v>
      </c>
      <c r="E38" s="27">
        <f t="shared" si="2"/>
        <v>32</v>
      </c>
      <c r="F38" s="29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3" t="s">
        <v>203</v>
      </c>
      <c r="B39" s="73" t="s">
        <v>204</v>
      </c>
      <c r="C39" s="35" t="s">
        <v>205</v>
      </c>
      <c r="D39" s="35" t="s">
        <v>206</v>
      </c>
      <c r="E39" s="27">
        <f t="shared" si="2"/>
        <v>17</v>
      </c>
      <c r="F39" s="29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3" t="s">
        <v>209</v>
      </c>
      <c r="B40" s="73" t="s">
        <v>210</v>
      </c>
      <c r="C40" s="16" t="s">
        <v>210</v>
      </c>
      <c r="D40" s="35" t="s">
        <v>211</v>
      </c>
      <c r="E40" s="27">
        <f t="shared" si="2"/>
        <v>27</v>
      </c>
      <c r="F40" s="29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1" t="s">
        <v>212</v>
      </c>
      <c r="B41" s="73" t="s">
        <v>155</v>
      </c>
      <c r="C41" s="35" t="s">
        <v>214</v>
      </c>
      <c r="D41" s="35" t="s">
        <v>215</v>
      </c>
      <c r="E41" s="27">
        <f t="shared" si="2"/>
        <v>32</v>
      </c>
      <c r="F41" s="79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1" t="s">
        <v>216</v>
      </c>
      <c r="B42" s="73" t="s">
        <v>160</v>
      </c>
      <c r="C42" s="35" t="s">
        <v>217</v>
      </c>
      <c r="D42" s="35" t="s">
        <v>218</v>
      </c>
      <c r="E42" s="27">
        <f t="shared" si="2"/>
        <v>38</v>
      </c>
      <c r="F42" s="4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3" t="s">
        <v>219</v>
      </c>
      <c r="B43" s="73" t="s">
        <v>220</v>
      </c>
      <c r="C43" s="16" t="s">
        <v>220</v>
      </c>
      <c r="D43" s="35" t="s">
        <v>221</v>
      </c>
      <c r="E43" s="27">
        <f t="shared" si="2"/>
        <v>31</v>
      </c>
      <c r="F43" s="29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1" t="s">
        <v>223</v>
      </c>
      <c r="B44" s="73" t="s">
        <v>155</v>
      </c>
      <c r="C44" s="35" t="s">
        <v>224</v>
      </c>
      <c r="D44" s="35" t="s">
        <v>225</v>
      </c>
      <c r="E44" s="27">
        <f t="shared" si="2"/>
        <v>36</v>
      </c>
      <c r="F44" s="79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1" t="s">
        <v>226</v>
      </c>
      <c r="B45" s="73" t="s">
        <v>160</v>
      </c>
      <c r="C45" s="35" t="s">
        <v>217</v>
      </c>
      <c r="D45" s="35" t="s">
        <v>227</v>
      </c>
      <c r="E45" s="27">
        <f t="shared" si="2"/>
        <v>33</v>
      </c>
      <c r="F45" s="4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1" t="s">
        <v>228</v>
      </c>
      <c r="B46" s="73" t="s">
        <v>229</v>
      </c>
      <c r="C46" s="35" t="s">
        <v>229</v>
      </c>
      <c r="D46" s="35" t="s">
        <v>231</v>
      </c>
      <c r="E46" s="27">
        <f t="shared" si="2"/>
        <v>40</v>
      </c>
      <c r="F46" s="4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1" t="s">
        <v>234</v>
      </c>
      <c r="B47" s="73" t="s">
        <v>155</v>
      </c>
      <c r="C47" s="35" t="s">
        <v>235</v>
      </c>
      <c r="D47" s="35" t="s">
        <v>236</v>
      </c>
      <c r="E47" s="27">
        <f t="shared" si="2"/>
        <v>36</v>
      </c>
      <c r="F47" s="79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1" t="s">
        <v>237</v>
      </c>
      <c r="B48" s="73" t="s">
        <v>160</v>
      </c>
      <c r="C48" s="35" t="s">
        <v>217</v>
      </c>
      <c r="D48" s="35" t="s">
        <v>238</v>
      </c>
      <c r="E48" s="27">
        <f t="shared" si="2"/>
        <v>40</v>
      </c>
      <c r="F48" s="4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3" t="s">
        <v>239</v>
      </c>
      <c r="B49" s="73" t="s">
        <v>240</v>
      </c>
      <c r="C49" s="16" t="s">
        <v>241</v>
      </c>
      <c r="D49" s="35" t="s">
        <v>242</v>
      </c>
      <c r="E49" s="27">
        <f t="shared" si="2"/>
        <v>35</v>
      </c>
      <c r="F49" s="29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1" t="s">
        <v>243</v>
      </c>
      <c r="B50" s="73" t="s">
        <v>155</v>
      </c>
      <c r="C50" s="35" t="s">
        <v>244</v>
      </c>
      <c r="D50" s="35" t="s">
        <v>246</v>
      </c>
      <c r="E50" s="27">
        <f t="shared" si="2"/>
        <v>40</v>
      </c>
      <c r="F50" s="79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1" t="s">
        <v>247</v>
      </c>
      <c r="B51" s="73" t="s">
        <v>160</v>
      </c>
      <c r="C51" s="35" t="s">
        <v>217</v>
      </c>
      <c r="D51" s="35" t="s">
        <v>248</v>
      </c>
      <c r="E51" s="27">
        <f t="shared" si="2"/>
        <v>37</v>
      </c>
      <c r="F51" s="4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1" t="s">
        <v>249</v>
      </c>
      <c r="B52" s="73" t="s">
        <v>240</v>
      </c>
      <c r="C52" s="35" t="s">
        <v>250</v>
      </c>
      <c r="D52" s="35" t="s">
        <v>251</v>
      </c>
      <c r="E52" s="27">
        <f t="shared" si="2"/>
        <v>40</v>
      </c>
      <c r="F52" s="4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1" t="s">
        <v>253</v>
      </c>
      <c r="B53" s="73" t="s">
        <v>155</v>
      </c>
      <c r="C53" s="35" t="s">
        <v>256</v>
      </c>
      <c r="D53" s="35" t="s">
        <v>257</v>
      </c>
      <c r="E53" s="27">
        <f t="shared" si="2"/>
        <v>36</v>
      </c>
      <c r="F53" s="79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1" t="s">
        <v>258</v>
      </c>
      <c r="B54" s="73" t="s">
        <v>160</v>
      </c>
      <c r="C54" s="35" t="s">
        <v>217</v>
      </c>
      <c r="D54" s="35" t="s">
        <v>259</v>
      </c>
      <c r="E54" s="27">
        <f t="shared" si="2"/>
        <v>40</v>
      </c>
      <c r="F54" s="4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1" t="s">
        <v>260</v>
      </c>
      <c r="B55" s="73" t="s">
        <v>261</v>
      </c>
      <c r="C55" s="35" t="s">
        <v>263</v>
      </c>
      <c r="D55" s="35" t="s">
        <v>261</v>
      </c>
      <c r="E55" s="27">
        <f t="shared" si="2"/>
        <v>37</v>
      </c>
      <c r="F55" s="4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3" t="s">
        <v>264</v>
      </c>
      <c r="B56" s="68" t="s">
        <v>265</v>
      </c>
      <c r="C56" s="35" t="s">
        <v>265</v>
      </c>
      <c r="D56" s="35" t="s">
        <v>266</v>
      </c>
      <c r="E56" s="27">
        <f t="shared" si="2"/>
        <v>17</v>
      </c>
      <c r="F56" s="29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3" t="s">
        <v>267</v>
      </c>
      <c r="B57" s="68" t="s">
        <v>268</v>
      </c>
      <c r="C57" s="35" t="s">
        <v>268</v>
      </c>
      <c r="D57" s="35" t="s">
        <v>269</v>
      </c>
      <c r="E57" s="27">
        <f t="shared" si="2"/>
        <v>25</v>
      </c>
      <c r="F57" s="29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3" t="s">
        <v>271</v>
      </c>
      <c r="B58" s="73" t="s">
        <v>272</v>
      </c>
      <c r="C58" s="35" t="s">
        <v>272</v>
      </c>
      <c r="D58" s="35" t="s">
        <v>273</v>
      </c>
      <c r="E58" s="27">
        <f t="shared" si="2"/>
        <v>25</v>
      </c>
      <c r="F58" s="29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4"/>
      <c r="B59" s="8"/>
      <c r="C59" s="89"/>
      <c r="D59" s="89"/>
      <c r="E59" s="89"/>
      <c r="F59" s="90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4"/>
      <c r="B60" s="8"/>
      <c r="C60" s="89"/>
      <c r="D60" s="89"/>
      <c r="E60" s="89"/>
      <c r="F60" s="90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4"/>
      <c r="B61" s="8"/>
      <c r="C61" s="89"/>
      <c r="D61" s="89"/>
      <c r="E61" s="89"/>
      <c r="F61" s="90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4"/>
      <c r="B62" s="8"/>
      <c r="C62" s="89"/>
      <c r="D62" s="89"/>
      <c r="E62" s="89"/>
      <c r="F62" s="90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4"/>
      <c r="B63" s="8"/>
      <c r="C63" s="89"/>
      <c r="D63" s="89"/>
      <c r="E63" s="89"/>
      <c r="F63" s="90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4"/>
      <c r="B64" s="8"/>
      <c r="C64" s="89"/>
      <c r="D64" s="89"/>
      <c r="E64" s="89"/>
      <c r="F64" s="10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4"/>
      <c r="B65" s="8"/>
      <c r="C65" s="89"/>
      <c r="D65" s="89"/>
      <c r="E65" s="89"/>
      <c r="F65" s="10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4"/>
      <c r="B66" s="8"/>
      <c r="C66" s="89"/>
      <c r="D66" s="89"/>
      <c r="E66" s="89"/>
      <c r="F66" s="10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4"/>
      <c r="B67" s="8"/>
      <c r="C67" s="89"/>
      <c r="D67" s="89"/>
      <c r="E67" s="89"/>
      <c r="F67" s="10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4"/>
      <c r="B68" s="8"/>
      <c r="C68" s="89"/>
      <c r="D68" s="89"/>
      <c r="E68" s="89"/>
      <c r="F68" s="10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4"/>
      <c r="B69" s="8"/>
      <c r="C69" s="89"/>
      <c r="D69" s="89"/>
      <c r="E69" s="89"/>
      <c r="F69" s="10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4"/>
      <c r="B70" s="8"/>
      <c r="C70" s="89"/>
      <c r="D70" s="89"/>
      <c r="E70" s="89"/>
      <c r="F70" s="10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4"/>
      <c r="B71" s="8"/>
      <c r="C71" s="89"/>
      <c r="D71" s="89"/>
      <c r="E71" s="89"/>
      <c r="F71" s="10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4"/>
      <c r="B72" s="8"/>
      <c r="C72" s="89"/>
      <c r="D72" s="89"/>
      <c r="E72" s="89"/>
      <c r="F72" s="10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4"/>
      <c r="B73" s="8"/>
      <c r="C73" s="89"/>
      <c r="D73" s="89"/>
      <c r="E73" s="89"/>
      <c r="F73" s="10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4"/>
      <c r="B74" s="8"/>
      <c r="C74" s="89"/>
      <c r="D74" s="89"/>
      <c r="E74" s="89"/>
      <c r="F74" s="10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4"/>
      <c r="B75" s="8"/>
      <c r="C75" s="89"/>
      <c r="D75" s="89"/>
      <c r="E75" s="89"/>
      <c r="F75" s="10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4"/>
      <c r="B76" s="8"/>
      <c r="C76" s="89"/>
      <c r="D76" s="89"/>
      <c r="E76" s="89"/>
      <c r="F76" s="10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4"/>
      <c r="B77" s="8"/>
      <c r="C77" s="89"/>
      <c r="D77" s="89"/>
      <c r="E77" s="89"/>
      <c r="F77" s="10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4"/>
      <c r="B78" s="8"/>
      <c r="C78" s="89"/>
      <c r="D78" s="89"/>
      <c r="E78" s="89"/>
      <c r="F78" s="10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4"/>
      <c r="B79" s="8"/>
      <c r="C79" s="89"/>
      <c r="D79" s="89"/>
      <c r="E79" s="89"/>
      <c r="F79" s="10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4"/>
      <c r="B80" s="8"/>
      <c r="C80" s="89"/>
      <c r="D80" s="89"/>
      <c r="E80" s="89"/>
      <c r="F80" s="10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4"/>
      <c r="B81" s="8"/>
      <c r="C81" s="89"/>
      <c r="D81" s="89"/>
      <c r="E81" s="89"/>
      <c r="F81" s="10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4"/>
      <c r="B82" s="8"/>
      <c r="C82" s="89"/>
      <c r="D82" s="89"/>
      <c r="E82" s="89"/>
      <c r="F82" s="10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54"/>
      <c r="B83" s="8"/>
      <c r="C83" s="89"/>
      <c r="D83" s="89"/>
      <c r="E83" s="89"/>
      <c r="F83" s="10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54"/>
      <c r="B84" s="8"/>
      <c r="C84" s="89"/>
      <c r="D84" s="89"/>
      <c r="E84" s="89"/>
      <c r="F84" s="10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54"/>
      <c r="B85" s="8"/>
      <c r="C85" s="89"/>
      <c r="D85" s="89"/>
      <c r="E85" s="89"/>
      <c r="F85" s="10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54"/>
      <c r="B86" s="8"/>
      <c r="C86" s="89"/>
      <c r="D86" s="89"/>
      <c r="E86" s="89"/>
      <c r="F86" s="10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54"/>
      <c r="B87" s="8"/>
      <c r="C87" s="89"/>
      <c r="D87" s="89"/>
      <c r="E87" s="89"/>
      <c r="F87" s="10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54"/>
      <c r="B88" s="8"/>
      <c r="C88" s="89"/>
      <c r="D88" s="89"/>
      <c r="E88" s="89"/>
      <c r="F88" s="10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54"/>
      <c r="B89" s="8"/>
      <c r="C89" s="89"/>
      <c r="D89" s="89"/>
      <c r="E89" s="89"/>
      <c r="F89" s="10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54"/>
      <c r="B90" s="8"/>
      <c r="C90" s="89"/>
      <c r="D90" s="89"/>
      <c r="E90" s="89"/>
      <c r="F90" s="10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54"/>
      <c r="B91" s="8"/>
      <c r="C91" s="89"/>
      <c r="D91" s="89"/>
      <c r="E91" s="89"/>
      <c r="F91" s="10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54"/>
      <c r="B92" s="8"/>
      <c r="C92" s="89"/>
      <c r="D92" s="89"/>
      <c r="E92" s="89"/>
      <c r="F92" s="10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54"/>
      <c r="B93" s="8"/>
      <c r="C93" s="89"/>
      <c r="D93" s="89"/>
      <c r="E93" s="89"/>
      <c r="F93" s="10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54"/>
      <c r="B94" s="8"/>
      <c r="C94" s="89"/>
      <c r="D94" s="89"/>
      <c r="E94" s="89"/>
      <c r="F94" s="10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54"/>
      <c r="B95" s="8"/>
      <c r="C95" s="89"/>
      <c r="D95" s="89"/>
      <c r="E95" s="89"/>
      <c r="F95" s="10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54"/>
      <c r="B96" s="8"/>
      <c r="C96" s="89"/>
      <c r="D96" s="89"/>
      <c r="E96" s="89"/>
      <c r="F96" s="10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4"/>
      <c r="B97" s="8"/>
      <c r="C97" s="89"/>
      <c r="D97" s="89"/>
      <c r="E97" s="89"/>
      <c r="F97" s="10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4"/>
      <c r="B98" s="8"/>
      <c r="C98" s="89"/>
      <c r="D98" s="89"/>
      <c r="E98" s="89"/>
      <c r="F98" s="10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4"/>
      <c r="B99" s="8"/>
      <c r="C99" s="89"/>
      <c r="D99" s="89"/>
      <c r="E99" s="89"/>
      <c r="F99" s="10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4"/>
      <c r="B100" s="8"/>
      <c r="C100" s="89"/>
      <c r="D100" s="89"/>
      <c r="E100" s="89"/>
      <c r="F100" s="10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4"/>
      <c r="B101" s="8"/>
      <c r="C101" s="89"/>
      <c r="D101" s="89"/>
      <c r="E101" s="89"/>
      <c r="F101" s="10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4"/>
      <c r="B102" s="8"/>
      <c r="C102" s="89"/>
      <c r="D102" s="89"/>
      <c r="E102" s="89"/>
      <c r="F102" s="10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4"/>
      <c r="B103" s="8"/>
      <c r="C103" s="89"/>
      <c r="D103" s="89"/>
      <c r="E103" s="89"/>
      <c r="F103" s="10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54"/>
      <c r="B104" s="8"/>
      <c r="C104" s="89"/>
      <c r="D104" s="89"/>
      <c r="E104" s="89"/>
      <c r="F104" s="10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54"/>
      <c r="B105" s="8"/>
      <c r="C105" s="89"/>
      <c r="D105" s="89"/>
      <c r="E105" s="89"/>
      <c r="F105" s="10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54"/>
      <c r="B106" s="8"/>
      <c r="C106" s="89"/>
      <c r="D106" s="89"/>
      <c r="E106" s="89"/>
      <c r="F106" s="10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54"/>
      <c r="B107" s="8"/>
      <c r="C107" s="89"/>
      <c r="D107" s="89"/>
      <c r="E107" s="89"/>
      <c r="F107" s="10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54"/>
      <c r="B108" s="8"/>
      <c r="C108" s="89"/>
      <c r="D108" s="89"/>
      <c r="E108" s="89"/>
      <c r="F108" s="10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54"/>
      <c r="B109" s="8"/>
      <c r="C109" s="89"/>
      <c r="D109" s="89"/>
      <c r="E109" s="89"/>
      <c r="F109" s="10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54"/>
      <c r="B110" s="8"/>
      <c r="C110" s="89"/>
      <c r="D110" s="89"/>
      <c r="E110" s="89"/>
      <c r="F110" s="10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54"/>
      <c r="B111" s="8"/>
      <c r="C111" s="89"/>
      <c r="D111" s="89"/>
      <c r="E111" s="89"/>
      <c r="F111" s="10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54"/>
      <c r="B112" s="8"/>
      <c r="C112" s="89"/>
      <c r="D112" s="89"/>
      <c r="E112" s="89"/>
      <c r="F112" s="10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54"/>
      <c r="B113" s="8"/>
      <c r="C113" s="89"/>
      <c r="D113" s="89"/>
      <c r="E113" s="89"/>
      <c r="F113" s="10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54"/>
      <c r="B114" s="8"/>
      <c r="C114" s="89"/>
      <c r="D114" s="89"/>
      <c r="E114" s="89"/>
      <c r="F114" s="10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54"/>
      <c r="B115" s="8"/>
      <c r="C115" s="89"/>
      <c r="D115" s="89"/>
      <c r="E115" s="89"/>
      <c r="F115" s="10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54"/>
      <c r="B116" s="8"/>
      <c r="C116" s="89"/>
      <c r="D116" s="89"/>
      <c r="E116" s="89"/>
      <c r="F116" s="10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54"/>
      <c r="B117" s="8"/>
      <c r="C117" s="89"/>
      <c r="D117" s="89"/>
      <c r="E117" s="89"/>
      <c r="F117" s="10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54"/>
      <c r="B118" s="8"/>
      <c r="C118" s="89"/>
      <c r="D118" s="89"/>
      <c r="E118" s="89"/>
      <c r="F118" s="10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54"/>
      <c r="B119" s="8"/>
      <c r="C119" s="89"/>
      <c r="D119" s="89"/>
      <c r="E119" s="89"/>
      <c r="F119" s="10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54"/>
      <c r="B120" s="8"/>
      <c r="C120" s="89"/>
      <c r="D120" s="89"/>
      <c r="E120" s="89"/>
      <c r="F120" s="10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54"/>
      <c r="B121" s="8"/>
      <c r="C121" s="89"/>
      <c r="D121" s="89"/>
      <c r="E121" s="89"/>
      <c r="F121" s="10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54"/>
      <c r="B122" s="8"/>
      <c r="C122" s="89"/>
      <c r="D122" s="89"/>
      <c r="E122" s="89"/>
      <c r="F122" s="10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54"/>
      <c r="B123" s="8"/>
      <c r="C123" s="89"/>
      <c r="D123" s="89"/>
      <c r="E123" s="89"/>
      <c r="F123" s="10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54"/>
      <c r="B124" s="8"/>
      <c r="C124" s="89"/>
      <c r="D124" s="89"/>
      <c r="E124" s="89"/>
      <c r="F124" s="10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54"/>
      <c r="B125" s="8"/>
      <c r="C125" s="89"/>
      <c r="D125" s="89"/>
      <c r="E125" s="89"/>
      <c r="F125" s="10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54"/>
      <c r="B126" s="8"/>
      <c r="C126" s="89"/>
      <c r="D126" s="89"/>
      <c r="E126" s="89"/>
      <c r="F126" s="10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54"/>
      <c r="B127" s="8"/>
      <c r="C127" s="89"/>
      <c r="D127" s="89"/>
      <c r="E127" s="89"/>
      <c r="F127" s="10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54"/>
      <c r="B128" s="8"/>
      <c r="C128" s="89"/>
      <c r="D128" s="89"/>
      <c r="E128" s="89"/>
      <c r="F128" s="10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54"/>
      <c r="B129" s="8"/>
      <c r="C129" s="89"/>
      <c r="D129" s="89"/>
      <c r="E129" s="89"/>
      <c r="F129" s="10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54"/>
      <c r="B130" s="8"/>
      <c r="C130" s="89"/>
      <c r="D130" s="89"/>
      <c r="E130" s="89"/>
      <c r="F130" s="10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54"/>
      <c r="B131" s="8"/>
      <c r="C131" s="89"/>
      <c r="D131" s="89"/>
      <c r="E131" s="89"/>
      <c r="F131" s="10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54"/>
      <c r="B132" s="8"/>
      <c r="C132" s="89"/>
      <c r="D132" s="89"/>
      <c r="E132" s="89"/>
      <c r="F132" s="10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54"/>
      <c r="B133" s="8"/>
      <c r="C133" s="89"/>
      <c r="D133" s="89"/>
      <c r="E133" s="89"/>
      <c r="F133" s="10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54"/>
      <c r="B134" s="8"/>
      <c r="C134" s="89"/>
      <c r="D134" s="89"/>
      <c r="E134" s="89"/>
      <c r="F134" s="10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54"/>
      <c r="B135" s="8"/>
      <c r="C135" s="89"/>
      <c r="D135" s="89"/>
      <c r="E135" s="89"/>
      <c r="F135" s="10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54"/>
      <c r="B136" s="8"/>
      <c r="C136" s="89"/>
      <c r="D136" s="89"/>
      <c r="E136" s="89"/>
      <c r="F136" s="10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54"/>
      <c r="B137" s="8"/>
      <c r="C137" s="89"/>
      <c r="D137" s="89"/>
      <c r="E137" s="89"/>
      <c r="F137" s="10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54"/>
      <c r="B138" s="8"/>
      <c r="C138" s="89"/>
      <c r="D138" s="89"/>
      <c r="E138" s="89"/>
      <c r="F138" s="10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54"/>
      <c r="B139" s="8"/>
      <c r="C139" s="89"/>
      <c r="D139" s="89"/>
      <c r="E139" s="89"/>
      <c r="F139" s="10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54"/>
      <c r="B140" s="8"/>
      <c r="C140" s="89"/>
      <c r="D140" s="89"/>
      <c r="E140" s="89"/>
      <c r="F140" s="10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54"/>
      <c r="B141" s="8"/>
      <c r="C141" s="89"/>
      <c r="D141" s="89"/>
      <c r="E141" s="89"/>
      <c r="F141" s="10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54"/>
      <c r="B142" s="8"/>
      <c r="C142" s="89"/>
      <c r="D142" s="89"/>
      <c r="E142" s="89"/>
      <c r="F142" s="10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54"/>
      <c r="B143" s="8"/>
      <c r="C143" s="89"/>
      <c r="D143" s="89"/>
      <c r="E143" s="89"/>
      <c r="F143" s="10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54"/>
      <c r="B144" s="8"/>
      <c r="C144" s="89"/>
      <c r="D144" s="89"/>
      <c r="E144" s="89"/>
      <c r="F144" s="10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54"/>
      <c r="B145" s="8"/>
      <c r="C145" s="89"/>
      <c r="D145" s="89"/>
      <c r="E145" s="89"/>
      <c r="F145" s="10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54"/>
      <c r="B146" s="8"/>
      <c r="C146" s="89"/>
      <c r="D146" s="89"/>
      <c r="E146" s="89"/>
      <c r="F146" s="10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54"/>
      <c r="B147" s="8"/>
      <c r="C147" s="89"/>
      <c r="D147" s="89"/>
      <c r="E147" s="89"/>
      <c r="F147" s="10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54"/>
      <c r="B148" s="8"/>
      <c r="C148" s="89"/>
      <c r="D148" s="89"/>
      <c r="E148" s="89"/>
      <c r="F148" s="10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54"/>
      <c r="B149" s="8"/>
      <c r="C149" s="89"/>
      <c r="D149" s="89"/>
      <c r="E149" s="89"/>
      <c r="F149" s="10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54"/>
      <c r="B150" s="8"/>
      <c r="C150" s="89"/>
      <c r="D150" s="89"/>
      <c r="E150" s="89"/>
      <c r="F150" s="10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54"/>
      <c r="B151" s="8"/>
      <c r="C151" s="89"/>
      <c r="D151" s="89"/>
      <c r="E151" s="89"/>
      <c r="F151" s="10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54"/>
      <c r="B152" s="8"/>
      <c r="C152" s="89"/>
      <c r="D152" s="89"/>
      <c r="E152" s="89"/>
      <c r="F152" s="10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54"/>
      <c r="B153" s="8"/>
      <c r="C153" s="89"/>
      <c r="D153" s="89"/>
      <c r="E153" s="89"/>
      <c r="F153" s="10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54"/>
      <c r="B154" s="8"/>
      <c r="C154" s="89"/>
      <c r="D154" s="89"/>
      <c r="E154" s="89"/>
      <c r="F154" s="10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54"/>
      <c r="B155" s="8"/>
      <c r="C155" s="89"/>
      <c r="D155" s="89"/>
      <c r="E155" s="89"/>
      <c r="F155" s="10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54"/>
      <c r="B156" s="8"/>
      <c r="C156" s="89"/>
      <c r="D156" s="89"/>
      <c r="E156" s="89"/>
      <c r="F156" s="10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54"/>
      <c r="B157" s="8"/>
      <c r="C157" s="89"/>
      <c r="D157" s="89"/>
      <c r="E157" s="89"/>
      <c r="F157" s="10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54"/>
      <c r="B158" s="8"/>
      <c r="C158" s="89"/>
      <c r="D158" s="89"/>
      <c r="E158" s="89"/>
      <c r="F158" s="10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54"/>
      <c r="B159" s="8"/>
      <c r="C159" s="89"/>
      <c r="D159" s="89"/>
      <c r="E159" s="89"/>
      <c r="F159" s="10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54"/>
      <c r="B160" s="8"/>
      <c r="C160" s="89"/>
      <c r="D160" s="89"/>
      <c r="E160" s="89"/>
      <c r="F160" s="10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54"/>
      <c r="B161" s="8"/>
      <c r="C161" s="89"/>
      <c r="D161" s="89"/>
      <c r="E161" s="89"/>
      <c r="F161" s="10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54"/>
      <c r="B162" s="8"/>
      <c r="C162" s="89"/>
      <c r="D162" s="89"/>
      <c r="E162" s="89"/>
      <c r="F162" s="10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54"/>
      <c r="B163" s="8"/>
      <c r="C163" s="89"/>
      <c r="D163" s="89"/>
      <c r="E163" s="89"/>
      <c r="F163" s="10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54"/>
      <c r="B164" s="8"/>
      <c r="C164" s="89"/>
      <c r="D164" s="89"/>
      <c r="E164" s="89"/>
      <c r="F164" s="10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54"/>
      <c r="B165" s="8"/>
      <c r="C165" s="89"/>
      <c r="D165" s="89"/>
      <c r="E165" s="89"/>
      <c r="F165" s="10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54"/>
      <c r="B166" s="8"/>
      <c r="C166" s="89"/>
      <c r="D166" s="89"/>
      <c r="E166" s="89"/>
      <c r="F166" s="10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54"/>
      <c r="B167" s="8"/>
      <c r="C167" s="89"/>
      <c r="D167" s="89"/>
      <c r="E167" s="89"/>
      <c r="F167" s="10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54"/>
      <c r="B168" s="8"/>
      <c r="C168" s="89"/>
      <c r="D168" s="89"/>
      <c r="E168" s="89"/>
      <c r="F168" s="10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54"/>
      <c r="B169" s="8"/>
      <c r="C169" s="89"/>
      <c r="D169" s="89"/>
      <c r="E169" s="89"/>
      <c r="F169" s="10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54"/>
      <c r="B170" s="8"/>
      <c r="C170" s="89"/>
      <c r="D170" s="89"/>
      <c r="E170" s="89"/>
      <c r="F170" s="10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54"/>
      <c r="B171" s="8"/>
      <c r="C171" s="89"/>
      <c r="D171" s="89"/>
      <c r="E171" s="89"/>
      <c r="F171" s="10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54"/>
      <c r="B172" s="8"/>
      <c r="C172" s="89"/>
      <c r="D172" s="89"/>
      <c r="E172" s="89"/>
      <c r="F172" s="10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54"/>
      <c r="B173" s="8"/>
      <c r="C173" s="89"/>
      <c r="D173" s="89"/>
      <c r="E173" s="89"/>
      <c r="F173" s="10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54"/>
      <c r="B174" s="8"/>
      <c r="C174" s="89"/>
      <c r="D174" s="89"/>
      <c r="E174" s="89"/>
      <c r="F174" s="10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54"/>
      <c r="B175" s="8"/>
      <c r="C175" s="89"/>
      <c r="D175" s="89"/>
      <c r="E175" s="89"/>
      <c r="F175" s="10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54"/>
      <c r="B176" s="8"/>
      <c r="C176" s="89"/>
      <c r="D176" s="89"/>
      <c r="E176" s="89"/>
      <c r="F176" s="10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54"/>
      <c r="B177" s="8"/>
      <c r="C177" s="89"/>
      <c r="D177" s="89"/>
      <c r="E177" s="89"/>
      <c r="F177" s="10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54"/>
      <c r="B178" s="8"/>
      <c r="C178" s="89"/>
      <c r="D178" s="89"/>
      <c r="E178" s="89"/>
      <c r="F178" s="10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54"/>
      <c r="B179" s="8"/>
      <c r="C179" s="89"/>
      <c r="D179" s="89"/>
      <c r="E179" s="89"/>
      <c r="F179" s="10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54"/>
      <c r="B180" s="8"/>
      <c r="C180" s="89"/>
      <c r="D180" s="89"/>
      <c r="E180" s="89"/>
      <c r="F180" s="10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54"/>
      <c r="B181" s="8"/>
      <c r="C181" s="89"/>
      <c r="D181" s="89"/>
      <c r="E181" s="89"/>
      <c r="F181" s="10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54"/>
      <c r="B182" s="8"/>
      <c r="C182" s="89"/>
      <c r="D182" s="89"/>
      <c r="E182" s="89"/>
      <c r="F182" s="10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54"/>
      <c r="B183" s="8"/>
      <c r="C183" s="89"/>
      <c r="D183" s="89"/>
      <c r="E183" s="89"/>
      <c r="F183" s="10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54"/>
      <c r="B184" s="8"/>
      <c r="C184" s="89"/>
      <c r="D184" s="89"/>
      <c r="E184" s="89"/>
      <c r="F184" s="10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54"/>
      <c r="B185" s="8"/>
      <c r="C185" s="89"/>
      <c r="D185" s="89"/>
      <c r="E185" s="89"/>
      <c r="F185" s="10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54"/>
      <c r="B186" s="8"/>
      <c r="C186" s="89"/>
      <c r="D186" s="89"/>
      <c r="E186" s="89"/>
      <c r="F186" s="10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54"/>
      <c r="B187" s="8"/>
      <c r="C187" s="89"/>
      <c r="D187" s="89"/>
      <c r="E187" s="89"/>
      <c r="F187" s="10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54"/>
      <c r="B188" s="8"/>
      <c r="C188" s="89"/>
      <c r="D188" s="89"/>
      <c r="E188" s="89"/>
      <c r="F188" s="10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54"/>
      <c r="B189" s="8"/>
      <c r="C189" s="89"/>
      <c r="D189" s="89"/>
      <c r="E189" s="89"/>
      <c r="F189" s="10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54"/>
      <c r="B190" s="8"/>
      <c r="C190" s="89"/>
      <c r="D190" s="89"/>
      <c r="E190" s="89"/>
      <c r="F190" s="10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54"/>
      <c r="B191" s="8"/>
      <c r="C191" s="89"/>
      <c r="D191" s="89"/>
      <c r="E191" s="89"/>
      <c r="F191" s="10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54"/>
      <c r="B192" s="8"/>
      <c r="C192" s="89"/>
      <c r="D192" s="89"/>
      <c r="E192" s="89"/>
      <c r="F192" s="10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54"/>
      <c r="B193" s="8"/>
      <c r="C193" s="89"/>
      <c r="D193" s="89"/>
      <c r="E193" s="89"/>
      <c r="F193" s="10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54"/>
      <c r="B194" s="8"/>
      <c r="C194" s="89"/>
      <c r="D194" s="89"/>
      <c r="E194" s="89"/>
      <c r="F194" s="10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54"/>
      <c r="B195" s="8"/>
      <c r="C195" s="89"/>
      <c r="D195" s="89"/>
      <c r="E195" s="89"/>
      <c r="F195" s="10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54"/>
      <c r="B196" s="8"/>
      <c r="C196" s="89"/>
      <c r="D196" s="89"/>
      <c r="E196" s="89"/>
      <c r="F196" s="10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54"/>
      <c r="B197" s="8"/>
      <c r="C197" s="89"/>
      <c r="D197" s="89"/>
      <c r="E197" s="89"/>
      <c r="F197" s="10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54"/>
      <c r="B198" s="8"/>
      <c r="C198" s="89"/>
      <c r="D198" s="89"/>
      <c r="E198" s="89"/>
      <c r="F198" s="10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54"/>
      <c r="B199" s="8"/>
      <c r="C199" s="89"/>
      <c r="D199" s="89"/>
      <c r="E199" s="89"/>
      <c r="F199" s="10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54"/>
      <c r="B200" s="8"/>
      <c r="C200" s="89"/>
      <c r="D200" s="89"/>
      <c r="E200" s="89"/>
      <c r="F200" s="10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54"/>
      <c r="B201" s="8"/>
      <c r="C201" s="89"/>
      <c r="D201" s="89"/>
      <c r="E201" s="89"/>
      <c r="F201" s="10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54"/>
      <c r="B202" s="8"/>
      <c r="C202" s="89"/>
      <c r="D202" s="89"/>
      <c r="E202" s="89"/>
      <c r="F202" s="10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54"/>
      <c r="B203" s="8"/>
      <c r="C203" s="89"/>
      <c r="D203" s="89"/>
      <c r="E203" s="89"/>
      <c r="F203" s="10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54"/>
      <c r="B204" s="8"/>
      <c r="C204" s="89"/>
      <c r="D204" s="89"/>
      <c r="E204" s="89"/>
      <c r="F204" s="10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54"/>
      <c r="B205" s="8"/>
      <c r="C205" s="89"/>
      <c r="D205" s="89"/>
      <c r="E205" s="89"/>
      <c r="F205" s="10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54"/>
      <c r="B206" s="8"/>
      <c r="C206" s="89"/>
      <c r="D206" s="89"/>
      <c r="E206" s="89"/>
      <c r="F206" s="10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54"/>
      <c r="B207" s="8"/>
      <c r="C207" s="89"/>
      <c r="D207" s="89"/>
      <c r="E207" s="89"/>
      <c r="F207" s="10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54"/>
      <c r="B208" s="8"/>
      <c r="C208" s="89"/>
      <c r="D208" s="89"/>
      <c r="E208" s="89"/>
      <c r="F208" s="10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54"/>
      <c r="B209" s="8"/>
      <c r="C209" s="89"/>
      <c r="D209" s="89"/>
      <c r="E209" s="89"/>
      <c r="F209" s="10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54"/>
      <c r="B210" s="8"/>
      <c r="C210" s="89"/>
      <c r="D210" s="89"/>
      <c r="E210" s="89"/>
      <c r="F210" s="10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54"/>
      <c r="B211" s="8"/>
      <c r="C211" s="89"/>
      <c r="D211" s="89"/>
      <c r="E211" s="89"/>
      <c r="F211" s="10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54"/>
      <c r="B212" s="8"/>
      <c r="C212" s="89"/>
      <c r="D212" s="89"/>
      <c r="E212" s="89"/>
      <c r="F212" s="10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54"/>
      <c r="B213" s="8"/>
      <c r="C213" s="89"/>
      <c r="D213" s="89"/>
      <c r="E213" s="89"/>
      <c r="F213" s="10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54"/>
      <c r="B214" s="8"/>
      <c r="C214" s="89"/>
      <c r="D214" s="89"/>
      <c r="E214" s="89"/>
      <c r="F214" s="10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54"/>
      <c r="B215" s="8"/>
      <c r="C215" s="89"/>
      <c r="D215" s="89"/>
      <c r="E215" s="89"/>
      <c r="F215" s="10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54"/>
      <c r="B216" s="8"/>
      <c r="C216" s="89"/>
      <c r="D216" s="89"/>
      <c r="E216" s="89"/>
      <c r="F216" s="10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54"/>
      <c r="B217" s="8"/>
      <c r="C217" s="89"/>
      <c r="D217" s="89"/>
      <c r="E217" s="89"/>
      <c r="F217" s="10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54"/>
      <c r="B218" s="8"/>
      <c r="C218" s="89"/>
      <c r="D218" s="89"/>
      <c r="E218" s="89"/>
      <c r="F218" s="10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54"/>
      <c r="B219" s="8"/>
      <c r="C219" s="89"/>
      <c r="D219" s="89"/>
      <c r="E219" s="89"/>
      <c r="F219" s="10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54"/>
      <c r="B220" s="8"/>
      <c r="C220" s="89"/>
      <c r="D220" s="89"/>
      <c r="E220" s="89"/>
      <c r="F220" s="10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54"/>
      <c r="B221" s="8"/>
      <c r="C221" s="89"/>
      <c r="D221" s="89"/>
      <c r="E221" s="89"/>
      <c r="F221" s="10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54"/>
      <c r="B222" s="8"/>
      <c r="C222" s="89"/>
      <c r="D222" s="89"/>
      <c r="E222" s="89"/>
      <c r="F222" s="10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54"/>
      <c r="B223" s="8"/>
      <c r="C223" s="89"/>
      <c r="D223" s="89"/>
      <c r="E223" s="89"/>
      <c r="F223" s="10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54"/>
      <c r="B224" s="8"/>
      <c r="C224" s="89"/>
      <c r="D224" s="89"/>
      <c r="E224" s="89"/>
      <c r="F224" s="10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54"/>
      <c r="B225" s="8"/>
      <c r="C225" s="89"/>
      <c r="D225" s="89"/>
      <c r="E225" s="89"/>
      <c r="F225" s="10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54"/>
      <c r="B226" s="8"/>
      <c r="C226" s="89"/>
      <c r="D226" s="89"/>
      <c r="E226" s="89"/>
      <c r="F226" s="10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54"/>
      <c r="B227" s="8"/>
      <c r="C227" s="89"/>
      <c r="D227" s="89"/>
      <c r="E227" s="89"/>
      <c r="F227" s="10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54"/>
      <c r="B228" s="8"/>
      <c r="C228" s="89"/>
      <c r="D228" s="89"/>
      <c r="E228" s="89"/>
      <c r="F228" s="10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54"/>
      <c r="B229" s="8"/>
      <c r="C229" s="89"/>
      <c r="D229" s="89"/>
      <c r="E229" s="89"/>
      <c r="F229" s="10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54"/>
      <c r="B230" s="8"/>
      <c r="C230" s="89"/>
      <c r="D230" s="89"/>
      <c r="E230" s="89"/>
      <c r="F230" s="10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54"/>
      <c r="B231" s="8"/>
      <c r="C231" s="89"/>
      <c r="D231" s="89"/>
      <c r="E231" s="89"/>
      <c r="F231" s="10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54"/>
      <c r="B232" s="8"/>
      <c r="C232" s="89"/>
      <c r="D232" s="89"/>
      <c r="E232" s="89"/>
      <c r="F232" s="10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54"/>
      <c r="B233" s="8"/>
      <c r="C233" s="89"/>
      <c r="D233" s="89"/>
      <c r="E233" s="89"/>
      <c r="F233" s="10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54"/>
      <c r="B234" s="8"/>
      <c r="C234" s="89"/>
      <c r="D234" s="89"/>
      <c r="E234" s="89"/>
      <c r="F234" s="10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54"/>
      <c r="B235" s="8"/>
      <c r="C235" s="89"/>
      <c r="D235" s="89"/>
      <c r="E235" s="89"/>
      <c r="F235" s="10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54"/>
      <c r="B236" s="8"/>
      <c r="C236" s="89"/>
      <c r="D236" s="89"/>
      <c r="E236" s="89"/>
      <c r="F236" s="10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54"/>
      <c r="B237" s="8"/>
      <c r="C237" s="89"/>
      <c r="D237" s="89"/>
      <c r="E237" s="89"/>
      <c r="F237" s="10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54"/>
      <c r="B238" s="8"/>
      <c r="C238" s="89"/>
      <c r="D238" s="89"/>
      <c r="E238" s="89"/>
      <c r="F238" s="10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54"/>
      <c r="B239" s="8"/>
      <c r="C239" s="89"/>
      <c r="D239" s="89"/>
      <c r="E239" s="89"/>
      <c r="F239" s="10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54"/>
      <c r="B240" s="8"/>
      <c r="C240" s="89"/>
      <c r="D240" s="89"/>
      <c r="E240" s="89"/>
      <c r="F240" s="10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54"/>
      <c r="B241" s="8"/>
      <c r="C241" s="89"/>
      <c r="D241" s="89"/>
      <c r="E241" s="89"/>
      <c r="F241" s="10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54"/>
      <c r="B242" s="8"/>
      <c r="C242" s="89"/>
      <c r="D242" s="89"/>
      <c r="E242" s="89"/>
      <c r="F242" s="10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54"/>
      <c r="B243" s="8"/>
      <c r="C243" s="89"/>
      <c r="D243" s="89"/>
      <c r="E243" s="89"/>
      <c r="F243" s="10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54"/>
      <c r="B244" s="8"/>
      <c r="C244" s="89"/>
      <c r="D244" s="89"/>
      <c r="E244" s="89"/>
      <c r="F244" s="10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54"/>
      <c r="B245" s="8"/>
      <c r="C245" s="89"/>
      <c r="D245" s="89"/>
      <c r="E245" s="89"/>
      <c r="F245" s="10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54"/>
      <c r="B246" s="8"/>
      <c r="C246" s="89"/>
      <c r="D246" s="89"/>
      <c r="E246" s="89"/>
      <c r="F246" s="10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54"/>
      <c r="B247" s="8"/>
      <c r="C247" s="89"/>
      <c r="D247" s="89"/>
      <c r="E247" s="89"/>
      <c r="F247" s="10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54"/>
      <c r="B248" s="8"/>
      <c r="C248" s="89"/>
      <c r="D248" s="89"/>
      <c r="E248" s="89"/>
      <c r="F248" s="10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54"/>
      <c r="B249" s="8"/>
      <c r="C249" s="89"/>
      <c r="D249" s="89"/>
      <c r="E249" s="89"/>
      <c r="F249" s="10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54"/>
      <c r="B250" s="8"/>
      <c r="C250" s="89"/>
      <c r="D250" s="89"/>
      <c r="E250" s="89"/>
      <c r="F250" s="10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54"/>
      <c r="B251" s="8"/>
      <c r="C251" s="89"/>
      <c r="D251" s="89"/>
      <c r="E251" s="89"/>
      <c r="F251" s="10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54"/>
      <c r="B252" s="8"/>
      <c r="C252" s="89"/>
      <c r="D252" s="89"/>
      <c r="E252" s="89"/>
      <c r="F252" s="10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54"/>
      <c r="B253" s="8"/>
      <c r="C253" s="89"/>
      <c r="D253" s="89"/>
      <c r="E253" s="89"/>
      <c r="F253" s="10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54"/>
      <c r="B254" s="8"/>
      <c r="C254" s="89"/>
      <c r="D254" s="89"/>
      <c r="E254" s="89"/>
      <c r="F254" s="10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54"/>
      <c r="B255" s="8"/>
      <c r="C255" s="89"/>
      <c r="D255" s="89"/>
      <c r="E255" s="89"/>
      <c r="F255" s="10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54"/>
      <c r="B256" s="8"/>
      <c r="C256" s="89"/>
      <c r="D256" s="89"/>
      <c r="E256" s="89"/>
      <c r="F256" s="10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54"/>
      <c r="B257" s="8"/>
      <c r="C257" s="89"/>
      <c r="D257" s="89"/>
      <c r="E257" s="89"/>
      <c r="F257" s="10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54"/>
      <c r="B258" s="8"/>
      <c r="C258" s="89"/>
      <c r="D258" s="89"/>
      <c r="E258" s="89"/>
      <c r="F258" s="10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54"/>
      <c r="B259" s="8"/>
      <c r="C259" s="89"/>
      <c r="D259" s="89"/>
      <c r="E259" s="89"/>
      <c r="F259" s="10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54"/>
      <c r="B260" s="8"/>
      <c r="C260" s="89"/>
      <c r="D260" s="89"/>
      <c r="E260" s="89"/>
      <c r="F260" s="10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54"/>
      <c r="B261" s="8"/>
      <c r="C261" s="89"/>
      <c r="D261" s="89"/>
      <c r="E261" s="89"/>
      <c r="F261" s="10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54"/>
      <c r="B262" s="8"/>
      <c r="C262" s="89"/>
      <c r="D262" s="89"/>
      <c r="E262" s="89"/>
      <c r="F262" s="10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54"/>
      <c r="B263" s="8"/>
      <c r="C263" s="89"/>
      <c r="D263" s="89"/>
      <c r="E263" s="89"/>
      <c r="F263" s="10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54"/>
      <c r="B264" s="8"/>
      <c r="C264" s="89"/>
      <c r="D264" s="89"/>
      <c r="E264" s="89"/>
      <c r="F264" s="10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54"/>
      <c r="B265" s="8"/>
      <c r="C265" s="89"/>
      <c r="D265" s="89"/>
      <c r="E265" s="89"/>
      <c r="F265" s="10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54"/>
      <c r="B266" s="8"/>
      <c r="C266" s="89"/>
      <c r="D266" s="89"/>
      <c r="E266" s="89"/>
      <c r="F266" s="10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54"/>
      <c r="B267" s="8"/>
      <c r="C267" s="89"/>
      <c r="D267" s="89"/>
      <c r="E267" s="89"/>
      <c r="F267" s="10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54"/>
      <c r="B268" s="8"/>
      <c r="C268" s="89"/>
      <c r="D268" s="89"/>
      <c r="E268" s="89"/>
      <c r="F268" s="10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54"/>
      <c r="B269" s="8"/>
      <c r="C269" s="89"/>
      <c r="D269" s="89"/>
      <c r="E269" s="89"/>
      <c r="F269" s="10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54"/>
      <c r="B270" s="8"/>
      <c r="C270" s="89"/>
      <c r="D270" s="89"/>
      <c r="E270" s="89"/>
      <c r="F270" s="10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54"/>
      <c r="B271" s="8"/>
      <c r="C271" s="89"/>
      <c r="D271" s="89"/>
      <c r="E271" s="89"/>
      <c r="F271" s="10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54"/>
      <c r="B272" s="8"/>
      <c r="C272" s="89"/>
      <c r="D272" s="89"/>
      <c r="E272" s="89"/>
      <c r="F272" s="10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54"/>
      <c r="B273" s="8"/>
      <c r="C273" s="89"/>
      <c r="D273" s="89"/>
      <c r="E273" s="89"/>
      <c r="F273" s="10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54"/>
      <c r="B274" s="8"/>
      <c r="C274" s="89"/>
      <c r="D274" s="89"/>
      <c r="E274" s="89"/>
      <c r="F274" s="10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54"/>
      <c r="B275" s="8"/>
      <c r="C275" s="89"/>
      <c r="D275" s="89"/>
      <c r="E275" s="89"/>
      <c r="F275" s="10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54"/>
      <c r="B276" s="8"/>
      <c r="C276" s="89"/>
      <c r="D276" s="89"/>
      <c r="E276" s="89"/>
      <c r="F276" s="10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54"/>
      <c r="B277" s="8"/>
      <c r="C277" s="89"/>
      <c r="D277" s="89"/>
      <c r="E277" s="89"/>
      <c r="F277" s="10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54"/>
      <c r="B278" s="8"/>
      <c r="C278" s="89"/>
      <c r="D278" s="89"/>
      <c r="E278" s="89"/>
      <c r="F278" s="10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54"/>
      <c r="B279" s="8"/>
      <c r="C279" s="89"/>
      <c r="D279" s="89"/>
      <c r="E279" s="89"/>
      <c r="F279" s="10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54"/>
      <c r="B280" s="8"/>
      <c r="C280" s="89"/>
      <c r="D280" s="89"/>
      <c r="E280" s="89"/>
      <c r="F280" s="10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54"/>
      <c r="B281" s="8"/>
      <c r="C281" s="89"/>
      <c r="D281" s="89"/>
      <c r="E281" s="89"/>
      <c r="F281" s="10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54"/>
      <c r="B282" s="8"/>
      <c r="C282" s="89"/>
      <c r="D282" s="89"/>
      <c r="E282" s="89"/>
      <c r="F282" s="10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54"/>
      <c r="B283" s="8"/>
      <c r="C283" s="89"/>
      <c r="D283" s="89"/>
      <c r="E283" s="89"/>
      <c r="F283" s="10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54"/>
      <c r="B284" s="8"/>
      <c r="C284" s="89"/>
      <c r="D284" s="89"/>
      <c r="E284" s="89"/>
      <c r="F284" s="10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54"/>
      <c r="B285" s="8"/>
      <c r="C285" s="89"/>
      <c r="D285" s="89"/>
      <c r="E285" s="89"/>
      <c r="F285" s="10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54"/>
      <c r="B286" s="8"/>
      <c r="C286" s="89"/>
      <c r="D286" s="89"/>
      <c r="E286" s="89"/>
      <c r="F286" s="10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54"/>
      <c r="B287" s="8"/>
      <c r="C287" s="89"/>
      <c r="D287" s="89"/>
      <c r="E287" s="89"/>
      <c r="F287" s="10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54"/>
      <c r="B288" s="8"/>
      <c r="C288" s="89"/>
      <c r="D288" s="89"/>
      <c r="E288" s="89"/>
      <c r="F288" s="10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54"/>
      <c r="B289" s="8"/>
      <c r="C289" s="89"/>
      <c r="D289" s="89"/>
      <c r="E289" s="89"/>
      <c r="F289" s="10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54"/>
      <c r="B290" s="8"/>
      <c r="C290" s="89"/>
      <c r="D290" s="89"/>
      <c r="E290" s="89"/>
      <c r="F290" s="10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54"/>
      <c r="B291" s="8"/>
      <c r="C291" s="89"/>
      <c r="D291" s="89"/>
      <c r="E291" s="89"/>
      <c r="F291" s="10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54"/>
      <c r="B292" s="8"/>
      <c r="C292" s="89"/>
      <c r="D292" s="89"/>
      <c r="E292" s="89"/>
      <c r="F292" s="10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54"/>
      <c r="B293" s="8"/>
      <c r="C293" s="89"/>
      <c r="D293" s="89"/>
      <c r="E293" s="89"/>
      <c r="F293" s="10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54"/>
      <c r="B294" s="8"/>
      <c r="C294" s="89"/>
      <c r="D294" s="89"/>
      <c r="E294" s="89"/>
      <c r="F294" s="10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54"/>
      <c r="B295" s="8"/>
      <c r="C295" s="89"/>
      <c r="D295" s="89"/>
      <c r="E295" s="89"/>
      <c r="F295" s="10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54"/>
      <c r="B296" s="8"/>
      <c r="C296" s="89"/>
      <c r="D296" s="89"/>
      <c r="E296" s="89"/>
      <c r="F296" s="10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54"/>
      <c r="B297" s="8"/>
      <c r="C297" s="89"/>
      <c r="D297" s="89"/>
      <c r="E297" s="89"/>
      <c r="F297" s="10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54"/>
      <c r="B298" s="8"/>
      <c r="C298" s="89"/>
      <c r="D298" s="89"/>
      <c r="E298" s="89"/>
      <c r="F298" s="10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54"/>
      <c r="B299" s="8"/>
      <c r="C299" s="89"/>
      <c r="D299" s="89"/>
      <c r="E299" s="89"/>
      <c r="F299" s="10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54"/>
      <c r="B300" s="8"/>
      <c r="C300" s="89"/>
      <c r="D300" s="89"/>
      <c r="E300" s="89"/>
      <c r="F300" s="10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54"/>
      <c r="B301" s="8"/>
      <c r="C301" s="89"/>
      <c r="D301" s="89"/>
      <c r="E301" s="89"/>
      <c r="F301" s="10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54"/>
      <c r="B302" s="8"/>
      <c r="C302" s="89"/>
      <c r="D302" s="89"/>
      <c r="E302" s="89"/>
      <c r="F302" s="10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54"/>
      <c r="B303" s="8"/>
      <c r="C303" s="89"/>
      <c r="D303" s="89"/>
      <c r="E303" s="89"/>
      <c r="F303" s="10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54"/>
      <c r="B304" s="8"/>
      <c r="C304" s="89"/>
      <c r="D304" s="89"/>
      <c r="E304" s="89"/>
      <c r="F304" s="10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54"/>
      <c r="B305" s="8"/>
      <c r="C305" s="89"/>
      <c r="D305" s="89"/>
      <c r="E305" s="89"/>
      <c r="F305" s="10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54"/>
      <c r="B306" s="8"/>
      <c r="C306" s="89"/>
      <c r="D306" s="89"/>
      <c r="E306" s="89"/>
      <c r="F306" s="10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54"/>
      <c r="B307" s="8"/>
      <c r="C307" s="89"/>
      <c r="D307" s="89"/>
      <c r="E307" s="89"/>
      <c r="F307" s="10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54"/>
      <c r="B308" s="8"/>
      <c r="C308" s="89"/>
      <c r="D308" s="89"/>
      <c r="E308" s="89"/>
      <c r="F308" s="10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54"/>
      <c r="B309" s="8"/>
      <c r="C309" s="89"/>
      <c r="D309" s="89"/>
      <c r="E309" s="89"/>
      <c r="F309" s="10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54"/>
      <c r="B310" s="8"/>
      <c r="C310" s="89"/>
      <c r="D310" s="89"/>
      <c r="E310" s="89"/>
      <c r="F310" s="10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54"/>
      <c r="B311" s="8"/>
      <c r="C311" s="89"/>
      <c r="D311" s="89"/>
      <c r="E311" s="89"/>
      <c r="F311" s="10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54"/>
      <c r="B312" s="8"/>
      <c r="C312" s="89"/>
      <c r="D312" s="89"/>
      <c r="E312" s="89"/>
      <c r="F312" s="10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54"/>
      <c r="B313" s="8"/>
      <c r="C313" s="89"/>
      <c r="D313" s="89"/>
      <c r="E313" s="89"/>
      <c r="F313" s="10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54"/>
      <c r="B314" s="8"/>
      <c r="C314" s="89"/>
      <c r="D314" s="89"/>
      <c r="E314" s="89"/>
      <c r="F314" s="10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54"/>
      <c r="B315" s="8"/>
      <c r="C315" s="89"/>
      <c r="D315" s="89"/>
      <c r="E315" s="89"/>
      <c r="F315" s="10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54"/>
      <c r="B316" s="8"/>
      <c r="C316" s="89"/>
      <c r="D316" s="89"/>
      <c r="E316" s="89"/>
      <c r="F316" s="10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54"/>
      <c r="B317" s="8"/>
      <c r="C317" s="89"/>
      <c r="D317" s="89"/>
      <c r="E317" s="89"/>
      <c r="F317" s="10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54"/>
      <c r="B318" s="8"/>
      <c r="C318" s="89"/>
      <c r="D318" s="89"/>
      <c r="E318" s="89"/>
      <c r="F318" s="10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54"/>
      <c r="B319" s="8"/>
      <c r="C319" s="89"/>
      <c r="D319" s="89"/>
      <c r="E319" s="89"/>
      <c r="F319" s="10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54"/>
      <c r="B320" s="8"/>
      <c r="C320" s="89"/>
      <c r="D320" s="89"/>
      <c r="E320" s="89"/>
      <c r="F320" s="10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54"/>
      <c r="B321" s="8"/>
      <c r="C321" s="89"/>
      <c r="D321" s="89"/>
      <c r="E321" s="89"/>
      <c r="F321" s="10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54"/>
      <c r="B322" s="8"/>
      <c r="C322" s="89"/>
      <c r="D322" s="89"/>
      <c r="E322" s="89"/>
      <c r="F322" s="10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54"/>
      <c r="B323" s="8"/>
      <c r="C323" s="89"/>
      <c r="D323" s="89"/>
      <c r="E323" s="89"/>
      <c r="F323" s="10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54"/>
      <c r="B324" s="8"/>
      <c r="C324" s="89"/>
      <c r="D324" s="89"/>
      <c r="E324" s="89"/>
      <c r="F324" s="10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54"/>
      <c r="B325" s="8"/>
      <c r="C325" s="89"/>
      <c r="D325" s="89"/>
      <c r="E325" s="89"/>
      <c r="F325" s="10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54"/>
      <c r="B326" s="8"/>
      <c r="C326" s="89"/>
      <c r="D326" s="89"/>
      <c r="E326" s="89"/>
      <c r="F326" s="10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54"/>
      <c r="B327" s="8"/>
      <c r="C327" s="89"/>
      <c r="D327" s="89"/>
      <c r="E327" s="89"/>
      <c r="F327" s="10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54"/>
      <c r="B328" s="8"/>
      <c r="C328" s="89"/>
      <c r="D328" s="89"/>
      <c r="E328" s="89"/>
      <c r="F328" s="10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54"/>
      <c r="B329" s="8"/>
      <c r="C329" s="89"/>
      <c r="D329" s="89"/>
      <c r="E329" s="89"/>
      <c r="F329" s="10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54"/>
      <c r="B330" s="8"/>
      <c r="C330" s="89"/>
      <c r="D330" s="89"/>
      <c r="E330" s="89"/>
      <c r="F330" s="10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54"/>
      <c r="B331" s="8"/>
      <c r="C331" s="89"/>
      <c r="D331" s="89"/>
      <c r="E331" s="89"/>
      <c r="F331" s="10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54"/>
      <c r="B332" s="8"/>
      <c r="C332" s="89"/>
      <c r="D332" s="89"/>
      <c r="E332" s="89"/>
      <c r="F332" s="10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54"/>
      <c r="B333" s="8"/>
      <c r="C333" s="89"/>
      <c r="D333" s="89"/>
      <c r="E333" s="89"/>
      <c r="F333" s="10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54"/>
      <c r="B334" s="8"/>
      <c r="C334" s="89"/>
      <c r="D334" s="89"/>
      <c r="E334" s="89"/>
      <c r="F334" s="10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54"/>
      <c r="B335" s="8"/>
      <c r="C335" s="89"/>
      <c r="D335" s="89"/>
      <c r="E335" s="89"/>
      <c r="F335" s="10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54"/>
      <c r="B336" s="8"/>
      <c r="C336" s="89"/>
      <c r="D336" s="89"/>
      <c r="E336" s="89"/>
      <c r="F336" s="10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54"/>
      <c r="B337" s="8"/>
      <c r="C337" s="89"/>
      <c r="D337" s="89"/>
      <c r="E337" s="89"/>
      <c r="F337" s="10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54"/>
      <c r="B338" s="8"/>
      <c r="C338" s="89"/>
      <c r="D338" s="89"/>
      <c r="E338" s="89"/>
      <c r="F338" s="10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54"/>
      <c r="B339" s="8"/>
      <c r="C339" s="89"/>
      <c r="D339" s="89"/>
      <c r="E339" s="89"/>
      <c r="F339" s="10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54"/>
      <c r="B340" s="8"/>
      <c r="C340" s="89"/>
      <c r="D340" s="89"/>
      <c r="E340" s="89"/>
      <c r="F340" s="10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54"/>
      <c r="B341" s="8"/>
      <c r="C341" s="89"/>
      <c r="D341" s="89"/>
      <c r="E341" s="89"/>
      <c r="F341" s="10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54"/>
      <c r="B342" s="8"/>
      <c r="C342" s="89"/>
      <c r="D342" s="89"/>
      <c r="E342" s="89"/>
      <c r="F342" s="10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54"/>
      <c r="B343" s="8"/>
      <c r="C343" s="89"/>
      <c r="D343" s="89"/>
      <c r="E343" s="89"/>
      <c r="F343" s="10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54"/>
      <c r="B344" s="8"/>
      <c r="C344" s="89"/>
      <c r="D344" s="89"/>
      <c r="E344" s="89"/>
      <c r="F344" s="10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54"/>
      <c r="B345" s="8"/>
      <c r="C345" s="89"/>
      <c r="D345" s="89"/>
      <c r="E345" s="89"/>
      <c r="F345" s="10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54"/>
      <c r="B346" s="8"/>
      <c r="C346" s="89"/>
      <c r="D346" s="89"/>
      <c r="E346" s="89"/>
      <c r="F346" s="10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54"/>
      <c r="B347" s="8"/>
      <c r="C347" s="89"/>
      <c r="D347" s="89"/>
      <c r="E347" s="89"/>
      <c r="F347" s="10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54"/>
      <c r="B348" s="8"/>
      <c r="C348" s="89"/>
      <c r="D348" s="89"/>
      <c r="E348" s="89"/>
      <c r="F348" s="10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54"/>
      <c r="B349" s="8"/>
      <c r="C349" s="89"/>
      <c r="D349" s="89"/>
      <c r="E349" s="89"/>
      <c r="F349" s="10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54"/>
      <c r="B350" s="8"/>
      <c r="C350" s="89"/>
      <c r="D350" s="89"/>
      <c r="E350" s="89"/>
      <c r="F350" s="10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54"/>
      <c r="B351" s="8"/>
      <c r="C351" s="89"/>
      <c r="D351" s="89"/>
      <c r="E351" s="89"/>
      <c r="F351" s="10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54"/>
      <c r="B352" s="8"/>
      <c r="C352" s="89"/>
      <c r="D352" s="89"/>
      <c r="E352" s="89"/>
      <c r="F352" s="10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54"/>
      <c r="B353" s="8"/>
      <c r="C353" s="89"/>
      <c r="D353" s="89"/>
      <c r="E353" s="89"/>
      <c r="F353" s="10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54"/>
      <c r="B354" s="8"/>
      <c r="C354" s="89"/>
      <c r="D354" s="89"/>
      <c r="E354" s="89"/>
      <c r="F354" s="10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54"/>
      <c r="B355" s="8"/>
      <c r="C355" s="89"/>
      <c r="D355" s="89"/>
      <c r="E355" s="89"/>
      <c r="F355" s="10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54"/>
      <c r="B356" s="8"/>
      <c r="C356" s="89"/>
      <c r="D356" s="89"/>
      <c r="E356" s="89"/>
      <c r="F356" s="10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54"/>
      <c r="B357" s="8"/>
      <c r="C357" s="89"/>
      <c r="D357" s="89"/>
      <c r="E357" s="89"/>
      <c r="F357" s="10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54"/>
      <c r="B358" s="8"/>
      <c r="C358" s="89"/>
      <c r="D358" s="89"/>
      <c r="E358" s="89"/>
      <c r="F358" s="10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54"/>
      <c r="B359" s="8"/>
      <c r="C359" s="89"/>
      <c r="D359" s="89"/>
      <c r="E359" s="89"/>
      <c r="F359" s="10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54"/>
      <c r="B360" s="8"/>
      <c r="C360" s="89"/>
      <c r="D360" s="89"/>
      <c r="E360" s="89"/>
      <c r="F360" s="10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54"/>
      <c r="B361" s="8"/>
      <c r="C361" s="89"/>
      <c r="D361" s="89"/>
      <c r="E361" s="89"/>
      <c r="F361" s="10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54"/>
      <c r="B362" s="8"/>
      <c r="C362" s="89"/>
      <c r="D362" s="89"/>
      <c r="E362" s="89"/>
      <c r="F362" s="10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54"/>
      <c r="B363" s="8"/>
      <c r="C363" s="89"/>
      <c r="D363" s="89"/>
      <c r="E363" s="89"/>
      <c r="F363" s="10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54"/>
      <c r="B364" s="8"/>
      <c r="C364" s="89"/>
      <c r="D364" s="89"/>
      <c r="E364" s="89"/>
      <c r="F364" s="10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54"/>
      <c r="B365" s="8"/>
      <c r="C365" s="89"/>
      <c r="D365" s="89"/>
      <c r="E365" s="89"/>
      <c r="F365" s="10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54"/>
      <c r="B366" s="8"/>
      <c r="C366" s="89"/>
      <c r="D366" s="89"/>
      <c r="E366" s="89"/>
      <c r="F366" s="10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54"/>
      <c r="B367" s="8"/>
      <c r="C367" s="89"/>
      <c r="D367" s="89"/>
      <c r="E367" s="89"/>
      <c r="F367" s="10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54"/>
      <c r="B368" s="8"/>
      <c r="C368" s="89"/>
      <c r="D368" s="89"/>
      <c r="E368" s="89"/>
      <c r="F368" s="10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54"/>
      <c r="B369" s="8"/>
      <c r="C369" s="89"/>
      <c r="D369" s="89"/>
      <c r="E369" s="89"/>
      <c r="F369" s="10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54"/>
      <c r="B370" s="8"/>
      <c r="C370" s="89"/>
      <c r="D370" s="89"/>
      <c r="E370" s="89"/>
      <c r="F370" s="10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54"/>
      <c r="B371" s="8"/>
      <c r="C371" s="89"/>
      <c r="D371" s="89"/>
      <c r="E371" s="89"/>
      <c r="F371" s="10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54"/>
      <c r="B372" s="8"/>
      <c r="C372" s="89"/>
      <c r="D372" s="89"/>
      <c r="E372" s="89"/>
      <c r="F372" s="10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54"/>
      <c r="B373" s="8"/>
      <c r="C373" s="89"/>
      <c r="D373" s="89"/>
      <c r="E373" s="89"/>
      <c r="F373" s="10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54"/>
      <c r="B374" s="8"/>
      <c r="C374" s="89"/>
      <c r="D374" s="89"/>
      <c r="E374" s="89"/>
      <c r="F374" s="10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54"/>
      <c r="B375" s="8"/>
      <c r="C375" s="89"/>
      <c r="D375" s="89"/>
      <c r="E375" s="89"/>
      <c r="F375" s="10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54"/>
      <c r="B376" s="8"/>
      <c r="C376" s="89"/>
      <c r="D376" s="89"/>
      <c r="E376" s="89"/>
      <c r="F376" s="10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54"/>
      <c r="B377" s="8"/>
      <c r="C377" s="89"/>
      <c r="D377" s="89"/>
      <c r="E377" s="89"/>
      <c r="F377" s="10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54"/>
      <c r="B378" s="8"/>
      <c r="C378" s="89"/>
      <c r="D378" s="89"/>
      <c r="E378" s="89"/>
      <c r="F378" s="10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54"/>
      <c r="B379" s="8"/>
      <c r="C379" s="89"/>
      <c r="D379" s="89"/>
      <c r="E379" s="89"/>
      <c r="F379" s="10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54"/>
      <c r="B380" s="8"/>
      <c r="C380" s="89"/>
      <c r="D380" s="89"/>
      <c r="E380" s="89"/>
      <c r="F380" s="10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54"/>
      <c r="B381" s="8"/>
      <c r="C381" s="89"/>
      <c r="D381" s="89"/>
      <c r="E381" s="89"/>
      <c r="F381" s="10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54"/>
      <c r="B382" s="8"/>
      <c r="C382" s="89"/>
      <c r="D382" s="89"/>
      <c r="E382" s="89"/>
      <c r="F382" s="10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54"/>
      <c r="B383" s="8"/>
      <c r="C383" s="89"/>
      <c r="D383" s="89"/>
      <c r="E383" s="89"/>
      <c r="F383" s="10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54"/>
      <c r="B384" s="8"/>
      <c r="C384" s="89"/>
      <c r="D384" s="89"/>
      <c r="E384" s="89"/>
      <c r="F384" s="10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54"/>
      <c r="B385" s="8"/>
      <c r="C385" s="89"/>
      <c r="D385" s="89"/>
      <c r="E385" s="89"/>
      <c r="F385" s="10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54"/>
      <c r="B386" s="8"/>
      <c r="C386" s="89"/>
      <c r="D386" s="89"/>
      <c r="E386" s="89"/>
      <c r="F386" s="10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54"/>
      <c r="B387" s="8"/>
      <c r="C387" s="89"/>
      <c r="D387" s="89"/>
      <c r="E387" s="89"/>
      <c r="F387" s="10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54"/>
      <c r="B388" s="8"/>
      <c r="C388" s="89"/>
      <c r="D388" s="89"/>
      <c r="E388" s="89"/>
      <c r="F388" s="10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54"/>
      <c r="B389" s="8"/>
      <c r="C389" s="89"/>
      <c r="D389" s="89"/>
      <c r="E389" s="89"/>
      <c r="F389" s="10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54"/>
      <c r="B390" s="8"/>
      <c r="C390" s="89"/>
      <c r="D390" s="89"/>
      <c r="E390" s="89"/>
      <c r="F390" s="10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54"/>
      <c r="B391" s="8"/>
      <c r="C391" s="89"/>
      <c r="D391" s="89"/>
      <c r="E391" s="89"/>
      <c r="F391" s="10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54"/>
      <c r="B392" s="8"/>
      <c r="C392" s="89"/>
      <c r="D392" s="89"/>
      <c r="E392" s="89"/>
      <c r="F392" s="10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54"/>
      <c r="B393" s="8"/>
      <c r="C393" s="89"/>
      <c r="D393" s="89"/>
      <c r="E393" s="89"/>
      <c r="F393" s="10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54"/>
      <c r="B394" s="8"/>
      <c r="C394" s="89"/>
      <c r="D394" s="89"/>
      <c r="E394" s="89"/>
      <c r="F394" s="10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54"/>
      <c r="B395" s="8"/>
      <c r="C395" s="89"/>
      <c r="D395" s="89"/>
      <c r="E395" s="89"/>
      <c r="F395" s="10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54"/>
      <c r="B396" s="8"/>
      <c r="C396" s="89"/>
      <c r="D396" s="89"/>
      <c r="E396" s="89"/>
      <c r="F396" s="10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54"/>
      <c r="B397" s="8"/>
      <c r="C397" s="89"/>
      <c r="D397" s="89"/>
      <c r="E397" s="89"/>
      <c r="F397" s="10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54"/>
      <c r="B398" s="8"/>
      <c r="C398" s="89"/>
      <c r="D398" s="89"/>
      <c r="E398" s="89"/>
      <c r="F398" s="10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54"/>
      <c r="B399" s="8"/>
      <c r="C399" s="89"/>
      <c r="D399" s="89"/>
      <c r="E399" s="89"/>
      <c r="F399" s="10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54"/>
      <c r="B400" s="8"/>
      <c r="C400" s="89"/>
      <c r="D400" s="89"/>
      <c r="E400" s="89"/>
      <c r="F400" s="10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54"/>
      <c r="B401" s="8"/>
      <c r="C401" s="89"/>
      <c r="D401" s="89"/>
      <c r="E401" s="89"/>
      <c r="F401" s="10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54"/>
      <c r="B402" s="8"/>
      <c r="C402" s="89"/>
      <c r="D402" s="89"/>
      <c r="E402" s="89"/>
      <c r="F402" s="10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54"/>
      <c r="B403" s="8"/>
      <c r="C403" s="89"/>
      <c r="D403" s="89"/>
      <c r="E403" s="89"/>
      <c r="F403" s="10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54"/>
      <c r="B404" s="8"/>
      <c r="C404" s="89"/>
      <c r="D404" s="89"/>
      <c r="E404" s="89"/>
      <c r="F404" s="10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54"/>
      <c r="B405" s="8"/>
      <c r="C405" s="89"/>
      <c r="D405" s="89"/>
      <c r="E405" s="89"/>
      <c r="F405" s="10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54"/>
      <c r="B406" s="8"/>
      <c r="C406" s="89"/>
      <c r="D406" s="89"/>
      <c r="E406" s="89"/>
      <c r="F406" s="10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54"/>
      <c r="B407" s="8"/>
      <c r="C407" s="89"/>
      <c r="D407" s="89"/>
      <c r="E407" s="89"/>
      <c r="F407" s="10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54"/>
      <c r="B408" s="8"/>
      <c r="C408" s="89"/>
      <c r="D408" s="89"/>
      <c r="E408" s="89"/>
      <c r="F408" s="10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54"/>
      <c r="B409" s="8"/>
      <c r="C409" s="89"/>
      <c r="D409" s="89"/>
      <c r="E409" s="89"/>
      <c r="F409" s="10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54"/>
      <c r="B410" s="8"/>
      <c r="C410" s="89"/>
      <c r="D410" s="89"/>
      <c r="E410" s="89"/>
      <c r="F410" s="10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54"/>
      <c r="B411" s="8"/>
      <c r="C411" s="89"/>
      <c r="D411" s="89"/>
      <c r="E411" s="89"/>
      <c r="F411" s="10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54"/>
      <c r="B412" s="8"/>
      <c r="C412" s="89"/>
      <c r="D412" s="89"/>
      <c r="E412" s="89"/>
      <c r="F412" s="10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54"/>
      <c r="B413" s="8"/>
      <c r="C413" s="89"/>
      <c r="D413" s="89"/>
      <c r="E413" s="89"/>
      <c r="F413" s="10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54"/>
      <c r="B414" s="8"/>
      <c r="C414" s="89"/>
      <c r="D414" s="89"/>
      <c r="E414" s="89"/>
      <c r="F414" s="10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54"/>
      <c r="B415" s="8"/>
      <c r="C415" s="89"/>
      <c r="D415" s="89"/>
      <c r="E415" s="89"/>
      <c r="F415" s="10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54"/>
      <c r="B416" s="8"/>
      <c r="C416" s="89"/>
      <c r="D416" s="89"/>
      <c r="E416" s="89"/>
      <c r="F416" s="10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54"/>
      <c r="B417" s="8"/>
      <c r="C417" s="89"/>
      <c r="D417" s="89"/>
      <c r="E417" s="89"/>
      <c r="F417" s="10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54"/>
      <c r="B418" s="8"/>
      <c r="C418" s="89"/>
      <c r="D418" s="89"/>
      <c r="E418" s="89"/>
      <c r="F418" s="10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54"/>
      <c r="B419" s="8"/>
      <c r="C419" s="89"/>
      <c r="D419" s="89"/>
      <c r="E419" s="89"/>
      <c r="F419" s="10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54"/>
      <c r="B420" s="8"/>
      <c r="C420" s="89"/>
      <c r="D420" s="89"/>
      <c r="E420" s="89"/>
      <c r="F420" s="10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54"/>
      <c r="B421" s="8"/>
      <c r="C421" s="89"/>
      <c r="D421" s="89"/>
      <c r="E421" s="89"/>
      <c r="F421" s="10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54"/>
      <c r="B422" s="8"/>
      <c r="C422" s="89"/>
      <c r="D422" s="89"/>
      <c r="E422" s="89"/>
      <c r="F422" s="10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54"/>
      <c r="B423" s="8"/>
      <c r="C423" s="89"/>
      <c r="D423" s="89"/>
      <c r="E423" s="89"/>
      <c r="F423" s="10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54"/>
      <c r="B424" s="8"/>
      <c r="C424" s="89"/>
      <c r="D424" s="89"/>
      <c r="E424" s="89"/>
      <c r="F424" s="10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54"/>
      <c r="B425" s="8"/>
      <c r="C425" s="89"/>
      <c r="D425" s="89"/>
      <c r="E425" s="89"/>
      <c r="F425" s="10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54"/>
      <c r="B426" s="8"/>
      <c r="C426" s="89"/>
      <c r="D426" s="89"/>
      <c r="E426" s="89"/>
      <c r="F426" s="10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54"/>
      <c r="B427" s="8"/>
      <c r="C427" s="89"/>
      <c r="D427" s="89"/>
      <c r="E427" s="89"/>
      <c r="F427" s="10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54"/>
      <c r="B428" s="8"/>
      <c r="C428" s="89"/>
      <c r="D428" s="89"/>
      <c r="E428" s="89"/>
      <c r="F428" s="10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54"/>
      <c r="B429" s="8"/>
      <c r="C429" s="89"/>
      <c r="D429" s="89"/>
      <c r="E429" s="89"/>
      <c r="F429" s="10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54"/>
      <c r="B430" s="8"/>
      <c r="C430" s="89"/>
      <c r="D430" s="89"/>
      <c r="E430" s="89"/>
      <c r="F430" s="10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54"/>
      <c r="B431" s="8"/>
      <c r="C431" s="89"/>
      <c r="D431" s="89"/>
      <c r="E431" s="89"/>
      <c r="F431" s="10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54"/>
      <c r="B432" s="8"/>
      <c r="C432" s="89"/>
      <c r="D432" s="89"/>
      <c r="E432" s="89"/>
      <c r="F432" s="10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54"/>
      <c r="B433" s="8"/>
      <c r="C433" s="89"/>
      <c r="D433" s="89"/>
      <c r="E433" s="89"/>
      <c r="F433" s="10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54"/>
      <c r="B434" s="8"/>
      <c r="C434" s="89"/>
      <c r="D434" s="89"/>
      <c r="E434" s="89"/>
      <c r="F434" s="10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54"/>
      <c r="B435" s="8"/>
      <c r="C435" s="89"/>
      <c r="D435" s="89"/>
      <c r="E435" s="89"/>
      <c r="F435" s="10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54"/>
      <c r="B436" s="8"/>
      <c r="C436" s="89"/>
      <c r="D436" s="89"/>
      <c r="E436" s="89"/>
      <c r="F436" s="10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54"/>
      <c r="B437" s="8"/>
      <c r="C437" s="89"/>
      <c r="D437" s="89"/>
      <c r="E437" s="89"/>
      <c r="F437" s="10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54"/>
      <c r="B438" s="8"/>
      <c r="C438" s="89"/>
      <c r="D438" s="89"/>
      <c r="E438" s="89"/>
      <c r="F438" s="10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54"/>
      <c r="B439" s="8"/>
      <c r="C439" s="89"/>
      <c r="D439" s="89"/>
      <c r="E439" s="89"/>
      <c r="F439" s="10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54"/>
      <c r="B440" s="8"/>
      <c r="C440" s="89"/>
      <c r="D440" s="89"/>
      <c r="E440" s="89"/>
      <c r="F440" s="10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54"/>
      <c r="B441" s="8"/>
      <c r="C441" s="89"/>
      <c r="D441" s="89"/>
      <c r="E441" s="89"/>
      <c r="F441" s="10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54"/>
      <c r="B442" s="8"/>
      <c r="C442" s="89"/>
      <c r="D442" s="89"/>
      <c r="E442" s="89"/>
      <c r="F442" s="10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54"/>
      <c r="B443" s="8"/>
      <c r="C443" s="89"/>
      <c r="D443" s="89"/>
      <c r="E443" s="89"/>
      <c r="F443" s="10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54"/>
      <c r="B444" s="8"/>
      <c r="C444" s="89"/>
      <c r="D444" s="89"/>
      <c r="E444" s="89"/>
      <c r="F444" s="10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54"/>
      <c r="B445" s="8"/>
      <c r="C445" s="89"/>
      <c r="D445" s="89"/>
      <c r="E445" s="89"/>
      <c r="F445" s="10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54"/>
      <c r="B446" s="8"/>
      <c r="C446" s="89"/>
      <c r="D446" s="89"/>
      <c r="E446" s="89"/>
      <c r="F446" s="10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54"/>
      <c r="B447" s="8"/>
      <c r="C447" s="89"/>
      <c r="D447" s="89"/>
      <c r="E447" s="89"/>
      <c r="F447" s="10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54"/>
      <c r="B448" s="8"/>
      <c r="C448" s="89"/>
      <c r="D448" s="89"/>
      <c r="E448" s="89"/>
      <c r="F448" s="10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54"/>
      <c r="B449" s="8"/>
      <c r="C449" s="89"/>
      <c r="D449" s="89"/>
      <c r="E449" s="89"/>
      <c r="F449" s="10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54"/>
      <c r="B450" s="8"/>
      <c r="C450" s="89"/>
      <c r="D450" s="89"/>
      <c r="E450" s="89"/>
      <c r="F450" s="10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54"/>
      <c r="B451" s="8"/>
      <c r="C451" s="89"/>
      <c r="D451" s="89"/>
      <c r="E451" s="89"/>
      <c r="F451" s="10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54"/>
      <c r="B452" s="8"/>
      <c r="C452" s="89"/>
      <c r="D452" s="89"/>
      <c r="E452" s="89"/>
      <c r="F452" s="10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54"/>
      <c r="B453" s="8"/>
      <c r="C453" s="89"/>
      <c r="D453" s="89"/>
      <c r="E453" s="89"/>
      <c r="F453" s="10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54"/>
      <c r="B454" s="8"/>
      <c r="C454" s="89"/>
      <c r="D454" s="89"/>
      <c r="E454" s="89"/>
      <c r="F454" s="10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54"/>
      <c r="B455" s="8"/>
      <c r="C455" s="89"/>
      <c r="D455" s="89"/>
      <c r="E455" s="89"/>
      <c r="F455" s="10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54"/>
      <c r="B456" s="8"/>
      <c r="C456" s="89"/>
      <c r="D456" s="89"/>
      <c r="E456" s="89"/>
      <c r="F456" s="10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54"/>
      <c r="B457" s="8"/>
      <c r="C457" s="89"/>
      <c r="D457" s="89"/>
      <c r="E457" s="89"/>
      <c r="F457" s="10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54"/>
      <c r="B458" s="8"/>
      <c r="C458" s="89"/>
      <c r="D458" s="89"/>
      <c r="E458" s="89"/>
      <c r="F458" s="10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54"/>
      <c r="B459" s="8"/>
      <c r="C459" s="89"/>
      <c r="D459" s="89"/>
      <c r="E459" s="89"/>
      <c r="F459" s="10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54"/>
      <c r="B460" s="8"/>
      <c r="C460" s="89"/>
      <c r="D460" s="89"/>
      <c r="E460" s="89"/>
      <c r="F460" s="10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54"/>
      <c r="B461" s="8"/>
      <c r="C461" s="89"/>
      <c r="D461" s="89"/>
      <c r="E461" s="89"/>
      <c r="F461" s="10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54"/>
      <c r="B462" s="8"/>
      <c r="C462" s="89"/>
      <c r="D462" s="89"/>
      <c r="E462" s="89"/>
      <c r="F462" s="10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54"/>
      <c r="B463" s="8"/>
      <c r="C463" s="89"/>
      <c r="D463" s="89"/>
      <c r="E463" s="89"/>
      <c r="F463" s="10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54"/>
      <c r="B464" s="8"/>
      <c r="C464" s="89"/>
      <c r="D464" s="89"/>
      <c r="E464" s="89"/>
      <c r="F464" s="10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54"/>
      <c r="B465" s="8"/>
      <c r="C465" s="89"/>
      <c r="D465" s="89"/>
      <c r="E465" s="89"/>
      <c r="F465" s="10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54"/>
      <c r="B466" s="8"/>
      <c r="C466" s="89"/>
      <c r="D466" s="89"/>
      <c r="E466" s="89"/>
      <c r="F466" s="10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54"/>
      <c r="B467" s="8"/>
      <c r="C467" s="89"/>
      <c r="D467" s="89"/>
      <c r="E467" s="89"/>
      <c r="F467" s="10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54"/>
      <c r="B468" s="8"/>
      <c r="C468" s="89"/>
      <c r="D468" s="89"/>
      <c r="E468" s="89"/>
      <c r="F468" s="10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54"/>
      <c r="B469" s="8"/>
      <c r="C469" s="89"/>
      <c r="D469" s="89"/>
      <c r="E469" s="89"/>
      <c r="F469" s="10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54"/>
      <c r="B470" s="8"/>
      <c r="C470" s="89"/>
      <c r="D470" s="89"/>
      <c r="E470" s="89"/>
      <c r="F470" s="10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54"/>
      <c r="B471" s="8"/>
      <c r="C471" s="89"/>
      <c r="D471" s="89"/>
      <c r="E471" s="89"/>
      <c r="F471" s="10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54"/>
      <c r="B472" s="8"/>
      <c r="C472" s="89"/>
      <c r="D472" s="89"/>
      <c r="E472" s="89"/>
      <c r="F472" s="10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54"/>
      <c r="B473" s="8"/>
      <c r="C473" s="89"/>
      <c r="D473" s="89"/>
      <c r="E473" s="89"/>
      <c r="F473" s="10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54"/>
      <c r="B474" s="8"/>
      <c r="C474" s="89"/>
      <c r="D474" s="89"/>
      <c r="E474" s="89"/>
      <c r="F474" s="10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54"/>
      <c r="B475" s="8"/>
      <c r="C475" s="89"/>
      <c r="D475" s="89"/>
      <c r="E475" s="89"/>
      <c r="F475" s="10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54"/>
      <c r="B476" s="8"/>
      <c r="C476" s="89"/>
      <c r="D476" s="89"/>
      <c r="E476" s="89"/>
      <c r="F476" s="10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54"/>
      <c r="B477" s="8"/>
      <c r="C477" s="89"/>
      <c r="D477" s="89"/>
      <c r="E477" s="89"/>
      <c r="F477" s="10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54"/>
      <c r="B478" s="8"/>
      <c r="C478" s="89"/>
      <c r="D478" s="89"/>
      <c r="E478" s="89"/>
      <c r="F478" s="10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54"/>
      <c r="B479" s="8"/>
      <c r="C479" s="89"/>
      <c r="D479" s="89"/>
      <c r="E479" s="89"/>
      <c r="F479" s="10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54"/>
      <c r="B480" s="8"/>
      <c r="C480" s="89"/>
      <c r="D480" s="89"/>
      <c r="E480" s="89"/>
      <c r="F480" s="10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54"/>
      <c r="B481" s="8"/>
      <c r="C481" s="89"/>
      <c r="D481" s="89"/>
      <c r="E481" s="89"/>
      <c r="F481" s="10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54"/>
      <c r="B482" s="8"/>
      <c r="C482" s="89"/>
      <c r="D482" s="89"/>
      <c r="E482" s="89"/>
      <c r="F482" s="10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54"/>
      <c r="B483" s="8"/>
      <c r="C483" s="89"/>
      <c r="D483" s="89"/>
      <c r="E483" s="89"/>
      <c r="F483" s="10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54"/>
      <c r="B484" s="8"/>
      <c r="C484" s="89"/>
      <c r="D484" s="89"/>
      <c r="E484" s="89"/>
      <c r="F484" s="10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54"/>
      <c r="B485" s="8"/>
      <c r="C485" s="89"/>
      <c r="D485" s="89"/>
      <c r="E485" s="89"/>
      <c r="F485" s="10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54"/>
      <c r="B486" s="8"/>
      <c r="C486" s="89"/>
      <c r="D486" s="89"/>
      <c r="E486" s="89"/>
      <c r="F486" s="10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54"/>
      <c r="B487" s="8"/>
      <c r="C487" s="89"/>
      <c r="D487" s="89"/>
      <c r="E487" s="89"/>
      <c r="F487" s="10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54"/>
      <c r="B488" s="8"/>
      <c r="C488" s="89"/>
      <c r="D488" s="89"/>
      <c r="E488" s="89"/>
      <c r="F488" s="10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54"/>
      <c r="B489" s="8"/>
      <c r="C489" s="89"/>
      <c r="D489" s="89"/>
      <c r="E489" s="89"/>
      <c r="F489" s="10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54"/>
      <c r="B490" s="8"/>
      <c r="C490" s="89"/>
      <c r="D490" s="89"/>
      <c r="E490" s="89"/>
      <c r="F490" s="10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54"/>
      <c r="B491" s="8"/>
      <c r="C491" s="89"/>
      <c r="D491" s="89"/>
      <c r="E491" s="89"/>
      <c r="F491" s="10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54"/>
      <c r="B492" s="8"/>
      <c r="C492" s="89"/>
      <c r="D492" s="89"/>
      <c r="E492" s="89"/>
      <c r="F492" s="10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54"/>
      <c r="B493" s="8"/>
      <c r="C493" s="89"/>
      <c r="D493" s="89"/>
      <c r="E493" s="89"/>
      <c r="F493" s="10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54"/>
      <c r="B494" s="8"/>
      <c r="C494" s="89"/>
      <c r="D494" s="89"/>
      <c r="E494" s="89"/>
      <c r="F494" s="10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54"/>
      <c r="B495" s="8"/>
      <c r="C495" s="89"/>
      <c r="D495" s="89"/>
      <c r="E495" s="89"/>
      <c r="F495" s="10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54"/>
      <c r="B496" s="8"/>
      <c r="C496" s="89"/>
      <c r="D496" s="89"/>
      <c r="E496" s="89"/>
      <c r="F496" s="10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54"/>
      <c r="B497" s="8"/>
      <c r="C497" s="89"/>
      <c r="D497" s="89"/>
      <c r="E497" s="89"/>
      <c r="F497" s="10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54"/>
      <c r="B498" s="8"/>
      <c r="C498" s="89"/>
      <c r="D498" s="89"/>
      <c r="E498" s="89"/>
      <c r="F498" s="10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54"/>
      <c r="B499" s="8"/>
      <c r="C499" s="89"/>
      <c r="D499" s="89"/>
      <c r="E499" s="89"/>
      <c r="F499" s="10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54"/>
      <c r="B500" s="8"/>
      <c r="C500" s="89"/>
      <c r="D500" s="89"/>
      <c r="E500" s="89"/>
      <c r="F500" s="10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54"/>
      <c r="B501" s="8"/>
      <c r="C501" s="89"/>
      <c r="D501" s="89"/>
      <c r="E501" s="89"/>
      <c r="F501" s="10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54"/>
      <c r="B502" s="8"/>
      <c r="C502" s="89"/>
      <c r="D502" s="89"/>
      <c r="E502" s="89"/>
      <c r="F502" s="10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54"/>
      <c r="B503" s="8"/>
      <c r="C503" s="89"/>
      <c r="D503" s="89"/>
      <c r="E503" s="89"/>
      <c r="F503" s="10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54"/>
      <c r="B504" s="8"/>
      <c r="C504" s="89"/>
      <c r="D504" s="89"/>
      <c r="E504" s="89"/>
      <c r="F504" s="10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54"/>
      <c r="B505" s="8"/>
      <c r="C505" s="89"/>
      <c r="D505" s="89"/>
      <c r="E505" s="89"/>
      <c r="F505" s="10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54"/>
      <c r="B506" s="8"/>
      <c r="C506" s="89"/>
      <c r="D506" s="89"/>
      <c r="E506" s="89"/>
      <c r="F506" s="10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54"/>
      <c r="B507" s="8"/>
      <c r="C507" s="89"/>
      <c r="D507" s="89"/>
      <c r="E507" s="89"/>
      <c r="F507" s="10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54"/>
      <c r="B508" s="8"/>
      <c r="C508" s="89"/>
      <c r="D508" s="89"/>
      <c r="E508" s="89"/>
      <c r="F508" s="10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54"/>
      <c r="B509" s="8"/>
      <c r="C509" s="89"/>
      <c r="D509" s="89"/>
      <c r="E509" s="89"/>
      <c r="F509" s="10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54"/>
      <c r="B510" s="8"/>
      <c r="C510" s="89"/>
      <c r="D510" s="89"/>
      <c r="E510" s="89"/>
      <c r="F510" s="10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54"/>
      <c r="B511" s="8"/>
      <c r="C511" s="89"/>
      <c r="D511" s="89"/>
      <c r="E511" s="89"/>
      <c r="F511" s="10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54"/>
      <c r="B512" s="8"/>
      <c r="C512" s="89"/>
      <c r="D512" s="89"/>
      <c r="E512" s="89"/>
      <c r="F512" s="10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54"/>
      <c r="B513" s="8"/>
      <c r="C513" s="89"/>
      <c r="D513" s="89"/>
      <c r="E513" s="89"/>
      <c r="F513" s="10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54"/>
      <c r="B514" s="8"/>
      <c r="C514" s="89"/>
      <c r="D514" s="89"/>
      <c r="E514" s="89"/>
      <c r="F514" s="10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54"/>
      <c r="B515" s="8"/>
      <c r="C515" s="89"/>
      <c r="D515" s="89"/>
      <c r="E515" s="89"/>
      <c r="F515" s="10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54"/>
      <c r="B516" s="8"/>
      <c r="C516" s="89"/>
      <c r="D516" s="89"/>
      <c r="E516" s="89"/>
      <c r="F516" s="10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54"/>
      <c r="B517" s="8"/>
      <c r="C517" s="89"/>
      <c r="D517" s="89"/>
      <c r="E517" s="89"/>
      <c r="F517" s="10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54"/>
      <c r="B518" s="8"/>
      <c r="C518" s="89"/>
      <c r="D518" s="89"/>
      <c r="E518" s="89"/>
      <c r="F518" s="10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54"/>
      <c r="B519" s="8"/>
      <c r="C519" s="89"/>
      <c r="D519" s="89"/>
      <c r="E519" s="89"/>
      <c r="F519" s="10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54"/>
      <c r="B520" s="8"/>
      <c r="C520" s="89"/>
      <c r="D520" s="89"/>
      <c r="E520" s="89"/>
      <c r="F520" s="10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54"/>
      <c r="B521" s="8"/>
      <c r="C521" s="89"/>
      <c r="D521" s="89"/>
      <c r="E521" s="89"/>
      <c r="F521" s="10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54"/>
      <c r="B522" s="8"/>
      <c r="C522" s="89"/>
      <c r="D522" s="89"/>
      <c r="E522" s="89"/>
      <c r="F522" s="10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54"/>
      <c r="B523" s="8"/>
      <c r="C523" s="89"/>
      <c r="D523" s="89"/>
      <c r="E523" s="89"/>
      <c r="F523" s="10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54"/>
      <c r="B524" s="8"/>
      <c r="C524" s="89"/>
      <c r="D524" s="89"/>
      <c r="E524" s="89"/>
      <c r="F524" s="10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54"/>
      <c r="B525" s="8"/>
      <c r="C525" s="89"/>
      <c r="D525" s="89"/>
      <c r="E525" s="89"/>
      <c r="F525" s="10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54"/>
      <c r="B526" s="8"/>
      <c r="C526" s="89"/>
      <c r="D526" s="89"/>
      <c r="E526" s="89"/>
      <c r="F526" s="10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54"/>
      <c r="B527" s="8"/>
      <c r="C527" s="89"/>
      <c r="D527" s="89"/>
      <c r="E527" s="89"/>
      <c r="F527" s="10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54"/>
      <c r="B528" s="8"/>
      <c r="C528" s="89"/>
      <c r="D528" s="89"/>
      <c r="E528" s="89"/>
      <c r="F528" s="10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54"/>
      <c r="B529" s="8"/>
      <c r="C529" s="89"/>
      <c r="D529" s="89"/>
      <c r="E529" s="89"/>
      <c r="F529" s="10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54"/>
      <c r="B530" s="8"/>
      <c r="C530" s="89"/>
      <c r="D530" s="89"/>
      <c r="E530" s="89"/>
      <c r="F530" s="10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54"/>
      <c r="B531" s="8"/>
      <c r="C531" s="89"/>
      <c r="D531" s="89"/>
      <c r="E531" s="89"/>
      <c r="F531" s="10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54"/>
      <c r="B532" s="8"/>
      <c r="C532" s="89"/>
      <c r="D532" s="89"/>
      <c r="E532" s="89"/>
      <c r="F532" s="10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54"/>
      <c r="B533" s="8"/>
      <c r="C533" s="89"/>
      <c r="D533" s="89"/>
      <c r="E533" s="89"/>
      <c r="F533" s="10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54"/>
      <c r="B534" s="8"/>
      <c r="C534" s="89"/>
      <c r="D534" s="89"/>
      <c r="E534" s="89"/>
      <c r="F534" s="10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54"/>
      <c r="B535" s="8"/>
      <c r="C535" s="89"/>
      <c r="D535" s="89"/>
      <c r="E535" s="89"/>
      <c r="F535" s="10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54"/>
      <c r="B536" s="8"/>
      <c r="C536" s="89"/>
      <c r="D536" s="89"/>
      <c r="E536" s="89"/>
      <c r="F536" s="10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54"/>
      <c r="B537" s="8"/>
      <c r="C537" s="89"/>
      <c r="D537" s="89"/>
      <c r="E537" s="89"/>
      <c r="F537" s="10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54"/>
      <c r="B538" s="8"/>
      <c r="C538" s="89"/>
      <c r="D538" s="89"/>
      <c r="E538" s="89"/>
      <c r="F538" s="10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54"/>
      <c r="B539" s="8"/>
      <c r="C539" s="89"/>
      <c r="D539" s="89"/>
      <c r="E539" s="89"/>
      <c r="F539" s="10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54"/>
      <c r="B540" s="8"/>
      <c r="C540" s="89"/>
      <c r="D540" s="89"/>
      <c r="E540" s="89"/>
      <c r="F540" s="10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54"/>
      <c r="B541" s="8"/>
      <c r="C541" s="89"/>
      <c r="D541" s="89"/>
      <c r="E541" s="89"/>
      <c r="F541" s="10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54"/>
      <c r="B542" s="8"/>
      <c r="C542" s="89"/>
      <c r="D542" s="89"/>
      <c r="E542" s="89"/>
      <c r="F542" s="10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54"/>
      <c r="B543" s="8"/>
      <c r="C543" s="89"/>
      <c r="D543" s="89"/>
      <c r="E543" s="89"/>
      <c r="F543" s="10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54"/>
      <c r="B544" s="8"/>
      <c r="C544" s="89"/>
      <c r="D544" s="89"/>
      <c r="E544" s="89"/>
      <c r="F544" s="10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54"/>
      <c r="B545" s="8"/>
      <c r="C545" s="89"/>
      <c r="D545" s="89"/>
      <c r="E545" s="89"/>
      <c r="F545" s="10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54"/>
      <c r="B546" s="8"/>
      <c r="C546" s="89"/>
      <c r="D546" s="89"/>
      <c r="E546" s="89"/>
      <c r="F546" s="10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54"/>
      <c r="B547" s="8"/>
      <c r="C547" s="89"/>
      <c r="D547" s="89"/>
      <c r="E547" s="89"/>
      <c r="F547" s="10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54"/>
      <c r="B548" s="8"/>
      <c r="C548" s="89"/>
      <c r="D548" s="89"/>
      <c r="E548" s="89"/>
      <c r="F548" s="10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54"/>
      <c r="B549" s="8"/>
      <c r="C549" s="89"/>
      <c r="D549" s="89"/>
      <c r="E549" s="89"/>
      <c r="F549" s="10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54"/>
      <c r="B550" s="8"/>
      <c r="C550" s="89"/>
      <c r="D550" s="89"/>
      <c r="E550" s="89"/>
      <c r="F550" s="10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54"/>
      <c r="B551" s="8"/>
      <c r="C551" s="89"/>
      <c r="D551" s="89"/>
      <c r="E551" s="89"/>
      <c r="F551" s="10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54"/>
      <c r="B552" s="8"/>
      <c r="C552" s="89"/>
      <c r="D552" s="89"/>
      <c r="E552" s="89"/>
      <c r="F552" s="10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54"/>
      <c r="B553" s="8"/>
      <c r="C553" s="89"/>
      <c r="D553" s="89"/>
      <c r="E553" s="89"/>
      <c r="F553" s="10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54"/>
      <c r="B554" s="8"/>
      <c r="C554" s="89"/>
      <c r="D554" s="89"/>
      <c r="E554" s="89"/>
      <c r="F554" s="10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54"/>
      <c r="B555" s="8"/>
      <c r="C555" s="89"/>
      <c r="D555" s="89"/>
      <c r="E555" s="89"/>
      <c r="F555" s="10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54"/>
      <c r="B556" s="8"/>
      <c r="C556" s="89"/>
      <c r="D556" s="89"/>
      <c r="E556" s="89"/>
      <c r="F556" s="10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54"/>
      <c r="B557" s="8"/>
      <c r="C557" s="89"/>
      <c r="D557" s="89"/>
      <c r="E557" s="89"/>
      <c r="F557" s="10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54"/>
      <c r="B558" s="8"/>
      <c r="C558" s="89"/>
      <c r="D558" s="89"/>
      <c r="E558" s="89"/>
      <c r="F558" s="10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54"/>
      <c r="B559" s="8"/>
      <c r="C559" s="89"/>
      <c r="D559" s="89"/>
      <c r="E559" s="89"/>
      <c r="F559" s="10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54"/>
      <c r="B560" s="8"/>
      <c r="C560" s="89"/>
      <c r="D560" s="89"/>
      <c r="E560" s="89"/>
      <c r="F560" s="10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54"/>
      <c r="B561" s="8"/>
      <c r="C561" s="89"/>
      <c r="D561" s="89"/>
      <c r="E561" s="89"/>
      <c r="F561" s="10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54"/>
      <c r="B562" s="8"/>
      <c r="C562" s="89"/>
      <c r="D562" s="89"/>
      <c r="E562" s="89"/>
      <c r="F562" s="10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54"/>
      <c r="B563" s="8"/>
      <c r="C563" s="89"/>
      <c r="D563" s="89"/>
      <c r="E563" s="89"/>
      <c r="F563" s="10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54"/>
      <c r="B564" s="8"/>
      <c r="C564" s="89"/>
      <c r="D564" s="89"/>
      <c r="E564" s="89"/>
      <c r="F564" s="10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54"/>
      <c r="B565" s="8"/>
      <c r="C565" s="89"/>
      <c r="D565" s="89"/>
      <c r="E565" s="89"/>
      <c r="F565" s="10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54"/>
      <c r="B566" s="8"/>
      <c r="C566" s="89"/>
      <c r="D566" s="89"/>
      <c r="E566" s="89"/>
      <c r="F566" s="10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54"/>
      <c r="B567" s="8"/>
      <c r="C567" s="89"/>
      <c r="D567" s="89"/>
      <c r="E567" s="89"/>
      <c r="F567" s="10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54"/>
      <c r="B568" s="8"/>
      <c r="C568" s="89"/>
      <c r="D568" s="89"/>
      <c r="E568" s="89"/>
      <c r="F568" s="10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54"/>
      <c r="B569" s="8"/>
      <c r="C569" s="89"/>
      <c r="D569" s="89"/>
      <c r="E569" s="89"/>
      <c r="F569" s="10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54"/>
      <c r="B570" s="8"/>
      <c r="C570" s="89"/>
      <c r="D570" s="89"/>
      <c r="E570" s="89"/>
      <c r="F570" s="10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54"/>
      <c r="B571" s="8"/>
      <c r="C571" s="89"/>
      <c r="D571" s="89"/>
      <c r="E571" s="89"/>
      <c r="F571" s="10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54"/>
      <c r="B572" s="8"/>
      <c r="C572" s="89"/>
      <c r="D572" s="89"/>
      <c r="E572" s="89"/>
      <c r="F572" s="10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54"/>
      <c r="B573" s="8"/>
      <c r="C573" s="89"/>
      <c r="D573" s="89"/>
      <c r="E573" s="89"/>
      <c r="F573" s="10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54"/>
      <c r="B574" s="8"/>
      <c r="C574" s="89"/>
      <c r="D574" s="89"/>
      <c r="E574" s="89"/>
      <c r="F574" s="10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54"/>
      <c r="B575" s="8"/>
      <c r="C575" s="89"/>
      <c r="D575" s="89"/>
      <c r="E575" s="89"/>
      <c r="F575" s="10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54"/>
      <c r="B576" s="8"/>
      <c r="C576" s="89"/>
      <c r="D576" s="89"/>
      <c r="E576" s="89"/>
      <c r="F576" s="10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54"/>
      <c r="B577" s="8"/>
      <c r="C577" s="89"/>
      <c r="D577" s="89"/>
      <c r="E577" s="89"/>
      <c r="F577" s="10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54"/>
      <c r="B578" s="8"/>
      <c r="C578" s="89"/>
      <c r="D578" s="89"/>
      <c r="E578" s="89"/>
      <c r="F578" s="10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54"/>
      <c r="B579" s="8"/>
      <c r="C579" s="89"/>
      <c r="D579" s="89"/>
      <c r="E579" s="89"/>
      <c r="F579" s="10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54"/>
      <c r="B580" s="8"/>
      <c r="C580" s="89"/>
      <c r="D580" s="89"/>
      <c r="E580" s="89"/>
      <c r="F580" s="10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54"/>
      <c r="B581" s="8"/>
      <c r="C581" s="89"/>
      <c r="D581" s="89"/>
      <c r="E581" s="89"/>
      <c r="F581" s="10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54"/>
      <c r="B582" s="8"/>
      <c r="C582" s="89"/>
      <c r="D582" s="89"/>
      <c r="E582" s="89"/>
      <c r="F582" s="10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54"/>
      <c r="B583" s="8"/>
      <c r="C583" s="89"/>
      <c r="D583" s="89"/>
      <c r="E583" s="89"/>
      <c r="F583" s="10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54"/>
      <c r="B584" s="8"/>
      <c r="C584" s="89"/>
      <c r="D584" s="89"/>
      <c r="E584" s="89"/>
      <c r="F584" s="10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54"/>
      <c r="B585" s="8"/>
      <c r="C585" s="89"/>
      <c r="D585" s="89"/>
      <c r="E585" s="89"/>
      <c r="F585" s="10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54"/>
      <c r="B586" s="8"/>
      <c r="C586" s="89"/>
      <c r="D586" s="89"/>
      <c r="E586" s="89"/>
      <c r="F586" s="10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54"/>
      <c r="B587" s="8"/>
      <c r="C587" s="89"/>
      <c r="D587" s="89"/>
      <c r="E587" s="89"/>
      <c r="F587" s="10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54"/>
      <c r="B588" s="8"/>
      <c r="C588" s="89"/>
      <c r="D588" s="89"/>
      <c r="E588" s="89"/>
      <c r="F588" s="10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54"/>
      <c r="B589" s="8"/>
      <c r="C589" s="89"/>
      <c r="D589" s="89"/>
      <c r="E589" s="89"/>
      <c r="F589" s="10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54"/>
      <c r="B590" s="8"/>
      <c r="C590" s="89"/>
      <c r="D590" s="89"/>
      <c r="E590" s="89"/>
      <c r="F590" s="10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54"/>
      <c r="B591" s="8"/>
      <c r="C591" s="89"/>
      <c r="D591" s="89"/>
      <c r="E591" s="89"/>
      <c r="F591" s="10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54"/>
      <c r="B592" s="8"/>
      <c r="C592" s="89"/>
      <c r="D592" s="89"/>
      <c r="E592" s="89"/>
      <c r="F592" s="10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54"/>
      <c r="B593" s="8"/>
      <c r="C593" s="89"/>
      <c r="D593" s="89"/>
      <c r="E593" s="89"/>
      <c r="F593" s="10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54"/>
      <c r="B594" s="8"/>
      <c r="C594" s="89"/>
      <c r="D594" s="89"/>
      <c r="E594" s="89"/>
      <c r="F594" s="10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54"/>
      <c r="B595" s="8"/>
      <c r="C595" s="89"/>
      <c r="D595" s="89"/>
      <c r="E595" s="89"/>
      <c r="F595" s="10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54"/>
      <c r="B596" s="8"/>
      <c r="C596" s="89"/>
      <c r="D596" s="89"/>
      <c r="E596" s="89"/>
      <c r="F596" s="10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54"/>
      <c r="B597" s="8"/>
      <c r="C597" s="89"/>
      <c r="D597" s="89"/>
      <c r="E597" s="89"/>
      <c r="F597" s="10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54"/>
      <c r="B598" s="8"/>
      <c r="C598" s="89"/>
      <c r="D598" s="89"/>
      <c r="E598" s="89"/>
      <c r="F598" s="10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54"/>
      <c r="B599" s="8"/>
      <c r="C599" s="89"/>
      <c r="D599" s="89"/>
      <c r="E599" s="89"/>
      <c r="F599" s="10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54"/>
      <c r="B600" s="8"/>
      <c r="C600" s="89"/>
      <c r="D600" s="89"/>
      <c r="E600" s="89"/>
      <c r="F600" s="10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54"/>
      <c r="B601" s="8"/>
      <c r="C601" s="89"/>
      <c r="D601" s="89"/>
      <c r="E601" s="89"/>
      <c r="F601" s="10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54"/>
      <c r="B602" s="8"/>
      <c r="C602" s="89"/>
      <c r="D602" s="89"/>
      <c r="E602" s="89"/>
      <c r="F602" s="10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54"/>
      <c r="B603" s="8"/>
      <c r="C603" s="89"/>
      <c r="D603" s="89"/>
      <c r="E603" s="89"/>
      <c r="F603" s="10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54"/>
      <c r="B604" s="8"/>
      <c r="C604" s="89"/>
      <c r="D604" s="89"/>
      <c r="E604" s="89"/>
      <c r="F604" s="10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54"/>
      <c r="B605" s="8"/>
      <c r="C605" s="89"/>
      <c r="D605" s="89"/>
      <c r="E605" s="89"/>
      <c r="F605" s="10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54"/>
      <c r="B606" s="8"/>
      <c r="C606" s="89"/>
      <c r="D606" s="89"/>
      <c r="E606" s="89"/>
      <c r="F606" s="10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54"/>
      <c r="B607" s="8"/>
      <c r="C607" s="89"/>
      <c r="D607" s="89"/>
      <c r="E607" s="89"/>
      <c r="F607" s="10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54"/>
      <c r="B608" s="8"/>
      <c r="C608" s="89"/>
      <c r="D608" s="89"/>
      <c r="E608" s="89"/>
      <c r="F608" s="10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54"/>
      <c r="B609" s="8"/>
      <c r="C609" s="89"/>
      <c r="D609" s="89"/>
      <c r="E609" s="89"/>
      <c r="F609" s="10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54"/>
      <c r="B610" s="8"/>
      <c r="C610" s="89"/>
      <c r="D610" s="89"/>
      <c r="E610" s="89"/>
      <c r="F610" s="10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54"/>
      <c r="B611" s="8"/>
      <c r="C611" s="89"/>
      <c r="D611" s="89"/>
      <c r="E611" s="89"/>
      <c r="F611" s="10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54"/>
      <c r="B612" s="8"/>
      <c r="C612" s="89"/>
      <c r="D612" s="89"/>
      <c r="E612" s="89"/>
      <c r="F612" s="10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54"/>
      <c r="B613" s="8"/>
      <c r="C613" s="89"/>
      <c r="D613" s="89"/>
      <c r="E613" s="89"/>
      <c r="F613" s="10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54"/>
      <c r="B614" s="8"/>
      <c r="C614" s="89"/>
      <c r="D614" s="89"/>
      <c r="E614" s="89"/>
      <c r="F614" s="10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54"/>
      <c r="B615" s="8"/>
      <c r="C615" s="89"/>
      <c r="D615" s="89"/>
      <c r="E615" s="89"/>
      <c r="F615" s="10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54"/>
      <c r="B616" s="8"/>
      <c r="C616" s="89"/>
      <c r="D616" s="89"/>
      <c r="E616" s="89"/>
      <c r="F616" s="10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54"/>
      <c r="B617" s="8"/>
      <c r="C617" s="89"/>
      <c r="D617" s="89"/>
      <c r="E617" s="89"/>
      <c r="F617" s="10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54"/>
      <c r="B618" s="8"/>
      <c r="C618" s="89"/>
      <c r="D618" s="89"/>
      <c r="E618" s="89"/>
      <c r="F618" s="10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54"/>
      <c r="B619" s="8"/>
      <c r="C619" s="89"/>
      <c r="D619" s="89"/>
      <c r="E619" s="89"/>
      <c r="F619" s="10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54"/>
      <c r="B620" s="8"/>
      <c r="C620" s="89"/>
      <c r="D620" s="89"/>
      <c r="E620" s="89"/>
      <c r="F620" s="10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54"/>
      <c r="B621" s="8"/>
      <c r="C621" s="89"/>
      <c r="D621" s="89"/>
      <c r="E621" s="89"/>
      <c r="F621" s="10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54"/>
      <c r="B622" s="8"/>
      <c r="C622" s="89"/>
      <c r="D622" s="89"/>
      <c r="E622" s="89"/>
      <c r="F622" s="10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54"/>
      <c r="B623" s="8"/>
      <c r="C623" s="89"/>
      <c r="D623" s="89"/>
      <c r="E623" s="89"/>
      <c r="F623" s="10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54"/>
      <c r="B624" s="8"/>
      <c r="C624" s="89"/>
      <c r="D624" s="89"/>
      <c r="E624" s="89"/>
      <c r="F624" s="10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54"/>
      <c r="B625" s="8"/>
      <c r="C625" s="89"/>
      <c r="D625" s="89"/>
      <c r="E625" s="89"/>
      <c r="F625" s="10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54"/>
      <c r="B626" s="8"/>
      <c r="C626" s="89"/>
      <c r="D626" s="89"/>
      <c r="E626" s="89"/>
      <c r="F626" s="10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54"/>
      <c r="B627" s="8"/>
      <c r="C627" s="89"/>
      <c r="D627" s="89"/>
      <c r="E627" s="89"/>
      <c r="F627" s="10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54"/>
      <c r="B628" s="8"/>
      <c r="C628" s="89"/>
      <c r="D628" s="89"/>
      <c r="E628" s="89"/>
      <c r="F628" s="10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54"/>
      <c r="B629" s="8"/>
      <c r="C629" s="89"/>
      <c r="D629" s="89"/>
      <c r="E629" s="89"/>
      <c r="F629" s="10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54"/>
      <c r="B630" s="8"/>
      <c r="C630" s="89"/>
      <c r="D630" s="89"/>
      <c r="E630" s="89"/>
      <c r="F630" s="10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54"/>
      <c r="B631" s="8"/>
      <c r="C631" s="89"/>
      <c r="D631" s="89"/>
      <c r="E631" s="89"/>
      <c r="F631" s="10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54"/>
      <c r="B632" s="8"/>
      <c r="C632" s="89"/>
      <c r="D632" s="89"/>
      <c r="E632" s="89"/>
      <c r="F632" s="10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54"/>
      <c r="B633" s="8"/>
      <c r="C633" s="89"/>
      <c r="D633" s="89"/>
      <c r="E633" s="89"/>
      <c r="F633" s="10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54"/>
      <c r="B634" s="8"/>
      <c r="C634" s="89"/>
      <c r="D634" s="89"/>
      <c r="E634" s="89"/>
      <c r="F634" s="10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54"/>
      <c r="B635" s="8"/>
      <c r="C635" s="89"/>
      <c r="D635" s="89"/>
      <c r="E635" s="89"/>
      <c r="F635" s="10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54"/>
      <c r="B636" s="8"/>
      <c r="C636" s="89"/>
      <c r="D636" s="89"/>
      <c r="E636" s="89"/>
      <c r="F636" s="10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54"/>
      <c r="B637" s="8"/>
      <c r="C637" s="89"/>
      <c r="D637" s="89"/>
      <c r="E637" s="89"/>
      <c r="F637" s="10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54"/>
      <c r="B638" s="8"/>
      <c r="C638" s="89"/>
      <c r="D638" s="89"/>
      <c r="E638" s="89"/>
      <c r="F638" s="10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54"/>
      <c r="B639" s="8"/>
      <c r="C639" s="89"/>
      <c r="D639" s="89"/>
      <c r="E639" s="89"/>
      <c r="F639" s="10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54"/>
      <c r="B640" s="8"/>
      <c r="C640" s="89"/>
      <c r="D640" s="89"/>
      <c r="E640" s="89"/>
      <c r="F640" s="10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54"/>
      <c r="B641" s="8"/>
      <c r="C641" s="89"/>
      <c r="D641" s="89"/>
      <c r="E641" s="89"/>
      <c r="F641" s="10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54"/>
      <c r="B642" s="8"/>
      <c r="C642" s="89"/>
      <c r="D642" s="89"/>
      <c r="E642" s="89"/>
      <c r="F642" s="10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54"/>
      <c r="B643" s="8"/>
      <c r="C643" s="89"/>
      <c r="D643" s="89"/>
      <c r="E643" s="89"/>
      <c r="F643" s="10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54"/>
      <c r="B644" s="8"/>
      <c r="C644" s="89"/>
      <c r="D644" s="89"/>
      <c r="E644" s="89"/>
      <c r="F644" s="10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54"/>
      <c r="B645" s="8"/>
      <c r="C645" s="89"/>
      <c r="D645" s="89"/>
      <c r="E645" s="89"/>
      <c r="F645" s="10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54"/>
      <c r="B646" s="8"/>
      <c r="C646" s="89"/>
      <c r="D646" s="89"/>
      <c r="E646" s="89"/>
      <c r="F646" s="10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54"/>
      <c r="B647" s="8"/>
      <c r="C647" s="89"/>
      <c r="D647" s="89"/>
      <c r="E647" s="89"/>
      <c r="F647" s="10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54"/>
      <c r="B648" s="8"/>
      <c r="C648" s="89"/>
      <c r="D648" s="89"/>
      <c r="E648" s="89"/>
      <c r="F648" s="10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54"/>
      <c r="B649" s="8"/>
      <c r="C649" s="89"/>
      <c r="D649" s="89"/>
      <c r="E649" s="89"/>
      <c r="F649" s="10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54"/>
      <c r="B650" s="8"/>
      <c r="C650" s="89"/>
      <c r="D650" s="89"/>
      <c r="E650" s="89"/>
      <c r="F650" s="10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54"/>
      <c r="B651" s="8"/>
      <c r="C651" s="89"/>
      <c r="D651" s="89"/>
      <c r="E651" s="89"/>
      <c r="F651" s="10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54"/>
      <c r="B652" s="8"/>
      <c r="C652" s="89"/>
      <c r="D652" s="89"/>
      <c r="E652" s="89"/>
      <c r="F652" s="10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54"/>
      <c r="B653" s="8"/>
      <c r="C653" s="89"/>
      <c r="D653" s="89"/>
      <c r="E653" s="89"/>
      <c r="F653" s="10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54"/>
      <c r="B654" s="8"/>
      <c r="C654" s="89"/>
      <c r="D654" s="89"/>
      <c r="E654" s="89"/>
      <c r="F654" s="10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54"/>
      <c r="B655" s="8"/>
      <c r="C655" s="89"/>
      <c r="D655" s="89"/>
      <c r="E655" s="89"/>
      <c r="F655" s="10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54"/>
      <c r="B656" s="8"/>
      <c r="C656" s="89"/>
      <c r="D656" s="89"/>
      <c r="E656" s="89"/>
      <c r="F656" s="10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54"/>
      <c r="B657" s="8"/>
      <c r="C657" s="89"/>
      <c r="D657" s="89"/>
      <c r="E657" s="89"/>
      <c r="F657" s="10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54"/>
      <c r="B658" s="8"/>
      <c r="C658" s="89"/>
      <c r="D658" s="89"/>
      <c r="E658" s="89"/>
      <c r="F658" s="10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54"/>
      <c r="B659" s="8"/>
      <c r="C659" s="89"/>
      <c r="D659" s="89"/>
      <c r="E659" s="89"/>
      <c r="F659" s="10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54"/>
      <c r="B660" s="8"/>
      <c r="C660" s="89"/>
      <c r="D660" s="89"/>
      <c r="E660" s="89"/>
      <c r="F660" s="10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54"/>
      <c r="B661" s="8"/>
      <c r="C661" s="89"/>
      <c r="D661" s="89"/>
      <c r="E661" s="89"/>
      <c r="F661" s="10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54"/>
      <c r="B662" s="8"/>
      <c r="C662" s="89"/>
      <c r="D662" s="89"/>
      <c r="E662" s="89"/>
      <c r="F662" s="10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54"/>
      <c r="B663" s="8"/>
      <c r="C663" s="89"/>
      <c r="D663" s="89"/>
      <c r="E663" s="89"/>
      <c r="F663" s="10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54"/>
      <c r="B664" s="8"/>
      <c r="C664" s="89"/>
      <c r="D664" s="89"/>
      <c r="E664" s="89"/>
      <c r="F664" s="10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54"/>
      <c r="B665" s="8"/>
      <c r="C665" s="89"/>
      <c r="D665" s="89"/>
      <c r="E665" s="89"/>
      <c r="F665" s="10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54"/>
      <c r="B666" s="8"/>
      <c r="C666" s="89"/>
      <c r="D666" s="89"/>
      <c r="E666" s="89"/>
      <c r="F666" s="10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54"/>
      <c r="B667" s="8"/>
      <c r="C667" s="89"/>
      <c r="D667" s="89"/>
      <c r="E667" s="89"/>
      <c r="F667" s="10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54"/>
      <c r="B668" s="8"/>
      <c r="C668" s="89"/>
      <c r="D668" s="89"/>
      <c r="E668" s="89"/>
      <c r="F668" s="10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54"/>
      <c r="B669" s="8"/>
      <c r="C669" s="89"/>
      <c r="D669" s="89"/>
      <c r="E669" s="89"/>
      <c r="F669" s="10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54"/>
      <c r="B670" s="8"/>
      <c r="C670" s="89"/>
      <c r="D670" s="89"/>
      <c r="E670" s="89"/>
      <c r="F670" s="10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54"/>
      <c r="B671" s="8"/>
      <c r="C671" s="89"/>
      <c r="D671" s="89"/>
      <c r="E671" s="89"/>
      <c r="F671" s="10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54"/>
      <c r="B672" s="8"/>
      <c r="C672" s="89"/>
      <c r="D672" s="89"/>
      <c r="E672" s="89"/>
      <c r="F672" s="10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54"/>
      <c r="B673" s="8"/>
      <c r="C673" s="89"/>
      <c r="D673" s="89"/>
      <c r="E673" s="89"/>
      <c r="F673" s="10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54"/>
      <c r="B674" s="8"/>
      <c r="C674" s="89"/>
      <c r="D674" s="89"/>
      <c r="E674" s="89"/>
      <c r="F674" s="10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54"/>
      <c r="B675" s="8"/>
      <c r="C675" s="89"/>
      <c r="D675" s="89"/>
      <c r="E675" s="89"/>
      <c r="F675" s="10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54"/>
      <c r="B676" s="8"/>
      <c r="C676" s="89"/>
      <c r="D676" s="89"/>
      <c r="E676" s="89"/>
      <c r="F676" s="10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54"/>
      <c r="B677" s="8"/>
      <c r="C677" s="89"/>
      <c r="D677" s="89"/>
      <c r="E677" s="89"/>
      <c r="F677" s="10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54"/>
      <c r="B678" s="8"/>
      <c r="C678" s="89"/>
      <c r="D678" s="89"/>
      <c r="E678" s="89"/>
      <c r="F678" s="10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54"/>
      <c r="B679" s="8"/>
      <c r="C679" s="89"/>
      <c r="D679" s="89"/>
      <c r="E679" s="89"/>
      <c r="F679" s="10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54"/>
      <c r="B680" s="8"/>
      <c r="C680" s="89"/>
      <c r="D680" s="89"/>
      <c r="E680" s="89"/>
      <c r="F680" s="10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54"/>
      <c r="B681" s="8"/>
      <c r="C681" s="89"/>
      <c r="D681" s="89"/>
      <c r="E681" s="89"/>
      <c r="F681" s="10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54"/>
      <c r="B682" s="8"/>
      <c r="C682" s="89"/>
      <c r="D682" s="89"/>
      <c r="E682" s="89"/>
      <c r="F682" s="10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54"/>
      <c r="B683" s="8"/>
      <c r="C683" s="89"/>
      <c r="D683" s="89"/>
      <c r="E683" s="89"/>
      <c r="F683" s="10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54"/>
      <c r="B684" s="8"/>
      <c r="C684" s="89"/>
      <c r="D684" s="89"/>
      <c r="E684" s="89"/>
      <c r="F684" s="10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54"/>
      <c r="B685" s="8"/>
      <c r="C685" s="89"/>
      <c r="D685" s="89"/>
      <c r="E685" s="89"/>
      <c r="F685" s="10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54"/>
      <c r="B686" s="8"/>
      <c r="C686" s="89"/>
      <c r="D686" s="89"/>
      <c r="E686" s="89"/>
      <c r="F686" s="10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54"/>
      <c r="B687" s="8"/>
      <c r="C687" s="89"/>
      <c r="D687" s="89"/>
      <c r="E687" s="89"/>
      <c r="F687" s="10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54"/>
      <c r="B688" s="8"/>
      <c r="C688" s="89"/>
      <c r="D688" s="89"/>
      <c r="E688" s="89"/>
      <c r="F688" s="10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54"/>
      <c r="B689" s="8"/>
      <c r="C689" s="89"/>
      <c r="D689" s="89"/>
      <c r="E689" s="89"/>
      <c r="F689" s="10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54"/>
      <c r="B690" s="8"/>
      <c r="C690" s="89"/>
      <c r="D690" s="89"/>
      <c r="E690" s="89"/>
      <c r="F690" s="10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54"/>
      <c r="B691" s="8"/>
      <c r="C691" s="89"/>
      <c r="D691" s="89"/>
      <c r="E691" s="89"/>
      <c r="F691" s="10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54"/>
      <c r="B692" s="8"/>
      <c r="C692" s="89"/>
      <c r="D692" s="89"/>
      <c r="E692" s="89"/>
      <c r="F692" s="10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54"/>
      <c r="B693" s="8"/>
      <c r="C693" s="89"/>
      <c r="D693" s="89"/>
      <c r="E693" s="89"/>
      <c r="F693" s="10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54"/>
      <c r="B694" s="8"/>
      <c r="C694" s="89"/>
      <c r="D694" s="89"/>
      <c r="E694" s="89"/>
      <c r="F694" s="10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54"/>
      <c r="B695" s="8"/>
      <c r="C695" s="89"/>
      <c r="D695" s="89"/>
      <c r="E695" s="89"/>
      <c r="F695" s="10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54"/>
      <c r="B696" s="8"/>
      <c r="C696" s="89"/>
      <c r="D696" s="89"/>
      <c r="E696" s="89"/>
      <c r="F696" s="10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54"/>
      <c r="B697" s="8"/>
      <c r="C697" s="89"/>
      <c r="D697" s="89"/>
      <c r="E697" s="89"/>
      <c r="F697" s="10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54"/>
      <c r="B698" s="8"/>
      <c r="C698" s="89"/>
      <c r="D698" s="89"/>
      <c r="E698" s="89"/>
      <c r="F698" s="10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54"/>
      <c r="B699" s="8"/>
      <c r="C699" s="89"/>
      <c r="D699" s="89"/>
      <c r="E699" s="89"/>
      <c r="F699" s="10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54"/>
      <c r="B700" s="8"/>
      <c r="C700" s="89"/>
      <c r="D700" s="89"/>
      <c r="E700" s="89"/>
      <c r="F700" s="10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54"/>
      <c r="B701" s="8"/>
      <c r="C701" s="89"/>
      <c r="D701" s="89"/>
      <c r="E701" s="89"/>
      <c r="F701" s="10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54"/>
      <c r="B702" s="8"/>
      <c r="C702" s="89"/>
      <c r="D702" s="89"/>
      <c r="E702" s="89"/>
      <c r="F702" s="10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54"/>
      <c r="B703" s="8"/>
      <c r="C703" s="89"/>
      <c r="D703" s="89"/>
      <c r="E703" s="89"/>
      <c r="F703" s="10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54"/>
      <c r="B704" s="8"/>
      <c r="C704" s="89"/>
      <c r="D704" s="89"/>
      <c r="E704" s="89"/>
      <c r="F704" s="10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54"/>
      <c r="B705" s="8"/>
      <c r="C705" s="89"/>
      <c r="D705" s="89"/>
      <c r="E705" s="89"/>
      <c r="F705" s="10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54"/>
      <c r="B706" s="8"/>
      <c r="C706" s="89"/>
      <c r="D706" s="89"/>
      <c r="E706" s="89"/>
      <c r="F706" s="10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54"/>
      <c r="B707" s="8"/>
      <c r="C707" s="89"/>
      <c r="D707" s="89"/>
      <c r="E707" s="89"/>
      <c r="F707" s="10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54"/>
      <c r="B708" s="8"/>
      <c r="C708" s="89"/>
      <c r="D708" s="89"/>
      <c r="E708" s="89"/>
      <c r="F708" s="10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54"/>
      <c r="B709" s="8"/>
      <c r="C709" s="89"/>
      <c r="D709" s="89"/>
      <c r="E709" s="89"/>
      <c r="F709" s="10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54"/>
      <c r="B710" s="8"/>
      <c r="C710" s="89"/>
      <c r="D710" s="89"/>
      <c r="E710" s="89"/>
      <c r="F710" s="10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54"/>
      <c r="B711" s="8"/>
      <c r="C711" s="89"/>
      <c r="D711" s="89"/>
      <c r="E711" s="89"/>
      <c r="F711" s="10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54"/>
      <c r="B712" s="8"/>
      <c r="C712" s="89"/>
      <c r="D712" s="89"/>
      <c r="E712" s="89"/>
      <c r="F712" s="10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54"/>
      <c r="B713" s="8"/>
      <c r="C713" s="89"/>
      <c r="D713" s="89"/>
      <c r="E713" s="89"/>
      <c r="F713" s="10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54"/>
      <c r="B714" s="8"/>
      <c r="C714" s="89"/>
      <c r="D714" s="89"/>
      <c r="E714" s="89"/>
      <c r="F714" s="10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54"/>
      <c r="B715" s="8"/>
      <c r="C715" s="89"/>
      <c r="D715" s="89"/>
      <c r="E715" s="89"/>
      <c r="F715" s="10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54"/>
      <c r="B716" s="8"/>
      <c r="C716" s="89"/>
      <c r="D716" s="89"/>
      <c r="E716" s="89"/>
      <c r="F716" s="10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54"/>
      <c r="B717" s="8"/>
      <c r="C717" s="89"/>
      <c r="D717" s="89"/>
      <c r="E717" s="89"/>
      <c r="F717" s="10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54"/>
      <c r="B718" s="8"/>
      <c r="C718" s="89"/>
      <c r="D718" s="89"/>
      <c r="E718" s="89"/>
      <c r="F718" s="10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54"/>
      <c r="B719" s="8"/>
      <c r="C719" s="89"/>
      <c r="D719" s="89"/>
      <c r="E719" s="89"/>
      <c r="F719" s="10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54"/>
      <c r="B720" s="8"/>
      <c r="C720" s="89"/>
      <c r="D720" s="89"/>
      <c r="E720" s="89"/>
      <c r="F720" s="10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54"/>
      <c r="B721" s="8"/>
      <c r="C721" s="89"/>
      <c r="D721" s="89"/>
      <c r="E721" s="89"/>
      <c r="F721" s="10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54"/>
      <c r="B722" s="8"/>
      <c r="C722" s="89"/>
      <c r="D722" s="89"/>
      <c r="E722" s="89"/>
      <c r="F722" s="10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54"/>
      <c r="B723" s="8"/>
      <c r="C723" s="89"/>
      <c r="D723" s="89"/>
      <c r="E723" s="89"/>
      <c r="F723" s="10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54"/>
      <c r="B724" s="8"/>
      <c r="C724" s="89"/>
      <c r="D724" s="89"/>
      <c r="E724" s="89"/>
      <c r="F724" s="10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54"/>
      <c r="B725" s="8"/>
      <c r="C725" s="89"/>
      <c r="D725" s="89"/>
      <c r="E725" s="89"/>
      <c r="F725" s="10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54"/>
      <c r="B726" s="8"/>
      <c r="C726" s="89"/>
      <c r="D726" s="89"/>
      <c r="E726" s="89"/>
      <c r="F726" s="10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54"/>
      <c r="B727" s="8"/>
      <c r="C727" s="89"/>
      <c r="D727" s="89"/>
      <c r="E727" s="89"/>
      <c r="F727" s="10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54"/>
      <c r="B728" s="8"/>
      <c r="C728" s="89"/>
      <c r="D728" s="89"/>
      <c r="E728" s="89"/>
      <c r="F728" s="10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54"/>
      <c r="B729" s="8"/>
      <c r="C729" s="89"/>
      <c r="D729" s="89"/>
      <c r="E729" s="89"/>
      <c r="F729" s="10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54"/>
      <c r="B730" s="8"/>
      <c r="C730" s="89"/>
      <c r="D730" s="89"/>
      <c r="E730" s="89"/>
      <c r="F730" s="10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54"/>
      <c r="B731" s="8"/>
      <c r="C731" s="89"/>
      <c r="D731" s="89"/>
      <c r="E731" s="89"/>
      <c r="F731" s="10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54"/>
      <c r="B732" s="8"/>
      <c r="C732" s="89"/>
      <c r="D732" s="89"/>
      <c r="E732" s="89"/>
      <c r="F732" s="10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54"/>
      <c r="B733" s="8"/>
      <c r="C733" s="89"/>
      <c r="D733" s="89"/>
      <c r="E733" s="89"/>
      <c r="F733" s="10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54"/>
      <c r="B734" s="8"/>
      <c r="C734" s="89"/>
      <c r="D734" s="89"/>
      <c r="E734" s="89"/>
      <c r="F734" s="10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54"/>
      <c r="B735" s="8"/>
      <c r="C735" s="89"/>
      <c r="D735" s="89"/>
      <c r="E735" s="89"/>
      <c r="F735" s="10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54"/>
      <c r="B736" s="8"/>
      <c r="C736" s="89"/>
      <c r="D736" s="89"/>
      <c r="E736" s="89"/>
      <c r="F736" s="10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54"/>
      <c r="B737" s="8"/>
      <c r="C737" s="89"/>
      <c r="D737" s="89"/>
      <c r="E737" s="89"/>
      <c r="F737" s="10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54"/>
      <c r="B738" s="8"/>
      <c r="C738" s="89"/>
      <c r="D738" s="89"/>
      <c r="E738" s="89"/>
      <c r="F738" s="10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54"/>
      <c r="B739" s="8"/>
      <c r="C739" s="89"/>
      <c r="D739" s="89"/>
      <c r="E739" s="89"/>
      <c r="F739" s="10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54"/>
      <c r="B740" s="8"/>
      <c r="C740" s="89"/>
      <c r="D740" s="89"/>
      <c r="E740" s="89"/>
      <c r="F740" s="10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54"/>
      <c r="B741" s="8"/>
      <c r="C741" s="89"/>
      <c r="D741" s="89"/>
      <c r="E741" s="89"/>
      <c r="F741" s="10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54"/>
      <c r="B742" s="8"/>
      <c r="C742" s="89"/>
      <c r="D742" s="89"/>
      <c r="E742" s="89"/>
      <c r="F742" s="10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54"/>
      <c r="B743" s="8"/>
      <c r="C743" s="89"/>
      <c r="D743" s="89"/>
      <c r="E743" s="89"/>
      <c r="F743" s="10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54"/>
      <c r="B744" s="8"/>
      <c r="C744" s="89"/>
      <c r="D744" s="89"/>
      <c r="E744" s="89"/>
      <c r="F744" s="10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54"/>
      <c r="B745" s="8"/>
      <c r="C745" s="89"/>
      <c r="D745" s="89"/>
      <c r="E745" s="89"/>
      <c r="F745" s="10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54"/>
      <c r="B746" s="8"/>
      <c r="C746" s="89"/>
      <c r="D746" s="89"/>
      <c r="E746" s="89"/>
      <c r="F746" s="10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54"/>
      <c r="B747" s="8"/>
      <c r="C747" s="89"/>
      <c r="D747" s="89"/>
      <c r="E747" s="89"/>
      <c r="F747" s="10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54"/>
      <c r="B748" s="8"/>
      <c r="C748" s="89"/>
      <c r="D748" s="89"/>
      <c r="E748" s="89"/>
      <c r="F748" s="10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54"/>
      <c r="B749" s="8"/>
      <c r="C749" s="89"/>
      <c r="D749" s="89"/>
      <c r="E749" s="89"/>
      <c r="F749" s="10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54"/>
      <c r="B750" s="8"/>
      <c r="C750" s="89"/>
      <c r="D750" s="89"/>
      <c r="E750" s="89"/>
      <c r="F750" s="10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54"/>
      <c r="B751" s="8"/>
      <c r="C751" s="89"/>
      <c r="D751" s="89"/>
      <c r="E751" s="89"/>
      <c r="F751" s="10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54"/>
      <c r="B752" s="8"/>
      <c r="C752" s="89"/>
      <c r="D752" s="89"/>
      <c r="E752" s="89"/>
      <c r="F752" s="10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54"/>
      <c r="B753" s="8"/>
      <c r="C753" s="89"/>
      <c r="D753" s="89"/>
      <c r="E753" s="89"/>
      <c r="F753" s="10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54"/>
      <c r="B754" s="8"/>
      <c r="C754" s="89"/>
      <c r="D754" s="89"/>
      <c r="E754" s="89"/>
      <c r="F754" s="10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54"/>
      <c r="B755" s="8"/>
      <c r="C755" s="89"/>
      <c r="D755" s="89"/>
      <c r="E755" s="89"/>
      <c r="F755" s="10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54"/>
      <c r="B756" s="8"/>
      <c r="C756" s="89"/>
      <c r="D756" s="89"/>
      <c r="E756" s="89"/>
      <c r="F756" s="10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54"/>
      <c r="B757" s="8"/>
      <c r="C757" s="89"/>
      <c r="D757" s="89"/>
      <c r="E757" s="89"/>
      <c r="F757" s="10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54"/>
      <c r="B758" s="8"/>
      <c r="C758" s="89"/>
      <c r="D758" s="89"/>
      <c r="E758" s="89"/>
      <c r="F758" s="10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54"/>
      <c r="B759" s="8"/>
      <c r="C759" s="89"/>
      <c r="D759" s="89"/>
      <c r="E759" s="89"/>
      <c r="F759" s="10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54"/>
      <c r="B760" s="8"/>
      <c r="C760" s="89"/>
      <c r="D760" s="89"/>
      <c r="E760" s="89"/>
      <c r="F760" s="10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54"/>
      <c r="B761" s="8"/>
      <c r="C761" s="89"/>
      <c r="D761" s="89"/>
      <c r="E761" s="89"/>
      <c r="F761" s="10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54"/>
      <c r="B762" s="8"/>
      <c r="C762" s="89"/>
      <c r="D762" s="89"/>
      <c r="E762" s="89"/>
      <c r="F762" s="10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54"/>
      <c r="B763" s="8"/>
      <c r="C763" s="89"/>
      <c r="D763" s="89"/>
      <c r="E763" s="89"/>
      <c r="F763" s="10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54"/>
      <c r="B764" s="8"/>
      <c r="C764" s="89"/>
      <c r="D764" s="89"/>
      <c r="E764" s="89"/>
      <c r="F764" s="10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54"/>
      <c r="B765" s="8"/>
      <c r="C765" s="89"/>
      <c r="D765" s="89"/>
      <c r="E765" s="89"/>
      <c r="F765" s="10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54"/>
      <c r="B766" s="8"/>
      <c r="C766" s="89"/>
      <c r="D766" s="89"/>
      <c r="E766" s="89"/>
      <c r="F766" s="10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54"/>
      <c r="B767" s="8"/>
      <c r="C767" s="89"/>
      <c r="D767" s="89"/>
      <c r="E767" s="89"/>
      <c r="F767" s="10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54"/>
      <c r="B768" s="8"/>
      <c r="C768" s="89"/>
      <c r="D768" s="89"/>
      <c r="E768" s="89"/>
      <c r="F768" s="10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54"/>
      <c r="B769" s="8"/>
      <c r="C769" s="89"/>
      <c r="D769" s="89"/>
      <c r="E769" s="89"/>
      <c r="F769" s="10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54"/>
      <c r="B770" s="8"/>
      <c r="C770" s="89"/>
      <c r="D770" s="89"/>
      <c r="E770" s="89"/>
      <c r="F770" s="10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54"/>
      <c r="B771" s="8"/>
      <c r="C771" s="89"/>
      <c r="D771" s="89"/>
      <c r="E771" s="89"/>
      <c r="F771" s="10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54"/>
      <c r="B772" s="8"/>
      <c r="C772" s="89"/>
      <c r="D772" s="89"/>
      <c r="E772" s="89"/>
      <c r="F772" s="10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54"/>
      <c r="B773" s="8"/>
      <c r="C773" s="89"/>
      <c r="D773" s="89"/>
      <c r="E773" s="89"/>
      <c r="F773" s="10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54"/>
      <c r="B774" s="8"/>
      <c r="C774" s="89"/>
      <c r="D774" s="89"/>
      <c r="E774" s="89"/>
      <c r="F774" s="10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54"/>
      <c r="B775" s="8"/>
      <c r="C775" s="89"/>
      <c r="D775" s="89"/>
      <c r="E775" s="89"/>
      <c r="F775" s="10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54"/>
      <c r="B776" s="8"/>
      <c r="C776" s="89"/>
      <c r="D776" s="89"/>
      <c r="E776" s="89"/>
      <c r="F776" s="10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54"/>
      <c r="B777" s="8"/>
      <c r="C777" s="89"/>
      <c r="D777" s="89"/>
      <c r="E777" s="89"/>
      <c r="F777" s="10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54"/>
      <c r="B778" s="8"/>
      <c r="C778" s="89"/>
      <c r="D778" s="89"/>
      <c r="E778" s="89"/>
      <c r="F778" s="10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54"/>
      <c r="B779" s="8"/>
      <c r="C779" s="89"/>
      <c r="D779" s="89"/>
      <c r="E779" s="89"/>
      <c r="F779" s="10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54"/>
      <c r="B780" s="8"/>
      <c r="C780" s="89"/>
      <c r="D780" s="89"/>
      <c r="E780" s="89"/>
      <c r="F780" s="10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54"/>
      <c r="B781" s="8"/>
      <c r="C781" s="89"/>
      <c r="D781" s="89"/>
      <c r="E781" s="89"/>
      <c r="F781" s="10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54"/>
      <c r="B782" s="8"/>
      <c r="C782" s="89"/>
      <c r="D782" s="89"/>
      <c r="E782" s="89"/>
      <c r="F782" s="10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54"/>
      <c r="B783" s="8"/>
      <c r="C783" s="89"/>
      <c r="D783" s="89"/>
      <c r="E783" s="89"/>
      <c r="F783" s="10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54"/>
      <c r="B784" s="8"/>
      <c r="C784" s="89"/>
      <c r="D784" s="89"/>
      <c r="E784" s="89"/>
      <c r="F784" s="10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54"/>
      <c r="B785" s="8"/>
      <c r="C785" s="89"/>
      <c r="D785" s="89"/>
      <c r="E785" s="89"/>
      <c r="F785" s="10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54"/>
      <c r="B786" s="8"/>
      <c r="C786" s="89"/>
      <c r="D786" s="89"/>
      <c r="E786" s="89"/>
      <c r="F786" s="10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54"/>
      <c r="B787" s="8"/>
      <c r="C787" s="89"/>
      <c r="D787" s="89"/>
      <c r="E787" s="89"/>
      <c r="F787" s="10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54"/>
      <c r="B788" s="8"/>
      <c r="C788" s="89"/>
      <c r="D788" s="89"/>
      <c r="E788" s="89"/>
      <c r="F788" s="10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54"/>
      <c r="B789" s="8"/>
      <c r="C789" s="89"/>
      <c r="D789" s="89"/>
      <c r="E789" s="89"/>
      <c r="F789" s="10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54"/>
      <c r="B790" s="8"/>
      <c r="C790" s="89"/>
      <c r="D790" s="89"/>
      <c r="E790" s="89"/>
      <c r="F790" s="10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54"/>
      <c r="B791" s="8"/>
      <c r="C791" s="89"/>
      <c r="D791" s="89"/>
      <c r="E791" s="89"/>
      <c r="F791" s="10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54"/>
      <c r="B792" s="8"/>
      <c r="C792" s="89"/>
      <c r="D792" s="89"/>
      <c r="E792" s="89"/>
      <c r="F792" s="10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54"/>
      <c r="B793" s="8"/>
      <c r="C793" s="89"/>
      <c r="D793" s="89"/>
      <c r="E793" s="89"/>
      <c r="F793" s="10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54"/>
      <c r="B794" s="8"/>
      <c r="C794" s="89"/>
      <c r="D794" s="89"/>
      <c r="E794" s="89"/>
      <c r="F794" s="10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54"/>
      <c r="B795" s="8"/>
      <c r="C795" s="89"/>
      <c r="D795" s="89"/>
      <c r="E795" s="89"/>
      <c r="F795" s="10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54"/>
      <c r="B796" s="8"/>
      <c r="C796" s="89"/>
      <c r="D796" s="89"/>
      <c r="E796" s="89"/>
      <c r="F796" s="10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54"/>
      <c r="B797" s="8"/>
      <c r="C797" s="89"/>
      <c r="D797" s="89"/>
      <c r="E797" s="89"/>
      <c r="F797" s="10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54"/>
      <c r="B798" s="8"/>
      <c r="C798" s="89"/>
      <c r="D798" s="89"/>
      <c r="E798" s="89"/>
      <c r="F798" s="10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54"/>
      <c r="B799" s="8"/>
      <c r="C799" s="89"/>
      <c r="D799" s="89"/>
      <c r="E799" s="89"/>
      <c r="F799" s="10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54"/>
      <c r="B800" s="8"/>
      <c r="C800" s="89"/>
      <c r="D800" s="89"/>
      <c r="E800" s="89"/>
      <c r="F800" s="10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54"/>
      <c r="B801" s="8"/>
      <c r="C801" s="89"/>
      <c r="D801" s="89"/>
      <c r="E801" s="89"/>
      <c r="F801" s="10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54"/>
      <c r="B802" s="8"/>
      <c r="C802" s="89"/>
      <c r="D802" s="89"/>
      <c r="E802" s="89"/>
      <c r="F802" s="10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54"/>
      <c r="B803" s="8"/>
      <c r="C803" s="89"/>
      <c r="D803" s="89"/>
      <c r="E803" s="89"/>
      <c r="F803" s="10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54"/>
      <c r="B804" s="8"/>
      <c r="C804" s="89"/>
      <c r="D804" s="89"/>
      <c r="E804" s="89"/>
      <c r="F804" s="10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54"/>
      <c r="B805" s="8"/>
      <c r="C805" s="89"/>
      <c r="D805" s="89"/>
      <c r="E805" s="89"/>
      <c r="F805" s="10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54"/>
      <c r="B806" s="8"/>
      <c r="C806" s="89"/>
      <c r="D806" s="89"/>
      <c r="E806" s="89"/>
      <c r="F806" s="10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54"/>
      <c r="B807" s="8"/>
      <c r="C807" s="89"/>
      <c r="D807" s="89"/>
      <c r="E807" s="89"/>
      <c r="F807" s="10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54"/>
      <c r="B808" s="8"/>
      <c r="C808" s="89"/>
      <c r="D808" s="89"/>
      <c r="E808" s="89"/>
      <c r="F808" s="10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54"/>
      <c r="B809" s="8"/>
      <c r="C809" s="89"/>
      <c r="D809" s="89"/>
      <c r="E809" s="89"/>
      <c r="F809" s="10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54"/>
      <c r="B810" s="8"/>
      <c r="C810" s="89"/>
      <c r="D810" s="89"/>
      <c r="E810" s="89"/>
      <c r="F810" s="10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54"/>
      <c r="B811" s="8"/>
      <c r="C811" s="89"/>
      <c r="D811" s="89"/>
      <c r="E811" s="89"/>
      <c r="F811" s="10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54"/>
      <c r="B812" s="8"/>
      <c r="C812" s="89"/>
      <c r="D812" s="89"/>
      <c r="E812" s="89"/>
      <c r="F812" s="10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54"/>
      <c r="B813" s="8"/>
      <c r="C813" s="89"/>
      <c r="D813" s="89"/>
      <c r="E813" s="89"/>
      <c r="F813" s="10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54"/>
      <c r="B814" s="8"/>
      <c r="C814" s="89"/>
      <c r="D814" s="89"/>
      <c r="E814" s="89"/>
      <c r="F814" s="10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54"/>
      <c r="B815" s="8"/>
      <c r="C815" s="89"/>
      <c r="D815" s="89"/>
      <c r="E815" s="89"/>
      <c r="F815" s="10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54"/>
      <c r="B816" s="8"/>
      <c r="C816" s="89"/>
      <c r="D816" s="89"/>
      <c r="E816" s="89"/>
      <c r="F816" s="10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54"/>
      <c r="B817" s="8"/>
      <c r="C817" s="89"/>
      <c r="D817" s="89"/>
      <c r="E817" s="89"/>
      <c r="F817" s="10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54"/>
      <c r="B818" s="8"/>
      <c r="C818" s="89"/>
      <c r="D818" s="89"/>
      <c r="E818" s="89"/>
      <c r="F818" s="10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54"/>
      <c r="B819" s="8"/>
      <c r="C819" s="89"/>
      <c r="D819" s="89"/>
      <c r="E819" s="89"/>
      <c r="F819" s="10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54"/>
      <c r="B820" s="8"/>
      <c r="C820" s="89"/>
      <c r="D820" s="89"/>
      <c r="E820" s="89"/>
      <c r="F820" s="10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54"/>
      <c r="B821" s="8"/>
      <c r="C821" s="89"/>
      <c r="D821" s="89"/>
      <c r="E821" s="89"/>
      <c r="F821" s="10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54"/>
      <c r="B822" s="8"/>
      <c r="C822" s="89"/>
      <c r="D822" s="89"/>
      <c r="E822" s="89"/>
      <c r="F822" s="10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54"/>
      <c r="B823" s="8"/>
      <c r="C823" s="89"/>
      <c r="D823" s="89"/>
      <c r="E823" s="89"/>
      <c r="F823" s="10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54"/>
      <c r="B824" s="8"/>
      <c r="C824" s="89"/>
      <c r="D824" s="89"/>
      <c r="E824" s="89"/>
      <c r="F824" s="10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54"/>
      <c r="B825" s="8"/>
      <c r="C825" s="89"/>
      <c r="D825" s="89"/>
      <c r="E825" s="89"/>
      <c r="F825" s="10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54"/>
      <c r="B826" s="8"/>
      <c r="C826" s="89"/>
      <c r="D826" s="89"/>
      <c r="E826" s="89"/>
      <c r="F826" s="10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54"/>
      <c r="B827" s="8"/>
      <c r="C827" s="89"/>
      <c r="D827" s="89"/>
      <c r="E827" s="89"/>
      <c r="F827" s="10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54"/>
      <c r="B828" s="8"/>
      <c r="C828" s="89"/>
      <c r="D828" s="89"/>
      <c r="E828" s="89"/>
      <c r="F828" s="10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54"/>
      <c r="B829" s="8"/>
      <c r="C829" s="89"/>
      <c r="D829" s="89"/>
      <c r="E829" s="89"/>
      <c r="F829" s="10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54"/>
      <c r="B830" s="8"/>
      <c r="C830" s="89"/>
      <c r="D830" s="89"/>
      <c r="E830" s="89"/>
      <c r="F830" s="10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54"/>
      <c r="B831" s="8"/>
      <c r="C831" s="89"/>
      <c r="D831" s="89"/>
      <c r="E831" s="89"/>
      <c r="F831" s="10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54"/>
      <c r="B832" s="8"/>
      <c r="C832" s="89"/>
      <c r="D832" s="89"/>
      <c r="E832" s="89"/>
      <c r="F832" s="10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54"/>
      <c r="B833" s="8"/>
      <c r="C833" s="89"/>
      <c r="D833" s="89"/>
      <c r="E833" s="89"/>
      <c r="F833" s="10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54"/>
      <c r="B834" s="8"/>
      <c r="C834" s="89"/>
      <c r="D834" s="89"/>
      <c r="E834" s="89"/>
      <c r="F834" s="10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54"/>
      <c r="B835" s="8"/>
      <c r="C835" s="89"/>
      <c r="D835" s="89"/>
      <c r="E835" s="89"/>
      <c r="F835" s="10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54"/>
      <c r="B836" s="8"/>
      <c r="C836" s="89"/>
      <c r="D836" s="89"/>
      <c r="E836" s="89"/>
      <c r="F836" s="10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54"/>
      <c r="B837" s="8"/>
      <c r="C837" s="89"/>
      <c r="D837" s="89"/>
      <c r="E837" s="89"/>
      <c r="F837" s="10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54"/>
      <c r="B838" s="8"/>
      <c r="C838" s="89"/>
      <c r="D838" s="89"/>
      <c r="E838" s="89"/>
      <c r="F838" s="10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54"/>
      <c r="B839" s="8"/>
      <c r="C839" s="89"/>
      <c r="D839" s="89"/>
      <c r="E839" s="89"/>
      <c r="F839" s="10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54"/>
      <c r="B840" s="8"/>
      <c r="C840" s="89"/>
      <c r="D840" s="89"/>
      <c r="E840" s="89"/>
      <c r="F840" s="10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54"/>
      <c r="B841" s="8"/>
      <c r="C841" s="89"/>
      <c r="D841" s="89"/>
      <c r="E841" s="89"/>
      <c r="F841" s="10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54"/>
      <c r="B842" s="8"/>
      <c r="C842" s="89"/>
      <c r="D842" s="89"/>
      <c r="E842" s="89"/>
      <c r="F842" s="10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54"/>
      <c r="B843" s="8"/>
      <c r="C843" s="89"/>
      <c r="D843" s="89"/>
      <c r="E843" s="89"/>
      <c r="F843" s="10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54"/>
      <c r="B844" s="8"/>
      <c r="C844" s="89"/>
      <c r="D844" s="89"/>
      <c r="E844" s="89"/>
      <c r="F844" s="10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54"/>
      <c r="B845" s="8"/>
      <c r="C845" s="89"/>
      <c r="D845" s="89"/>
      <c r="E845" s="89"/>
      <c r="F845" s="10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54"/>
      <c r="B846" s="8"/>
      <c r="C846" s="89"/>
      <c r="D846" s="89"/>
      <c r="E846" s="89"/>
      <c r="F846" s="10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54"/>
      <c r="B847" s="8"/>
      <c r="C847" s="89"/>
      <c r="D847" s="89"/>
      <c r="E847" s="89"/>
      <c r="F847" s="10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54"/>
      <c r="B848" s="8"/>
      <c r="C848" s="89"/>
      <c r="D848" s="89"/>
      <c r="E848" s="89"/>
      <c r="F848" s="10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54"/>
      <c r="B849" s="8"/>
      <c r="C849" s="89"/>
      <c r="D849" s="89"/>
      <c r="E849" s="89"/>
      <c r="F849" s="10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54"/>
      <c r="B850" s="8"/>
      <c r="C850" s="89"/>
      <c r="D850" s="89"/>
      <c r="E850" s="89"/>
      <c r="F850" s="10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54"/>
      <c r="B851" s="8"/>
      <c r="C851" s="89"/>
      <c r="D851" s="89"/>
      <c r="E851" s="89"/>
      <c r="F851" s="10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54"/>
      <c r="B852" s="8"/>
      <c r="C852" s="89"/>
      <c r="D852" s="89"/>
      <c r="E852" s="89"/>
      <c r="F852" s="10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54"/>
      <c r="B853" s="8"/>
      <c r="C853" s="89"/>
      <c r="D853" s="89"/>
      <c r="E853" s="89"/>
      <c r="F853" s="10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54"/>
      <c r="B854" s="8"/>
      <c r="C854" s="89"/>
      <c r="D854" s="89"/>
      <c r="E854" s="89"/>
      <c r="F854" s="10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54"/>
      <c r="B855" s="8"/>
      <c r="C855" s="89"/>
      <c r="D855" s="89"/>
      <c r="E855" s="89"/>
      <c r="F855" s="10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54"/>
      <c r="B856" s="8"/>
      <c r="C856" s="89"/>
      <c r="D856" s="89"/>
      <c r="E856" s="89"/>
      <c r="F856" s="10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54"/>
      <c r="B857" s="8"/>
      <c r="C857" s="89"/>
      <c r="D857" s="89"/>
      <c r="E857" s="89"/>
      <c r="F857" s="10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54"/>
      <c r="B858" s="8"/>
      <c r="C858" s="89"/>
      <c r="D858" s="89"/>
      <c r="E858" s="89"/>
      <c r="F858" s="10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54"/>
      <c r="B859" s="8"/>
      <c r="C859" s="89"/>
      <c r="D859" s="89"/>
      <c r="E859" s="89"/>
      <c r="F859" s="10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54"/>
      <c r="B860" s="8"/>
      <c r="C860" s="89"/>
      <c r="D860" s="89"/>
      <c r="E860" s="89"/>
      <c r="F860" s="10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54"/>
      <c r="B861" s="8"/>
      <c r="C861" s="89"/>
      <c r="D861" s="89"/>
      <c r="E861" s="89"/>
      <c r="F861" s="10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54"/>
      <c r="B862" s="8"/>
      <c r="C862" s="89"/>
      <c r="D862" s="89"/>
      <c r="E862" s="89"/>
      <c r="F862" s="10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54"/>
      <c r="B863" s="8"/>
      <c r="C863" s="89"/>
      <c r="D863" s="89"/>
      <c r="E863" s="89"/>
      <c r="F863" s="10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54"/>
      <c r="B864" s="8"/>
      <c r="C864" s="89"/>
      <c r="D864" s="89"/>
      <c r="E864" s="89"/>
      <c r="F864" s="10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54"/>
      <c r="B865" s="8"/>
      <c r="C865" s="89"/>
      <c r="D865" s="89"/>
      <c r="E865" s="89"/>
      <c r="F865" s="10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54"/>
      <c r="B866" s="8"/>
      <c r="C866" s="89"/>
      <c r="D866" s="89"/>
      <c r="E866" s="89"/>
      <c r="F866" s="10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54"/>
      <c r="B867" s="8"/>
      <c r="C867" s="89"/>
      <c r="D867" s="89"/>
      <c r="E867" s="89"/>
      <c r="F867" s="10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54"/>
      <c r="B868" s="8"/>
      <c r="C868" s="89"/>
      <c r="D868" s="89"/>
      <c r="E868" s="89"/>
      <c r="F868" s="10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54"/>
      <c r="B869" s="8"/>
      <c r="C869" s="89"/>
      <c r="D869" s="89"/>
      <c r="E869" s="89"/>
      <c r="F869" s="10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54"/>
      <c r="B870" s="8"/>
      <c r="C870" s="89"/>
      <c r="D870" s="89"/>
      <c r="E870" s="89"/>
      <c r="F870" s="10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54"/>
      <c r="B871" s="8"/>
      <c r="C871" s="89"/>
      <c r="D871" s="89"/>
      <c r="E871" s="89"/>
      <c r="F871" s="10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54"/>
      <c r="B872" s="8"/>
      <c r="C872" s="89"/>
      <c r="D872" s="89"/>
      <c r="E872" s="89"/>
      <c r="F872" s="10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54"/>
      <c r="B873" s="8"/>
      <c r="C873" s="89"/>
      <c r="D873" s="89"/>
      <c r="E873" s="89"/>
      <c r="F873" s="10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54"/>
      <c r="B874" s="8"/>
      <c r="C874" s="89"/>
      <c r="D874" s="89"/>
      <c r="E874" s="89"/>
      <c r="F874" s="10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54"/>
      <c r="B875" s="8"/>
      <c r="C875" s="89"/>
      <c r="D875" s="89"/>
      <c r="E875" s="89"/>
      <c r="F875" s="10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54"/>
      <c r="B876" s="8"/>
      <c r="C876" s="89"/>
      <c r="D876" s="89"/>
      <c r="E876" s="89"/>
      <c r="F876" s="10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54"/>
      <c r="B877" s="8"/>
      <c r="C877" s="89"/>
      <c r="D877" s="89"/>
      <c r="E877" s="89"/>
      <c r="F877" s="10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54"/>
      <c r="B878" s="8"/>
      <c r="C878" s="89"/>
      <c r="D878" s="89"/>
      <c r="E878" s="89"/>
      <c r="F878" s="10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54"/>
      <c r="B879" s="8"/>
      <c r="C879" s="89"/>
      <c r="D879" s="89"/>
      <c r="E879" s="89"/>
      <c r="F879" s="10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54"/>
      <c r="B880" s="8"/>
      <c r="C880" s="89"/>
      <c r="D880" s="89"/>
      <c r="E880" s="89"/>
      <c r="F880" s="10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54"/>
      <c r="B881" s="8"/>
      <c r="C881" s="89"/>
      <c r="D881" s="89"/>
      <c r="E881" s="89"/>
      <c r="F881" s="10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54"/>
      <c r="B882" s="8"/>
      <c r="C882" s="89"/>
      <c r="D882" s="89"/>
      <c r="E882" s="89"/>
      <c r="F882" s="10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54"/>
      <c r="B883" s="8"/>
      <c r="C883" s="89"/>
      <c r="D883" s="89"/>
      <c r="E883" s="89"/>
      <c r="F883" s="10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54"/>
      <c r="B884" s="8"/>
      <c r="C884" s="89"/>
      <c r="D884" s="89"/>
      <c r="E884" s="89"/>
      <c r="F884" s="10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54"/>
      <c r="B885" s="8"/>
      <c r="C885" s="89"/>
      <c r="D885" s="89"/>
      <c r="E885" s="89"/>
      <c r="F885" s="10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54"/>
      <c r="B886" s="8"/>
      <c r="C886" s="89"/>
      <c r="D886" s="89"/>
      <c r="E886" s="89"/>
      <c r="F886" s="10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54"/>
      <c r="B887" s="8"/>
      <c r="C887" s="89"/>
      <c r="D887" s="89"/>
      <c r="E887" s="89"/>
      <c r="F887" s="10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54"/>
      <c r="B888" s="8"/>
      <c r="C888" s="89"/>
      <c r="D888" s="89"/>
      <c r="E888" s="89"/>
      <c r="F888" s="10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54"/>
      <c r="B889" s="8"/>
      <c r="C889" s="89"/>
      <c r="D889" s="89"/>
      <c r="E889" s="89"/>
      <c r="F889" s="10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54"/>
      <c r="B890" s="8"/>
      <c r="C890" s="89"/>
      <c r="D890" s="89"/>
      <c r="E890" s="89"/>
      <c r="F890" s="10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54"/>
      <c r="B891" s="8"/>
      <c r="C891" s="89"/>
      <c r="D891" s="89"/>
      <c r="E891" s="89"/>
      <c r="F891" s="10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54"/>
      <c r="B892" s="8"/>
      <c r="C892" s="89"/>
      <c r="D892" s="89"/>
      <c r="E892" s="89"/>
      <c r="F892" s="10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54"/>
      <c r="B893" s="8"/>
      <c r="C893" s="89"/>
      <c r="D893" s="89"/>
      <c r="E893" s="89"/>
      <c r="F893" s="10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54"/>
      <c r="B894" s="8"/>
      <c r="C894" s="89"/>
      <c r="D894" s="89"/>
      <c r="E894" s="89"/>
      <c r="F894" s="10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54"/>
      <c r="B895" s="8"/>
      <c r="C895" s="89"/>
      <c r="D895" s="89"/>
      <c r="E895" s="89"/>
      <c r="F895" s="10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54"/>
      <c r="B896" s="8"/>
      <c r="C896" s="89"/>
      <c r="D896" s="89"/>
      <c r="E896" s="89"/>
      <c r="F896" s="10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54"/>
      <c r="B897" s="8"/>
      <c r="C897" s="89"/>
      <c r="D897" s="89"/>
      <c r="E897" s="89"/>
      <c r="F897" s="10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54"/>
      <c r="B898" s="8"/>
      <c r="C898" s="89"/>
      <c r="D898" s="89"/>
      <c r="E898" s="89"/>
      <c r="F898" s="10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54"/>
      <c r="B899" s="8"/>
      <c r="C899" s="89"/>
      <c r="D899" s="89"/>
      <c r="E899" s="89"/>
      <c r="F899" s="10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54"/>
      <c r="B900" s="8"/>
      <c r="C900" s="89"/>
      <c r="D900" s="89"/>
      <c r="E900" s="89"/>
      <c r="F900" s="10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54"/>
      <c r="B901" s="8"/>
      <c r="C901" s="89"/>
      <c r="D901" s="89"/>
      <c r="E901" s="89"/>
      <c r="F901" s="10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54"/>
      <c r="B902" s="8"/>
      <c r="C902" s="89"/>
      <c r="D902" s="89"/>
      <c r="E902" s="89"/>
      <c r="F902" s="10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54"/>
      <c r="B903" s="8"/>
      <c r="C903" s="89"/>
      <c r="D903" s="89"/>
      <c r="E903" s="89"/>
      <c r="F903" s="10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54"/>
      <c r="B904" s="8"/>
      <c r="C904" s="89"/>
      <c r="D904" s="89"/>
      <c r="E904" s="89"/>
      <c r="F904" s="10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54"/>
      <c r="B905" s="8"/>
      <c r="C905" s="89"/>
      <c r="D905" s="89"/>
      <c r="E905" s="89"/>
      <c r="F905" s="10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54"/>
      <c r="B906" s="8"/>
      <c r="C906" s="89"/>
      <c r="D906" s="89"/>
      <c r="E906" s="89"/>
      <c r="F906" s="10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54"/>
      <c r="B907" s="8"/>
      <c r="C907" s="89"/>
      <c r="D907" s="89"/>
      <c r="E907" s="89"/>
      <c r="F907" s="10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54"/>
      <c r="B908" s="8"/>
      <c r="C908" s="89"/>
      <c r="D908" s="89"/>
      <c r="E908" s="89"/>
      <c r="F908" s="10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54"/>
      <c r="B909" s="8"/>
      <c r="C909" s="89"/>
      <c r="D909" s="89"/>
      <c r="E909" s="89"/>
      <c r="F909" s="10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54"/>
      <c r="B910" s="8"/>
      <c r="C910" s="89"/>
      <c r="D910" s="89"/>
      <c r="E910" s="89"/>
      <c r="F910" s="10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54"/>
      <c r="B911" s="8"/>
      <c r="C911" s="89"/>
      <c r="D911" s="89"/>
      <c r="E911" s="89"/>
      <c r="F911" s="10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54"/>
      <c r="B912" s="8"/>
      <c r="C912" s="89"/>
      <c r="D912" s="89"/>
      <c r="E912" s="89"/>
      <c r="F912" s="10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54"/>
      <c r="B913" s="8"/>
      <c r="C913" s="89"/>
      <c r="D913" s="89"/>
      <c r="E913" s="89"/>
      <c r="F913" s="10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54"/>
      <c r="B914" s="8"/>
      <c r="C914" s="89"/>
      <c r="D914" s="89"/>
      <c r="E914" s="89"/>
      <c r="F914" s="10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54"/>
      <c r="B915" s="8"/>
      <c r="C915" s="89"/>
      <c r="D915" s="89"/>
      <c r="E915" s="89"/>
      <c r="F915" s="10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54"/>
      <c r="B916" s="8"/>
      <c r="C916" s="89"/>
      <c r="D916" s="89"/>
      <c r="E916" s="89"/>
      <c r="F916" s="10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54"/>
      <c r="B917" s="8"/>
      <c r="C917" s="89"/>
      <c r="D917" s="89"/>
      <c r="E917" s="89"/>
      <c r="F917" s="10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54"/>
      <c r="B918" s="8"/>
      <c r="C918" s="89"/>
      <c r="D918" s="89"/>
      <c r="E918" s="89"/>
      <c r="F918" s="10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54"/>
      <c r="B919" s="8"/>
      <c r="C919" s="89"/>
      <c r="D919" s="89"/>
      <c r="E919" s="89"/>
      <c r="F919" s="10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54"/>
      <c r="B920" s="8"/>
      <c r="C920" s="89"/>
      <c r="D920" s="89"/>
      <c r="E920" s="89"/>
      <c r="F920" s="10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54"/>
      <c r="B921" s="8"/>
      <c r="C921" s="89"/>
      <c r="D921" s="89"/>
      <c r="E921" s="89"/>
      <c r="F921" s="10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54"/>
      <c r="B922" s="8"/>
      <c r="C922" s="89"/>
      <c r="D922" s="89"/>
      <c r="E922" s="89"/>
      <c r="F922" s="10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54"/>
      <c r="B923" s="8"/>
      <c r="C923" s="89"/>
      <c r="D923" s="89"/>
      <c r="E923" s="89"/>
      <c r="F923" s="10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54"/>
      <c r="B924" s="8"/>
      <c r="C924" s="89"/>
      <c r="D924" s="89"/>
      <c r="E924" s="89"/>
      <c r="F924" s="10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54"/>
      <c r="B925" s="8"/>
      <c r="C925" s="89"/>
      <c r="D925" s="89"/>
      <c r="E925" s="89"/>
      <c r="F925" s="10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54"/>
      <c r="B926" s="8"/>
      <c r="C926" s="89"/>
      <c r="D926" s="89"/>
      <c r="E926" s="89"/>
      <c r="F926" s="10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54"/>
      <c r="B927" s="8"/>
      <c r="C927" s="89"/>
      <c r="D927" s="89"/>
      <c r="E927" s="89"/>
      <c r="F927" s="10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54"/>
      <c r="B928" s="8"/>
      <c r="C928" s="89"/>
      <c r="D928" s="89"/>
      <c r="E928" s="89"/>
      <c r="F928" s="10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54"/>
      <c r="B929" s="8"/>
      <c r="C929" s="89"/>
      <c r="D929" s="89"/>
      <c r="E929" s="89"/>
      <c r="F929" s="10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54"/>
      <c r="B930" s="8"/>
      <c r="C930" s="89"/>
      <c r="D930" s="89"/>
      <c r="E930" s="89"/>
      <c r="F930" s="10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54"/>
      <c r="B931" s="8"/>
      <c r="C931" s="89"/>
      <c r="D931" s="89"/>
      <c r="E931" s="89"/>
      <c r="F931" s="10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54"/>
      <c r="B932" s="8"/>
      <c r="C932" s="89"/>
      <c r="D932" s="89"/>
      <c r="E932" s="89"/>
      <c r="F932" s="10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54"/>
      <c r="B933" s="8"/>
      <c r="C933" s="89"/>
      <c r="D933" s="89"/>
      <c r="E933" s="89"/>
      <c r="F933" s="10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54"/>
      <c r="B934" s="8"/>
      <c r="C934" s="89"/>
      <c r="D934" s="89"/>
      <c r="E934" s="89"/>
      <c r="F934" s="10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54"/>
      <c r="B935" s="8"/>
      <c r="C935" s="89"/>
      <c r="D935" s="89"/>
      <c r="E935" s="89"/>
      <c r="F935" s="10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54"/>
      <c r="B936" s="8"/>
      <c r="C936" s="89"/>
      <c r="D936" s="89"/>
      <c r="E936" s="89"/>
      <c r="F936" s="10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54"/>
      <c r="B937" s="8"/>
      <c r="C937" s="89"/>
      <c r="D937" s="89"/>
      <c r="E937" s="89"/>
      <c r="F937" s="10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54"/>
      <c r="B938" s="8"/>
      <c r="C938" s="89"/>
      <c r="D938" s="89"/>
      <c r="E938" s="89"/>
      <c r="F938" s="10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54"/>
      <c r="B939" s="8"/>
      <c r="C939" s="89"/>
      <c r="D939" s="89"/>
      <c r="E939" s="89"/>
      <c r="F939" s="10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54"/>
      <c r="B940" s="8"/>
      <c r="C940" s="89"/>
      <c r="D940" s="89"/>
      <c r="E940" s="89"/>
      <c r="F940" s="10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54"/>
      <c r="B941" s="8"/>
      <c r="C941" s="89"/>
      <c r="D941" s="89"/>
      <c r="E941" s="89"/>
      <c r="F941" s="10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54"/>
      <c r="B942" s="8"/>
      <c r="C942" s="89"/>
      <c r="D942" s="89"/>
      <c r="E942" s="89"/>
      <c r="F942" s="10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54"/>
      <c r="B943" s="8"/>
      <c r="C943" s="89"/>
      <c r="D943" s="89"/>
      <c r="E943" s="89"/>
      <c r="F943" s="10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54"/>
      <c r="B944" s="8"/>
      <c r="C944" s="89"/>
      <c r="D944" s="89"/>
      <c r="E944" s="89"/>
      <c r="F944" s="10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54"/>
      <c r="B945" s="8"/>
      <c r="C945" s="89"/>
      <c r="D945" s="89"/>
      <c r="E945" s="89"/>
      <c r="F945" s="10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54"/>
      <c r="B946" s="8"/>
      <c r="C946" s="89"/>
      <c r="D946" s="89"/>
      <c r="E946" s="89"/>
      <c r="F946" s="10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54"/>
      <c r="B947" s="8"/>
      <c r="C947" s="89"/>
      <c r="D947" s="89"/>
      <c r="E947" s="89"/>
      <c r="F947" s="10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54"/>
      <c r="B948" s="8"/>
      <c r="C948" s="89"/>
      <c r="D948" s="89"/>
      <c r="E948" s="89"/>
      <c r="F948" s="10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54"/>
      <c r="B949" s="8"/>
      <c r="C949" s="89"/>
      <c r="D949" s="89"/>
      <c r="E949" s="89"/>
      <c r="F949" s="10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54"/>
      <c r="B950" s="8"/>
      <c r="C950" s="89"/>
      <c r="D950" s="89"/>
      <c r="E950" s="89"/>
      <c r="F950" s="10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54"/>
      <c r="B951" s="8"/>
      <c r="C951" s="89"/>
      <c r="D951" s="89"/>
      <c r="E951" s="89"/>
      <c r="F951" s="10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54"/>
      <c r="B952" s="8"/>
      <c r="C952" s="89"/>
      <c r="D952" s="89"/>
      <c r="E952" s="89"/>
      <c r="F952" s="10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54"/>
      <c r="B953" s="8"/>
      <c r="C953" s="89"/>
      <c r="D953" s="89"/>
      <c r="E953" s="89"/>
      <c r="F953" s="10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54"/>
      <c r="B954" s="8"/>
      <c r="C954" s="89"/>
      <c r="D954" s="89"/>
      <c r="E954" s="89"/>
      <c r="F954" s="10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54"/>
      <c r="B955" s="8"/>
      <c r="C955" s="89"/>
      <c r="D955" s="89"/>
      <c r="E955" s="89"/>
      <c r="F955" s="10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54"/>
      <c r="B956" s="8"/>
      <c r="C956" s="89"/>
      <c r="D956" s="89"/>
      <c r="E956" s="89"/>
      <c r="F956" s="10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54"/>
      <c r="B957" s="8"/>
      <c r="C957" s="89"/>
      <c r="D957" s="89"/>
      <c r="E957" s="89"/>
      <c r="F957" s="10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54"/>
      <c r="B958" s="8"/>
      <c r="C958" s="89"/>
      <c r="D958" s="89"/>
      <c r="E958" s="89"/>
      <c r="F958" s="10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54"/>
      <c r="B959" s="8"/>
      <c r="C959" s="89"/>
      <c r="D959" s="89"/>
      <c r="E959" s="89"/>
      <c r="F959" s="10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54"/>
      <c r="B960" s="8"/>
      <c r="C960" s="89"/>
      <c r="D960" s="89"/>
      <c r="E960" s="89"/>
      <c r="F960" s="10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54"/>
      <c r="B961" s="8"/>
      <c r="C961" s="89"/>
      <c r="D961" s="89"/>
      <c r="E961" s="89"/>
      <c r="F961" s="10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54"/>
      <c r="B962" s="8"/>
      <c r="C962" s="89"/>
      <c r="D962" s="89"/>
      <c r="E962" s="89"/>
      <c r="F962" s="10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54"/>
      <c r="B963" s="8"/>
      <c r="C963" s="89"/>
      <c r="D963" s="89"/>
      <c r="E963" s="89"/>
      <c r="F963" s="10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54"/>
      <c r="B964" s="8"/>
      <c r="C964" s="89"/>
      <c r="D964" s="89"/>
      <c r="E964" s="89"/>
      <c r="F964" s="10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54"/>
      <c r="B965" s="8"/>
      <c r="C965" s="89"/>
      <c r="D965" s="89"/>
      <c r="E965" s="89"/>
      <c r="F965" s="10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54"/>
      <c r="B966" s="8"/>
      <c r="C966" s="89"/>
      <c r="D966" s="89"/>
      <c r="E966" s="89"/>
      <c r="F966" s="10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54"/>
      <c r="B967" s="8"/>
      <c r="C967" s="89"/>
      <c r="D967" s="89"/>
      <c r="E967" s="89"/>
      <c r="F967" s="10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54"/>
      <c r="B968" s="8"/>
      <c r="C968" s="89"/>
      <c r="D968" s="89"/>
      <c r="E968" s="89"/>
      <c r="F968" s="10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54"/>
      <c r="B969" s="8"/>
      <c r="C969" s="89"/>
      <c r="D969" s="89"/>
      <c r="E969" s="89"/>
      <c r="F969" s="10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54"/>
      <c r="B970" s="8"/>
      <c r="C970" s="89"/>
      <c r="D970" s="89"/>
      <c r="E970" s="89"/>
      <c r="F970" s="10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54"/>
      <c r="B971" s="8"/>
      <c r="C971" s="89"/>
      <c r="D971" s="89"/>
      <c r="E971" s="89"/>
      <c r="F971" s="10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54"/>
      <c r="B972" s="8"/>
      <c r="C972" s="89"/>
      <c r="D972" s="89"/>
      <c r="E972" s="89"/>
      <c r="F972" s="10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54"/>
      <c r="B973" s="8"/>
      <c r="C973" s="89"/>
      <c r="D973" s="89"/>
      <c r="E973" s="89"/>
      <c r="F973" s="10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54"/>
      <c r="B974" s="8"/>
      <c r="C974" s="89"/>
      <c r="D974" s="89"/>
      <c r="E974" s="89"/>
      <c r="F974" s="10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54"/>
      <c r="B975" s="8"/>
      <c r="C975" s="89"/>
      <c r="D975" s="89"/>
      <c r="E975" s="89"/>
      <c r="F975" s="10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54"/>
      <c r="B976" s="8"/>
      <c r="C976" s="89"/>
      <c r="D976" s="89"/>
      <c r="E976" s="89"/>
      <c r="F976" s="10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54"/>
      <c r="B977" s="8"/>
      <c r="C977" s="89"/>
      <c r="D977" s="89"/>
      <c r="E977" s="89"/>
      <c r="F977" s="10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54"/>
      <c r="B978" s="8"/>
      <c r="C978" s="89"/>
      <c r="D978" s="89"/>
      <c r="E978" s="89"/>
      <c r="F978" s="10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54"/>
      <c r="B979" s="8"/>
      <c r="C979" s="89"/>
      <c r="D979" s="89"/>
      <c r="E979" s="89"/>
      <c r="F979" s="10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54"/>
      <c r="B980" s="8"/>
      <c r="C980" s="89"/>
      <c r="D980" s="89"/>
      <c r="E980" s="89"/>
      <c r="F980" s="10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54"/>
      <c r="B981" s="8"/>
      <c r="C981" s="89"/>
      <c r="D981" s="89"/>
      <c r="E981" s="89"/>
      <c r="F981" s="10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54"/>
      <c r="B982" s="8"/>
      <c r="C982" s="89"/>
      <c r="D982" s="89"/>
      <c r="E982" s="89"/>
      <c r="F982" s="10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54"/>
      <c r="B983" s="8"/>
      <c r="C983" s="89"/>
      <c r="D983" s="89"/>
      <c r="E983" s="89"/>
      <c r="F983" s="10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54"/>
      <c r="B984" s="8"/>
      <c r="C984" s="89"/>
      <c r="D984" s="89"/>
      <c r="E984" s="89"/>
      <c r="F984" s="10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54"/>
      <c r="B985" s="8"/>
      <c r="C985" s="89"/>
      <c r="D985" s="89"/>
      <c r="E985" s="89"/>
      <c r="F985" s="10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54"/>
      <c r="B986" s="8"/>
      <c r="C986" s="89"/>
      <c r="D986" s="89"/>
      <c r="E986" s="89"/>
      <c r="F986" s="10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54"/>
      <c r="B987" s="8"/>
      <c r="C987" s="89"/>
      <c r="D987" s="89"/>
      <c r="E987" s="89"/>
      <c r="F987" s="10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54"/>
      <c r="B988" s="8"/>
      <c r="C988" s="89"/>
      <c r="D988" s="89"/>
      <c r="E988" s="89"/>
      <c r="F988" s="10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54"/>
      <c r="B989" s="8"/>
      <c r="C989" s="89"/>
      <c r="D989" s="89"/>
      <c r="E989" s="89"/>
      <c r="F989" s="10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54"/>
      <c r="B990" s="8"/>
      <c r="C990" s="89"/>
      <c r="D990" s="89"/>
      <c r="E990" s="89"/>
      <c r="F990" s="10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54"/>
      <c r="B991" s="8"/>
      <c r="C991" s="89"/>
      <c r="D991" s="89"/>
      <c r="E991" s="89"/>
      <c r="F991" s="10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54"/>
      <c r="B992" s="8"/>
      <c r="C992" s="89"/>
      <c r="D992" s="89"/>
      <c r="E992" s="89"/>
      <c r="F992" s="10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54"/>
      <c r="B993" s="8"/>
      <c r="C993" s="89"/>
      <c r="D993" s="89"/>
      <c r="E993" s="89"/>
      <c r="F993" s="10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54"/>
      <c r="B994" s="8"/>
      <c r="C994" s="89"/>
      <c r="D994" s="89"/>
      <c r="E994" s="89"/>
      <c r="F994" s="10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54"/>
      <c r="B995" s="8"/>
      <c r="C995" s="89"/>
      <c r="D995" s="89"/>
      <c r="E995" s="89"/>
      <c r="F995" s="10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54"/>
      <c r="B996" s="8"/>
      <c r="C996" s="89"/>
      <c r="D996" s="89"/>
      <c r="E996" s="89"/>
      <c r="F996" s="10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54"/>
      <c r="B997" s="8"/>
      <c r="C997" s="89"/>
      <c r="D997" s="89"/>
      <c r="E997" s="89"/>
      <c r="F997" s="10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54"/>
      <c r="B998" s="8"/>
      <c r="C998" s="89"/>
      <c r="D998" s="89"/>
      <c r="E998" s="89"/>
      <c r="F998" s="10"/>
      <c r="G998" s="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54"/>
      <c r="B999" s="8"/>
      <c r="C999" s="89"/>
      <c r="D999" s="89"/>
      <c r="E999" s="89"/>
      <c r="F999" s="10"/>
      <c r="G999" s="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54"/>
      <c r="B1000" s="8"/>
      <c r="C1000" s="89"/>
      <c r="D1000" s="89"/>
      <c r="E1000" s="89"/>
      <c r="F1000" s="10"/>
      <c r="G1000" s="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54"/>
      <c r="B1001" s="8"/>
      <c r="C1001" s="89"/>
      <c r="D1001" s="89"/>
      <c r="E1001" s="89"/>
      <c r="F1001" s="10"/>
      <c r="G1001" s="8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54"/>
      <c r="B1002" s="8"/>
      <c r="C1002" s="89"/>
      <c r="D1002" s="89"/>
      <c r="E1002" s="89"/>
      <c r="F1002" s="10"/>
      <c r="G1002" s="8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54"/>
      <c r="B1003" s="8"/>
      <c r="C1003" s="89"/>
      <c r="D1003" s="89"/>
      <c r="E1003" s="89"/>
      <c r="F1003" s="10"/>
      <c r="G1003" s="8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54"/>
      <c r="B1004" s="8"/>
      <c r="C1004" s="89"/>
      <c r="D1004" s="89"/>
      <c r="E1004" s="89"/>
      <c r="F1004" s="10"/>
      <c r="G1004" s="8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54"/>
      <c r="B1005" s="8"/>
      <c r="C1005" s="89"/>
      <c r="D1005" s="89"/>
      <c r="E1005" s="89"/>
      <c r="F1005" s="10"/>
      <c r="G1005" s="8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54"/>
      <c r="B1006" s="8"/>
      <c r="C1006" s="89"/>
      <c r="D1006" s="89"/>
      <c r="E1006" s="89"/>
      <c r="F1006" s="10"/>
      <c r="G1006" s="8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54"/>
      <c r="B1007" s="8"/>
      <c r="C1007" s="89"/>
      <c r="D1007" s="89"/>
      <c r="E1007" s="89"/>
      <c r="F1007" s="10"/>
      <c r="G1007" s="8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54"/>
      <c r="B1008" s="8"/>
      <c r="C1008" s="89"/>
      <c r="D1008" s="89"/>
      <c r="E1008" s="89"/>
      <c r="F1008" s="10"/>
      <c r="G1008" s="8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54"/>
      <c r="B1009" s="8"/>
      <c r="C1009" s="89"/>
      <c r="D1009" s="89"/>
      <c r="E1009" s="89"/>
      <c r="F1009" s="10"/>
      <c r="G1009" s="8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54"/>
      <c r="B1010" s="8"/>
      <c r="C1010" s="89"/>
      <c r="D1010" s="89"/>
      <c r="E1010" s="89"/>
      <c r="F1010" s="10"/>
      <c r="G1010" s="8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54"/>
      <c r="B1011" s="8"/>
      <c r="C1011" s="89"/>
      <c r="D1011" s="89"/>
      <c r="E1011" s="89"/>
      <c r="F1011" s="10"/>
      <c r="G1011" s="8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54"/>
      <c r="B1012" s="8"/>
      <c r="C1012" s="89"/>
      <c r="D1012" s="89"/>
      <c r="E1012" s="89"/>
      <c r="F1012" s="10"/>
      <c r="G1012" s="8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54"/>
      <c r="B1013" s="8"/>
      <c r="C1013" s="89"/>
      <c r="D1013" s="89"/>
      <c r="E1013" s="89"/>
      <c r="F1013" s="10"/>
      <c r="G1013" s="8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54"/>
      <c r="B1014" s="8"/>
      <c r="C1014" s="89"/>
      <c r="D1014" s="89"/>
      <c r="E1014" s="89"/>
      <c r="F1014" s="10"/>
      <c r="G1014" s="8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54"/>
      <c r="B1015" s="8"/>
      <c r="C1015" s="89"/>
      <c r="D1015" s="89"/>
      <c r="E1015" s="89"/>
      <c r="F1015" s="10"/>
      <c r="G1015" s="8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54"/>
      <c r="B1016" s="8"/>
      <c r="C1016" s="89"/>
      <c r="D1016" s="89"/>
      <c r="E1016" s="89"/>
      <c r="F1016" s="10"/>
      <c r="G1016" s="8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54"/>
      <c r="B1017" s="8"/>
      <c r="C1017" s="89"/>
      <c r="D1017" s="89"/>
      <c r="E1017" s="89"/>
      <c r="F1017" s="10"/>
      <c r="G1017" s="8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54"/>
      <c r="B1018" s="8"/>
      <c r="C1018" s="89"/>
      <c r="D1018" s="89"/>
      <c r="E1018" s="89"/>
      <c r="F1018" s="10"/>
      <c r="G1018" s="8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54"/>
      <c r="B1019" s="8"/>
      <c r="C1019" s="89"/>
      <c r="D1019" s="89"/>
      <c r="E1019" s="89"/>
      <c r="F1019" s="10"/>
      <c r="G1019" s="8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>
      <c r="A1020" s="54"/>
      <c r="B1020" s="8"/>
      <c r="C1020" s="89"/>
      <c r="D1020" s="89"/>
      <c r="E1020" s="89"/>
      <c r="F1020" s="10"/>
      <c r="G1020" s="8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>
      <c r="A1021" s="54"/>
      <c r="B1021" s="8"/>
      <c r="C1021" s="89"/>
      <c r="D1021" s="89"/>
      <c r="E1021" s="89"/>
      <c r="F1021" s="10"/>
      <c r="G1021" s="8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>
      <c r="A1022" s="54"/>
      <c r="B1022" s="8"/>
      <c r="C1022" s="89"/>
      <c r="D1022" s="89"/>
      <c r="E1022" s="89"/>
      <c r="F1022" s="10"/>
      <c r="G1022" s="8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>
      <c r="A1023" s="54"/>
      <c r="B1023" s="8"/>
      <c r="C1023" s="89"/>
      <c r="D1023" s="89"/>
      <c r="E1023" s="89"/>
      <c r="F1023" s="10"/>
      <c r="G1023" s="8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>
      <c r="A1024" s="54"/>
      <c r="B1024" s="8"/>
      <c r="C1024" s="89"/>
      <c r="D1024" s="89"/>
      <c r="E1024" s="89"/>
      <c r="F1024" s="10"/>
      <c r="G1024" s="8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>
      <c r="A1025" s="54"/>
      <c r="B1025" s="8"/>
      <c r="C1025" s="89"/>
      <c r="D1025" s="89"/>
      <c r="E1025" s="89"/>
      <c r="F1025" s="10"/>
      <c r="G1025" s="8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>
      <c r="A1026" s="54"/>
      <c r="B1026" s="8"/>
      <c r="C1026" s="89"/>
      <c r="D1026" s="89"/>
      <c r="E1026" s="89"/>
      <c r="F1026" s="10"/>
      <c r="G1026" s="8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>
      <c r="A1027" s="54"/>
      <c r="B1027" s="8"/>
      <c r="C1027" s="89"/>
      <c r="D1027" s="89"/>
      <c r="E1027" s="89"/>
      <c r="F1027" s="10"/>
      <c r="G1027" s="8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>
      <c r="A1028" s="54"/>
      <c r="B1028" s="8"/>
      <c r="C1028" s="89"/>
      <c r="D1028" s="89"/>
      <c r="E1028" s="89"/>
      <c r="F1028" s="10"/>
      <c r="G1028" s="8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>
      <c r="A1029" s="54"/>
      <c r="B1029" s="8"/>
      <c r="C1029" s="89"/>
      <c r="D1029" s="89"/>
      <c r="E1029" s="89"/>
      <c r="F1029" s="10"/>
      <c r="G1029" s="8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</sheetData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2.13"/>
    <col customWidth="1" min="3" max="3" width="12.38"/>
    <col customWidth="1" min="4" max="4" width="2.0"/>
    <col customWidth="1" min="5" max="5" width="11.0"/>
    <col customWidth="1" min="6" max="6" width="2.13"/>
    <col customWidth="1" min="7" max="7" width="9.63"/>
    <col customWidth="1" min="8" max="15" width="12.75"/>
    <col customWidth="1" min="16" max="22" width="12.63"/>
    <col hidden="1" min="24" max="24" width="12.63"/>
  </cols>
  <sheetData>
    <row r="1">
      <c r="A1" s="1" t="s">
        <v>0</v>
      </c>
      <c r="B1" s="3"/>
      <c r="C1" s="1" t="s">
        <v>5</v>
      </c>
      <c r="D1" s="3"/>
      <c r="E1" s="6" t="s">
        <v>7</v>
      </c>
      <c r="F1" s="8"/>
      <c r="G1" s="10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1" t="s">
        <v>13</v>
      </c>
    </row>
    <row r="2" ht="26.25" customHeight="1">
      <c r="A2" s="24" t="s">
        <v>21</v>
      </c>
      <c r="B2" s="3"/>
      <c r="C2" s="26" t="s">
        <v>23</v>
      </c>
      <c r="D2" s="3"/>
      <c r="E2" s="24" t="s">
        <v>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1" t="s">
        <v>26</v>
      </c>
    </row>
    <row r="3" ht="23.25" customHeight="1">
      <c r="A3" s="24" t="s">
        <v>32</v>
      </c>
      <c r="B3" s="3"/>
      <c r="C3" s="37" t="s">
        <v>35</v>
      </c>
      <c r="D3" s="3"/>
      <c r="E3" s="40" t="s">
        <v>37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3.25" customHeight="1">
      <c r="A4" s="24" t="s">
        <v>40</v>
      </c>
      <c r="B4" s="3"/>
      <c r="C4" s="37" t="s">
        <v>41</v>
      </c>
      <c r="D4" s="3"/>
      <c r="E4" s="24" t="s">
        <v>42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3.25" customHeight="1">
      <c r="A5" s="26" t="s">
        <v>44</v>
      </c>
      <c r="B5" s="3"/>
      <c r="C5" s="37" t="s">
        <v>47</v>
      </c>
      <c r="D5" s="3"/>
      <c r="E5" s="40" t="s">
        <v>48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3.25" customHeight="1">
      <c r="A6" s="26" t="s">
        <v>49</v>
      </c>
      <c r="B6" s="3"/>
      <c r="C6" s="40" t="s">
        <v>50</v>
      </c>
      <c r="D6" s="3"/>
      <c r="E6" s="40" t="s">
        <v>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3.25" customHeight="1">
      <c r="A7" s="26" t="s">
        <v>53</v>
      </c>
      <c r="B7" s="3"/>
      <c r="C7" s="40" t="s">
        <v>55</v>
      </c>
      <c r="D7" s="3"/>
      <c r="E7" s="40" t="s">
        <v>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3.25" customHeight="1">
      <c r="A8" s="24" t="s">
        <v>60</v>
      </c>
      <c r="B8" s="3"/>
      <c r="C8" s="49" t="s">
        <v>62</v>
      </c>
      <c r="D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3.25" customHeight="1">
      <c r="A9" s="51" t="s">
        <v>64</v>
      </c>
      <c r="B9" s="3"/>
      <c r="C9" s="53"/>
      <c r="D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3.25" customHeight="1">
      <c r="A10" s="37" t="s">
        <v>68</v>
      </c>
      <c r="B10" s="3"/>
      <c r="C10" s="56"/>
      <c r="D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7" t="s">
        <v>69</v>
      </c>
      <c r="B11" s="3"/>
      <c r="C11" s="3"/>
      <c r="D11" s="3"/>
      <c r="H11" s="5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7" t="s">
        <v>72</v>
      </c>
      <c r="B12" s="3"/>
      <c r="C12" s="3"/>
      <c r="D12" s="3"/>
      <c r="E12" s="3"/>
      <c r="F12" s="59"/>
      <c r="G12" s="10"/>
      <c r="H12" s="5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7" t="s">
        <v>75</v>
      </c>
      <c r="B13" s="3"/>
      <c r="D13" s="3"/>
      <c r="E13" s="3"/>
      <c r="F13" s="3"/>
      <c r="G13" s="59"/>
      <c r="H13" s="5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7" t="s">
        <v>76</v>
      </c>
      <c r="B14" s="3"/>
      <c r="D14" s="3"/>
      <c r="E14" s="3"/>
      <c r="F14" s="3"/>
      <c r="G14" s="63"/>
      <c r="H14" s="5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B15" s="3"/>
      <c r="D15" s="3"/>
      <c r="E15" s="3"/>
      <c r="F15" s="3"/>
      <c r="G15" s="6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3"/>
      <c r="D16" s="3"/>
      <c r="E16" s="3"/>
      <c r="F16" s="3"/>
      <c r="G16" s="6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3"/>
      <c r="D17" s="3"/>
      <c r="E17" s="3"/>
      <c r="F17" s="3"/>
      <c r="G17" s="6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3"/>
      <c r="D18" s="3"/>
      <c r="E18" s="3"/>
      <c r="F18" s="3"/>
      <c r="G18" s="6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D19" s="3"/>
      <c r="E19" s="3"/>
      <c r="F19" s="3"/>
      <c r="G19" s="6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3"/>
      <c r="D20" s="3"/>
      <c r="E20" s="3"/>
      <c r="F20" s="3"/>
      <c r="G20" s="6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3"/>
      <c r="D21" s="3"/>
      <c r="E21" s="3"/>
      <c r="F21" s="3"/>
      <c r="G21" s="6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3"/>
      <c r="D22" s="3"/>
      <c r="E22" s="3"/>
      <c r="F22" s="3"/>
      <c r="G22" s="6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3"/>
      <c r="C23" s="3"/>
      <c r="D23" s="3"/>
      <c r="E23" s="3"/>
      <c r="F23" s="67"/>
      <c r="G23" s="1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3"/>
      <c r="C24" s="3"/>
      <c r="D24" s="3"/>
      <c r="E24" s="3"/>
      <c r="F24" s="67"/>
      <c r="G24" s="1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3"/>
      <c r="C25" s="3"/>
      <c r="D25" s="3"/>
      <c r="E25" s="3"/>
      <c r="F25" s="67"/>
      <c r="G25" s="1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3"/>
      <c r="C26" s="3"/>
      <c r="D26" s="3"/>
      <c r="E26" s="3"/>
      <c r="F26" s="67"/>
      <c r="G26" s="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3"/>
      <c r="C27" s="3"/>
      <c r="D27" s="3"/>
      <c r="E27" s="3"/>
      <c r="F27" s="67"/>
      <c r="G27" s="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3"/>
      <c r="C28" s="3"/>
      <c r="D28" s="3"/>
      <c r="E28" s="3"/>
      <c r="F28" s="67"/>
      <c r="G28" s="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3"/>
      <c r="C29" s="3"/>
      <c r="D29" s="3"/>
      <c r="E29" s="3"/>
      <c r="F29" s="67"/>
      <c r="G29" s="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3"/>
      <c r="C30" s="3"/>
      <c r="D30" s="3"/>
      <c r="E30" s="3"/>
      <c r="F30" s="67"/>
      <c r="G30" s="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3"/>
      <c r="C31" s="3"/>
      <c r="D31" s="3"/>
      <c r="E31" s="3"/>
      <c r="F31" s="67"/>
      <c r="G31" s="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3"/>
      <c r="C32" s="3"/>
      <c r="D32" s="3"/>
      <c r="E32" s="3"/>
      <c r="F32" s="67"/>
      <c r="G32" s="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3"/>
      <c r="C33" s="3"/>
      <c r="D33" s="3"/>
      <c r="E33" s="3"/>
      <c r="F33" s="67"/>
      <c r="G33" s="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3"/>
      <c r="C34" s="3"/>
      <c r="D34" s="3"/>
      <c r="E34" s="3"/>
      <c r="F34" s="67"/>
      <c r="G34" s="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3"/>
      <c r="C35" s="3"/>
      <c r="D35" s="3"/>
      <c r="E35" s="3"/>
      <c r="F35" s="67"/>
      <c r="G35" s="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3"/>
      <c r="C36" s="3"/>
      <c r="D36" s="3"/>
      <c r="E36" s="3"/>
      <c r="F36" s="67"/>
      <c r="G36" s="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3"/>
      <c r="C37" s="3"/>
      <c r="D37" s="3"/>
      <c r="E37" s="3"/>
      <c r="F37" s="67"/>
      <c r="G37" s="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3"/>
      <c r="D38" s="3"/>
      <c r="E38" s="3"/>
      <c r="F38" s="67"/>
      <c r="G38" s="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3"/>
      <c r="C39" s="3"/>
      <c r="D39" s="3"/>
      <c r="E39" s="3"/>
      <c r="F39" s="67"/>
      <c r="G39" s="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3"/>
      <c r="C40" s="3"/>
      <c r="D40" s="3"/>
      <c r="E40" s="3"/>
      <c r="F40" s="67"/>
      <c r="G40" s="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3"/>
      <c r="E41" s="3"/>
      <c r="F41" s="67"/>
      <c r="G41" s="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3"/>
      <c r="E42" s="3"/>
      <c r="F42" s="67"/>
      <c r="G42" s="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3"/>
      <c r="F43" s="67"/>
      <c r="G43" s="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3"/>
      <c r="F44" s="67"/>
      <c r="G44" s="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3"/>
      <c r="F45" s="67"/>
      <c r="G45" s="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3"/>
      <c r="F46" s="67"/>
      <c r="G46" s="1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67"/>
      <c r="G47" s="1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67"/>
      <c r="G48" s="1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3"/>
      <c r="F49" s="67"/>
      <c r="G49" s="1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67"/>
      <c r="G50" s="1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67"/>
      <c r="G51" s="1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67"/>
      <c r="G52" s="1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67"/>
      <c r="G53" s="1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67"/>
      <c r="G54" s="1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67"/>
      <c r="G55" s="10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67"/>
      <c r="G56" s="10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67"/>
      <c r="G57" s="10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67"/>
      <c r="G58" s="10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67"/>
      <c r="G59" s="10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67"/>
      <c r="G60" s="1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67"/>
      <c r="G61" s="1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67"/>
      <c r="G62" s="1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67"/>
      <c r="G63" s="10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67"/>
      <c r="G64" s="10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67"/>
      <c r="G65" s="10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67"/>
      <c r="G66" s="10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67"/>
      <c r="G67" s="10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67"/>
      <c r="G68" s="10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67"/>
      <c r="G69" s="10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67"/>
      <c r="G70" s="10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67"/>
      <c r="G71" s="10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67"/>
      <c r="G72" s="10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67"/>
      <c r="G73" s="10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67"/>
      <c r="G74" s="10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67"/>
      <c r="G75" s="1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67"/>
      <c r="G76" s="1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67"/>
      <c r="G77" s="1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67"/>
      <c r="G78" s="10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67"/>
      <c r="G79" s="10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67"/>
      <c r="G80" s="10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67"/>
      <c r="G81" s="10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67"/>
      <c r="G82" s="10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67"/>
      <c r="G83" s="10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67"/>
      <c r="G84" s="10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67"/>
      <c r="G85" s="10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67"/>
      <c r="G86" s="10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67"/>
      <c r="G87" s="10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67"/>
      <c r="G88" s="10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67"/>
      <c r="G89" s="10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67"/>
      <c r="G90" s="10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67"/>
      <c r="G91" s="10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67"/>
      <c r="G92" s="10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67"/>
      <c r="G93" s="10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67"/>
      <c r="G94" s="10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67"/>
      <c r="G95" s="10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67"/>
      <c r="G96" s="10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67"/>
      <c r="G97" s="10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67"/>
      <c r="G98" s="10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67"/>
      <c r="G99" s="10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67"/>
      <c r="G100" s="10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67"/>
      <c r="G101" s="10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67"/>
      <c r="G102" s="10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67"/>
      <c r="G103" s="10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67"/>
      <c r="G104" s="10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67"/>
      <c r="G105" s="10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67"/>
      <c r="G106" s="10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67"/>
      <c r="G107" s="10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67"/>
      <c r="G108" s="10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67"/>
      <c r="G109" s="1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67"/>
      <c r="G110" s="10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67"/>
      <c r="G111" s="10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67"/>
      <c r="G112" s="10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67"/>
      <c r="G113" s="10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67"/>
      <c r="G114" s="10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67"/>
      <c r="G115" s="10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67"/>
      <c r="G116" s="10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67"/>
      <c r="G117" s="10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67"/>
      <c r="G118" s="10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67"/>
      <c r="G119" s="10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67"/>
      <c r="G120" s="10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67"/>
      <c r="G121" s="1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67"/>
      <c r="G122" s="10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67"/>
      <c r="G123" s="10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67"/>
      <c r="G124" s="1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67"/>
      <c r="G125" s="1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67"/>
      <c r="G126" s="10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67"/>
      <c r="G127" s="10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67"/>
      <c r="G128" s="10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67"/>
      <c r="G129" s="10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67"/>
      <c r="G130" s="90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67"/>
      <c r="G131" s="9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67"/>
      <c r="G132" s="90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67"/>
      <c r="G133" s="90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67"/>
      <c r="G134" s="90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67"/>
      <c r="G135" s="90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67"/>
      <c r="G136" s="90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67"/>
      <c r="G137" s="90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67"/>
      <c r="G138" s="90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67"/>
      <c r="G139" s="90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67"/>
      <c r="G140" s="90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67"/>
      <c r="G141" s="90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67"/>
      <c r="G142" s="90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67"/>
      <c r="G143" s="90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67"/>
      <c r="G144" s="90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67"/>
      <c r="G145" s="90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67"/>
      <c r="G146" s="90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67"/>
      <c r="G147" s="90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67"/>
      <c r="G148" s="90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67"/>
      <c r="G149" s="90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67"/>
      <c r="G150" s="90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67"/>
      <c r="G151" s="90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67"/>
      <c r="G152" s="90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67"/>
      <c r="G153" s="90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67"/>
      <c r="G154" s="90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67"/>
      <c r="G155" s="90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67"/>
      <c r="G156" s="90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67"/>
      <c r="G157" s="90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67"/>
      <c r="G158" s="90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67"/>
      <c r="G159" s="90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67"/>
      <c r="G160" s="90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67"/>
      <c r="G161" s="90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67"/>
      <c r="G162" s="90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67"/>
      <c r="G163" s="90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67"/>
      <c r="G164" s="90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67"/>
      <c r="G165" s="90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67"/>
      <c r="G166" s="90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67"/>
      <c r="G167" s="90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67"/>
      <c r="G168" s="90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67"/>
      <c r="G169" s="90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67"/>
      <c r="G170" s="90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67"/>
      <c r="G171" s="90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67"/>
      <c r="G172" s="90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67"/>
      <c r="G173" s="90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67"/>
      <c r="G174" s="90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67"/>
      <c r="G175" s="90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67"/>
      <c r="G176" s="90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67"/>
      <c r="G177" s="90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67"/>
      <c r="G178" s="90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67"/>
      <c r="G179" s="90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67"/>
      <c r="G180" s="90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67"/>
      <c r="G181" s="90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67"/>
      <c r="G182" s="90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67"/>
      <c r="G183" s="90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67"/>
      <c r="G184" s="90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67"/>
      <c r="G185" s="90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67"/>
      <c r="G186" s="90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67"/>
      <c r="G187" s="90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67"/>
      <c r="G188" s="90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67"/>
      <c r="G189" s="90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67"/>
      <c r="G190" s="90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67"/>
      <c r="G191" s="90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67"/>
      <c r="G192" s="90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67"/>
      <c r="G193" s="90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67"/>
      <c r="G194" s="90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67"/>
      <c r="G195" s="90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67"/>
      <c r="G196" s="90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67"/>
      <c r="G197" s="90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67"/>
      <c r="G198" s="90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67"/>
      <c r="G199" s="90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67"/>
      <c r="G200" s="90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67"/>
      <c r="G201" s="90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67"/>
      <c r="G202" s="90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67"/>
      <c r="G203" s="90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67"/>
      <c r="G204" s="90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67"/>
      <c r="G205" s="90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67"/>
      <c r="G206" s="90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67"/>
      <c r="G207" s="90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67"/>
      <c r="G208" s="90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67"/>
      <c r="G209" s="90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67"/>
      <c r="G210" s="90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67"/>
      <c r="G211" s="90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67"/>
      <c r="G212" s="90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67"/>
      <c r="G213" s="90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67"/>
      <c r="G214" s="90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67"/>
      <c r="G215" s="90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67"/>
      <c r="G216" s="90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67"/>
      <c r="G217" s="90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67"/>
      <c r="G218" s="90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67"/>
      <c r="G219" s="90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67"/>
      <c r="G220" s="90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67"/>
      <c r="G221" s="90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67"/>
      <c r="G222" s="90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67"/>
      <c r="G223" s="90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67"/>
      <c r="G224" s="90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67"/>
      <c r="G225" s="90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67"/>
      <c r="G226" s="90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67"/>
      <c r="G227" s="90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67"/>
      <c r="G228" s="90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67"/>
      <c r="G229" s="90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67"/>
      <c r="G230" s="90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67"/>
      <c r="G231" s="90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67"/>
      <c r="G232" s="90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67"/>
      <c r="G233" s="90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67"/>
      <c r="G234" s="90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67"/>
      <c r="G235" s="90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67"/>
      <c r="G236" s="90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67"/>
      <c r="G237" s="90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67"/>
      <c r="G238" s="90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67"/>
      <c r="G239" s="90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67"/>
      <c r="G240" s="90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67"/>
      <c r="G241" s="90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67"/>
      <c r="G242" s="90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67"/>
      <c r="G243" s="90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67"/>
      <c r="G244" s="90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67"/>
      <c r="G245" s="90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67"/>
      <c r="G246" s="90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67"/>
      <c r="G247" s="90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67"/>
      <c r="G248" s="90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67"/>
      <c r="G249" s="90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67"/>
      <c r="G250" s="90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67"/>
      <c r="G251" s="90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67"/>
      <c r="G252" s="90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67"/>
      <c r="G253" s="90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67"/>
      <c r="G254" s="90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67"/>
      <c r="G255" s="90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67"/>
      <c r="G256" s="90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67"/>
      <c r="G257" s="90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67"/>
      <c r="G258" s="90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67"/>
      <c r="G259" s="90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67"/>
      <c r="G260" s="90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67"/>
      <c r="G261" s="90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67"/>
      <c r="G262" s="90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67"/>
      <c r="G263" s="90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67"/>
      <c r="G264" s="90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67"/>
      <c r="G265" s="90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67"/>
      <c r="G266" s="90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67"/>
      <c r="G267" s="90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67"/>
      <c r="G268" s="90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67"/>
      <c r="G269" s="90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67"/>
      <c r="G270" s="90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67"/>
      <c r="G271" s="90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67"/>
      <c r="G272" s="90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67"/>
      <c r="G273" s="90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67"/>
      <c r="G274" s="90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67"/>
      <c r="G275" s="90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67"/>
      <c r="G276" s="90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67"/>
      <c r="G277" s="90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67"/>
      <c r="G278" s="90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67"/>
      <c r="G279" s="90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67"/>
      <c r="G280" s="90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67"/>
      <c r="G281" s="90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67"/>
      <c r="G282" s="90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67"/>
      <c r="G283" s="90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67"/>
      <c r="G284" s="90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67"/>
      <c r="G285" s="90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67"/>
      <c r="G286" s="90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67"/>
      <c r="G287" s="90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67"/>
      <c r="G288" s="90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67"/>
      <c r="G289" s="90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67"/>
      <c r="G290" s="90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67"/>
      <c r="G291" s="90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67"/>
      <c r="G292" s="90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67"/>
      <c r="G293" s="90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67"/>
      <c r="G294" s="90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67"/>
      <c r="G295" s="90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67"/>
      <c r="G296" s="90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67"/>
      <c r="G297" s="90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67"/>
      <c r="G298" s="90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67"/>
      <c r="G299" s="90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67"/>
      <c r="G300" s="90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67"/>
      <c r="G301" s="90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67"/>
      <c r="G302" s="90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67"/>
      <c r="G303" s="90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67"/>
      <c r="G304" s="90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67"/>
      <c r="G305" s="90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67"/>
      <c r="G306" s="90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67"/>
      <c r="G307" s="90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67"/>
      <c r="G308" s="90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67"/>
      <c r="G309" s="90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67"/>
      <c r="G310" s="90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67"/>
      <c r="G311" s="90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67"/>
      <c r="G312" s="90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67"/>
      <c r="G313" s="90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67"/>
      <c r="G314" s="90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67"/>
      <c r="G315" s="90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67"/>
      <c r="G316" s="90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67"/>
      <c r="G317" s="90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67"/>
      <c r="G318" s="90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67"/>
      <c r="G319" s="90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67"/>
      <c r="G320" s="90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67"/>
      <c r="G321" s="90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67"/>
      <c r="G322" s="90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67"/>
      <c r="G323" s="90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67"/>
      <c r="G324" s="90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67"/>
      <c r="G325" s="90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67"/>
      <c r="G326" s="90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67"/>
      <c r="G327" s="90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67"/>
      <c r="G328" s="90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67"/>
      <c r="G329" s="90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67"/>
      <c r="G330" s="90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67"/>
      <c r="G331" s="90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67"/>
      <c r="G332" s="90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67"/>
      <c r="G333" s="90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67"/>
      <c r="G334" s="90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67"/>
      <c r="G335" s="90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67"/>
      <c r="G336" s="90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67"/>
      <c r="G337" s="90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67"/>
      <c r="G338" s="90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67"/>
      <c r="G339" s="90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67"/>
      <c r="G340" s="90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67"/>
      <c r="G341" s="90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67"/>
      <c r="G342" s="90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67"/>
      <c r="G343" s="90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67"/>
      <c r="G344" s="90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67"/>
      <c r="G345" s="90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67"/>
      <c r="G346" s="90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67"/>
      <c r="G347" s="90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67"/>
      <c r="G348" s="90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67"/>
      <c r="G349" s="90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67"/>
      <c r="G350" s="90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67"/>
      <c r="G351" s="90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67"/>
      <c r="G352" s="90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67"/>
      <c r="G353" s="90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67"/>
      <c r="G354" s="90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67"/>
      <c r="G355" s="90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67"/>
      <c r="G356" s="90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67"/>
      <c r="G357" s="90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67"/>
      <c r="G358" s="90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67"/>
      <c r="G359" s="90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67"/>
      <c r="G360" s="90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67"/>
      <c r="G361" s="90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67"/>
      <c r="G362" s="90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67"/>
      <c r="G363" s="90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67"/>
      <c r="G364" s="90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67"/>
      <c r="G365" s="90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67"/>
      <c r="G366" s="90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67"/>
      <c r="G367" s="90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67"/>
      <c r="G368" s="90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67"/>
      <c r="G369" s="90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67"/>
      <c r="G370" s="90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67"/>
      <c r="G371" s="90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67"/>
      <c r="G372" s="90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67"/>
      <c r="G373" s="90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67"/>
      <c r="G374" s="90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67"/>
      <c r="G375" s="90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67"/>
      <c r="G376" s="9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67"/>
      <c r="G377" s="90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67"/>
      <c r="G378" s="90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67"/>
      <c r="G379" s="90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67"/>
      <c r="G380" s="90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67"/>
      <c r="G381" s="90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67"/>
      <c r="G382" s="90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67"/>
      <c r="G383" s="90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67"/>
      <c r="G384" s="90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67"/>
      <c r="G385" s="90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67"/>
      <c r="G386" s="90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67"/>
      <c r="G387" s="90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67"/>
      <c r="G388" s="90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67"/>
      <c r="G389" s="90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67"/>
      <c r="G390" s="9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67"/>
      <c r="G391" s="9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67"/>
      <c r="G392" s="9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67"/>
      <c r="G393" s="90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59"/>
      <c r="G394" s="90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59"/>
      <c r="G395" s="90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59"/>
      <c r="G396" s="90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59"/>
      <c r="G397" s="90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59"/>
      <c r="G398" s="90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59"/>
      <c r="G399" s="90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59"/>
      <c r="G400" s="90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59"/>
      <c r="G401" s="90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59"/>
      <c r="G402" s="90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59"/>
      <c r="G403" s="90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59"/>
      <c r="G404" s="90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59"/>
      <c r="G405" s="90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59"/>
      <c r="G406" s="90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59"/>
      <c r="G407" s="90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59"/>
      <c r="G408" s="90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59"/>
      <c r="G409" s="90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59"/>
      <c r="G410" s="90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59"/>
      <c r="G411" s="90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59"/>
      <c r="G412" s="90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59"/>
      <c r="G413" s="90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59"/>
      <c r="G414" s="90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59"/>
      <c r="G415" s="90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59"/>
      <c r="G416" s="90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59"/>
      <c r="G417" s="90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59"/>
      <c r="G418" s="90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59"/>
      <c r="G419" s="90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59"/>
      <c r="G420" s="90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59"/>
      <c r="G421" s="90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59"/>
      <c r="G422" s="90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59"/>
      <c r="G423" s="90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59"/>
      <c r="G424" s="90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59"/>
      <c r="G425" s="90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59"/>
      <c r="G426" s="90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59"/>
      <c r="G427" s="90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59"/>
      <c r="G428" s="90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59"/>
      <c r="G429" s="90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59"/>
      <c r="G430" s="90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59"/>
      <c r="G431" s="90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59"/>
      <c r="G432" s="90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59"/>
      <c r="G433" s="90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59"/>
      <c r="G434" s="90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59"/>
      <c r="G435" s="90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59"/>
      <c r="G436" s="90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59"/>
      <c r="G437" s="90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59"/>
      <c r="G438" s="90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59"/>
      <c r="G439" s="90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59"/>
      <c r="G440" s="90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59"/>
      <c r="G441" s="90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59"/>
      <c r="G442" s="90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59"/>
      <c r="G443" s="90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59"/>
      <c r="G444" s="90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59"/>
      <c r="G445" s="90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59"/>
      <c r="G446" s="90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59"/>
      <c r="G447" s="90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59"/>
      <c r="G448" s="90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59"/>
      <c r="G449" s="90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59"/>
      <c r="G450" s="90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59"/>
      <c r="G451" s="90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59"/>
      <c r="G452" s="90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59"/>
      <c r="G453" s="90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59"/>
      <c r="G454" s="90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59"/>
      <c r="G455" s="90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59"/>
      <c r="G456" s="90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59"/>
      <c r="G457" s="90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59"/>
      <c r="G458" s="90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59"/>
      <c r="G459" s="90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59"/>
      <c r="G460" s="90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59"/>
      <c r="G461" s="90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59"/>
      <c r="G462" s="90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59"/>
      <c r="G463" s="90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59"/>
      <c r="G464" s="90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59"/>
      <c r="G465" s="90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59"/>
      <c r="G466" s="90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59"/>
      <c r="G467" s="90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59"/>
      <c r="G468" s="90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59"/>
      <c r="G469" s="90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59"/>
      <c r="G470" s="90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59"/>
      <c r="G471" s="90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59"/>
      <c r="G472" s="90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59"/>
      <c r="G473" s="90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59"/>
      <c r="G474" s="90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59"/>
      <c r="G475" s="90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59"/>
      <c r="G476" s="90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59"/>
      <c r="G477" s="90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59"/>
      <c r="G478" s="90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59"/>
      <c r="G479" s="90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59"/>
      <c r="G480" s="90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59"/>
      <c r="G481" s="90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59"/>
      <c r="G482" s="90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59"/>
      <c r="G483" s="90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59"/>
      <c r="G484" s="90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59"/>
      <c r="G485" s="90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59"/>
      <c r="G486" s="90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59"/>
      <c r="G487" s="90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59"/>
      <c r="G488" s="90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59"/>
      <c r="G489" s="90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59"/>
      <c r="G490" s="90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59"/>
      <c r="G491" s="90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59"/>
      <c r="G492" s="90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59"/>
      <c r="G493" s="90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59"/>
      <c r="G494" s="90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59"/>
      <c r="G495" s="90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59"/>
      <c r="G496" s="90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59"/>
      <c r="G497" s="90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59"/>
      <c r="G498" s="90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59"/>
      <c r="G499" s="90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59"/>
      <c r="G500" s="90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59"/>
      <c r="G501" s="90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59"/>
      <c r="G502" s="90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59"/>
      <c r="G503" s="90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59"/>
      <c r="G504" s="90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59"/>
      <c r="G505" s="90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59"/>
      <c r="G506" s="90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59"/>
      <c r="G507" s="90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59"/>
      <c r="G508" s="90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59"/>
      <c r="G509" s="90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59"/>
      <c r="G510" s="90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59"/>
      <c r="G511" s="90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59"/>
      <c r="G512" s="90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59"/>
      <c r="G513" s="90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59"/>
      <c r="G514" s="90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59"/>
      <c r="G515" s="90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59"/>
      <c r="G516" s="90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59"/>
      <c r="G517" s="90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59"/>
      <c r="G518" s="90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59"/>
      <c r="G519" s="90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59"/>
      <c r="G520" s="90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59"/>
      <c r="G521" s="90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59"/>
      <c r="G522" s="90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59"/>
      <c r="G523" s="90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59"/>
      <c r="G524" s="90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59"/>
      <c r="G525" s="90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59"/>
      <c r="G526" s="90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59"/>
      <c r="G527" s="90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59"/>
      <c r="G528" s="90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59"/>
      <c r="G529" s="90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59"/>
      <c r="G530" s="90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59"/>
      <c r="G531" s="90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59"/>
      <c r="G532" s="90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59"/>
      <c r="G533" s="90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59"/>
      <c r="G534" s="90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59"/>
      <c r="G535" s="90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59"/>
      <c r="G536" s="90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59"/>
      <c r="G537" s="90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59"/>
      <c r="G538" s="90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59"/>
      <c r="G539" s="90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59"/>
      <c r="G540" s="90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59"/>
      <c r="G541" s="90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59"/>
      <c r="G542" s="90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59"/>
      <c r="G543" s="90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59"/>
      <c r="G544" s="90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59"/>
      <c r="G545" s="90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59"/>
      <c r="G546" s="90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59"/>
      <c r="G547" s="90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59"/>
      <c r="G548" s="90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59"/>
      <c r="G549" s="90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59"/>
      <c r="G550" s="90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59"/>
      <c r="G551" s="90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59"/>
      <c r="G552" s="90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59"/>
      <c r="G553" s="90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59"/>
      <c r="G554" s="90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59"/>
      <c r="G555" s="90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59"/>
      <c r="G556" s="90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59"/>
      <c r="G557" s="90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59"/>
      <c r="G558" s="90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59"/>
      <c r="G559" s="90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59"/>
      <c r="G560" s="90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59"/>
      <c r="G561" s="90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59"/>
      <c r="G562" s="90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59"/>
      <c r="G563" s="90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59"/>
      <c r="G564" s="90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59"/>
      <c r="G565" s="90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59"/>
      <c r="G566" s="90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59"/>
      <c r="G567" s="90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59"/>
      <c r="G568" s="90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59"/>
      <c r="G569" s="90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59"/>
      <c r="G570" s="90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59"/>
      <c r="G571" s="90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59"/>
      <c r="G572" s="90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59"/>
      <c r="G573" s="90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59"/>
      <c r="G574" s="90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59"/>
      <c r="G575" s="90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59"/>
      <c r="G576" s="90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59"/>
      <c r="G577" s="90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59"/>
      <c r="G578" s="90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59"/>
      <c r="G579" s="90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59"/>
      <c r="G580" s="90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59"/>
      <c r="G581" s="90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59"/>
      <c r="G582" s="90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59"/>
      <c r="G583" s="90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59"/>
      <c r="G584" s="90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59"/>
      <c r="G585" s="90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59"/>
      <c r="G586" s="90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59"/>
      <c r="G587" s="90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59"/>
      <c r="G588" s="90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59"/>
      <c r="G589" s="90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59"/>
      <c r="G590" s="90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59"/>
      <c r="G591" s="90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59"/>
      <c r="G592" s="90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59"/>
      <c r="G593" s="90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59"/>
      <c r="G594" s="90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59"/>
      <c r="G595" s="90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59"/>
      <c r="G596" s="90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59"/>
      <c r="G597" s="90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59"/>
      <c r="G598" s="90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59"/>
      <c r="G599" s="90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59"/>
      <c r="G600" s="90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59"/>
      <c r="G601" s="90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59"/>
      <c r="G602" s="90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59"/>
      <c r="G603" s="90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59"/>
      <c r="G604" s="90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59"/>
      <c r="G605" s="90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59"/>
      <c r="G606" s="90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59"/>
      <c r="G607" s="90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59"/>
      <c r="G608" s="90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59"/>
      <c r="G609" s="90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59"/>
      <c r="G610" s="90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59"/>
      <c r="G611" s="90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59"/>
      <c r="G612" s="90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59"/>
      <c r="G613" s="90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59"/>
      <c r="G614" s="90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59"/>
      <c r="G615" s="90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59"/>
      <c r="G616" s="90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59"/>
      <c r="G617" s="90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59"/>
      <c r="G618" s="90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59"/>
      <c r="G619" s="90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59"/>
      <c r="G620" s="90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59"/>
      <c r="G621" s="90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59"/>
      <c r="G622" s="90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59"/>
      <c r="G623" s="90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59"/>
      <c r="G624" s="90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59"/>
      <c r="G625" s="90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59"/>
      <c r="G626" s="90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59"/>
      <c r="G627" s="90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59"/>
      <c r="G628" s="90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59"/>
      <c r="G629" s="90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59"/>
      <c r="G630" s="90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59"/>
      <c r="G631" s="90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59"/>
      <c r="G632" s="90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59"/>
      <c r="G633" s="90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59"/>
      <c r="G634" s="90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59"/>
      <c r="G635" s="90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59"/>
      <c r="G636" s="90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59"/>
      <c r="G637" s="90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59"/>
      <c r="G638" s="90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59"/>
      <c r="G639" s="90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59"/>
      <c r="G640" s="90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59"/>
      <c r="G641" s="90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59"/>
      <c r="G642" s="90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59"/>
      <c r="G643" s="90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59"/>
      <c r="G644" s="90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59"/>
      <c r="G645" s="90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59"/>
      <c r="G646" s="90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59"/>
      <c r="G647" s="90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59"/>
      <c r="G648" s="90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59"/>
      <c r="G649" s="90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59"/>
      <c r="G650" s="90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59"/>
      <c r="G651" s="90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59"/>
      <c r="G652" s="90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59"/>
      <c r="G653" s="90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59"/>
      <c r="G654" s="90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59"/>
      <c r="G655" s="90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59"/>
      <c r="G656" s="90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59"/>
      <c r="G657" s="90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59"/>
      <c r="G658" s="90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59"/>
      <c r="G659" s="90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59"/>
      <c r="G660" s="90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59"/>
      <c r="G661" s="90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59"/>
      <c r="G662" s="90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59"/>
      <c r="G663" s="90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59"/>
      <c r="G664" s="90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59"/>
      <c r="G665" s="90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59"/>
      <c r="G666" s="90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59"/>
      <c r="G667" s="90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59"/>
      <c r="G668" s="90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59"/>
      <c r="G669" s="90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59"/>
      <c r="G670" s="90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59"/>
      <c r="G671" s="90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59"/>
      <c r="G672" s="90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59"/>
      <c r="G673" s="90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59"/>
      <c r="G674" s="90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59"/>
      <c r="G675" s="90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59"/>
      <c r="G676" s="90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59"/>
      <c r="G677" s="90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59"/>
      <c r="G678" s="90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59"/>
      <c r="G679" s="90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59"/>
      <c r="G680" s="90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59"/>
      <c r="G681" s="90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59"/>
      <c r="G682" s="90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59"/>
      <c r="G683" s="90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59"/>
      <c r="G684" s="90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59"/>
      <c r="G685" s="90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59"/>
      <c r="G686" s="90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59"/>
      <c r="G687" s="90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59"/>
      <c r="G688" s="90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59"/>
      <c r="G689" s="90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59"/>
      <c r="G690" s="90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59"/>
      <c r="G691" s="90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59"/>
      <c r="G692" s="90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59"/>
      <c r="G693" s="90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59"/>
      <c r="G694" s="90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59"/>
      <c r="G695" s="90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59"/>
      <c r="G696" s="90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59"/>
      <c r="G697" s="90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59"/>
      <c r="G698" s="90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59"/>
      <c r="G699" s="90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59"/>
      <c r="G700" s="90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59"/>
      <c r="G701" s="90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59"/>
      <c r="G702" s="90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59"/>
      <c r="G703" s="90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59"/>
      <c r="G704" s="90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59"/>
      <c r="G705" s="90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59"/>
      <c r="G706" s="90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59"/>
      <c r="G707" s="90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59"/>
      <c r="G708" s="90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59"/>
      <c r="G709" s="90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59"/>
      <c r="G710" s="90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59"/>
      <c r="G711" s="90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59"/>
      <c r="G712" s="90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59"/>
      <c r="G713" s="90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59"/>
      <c r="G714" s="90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59"/>
      <c r="G715" s="90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59"/>
      <c r="G716" s="90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59"/>
      <c r="G717" s="90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59"/>
      <c r="G718" s="90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59"/>
      <c r="G719" s="90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59"/>
      <c r="G720" s="90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59"/>
      <c r="G721" s="90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59"/>
      <c r="G722" s="90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59"/>
      <c r="G723" s="90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59"/>
      <c r="G724" s="90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59"/>
      <c r="G725" s="90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59"/>
      <c r="G726" s="90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59"/>
      <c r="G727" s="90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59"/>
      <c r="G728" s="90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59"/>
      <c r="G729" s="90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59"/>
      <c r="G730" s="90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59"/>
      <c r="G731" s="90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59"/>
      <c r="G732" s="90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59"/>
      <c r="G733" s="90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59"/>
      <c r="G734" s="90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59"/>
      <c r="G735" s="90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59"/>
      <c r="G736" s="90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59"/>
      <c r="G737" s="90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59"/>
      <c r="G738" s="90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59"/>
      <c r="G739" s="90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59"/>
      <c r="G740" s="90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59"/>
      <c r="G741" s="90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59"/>
      <c r="G742" s="90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59"/>
      <c r="G743" s="90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59"/>
      <c r="G744" s="90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59"/>
      <c r="G745" s="90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59"/>
      <c r="G746" s="90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59"/>
      <c r="G747" s="90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59"/>
      <c r="G748" s="90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59"/>
      <c r="G749" s="90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59"/>
      <c r="G750" s="90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59"/>
      <c r="G751" s="90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59"/>
      <c r="G752" s="90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59"/>
      <c r="G753" s="90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59"/>
      <c r="G754" s="90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59"/>
      <c r="G755" s="90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59"/>
      <c r="G756" s="90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59"/>
      <c r="G757" s="90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59"/>
      <c r="G758" s="90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59"/>
      <c r="G759" s="90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59"/>
      <c r="G760" s="90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59"/>
      <c r="G761" s="90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59"/>
      <c r="G762" s="90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59"/>
      <c r="G763" s="90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59"/>
      <c r="G764" s="90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59"/>
      <c r="G765" s="90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59"/>
      <c r="G766" s="90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59"/>
      <c r="G767" s="90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59"/>
      <c r="G768" s="90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59"/>
      <c r="G769" s="90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59"/>
      <c r="G770" s="90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59"/>
      <c r="G771" s="90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59"/>
      <c r="G772" s="90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59"/>
      <c r="G773" s="90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59"/>
      <c r="G774" s="90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59"/>
      <c r="G775" s="90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59"/>
      <c r="G776" s="90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59"/>
      <c r="G777" s="90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59"/>
      <c r="G778" s="90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59"/>
      <c r="G779" s="90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59"/>
      <c r="G780" s="90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59"/>
      <c r="G781" s="90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59"/>
      <c r="G782" s="90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59"/>
      <c r="G783" s="90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59"/>
      <c r="G784" s="90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59"/>
      <c r="G785" s="90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59"/>
      <c r="G786" s="90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59"/>
      <c r="G787" s="90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59"/>
      <c r="G788" s="90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59"/>
      <c r="G789" s="90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59"/>
      <c r="G790" s="90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59"/>
      <c r="G791" s="90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59"/>
      <c r="G792" s="90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59"/>
      <c r="G793" s="90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59"/>
      <c r="G794" s="90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59"/>
      <c r="G795" s="90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59"/>
      <c r="G796" s="90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59"/>
      <c r="G797" s="90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59"/>
      <c r="G798" s="90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59"/>
      <c r="G799" s="90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59"/>
      <c r="G800" s="90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59"/>
      <c r="G801" s="90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59"/>
      <c r="G802" s="90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59"/>
      <c r="G803" s="90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59"/>
      <c r="G804" s="90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59"/>
      <c r="G805" s="90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59"/>
      <c r="G806" s="90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59"/>
      <c r="G807" s="90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59"/>
      <c r="G808" s="90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59"/>
      <c r="G809" s="90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59"/>
      <c r="G810" s="90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59"/>
      <c r="G811" s="90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59"/>
      <c r="G812" s="90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59"/>
      <c r="G813" s="90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59"/>
      <c r="G814" s="90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59"/>
      <c r="G815" s="90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59"/>
      <c r="G816" s="90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59"/>
      <c r="G817" s="90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59"/>
      <c r="G818" s="90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59"/>
      <c r="G819" s="90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59"/>
      <c r="G820" s="90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59"/>
      <c r="G821" s="90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59"/>
      <c r="G822" s="90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59"/>
      <c r="G823" s="90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59"/>
      <c r="G824" s="90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59"/>
      <c r="G825" s="90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59"/>
      <c r="G826" s="90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59"/>
      <c r="G827" s="90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59"/>
      <c r="G828" s="90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59"/>
      <c r="G829" s="90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59"/>
      <c r="G830" s="90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59"/>
      <c r="G831" s="90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59"/>
      <c r="G832" s="90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59"/>
      <c r="G833" s="90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59"/>
      <c r="G834" s="90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59"/>
      <c r="G835" s="90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59"/>
      <c r="G836" s="90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59"/>
      <c r="G837" s="90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59"/>
      <c r="G838" s="90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59"/>
      <c r="G839" s="90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59"/>
      <c r="G840" s="90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59"/>
      <c r="G841" s="90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59"/>
      <c r="G842" s="90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59"/>
      <c r="G843" s="90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59"/>
      <c r="G844" s="90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59"/>
      <c r="G845" s="90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59"/>
      <c r="G846" s="90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59"/>
      <c r="G847" s="90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59"/>
      <c r="G848" s="90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59"/>
      <c r="G849" s="90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59"/>
      <c r="G850" s="90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59"/>
      <c r="G851" s="90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59"/>
      <c r="G852" s="90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59"/>
      <c r="G853" s="90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59"/>
      <c r="G854" s="90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59"/>
      <c r="G855" s="90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59"/>
      <c r="G856" s="90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59"/>
      <c r="G857" s="90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59"/>
      <c r="G858" s="90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59"/>
      <c r="G859" s="90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59"/>
      <c r="G860" s="90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59"/>
      <c r="G861" s="90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59"/>
      <c r="G862" s="90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59"/>
      <c r="G863" s="90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59"/>
      <c r="G864" s="90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59"/>
      <c r="G865" s="90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59"/>
      <c r="G866" s="90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59"/>
      <c r="G867" s="90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59"/>
      <c r="G868" s="90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59"/>
      <c r="G869" s="90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59"/>
      <c r="G870" s="90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59"/>
      <c r="G871" s="90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59"/>
      <c r="G872" s="90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59"/>
      <c r="G873" s="90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59"/>
      <c r="G874" s="90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59"/>
      <c r="G875" s="90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59"/>
      <c r="G876" s="90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59"/>
      <c r="G877" s="90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59"/>
      <c r="G878" s="90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59"/>
      <c r="G879" s="90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59"/>
      <c r="G880" s="90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59"/>
      <c r="G881" s="90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59"/>
      <c r="G882" s="90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59"/>
      <c r="G883" s="90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59"/>
      <c r="G884" s="90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59"/>
      <c r="G885" s="90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59"/>
      <c r="G886" s="90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59"/>
      <c r="G887" s="90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59"/>
      <c r="G888" s="90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59"/>
      <c r="G889" s="90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59"/>
      <c r="G890" s="90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59"/>
      <c r="G891" s="90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59"/>
      <c r="G892" s="90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59"/>
      <c r="G893" s="90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59"/>
      <c r="G894" s="90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59"/>
      <c r="G895" s="90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59"/>
      <c r="G896" s="90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59"/>
      <c r="G897" s="90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59"/>
      <c r="G898" s="90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59"/>
      <c r="G899" s="90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59"/>
      <c r="G900" s="90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59"/>
      <c r="G901" s="90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59"/>
      <c r="G902" s="90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59"/>
      <c r="G903" s="90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59"/>
      <c r="G904" s="90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59"/>
      <c r="G905" s="90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59"/>
      <c r="G906" s="90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59"/>
      <c r="G907" s="90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59"/>
      <c r="G908" s="90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59"/>
      <c r="G909" s="90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59"/>
      <c r="G910" s="90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59"/>
      <c r="G911" s="90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59"/>
      <c r="G912" s="90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59"/>
      <c r="G913" s="90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59"/>
      <c r="G914" s="90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59"/>
      <c r="G915" s="90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59"/>
      <c r="G916" s="90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59"/>
      <c r="G917" s="90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59"/>
      <c r="G918" s="90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59"/>
      <c r="G919" s="90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59"/>
      <c r="G920" s="90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59"/>
      <c r="G921" s="90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59"/>
      <c r="G922" s="90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59"/>
      <c r="G923" s="90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59"/>
      <c r="G924" s="90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59"/>
      <c r="G925" s="90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59"/>
      <c r="G926" s="90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59"/>
      <c r="G927" s="90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59"/>
      <c r="G928" s="90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59"/>
      <c r="G929" s="90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59"/>
      <c r="G930" s="90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59"/>
      <c r="G931" s="90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59"/>
      <c r="G932" s="90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59"/>
      <c r="G933" s="90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59"/>
      <c r="G934" s="90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59"/>
      <c r="G935" s="90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59"/>
      <c r="G936" s="90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59"/>
      <c r="G937" s="90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59"/>
      <c r="G938" s="90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59"/>
      <c r="G939" s="90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59"/>
      <c r="G940" s="90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59"/>
      <c r="G941" s="90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59"/>
      <c r="G942" s="90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59"/>
      <c r="G943" s="90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59"/>
      <c r="G944" s="90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59"/>
      <c r="G945" s="90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59"/>
      <c r="G946" s="90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59"/>
      <c r="G947" s="90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59"/>
      <c r="G948" s="90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59"/>
      <c r="G949" s="90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59"/>
      <c r="G950" s="90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59"/>
      <c r="G951" s="90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59"/>
      <c r="G952" s="90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59"/>
      <c r="G953" s="90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59"/>
      <c r="G954" s="90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59"/>
      <c r="G955" s="90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59"/>
      <c r="G956" s="90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59"/>
      <c r="G957" s="90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59"/>
      <c r="G958" s="90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59"/>
      <c r="G959" s="90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59"/>
      <c r="G960" s="90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59"/>
      <c r="G961" s="90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59"/>
      <c r="G962" s="90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59"/>
      <c r="G963" s="90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59"/>
      <c r="G964" s="90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59"/>
      <c r="G965" s="90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59"/>
      <c r="G966" s="90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59"/>
      <c r="G967" s="90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59"/>
      <c r="G968" s="90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59"/>
      <c r="G969" s="90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59"/>
      <c r="G970" s="90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59"/>
      <c r="G971" s="90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59"/>
      <c r="G972" s="90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59"/>
      <c r="G973" s="90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59"/>
      <c r="G974" s="90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59"/>
      <c r="G975" s="90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59"/>
      <c r="G976" s="90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59"/>
      <c r="G977" s="90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59"/>
      <c r="G978" s="90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59"/>
      <c r="G979" s="90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59"/>
      <c r="G980" s="90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59"/>
      <c r="G981" s="90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59"/>
      <c r="G982" s="90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59"/>
      <c r="G983" s="90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59"/>
      <c r="G984" s="90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59"/>
      <c r="G985" s="90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59"/>
      <c r="G986" s="90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59"/>
      <c r="G987" s="90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59"/>
      <c r="G988" s="90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59"/>
      <c r="G989" s="90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59"/>
      <c r="G990" s="90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59"/>
      <c r="G991" s="90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59"/>
      <c r="G992" s="90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59"/>
      <c r="G993" s="90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59"/>
      <c r="G994" s="90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59"/>
      <c r="G995" s="90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</sheetData>
  <hyperlinks>
    <hyperlink r:id="rId1" location="gid=2060610875" ref="X1"/>
    <hyperlink r:id="rId2" location="gid=99474532" ref="X2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8.63"/>
    <col customWidth="1" hidden="1" min="2" max="2" width="24.5"/>
    <col customWidth="1" min="3" max="3" width="23.25"/>
    <col customWidth="1" min="4" max="4" width="99.88"/>
    <col customWidth="1" min="5" max="5" width="12.38"/>
    <col customWidth="1" min="6" max="6" width="11.5"/>
    <col customWidth="1" min="7" max="7" width="9.0"/>
    <col customWidth="1" min="8" max="8" width="8.75"/>
    <col customWidth="1" hidden="1" min="9" max="9" width="12.38"/>
    <col customWidth="1" min="10" max="10" width="12.5"/>
    <col customWidth="1" hidden="1" min="11" max="11" width="12.38"/>
    <col customWidth="1" hidden="1" min="12" max="12" width="7.13"/>
    <col customWidth="1" min="13" max="13" width="12.25"/>
    <col customWidth="1" min="14" max="14" width="6.75"/>
    <col customWidth="1" min="15" max="15" width="9.25"/>
    <col customWidth="1" min="16" max="23" width="6.75"/>
    <col customWidth="1" hidden="1" min="24" max="24" width="20.0"/>
    <col customWidth="1" hidden="1" min="25" max="25" width="25.5"/>
  </cols>
  <sheetData>
    <row r="1">
      <c r="A1" s="12" t="s">
        <v>1</v>
      </c>
      <c r="B1" s="15" t="s">
        <v>14</v>
      </c>
      <c r="C1" s="15" t="s">
        <v>16</v>
      </c>
      <c r="D1" s="18" t="s">
        <v>17</v>
      </c>
      <c r="E1" s="19" t="s">
        <v>18</v>
      </c>
      <c r="F1" s="19" t="s">
        <v>19</v>
      </c>
      <c r="G1" s="19" t="s">
        <v>20</v>
      </c>
      <c r="H1" s="20">
        <v>500.0</v>
      </c>
      <c r="I1" s="22"/>
      <c r="J1" s="23"/>
      <c r="K1" s="22" t="s">
        <v>22</v>
      </c>
      <c r="L1" s="25"/>
      <c r="M1" s="22" t="s">
        <v>24</v>
      </c>
      <c r="N1" s="25"/>
      <c r="O1" s="28"/>
      <c r="P1" s="28"/>
      <c r="Q1" s="28"/>
      <c r="R1" s="31"/>
      <c r="S1" s="31"/>
      <c r="T1" s="31"/>
      <c r="U1" s="32"/>
      <c r="V1" s="31"/>
      <c r="W1" s="32"/>
      <c r="X1" s="34" t="s">
        <v>29</v>
      </c>
      <c r="Y1" s="32">
        <v>500.0</v>
      </c>
    </row>
    <row r="2">
      <c r="A2" s="18" t="s">
        <v>33</v>
      </c>
      <c r="B2" s="15" t="s">
        <v>34</v>
      </c>
      <c r="C2" s="15" t="s">
        <v>34</v>
      </c>
      <c r="D2" s="18" t="s">
        <v>36</v>
      </c>
      <c r="E2" s="39">
        <v>940.0</v>
      </c>
      <c r="F2" s="39">
        <v>1020.0</v>
      </c>
      <c r="G2" s="50">
        <f t="shared" ref="G2:G116" si="1">IFERROR((F2-E2)/E2,"")</f>
        <v>0.08510638298</v>
      </c>
      <c r="H2" s="28"/>
      <c r="I2" s="55">
        <f t="shared" ref="I2:I1317" si="2">L2*M2</f>
        <v>1075.75126</v>
      </c>
      <c r="J2" s="57"/>
      <c r="K2" s="60">
        <f>IFERROR(__xludf.DUMMYFUNCTION("IFERROR(VLOOKUP(C2,IMPORTRANGE(""https://docs.google.com/spreadsheets/d/1HZUHB8NvANAZR0sHDmHYVAm2WE9kNv0pGIQA48Ryim8/edit?gid=1285727875#gid=1285727875"",""Sheet1!A2:G""),7,0))"),263.89)</f>
        <v>263.89</v>
      </c>
      <c r="L2" s="62">
        <f t="shared" ref="L2:L116" si="3">IFERROR(E2/$K2,"")</f>
        <v>3.562090265</v>
      </c>
      <c r="M2" s="60">
        <f>IFERROR(__xludf.DUMMYFUNCTION("IFERROR(VLOOKUP(C2,IMPORTRANGE(""https://docs.google.com/spreadsheets/d/1HZUHB8NvANAZR0sHDmHYVAm2WE9kNv0pGIQA48Ryim8/edit?gid=1285727875#gid=1285727875"",""Cost!A2:G""),7,0))"),302.0)</f>
        <v>302</v>
      </c>
      <c r="N2" s="62">
        <f t="shared" ref="N2:N1317" si="4">IFERROR(F2/$M2,"")</f>
        <v>3.377483444</v>
      </c>
      <c r="O2" s="28"/>
      <c r="P2" s="28"/>
      <c r="Q2" s="28"/>
      <c r="R2" s="28"/>
      <c r="S2" s="28"/>
      <c r="T2" s="28"/>
      <c r="U2" s="65"/>
      <c r="V2" s="28"/>
      <c r="W2" s="65"/>
      <c r="X2" s="66"/>
      <c r="Y2" s="28"/>
    </row>
    <row r="3">
      <c r="A3" s="18" t="s">
        <v>33</v>
      </c>
      <c r="B3" s="15" t="s">
        <v>82</v>
      </c>
      <c r="C3" s="15" t="s">
        <v>82</v>
      </c>
      <c r="D3" s="18" t="s">
        <v>83</v>
      </c>
      <c r="E3" s="39">
        <v>980.0</v>
      </c>
      <c r="F3" s="39">
        <v>1060.0</v>
      </c>
      <c r="G3" s="50">
        <f t="shared" si="1"/>
        <v>0.08163265306</v>
      </c>
      <c r="H3" s="28"/>
      <c r="I3" s="55">
        <f t="shared" si="2"/>
        <v>1123.18867</v>
      </c>
      <c r="J3" s="57"/>
      <c r="K3" s="60">
        <f>IFERROR(__xludf.DUMMYFUNCTION("IFERROR(VLOOKUP(C3,IMPORTRANGE(""https://docs.google.com/spreadsheets/d/1HZUHB8NvANAZR0sHDmHYVAm2WE9kNv0pGIQA48Ryim8/edit?gid=1285727875#gid=1285727875"",""Sheet1!A2:G""),7,0))"),273.97)</f>
        <v>273.97</v>
      </c>
      <c r="L3" s="62">
        <f t="shared" si="3"/>
        <v>3.577033982</v>
      </c>
      <c r="M3" s="60">
        <f>IFERROR(__xludf.DUMMYFUNCTION("IFERROR(VLOOKUP(C3,IMPORTRANGE(""https://docs.google.com/spreadsheets/d/1HZUHB8NvANAZR0sHDmHYVAm2WE9kNv0pGIQA48Ryim8/edit?gid=1285727875#gid=1285727875"",""Cost!A2:G""),7,0))"),314.0)</f>
        <v>314</v>
      </c>
      <c r="N3" s="62">
        <f t="shared" si="4"/>
        <v>3.375796178</v>
      </c>
      <c r="O3" s="28"/>
      <c r="P3" s="28"/>
      <c r="Q3" s="28"/>
      <c r="R3" s="28"/>
      <c r="S3" s="28"/>
      <c r="T3" s="28"/>
      <c r="U3" s="65"/>
      <c r="V3" s="28"/>
      <c r="W3" s="65"/>
      <c r="X3" s="66"/>
      <c r="Y3" s="28"/>
    </row>
    <row r="4">
      <c r="A4" s="18" t="s">
        <v>33</v>
      </c>
      <c r="B4" s="15" t="s">
        <v>90</v>
      </c>
      <c r="C4" s="15" t="s">
        <v>90</v>
      </c>
      <c r="D4" s="18" t="s">
        <v>92</v>
      </c>
      <c r="E4" s="39">
        <v>1140.0</v>
      </c>
      <c r="F4" s="39">
        <v>1280.0</v>
      </c>
      <c r="G4" s="50">
        <f t="shared" si="1"/>
        <v>0.1228070175</v>
      </c>
      <c r="H4" s="28"/>
      <c r="I4" s="55">
        <f t="shared" si="2"/>
        <v>1405.788123</v>
      </c>
      <c r="J4" s="57"/>
      <c r="K4" s="60">
        <f>IFERROR(__xludf.DUMMYFUNCTION("IFERROR(VLOOKUP(C4,IMPORTRANGE(""https://docs.google.com/spreadsheets/d/1HZUHB8NvANAZR0sHDmHYVAm2WE9kNv0pGIQA48Ryim8/edit?gid=1285727875#gid=1285727875"",""Sheet1!A2:G""),7,0))"),338.97)</f>
        <v>338.97</v>
      </c>
      <c r="L4" s="62">
        <f t="shared" si="3"/>
        <v>3.36312948</v>
      </c>
      <c r="M4" s="60">
        <f>IFERROR(__xludf.DUMMYFUNCTION("IFERROR(VLOOKUP(C4,IMPORTRANGE(""https://docs.google.com/spreadsheets/d/1HZUHB8NvANAZR0sHDmHYVAm2WE9kNv0pGIQA48Ryim8/edit?gid=1285727875#gid=1285727875"",""Cost!A2:G""),7,0))"),418.0)</f>
        <v>418</v>
      </c>
      <c r="N4" s="62">
        <f t="shared" si="4"/>
        <v>3.062200957</v>
      </c>
      <c r="O4" s="28"/>
      <c r="P4" s="28"/>
      <c r="Q4" s="28"/>
      <c r="R4" s="28"/>
      <c r="S4" s="28"/>
      <c r="T4" s="28"/>
      <c r="U4" s="65"/>
      <c r="V4" s="28"/>
      <c r="W4" s="65"/>
      <c r="X4" s="66"/>
      <c r="Y4" s="28"/>
    </row>
    <row r="5">
      <c r="A5" s="18" t="s">
        <v>33</v>
      </c>
      <c r="B5" s="15" t="s">
        <v>107</v>
      </c>
      <c r="C5" s="15" t="s">
        <v>107</v>
      </c>
      <c r="D5" s="18" t="s">
        <v>109</v>
      </c>
      <c r="E5" s="39">
        <v>1190.0</v>
      </c>
      <c r="F5" s="39">
        <v>1330.0</v>
      </c>
      <c r="G5" s="50">
        <f t="shared" si="1"/>
        <v>0.1176470588</v>
      </c>
      <c r="H5" s="28"/>
      <c r="I5" s="55">
        <f t="shared" si="2"/>
        <v>1462.412069</v>
      </c>
      <c r="J5" s="57"/>
      <c r="K5" s="60">
        <f>IFERROR(__xludf.DUMMYFUNCTION("IFERROR(VLOOKUP(C5,IMPORTRANGE(""https://docs.google.com/spreadsheets/d/1HZUHB8NvANAZR0sHDmHYVAm2WE9kNv0pGIQA48Ryim8/edit?gid=1285727875#gid=1285727875"",""Sheet1!A2:G""),7,0))"),353.97)</f>
        <v>353.97</v>
      </c>
      <c r="L5" s="62">
        <f t="shared" si="3"/>
        <v>3.361866825</v>
      </c>
      <c r="M5" s="60">
        <f>IFERROR(__xludf.DUMMYFUNCTION("IFERROR(VLOOKUP(C5,IMPORTRANGE(""https://docs.google.com/spreadsheets/d/1HZUHB8NvANAZR0sHDmHYVAm2WE9kNv0pGIQA48Ryim8/edit?gid=1285727875#gid=1285727875"",""Cost!A2:G""),7,0))"),435.0)</f>
        <v>435</v>
      </c>
      <c r="N5" s="62">
        <f t="shared" si="4"/>
        <v>3.057471264</v>
      </c>
      <c r="O5" s="28"/>
      <c r="P5" s="28"/>
      <c r="Q5" s="28"/>
      <c r="R5" s="28"/>
      <c r="S5" s="28"/>
      <c r="T5" s="28"/>
      <c r="U5" s="65"/>
      <c r="V5" s="28"/>
      <c r="W5" s="65"/>
      <c r="X5" s="66"/>
      <c r="Y5" s="28"/>
    </row>
    <row r="6">
      <c r="A6" s="18" t="s">
        <v>33</v>
      </c>
      <c r="B6" s="15" t="s">
        <v>115</v>
      </c>
      <c r="C6" s="15" t="s">
        <v>115</v>
      </c>
      <c r="D6" s="18" t="s">
        <v>92</v>
      </c>
      <c r="E6" s="75">
        <v>1320.0</v>
      </c>
      <c r="F6" s="39">
        <v>1460.0</v>
      </c>
      <c r="G6" s="50">
        <f t="shared" si="1"/>
        <v>0.1060606061</v>
      </c>
      <c r="H6" s="28"/>
      <c r="I6" s="55">
        <f t="shared" si="2"/>
        <v>1522.107675</v>
      </c>
      <c r="J6" s="57"/>
      <c r="K6" s="60">
        <f>IFERROR(__xludf.DUMMYFUNCTION("IFERROR(VLOOKUP(C6,IMPORTRANGE(""https://docs.google.com/spreadsheets/d/1HZUHB8NvANAZR0sHDmHYVAm2WE9kNv0pGIQA48Ryim8/edit?gid=1285727875#gid=1285727875"",""Sheet1!A2:G""),7,0))"),392.85)</f>
        <v>392.85</v>
      </c>
      <c r="L6" s="62">
        <f t="shared" si="3"/>
        <v>3.360061092</v>
      </c>
      <c r="M6" s="60">
        <f>IFERROR(__xludf.DUMMYFUNCTION("IFERROR(VLOOKUP(C6,IMPORTRANGE(""https://docs.google.com/spreadsheets/d/1HZUHB8NvANAZR0sHDmHYVAm2WE9kNv0pGIQA48Ryim8/edit?gid=1285727875#gid=1285727875"",""Cost!A2:G""),7,0))"),453.0)</f>
        <v>453</v>
      </c>
      <c r="N6" s="62">
        <f t="shared" si="4"/>
        <v>3.222958057</v>
      </c>
      <c r="O6" s="28"/>
      <c r="P6" s="28"/>
      <c r="Q6" s="28"/>
      <c r="R6" s="28"/>
      <c r="S6" s="28"/>
      <c r="T6" s="28"/>
      <c r="U6" s="65"/>
      <c r="V6" s="28"/>
      <c r="W6" s="65"/>
      <c r="X6" s="66"/>
      <c r="Y6" s="28"/>
    </row>
    <row r="7">
      <c r="A7" s="18" t="s">
        <v>33</v>
      </c>
      <c r="B7" s="15" t="s">
        <v>129</v>
      </c>
      <c r="C7" s="15" t="s">
        <v>129</v>
      </c>
      <c r="D7" s="18" t="s">
        <v>109</v>
      </c>
      <c r="E7" s="75">
        <v>1380.0</v>
      </c>
      <c r="F7" s="39">
        <v>1520.0</v>
      </c>
      <c r="G7" s="50">
        <f t="shared" si="1"/>
        <v>0.1014492754</v>
      </c>
      <c r="H7" s="28"/>
      <c r="I7" s="55">
        <f t="shared" si="2"/>
        <v>1590.460229</v>
      </c>
      <c r="J7" s="57"/>
      <c r="K7" s="60">
        <f>IFERROR(__xludf.DUMMYFUNCTION("IFERROR(VLOOKUP(C7,IMPORTRANGE(""https://docs.google.com/spreadsheets/d/1HZUHB8NvANAZR0sHDmHYVAm2WE9kNv0pGIQA48Ryim8/edit?gid=1285727875#gid=1285727875"",""Sheet1!A2:G""),7,0))"),387.85)</f>
        <v>387.85</v>
      </c>
      <c r="L7" s="62">
        <f t="shared" si="3"/>
        <v>3.558076576</v>
      </c>
      <c r="M7" s="60">
        <f>IFERROR(__xludf.DUMMYFUNCTION("IFERROR(VLOOKUP(C7,IMPORTRANGE(""https://docs.google.com/spreadsheets/d/1HZUHB8NvANAZR0sHDmHYVAm2WE9kNv0pGIQA48Ryim8/edit?gid=1285727875#gid=1285727875"",""Cost!A2:G""),7,0))"),447.0)</f>
        <v>447</v>
      </c>
      <c r="N7" s="62">
        <f t="shared" si="4"/>
        <v>3.400447427</v>
      </c>
      <c r="O7" s="28"/>
      <c r="P7" s="28"/>
      <c r="Q7" s="28"/>
      <c r="R7" s="28"/>
      <c r="S7" s="28"/>
      <c r="T7" s="28"/>
      <c r="U7" s="65"/>
      <c r="V7" s="28"/>
      <c r="W7" s="65"/>
      <c r="X7" s="77"/>
      <c r="Y7" s="28"/>
    </row>
    <row r="8">
      <c r="A8" s="18" t="s">
        <v>33</v>
      </c>
      <c r="B8" s="15" t="s">
        <v>137</v>
      </c>
      <c r="C8" s="15" t="s">
        <v>137</v>
      </c>
      <c r="D8" s="18" t="s">
        <v>138</v>
      </c>
      <c r="E8" s="39">
        <v>340.0</v>
      </c>
      <c r="F8" s="39">
        <v>370.0</v>
      </c>
      <c r="G8" s="50">
        <f t="shared" si="1"/>
        <v>0.08823529412</v>
      </c>
      <c r="H8" s="28"/>
      <c r="I8" s="55">
        <f t="shared" si="2"/>
        <v>344.9329115</v>
      </c>
      <c r="J8" s="57"/>
      <c r="K8" s="60">
        <f>IFERROR(__xludf.DUMMYFUNCTION("IFERROR(VLOOKUP(C8,IMPORTRANGE(""https://docs.google.com/spreadsheets/d/1HZUHB8NvANAZR0sHDmHYVAm2WE9kNv0pGIQA48Ryim8/edit?gid=1285727875#gid=1285727875"",""Sheet1!A2:G""),7,0))"),91.67)</f>
        <v>91.67</v>
      </c>
      <c r="L8" s="62">
        <f t="shared" si="3"/>
        <v>3.708956038</v>
      </c>
      <c r="M8" s="60">
        <f>IFERROR(__xludf.DUMMYFUNCTION("IFERROR(VLOOKUP(C8,IMPORTRANGE(""https://docs.google.com/spreadsheets/d/1HZUHB8NvANAZR0sHDmHYVAm2WE9kNv0pGIQA48Ryim8/edit?gid=1285727875#gid=1285727875"",""Cost!A2:G""),7,0))"),93.0)</f>
        <v>93</v>
      </c>
      <c r="N8" s="62">
        <f t="shared" si="4"/>
        <v>3.978494624</v>
      </c>
      <c r="O8" s="28"/>
      <c r="P8" s="28"/>
      <c r="Q8" s="28"/>
      <c r="R8" s="28"/>
      <c r="S8" s="28"/>
      <c r="T8" s="28"/>
      <c r="U8" s="65"/>
      <c r="V8" s="28"/>
      <c r="W8" s="65"/>
      <c r="X8" s="77"/>
      <c r="Y8" s="28"/>
    </row>
    <row r="9">
      <c r="A9" s="18" t="s">
        <v>33</v>
      </c>
      <c r="B9" s="15" t="s">
        <v>149</v>
      </c>
      <c r="C9" s="15" t="s">
        <v>149</v>
      </c>
      <c r="D9" s="18" t="s">
        <v>138</v>
      </c>
      <c r="E9" s="75">
        <v>350.0</v>
      </c>
      <c r="F9" s="39">
        <v>390.0</v>
      </c>
      <c r="G9" s="50">
        <f t="shared" si="1"/>
        <v>0.1142857143</v>
      </c>
      <c r="H9" s="28"/>
      <c r="I9" s="55">
        <f t="shared" si="2"/>
        <v>356.2035449</v>
      </c>
      <c r="J9" s="57"/>
      <c r="K9" s="60">
        <f>IFERROR(__xludf.DUMMYFUNCTION("IFERROR(VLOOKUP(C9,IMPORTRANGE(""https://docs.google.com/spreadsheets/d/1HZUHB8NvANAZR0sHDmHYVAm2WE9kNv0pGIQA48Ryim8/edit?gid=1285727875#gid=1285727875"",""Sheet1!A2:G""),7,0))"),87.45)</f>
        <v>87.45</v>
      </c>
      <c r="L9" s="62">
        <f t="shared" si="3"/>
        <v>4.002287021</v>
      </c>
      <c r="M9" s="60">
        <f>IFERROR(__xludf.DUMMYFUNCTION("IFERROR(VLOOKUP(C9,IMPORTRANGE(""https://docs.google.com/spreadsheets/d/1HZUHB8NvANAZR0sHDmHYVAm2WE9kNv0pGIQA48Ryim8/edit?gid=1285727875#gid=1285727875"",""Cost!A2:G""),7,0))"),89.0)</f>
        <v>89</v>
      </c>
      <c r="N9" s="62">
        <f t="shared" si="4"/>
        <v>4.382022472</v>
      </c>
      <c r="O9" s="28"/>
      <c r="P9" s="28"/>
      <c r="Q9" s="28"/>
      <c r="R9" s="28"/>
      <c r="S9" s="28"/>
      <c r="T9" s="28"/>
      <c r="U9" s="65"/>
      <c r="V9" s="28"/>
      <c r="W9" s="65"/>
      <c r="X9" s="77"/>
      <c r="Y9" s="28"/>
    </row>
    <row r="10">
      <c r="A10" s="18" t="s">
        <v>33</v>
      </c>
      <c r="B10" s="15" t="s">
        <v>158</v>
      </c>
      <c r="C10" s="15" t="s">
        <v>158</v>
      </c>
      <c r="D10" s="18" t="s">
        <v>138</v>
      </c>
      <c r="E10" s="75">
        <v>390.0</v>
      </c>
      <c r="F10" s="39">
        <v>410.0</v>
      </c>
      <c r="G10" s="50">
        <f t="shared" si="1"/>
        <v>0.05128205128</v>
      </c>
      <c r="H10" s="28"/>
      <c r="I10" s="55">
        <f t="shared" si="2"/>
        <v>414.9801794</v>
      </c>
      <c r="J10" s="80"/>
      <c r="K10" s="60">
        <f>IFERROR(__xludf.DUMMYFUNCTION("IFERROR(VLOOKUP(C10,IMPORTRANGE(""https://docs.google.com/spreadsheets/d/1HZUHB8NvANAZR0sHDmHYVAm2WE9kNv0pGIQA48Ryim8/edit?gid=1285727875#gid=1285727875"",""Sheet1!A2:G""),7,0))"),95.86)</f>
        <v>95.86</v>
      </c>
      <c r="L10" s="62">
        <f t="shared" si="3"/>
        <v>4.068433132</v>
      </c>
      <c r="M10" s="60">
        <f>IFERROR(__xludf.DUMMYFUNCTION("IFERROR(VLOOKUP(C10,IMPORTRANGE(""https://docs.google.com/spreadsheets/d/1HZUHB8NvANAZR0sHDmHYVAm2WE9kNv0pGIQA48Ryim8/edit?gid=1285727875#gid=1285727875"",""Cost!A2:G""),7,0))"),102.0)</f>
        <v>102</v>
      </c>
      <c r="N10" s="62">
        <f t="shared" si="4"/>
        <v>4.019607843</v>
      </c>
      <c r="O10" s="28"/>
      <c r="P10" s="28"/>
      <c r="Q10" s="28"/>
      <c r="R10" s="28"/>
      <c r="S10" s="28"/>
      <c r="T10" s="28"/>
      <c r="U10" s="65"/>
      <c r="V10" s="28"/>
      <c r="W10" s="65"/>
      <c r="X10" s="77"/>
      <c r="Y10" s="28"/>
    </row>
    <row r="11">
      <c r="A11" s="18" t="s">
        <v>33</v>
      </c>
      <c r="B11" s="15" t="s">
        <v>172</v>
      </c>
      <c r="C11" s="15" t="s">
        <v>172</v>
      </c>
      <c r="D11" s="18" t="s">
        <v>138</v>
      </c>
      <c r="E11" s="39">
        <v>410.0</v>
      </c>
      <c r="F11" s="39">
        <v>470.0</v>
      </c>
      <c r="G11" s="50">
        <f t="shared" si="1"/>
        <v>0.1463414634</v>
      </c>
      <c r="H11" s="28"/>
      <c r="I11" s="55">
        <f t="shared" si="2"/>
        <v>390.3600119</v>
      </c>
      <c r="J11" s="80"/>
      <c r="K11" s="60">
        <f>IFERROR(__xludf.DUMMYFUNCTION("IFERROR(VLOOKUP(C11,IMPORTRANGE(""https://docs.google.com/spreadsheets/d/1HZUHB8NvANAZR0sHDmHYVAm2WE9kNv0pGIQA48Ryim8/edit?gid=1285727875#gid=1285727875"",""Sheet1!A2:G""),7,0))"),100.83)</f>
        <v>100.83</v>
      </c>
      <c r="L11" s="62">
        <f t="shared" si="3"/>
        <v>4.066250124</v>
      </c>
      <c r="M11" s="60">
        <f>IFERROR(__xludf.DUMMYFUNCTION("IFERROR(VLOOKUP(C11,IMPORTRANGE(""https://docs.google.com/spreadsheets/d/1HZUHB8NvANAZR0sHDmHYVAm2WE9kNv0pGIQA48Ryim8/edit?gid=1285727875#gid=1285727875"",""Cost!A2:G""),7,0))"),96.0)</f>
        <v>96</v>
      </c>
      <c r="N11" s="62">
        <f t="shared" si="4"/>
        <v>4.895833333</v>
      </c>
      <c r="O11" s="28"/>
      <c r="P11" s="28"/>
      <c r="Q11" s="28"/>
      <c r="R11" s="28"/>
      <c r="S11" s="28"/>
      <c r="T11" s="28"/>
      <c r="U11" s="65"/>
      <c r="V11" s="28"/>
      <c r="W11" s="65"/>
      <c r="X11" s="77"/>
      <c r="Y11" s="28"/>
    </row>
    <row r="12">
      <c r="A12" s="18" t="s">
        <v>33</v>
      </c>
      <c r="B12" s="15" t="s">
        <v>183</v>
      </c>
      <c r="C12" s="15" t="s">
        <v>183</v>
      </c>
      <c r="D12" s="18" t="s">
        <v>138</v>
      </c>
      <c r="E12" s="75">
        <v>370.0</v>
      </c>
      <c r="F12" s="39">
        <v>410.0</v>
      </c>
      <c r="G12" s="50">
        <f t="shared" si="1"/>
        <v>0.1081081081</v>
      </c>
      <c r="H12" s="28"/>
      <c r="I12" s="55">
        <f t="shared" si="2"/>
        <v>408.6567164</v>
      </c>
      <c r="J12" s="81"/>
      <c r="K12" s="60">
        <f>IFERROR(__xludf.DUMMYFUNCTION("IFERROR(VLOOKUP(C12,IMPORTRANGE(""https://docs.google.com/spreadsheets/d/1HZUHB8NvANAZR0sHDmHYVAm2WE9kNv0pGIQA48Ryim8/edit?gid=1285727875#gid=1285727875"",""Sheet1!A2:G""),7,0))"),100.5)</f>
        <v>100.5</v>
      </c>
      <c r="L12" s="62">
        <f t="shared" si="3"/>
        <v>3.68159204</v>
      </c>
      <c r="M12" s="60">
        <f>IFERROR(__xludf.DUMMYFUNCTION("IFERROR(VLOOKUP(C12,IMPORTRANGE(""https://docs.google.com/spreadsheets/d/1HZUHB8NvANAZR0sHDmHYVAm2WE9kNv0pGIQA48Ryim8/edit?gid=1285727875#gid=1285727875"",""Cost!A2:G""),7,0))"),111.0)</f>
        <v>111</v>
      </c>
      <c r="N12" s="62">
        <f t="shared" si="4"/>
        <v>3.693693694</v>
      </c>
      <c r="O12" s="28"/>
      <c r="P12" s="28"/>
      <c r="Q12" s="28"/>
      <c r="R12" s="28"/>
      <c r="S12" s="28"/>
      <c r="T12" s="28"/>
      <c r="U12" s="65"/>
      <c r="V12" s="28"/>
      <c r="W12" s="65"/>
      <c r="X12" s="77"/>
      <c r="Y12" s="28"/>
    </row>
    <row r="13">
      <c r="A13" s="18" t="s">
        <v>33</v>
      </c>
      <c r="B13" s="15" t="s">
        <v>193</v>
      </c>
      <c r="C13" s="82" t="s">
        <v>193</v>
      </c>
      <c r="D13" s="18" t="s">
        <v>138</v>
      </c>
      <c r="E13" s="39">
        <v>450.0</v>
      </c>
      <c r="F13" s="83" t="s">
        <v>202</v>
      </c>
      <c r="G13" s="50" t="str">
        <f t="shared" si="1"/>
        <v/>
      </c>
      <c r="H13" s="28"/>
      <c r="I13" s="55">
        <f t="shared" si="2"/>
        <v>456.1973986</v>
      </c>
      <c r="J13" s="81"/>
      <c r="K13" s="60">
        <f>IFERROR(__xludf.DUMMYFUNCTION("IFERROR(VLOOKUP(C13,IMPORTRANGE(""https://docs.google.com/spreadsheets/d/1HZUHB8NvANAZR0sHDmHYVAm2WE9kNv0pGIQA48Ryim8/edit?gid=1285727875#gid=1285727875"",""Sheet1!A2:G""),7,0))"),104.56)</f>
        <v>104.56</v>
      </c>
      <c r="L13" s="62">
        <f t="shared" si="3"/>
        <v>4.303749044</v>
      </c>
      <c r="M13" s="60">
        <f>IFERROR(__xludf.DUMMYFUNCTION("IFERROR(VLOOKUP(C13,IMPORTRANGE(""https://docs.google.com/spreadsheets/d/1HZUHB8NvANAZR0sHDmHYVAm2WE9kNv0pGIQA48Ryim8/edit?gid=1285727875#gid=1285727875"",""Cost!A2:G""),7,0))"),106.0)</f>
        <v>106</v>
      </c>
      <c r="N13" s="62" t="str">
        <f t="shared" si="4"/>
        <v/>
      </c>
      <c r="O13" s="28"/>
      <c r="P13" s="28"/>
      <c r="Q13" s="28"/>
      <c r="R13" s="28"/>
      <c r="S13" s="28"/>
      <c r="T13" s="28"/>
      <c r="U13" s="65"/>
      <c r="V13" s="28"/>
      <c r="W13" s="65"/>
      <c r="X13" s="77"/>
      <c r="Y13" s="28"/>
    </row>
    <row r="14">
      <c r="A14" s="18" t="s">
        <v>33</v>
      </c>
      <c r="B14" s="15" t="s">
        <v>213</v>
      </c>
      <c r="C14" s="15" t="s">
        <v>213</v>
      </c>
      <c r="D14" s="18" t="s">
        <v>138</v>
      </c>
      <c r="E14" s="39">
        <v>390.0</v>
      </c>
      <c r="F14" s="39">
        <v>430.0</v>
      </c>
      <c r="G14" s="50">
        <f t="shared" si="1"/>
        <v>0.1025641026</v>
      </c>
      <c r="H14" s="28"/>
      <c r="I14" s="55">
        <f t="shared" si="2"/>
        <v>355.9837728</v>
      </c>
      <c r="J14" s="81"/>
      <c r="K14" s="60">
        <f>IFERROR(__xludf.DUMMYFUNCTION("IFERROR(VLOOKUP(C14,IMPORTRANGE(""https://docs.google.com/spreadsheets/d/1HZUHB8NvANAZR0sHDmHYVAm2WE9kNv0pGIQA48Ryim8/edit?gid=1285727875#gid=1285727875"",""Sheet1!A2:G""),7,0))"),108.46)</f>
        <v>108.46</v>
      </c>
      <c r="L14" s="62">
        <f t="shared" si="3"/>
        <v>3.595795685</v>
      </c>
      <c r="M14" s="60">
        <f>IFERROR(__xludf.DUMMYFUNCTION("IFERROR(VLOOKUP(C14,IMPORTRANGE(""https://docs.google.com/spreadsheets/d/1HZUHB8NvANAZR0sHDmHYVAm2WE9kNv0pGIQA48Ryim8/edit?gid=1285727875#gid=1285727875"",""Cost!A2:G""),7,0))"),99.0)</f>
        <v>99</v>
      </c>
      <c r="N14" s="62">
        <f t="shared" si="4"/>
        <v>4.343434343</v>
      </c>
      <c r="O14" s="28"/>
      <c r="P14" s="28"/>
      <c r="Q14" s="28"/>
      <c r="R14" s="28"/>
      <c r="S14" s="28"/>
      <c r="T14" s="28"/>
      <c r="U14" s="65"/>
      <c r="V14" s="28"/>
      <c r="W14" s="65"/>
      <c r="X14" s="77"/>
      <c r="Y14" s="28"/>
    </row>
    <row r="15">
      <c r="A15" s="18" t="s">
        <v>33</v>
      </c>
      <c r="B15" s="15" t="s">
        <v>222</v>
      </c>
      <c r="C15" s="15" t="s">
        <v>222</v>
      </c>
      <c r="D15" s="18" t="s">
        <v>138</v>
      </c>
      <c r="E15" s="39">
        <v>450.0</v>
      </c>
      <c r="F15" s="39">
        <v>480.0</v>
      </c>
      <c r="G15" s="50">
        <f t="shared" si="1"/>
        <v>0.06666666667</v>
      </c>
      <c r="H15" s="28"/>
      <c r="I15" s="55">
        <f t="shared" si="2"/>
        <v>469.2067823</v>
      </c>
      <c r="J15" s="81"/>
      <c r="K15" s="60">
        <f>IFERROR(__xludf.DUMMYFUNCTION("IFERROR(VLOOKUP(C15,IMPORTRANGE(""https://docs.google.com/spreadsheets/d/1HZUHB8NvANAZR0sHDmHYVAm2WE9kNv0pGIQA48Ryim8/edit?gid=1285727875#gid=1285727875"",""Sheet1!A2:G""),7,0))"),102.62)</f>
        <v>102.62</v>
      </c>
      <c r="L15" s="62">
        <f t="shared" si="3"/>
        <v>4.385110115</v>
      </c>
      <c r="M15" s="60">
        <f>IFERROR(__xludf.DUMMYFUNCTION("IFERROR(VLOOKUP(C15,IMPORTRANGE(""https://docs.google.com/spreadsheets/d/1HZUHB8NvANAZR0sHDmHYVAm2WE9kNv0pGIQA48Ryim8/edit?gid=1285727875#gid=1285727875"",""Cost!A2:G""),7,0))"),107.0)</f>
        <v>107</v>
      </c>
      <c r="N15" s="62">
        <f t="shared" si="4"/>
        <v>4.485981308</v>
      </c>
      <c r="O15" s="28"/>
      <c r="P15" s="28"/>
      <c r="Q15" s="28"/>
      <c r="R15" s="28"/>
      <c r="S15" s="28"/>
      <c r="T15" s="28"/>
      <c r="U15" s="65"/>
      <c r="V15" s="28"/>
      <c r="W15" s="65"/>
      <c r="X15" s="77"/>
      <c r="Y15" s="28"/>
    </row>
    <row r="16">
      <c r="A16" s="18" t="s">
        <v>33</v>
      </c>
      <c r="B16" s="15" t="s">
        <v>230</v>
      </c>
      <c r="C16" s="15" t="s">
        <v>230</v>
      </c>
      <c r="D16" s="18" t="s">
        <v>138</v>
      </c>
      <c r="E16" s="39">
        <v>390.0</v>
      </c>
      <c r="F16" s="39">
        <v>410.0</v>
      </c>
      <c r="G16" s="50">
        <f t="shared" si="1"/>
        <v>0.05128205128</v>
      </c>
      <c r="H16" s="28"/>
      <c r="I16" s="55">
        <f t="shared" si="2"/>
        <v>406.645878</v>
      </c>
      <c r="J16" s="80"/>
      <c r="K16" s="60">
        <f>IFERROR(__xludf.DUMMYFUNCTION("IFERROR(VLOOKUP(C16,IMPORTRANGE(""https://docs.google.com/spreadsheets/d/1HZUHB8NvANAZR0sHDmHYVAm2WE9kNv0pGIQA48Ryim8/edit?gid=1285727875#gid=1285727875"",""Sheet1!A2:G""),7,0))"),102.62)</f>
        <v>102.62</v>
      </c>
      <c r="L16" s="62">
        <f t="shared" si="3"/>
        <v>3.800428766</v>
      </c>
      <c r="M16" s="60">
        <f>IFERROR(__xludf.DUMMYFUNCTION("IFERROR(VLOOKUP(C16,IMPORTRANGE(""https://docs.google.com/spreadsheets/d/1HZUHB8NvANAZR0sHDmHYVAm2WE9kNv0pGIQA48Ryim8/edit?gid=1285727875#gid=1285727875"",""Cost!A2:G""),7,0))"),107.0)</f>
        <v>107</v>
      </c>
      <c r="N16" s="62">
        <f t="shared" si="4"/>
        <v>3.831775701</v>
      </c>
      <c r="O16" s="28"/>
      <c r="P16" s="28"/>
      <c r="Q16" s="28"/>
      <c r="R16" s="28"/>
      <c r="S16" s="28"/>
      <c r="T16" s="28"/>
      <c r="U16" s="65"/>
      <c r="V16" s="28"/>
      <c r="W16" s="65"/>
      <c r="X16" s="77"/>
      <c r="Y16" s="28"/>
    </row>
    <row r="17">
      <c r="A17" s="18" t="s">
        <v>33</v>
      </c>
      <c r="B17" s="15" t="s">
        <v>245</v>
      </c>
      <c r="C17" s="15" t="s">
        <v>245</v>
      </c>
      <c r="D17" s="18" t="s">
        <v>138</v>
      </c>
      <c r="E17" s="39">
        <v>500.0</v>
      </c>
      <c r="F17" s="39">
        <v>480.0</v>
      </c>
      <c r="G17" s="50">
        <f t="shared" si="1"/>
        <v>-0.04</v>
      </c>
      <c r="H17" s="28"/>
      <c r="I17" s="55">
        <f t="shared" si="2"/>
        <v>509.9562895</v>
      </c>
      <c r="J17" s="81"/>
      <c r="K17" s="60">
        <f>IFERROR(__xludf.DUMMYFUNCTION("IFERROR(VLOOKUP(C17,IMPORTRANGE(""https://docs.google.com/spreadsheets/d/1HZUHB8NvANAZR0sHDmHYVAm2WE9kNv0pGIQA48Ryim8/edit?gid=1285727875#gid=1285727875"",""Sheet1!A2:G""),7,0))"),102.95)</f>
        <v>102.95</v>
      </c>
      <c r="L17" s="62">
        <f t="shared" si="3"/>
        <v>4.856726566</v>
      </c>
      <c r="M17" s="60">
        <f>IFERROR(__xludf.DUMMYFUNCTION("IFERROR(VLOOKUP(C17,IMPORTRANGE(""https://docs.google.com/spreadsheets/d/1HZUHB8NvANAZR0sHDmHYVAm2WE9kNv0pGIQA48Ryim8/edit?gid=1285727875#gid=1285727875"",""Cost!A2:G""),7,0))"),105.0)</f>
        <v>105</v>
      </c>
      <c r="N17" s="62">
        <f t="shared" si="4"/>
        <v>4.571428571</v>
      </c>
      <c r="O17" s="28"/>
      <c r="P17" s="28"/>
      <c r="Q17" s="28"/>
      <c r="R17" s="28"/>
      <c r="S17" s="28"/>
      <c r="T17" s="28"/>
      <c r="U17" s="65"/>
      <c r="V17" s="28"/>
      <c r="W17" s="65"/>
      <c r="X17" s="77"/>
      <c r="Y17" s="28"/>
    </row>
    <row r="18">
      <c r="A18" s="18" t="s">
        <v>33</v>
      </c>
      <c r="B18" s="15" t="s">
        <v>252</v>
      </c>
      <c r="C18" s="15" t="s">
        <v>252</v>
      </c>
      <c r="D18" s="18" t="s">
        <v>138</v>
      </c>
      <c r="E18" s="75">
        <v>890.0</v>
      </c>
      <c r="F18" s="39">
        <v>940.0</v>
      </c>
      <c r="G18" s="50">
        <f t="shared" si="1"/>
        <v>0.05617977528</v>
      </c>
      <c r="H18" s="28"/>
      <c r="I18" s="55">
        <f t="shared" si="2"/>
        <v>933.2207758</v>
      </c>
      <c r="J18" s="81"/>
      <c r="K18" s="60">
        <f>IFERROR(__xludf.DUMMYFUNCTION("IFERROR(VLOOKUP(C18,IMPORTRANGE(""https://docs.google.com/spreadsheets/d/1HZUHB8NvANAZR0sHDmHYVAm2WE9kNv0pGIQA48Ryim8/edit?gid=1285727875#gid=1285727875"",""Sheet1!A2:G""),7,0))"),225.07)</f>
        <v>225.07</v>
      </c>
      <c r="L18" s="62">
        <f t="shared" si="3"/>
        <v>3.954325321</v>
      </c>
      <c r="M18" s="60">
        <f>IFERROR(__xludf.DUMMYFUNCTION("IFERROR(VLOOKUP(C18,IMPORTRANGE(""https://docs.google.com/spreadsheets/d/1HZUHB8NvANAZR0sHDmHYVAm2WE9kNv0pGIQA48Ryim8/edit?gid=1285727875#gid=1285727875"",""Cost!A2:G""),7,0))"),236.0)</f>
        <v>236</v>
      </c>
      <c r="N18" s="62">
        <f t="shared" si="4"/>
        <v>3.983050847</v>
      </c>
      <c r="O18" s="28"/>
      <c r="P18" s="28"/>
      <c r="Q18" s="28"/>
      <c r="R18" s="28"/>
      <c r="S18" s="28"/>
      <c r="T18" s="28"/>
      <c r="U18" s="65"/>
      <c r="V18" s="28"/>
      <c r="W18" s="65"/>
      <c r="X18" s="77"/>
      <c r="Y18" s="28"/>
    </row>
    <row r="19">
      <c r="A19" s="18" t="s">
        <v>33</v>
      </c>
      <c r="B19" s="15" t="s">
        <v>262</v>
      </c>
      <c r="C19" s="15" t="s">
        <v>262</v>
      </c>
      <c r="D19" s="18" t="s">
        <v>138</v>
      </c>
      <c r="E19" s="75">
        <v>540.0</v>
      </c>
      <c r="F19" s="39">
        <v>570.0</v>
      </c>
      <c r="G19" s="50">
        <f t="shared" si="1"/>
        <v>0.05555555556</v>
      </c>
      <c r="H19" s="28"/>
      <c r="I19" s="55">
        <f t="shared" si="2"/>
        <v>538.1579827</v>
      </c>
      <c r="J19" s="81"/>
      <c r="K19" s="60">
        <f>IFERROR(__xludf.DUMMYFUNCTION("IFERROR(VLOOKUP(C19,IMPORTRANGE(""https://docs.google.com/spreadsheets/d/1HZUHB8NvANAZR0sHDmHYVAm2WE9kNv0pGIQA48Ryim8/edit?gid=1285727875#gid=1285727875"",""Sheet1!A2:G""),7,0))"),149.51)</f>
        <v>149.51</v>
      </c>
      <c r="L19" s="62">
        <f t="shared" si="3"/>
        <v>3.611798542</v>
      </c>
      <c r="M19" s="60">
        <f>IFERROR(__xludf.DUMMYFUNCTION("IFERROR(VLOOKUP(C19,IMPORTRANGE(""https://docs.google.com/spreadsheets/d/1HZUHB8NvANAZR0sHDmHYVAm2WE9kNv0pGIQA48Ryim8/edit?gid=1285727875#gid=1285727875"",""Cost!A2:G""),7,0))"),149.0)</f>
        <v>149</v>
      </c>
      <c r="N19" s="62">
        <f t="shared" si="4"/>
        <v>3.825503356</v>
      </c>
      <c r="O19" s="28"/>
      <c r="P19" s="28"/>
      <c r="Q19" s="28"/>
      <c r="R19" s="28"/>
      <c r="S19" s="28"/>
      <c r="T19" s="28"/>
      <c r="U19" s="65"/>
      <c r="V19" s="28"/>
      <c r="W19" s="65"/>
      <c r="X19" s="77"/>
      <c r="Y19" s="28"/>
    </row>
    <row r="20">
      <c r="A20" s="18" t="s">
        <v>33</v>
      </c>
      <c r="B20" s="15" t="s">
        <v>270</v>
      </c>
      <c r="C20" s="15" t="s">
        <v>270</v>
      </c>
      <c r="D20" s="18" t="s">
        <v>138</v>
      </c>
      <c r="E20" s="75">
        <v>520.0</v>
      </c>
      <c r="F20" s="39">
        <v>580.0</v>
      </c>
      <c r="G20" s="50">
        <f t="shared" si="1"/>
        <v>0.1153846154</v>
      </c>
      <c r="H20" s="28"/>
      <c r="I20" s="55">
        <f t="shared" si="2"/>
        <v>551.8262586</v>
      </c>
      <c r="J20" s="80"/>
      <c r="K20" s="60">
        <f>IFERROR(__xludf.DUMMYFUNCTION("IFERROR(VLOOKUP(C20,IMPORTRANGE(""https://docs.google.com/spreadsheets/d/1HZUHB8NvANAZR0sHDmHYVAm2WE9kNv0pGIQA48Ryim8/edit?gid=1285727875#gid=1285727875"",""Sheet1!A2:G""),7,0))"),121.56)</f>
        <v>121.56</v>
      </c>
      <c r="L20" s="62">
        <f t="shared" si="3"/>
        <v>4.277722935</v>
      </c>
      <c r="M20" s="60">
        <f>IFERROR(__xludf.DUMMYFUNCTION("IFERROR(VLOOKUP(C20,IMPORTRANGE(""https://docs.google.com/spreadsheets/d/1HZUHB8NvANAZR0sHDmHYVAm2WE9kNv0pGIQA48Ryim8/edit?gid=1285727875#gid=1285727875"",""Cost!A2:G""),7,0))"),129.0)</f>
        <v>129</v>
      </c>
      <c r="N20" s="62">
        <f t="shared" si="4"/>
        <v>4.496124031</v>
      </c>
      <c r="O20" s="28"/>
      <c r="P20" s="28"/>
      <c r="Q20" s="28"/>
      <c r="R20" s="28"/>
      <c r="S20" s="28"/>
      <c r="T20" s="28"/>
      <c r="U20" s="65"/>
      <c r="V20" s="28"/>
      <c r="W20" s="65"/>
      <c r="X20" s="77"/>
      <c r="Y20" s="28"/>
    </row>
    <row r="21">
      <c r="A21" s="18" t="s">
        <v>33</v>
      </c>
      <c r="B21" s="15" t="s">
        <v>276</v>
      </c>
      <c r="C21" s="15" t="s">
        <v>276</v>
      </c>
      <c r="D21" s="18" t="s">
        <v>138</v>
      </c>
      <c r="E21" s="39">
        <v>550.0</v>
      </c>
      <c r="F21" s="39">
        <v>550.0</v>
      </c>
      <c r="G21" s="50">
        <f t="shared" si="1"/>
        <v>0</v>
      </c>
      <c r="H21" s="28"/>
      <c r="I21" s="55">
        <f t="shared" si="2"/>
        <v>571.9237435</v>
      </c>
      <c r="J21" s="81"/>
      <c r="K21" s="60">
        <f>IFERROR(__xludf.DUMMYFUNCTION("IFERROR(VLOOKUP(C21,IMPORTRANGE(""https://docs.google.com/spreadsheets/d/1HZUHB8NvANAZR0sHDmHYVAm2WE9kNv0pGIQA48Ryim8/edit?gid=1285727875#gid=1285727875"",""Sheet1!A2:G""),7,0))"),109.63)</f>
        <v>109.63</v>
      </c>
      <c r="L21" s="62">
        <f t="shared" si="3"/>
        <v>5.016874943</v>
      </c>
      <c r="M21" s="60">
        <f>IFERROR(__xludf.DUMMYFUNCTION("IFERROR(VLOOKUP(C21,IMPORTRANGE(""https://docs.google.com/spreadsheets/d/1HZUHB8NvANAZR0sHDmHYVAm2WE9kNv0pGIQA48Ryim8/edit?gid=1285727875#gid=1285727875"",""Cost!A2:G""),7,0))"),114.0)</f>
        <v>114</v>
      </c>
      <c r="N21" s="62">
        <f t="shared" si="4"/>
        <v>4.824561404</v>
      </c>
      <c r="O21" s="28"/>
      <c r="P21" s="28"/>
      <c r="Q21" s="28"/>
      <c r="R21" s="28"/>
      <c r="S21" s="28"/>
      <c r="T21" s="28"/>
      <c r="U21" s="65"/>
      <c r="V21" s="28"/>
      <c r="W21" s="65"/>
      <c r="X21" s="77"/>
      <c r="Y21" s="28"/>
    </row>
    <row r="22">
      <c r="A22" s="18" t="s">
        <v>33</v>
      </c>
      <c r="B22" s="15" t="s">
        <v>277</v>
      </c>
      <c r="C22" s="15" t="s">
        <v>277</v>
      </c>
      <c r="D22" s="18" t="s">
        <v>138</v>
      </c>
      <c r="E22" s="39">
        <v>450.0</v>
      </c>
      <c r="F22" s="39">
        <v>510.0</v>
      </c>
      <c r="G22" s="50">
        <f t="shared" si="1"/>
        <v>0.1333333333</v>
      </c>
      <c r="H22" s="28"/>
      <c r="I22" s="55">
        <f t="shared" si="2"/>
        <v>462.0225215</v>
      </c>
      <c r="J22" s="80"/>
      <c r="K22" s="60">
        <f>IFERROR(__xludf.DUMMYFUNCTION("IFERROR(VLOOKUP(C22,IMPORTRANGE(""https://docs.google.com/spreadsheets/d/1HZUHB8NvANAZR0sHDmHYVAm2WE9kNv0pGIQA48Ryim8/edit?gid=1285727875#gid=1285727875"",""Sheet1!A2:G""),7,0))"),90.58)</f>
        <v>90.58</v>
      </c>
      <c r="L22" s="62">
        <f t="shared" si="3"/>
        <v>4.967984102</v>
      </c>
      <c r="M22" s="60">
        <f>IFERROR(__xludf.DUMMYFUNCTION("IFERROR(VLOOKUP(C22,IMPORTRANGE(""https://docs.google.com/spreadsheets/d/1HZUHB8NvANAZR0sHDmHYVAm2WE9kNv0pGIQA48Ryim8/edit?gid=1285727875#gid=1285727875"",""Cost!A2:G""),7,0))"),93.0)</f>
        <v>93</v>
      </c>
      <c r="N22" s="62">
        <f t="shared" si="4"/>
        <v>5.483870968</v>
      </c>
      <c r="O22" s="28"/>
      <c r="P22" s="28"/>
      <c r="Q22" s="28"/>
      <c r="R22" s="28"/>
      <c r="S22" s="28"/>
      <c r="T22" s="28"/>
      <c r="U22" s="65"/>
      <c r="V22" s="28"/>
      <c r="W22" s="65"/>
      <c r="X22" s="77"/>
      <c r="Y22" s="28"/>
    </row>
    <row r="23">
      <c r="A23" s="18" t="s">
        <v>33</v>
      </c>
      <c r="B23" s="15" t="s">
        <v>280</v>
      </c>
      <c r="C23" s="15" t="s">
        <v>280</v>
      </c>
      <c r="D23" s="18" t="s">
        <v>138</v>
      </c>
      <c r="E23" s="39">
        <v>580.0</v>
      </c>
      <c r="F23" s="39">
        <v>580.0</v>
      </c>
      <c r="G23" s="50">
        <f t="shared" si="1"/>
        <v>0</v>
      </c>
      <c r="H23" s="28"/>
      <c r="I23" s="55">
        <f t="shared" si="2"/>
        <v>617.6783813</v>
      </c>
      <c r="J23" s="81"/>
      <c r="K23" s="60">
        <f>IFERROR(__xludf.DUMMYFUNCTION("IFERROR(VLOOKUP(C23,IMPORTRANGE(""https://docs.google.com/spreadsheets/d/1HZUHB8NvANAZR0sHDmHYVAm2WE9kNv0pGIQA48Ryim8/edit?gid=1285727875#gid=1285727875"",""Sheet1!A2:G""),7,0))"),103.29)</f>
        <v>103.29</v>
      </c>
      <c r="L23" s="62">
        <f t="shared" si="3"/>
        <v>5.615258011</v>
      </c>
      <c r="M23" s="60">
        <f>IFERROR(__xludf.DUMMYFUNCTION("IFERROR(VLOOKUP(C23,IMPORTRANGE(""https://docs.google.com/spreadsheets/d/1HZUHB8NvANAZR0sHDmHYVAm2WE9kNv0pGIQA48Ryim8/edit?gid=1285727875#gid=1285727875"",""Cost!A2:G""),7,0))"),110.0)</f>
        <v>110</v>
      </c>
      <c r="N23" s="62">
        <f t="shared" si="4"/>
        <v>5.272727273</v>
      </c>
      <c r="O23" s="28"/>
      <c r="P23" s="28"/>
      <c r="Q23" s="28"/>
      <c r="R23" s="28"/>
      <c r="S23" s="28"/>
      <c r="T23" s="28"/>
      <c r="U23" s="65"/>
      <c r="V23" s="28"/>
      <c r="W23" s="65"/>
      <c r="X23" s="77"/>
      <c r="Y23" s="28"/>
    </row>
    <row r="24">
      <c r="A24" s="18" t="s">
        <v>33</v>
      </c>
      <c r="B24" s="15" t="s">
        <v>281</v>
      </c>
      <c r="C24" s="15" t="s">
        <v>281</v>
      </c>
      <c r="D24" s="18" t="s">
        <v>138</v>
      </c>
      <c r="E24" s="39">
        <v>550.0</v>
      </c>
      <c r="F24" s="39">
        <v>550.0</v>
      </c>
      <c r="G24" s="50">
        <f t="shared" si="1"/>
        <v>0</v>
      </c>
      <c r="H24" s="28"/>
      <c r="I24" s="55">
        <f t="shared" si="2"/>
        <v>557.5745983</v>
      </c>
      <c r="J24" s="81"/>
      <c r="K24" s="60">
        <f>IFERROR(__xludf.DUMMYFUNCTION("IFERROR(VLOOKUP(C24,IMPORTRANGE(""https://docs.google.com/spreadsheets/d/1HZUHB8NvANAZR0sHDmHYVAm2WE9kNv0pGIQA48Ryim8/edit?gid=1285727875#gid=1285727875"",""Sheet1!A2:G""),7,0))"),104.56)</f>
        <v>104.56</v>
      </c>
      <c r="L24" s="62">
        <f t="shared" si="3"/>
        <v>5.26013772</v>
      </c>
      <c r="M24" s="60">
        <f>IFERROR(__xludf.DUMMYFUNCTION("IFERROR(VLOOKUP(C24,IMPORTRANGE(""https://docs.google.com/spreadsheets/d/1HZUHB8NvANAZR0sHDmHYVAm2WE9kNv0pGIQA48Ryim8/edit?gid=1285727875#gid=1285727875"",""Cost!A2:G""),7,0))"),106.0)</f>
        <v>106</v>
      </c>
      <c r="N24" s="62">
        <f t="shared" si="4"/>
        <v>5.188679245</v>
      </c>
      <c r="O24" s="28"/>
      <c r="P24" s="28"/>
      <c r="Q24" s="28"/>
      <c r="R24" s="28"/>
      <c r="S24" s="28"/>
      <c r="T24" s="28"/>
      <c r="U24" s="65"/>
      <c r="V24" s="28"/>
      <c r="W24" s="65"/>
      <c r="X24" s="77"/>
      <c r="Y24" s="28"/>
    </row>
    <row r="25">
      <c r="A25" s="18" t="s">
        <v>33</v>
      </c>
      <c r="B25" s="15" t="s">
        <v>284</v>
      </c>
      <c r="C25" s="15" t="s">
        <v>284</v>
      </c>
      <c r="D25" s="18" t="s">
        <v>138</v>
      </c>
      <c r="E25" s="39">
        <v>640.0</v>
      </c>
      <c r="F25" s="39">
        <v>670.0</v>
      </c>
      <c r="G25" s="50">
        <f t="shared" si="1"/>
        <v>0.046875</v>
      </c>
      <c r="H25" s="28"/>
      <c r="I25" s="55">
        <f t="shared" si="2"/>
        <v>676.4755623</v>
      </c>
      <c r="J25" s="80"/>
      <c r="K25" s="60">
        <f>IFERROR(__xludf.DUMMYFUNCTION("IFERROR(VLOOKUP(C25,IMPORTRANGE(""https://docs.google.com/spreadsheets/d/1HZUHB8NvANAZR0sHDmHYVAm2WE9kNv0pGIQA48Ryim8/edit?gid=1285727875#gid=1285727875"",""Sheet1!A2:G""),7,0))"),118.26)</f>
        <v>118.26</v>
      </c>
      <c r="L25" s="62">
        <f t="shared" si="3"/>
        <v>5.411804499</v>
      </c>
      <c r="M25" s="60">
        <f>IFERROR(__xludf.DUMMYFUNCTION("IFERROR(VLOOKUP(C25,IMPORTRANGE(""https://docs.google.com/spreadsheets/d/1HZUHB8NvANAZR0sHDmHYVAm2WE9kNv0pGIQA48Ryim8/edit?gid=1285727875#gid=1285727875"",""Cost!A2:G""),7,0))"),125.0)</f>
        <v>125</v>
      </c>
      <c r="N25" s="62">
        <f t="shared" si="4"/>
        <v>5.36</v>
      </c>
      <c r="O25" s="28"/>
      <c r="P25" s="28"/>
      <c r="Q25" s="28"/>
      <c r="R25" s="28"/>
      <c r="S25" s="28"/>
      <c r="T25" s="28"/>
      <c r="U25" s="65"/>
      <c r="V25" s="28"/>
      <c r="W25" s="65"/>
      <c r="X25" s="77"/>
      <c r="Y25" s="28"/>
    </row>
    <row r="26">
      <c r="A26" s="18" t="s">
        <v>33</v>
      </c>
      <c r="B26" s="15" t="s">
        <v>285</v>
      </c>
      <c r="C26" s="15" t="s">
        <v>285</v>
      </c>
      <c r="D26" s="18" t="s">
        <v>138</v>
      </c>
      <c r="E26" s="75">
        <v>790.0</v>
      </c>
      <c r="F26" s="75">
        <v>860.0</v>
      </c>
      <c r="G26" s="50">
        <f t="shared" si="1"/>
        <v>0.08860759494</v>
      </c>
      <c r="H26" s="28"/>
      <c r="I26" s="55">
        <f t="shared" si="2"/>
        <v>863.3486635</v>
      </c>
      <c r="J26" s="81"/>
      <c r="K26" s="60">
        <f>IFERROR(__xludf.DUMMYFUNCTION("IFERROR(VLOOKUP(C26,IMPORTRANGE(""https://docs.google.com/spreadsheets/d/1HZUHB8NvANAZR0sHDmHYVAm2WE9kNv0pGIQA48Ryim8/edit?gid=1285727875#gid=1285727875"",""Sheet1!A2:G""),7,0))"),219.61)</f>
        <v>219.61</v>
      </c>
      <c r="L26" s="62">
        <f t="shared" si="3"/>
        <v>3.597286098</v>
      </c>
      <c r="M26" s="60">
        <f>IFERROR(__xludf.DUMMYFUNCTION("IFERROR(VLOOKUP(C26,IMPORTRANGE(""https://docs.google.com/spreadsheets/d/1HZUHB8NvANAZR0sHDmHYVAm2WE9kNv0pGIQA48Ryim8/edit?gid=1285727875#gid=1285727875"",""Cost!A2:G""),7,0))"),240.0)</f>
        <v>240</v>
      </c>
      <c r="N26" s="62">
        <f t="shared" si="4"/>
        <v>3.583333333</v>
      </c>
      <c r="O26" s="28"/>
      <c r="P26" s="28"/>
      <c r="Q26" s="28"/>
      <c r="R26" s="28"/>
      <c r="S26" s="28"/>
      <c r="T26" s="28"/>
      <c r="U26" s="65"/>
      <c r="V26" s="28"/>
      <c r="W26" s="65"/>
      <c r="X26" s="77"/>
      <c r="Y26" s="28"/>
    </row>
    <row r="27">
      <c r="A27" s="18" t="s">
        <v>33</v>
      </c>
      <c r="B27" s="15" t="s">
        <v>286</v>
      </c>
      <c r="C27" s="15" t="s">
        <v>286</v>
      </c>
      <c r="D27" s="18" t="s">
        <v>138</v>
      </c>
      <c r="E27" s="75">
        <v>750.0</v>
      </c>
      <c r="F27" s="39">
        <v>750.0</v>
      </c>
      <c r="G27" s="50">
        <f t="shared" si="1"/>
        <v>0</v>
      </c>
      <c r="H27" s="28"/>
      <c r="I27" s="55">
        <f t="shared" si="2"/>
        <v>781.3236542</v>
      </c>
      <c r="J27" s="80"/>
      <c r="K27" s="60">
        <f>IFERROR(__xludf.DUMMYFUNCTION("IFERROR(VLOOKUP(C27,IMPORTRANGE(""https://docs.google.com/spreadsheets/d/1HZUHB8NvANAZR0sHDmHYVAm2WE9kNv0pGIQA48Ryim8/edit?gid=1285727875#gid=1285727875"",""Sheet1!A2:G""),7,0))"),212.14)</f>
        <v>212.14</v>
      </c>
      <c r="L27" s="62">
        <f t="shared" si="3"/>
        <v>3.53540115</v>
      </c>
      <c r="M27" s="60">
        <f>IFERROR(__xludf.DUMMYFUNCTION("IFERROR(VLOOKUP(C27,IMPORTRANGE(""https://docs.google.com/spreadsheets/d/1HZUHB8NvANAZR0sHDmHYVAm2WE9kNv0pGIQA48Ryim8/edit?gid=1285727875#gid=1285727875"",""Cost!A2:G""),7,0))"),221.0)</f>
        <v>221</v>
      </c>
      <c r="N27" s="62">
        <f t="shared" si="4"/>
        <v>3.393665158</v>
      </c>
      <c r="O27" s="28"/>
      <c r="P27" s="28"/>
      <c r="Q27" s="28"/>
      <c r="R27" s="28"/>
      <c r="S27" s="28"/>
      <c r="T27" s="28"/>
      <c r="U27" s="65"/>
      <c r="V27" s="28"/>
      <c r="W27" s="65"/>
      <c r="X27" s="77"/>
      <c r="Y27" s="28"/>
    </row>
    <row r="28">
      <c r="A28" s="18" t="s">
        <v>33</v>
      </c>
      <c r="B28" s="15" t="s">
        <v>289</v>
      </c>
      <c r="C28" s="82" t="s">
        <v>289</v>
      </c>
      <c r="D28" s="18" t="s">
        <v>138</v>
      </c>
      <c r="E28" s="75">
        <v>790.0</v>
      </c>
      <c r="F28" s="83" t="s">
        <v>202</v>
      </c>
      <c r="G28" s="50" t="str">
        <f t="shared" si="1"/>
        <v/>
      </c>
      <c r="H28" s="28"/>
      <c r="I28" s="55">
        <f t="shared" si="2"/>
        <v>849.6178665</v>
      </c>
      <c r="J28" s="81"/>
      <c r="K28" s="60">
        <f>IFERROR(__xludf.DUMMYFUNCTION("IFERROR(VLOOKUP(C28,IMPORTRANGE(""https://docs.google.com/spreadsheets/d/1HZUHB8NvANAZR0sHDmHYVAm2WE9kNv0pGIQA48Ryim8/edit?gid=1285727875#gid=1285727875"",""Sheet1!A2:G""),7,0))"),218.51)</f>
        <v>218.51</v>
      </c>
      <c r="L28" s="62">
        <f t="shared" si="3"/>
        <v>3.615395176</v>
      </c>
      <c r="M28" s="60">
        <f>IFERROR(__xludf.DUMMYFUNCTION("IFERROR(VLOOKUP(C28,IMPORTRANGE(""https://docs.google.com/spreadsheets/d/1HZUHB8NvANAZR0sHDmHYVAm2WE9kNv0pGIQA48Ryim8/edit?gid=1285727875#gid=1285727875"",""Cost!A2:G""),7,0))"),235.0)</f>
        <v>235</v>
      </c>
      <c r="N28" s="62" t="str">
        <f t="shared" si="4"/>
        <v/>
      </c>
      <c r="O28" s="28"/>
      <c r="P28" s="28"/>
      <c r="Q28" s="28"/>
      <c r="R28" s="28"/>
      <c r="S28" s="28"/>
      <c r="T28" s="28"/>
      <c r="U28" s="65"/>
      <c r="V28" s="28"/>
      <c r="W28" s="65"/>
      <c r="X28" s="77"/>
      <c r="Y28" s="28"/>
    </row>
    <row r="29">
      <c r="A29" s="18" t="s">
        <v>33</v>
      </c>
      <c r="B29" s="15" t="s">
        <v>290</v>
      </c>
      <c r="C29" s="15" t="s">
        <v>290</v>
      </c>
      <c r="D29" s="18" t="s">
        <v>138</v>
      </c>
      <c r="E29" s="75">
        <v>680.0</v>
      </c>
      <c r="F29" s="39">
        <v>720.0</v>
      </c>
      <c r="G29" s="50">
        <f t="shared" si="1"/>
        <v>0.05882352941</v>
      </c>
      <c r="H29" s="28"/>
      <c r="I29" s="55">
        <f t="shared" si="2"/>
        <v>691.8039041</v>
      </c>
      <c r="J29" s="81"/>
      <c r="K29" s="60">
        <f>IFERROR(__xludf.DUMMYFUNCTION("IFERROR(VLOOKUP(C29,IMPORTRANGE(""https://docs.google.com/spreadsheets/d/1HZUHB8NvANAZR0sHDmHYVAm2WE9kNv0pGIQA48Ryim8/edit?gid=1285727875#gid=1285727875"",""Sheet1!A2:G""),7,0))"),157.27)</f>
        <v>157.27</v>
      </c>
      <c r="L29" s="62">
        <f t="shared" si="3"/>
        <v>4.323774401</v>
      </c>
      <c r="M29" s="60">
        <f>IFERROR(__xludf.DUMMYFUNCTION("IFERROR(VLOOKUP(C29,IMPORTRANGE(""https://docs.google.com/spreadsheets/d/1HZUHB8NvANAZR0sHDmHYVAm2WE9kNv0pGIQA48Ryim8/edit?gid=1285727875#gid=1285727875"",""Cost!A2:G""),7,0))"),160.0)</f>
        <v>160</v>
      </c>
      <c r="N29" s="62">
        <f t="shared" si="4"/>
        <v>4.5</v>
      </c>
      <c r="O29" s="28"/>
      <c r="P29" s="28"/>
      <c r="Q29" s="28"/>
      <c r="R29" s="28"/>
      <c r="S29" s="28"/>
      <c r="T29" s="28"/>
      <c r="U29" s="65"/>
      <c r="V29" s="28"/>
      <c r="W29" s="65"/>
      <c r="X29" s="77"/>
      <c r="Y29" s="28"/>
    </row>
    <row r="30">
      <c r="A30" s="18" t="s">
        <v>33</v>
      </c>
      <c r="B30" s="15" t="s">
        <v>293</v>
      </c>
      <c r="C30" s="82" t="s">
        <v>293</v>
      </c>
      <c r="D30" s="18" t="s">
        <v>138</v>
      </c>
      <c r="E30" s="75">
        <v>750.0</v>
      </c>
      <c r="F30" s="83" t="s">
        <v>202</v>
      </c>
      <c r="G30" s="50" t="str">
        <f t="shared" si="1"/>
        <v/>
      </c>
      <c r="H30" s="28"/>
      <c r="I30" s="55">
        <f t="shared" si="2"/>
        <v>757.7033171</v>
      </c>
      <c r="J30" s="81"/>
      <c r="K30" s="60">
        <f>IFERROR(__xludf.DUMMYFUNCTION("IFERROR(VLOOKUP(C30,IMPORTRANGE(""https://docs.google.com/spreadsheets/d/1HZUHB8NvANAZR0sHDmHYVAm2WE9kNv0pGIQA48Ryim8/edit?gid=1285727875#gid=1285727875"",""Sheet1!A2:G""),7,0))"),178.17)</f>
        <v>178.17</v>
      </c>
      <c r="L30" s="62">
        <f t="shared" si="3"/>
        <v>4.209462873</v>
      </c>
      <c r="M30" s="60">
        <f>IFERROR(__xludf.DUMMYFUNCTION("IFERROR(VLOOKUP(C30,IMPORTRANGE(""https://docs.google.com/spreadsheets/d/1HZUHB8NvANAZR0sHDmHYVAm2WE9kNv0pGIQA48Ryim8/edit?gid=1285727875#gid=1285727875"",""Cost!A2:G""),7,0))"),180.0)</f>
        <v>180</v>
      </c>
      <c r="N30" s="62" t="str">
        <f t="shared" si="4"/>
        <v/>
      </c>
      <c r="O30" s="28"/>
      <c r="P30" s="28"/>
      <c r="Q30" s="28"/>
      <c r="R30" s="28"/>
      <c r="S30" s="28"/>
      <c r="T30" s="28"/>
      <c r="U30" s="65"/>
      <c r="V30" s="28"/>
      <c r="W30" s="65"/>
      <c r="X30" s="77"/>
      <c r="Y30" s="28"/>
    </row>
    <row r="31">
      <c r="A31" s="18" t="s">
        <v>33</v>
      </c>
      <c r="B31" s="15" t="s">
        <v>294</v>
      </c>
      <c r="C31" s="15" t="s">
        <v>294</v>
      </c>
      <c r="D31" s="18" t="s">
        <v>138</v>
      </c>
      <c r="E31" s="75">
        <v>750.0</v>
      </c>
      <c r="F31" s="39">
        <v>790.0</v>
      </c>
      <c r="G31" s="50">
        <f t="shared" si="1"/>
        <v>0.05333333333</v>
      </c>
      <c r="H31" s="28"/>
      <c r="I31" s="55">
        <f t="shared" si="2"/>
        <v>772.9936172</v>
      </c>
      <c r="J31" s="81"/>
      <c r="K31" s="60">
        <f>IFERROR(__xludf.DUMMYFUNCTION("IFERROR(VLOOKUP(C31,IMPORTRANGE(""https://docs.google.com/spreadsheets/d/1HZUHB8NvANAZR0sHDmHYVAm2WE9kNv0pGIQA48Ryim8/edit?gid=1285727875#gid=1285727875"",""Sheet1!A2:G""),7,0))"),191.14)</f>
        <v>191.14</v>
      </c>
      <c r="L31" s="62">
        <f t="shared" si="3"/>
        <v>3.923825468</v>
      </c>
      <c r="M31" s="60">
        <f>IFERROR(__xludf.DUMMYFUNCTION("IFERROR(VLOOKUP(C31,IMPORTRANGE(""https://docs.google.com/spreadsheets/d/1HZUHB8NvANAZR0sHDmHYVAm2WE9kNv0pGIQA48Ryim8/edit?gid=1285727875#gid=1285727875"",""Cost!A2:G""),7,0))"),197.0)</f>
        <v>197</v>
      </c>
      <c r="N31" s="62">
        <f t="shared" si="4"/>
        <v>4.010152284</v>
      </c>
      <c r="O31" s="28"/>
      <c r="P31" s="28"/>
      <c r="Q31" s="28"/>
      <c r="R31" s="28"/>
      <c r="S31" s="28"/>
      <c r="T31" s="28"/>
      <c r="U31" s="65"/>
      <c r="V31" s="28"/>
      <c r="W31" s="65"/>
      <c r="X31" s="77"/>
      <c r="Y31" s="28"/>
    </row>
    <row r="32">
      <c r="A32" s="18" t="s">
        <v>33</v>
      </c>
      <c r="B32" s="15" t="s">
        <v>297</v>
      </c>
      <c r="C32" s="15" t="s">
        <v>297</v>
      </c>
      <c r="D32" s="18" t="s">
        <v>138</v>
      </c>
      <c r="E32" s="75">
        <v>790.0</v>
      </c>
      <c r="F32" s="39">
        <v>790.0</v>
      </c>
      <c r="G32" s="50">
        <f t="shared" si="1"/>
        <v>0</v>
      </c>
      <c r="H32" s="28"/>
      <c r="I32" s="55">
        <f t="shared" si="2"/>
        <v>811.9794436</v>
      </c>
      <c r="J32" s="80"/>
      <c r="K32" s="60">
        <f>IFERROR(__xludf.DUMMYFUNCTION("IFERROR(VLOOKUP(C32,IMPORTRANGE(""https://docs.google.com/spreadsheets/d/1HZUHB8NvANAZR0sHDmHYVAm2WE9kNv0pGIQA48Ryim8/edit?gid=1285727875#gid=1285727875"",""Sheet1!A2:G""),7,0))"),169.29)</f>
        <v>169.29</v>
      </c>
      <c r="L32" s="62">
        <f t="shared" si="3"/>
        <v>4.666548526</v>
      </c>
      <c r="M32" s="60">
        <f>IFERROR(__xludf.DUMMYFUNCTION("IFERROR(VLOOKUP(C32,IMPORTRANGE(""https://docs.google.com/spreadsheets/d/1HZUHB8NvANAZR0sHDmHYVAm2WE9kNv0pGIQA48Ryim8/edit?gid=1285727875#gid=1285727875"",""Cost!A2:G""),7,0))"),174.0)</f>
        <v>174</v>
      </c>
      <c r="N32" s="62">
        <f t="shared" si="4"/>
        <v>4.540229885</v>
      </c>
      <c r="O32" s="28"/>
      <c r="P32" s="28"/>
      <c r="Q32" s="28"/>
      <c r="R32" s="28"/>
      <c r="S32" s="28"/>
      <c r="T32" s="28"/>
      <c r="U32" s="65"/>
      <c r="V32" s="28"/>
      <c r="W32" s="65"/>
      <c r="X32" s="77"/>
      <c r="Y32" s="28"/>
    </row>
    <row r="33">
      <c r="A33" s="18" t="s">
        <v>300</v>
      </c>
      <c r="B33" s="91">
        <f t="shared" ref="B33:B45" si="5">C33</f>
        <v>5202</v>
      </c>
      <c r="C33" s="15">
        <v>5202.0</v>
      </c>
      <c r="D33" s="18" t="s">
        <v>15</v>
      </c>
      <c r="E33" s="75">
        <v>1290.0</v>
      </c>
      <c r="F33" s="39">
        <v>1390.0</v>
      </c>
      <c r="G33" s="50">
        <f t="shared" si="1"/>
        <v>0.07751937984</v>
      </c>
      <c r="H33" s="28"/>
      <c r="I33" s="55">
        <f t="shared" si="2"/>
        <v>1413.681105</v>
      </c>
      <c r="J33" s="81"/>
      <c r="K33" s="60">
        <f>IFERROR(__xludf.DUMMYFUNCTION("IFERROR(VLOOKUP(C33,IMPORTRANGE(""https://docs.google.com/spreadsheets/d/1HZUHB8NvANAZR0sHDmHYVAm2WE9kNv0pGIQA48Ryim8/edit?gid=1285727875#gid=1285727875"",""Sheet1!A2:G""),7,0))"),403.33)</f>
        <v>403.33</v>
      </c>
      <c r="L33" s="62">
        <f t="shared" si="3"/>
        <v>3.19837354</v>
      </c>
      <c r="M33" s="60">
        <f>IFERROR(__xludf.DUMMYFUNCTION("IFERROR(VLOOKUP(C33,IMPORTRANGE(""https://docs.google.com/spreadsheets/d/1HZUHB8NvANAZR0sHDmHYVAm2WE9kNv0pGIQA48Ryim8/edit?gid=1285727875#gid=1285727875"",""Cost!A2:G""),7,0))"),442.0)</f>
        <v>442</v>
      </c>
      <c r="N33" s="62">
        <f t="shared" si="4"/>
        <v>3.14479638</v>
      </c>
      <c r="O33" s="62"/>
      <c r="P33" s="28"/>
      <c r="Q33" s="28"/>
      <c r="R33" s="28"/>
      <c r="S33" s="28"/>
      <c r="T33" s="28"/>
      <c r="U33" s="65"/>
      <c r="V33" s="92"/>
      <c r="W33" s="65"/>
      <c r="X33" s="66" t="s">
        <v>303</v>
      </c>
      <c r="Y33" s="65" t="str">
        <f t="shared" ref="Y33:Y1047" si="6">A33&amp;X33</f>
        <v>ASPIRE 5202</v>
      </c>
    </row>
    <row r="34">
      <c r="A34" s="18" t="s">
        <v>300</v>
      </c>
      <c r="B34" s="91">
        <f t="shared" si="5"/>
        <v>5203</v>
      </c>
      <c r="C34" s="15">
        <v>5203.0</v>
      </c>
      <c r="D34" s="18" t="s">
        <v>30</v>
      </c>
      <c r="E34" s="75">
        <v>2890.0</v>
      </c>
      <c r="F34" s="39">
        <v>3240.0</v>
      </c>
      <c r="G34" s="50">
        <f t="shared" si="1"/>
        <v>0.1211072664</v>
      </c>
      <c r="H34" s="28"/>
      <c r="I34" s="55">
        <f t="shared" si="2"/>
        <v>3233.842639</v>
      </c>
      <c r="J34" s="81"/>
      <c r="K34" s="60">
        <f>IFERROR(__xludf.DUMMYFUNCTION("IFERROR(VLOOKUP(C34,IMPORTRANGE(""https://docs.google.com/spreadsheets/d/1HZUHB8NvANAZR0sHDmHYVAm2WE9kNv0pGIQA48Ryim8/edit?gid=1285727875#gid=1285727875"",""Sheet1!A2:G""),7,0))"),936.57)</f>
        <v>936.57</v>
      </c>
      <c r="L34" s="62">
        <f t="shared" si="3"/>
        <v>3.085727709</v>
      </c>
      <c r="M34" s="60">
        <f>IFERROR(__xludf.DUMMYFUNCTION("IFERROR(VLOOKUP(C34,IMPORTRANGE(""https://docs.google.com/spreadsheets/d/1HZUHB8NvANAZR0sHDmHYVAm2WE9kNv0pGIQA48Ryim8/edit?gid=1285727875#gid=1285727875"",""Cost!A2:G""),7,0))"),1048.0)</f>
        <v>1048</v>
      </c>
      <c r="N34" s="62">
        <f t="shared" si="4"/>
        <v>3.091603053</v>
      </c>
      <c r="O34" s="62"/>
      <c r="P34" s="28"/>
      <c r="Q34" s="28"/>
      <c r="R34" s="28"/>
      <c r="S34" s="28"/>
      <c r="T34" s="28"/>
      <c r="U34" s="65"/>
      <c r="V34" s="92"/>
      <c r="W34" s="65"/>
      <c r="X34" s="66" t="s">
        <v>306</v>
      </c>
      <c r="Y34" s="65" t="str">
        <f t="shared" si="6"/>
        <v>ASPIRE 5203</v>
      </c>
    </row>
    <row r="35">
      <c r="A35" s="18" t="s">
        <v>300</v>
      </c>
      <c r="B35" s="91">
        <f t="shared" si="5"/>
        <v>5204</v>
      </c>
      <c r="C35" s="15">
        <v>5204.0</v>
      </c>
      <c r="D35" s="18" t="s">
        <v>46</v>
      </c>
      <c r="E35" s="75">
        <v>1890.0</v>
      </c>
      <c r="F35" s="39">
        <v>2090.0</v>
      </c>
      <c r="G35" s="50">
        <f t="shared" si="1"/>
        <v>0.1058201058</v>
      </c>
      <c r="H35" s="28"/>
      <c r="I35" s="55">
        <f t="shared" si="2"/>
        <v>2101.810345</v>
      </c>
      <c r="J35" s="81"/>
      <c r="K35" s="60">
        <f>IFERROR(__xludf.DUMMYFUNCTION("IFERROR(VLOOKUP(C35,IMPORTRANGE(""https://docs.google.com/spreadsheets/d/1HZUHB8NvANAZR0sHDmHYVAm2WE9kNv0pGIQA48Ryim8/edit?gid=1285727875#gid=1285727875"",""Sheet1!A2:G""),7,0))"),580.0)</f>
        <v>580</v>
      </c>
      <c r="L35" s="62">
        <f t="shared" si="3"/>
        <v>3.25862069</v>
      </c>
      <c r="M35" s="60">
        <f>IFERROR(__xludf.DUMMYFUNCTION("IFERROR(VLOOKUP(C35,IMPORTRANGE(""https://docs.google.com/spreadsheets/d/1HZUHB8NvANAZR0sHDmHYVAm2WE9kNv0pGIQA48Ryim8/edit?gid=1285727875#gid=1285727875"",""Cost!A2:G""),7,0))"),645.0)</f>
        <v>645</v>
      </c>
      <c r="N35" s="62">
        <f t="shared" si="4"/>
        <v>3.240310078</v>
      </c>
      <c r="O35" s="62"/>
      <c r="P35" s="28"/>
      <c r="Q35" s="28"/>
      <c r="R35" s="28"/>
      <c r="S35" s="28"/>
      <c r="T35" s="28"/>
      <c r="U35" s="65"/>
      <c r="V35" s="92"/>
      <c r="W35" s="65"/>
      <c r="X35" s="66" t="s">
        <v>309</v>
      </c>
      <c r="Y35" s="65" t="str">
        <f t="shared" si="6"/>
        <v>ASPIRE 5204</v>
      </c>
    </row>
    <row r="36">
      <c r="A36" s="18" t="s">
        <v>300</v>
      </c>
      <c r="B36" s="91">
        <f t="shared" si="5"/>
        <v>5206</v>
      </c>
      <c r="C36" s="15">
        <v>5206.0</v>
      </c>
      <c r="D36" s="18" t="s">
        <v>67</v>
      </c>
      <c r="E36" s="75">
        <v>1070.0</v>
      </c>
      <c r="F36" s="39">
        <v>1180.0</v>
      </c>
      <c r="G36" s="50">
        <f t="shared" si="1"/>
        <v>0.1028037383</v>
      </c>
      <c r="H36" s="28"/>
      <c r="I36" s="55">
        <f t="shared" si="2"/>
        <v>1167.0029</v>
      </c>
      <c r="J36" s="81"/>
      <c r="K36" s="60">
        <f>IFERROR(__xludf.DUMMYFUNCTION("IFERROR(VLOOKUP(C36,IMPORTRANGE(""https://docs.google.com/spreadsheets/d/1HZUHB8NvANAZR0sHDmHYVAm2WE9kNv0pGIQA48Ryim8/edit?gid=1285727875#gid=1285727875"",""Sheet1!A2:G""),7,0))"),317.24)</f>
        <v>317.24</v>
      </c>
      <c r="L36" s="62">
        <f t="shared" si="3"/>
        <v>3.372840751</v>
      </c>
      <c r="M36" s="60">
        <f>IFERROR(__xludf.DUMMYFUNCTION("IFERROR(VLOOKUP(C36,IMPORTRANGE(""https://docs.google.com/spreadsheets/d/1HZUHB8NvANAZR0sHDmHYVAm2WE9kNv0pGIQA48Ryim8/edit?gid=1285727875#gid=1285727875"",""Cost!A2:G""),7,0))"),346.0)</f>
        <v>346</v>
      </c>
      <c r="N36" s="62">
        <f t="shared" si="4"/>
        <v>3.410404624</v>
      </c>
      <c r="O36" s="62"/>
      <c r="P36" s="28"/>
      <c r="Q36" s="28"/>
      <c r="R36" s="28"/>
      <c r="S36" s="28"/>
      <c r="T36" s="28"/>
      <c r="U36" s="65"/>
      <c r="V36" s="92"/>
      <c r="W36" s="65"/>
      <c r="X36" s="66" t="s">
        <v>311</v>
      </c>
      <c r="Y36" s="65" t="str">
        <f t="shared" si="6"/>
        <v>ASPIRE 5206</v>
      </c>
    </row>
    <row r="37">
      <c r="A37" s="18" t="s">
        <v>300</v>
      </c>
      <c r="B37" s="91">
        <f t="shared" si="5"/>
        <v>5207</v>
      </c>
      <c r="C37" s="15">
        <v>5207.0</v>
      </c>
      <c r="D37" s="18" t="s">
        <v>71</v>
      </c>
      <c r="E37" s="75">
        <f t="shared" ref="E37:F37" si="7">SUM(E38:E39)</f>
        <v>2680</v>
      </c>
      <c r="F37" s="75">
        <f t="shared" si="7"/>
        <v>2850</v>
      </c>
      <c r="G37" s="50">
        <f t="shared" si="1"/>
        <v>0.06343283582</v>
      </c>
      <c r="H37" s="28"/>
      <c r="I37" s="55">
        <f t="shared" si="2"/>
        <v>2888.907059</v>
      </c>
      <c r="J37" s="81"/>
      <c r="K37" s="60">
        <f>IFERROR(__xludf.DUMMYFUNCTION("IFERROR(VLOOKUP(C37,IMPORTRANGE(""https://docs.google.com/spreadsheets/d/1HZUHB8NvANAZR0sHDmHYVAm2WE9kNv0pGIQA48Ryim8/edit?gid=1285727875#gid=1285727875"",""Sheet1!A2:G""),7,0))"),733.8)</f>
        <v>733.8</v>
      </c>
      <c r="L37" s="62">
        <f t="shared" si="3"/>
        <v>3.652221314</v>
      </c>
      <c r="M37" s="60">
        <f>IFERROR(__xludf.DUMMYFUNCTION("IFERROR(VLOOKUP(C37,IMPORTRANGE(""https://docs.google.com/spreadsheets/d/1HZUHB8NvANAZR0sHDmHYVAm2WE9kNv0pGIQA48Ryim8/edit?gid=1285727875#gid=1285727875"",""Cost!A2:G""),7,0))"),791.0)</f>
        <v>791</v>
      </c>
      <c r="N37" s="62">
        <f t="shared" si="4"/>
        <v>3.603034134</v>
      </c>
      <c r="O37" s="62"/>
      <c r="P37" s="28"/>
      <c r="Q37" s="28"/>
      <c r="R37" s="28"/>
      <c r="S37" s="28"/>
      <c r="T37" s="28"/>
      <c r="U37" s="65"/>
      <c r="V37" s="92"/>
      <c r="W37" s="65"/>
      <c r="X37" s="66" t="s">
        <v>315</v>
      </c>
      <c r="Y37" s="65" t="str">
        <f t="shared" si="6"/>
        <v>ASPIRE 5207</v>
      </c>
    </row>
    <row r="38">
      <c r="A38" s="18" t="s">
        <v>300</v>
      </c>
      <c r="B38" s="91" t="str">
        <f t="shared" si="5"/>
        <v>CP-07</v>
      </c>
      <c r="C38" s="15" t="s">
        <v>73</v>
      </c>
      <c r="D38" s="18" t="s">
        <v>74</v>
      </c>
      <c r="E38" s="93">
        <v>1390.0</v>
      </c>
      <c r="F38" s="39">
        <v>1490.0</v>
      </c>
      <c r="G38" s="50">
        <f t="shared" si="1"/>
        <v>0.07194244604</v>
      </c>
      <c r="H38" s="28"/>
      <c r="I38" s="55">
        <f t="shared" si="2"/>
        <v>1515.459624</v>
      </c>
      <c r="J38" s="81"/>
      <c r="K38" s="60">
        <f>IFERROR(__xludf.DUMMYFUNCTION("IFERROR(VLOOKUP(C38,IMPORTRANGE(""https://docs.google.com/spreadsheets/d/1HZUHB8NvANAZR0sHDmHYVAm2WE9kNv0pGIQA48Ryim8/edit?gid=1285727875#gid=1285727875"",""Sheet1!A2:G""),7,0))"),408.16)</f>
        <v>408.16</v>
      </c>
      <c r="L38" s="62">
        <f t="shared" si="3"/>
        <v>3.405527244</v>
      </c>
      <c r="M38" s="60">
        <f>IFERROR(__xludf.DUMMYFUNCTION("IFERROR(VLOOKUP(C38,IMPORTRANGE(""https://docs.google.com/spreadsheets/d/1HZUHB8NvANAZR0sHDmHYVAm2WE9kNv0pGIQA48Ryim8/edit?gid=1285727875#gid=1285727875"",""Cost!A2:G""),7,0))"),445.0)</f>
        <v>445</v>
      </c>
      <c r="N38" s="62">
        <f t="shared" si="4"/>
        <v>3.348314607</v>
      </c>
      <c r="O38" s="62"/>
      <c r="P38" s="28"/>
      <c r="Q38" s="28"/>
      <c r="R38" s="28"/>
      <c r="S38" s="28"/>
      <c r="T38" s="28"/>
      <c r="U38" s="65"/>
      <c r="V38" s="92"/>
      <c r="W38" s="65"/>
      <c r="X38" s="66" t="s">
        <v>73</v>
      </c>
      <c r="Y38" s="65" t="str">
        <f t="shared" si="6"/>
        <v>ASPIRE 52CP-07</v>
      </c>
    </row>
    <row r="39">
      <c r="A39" s="18" t="s">
        <v>300</v>
      </c>
      <c r="B39" s="91" t="str">
        <f t="shared" si="5"/>
        <v>CP-52</v>
      </c>
      <c r="C39" s="15" t="s">
        <v>316</v>
      </c>
      <c r="D39" s="18" t="s">
        <v>78</v>
      </c>
      <c r="E39" s="93">
        <v>1290.0</v>
      </c>
      <c r="F39" s="39">
        <v>1360.0</v>
      </c>
      <c r="G39" s="50">
        <f t="shared" si="1"/>
        <v>0.05426356589</v>
      </c>
      <c r="H39" s="28"/>
      <c r="I39" s="55">
        <f t="shared" si="2"/>
        <v>1292.171418</v>
      </c>
      <c r="J39" s="81"/>
      <c r="K39" s="60">
        <f>IFERROR(__xludf.DUMMYFUNCTION("IFERROR(VLOOKUP(C39,IMPORTRANGE(""https://docs.google.com/spreadsheets/d/1HZUHB8NvANAZR0sHDmHYVAm2WE9kNv0pGIQA48Ryim8/edit?gid=1285727875#gid=1285727875"",""Sheet1!A2:G""),7,0))"),362.39)</f>
        <v>362.39</v>
      </c>
      <c r="L39" s="62">
        <f t="shared" si="3"/>
        <v>3.559700875</v>
      </c>
      <c r="M39" s="60">
        <f>IFERROR(__xludf.DUMMYFUNCTION("IFERROR(VLOOKUP(C39,IMPORTRANGE(""https://docs.google.com/spreadsheets/d/1HZUHB8NvANAZR0sHDmHYVAm2WE9kNv0pGIQA48Ryim8/edit?gid=1285727875#gid=1285727875"",""Cost!A2:G""),7,0))"),363.0)</f>
        <v>363</v>
      </c>
      <c r="N39" s="62">
        <f t="shared" si="4"/>
        <v>3.746556474</v>
      </c>
      <c r="O39" s="62"/>
      <c r="P39" s="28"/>
      <c r="Q39" s="28"/>
      <c r="R39" s="28"/>
      <c r="S39" s="28"/>
      <c r="T39" s="28"/>
      <c r="U39" s="65"/>
      <c r="V39" s="92"/>
      <c r="W39" s="65"/>
      <c r="X39" s="66" t="s">
        <v>77</v>
      </c>
      <c r="Y39" s="65" t="str">
        <f t="shared" si="6"/>
        <v>ASPIRE 52CP</v>
      </c>
    </row>
    <row r="40">
      <c r="A40" s="18" t="s">
        <v>300</v>
      </c>
      <c r="B40" s="91">
        <f t="shared" si="5"/>
        <v>5208</v>
      </c>
      <c r="C40" s="15">
        <v>5208.0</v>
      </c>
      <c r="D40" s="18" t="s">
        <v>81</v>
      </c>
      <c r="E40" s="75">
        <v>1290.0</v>
      </c>
      <c r="F40" s="39">
        <v>1390.0</v>
      </c>
      <c r="G40" s="50">
        <f t="shared" si="1"/>
        <v>0.07751937984</v>
      </c>
      <c r="H40" s="28"/>
      <c r="I40" s="55">
        <f t="shared" si="2"/>
        <v>1408.675611</v>
      </c>
      <c r="J40" s="81"/>
      <c r="K40" s="60">
        <f>IFERROR(__xludf.DUMMYFUNCTION("IFERROR(VLOOKUP(C40,IMPORTRANGE(""https://docs.google.com/spreadsheets/d/1HZUHB8NvANAZR0sHDmHYVAm2WE9kNv0pGIQA48Ryim8/edit?gid=1285727875#gid=1285727875"",""Sheet1!A2:G""),7,0))"),364.47)</f>
        <v>364.47</v>
      </c>
      <c r="L40" s="62">
        <f t="shared" si="3"/>
        <v>3.539385958</v>
      </c>
      <c r="M40" s="60">
        <f>IFERROR(__xludf.DUMMYFUNCTION("IFERROR(VLOOKUP(C40,IMPORTRANGE(""https://docs.google.com/spreadsheets/d/1HZUHB8NvANAZR0sHDmHYVAm2WE9kNv0pGIQA48Ryim8/edit?gid=1285727875#gid=1285727875"",""Cost!A2:G""),7,0))"),398.0)</f>
        <v>398</v>
      </c>
      <c r="N40" s="62">
        <f t="shared" si="4"/>
        <v>3.492462312</v>
      </c>
      <c r="O40" s="62"/>
      <c r="P40" s="28"/>
      <c r="Q40" s="28"/>
      <c r="R40" s="28"/>
      <c r="S40" s="28"/>
      <c r="T40" s="28"/>
      <c r="U40" s="65"/>
      <c r="V40" s="92"/>
      <c r="W40" s="65"/>
      <c r="X40" s="66" t="s">
        <v>321</v>
      </c>
      <c r="Y40" s="65" t="str">
        <f t="shared" si="6"/>
        <v>ASPIRE 5208</v>
      </c>
    </row>
    <row r="41">
      <c r="A41" s="18" t="s">
        <v>300</v>
      </c>
      <c r="B41" s="91">
        <f t="shared" si="5"/>
        <v>5210</v>
      </c>
      <c r="C41" s="15">
        <v>5210.0</v>
      </c>
      <c r="D41" s="18" t="s">
        <v>89</v>
      </c>
      <c r="E41" s="75">
        <v>820.0</v>
      </c>
      <c r="F41" s="39">
        <v>890.0</v>
      </c>
      <c r="G41" s="50">
        <f t="shared" si="1"/>
        <v>0.08536585366</v>
      </c>
      <c r="H41" s="28"/>
      <c r="I41" s="55">
        <f t="shared" si="2"/>
        <v>890.6198574</v>
      </c>
      <c r="J41" s="81"/>
      <c r="K41" s="60">
        <f>IFERROR(__xludf.DUMMYFUNCTION("IFERROR(VLOOKUP(C41,IMPORTRANGE(""https://docs.google.com/spreadsheets/d/1HZUHB8NvANAZR0sHDmHYVAm2WE9kNv0pGIQA48Ryim8/edit?gid=1285727875#gid=1285727875"",""Sheet1!A2:G""),7,0))"),182.3)</f>
        <v>182.3</v>
      </c>
      <c r="L41" s="62">
        <f t="shared" si="3"/>
        <v>4.498080088</v>
      </c>
      <c r="M41" s="60">
        <f>IFERROR(__xludf.DUMMYFUNCTION("IFERROR(VLOOKUP(C41,IMPORTRANGE(""https://docs.google.com/spreadsheets/d/1HZUHB8NvANAZR0sHDmHYVAm2WE9kNv0pGIQA48Ryim8/edit?gid=1285727875#gid=1285727875"",""Cost!A2:G""),7,0))"),198.0)</f>
        <v>198</v>
      </c>
      <c r="N41" s="62">
        <f t="shared" si="4"/>
        <v>4.494949495</v>
      </c>
      <c r="O41" s="62"/>
      <c r="P41" s="28"/>
      <c r="Q41" s="28"/>
      <c r="R41" s="28"/>
      <c r="S41" s="28"/>
      <c r="T41" s="28"/>
      <c r="U41" s="65"/>
      <c r="V41" s="92"/>
      <c r="W41" s="65"/>
      <c r="X41" s="66" t="s">
        <v>87</v>
      </c>
      <c r="Y41" s="65" t="str">
        <f t="shared" si="6"/>
        <v>ASPIRE 5210</v>
      </c>
    </row>
    <row r="42">
      <c r="A42" s="18" t="s">
        <v>300</v>
      </c>
      <c r="B42" s="94" t="str">
        <f t="shared" si="5"/>
        <v>C 5211</v>
      </c>
      <c r="C42" s="95" t="s">
        <v>322</v>
      </c>
      <c r="D42" s="18" t="s">
        <v>94</v>
      </c>
      <c r="E42" s="75">
        <v>1560.0</v>
      </c>
      <c r="F42" s="39">
        <v>1740.0</v>
      </c>
      <c r="G42" s="50">
        <f t="shared" si="1"/>
        <v>0.1153846154</v>
      </c>
      <c r="H42" s="28"/>
      <c r="I42" s="55">
        <f t="shared" si="2"/>
        <v>1736.304343</v>
      </c>
      <c r="J42" s="81"/>
      <c r="K42" s="60">
        <f>IFERROR(__xludf.DUMMYFUNCTION("IFERROR(VLOOKUP(C42,IMPORTRANGE(""https://docs.google.com/spreadsheets/d/1HZUHB8NvANAZR0sHDmHYVAm2WE9kNv0pGIQA48Ryim8/edit?gid=1285727875#gid=1285727875"",""Sheet1!A2:G""),7,0))"),449.23)</f>
        <v>449.23</v>
      </c>
      <c r="L42" s="62">
        <f t="shared" si="3"/>
        <v>3.472608686</v>
      </c>
      <c r="M42" s="60">
        <f>IFERROR(__xludf.DUMMYFUNCTION("IFERROR(VLOOKUP(C42,IMPORTRANGE(""https://docs.google.com/spreadsheets/d/1HZUHB8NvANAZR0sHDmHYVAm2WE9kNv0pGIQA48Ryim8/edit?gid=1285727875#gid=1285727875"",""Cost!A2:G""),7,0))"),500.0)</f>
        <v>500</v>
      </c>
      <c r="N42" s="62">
        <f t="shared" si="4"/>
        <v>3.48</v>
      </c>
      <c r="O42" s="62"/>
      <c r="P42" s="28"/>
      <c r="Q42" s="28"/>
      <c r="R42" s="28"/>
      <c r="S42" s="28"/>
      <c r="T42" s="28"/>
      <c r="U42" s="65"/>
      <c r="V42" s="92"/>
      <c r="W42" s="65"/>
      <c r="X42" s="66" t="s">
        <v>91</v>
      </c>
      <c r="Y42" s="65" t="str">
        <f t="shared" si="6"/>
        <v>ASPIRE 5211</v>
      </c>
    </row>
    <row r="43">
      <c r="A43" s="18" t="s">
        <v>300</v>
      </c>
      <c r="B43" s="91">
        <f t="shared" si="5"/>
        <v>5212</v>
      </c>
      <c r="C43" s="15">
        <v>5212.0</v>
      </c>
      <c r="D43" s="18" t="s">
        <v>97</v>
      </c>
      <c r="E43" s="39">
        <v>1690.0</v>
      </c>
      <c r="F43" s="39">
        <v>1880.0</v>
      </c>
      <c r="G43" s="50">
        <f t="shared" si="1"/>
        <v>0.1124260355</v>
      </c>
      <c r="H43" s="28"/>
      <c r="I43" s="55">
        <f t="shared" si="2"/>
        <v>1882.22241</v>
      </c>
      <c r="J43" s="81"/>
      <c r="K43" s="60">
        <f>IFERROR(__xludf.DUMMYFUNCTION("IFERROR(VLOOKUP(C43,IMPORTRANGE(""https://docs.google.com/spreadsheets/d/1HZUHB8NvANAZR0sHDmHYVAm2WE9kNv0pGIQA48Ryim8/edit?gid=1285727875#gid=1285727875"",""Sheet1!A2:G""),7,0))"),473.18)</f>
        <v>473.18</v>
      </c>
      <c r="L43" s="62">
        <f t="shared" si="3"/>
        <v>3.571579526</v>
      </c>
      <c r="M43" s="60">
        <f>IFERROR(__xludf.DUMMYFUNCTION("IFERROR(VLOOKUP(C43,IMPORTRANGE(""https://docs.google.com/spreadsheets/d/1HZUHB8NvANAZR0sHDmHYVAm2WE9kNv0pGIQA48Ryim8/edit?gid=1285727875#gid=1285727875"",""Cost!A2:G""),7,0))"),527.0)</f>
        <v>527</v>
      </c>
      <c r="N43" s="62">
        <f t="shared" si="4"/>
        <v>3.567362429</v>
      </c>
      <c r="O43" s="62"/>
      <c r="P43" s="28"/>
      <c r="Q43" s="28"/>
      <c r="R43" s="28"/>
      <c r="S43" s="28"/>
      <c r="T43" s="28"/>
      <c r="U43" s="65"/>
      <c r="V43" s="92"/>
      <c r="W43" s="65"/>
      <c r="X43" s="66" t="s">
        <v>95</v>
      </c>
      <c r="Y43" s="65" t="str">
        <f t="shared" si="6"/>
        <v>ASPIRE 5212</v>
      </c>
    </row>
    <row r="44">
      <c r="A44" s="18" t="s">
        <v>300</v>
      </c>
      <c r="B44" s="91">
        <f t="shared" si="5"/>
        <v>5214</v>
      </c>
      <c r="C44" s="15">
        <v>5214.0</v>
      </c>
      <c r="D44" s="18" t="s">
        <v>106</v>
      </c>
      <c r="E44" s="39">
        <v>1890.0</v>
      </c>
      <c r="F44" s="39">
        <v>1990.0</v>
      </c>
      <c r="G44" s="50">
        <f t="shared" si="1"/>
        <v>0.05291005291</v>
      </c>
      <c r="H44" s="28"/>
      <c r="I44" s="55">
        <f t="shared" si="2"/>
        <v>2071.957549</v>
      </c>
      <c r="J44" s="81"/>
      <c r="K44" s="60">
        <f>IFERROR(__xludf.DUMMYFUNCTION("IFERROR(VLOOKUP(C44,IMPORTRANGE(""https://docs.google.com/spreadsheets/d/1HZUHB8NvANAZR0sHDmHYVAm2WE9kNv0pGIQA48Ryim8/edit?gid=1285727875#gid=1285727875"",""Sheet1!A2:G""),7,0))"),514.47)</f>
        <v>514.47</v>
      </c>
      <c r="L44" s="62">
        <f t="shared" si="3"/>
        <v>3.673683597</v>
      </c>
      <c r="M44" s="60">
        <f>IFERROR(__xludf.DUMMYFUNCTION("IFERROR(VLOOKUP(C44,IMPORTRANGE(""https://docs.google.com/spreadsheets/d/1HZUHB8NvANAZR0sHDmHYVAm2WE9kNv0pGIQA48Ryim8/edit?gid=1285727875#gid=1285727875"",""Cost!A2:G""),7,0))"),564.0)</f>
        <v>564</v>
      </c>
      <c r="N44" s="62">
        <f t="shared" si="4"/>
        <v>3.528368794</v>
      </c>
      <c r="O44" s="62"/>
      <c r="P44" s="28"/>
      <c r="Q44" s="28"/>
      <c r="R44" s="28"/>
      <c r="S44" s="28"/>
      <c r="T44" s="28"/>
      <c r="U44" s="65"/>
      <c r="V44" s="92"/>
      <c r="W44" s="65"/>
      <c r="X44" s="66" t="s">
        <v>104</v>
      </c>
      <c r="Y44" s="65" t="str">
        <f t="shared" si="6"/>
        <v>ASPIRE 5214</v>
      </c>
    </row>
    <row r="45">
      <c r="A45" s="18" t="s">
        <v>300</v>
      </c>
      <c r="B45" s="91">
        <f t="shared" si="5"/>
        <v>5216</v>
      </c>
      <c r="C45" s="15">
        <v>5216.0</v>
      </c>
      <c r="D45" s="18" t="s">
        <v>112</v>
      </c>
      <c r="E45" s="39">
        <v>1690.0</v>
      </c>
      <c r="F45" s="39">
        <v>1840.0</v>
      </c>
      <c r="G45" s="50">
        <f t="shared" si="1"/>
        <v>0.08875739645</v>
      </c>
      <c r="H45" s="28"/>
      <c r="I45" s="55">
        <f t="shared" si="2"/>
        <v>1871.785979</v>
      </c>
      <c r="J45" s="81"/>
      <c r="K45" s="60">
        <f>IFERROR(__xludf.DUMMYFUNCTION("IFERROR(VLOOKUP(C45,IMPORTRANGE(""https://docs.google.com/spreadsheets/d/1HZUHB8NvANAZR0sHDmHYVAm2WE9kNv0pGIQA48Ryim8/edit?gid=1285727875#gid=1285727875"",""Sheet1!A2:G""),7,0))"),432.48)</f>
        <v>432.48</v>
      </c>
      <c r="L45" s="62">
        <f t="shared" si="3"/>
        <v>3.907695154</v>
      </c>
      <c r="M45" s="60">
        <f>IFERROR(__xludf.DUMMYFUNCTION("IFERROR(VLOOKUP(C45,IMPORTRANGE(""https://docs.google.com/spreadsheets/d/1HZUHB8NvANAZR0sHDmHYVAm2WE9kNv0pGIQA48Ryim8/edit?gid=1285727875#gid=1285727875"",""Cost!A2:G""),7,0))"),479.0)</f>
        <v>479</v>
      </c>
      <c r="N45" s="62">
        <f t="shared" si="4"/>
        <v>3.841336117</v>
      </c>
      <c r="O45" s="62"/>
      <c r="P45" s="28"/>
      <c r="Q45" s="28"/>
      <c r="R45" s="28"/>
      <c r="S45" s="28"/>
      <c r="T45" s="28"/>
      <c r="U45" s="65"/>
      <c r="V45" s="92"/>
      <c r="W45" s="65"/>
      <c r="X45" s="66" t="s">
        <v>110</v>
      </c>
      <c r="Y45" s="65" t="str">
        <f t="shared" si="6"/>
        <v>ASPIRE 5216</v>
      </c>
    </row>
    <row r="46">
      <c r="A46" s="18" t="s">
        <v>300</v>
      </c>
      <c r="B46" s="91"/>
      <c r="C46" s="15">
        <v>5217.0</v>
      </c>
      <c r="D46" s="48" t="s">
        <v>112</v>
      </c>
      <c r="E46" s="39">
        <v>1840.0</v>
      </c>
      <c r="F46" s="39">
        <v>1990.0</v>
      </c>
      <c r="G46" s="50">
        <f t="shared" si="1"/>
        <v>0.08152173913</v>
      </c>
      <c r="H46" s="28"/>
      <c r="I46" s="55">
        <f t="shared" si="2"/>
        <v>0</v>
      </c>
      <c r="J46" s="81"/>
      <c r="K46" s="60" t="str">
        <f>IFERROR(__xludf.DUMMYFUNCTION("IFERROR(VLOOKUP(C46,IMPORTRANGE(""https://docs.google.com/spreadsheets/d/1HZUHB8NvANAZR0sHDmHYVAm2WE9kNv0pGIQA48Ryim8/edit?gid=1285727875#gid=1285727875"",""Sheet1!A2:G""),7,0))"),"")</f>
        <v/>
      </c>
      <c r="L46" s="62" t="str">
        <f t="shared" si="3"/>
        <v/>
      </c>
      <c r="M46" s="60">
        <f>IFERROR(__xludf.DUMMYFUNCTION("IFERROR(VLOOKUP(C46,IMPORTRANGE(""https://docs.google.com/spreadsheets/d/1HZUHB8NvANAZR0sHDmHYVAm2WE9kNv0pGIQA48Ryim8/edit?gid=1285727875#gid=1285727875"",""Cost!A2:G""),7,0))"),511.0)</f>
        <v>511</v>
      </c>
      <c r="N46" s="62">
        <f t="shared" si="4"/>
        <v>3.894324853</v>
      </c>
      <c r="O46" s="62"/>
      <c r="P46" s="28"/>
      <c r="Q46" s="28"/>
      <c r="R46" s="28"/>
      <c r="S46" s="28"/>
      <c r="T46" s="28"/>
      <c r="U46" s="65"/>
      <c r="V46" s="92"/>
      <c r="W46" s="65"/>
      <c r="X46" s="66" t="s">
        <v>114</v>
      </c>
      <c r="Y46" s="65" t="str">
        <f t="shared" si="6"/>
        <v>ASPIRE 5217</v>
      </c>
    </row>
    <row r="47">
      <c r="A47" s="18" t="s">
        <v>300</v>
      </c>
      <c r="B47" s="91">
        <f t="shared" ref="B47:B68" si="8">C47</f>
        <v>5218</v>
      </c>
      <c r="C47" s="15">
        <v>5218.0</v>
      </c>
      <c r="D47" s="18" t="s">
        <v>119</v>
      </c>
      <c r="E47" s="75">
        <v>1230.0</v>
      </c>
      <c r="F47" s="39">
        <v>1380.0</v>
      </c>
      <c r="G47" s="50">
        <f t="shared" si="1"/>
        <v>0.1219512195</v>
      </c>
      <c r="H47" s="28"/>
      <c r="I47" s="55">
        <f t="shared" si="2"/>
        <v>1380.396096</v>
      </c>
      <c r="J47" s="60"/>
      <c r="K47" s="60">
        <f>IFERROR(__xludf.DUMMYFUNCTION("IFERROR(VLOOKUP(C47,IMPORTRANGE(""https://docs.google.com/spreadsheets/d/1HZUHB8NvANAZR0sHDmHYVAm2WE9kNv0pGIQA48Ryim8/edit?gid=1285727875#gid=1285727875"",""Sheet1!A2:G""),7,0))"),348.4)</f>
        <v>348.4</v>
      </c>
      <c r="L47" s="62">
        <f t="shared" si="3"/>
        <v>3.530424799</v>
      </c>
      <c r="M47" s="60">
        <f>IFERROR(__xludf.DUMMYFUNCTION("IFERROR(VLOOKUP(C47,IMPORTRANGE(""https://docs.google.com/spreadsheets/d/1HZUHB8NvANAZR0sHDmHYVAm2WE9kNv0pGIQA48Ryim8/edit?gid=1285727875#gid=1285727875"",""Cost!A2:G""),7,0))"),391.0)</f>
        <v>391</v>
      </c>
      <c r="N47" s="62">
        <f t="shared" si="4"/>
        <v>3.529411765</v>
      </c>
      <c r="O47" s="62"/>
      <c r="P47" s="28"/>
      <c r="Q47" s="28"/>
      <c r="R47" s="28"/>
      <c r="S47" s="28"/>
      <c r="T47" s="28"/>
      <c r="U47" s="65"/>
      <c r="V47" s="92"/>
      <c r="W47" s="65"/>
      <c r="X47" s="66" t="s">
        <v>117</v>
      </c>
      <c r="Y47" s="65" t="str">
        <f t="shared" si="6"/>
        <v>ASPIRE 5218</v>
      </c>
    </row>
    <row r="48">
      <c r="A48" s="18" t="s">
        <v>300</v>
      </c>
      <c r="B48" s="91">
        <f t="shared" si="8"/>
        <v>5220</v>
      </c>
      <c r="C48" s="15">
        <v>5220.0</v>
      </c>
      <c r="D48" s="18" t="s">
        <v>122</v>
      </c>
      <c r="E48" s="75">
        <v>1270.0</v>
      </c>
      <c r="F48" s="39">
        <v>1420.0</v>
      </c>
      <c r="G48" s="50">
        <f t="shared" si="1"/>
        <v>0.1181102362</v>
      </c>
      <c r="H48" s="28"/>
      <c r="I48" s="55">
        <f t="shared" si="2"/>
        <v>1428.041295</v>
      </c>
      <c r="J48" s="81"/>
      <c r="K48" s="60">
        <f>IFERROR(__xludf.DUMMYFUNCTION("IFERROR(VLOOKUP(C48,IMPORTRANGE(""https://docs.google.com/spreadsheets/d/1HZUHB8NvANAZR0sHDmHYVAm2WE9kNv0pGIQA48Ryim8/edit?gid=1285727875#gid=1285727875"",""Sheet1!A2:G""),7,0))"),358.4)</f>
        <v>358.4</v>
      </c>
      <c r="L48" s="62">
        <f t="shared" si="3"/>
        <v>3.543526786</v>
      </c>
      <c r="M48" s="60">
        <f>IFERROR(__xludf.DUMMYFUNCTION("IFERROR(VLOOKUP(C48,IMPORTRANGE(""https://docs.google.com/spreadsheets/d/1HZUHB8NvANAZR0sHDmHYVAm2WE9kNv0pGIQA48Ryim8/edit?gid=1285727875#gid=1285727875"",""Cost!A2:G""),7,0))"),403.0)</f>
        <v>403</v>
      </c>
      <c r="N48" s="62">
        <f t="shared" si="4"/>
        <v>3.523573201</v>
      </c>
      <c r="O48" s="62"/>
      <c r="P48" s="28"/>
      <c r="Q48" s="28"/>
      <c r="R48" s="28"/>
      <c r="S48" s="28"/>
      <c r="T48" s="28"/>
      <c r="U48" s="65"/>
      <c r="V48" s="92"/>
      <c r="W48" s="65"/>
      <c r="X48" s="66" t="s">
        <v>120</v>
      </c>
      <c r="Y48" s="65" t="str">
        <f t="shared" si="6"/>
        <v>ASPIRE 5220</v>
      </c>
    </row>
    <row r="49">
      <c r="A49" s="18" t="s">
        <v>300</v>
      </c>
      <c r="B49" s="91">
        <f t="shared" si="8"/>
        <v>5250</v>
      </c>
      <c r="C49" s="15">
        <v>5250.0</v>
      </c>
      <c r="D49" s="18" t="s">
        <v>136</v>
      </c>
      <c r="E49" s="39">
        <v>2960.0</v>
      </c>
      <c r="F49" s="39">
        <v>3270.0</v>
      </c>
      <c r="G49" s="50">
        <f t="shared" si="1"/>
        <v>0.1047297297</v>
      </c>
      <c r="H49" s="28"/>
      <c r="I49" s="55">
        <f t="shared" si="2"/>
        <v>3267.574692</v>
      </c>
      <c r="J49" s="81"/>
      <c r="K49" s="60">
        <f>IFERROR(__xludf.DUMMYFUNCTION("IFERROR(VLOOKUP(C49,IMPORTRANGE(""https://docs.google.com/spreadsheets/d/1HZUHB8NvANAZR0sHDmHYVAm2WE9kNv0pGIQA48Ryim8/edit?gid=1285727875#gid=1285727875"",""Sheet1!A2:G""),7,0))"),728.32)</f>
        <v>728.32</v>
      </c>
      <c r="L49" s="62">
        <f t="shared" si="3"/>
        <v>4.064147627</v>
      </c>
      <c r="M49" s="60">
        <f>IFERROR(__xludf.DUMMYFUNCTION("IFERROR(VLOOKUP(C49,IMPORTRANGE(""https://docs.google.com/spreadsheets/d/1HZUHB8NvANAZR0sHDmHYVAm2WE9kNv0pGIQA48Ryim8/edit?gid=1285727875#gid=1285727875"",""Cost!A2:G""),7,0))"),804.0)</f>
        <v>804</v>
      </c>
      <c r="N49" s="62">
        <f t="shared" si="4"/>
        <v>4.067164179</v>
      </c>
      <c r="O49" s="62"/>
      <c r="P49" s="28"/>
      <c r="Q49" s="28"/>
      <c r="R49" s="28"/>
      <c r="S49" s="28"/>
      <c r="T49" s="28"/>
      <c r="U49" s="65"/>
      <c r="V49" s="92"/>
      <c r="W49" s="65"/>
      <c r="X49" s="66" t="s">
        <v>134</v>
      </c>
      <c r="Y49" s="65" t="str">
        <f t="shared" si="6"/>
        <v>ASPIRE 5250</v>
      </c>
    </row>
    <row r="50">
      <c r="A50" s="18" t="s">
        <v>300</v>
      </c>
      <c r="B50" s="91">
        <f t="shared" si="8"/>
        <v>5251</v>
      </c>
      <c r="C50" s="15">
        <v>5251.0</v>
      </c>
      <c r="D50" s="18" t="s">
        <v>141</v>
      </c>
      <c r="E50" s="39">
        <v>3390.0</v>
      </c>
      <c r="F50" s="39">
        <v>3680.0</v>
      </c>
      <c r="G50" s="50">
        <f t="shared" si="1"/>
        <v>0.08554572271</v>
      </c>
      <c r="H50" s="28"/>
      <c r="I50" s="55">
        <f t="shared" si="2"/>
        <v>3790.213994</v>
      </c>
      <c r="J50" s="81"/>
      <c r="K50" s="60">
        <f>IFERROR(__xludf.DUMMYFUNCTION("IFERROR(VLOOKUP(C50,IMPORTRANGE(""https://docs.google.com/spreadsheets/d/1HZUHB8NvANAZR0sHDmHYVAm2WE9kNv0pGIQA48Ryim8/edit?gid=1285727875#gid=1285727875"",""Sheet1!A2:G""),7,0))"),831.8)</f>
        <v>831.8</v>
      </c>
      <c r="L50" s="62">
        <f t="shared" si="3"/>
        <v>4.075498918</v>
      </c>
      <c r="M50" s="60">
        <f>IFERROR(__xludf.DUMMYFUNCTION("IFERROR(VLOOKUP(C50,IMPORTRANGE(""https://docs.google.com/spreadsheets/d/1HZUHB8NvANAZR0sHDmHYVAm2WE9kNv0pGIQA48Ryim8/edit?gid=1285727875#gid=1285727875"",""Cost!A2:G""),7,0))"),930.0)</f>
        <v>930</v>
      </c>
      <c r="N50" s="62">
        <f t="shared" si="4"/>
        <v>3.956989247</v>
      </c>
      <c r="O50" s="62"/>
      <c r="P50" s="28"/>
      <c r="Q50" s="28"/>
      <c r="R50" s="28"/>
      <c r="S50" s="28"/>
      <c r="T50" s="28"/>
      <c r="U50" s="65"/>
      <c r="V50" s="92"/>
      <c r="W50" s="65"/>
      <c r="X50" s="66" t="s">
        <v>139</v>
      </c>
      <c r="Y50" s="65" t="str">
        <f t="shared" si="6"/>
        <v>ASPIRE 5251</v>
      </c>
    </row>
    <row r="51">
      <c r="A51" s="18" t="s">
        <v>300</v>
      </c>
      <c r="B51" s="91">
        <f t="shared" si="8"/>
        <v>5252</v>
      </c>
      <c r="C51" s="15">
        <v>5252.0</v>
      </c>
      <c r="D51" s="18" t="s">
        <v>147</v>
      </c>
      <c r="E51" s="75">
        <v>5380.0</v>
      </c>
      <c r="F51" s="39">
        <v>5880.0</v>
      </c>
      <c r="G51" s="50">
        <f t="shared" si="1"/>
        <v>0.09293680297</v>
      </c>
      <c r="H51" s="28"/>
      <c r="I51" s="55">
        <f t="shared" si="2"/>
        <v>6003.705888</v>
      </c>
      <c r="J51" s="81"/>
      <c r="K51" s="60">
        <f>IFERROR(__xludf.DUMMYFUNCTION("IFERROR(VLOOKUP(C51,IMPORTRANGE(""https://docs.google.com/spreadsheets/d/1HZUHB8NvANAZR0sHDmHYVAm2WE9kNv0pGIQA48Ryim8/edit?gid=1285727875#gid=1285727875"",""Sheet1!A2:G""),7,0))"),1440.95)</f>
        <v>1440.95</v>
      </c>
      <c r="L51" s="62">
        <f t="shared" si="3"/>
        <v>3.733647941</v>
      </c>
      <c r="M51" s="60">
        <f>IFERROR(__xludf.DUMMYFUNCTION("IFERROR(VLOOKUP(C51,IMPORTRANGE(""https://docs.google.com/spreadsheets/d/1HZUHB8NvANAZR0sHDmHYVAm2WE9kNv0pGIQA48Ryim8/edit?gid=1285727875#gid=1285727875"",""Cost!A2:G""),7,0))"),1608.0)</f>
        <v>1608</v>
      </c>
      <c r="N51" s="62">
        <f t="shared" si="4"/>
        <v>3.656716418</v>
      </c>
      <c r="O51" s="62"/>
      <c r="P51" s="28"/>
      <c r="Q51" s="28"/>
      <c r="R51" s="28"/>
      <c r="S51" s="28"/>
      <c r="T51" s="28"/>
      <c r="U51" s="65"/>
      <c r="V51" s="92"/>
      <c r="W51" s="65"/>
      <c r="X51" s="66" t="s">
        <v>144</v>
      </c>
      <c r="Y51" s="65" t="str">
        <f t="shared" si="6"/>
        <v>ASPIRE 5252</v>
      </c>
    </row>
    <row r="52">
      <c r="A52" s="18" t="s">
        <v>300</v>
      </c>
      <c r="B52" s="91" t="str">
        <f t="shared" si="8"/>
        <v>5254-S</v>
      </c>
      <c r="C52" s="15" t="s">
        <v>340</v>
      </c>
      <c r="D52" s="18" t="s">
        <v>152</v>
      </c>
      <c r="E52" s="75">
        <f t="shared" ref="E52:F52" si="9">SUM(E53:E54)</f>
        <v>5640</v>
      </c>
      <c r="F52" s="75">
        <f t="shared" si="9"/>
        <v>6130</v>
      </c>
      <c r="G52" s="50">
        <f t="shared" si="1"/>
        <v>0.08687943262</v>
      </c>
      <c r="H52" s="28"/>
      <c r="I52" s="55">
        <f t="shared" si="2"/>
        <v>6121.741821</v>
      </c>
      <c r="J52" s="81"/>
      <c r="K52" s="60">
        <f>IFERROR(__xludf.DUMMYFUNCTION("IFERROR(VLOOKUP(C52,IMPORTRANGE(""https://docs.google.com/spreadsheets/d/1HZUHB8NvANAZR0sHDmHYVAm2WE9kNv0pGIQA48Ryim8/edit?gid=1285727875#gid=1285727875"",""Sheet1!A2:G""),7,0))"),1551.48)</f>
        <v>1551.48</v>
      </c>
      <c r="L52" s="62">
        <f t="shared" si="3"/>
        <v>3.635238611</v>
      </c>
      <c r="M52" s="60">
        <f>IFERROR(__xludf.DUMMYFUNCTION("IFERROR(VLOOKUP(C52,IMPORTRANGE(""https://docs.google.com/spreadsheets/d/1HZUHB8NvANAZR0sHDmHYVAm2WE9kNv0pGIQA48Ryim8/edit?gid=1285727875#gid=1285727875"",""Cost!A2:G""),7,0))"),1684.0)</f>
        <v>1684</v>
      </c>
      <c r="N52" s="62">
        <f t="shared" si="4"/>
        <v>3.640142518</v>
      </c>
      <c r="O52" s="62"/>
      <c r="P52" s="28"/>
      <c r="Q52" s="28"/>
      <c r="R52" s="28"/>
      <c r="S52" s="28"/>
      <c r="T52" s="28"/>
      <c r="U52" s="65"/>
      <c r="V52" s="92"/>
      <c r="W52" s="65"/>
      <c r="X52" s="66" t="s">
        <v>342</v>
      </c>
      <c r="Y52" s="65" t="str">
        <f t="shared" si="6"/>
        <v>ASPIRE 5254-S</v>
      </c>
    </row>
    <row r="53">
      <c r="A53" s="18" t="s">
        <v>300</v>
      </c>
      <c r="B53" s="91" t="str">
        <f t="shared" si="8"/>
        <v>BD-40</v>
      </c>
      <c r="C53" s="15" t="s">
        <v>154</v>
      </c>
      <c r="D53" s="18" t="s">
        <v>156</v>
      </c>
      <c r="E53" s="39">
        <v>3680.0</v>
      </c>
      <c r="F53" s="39">
        <v>3990.0</v>
      </c>
      <c r="G53" s="50">
        <f t="shared" si="1"/>
        <v>0.08423913043</v>
      </c>
      <c r="H53" s="28"/>
      <c r="I53" s="55">
        <f t="shared" si="2"/>
        <v>4075.59981</v>
      </c>
      <c r="J53" s="81"/>
      <c r="K53" s="60">
        <f>IFERROR(__xludf.DUMMYFUNCTION("IFERROR(VLOOKUP(C53,IMPORTRANGE(""https://docs.google.com/spreadsheets/d/1HZUHB8NvANAZR0sHDmHYVAm2WE9kNv0pGIQA48Ryim8/edit?gid=1285727875#gid=1285727875"",""Sheet1!A2:G""),7,0))"),966.14)</f>
        <v>966.14</v>
      </c>
      <c r="L53" s="62">
        <f t="shared" si="3"/>
        <v>3.808971785</v>
      </c>
      <c r="M53" s="60">
        <f>IFERROR(__xludf.DUMMYFUNCTION("IFERROR(VLOOKUP(C53,IMPORTRANGE(""https://docs.google.com/spreadsheets/d/1HZUHB8NvANAZR0sHDmHYVAm2WE9kNv0pGIQA48Ryim8/edit?gid=1285727875#gid=1285727875"",""Cost!A2:G""),7,0))"),1070.0)</f>
        <v>1070</v>
      </c>
      <c r="N53" s="62">
        <f t="shared" si="4"/>
        <v>3.728971963</v>
      </c>
      <c r="O53" s="62"/>
      <c r="P53" s="28"/>
      <c r="Q53" s="28"/>
      <c r="R53" s="28"/>
      <c r="S53" s="28"/>
      <c r="T53" s="28"/>
      <c r="U53" s="65"/>
      <c r="V53" s="92"/>
      <c r="W53" s="65"/>
      <c r="X53" s="66" t="s">
        <v>154</v>
      </c>
      <c r="Y53" s="65" t="str">
        <f t="shared" si="6"/>
        <v>ASPIRE 52BD-40</v>
      </c>
    </row>
    <row r="54">
      <c r="A54" s="18" t="s">
        <v>300</v>
      </c>
      <c r="B54" s="91" t="str">
        <f t="shared" si="8"/>
        <v>BB-52-S</v>
      </c>
      <c r="C54" s="15" t="s">
        <v>345</v>
      </c>
      <c r="D54" s="18" t="s">
        <v>78</v>
      </c>
      <c r="E54" s="39">
        <v>1960.0</v>
      </c>
      <c r="F54" s="39">
        <v>2140.0</v>
      </c>
      <c r="G54" s="50">
        <f t="shared" si="1"/>
        <v>0.09183673469</v>
      </c>
      <c r="H54" s="28"/>
      <c r="I54" s="55">
        <f t="shared" si="2"/>
        <v>2138.81932</v>
      </c>
      <c r="J54" s="81"/>
      <c r="K54" s="60">
        <f>IFERROR(__xludf.DUMMYFUNCTION("IFERROR(VLOOKUP(C54,IMPORTRANGE(""https://docs.google.com/spreadsheets/d/1HZUHB8NvANAZR0sHDmHYVAm2WE9kNv0pGIQA48Ryim8/edit?gid=1285727875#gid=1285727875"",""Sheet1!A2:G""),7,0))"),559.0)</f>
        <v>559</v>
      </c>
      <c r="L54" s="62">
        <f t="shared" si="3"/>
        <v>3.506261181</v>
      </c>
      <c r="M54" s="60">
        <f>IFERROR(__xludf.DUMMYFUNCTION("IFERROR(VLOOKUP(C54,IMPORTRANGE(""https://docs.google.com/spreadsheets/d/1HZUHB8NvANAZR0sHDmHYVAm2WE9kNv0pGIQA48Ryim8/edit?gid=1285727875#gid=1285727875"",""Cost!A2:G""),7,0))"),610.0)</f>
        <v>610</v>
      </c>
      <c r="N54" s="62">
        <f t="shared" si="4"/>
        <v>3.508196721</v>
      </c>
      <c r="O54" s="62"/>
      <c r="P54" s="28"/>
      <c r="Q54" s="28"/>
      <c r="R54" s="28"/>
      <c r="S54" s="28"/>
      <c r="T54" s="28"/>
      <c r="U54" s="65"/>
      <c r="V54" s="92"/>
      <c r="W54" s="65"/>
      <c r="X54" s="66" t="s">
        <v>346</v>
      </c>
      <c r="Y54" s="65" t="str">
        <f t="shared" si="6"/>
        <v>ASPIRE 52BB-S</v>
      </c>
    </row>
    <row r="55">
      <c r="A55" s="18" t="s">
        <v>300</v>
      </c>
      <c r="B55" s="91">
        <f t="shared" si="8"/>
        <v>5255</v>
      </c>
      <c r="C55" s="15">
        <v>5255.0</v>
      </c>
      <c r="D55" s="18" t="s">
        <v>164</v>
      </c>
      <c r="E55" s="75">
        <v>3550.0</v>
      </c>
      <c r="F55" s="39">
        <v>3880.0</v>
      </c>
      <c r="G55" s="50">
        <f t="shared" si="1"/>
        <v>0.09295774648</v>
      </c>
      <c r="H55" s="28"/>
      <c r="I55" s="55">
        <f t="shared" si="2"/>
        <v>3900.378543</v>
      </c>
      <c r="J55" s="81"/>
      <c r="K55" s="60">
        <f>IFERROR(__xludf.DUMMYFUNCTION("IFERROR(VLOOKUP(C55,IMPORTRANGE(""https://docs.google.com/spreadsheets/d/1HZUHB8NvANAZR0sHDmHYVAm2WE9kNv0pGIQA48Ryim8/edit?gid=1285727875#gid=1285727875"",""Sheet1!A2:G""),7,0))"),866.48)</f>
        <v>866.48</v>
      </c>
      <c r="L55" s="62">
        <f t="shared" si="3"/>
        <v>4.097036285</v>
      </c>
      <c r="M55" s="60">
        <f>IFERROR(__xludf.DUMMYFUNCTION("IFERROR(VLOOKUP(C55,IMPORTRANGE(""https://docs.google.com/spreadsheets/d/1HZUHB8NvANAZR0sHDmHYVAm2WE9kNv0pGIQA48Ryim8/edit?gid=1285727875#gid=1285727875"",""Cost!A2:G""),7,0))"),952.0)</f>
        <v>952</v>
      </c>
      <c r="N55" s="62">
        <f t="shared" si="4"/>
        <v>4.075630252</v>
      </c>
      <c r="O55" s="62"/>
      <c r="P55" s="28"/>
      <c r="Q55" s="28"/>
      <c r="R55" s="28"/>
      <c r="S55" s="28"/>
      <c r="T55" s="28"/>
      <c r="U55" s="65"/>
      <c r="V55" s="92"/>
      <c r="W55" s="65"/>
      <c r="X55" s="66" t="s">
        <v>162</v>
      </c>
      <c r="Y55" s="65" t="str">
        <f t="shared" si="6"/>
        <v>ASPIRE 5255</v>
      </c>
    </row>
    <row r="56">
      <c r="A56" s="18" t="s">
        <v>300</v>
      </c>
      <c r="B56" s="91">
        <f t="shared" si="8"/>
        <v>5265</v>
      </c>
      <c r="C56" s="15">
        <v>5265.0</v>
      </c>
      <c r="D56" s="18" t="s">
        <v>182</v>
      </c>
      <c r="E56" s="75">
        <v>3720.0</v>
      </c>
      <c r="F56" s="39">
        <v>3980.0</v>
      </c>
      <c r="G56" s="50">
        <f t="shared" si="1"/>
        <v>0.06989247312</v>
      </c>
      <c r="H56" s="28"/>
      <c r="I56" s="55">
        <f t="shared" si="2"/>
        <v>4076.070529</v>
      </c>
      <c r="J56" s="81"/>
      <c r="K56" s="60">
        <f>IFERROR(__xludf.DUMMYFUNCTION("IFERROR(VLOOKUP(C56,IMPORTRANGE(""https://docs.google.com/spreadsheets/d/1HZUHB8NvANAZR0sHDmHYVAm2WE9kNv0pGIQA48Ryim8/edit?gid=1285727875#gid=1285727875"",""Sheet1!A2:G""),7,0))"),952.8)</f>
        <v>952.8</v>
      </c>
      <c r="L56" s="62">
        <f t="shared" si="3"/>
        <v>3.904282116</v>
      </c>
      <c r="M56" s="60">
        <f>IFERROR(__xludf.DUMMYFUNCTION("IFERROR(VLOOKUP(C56,IMPORTRANGE(""https://docs.google.com/spreadsheets/d/1HZUHB8NvANAZR0sHDmHYVAm2WE9kNv0pGIQA48Ryim8/edit?gid=1285727875#gid=1285727875"",""Cost!A2:G""),7,0))"),1044.0)</f>
        <v>1044</v>
      </c>
      <c r="N56" s="62">
        <f t="shared" si="4"/>
        <v>3.812260536</v>
      </c>
      <c r="O56" s="62"/>
      <c r="P56" s="28"/>
      <c r="Q56" s="28"/>
      <c r="R56" s="28"/>
      <c r="S56" s="28"/>
      <c r="T56" s="28"/>
      <c r="U56" s="65"/>
      <c r="V56" s="92"/>
      <c r="W56" s="65"/>
      <c r="X56" s="66" t="s">
        <v>181</v>
      </c>
      <c r="Y56" s="65" t="str">
        <f t="shared" si="6"/>
        <v>ASPIRE 5265</v>
      </c>
    </row>
    <row r="57">
      <c r="A57" s="18" t="s">
        <v>300</v>
      </c>
      <c r="B57" s="91">
        <f t="shared" si="8"/>
        <v>5270</v>
      </c>
      <c r="C57" s="15">
        <v>5270.0</v>
      </c>
      <c r="D57" s="18" t="s">
        <v>186</v>
      </c>
      <c r="E57" s="39">
        <v>4970.0</v>
      </c>
      <c r="F57" s="39">
        <v>5380.0</v>
      </c>
      <c r="G57" s="50">
        <f t="shared" si="1"/>
        <v>0.08249496982</v>
      </c>
      <c r="H57" s="28"/>
      <c r="I57" s="55">
        <f t="shared" si="2"/>
        <v>5519.420681</v>
      </c>
      <c r="J57" s="81"/>
      <c r="K57" s="60">
        <f>IFERROR(__xludf.DUMMYFUNCTION("IFERROR(VLOOKUP(C57,IMPORTRANGE(""https://docs.google.com/spreadsheets/d/1HZUHB8NvANAZR0sHDmHYVAm2WE9kNv0pGIQA48Ryim8/edit?gid=1285727875#gid=1285727875"",""Sheet1!A2:G""),7,0))"),1438.93)</f>
        <v>1438.93</v>
      </c>
      <c r="L57" s="62">
        <f t="shared" si="3"/>
        <v>3.45395537</v>
      </c>
      <c r="M57" s="60">
        <f>IFERROR(__xludf.DUMMYFUNCTION("IFERROR(VLOOKUP(C57,IMPORTRANGE(""https://docs.google.com/spreadsheets/d/1HZUHB8NvANAZR0sHDmHYVAm2WE9kNv0pGIQA48Ryim8/edit?gid=1285727875#gid=1285727875"",""Cost!A2:G""),7,0))"),1598.0)</f>
        <v>1598</v>
      </c>
      <c r="N57" s="62">
        <f t="shared" si="4"/>
        <v>3.366708385</v>
      </c>
      <c r="O57" s="62"/>
      <c r="P57" s="28"/>
      <c r="Q57" s="28"/>
      <c r="R57" s="28"/>
      <c r="S57" s="28"/>
      <c r="T57" s="28"/>
      <c r="U57" s="65"/>
      <c r="V57" s="92"/>
      <c r="W57" s="65"/>
      <c r="X57" s="66" t="s">
        <v>184</v>
      </c>
      <c r="Y57" s="65" t="str">
        <f t="shared" si="6"/>
        <v>ASPIRE 5270</v>
      </c>
    </row>
    <row r="58">
      <c r="A58" s="18" t="s">
        <v>300</v>
      </c>
      <c r="B58" s="91">
        <f t="shared" si="8"/>
        <v>5275</v>
      </c>
      <c r="C58" s="15">
        <v>5275.0</v>
      </c>
      <c r="D58" s="18" t="s">
        <v>196</v>
      </c>
      <c r="E58" s="39">
        <v>4970.0</v>
      </c>
      <c r="F58" s="39">
        <v>5380.0</v>
      </c>
      <c r="G58" s="50">
        <f t="shared" si="1"/>
        <v>0.08249496982</v>
      </c>
      <c r="H58" s="28"/>
      <c r="I58" s="55">
        <f t="shared" si="2"/>
        <v>5508.855983</v>
      </c>
      <c r="J58" s="81"/>
      <c r="K58" s="60">
        <f>IFERROR(__xludf.DUMMYFUNCTION("IFERROR(VLOOKUP(C58,IMPORTRANGE(""https://docs.google.com/spreadsheets/d/1HZUHB8NvANAZR0sHDmHYVAm2WE9kNv0pGIQA48Ryim8/edit?gid=1285727875#gid=1285727875"",""Sheet1!A2:G""),7,0))"),1404.7)</f>
        <v>1404.7</v>
      </c>
      <c r="L58" s="62">
        <f t="shared" si="3"/>
        <v>3.538122019</v>
      </c>
      <c r="M58" s="60">
        <f>IFERROR(__xludf.DUMMYFUNCTION("IFERROR(VLOOKUP(C58,IMPORTRANGE(""https://docs.google.com/spreadsheets/d/1HZUHB8NvANAZR0sHDmHYVAm2WE9kNv0pGIQA48Ryim8/edit?gid=1285727875#gid=1285727875"",""Cost!A2:G""),7,0))"),1557.0)</f>
        <v>1557</v>
      </c>
      <c r="N58" s="62">
        <f t="shared" si="4"/>
        <v>3.455362877</v>
      </c>
      <c r="O58" s="62"/>
      <c r="P58" s="28"/>
      <c r="Q58" s="28"/>
      <c r="R58" s="28"/>
      <c r="S58" s="28"/>
      <c r="T58" s="28"/>
      <c r="U58" s="65"/>
      <c r="V58" s="92"/>
      <c r="W58" s="65"/>
      <c r="X58" s="66" t="s">
        <v>194</v>
      </c>
      <c r="Y58" s="65" t="str">
        <f t="shared" si="6"/>
        <v>ASPIRE 5275</v>
      </c>
    </row>
    <row r="59">
      <c r="A59" s="18" t="s">
        <v>300</v>
      </c>
      <c r="B59" s="91">
        <f t="shared" si="8"/>
        <v>5280</v>
      </c>
      <c r="C59" s="15">
        <v>5280.0</v>
      </c>
      <c r="D59" s="18" t="s">
        <v>205</v>
      </c>
      <c r="E59" s="39">
        <v>5780.0</v>
      </c>
      <c r="F59" s="39">
        <v>6280.0</v>
      </c>
      <c r="G59" s="50">
        <f t="shared" si="1"/>
        <v>0.08650519031</v>
      </c>
      <c r="H59" s="28"/>
      <c r="I59" s="55">
        <f t="shared" si="2"/>
        <v>6399.853879</v>
      </c>
      <c r="J59" s="81"/>
      <c r="K59" s="60">
        <f>IFERROR(__xludf.DUMMYFUNCTION("IFERROR(VLOOKUP(C59,IMPORTRANGE(""https://docs.google.com/spreadsheets/d/1HZUHB8NvANAZR0sHDmHYVAm2WE9kNv0pGIQA48Ryim8/edit?gid=1285727875#gid=1285727875"",""Sheet1!A2:G""),7,0))"),1587.73)</f>
        <v>1587.73</v>
      </c>
      <c r="L59" s="62">
        <f t="shared" si="3"/>
        <v>3.640417451</v>
      </c>
      <c r="M59" s="60">
        <f>IFERROR(__xludf.DUMMYFUNCTION("IFERROR(VLOOKUP(C59,IMPORTRANGE(""https://docs.google.com/spreadsheets/d/1HZUHB8NvANAZR0sHDmHYVAm2WE9kNv0pGIQA48Ryim8/edit?gid=1285727875#gid=1285727875"",""Cost!A2:G""),7,0))"),1758.0)</f>
        <v>1758</v>
      </c>
      <c r="N59" s="62">
        <f t="shared" si="4"/>
        <v>3.572241183</v>
      </c>
      <c r="O59" s="62"/>
      <c r="P59" s="28"/>
      <c r="Q59" s="28"/>
      <c r="R59" s="28"/>
      <c r="S59" s="28"/>
      <c r="T59" s="28"/>
      <c r="U59" s="65"/>
      <c r="V59" s="92"/>
      <c r="W59" s="65"/>
      <c r="X59" s="66" t="s">
        <v>203</v>
      </c>
      <c r="Y59" s="65" t="str">
        <f t="shared" si="6"/>
        <v>ASPIRE 5280</v>
      </c>
    </row>
    <row r="60">
      <c r="A60" s="18" t="s">
        <v>300</v>
      </c>
      <c r="B60" s="91" t="str">
        <f t="shared" si="8"/>
        <v>5291-N</v>
      </c>
      <c r="C60" s="15" t="s">
        <v>354</v>
      </c>
      <c r="D60" s="18" t="s">
        <v>210</v>
      </c>
      <c r="E60" s="75">
        <f t="shared" ref="E60:F60" si="10">SUM(E61:E62)</f>
        <v>5980</v>
      </c>
      <c r="F60" s="75">
        <f t="shared" si="10"/>
        <v>6540</v>
      </c>
      <c r="G60" s="50">
        <f t="shared" si="1"/>
        <v>0.09364548495</v>
      </c>
      <c r="H60" s="28"/>
      <c r="I60" s="55">
        <f t="shared" si="2"/>
        <v>6580.462944</v>
      </c>
      <c r="J60" s="81"/>
      <c r="K60" s="60">
        <f>IFERROR(__xludf.DUMMYFUNCTION("IFERROR(VLOOKUP(C60,IMPORTRANGE(""https://docs.google.com/spreadsheets/d/1HZUHB8NvANAZR0sHDmHYVAm2WE9kNv0pGIQA48Ryim8/edit?gid=1285727875#gid=1285727875"",""Sheet1!A2:G""),7,0))"),1738.44)</f>
        <v>1738.44</v>
      </c>
      <c r="L60" s="62">
        <f t="shared" si="3"/>
        <v>3.439865627</v>
      </c>
      <c r="M60" s="60">
        <f>IFERROR(__xludf.DUMMYFUNCTION("IFERROR(VLOOKUP(C60,IMPORTRANGE(""https://docs.google.com/spreadsheets/d/1HZUHB8NvANAZR0sHDmHYVAm2WE9kNv0pGIQA48Ryim8/edit?gid=1285727875#gid=1285727875"",""Cost!A2:G""),7,0))"),1913.0)</f>
        <v>1913</v>
      </c>
      <c r="N60" s="62">
        <f t="shared" si="4"/>
        <v>3.418714062</v>
      </c>
      <c r="O60" s="62"/>
      <c r="P60" s="28"/>
      <c r="Q60" s="28"/>
      <c r="R60" s="28"/>
      <c r="S60" s="28"/>
      <c r="T60" s="28"/>
      <c r="U60" s="65"/>
      <c r="V60" s="92"/>
      <c r="W60" s="65"/>
      <c r="X60" s="66" t="s">
        <v>209</v>
      </c>
      <c r="Y60" s="65" t="str">
        <f t="shared" si="6"/>
        <v>ASPIRE 5291</v>
      </c>
    </row>
    <row r="61">
      <c r="A61" s="18" t="s">
        <v>300</v>
      </c>
      <c r="B61" s="91" t="str">
        <f t="shared" si="8"/>
        <v>PD-40-N</v>
      </c>
      <c r="C61" s="15" t="s">
        <v>212</v>
      </c>
      <c r="D61" s="18" t="s">
        <v>214</v>
      </c>
      <c r="E61" s="39">
        <v>4240.0</v>
      </c>
      <c r="F61" s="39">
        <v>4580.0</v>
      </c>
      <c r="G61" s="50">
        <f t="shared" si="1"/>
        <v>0.08018867925</v>
      </c>
      <c r="H61" s="28"/>
      <c r="I61" s="55">
        <f t="shared" si="2"/>
        <v>4549.622554</v>
      </c>
      <c r="J61" s="81"/>
      <c r="K61" s="60">
        <f>IFERROR(__xludf.DUMMYFUNCTION("IFERROR(VLOOKUP(C61,IMPORTRANGE(""https://docs.google.com/spreadsheets/d/1HZUHB8NvANAZR0sHDmHYVAm2WE9kNv0pGIQA48Ryim8/edit?gid=1285727875#gid=1285727875"",""Sheet1!A2:G""),7,0))"),1298.2)</f>
        <v>1298.2</v>
      </c>
      <c r="L61" s="62">
        <f t="shared" si="3"/>
        <v>3.266060699</v>
      </c>
      <c r="M61" s="60">
        <f>IFERROR(__xludf.DUMMYFUNCTION("IFERROR(VLOOKUP(C61,IMPORTRANGE(""https://docs.google.com/spreadsheets/d/1HZUHB8NvANAZR0sHDmHYVAm2WE9kNv0pGIQA48Ryim8/edit?gid=1285727875#gid=1285727875"",""Cost!A2:G""),7,0))"),1393.0)</f>
        <v>1393</v>
      </c>
      <c r="N61" s="62">
        <f t="shared" si="4"/>
        <v>3.287867911</v>
      </c>
      <c r="O61" s="62"/>
      <c r="P61" s="28"/>
      <c r="Q61" s="28"/>
      <c r="R61" s="28"/>
      <c r="S61" s="28"/>
      <c r="T61" s="28"/>
      <c r="U61" s="65"/>
      <c r="V61" s="92"/>
      <c r="W61" s="65"/>
      <c r="X61" s="66" t="s">
        <v>212</v>
      </c>
      <c r="Y61" s="65" t="str">
        <f t="shared" si="6"/>
        <v>ASPIRE 52PD-40-N</v>
      </c>
    </row>
    <row r="62">
      <c r="A62" s="18" t="s">
        <v>300</v>
      </c>
      <c r="B62" s="91" t="str">
        <f t="shared" si="8"/>
        <v>DB-52-N</v>
      </c>
      <c r="C62" s="15" t="s">
        <v>357</v>
      </c>
      <c r="D62" s="18" t="s">
        <v>217</v>
      </c>
      <c r="E62" s="39">
        <v>1740.0</v>
      </c>
      <c r="F62" s="39">
        <v>1960.0</v>
      </c>
      <c r="G62" s="50">
        <f t="shared" si="1"/>
        <v>0.1264367816</v>
      </c>
      <c r="H62" s="28"/>
      <c r="I62" s="55">
        <f t="shared" si="2"/>
        <v>2057.472845</v>
      </c>
      <c r="J62" s="81"/>
      <c r="K62" s="60">
        <f>IFERROR(__xludf.DUMMYFUNCTION("IFERROR(VLOOKUP(C62,IMPORTRANGE(""https://docs.google.com/spreadsheets/d/1HZUHB8NvANAZR0sHDmHYVAm2WE9kNv0pGIQA48Ryim8/edit?gid=1285727875#gid=1285727875"",""Sheet1!A2:G""),7,0))"),436.38)</f>
        <v>436.38</v>
      </c>
      <c r="L62" s="62">
        <f t="shared" si="3"/>
        <v>3.987350474</v>
      </c>
      <c r="M62" s="60">
        <f>IFERROR(__xludf.DUMMYFUNCTION("IFERROR(VLOOKUP(C62,IMPORTRANGE(""https://docs.google.com/spreadsheets/d/1HZUHB8NvANAZR0sHDmHYVAm2WE9kNv0pGIQA48Ryim8/edit?gid=1285727875#gid=1285727875"",""Cost!A2:G""),7,0))"),516.0)</f>
        <v>516</v>
      </c>
      <c r="N62" s="62">
        <f t="shared" si="4"/>
        <v>3.798449612</v>
      </c>
      <c r="O62" s="62"/>
      <c r="P62" s="28"/>
      <c r="Q62" s="28"/>
      <c r="R62" s="28"/>
      <c r="S62" s="28"/>
      <c r="T62" s="28"/>
      <c r="U62" s="65"/>
      <c r="V62" s="92"/>
      <c r="W62" s="65"/>
      <c r="X62" s="66" t="s">
        <v>358</v>
      </c>
      <c r="Y62" s="65" t="str">
        <f t="shared" si="6"/>
        <v>ASPIRE 52DB</v>
      </c>
    </row>
    <row r="63">
      <c r="A63" s="18" t="s">
        <v>300</v>
      </c>
      <c r="B63" s="91" t="str">
        <f t="shared" si="8"/>
        <v>5292-N</v>
      </c>
      <c r="C63" s="15" t="s">
        <v>359</v>
      </c>
      <c r="D63" s="18" t="s">
        <v>220</v>
      </c>
      <c r="E63" s="75">
        <f t="shared" ref="E63:F63" si="11">SUM(E64:E65)</f>
        <v>6720</v>
      </c>
      <c r="F63" s="75">
        <f t="shared" si="11"/>
        <v>7450</v>
      </c>
      <c r="G63" s="50">
        <f t="shared" si="1"/>
        <v>0.1086309524</v>
      </c>
      <c r="H63" s="28"/>
      <c r="I63" s="55">
        <f t="shared" si="2"/>
        <v>7552.65437</v>
      </c>
      <c r="J63" s="81"/>
      <c r="K63" s="60">
        <f>IFERROR(__xludf.DUMMYFUNCTION("IFERROR(VLOOKUP(C63,IMPORTRANGE(""https://docs.google.com/spreadsheets/d/1HZUHB8NvANAZR0sHDmHYVAm2WE9kNv0pGIQA48Ryim8/edit?gid=1285727875#gid=1285727875"",""Sheet1!A2:G""),7,0))"),2020.63)</f>
        <v>2020.63</v>
      </c>
      <c r="L63" s="62">
        <f t="shared" si="3"/>
        <v>3.325695451</v>
      </c>
      <c r="M63" s="60">
        <f>IFERROR(__xludf.DUMMYFUNCTION("IFERROR(VLOOKUP(C63,IMPORTRANGE(""https://docs.google.com/spreadsheets/d/1HZUHB8NvANAZR0sHDmHYVAm2WE9kNv0pGIQA48Ryim8/edit?gid=1285727875#gid=1285727875"",""Cost!A2:G""),7,0))"),2271.0)</f>
        <v>2271</v>
      </c>
      <c r="N63" s="62">
        <f t="shared" si="4"/>
        <v>3.280493175</v>
      </c>
      <c r="O63" s="62"/>
      <c r="P63" s="28"/>
      <c r="Q63" s="28"/>
      <c r="R63" s="28"/>
      <c r="S63" s="28"/>
      <c r="T63" s="28"/>
      <c r="U63" s="65"/>
      <c r="V63" s="92"/>
      <c r="W63" s="65"/>
      <c r="X63" s="66" t="s">
        <v>219</v>
      </c>
      <c r="Y63" s="65" t="str">
        <f t="shared" si="6"/>
        <v>ASPIRE 5292</v>
      </c>
    </row>
    <row r="64">
      <c r="A64" s="18" t="s">
        <v>300</v>
      </c>
      <c r="B64" s="91" t="str">
        <f t="shared" si="8"/>
        <v>PD-46-H-N</v>
      </c>
      <c r="C64" s="15" t="s">
        <v>223</v>
      </c>
      <c r="D64" s="18" t="s">
        <v>224</v>
      </c>
      <c r="E64" s="39">
        <v>4980.0</v>
      </c>
      <c r="F64" s="39">
        <v>5490.0</v>
      </c>
      <c r="G64" s="50">
        <f t="shared" si="1"/>
        <v>0.1024096386</v>
      </c>
      <c r="H64" s="28"/>
      <c r="I64" s="55">
        <f t="shared" si="2"/>
        <v>5513.426362</v>
      </c>
      <c r="J64" s="81"/>
      <c r="K64" s="60">
        <f>IFERROR(__xludf.DUMMYFUNCTION("IFERROR(VLOOKUP(C64,IMPORTRANGE(""https://docs.google.com/spreadsheets/d/1HZUHB8NvANAZR0sHDmHYVAm2WE9kNv0pGIQA48Ryim8/edit?gid=1285727875#gid=1285727875"",""Sheet1!A2:G""),7,0))"),1581.59)</f>
        <v>1581.59</v>
      </c>
      <c r="L64" s="62">
        <f t="shared" si="3"/>
        <v>3.148730075</v>
      </c>
      <c r="M64" s="60">
        <f>IFERROR(__xludf.DUMMYFUNCTION("IFERROR(VLOOKUP(C64,IMPORTRANGE(""https://docs.google.com/spreadsheets/d/1HZUHB8NvANAZR0sHDmHYVAm2WE9kNv0pGIQA48Ryim8/edit?gid=1285727875#gid=1285727875"",""Cost!A2:G""),7,0))"),1751.0)</f>
        <v>1751</v>
      </c>
      <c r="N64" s="62">
        <f t="shared" si="4"/>
        <v>3.135351228</v>
      </c>
      <c r="O64" s="62"/>
      <c r="P64" s="28"/>
      <c r="Q64" s="28"/>
      <c r="R64" s="28"/>
      <c r="S64" s="28"/>
      <c r="T64" s="28"/>
      <c r="U64" s="65"/>
      <c r="V64" s="92"/>
      <c r="W64" s="65"/>
      <c r="X64" s="66" t="s">
        <v>223</v>
      </c>
      <c r="Y64" s="65" t="str">
        <f t="shared" si="6"/>
        <v>ASPIRE 52PD-46-H-N</v>
      </c>
    </row>
    <row r="65">
      <c r="A65" s="18" t="s">
        <v>300</v>
      </c>
      <c r="B65" s="91" t="str">
        <f t="shared" si="8"/>
        <v>DB-52-H-N</v>
      </c>
      <c r="C65" s="15" t="s">
        <v>362</v>
      </c>
      <c r="D65" s="18" t="s">
        <v>217</v>
      </c>
      <c r="E65" s="39">
        <v>1740.0</v>
      </c>
      <c r="F65" s="39">
        <f>F62</f>
        <v>1960</v>
      </c>
      <c r="G65" s="50">
        <f t="shared" si="1"/>
        <v>0.1264367816</v>
      </c>
      <c r="H65" s="28"/>
      <c r="I65" s="55">
        <f t="shared" si="2"/>
        <v>2057.001466</v>
      </c>
      <c r="J65" s="81"/>
      <c r="K65" s="60">
        <f>IFERROR(__xludf.DUMMYFUNCTION("IFERROR(VLOOKUP(C65,IMPORTRANGE(""https://docs.google.com/spreadsheets/d/1HZUHB8NvANAZR0sHDmHYVAm2WE9kNv0pGIQA48Ryim8/edit?gid=1285727875#gid=1285727875"",""Sheet1!A2:G""),7,0))"),436.48)</f>
        <v>436.48</v>
      </c>
      <c r="L65" s="62">
        <f t="shared" si="3"/>
        <v>3.98643695</v>
      </c>
      <c r="M65" s="60">
        <f>IFERROR(__xludf.DUMMYFUNCTION("IFERROR(VLOOKUP(C65,IMPORTRANGE(""https://docs.google.com/spreadsheets/d/1HZUHB8NvANAZR0sHDmHYVAm2WE9kNv0pGIQA48Ryim8/edit?gid=1285727875#gid=1285727875"",""Cost!A2:G""),7,0))"),516.0)</f>
        <v>516</v>
      </c>
      <c r="N65" s="62">
        <f t="shared" si="4"/>
        <v>3.798449612</v>
      </c>
      <c r="O65" s="62"/>
      <c r="P65" s="28"/>
      <c r="Q65" s="28"/>
      <c r="R65" s="28"/>
      <c r="S65" s="28"/>
      <c r="T65" s="28"/>
      <c r="U65" s="65"/>
      <c r="V65" s="92"/>
      <c r="W65" s="65"/>
      <c r="X65" s="66" t="s">
        <v>358</v>
      </c>
      <c r="Y65" s="65" t="str">
        <f t="shared" si="6"/>
        <v>ASPIRE 52DB</v>
      </c>
    </row>
    <row r="66">
      <c r="A66" s="18" t="s">
        <v>300</v>
      </c>
      <c r="B66" s="91" t="str">
        <f t="shared" si="8"/>
        <v>5292-ON-OFF-N</v>
      </c>
      <c r="C66" s="15" t="s">
        <v>365</v>
      </c>
      <c r="D66" s="18" t="s">
        <v>229</v>
      </c>
      <c r="E66" s="75">
        <f t="shared" ref="E66:F66" si="12">SUM(E67:E68)</f>
        <v>6720</v>
      </c>
      <c r="F66" s="75">
        <f t="shared" si="12"/>
        <v>7450</v>
      </c>
      <c r="G66" s="50">
        <f t="shared" si="1"/>
        <v>0.1086309524</v>
      </c>
      <c r="H66" s="28"/>
      <c r="I66" s="55">
        <f t="shared" si="2"/>
        <v>7629.853522</v>
      </c>
      <c r="J66" s="81"/>
      <c r="K66" s="60">
        <f>IFERROR(__xludf.DUMMYFUNCTION("IFERROR(VLOOKUP(C66,IMPORTRANGE(""https://docs.google.com/spreadsheets/d/1HZUHB8NvANAZR0sHDmHYVAm2WE9kNv0pGIQA48Ryim8/edit?gid=1285727875#gid=1285727875"",""Sheet1!A2:G""),7,0))"),1806.42)</f>
        <v>1806.42</v>
      </c>
      <c r="L66" s="62">
        <f t="shared" si="3"/>
        <v>3.720065101</v>
      </c>
      <c r="M66" s="60">
        <f>IFERROR(__xludf.DUMMYFUNCTION("IFERROR(VLOOKUP(C66,IMPORTRANGE(""https://docs.google.com/spreadsheets/d/1HZUHB8NvANAZR0sHDmHYVAm2WE9kNv0pGIQA48Ryim8/edit?gid=1285727875#gid=1285727875"",""Cost!A2:G""),7,0))"),2051.0)</f>
        <v>2051</v>
      </c>
      <c r="N66" s="62">
        <f t="shared" si="4"/>
        <v>3.632374451</v>
      </c>
      <c r="O66" s="62"/>
      <c r="P66" s="28"/>
      <c r="Q66" s="28"/>
      <c r="R66" s="28"/>
      <c r="S66" s="28"/>
      <c r="T66" s="28"/>
      <c r="U66" s="65"/>
      <c r="V66" s="92"/>
      <c r="W66" s="65"/>
      <c r="X66" s="66" t="s">
        <v>368</v>
      </c>
      <c r="Y66" s="65" t="str">
        <f t="shared" si="6"/>
        <v>ASPIRE 5292-ON-OFF</v>
      </c>
    </row>
    <row r="67">
      <c r="A67" s="18" t="s">
        <v>300</v>
      </c>
      <c r="B67" s="91" t="str">
        <f t="shared" si="8"/>
        <v>PD-46-H-ON-OFF-N</v>
      </c>
      <c r="C67" s="15" t="s">
        <v>234</v>
      </c>
      <c r="D67" s="18" t="s">
        <v>235</v>
      </c>
      <c r="E67" s="75">
        <f>E64-240</f>
        <v>4740</v>
      </c>
      <c r="F67" s="75">
        <f>F64-$X$1</f>
        <v>5250</v>
      </c>
      <c r="G67" s="50">
        <f t="shared" si="1"/>
        <v>0.1075949367</v>
      </c>
      <c r="H67" s="28"/>
      <c r="I67" s="55">
        <f t="shared" si="2"/>
        <v>5306.797906</v>
      </c>
      <c r="J67" s="81"/>
      <c r="K67" s="60">
        <f>IFERROR(__xludf.DUMMYFUNCTION("IFERROR(VLOOKUP(C67,IMPORTRANGE(""https://docs.google.com/spreadsheets/d/1HZUHB8NvANAZR0sHDmHYVAm2WE9kNv0pGIQA48Ryim8/edit?gid=1285727875#gid=1285727875"",""Sheet1!A2:G""),7,0))"),1367.48)</f>
        <v>1367.48</v>
      </c>
      <c r="L67" s="62">
        <f t="shared" si="3"/>
        <v>3.466229853</v>
      </c>
      <c r="M67" s="60">
        <f>IFERROR(__xludf.DUMMYFUNCTION("IFERROR(VLOOKUP(C67,IMPORTRANGE(""https://docs.google.com/spreadsheets/d/1HZUHB8NvANAZR0sHDmHYVAm2WE9kNv0pGIQA48Ryim8/edit?gid=1285727875#gid=1285727875"",""Cost!A2:G""),7,0))"),1531.0)</f>
        <v>1531</v>
      </c>
      <c r="N67" s="62">
        <f t="shared" si="4"/>
        <v>3.429131287</v>
      </c>
      <c r="O67" s="62"/>
      <c r="P67" s="28"/>
      <c r="Q67" s="28"/>
      <c r="R67" s="28"/>
      <c r="S67" s="28"/>
      <c r="T67" s="28"/>
      <c r="U67" s="65"/>
      <c r="V67" s="92"/>
      <c r="W67" s="65"/>
      <c r="X67" s="66" t="s">
        <v>371</v>
      </c>
      <c r="Y67" s="65" t="str">
        <f t="shared" si="6"/>
        <v>ASPIRE 52PD-ON-OFF</v>
      </c>
    </row>
    <row r="68">
      <c r="A68" s="18" t="s">
        <v>300</v>
      </c>
      <c r="B68" s="91" t="str">
        <f t="shared" si="8"/>
        <v>DB-52-H-ON-OFF-N</v>
      </c>
      <c r="C68" s="15" t="s">
        <v>372</v>
      </c>
      <c r="D68" s="18" t="s">
        <v>217</v>
      </c>
      <c r="E68" s="75">
        <f>E65+240</f>
        <v>1980</v>
      </c>
      <c r="F68" s="75">
        <f>F65+$X$1</f>
        <v>2200</v>
      </c>
      <c r="G68" s="50">
        <f t="shared" si="1"/>
        <v>0.1111111111</v>
      </c>
      <c r="H68" s="28"/>
      <c r="I68" s="55">
        <f t="shared" si="2"/>
        <v>2343.168344</v>
      </c>
      <c r="J68" s="81"/>
      <c r="K68" s="60">
        <f>IFERROR(__xludf.DUMMYFUNCTION("IFERROR(VLOOKUP(C68,IMPORTRANGE(""https://docs.google.com/spreadsheets/d/1HZUHB8NvANAZR0sHDmHYVAm2WE9kNv0pGIQA48Ryim8/edit?gid=1285727875#gid=1285727875"",""Sheet1!A2:G""),7,0))"),435.18)</f>
        <v>435.18</v>
      </c>
      <c r="L68" s="62">
        <f t="shared" si="3"/>
        <v>4.549841445</v>
      </c>
      <c r="M68" s="60">
        <f>IFERROR(__xludf.DUMMYFUNCTION("IFERROR(VLOOKUP(C68,IMPORTRANGE(""https://docs.google.com/spreadsheets/d/1HZUHB8NvANAZR0sHDmHYVAm2WE9kNv0pGIQA48Ryim8/edit?gid=1285727875#gid=1285727875"",""Cost!A2:G""),7,0))"),515.0)</f>
        <v>515</v>
      </c>
      <c r="N68" s="62">
        <f t="shared" si="4"/>
        <v>4.27184466</v>
      </c>
      <c r="O68" s="62"/>
      <c r="P68" s="28"/>
      <c r="Q68" s="28"/>
      <c r="R68" s="28"/>
      <c r="S68" s="28"/>
      <c r="T68" s="28"/>
      <c r="U68" s="65"/>
      <c r="V68" s="92"/>
      <c r="W68" s="65"/>
      <c r="X68" s="66" t="s">
        <v>375</v>
      </c>
      <c r="Y68" s="65" t="str">
        <f t="shared" si="6"/>
        <v>ASPIRE 52DB-ON-OFF</v>
      </c>
    </row>
    <row r="69">
      <c r="A69" s="18" t="s">
        <v>300</v>
      </c>
      <c r="B69" s="91"/>
      <c r="C69" s="15" t="s">
        <v>376</v>
      </c>
      <c r="D69" s="18" t="s">
        <v>220</v>
      </c>
      <c r="E69" s="97" t="s">
        <v>377</v>
      </c>
      <c r="F69" s="75">
        <f>SUM(F70:F71)</f>
        <v>7450</v>
      </c>
      <c r="G69" s="50" t="str">
        <f t="shared" si="1"/>
        <v/>
      </c>
      <c r="H69" s="28"/>
      <c r="I69" s="55">
        <f t="shared" si="2"/>
        <v>0</v>
      </c>
      <c r="J69" s="81"/>
      <c r="K69" s="60" t="str">
        <f>IFERROR(__xludf.DUMMYFUNCTION("IFERROR(VLOOKUP(C69,IMPORTRANGE(""https://docs.google.com/spreadsheets/d/1HZUHB8NvANAZR0sHDmHYVAm2WE9kNv0pGIQA48Ryim8/edit?gid=1285727875#gid=1285727875"",""Sheet1!A2:G""),7,0))"),"")</f>
        <v/>
      </c>
      <c r="L69" s="62" t="str">
        <f t="shared" si="3"/>
        <v/>
      </c>
      <c r="M69" s="60">
        <f>SUM(M70:M71)</f>
        <v>2224.72</v>
      </c>
      <c r="N69" s="62">
        <f t="shared" si="4"/>
        <v>3.348736021</v>
      </c>
      <c r="O69" s="62"/>
      <c r="P69" s="28"/>
      <c r="Q69" s="28"/>
      <c r="R69" s="28"/>
      <c r="S69" s="28"/>
      <c r="T69" s="28"/>
      <c r="U69" s="65"/>
      <c r="V69" s="92"/>
      <c r="W69" s="65"/>
      <c r="X69" s="66" t="s">
        <v>380</v>
      </c>
      <c r="Y69" s="65" t="str">
        <f t="shared" si="6"/>
        <v>ASPIRE 5292-P</v>
      </c>
    </row>
    <row r="70">
      <c r="A70" s="18" t="s">
        <v>300</v>
      </c>
      <c r="B70" s="91"/>
      <c r="C70" s="15" t="s">
        <v>381</v>
      </c>
      <c r="D70" s="18" t="s">
        <v>382</v>
      </c>
      <c r="E70" s="97" t="s">
        <v>377</v>
      </c>
      <c r="F70" s="39">
        <f>F64-$Y$1</f>
        <v>4990</v>
      </c>
      <c r="G70" s="50" t="str">
        <f t="shared" si="1"/>
        <v/>
      </c>
      <c r="H70" s="28"/>
      <c r="I70" s="55">
        <f t="shared" si="2"/>
        <v>0</v>
      </c>
      <c r="J70" s="81"/>
      <c r="K70" s="60" t="str">
        <f>IFERROR(__xludf.DUMMYFUNCTION("IFERROR(VLOOKUP(C70,IMPORTRANGE(""https://docs.google.com/spreadsheets/d/1HZUHB8NvANAZR0sHDmHYVAm2WE9kNv0pGIQA48Ryim8/edit?gid=1285727875#gid=1285727875"",""Sheet1!A2:G""),7,0))"),"")</f>
        <v/>
      </c>
      <c r="L70" s="62" t="str">
        <f t="shared" si="3"/>
        <v/>
      </c>
      <c r="M70" s="60">
        <f>IFERROR(__xludf.DUMMYFUNCTION("IFERROR(VLOOKUP(C70,IMPORTRANGE(""https://docs.google.com/spreadsheets/d/1HZUHB8NvANAZR0sHDmHYVAm2WE9kNv0pGIQA48Ryim8/edit?gid=1285727875#gid=1285727875"",""Diverter &amp; Upper!A2:B""),2,0))"),1585.45)</f>
        <v>1585.45</v>
      </c>
      <c r="N70" s="62">
        <f t="shared" si="4"/>
        <v>3.147371409</v>
      </c>
      <c r="O70" s="62"/>
      <c r="P70" s="28"/>
      <c r="Q70" s="28"/>
      <c r="R70" s="28"/>
      <c r="S70" s="28"/>
      <c r="T70" s="28"/>
      <c r="U70" s="65"/>
      <c r="V70" s="92"/>
      <c r="W70" s="65"/>
      <c r="X70" s="66" t="s">
        <v>381</v>
      </c>
      <c r="Y70" s="65" t="str">
        <f t="shared" si="6"/>
        <v>ASPIRE 52PD-46-H-P</v>
      </c>
    </row>
    <row r="71">
      <c r="A71" s="18" t="s">
        <v>300</v>
      </c>
      <c r="B71" s="91"/>
      <c r="C71" s="15" t="s">
        <v>385</v>
      </c>
      <c r="D71" s="18" t="s">
        <v>386</v>
      </c>
      <c r="E71" s="97" t="s">
        <v>377</v>
      </c>
      <c r="F71" s="39">
        <f>F65+$Y$1</f>
        <v>2460</v>
      </c>
      <c r="G71" s="50" t="str">
        <f t="shared" si="1"/>
        <v/>
      </c>
      <c r="H71" s="28"/>
      <c r="I71" s="55">
        <f t="shared" si="2"/>
        <v>0</v>
      </c>
      <c r="J71" s="81"/>
      <c r="K71" s="60" t="str">
        <f>IFERROR(__xludf.DUMMYFUNCTION("IFERROR(VLOOKUP(C71,IMPORTRANGE(""https://docs.google.com/spreadsheets/d/1HZUHB8NvANAZR0sHDmHYVAm2WE9kNv0pGIQA48Ryim8/edit?gid=1285727875#gid=1285727875"",""Sheet1!A2:G""),7,0))"),"")</f>
        <v/>
      </c>
      <c r="L71" s="62" t="str">
        <f t="shared" si="3"/>
        <v/>
      </c>
      <c r="M71" s="60">
        <f>IFERROR(__xludf.DUMMYFUNCTION("IFERROR(VLOOKUP(C71,IMPORTRANGE(""https://docs.google.com/spreadsheets/d/1HZUHB8NvANAZR0sHDmHYVAm2WE9kNv0pGIQA48Ryim8/edit?gid=1285727875#gid=1285727875"",""Diverter &amp; Upper!A2:B""),2,0))"),639.27)</f>
        <v>639.27</v>
      </c>
      <c r="N71" s="62">
        <f t="shared" si="4"/>
        <v>3.848139284</v>
      </c>
      <c r="O71" s="62"/>
      <c r="P71" s="28"/>
      <c r="Q71" s="28"/>
      <c r="R71" s="28"/>
      <c r="S71" s="28"/>
      <c r="T71" s="28"/>
      <c r="U71" s="65"/>
      <c r="V71" s="92"/>
      <c r="W71" s="65"/>
      <c r="X71" s="66" t="s">
        <v>387</v>
      </c>
      <c r="Y71" s="65" t="str">
        <f t="shared" si="6"/>
        <v>ASPIRE 52DB-P</v>
      </c>
    </row>
    <row r="72">
      <c r="A72" s="18" t="s">
        <v>300</v>
      </c>
      <c r="B72" s="91"/>
      <c r="C72" s="15" t="s">
        <v>388</v>
      </c>
      <c r="D72" s="18" t="s">
        <v>229</v>
      </c>
      <c r="E72" s="97" t="s">
        <v>377</v>
      </c>
      <c r="F72" s="75">
        <f>SUM(F73:F74)</f>
        <v>7450</v>
      </c>
      <c r="G72" s="50" t="str">
        <f t="shared" si="1"/>
        <v/>
      </c>
      <c r="H72" s="28"/>
      <c r="I72" s="55">
        <f t="shared" si="2"/>
        <v>0</v>
      </c>
      <c r="J72" s="81"/>
      <c r="K72" s="60" t="str">
        <f>IFERROR(__xludf.DUMMYFUNCTION("IFERROR(VLOOKUP(C72,IMPORTRANGE(""https://docs.google.com/spreadsheets/d/1HZUHB8NvANAZR0sHDmHYVAm2WE9kNv0pGIQA48Ryim8/edit?gid=1285727875#gid=1285727875"",""Sheet1!A2:G""),7,0))"),"")</f>
        <v/>
      </c>
      <c r="L72" s="62" t="str">
        <f t="shared" si="3"/>
        <v/>
      </c>
      <c r="M72" s="60">
        <f>SUM(M73:M74)</f>
        <v>2007.85</v>
      </c>
      <c r="N72" s="62">
        <f t="shared" si="4"/>
        <v>3.710436537</v>
      </c>
      <c r="O72" s="62"/>
      <c r="P72" s="28"/>
      <c r="Q72" s="28"/>
      <c r="R72" s="28"/>
      <c r="S72" s="28"/>
      <c r="T72" s="28"/>
      <c r="U72" s="65"/>
      <c r="V72" s="92"/>
      <c r="W72" s="65"/>
      <c r="X72" s="66" t="s">
        <v>391</v>
      </c>
      <c r="Y72" s="65" t="str">
        <f t="shared" si="6"/>
        <v>ASPIRE 5292-ON-OFF-P</v>
      </c>
    </row>
    <row r="73">
      <c r="A73" s="18" t="s">
        <v>300</v>
      </c>
      <c r="B73" s="91"/>
      <c r="C73" s="15" t="s">
        <v>392</v>
      </c>
      <c r="D73" s="18" t="s">
        <v>393</v>
      </c>
      <c r="E73" s="97" t="s">
        <v>377</v>
      </c>
      <c r="F73" s="39">
        <f>F70-$X$1</f>
        <v>4750</v>
      </c>
      <c r="G73" s="50" t="str">
        <f t="shared" si="1"/>
        <v/>
      </c>
      <c r="H73" s="28"/>
      <c r="I73" s="55">
        <f t="shared" si="2"/>
        <v>0</v>
      </c>
      <c r="J73" s="81"/>
      <c r="K73" s="60" t="str">
        <f>IFERROR(__xludf.DUMMYFUNCTION("IFERROR(VLOOKUP(C73,IMPORTRANGE(""https://docs.google.com/spreadsheets/d/1HZUHB8NvANAZR0sHDmHYVAm2WE9kNv0pGIQA48Ryim8/edit?gid=1285727875#gid=1285727875"",""Sheet1!A2:G""),7,0))"),"")</f>
        <v/>
      </c>
      <c r="L73" s="62" t="str">
        <f t="shared" si="3"/>
        <v/>
      </c>
      <c r="M73" s="60">
        <f>IFERROR(__xludf.DUMMYFUNCTION("IFERROR(VLOOKUP(C73,IMPORTRANGE(""https://docs.google.com/spreadsheets/d/1HZUHB8NvANAZR0sHDmHYVAm2WE9kNv0pGIQA48Ryim8/edit?gid=1285727875#gid=1285727875"",""Diverter &amp; Upper!A2:B""),2,0))"),1357.68)</f>
        <v>1357.68</v>
      </c>
      <c r="N73" s="62">
        <f t="shared" si="4"/>
        <v>3.498615285</v>
      </c>
      <c r="O73" s="62"/>
      <c r="P73" s="28"/>
      <c r="Q73" s="28"/>
      <c r="R73" s="28"/>
      <c r="S73" s="28"/>
      <c r="T73" s="28"/>
      <c r="U73" s="65"/>
      <c r="V73" s="92"/>
      <c r="W73" s="65"/>
      <c r="X73" s="66" t="s">
        <v>396</v>
      </c>
      <c r="Y73" s="65" t="str">
        <f t="shared" si="6"/>
        <v>ASPIRE 52PD-ON-OFF-P</v>
      </c>
    </row>
    <row r="74">
      <c r="A74" s="18" t="s">
        <v>300</v>
      </c>
      <c r="B74" s="91"/>
      <c r="C74" s="15" t="s">
        <v>397</v>
      </c>
      <c r="D74" s="18" t="s">
        <v>386</v>
      </c>
      <c r="E74" s="97" t="s">
        <v>377</v>
      </c>
      <c r="F74" s="39">
        <f>F71+$X$1</f>
        <v>2700</v>
      </c>
      <c r="G74" s="50" t="str">
        <f t="shared" si="1"/>
        <v/>
      </c>
      <c r="H74" s="28"/>
      <c r="I74" s="55">
        <f t="shared" si="2"/>
        <v>0</v>
      </c>
      <c r="J74" s="81"/>
      <c r="K74" s="60" t="str">
        <f>IFERROR(__xludf.DUMMYFUNCTION("IFERROR(VLOOKUP(C74,IMPORTRANGE(""https://docs.google.com/spreadsheets/d/1HZUHB8NvANAZR0sHDmHYVAm2WE9kNv0pGIQA48Ryim8/edit?gid=1285727875#gid=1285727875"",""Sheet1!A2:G""),7,0))"),"")</f>
        <v/>
      </c>
      <c r="L74" s="62" t="str">
        <f t="shared" si="3"/>
        <v/>
      </c>
      <c r="M74" s="60">
        <f>IFERROR(__xludf.DUMMYFUNCTION("IFERROR(VLOOKUP(C74,IMPORTRANGE(""https://docs.google.com/spreadsheets/d/1HZUHB8NvANAZR0sHDmHYVAm2WE9kNv0pGIQA48Ryim8/edit?gid=1285727875#gid=1285727875"",""Diverter &amp; Upper!A2:B""),2,0))"),650.17)</f>
        <v>650.17</v>
      </c>
      <c r="N74" s="62">
        <f t="shared" si="4"/>
        <v>4.152760047</v>
      </c>
      <c r="O74" s="62"/>
      <c r="P74" s="28"/>
      <c r="Q74" s="28"/>
      <c r="R74" s="28"/>
      <c r="S74" s="28"/>
      <c r="T74" s="28"/>
      <c r="U74" s="65"/>
      <c r="V74" s="92"/>
      <c r="W74" s="65"/>
      <c r="X74" s="66" t="s">
        <v>400</v>
      </c>
      <c r="Y74" s="65" t="str">
        <f t="shared" si="6"/>
        <v>ASPIRE 52DB-ON-OFF-P</v>
      </c>
    </row>
    <row r="75">
      <c r="A75" s="18" t="s">
        <v>300</v>
      </c>
      <c r="B75" s="91" t="str">
        <f t="shared" ref="B75:B94" si="14">C75</f>
        <v>5293-N</v>
      </c>
      <c r="C75" s="15" t="s">
        <v>401</v>
      </c>
      <c r="D75" s="18" t="s">
        <v>241</v>
      </c>
      <c r="E75" s="75">
        <f t="shared" ref="E75:F75" si="13">SUM(E76:E77)</f>
        <v>6720</v>
      </c>
      <c r="F75" s="75">
        <f t="shared" si="13"/>
        <v>7450</v>
      </c>
      <c r="G75" s="50">
        <f t="shared" si="1"/>
        <v>0.1086309524</v>
      </c>
      <c r="H75" s="28"/>
      <c r="I75" s="55">
        <f t="shared" si="2"/>
        <v>7434.464654</v>
      </c>
      <c r="J75" s="81"/>
      <c r="K75" s="60">
        <f>IFERROR(__xludf.DUMMYFUNCTION("IFERROR(VLOOKUP(C75,IMPORTRANGE(""https://docs.google.com/spreadsheets/d/1HZUHB8NvANAZR0sHDmHYVAm2WE9kNv0pGIQA48Ryim8/edit?gid=1285727875#gid=1285727875"",""Sheet1!A2:G""),7,0))"),1973.21)</f>
        <v>1973.21</v>
      </c>
      <c r="L75" s="62">
        <f t="shared" si="3"/>
        <v>3.405618257</v>
      </c>
      <c r="M75" s="60">
        <f>IFERROR(__xludf.DUMMYFUNCTION("IFERROR(VLOOKUP(C75,IMPORTRANGE(""https://docs.google.com/spreadsheets/d/1HZUHB8NvANAZR0sHDmHYVAm2WE9kNv0pGIQA48Ryim8/edit?gid=1285727875#gid=1285727875"",""Cost!A2:G""),7,0))"),2183.0)</f>
        <v>2183</v>
      </c>
      <c r="N75" s="62">
        <f t="shared" si="4"/>
        <v>3.412734769</v>
      </c>
      <c r="O75" s="62"/>
      <c r="P75" s="28"/>
      <c r="Q75" s="28"/>
      <c r="R75" s="28"/>
      <c r="S75" s="28"/>
      <c r="T75" s="28"/>
      <c r="U75" s="65"/>
      <c r="V75" s="92"/>
      <c r="W75" s="65"/>
      <c r="X75" s="66" t="s">
        <v>239</v>
      </c>
      <c r="Y75" s="65" t="str">
        <f t="shared" si="6"/>
        <v>ASPIRE 5293</v>
      </c>
    </row>
    <row r="76">
      <c r="A76" s="18" t="s">
        <v>300</v>
      </c>
      <c r="B76" s="91" t="str">
        <f t="shared" si="14"/>
        <v>PD-3 IN-N</v>
      </c>
      <c r="C76" s="15" t="s">
        <v>243</v>
      </c>
      <c r="D76" s="18" t="s">
        <v>244</v>
      </c>
      <c r="E76" s="39">
        <v>4980.0</v>
      </c>
      <c r="F76" s="39">
        <v>5490.0</v>
      </c>
      <c r="G76" s="50">
        <f t="shared" si="1"/>
        <v>0.1024096386</v>
      </c>
      <c r="H76" s="28"/>
      <c r="I76" s="55">
        <f t="shared" si="2"/>
        <v>5395.785272</v>
      </c>
      <c r="J76" s="81"/>
      <c r="K76" s="60">
        <f>IFERROR(__xludf.DUMMYFUNCTION("IFERROR(VLOOKUP(C76,IMPORTRANGE(""https://docs.google.com/spreadsheets/d/1HZUHB8NvANAZR0sHDmHYVAm2WE9kNv0pGIQA48Ryim8/edit?gid=1285727875#gid=1285727875"",""Sheet1!A2:G""),7,0))"),1543.16)</f>
        <v>1543.16</v>
      </c>
      <c r="L76" s="62">
        <f t="shared" si="3"/>
        <v>3.227144301</v>
      </c>
      <c r="M76" s="60">
        <f>IFERROR(__xludf.DUMMYFUNCTION("IFERROR(VLOOKUP(C76,IMPORTRANGE(""https://docs.google.com/spreadsheets/d/1HZUHB8NvANAZR0sHDmHYVAm2WE9kNv0pGIQA48Ryim8/edit?gid=1285727875#gid=1285727875"",""Cost!A2:G""),7,0))"),1672.0)</f>
        <v>1672</v>
      </c>
      <c r="N76" s="62">
        <f t="shared" si="4"/>
        <v>3.283492823</v>
      </c>
      <c r="O76" s="62"/>
      <c r="P76" s="28"/>
      <c r="Q76" s="28"/>
      <c r="R76" s="28"/>
      <c r="S76" s="28"/>
      <c r="T76" s="28"/>
      <c r="U76" s="65"/>
      <c r="V76" s="92"/>
      <c r="W76" s="65"/>
      <c r="X76" s="66" t="s">
        <v>243</v>
      </c>
      <c r="Y76" s="65" t="str">
        <f t="shared" si="6"/>
        <v>ASPIRE 52PD-3 IN-N</v>
      </c>
    </row>
    <row r="77">
      <c r="A77" s="18" t="s">
        <v>300</v>
      </c>
      <c r="B77" s="91" t="str">
        <f t="shared" si="14"/>
        <v>DB-52-3 IN-N</v>
      </c>
      <c r="C77" s="15" t="s">
        <v>405</v>
      </c>
      <c r="D77" s="18" t="s">
        <v>217</v>
      </c>
      <c r="E77" s="39">
        <v>1740.0</v>
      </c>
      <c r="F77" s="39">
        <f>F62</f>
        <v>1960</v>
      </c>
      <c r="G77" s="50">
        <f t="shared" si="1"/>
        <v>0.1264367816</v>
      </c>
      <c r="H77" s="28"/>
      <c r="I77" s="55">
        <f t="shared" si="2"/>
        <v>2059.621219</v>
      </c>
      <c r="J77" s="81"/>
      <c r="K77" s="60">
        <f>IFERROR(__xludf.DUMMYFUNCTION("IFERROR(VLOOKUP(C77,IMPORTRANGE(""https://docs.google.com/spreadsheets/d/1HZUHB8NvANAZR0sHDmHYVAm2WE9kNv0pGIQA48Ryim8/edit?gid=1285727875#gid=1285727875"",""Sheet1!A2:G""),7,0))"),435.08)</f>
        <v>435.08</v>
      </c>
      <c r="L77" s="62">
        <f t="shared" si="3"/>
        <v>3.999264503</v>
      </c>
      <c r="M77" s="60">
        <f>IFERROR(__xludf.DUMMYFUNCTION("IFERROR(VLOOKUP(C77,IMPORTRANGE(""https://docs.google.com/spreadsheets/d/1HZUHB8NvANAZR0sHDmHYVAm2WE9kNv0pGIQA48Ryim8/edit?gid=1285727875#gid=1285727875"",""Cost!A2:G""),7,0))"),515.0)</f>
        <v>515</v>
      </c>
      <c r="N77" s="62">
        <f t="shared" si="4"/>
        <v>3.805825243</v>
      </c>
      <c r="O77" s="62"/>
      <c r="P77" s="28"/>
      <c r="Q77" s="28"/>
      <c r="R77" s="28"/>
      <c r="S77" s="28"/>
      <c r="T77" s="28"/>
      <c r="U77" s="65"/>
      <c r="V77" s="92"/>
      <c r="W77" s="65"/>
      <c r="X77" s="66" t="s">
        <v>358</v>
      </c>
      <c r="Y77" s="65" t="str">
        <f t="shared" si="6"/>
        <v>ASPIRE 52DB</v>
      </c>
    </row>
    <row r="78">
      <c r="A78" s="18" t="s">
        <v>300</v>
      </c>
      <c r="B78" s="91" t="str">
        <f t="shared" si="14"/>
        <v>5293-ON-OFF-N</v>
      </c>
      <c r="C78" s="15" t="s">
        <v>407</v>
      </c>
      <c r="D78" s="18" t="s">
        <v>250</v>
      </c>
      <c r="E78" s="75">
        <f t="shared" ref="E78:F78" si="15">SUM(E79:E80)</f>
        <v>6720</v>
      </c>
      <c r="F78" s="75">
        <f t="shared" si="15"/>
        <v>7450</v>
      </c>
      <c r="G78" s="50">
        <f t="shared" si="1"/>
        <v>0.1086309524</v>
      </c>
      <c r="H78" s="28"/>
      <c r="I78" s="55">
        <f t="shared" si="2"/>
        <v>7521.148285</v>
      </c>
      <c r="J78" s="81"/>
      <c r="K78" s="60">
        <f>IFERROR(__xludf.DUMMYFUNCTION("IFERROR(VLOOKUP(C78,IMPORTRANGE(""https://docs.google.com/spreadsheets/d/1HZUHB8NvANAZR0sHDmHYVAm2WE9kNv0pGIQA48Ryim8/edit?gid=1285727875#gid=1285727875"",""Sheet1!A2:G""),7,0))"),2002.29)</f>
        <v>2002.29</v>
      </c>
      <c r="L78" s="62">
        <f t="shared" si="3"/>
        <v>3.3561572</v>
      </c>
      <c r="M78" s="60">
        <f>IFERROR(__xludf.DUMMYFUNCTION("IFERROR(VLOOKUP(C78,IMPORTRANGE(""https://docs.google.com/spreadsheets/d/1HZUHB8NvANAZR0sHDmHYVAm2WE9kNv0pGIQA48Ryim8/edit?gid=1285727875#gid=1285727875"",""Cost!A2:G""),7,0))"),2241.0)</f>
        <v>2241</v>
      </c>
      <c r="N78" s="62">
        <f t="shared" si="4"/>
        <v>3.324408746</v>
      </c>
      <c r="O78" s="62"/>
      <c r="P78" s="28"/>
      <c r="Q78" s="28"/>
      <c r="R78" s="28"/>
      <c r="S78" s="28"/>
      <c r="T78" s="28"/>
      <c r="U78" s="65"/>
      <c r="V78" s="92"/>
      <c r="W78" s="65"/>
      <c r="X78" s="66" t="s">
        <v>410</v>
      </c>
      <c r="Y78" s="65" t="str">
        <f t="shared" si="6"/>
        <v>ASPIRE 5293-ON-OFF</v>
      </c>
    </row>
    <row r="79">
      <c r="A79" s="18" t="s">
        <v>300</v>
      </c>
      <c r="B79" s="91" t="str">
        <f t="shared" si="14"/>
        <v>PD-3 IN-ON-OFF-N</v>
      </c>
      <c r="C79" s="15" t="s">
        <v>253</v>
      </c>
      <c r="D79" s="18" t="s">
        <v>256</v>
      </c>
      <c r="E79" s="39">
        <f>E76-240</f>
        <v>4740</v>
      </c>
      <c r="F79" s="39">
        <f>F76-$X$1</f>
        <v>5250</v>
      </c>
      <c r="G79" s="50">
        <f t="shared" si="1"/>
        <v>0.1075949367</v>
      </c>
      <c r="H79" s="28"/>
      <c r="I79" s="55">
        <f t="shared" si="2"/>
        <v>5217.019108</v>
      </c>
      <c r="J79" s="81"/>
      <c r="K79" s="60">
        <f>IFERROR(__xludf.DUMMYFUNCTION("IFERROR(VLOOKUP(C79,IMPORTRANGE(""https://docs.google.com/spreadsheets/d/1HZUHB8NvANAZR0sHDmHYVAm2WE9kNv0pGIQA48Ryim8/edit?gid=1285727875#gid=1285727875"",""Sheet1!A2:G""),7,0))"),1570.0)</f>
        <v>1570</v>
      </c>
      <c r="L79" s="62">
        <f t="shared" si="3"/>
        <v>3.01910828</v>
      </c>
      <c r="M79" s="60">
        <f>IFERROR(__xludf.DUMMYFUNCTION("IFERROR(VLOOKUP(C79,IMPORTRANGE(""https://docs.google.com/spreadsheets/d/1HZUHB8NvANAZR0sHDmHYVAm2WE9kNv0pGIQA48Ryim8/edit?gid=1285727875#gid=1285727875"",""Cost!A2:G""),7,0))"),1728.0)</f>
        <v>1728</v>
      </c>
      <c r="N79" s="62">
        <f t="shared" si="4"/>
        <v>3.038194444</v>
      </c>
      <c r="O79" s="62"/>
      <c r="P79" s="28"/>
      <c r="Q79" s="28"/>
      <c r="R79" s="28"/>
      <c r="S79" s="28"/>
      <c r="T79" s="28"/>
      <c r="U79" s="65"/>
      <c r="V79" s="92"/>
      <c r="W79" s="65"/>
      <c r="X79" s="66" t="s">
        <v>371</v>
      </c>
      <c r="Y79" s="65" t="str">
        <f t="shared" si="6"/>
        <v>ASPIRE 52PD-ON-OFF</v>
      </c>
    </row>
    <row r="80">
      <c r="A80" s="18" t="s">
        <v>300</v>
      </c>
      <c r="B80" s="91" t="str">
        <f t="shared" si="14"/>
        <v>DB-52-3 IN-ON-OFF-N</v>
      </c>
      <c r="C80" s="15" t="s">
        <v>415</v>
      </c>
      <c r="D80" s="18" t="s">
        <v>217</v>
      </c>
      <c r="E80" s="75">
        <f>E77+240</f>
        <v>1980</v>
      </c>
      <c r="F80" s="75">
        <f>F77+$X$1</f>
        <v>2200</v>
      </c>
      <c r="G80" s="50">
        <f t="shared" si="1"/>
        <v>0.1111111111</v>
      </c>
      <c r="H80" s="28"/>
      <c r="I80" s="55">
        <f t="shared" si="2"/>
        <v>2343.706904</v>
      </c>
      <c r="J80" s="81"/>
      <c r="K80" s="60">
        <f>IFERROR(__xludf.DUMMYFUNCTION("IFERROR(VLOOKUP(C80,IMPORTRANGE(""https://docs.google.com/spreadsheets/d/1HZUHB8NvANAZR0sHDmHYVAm2WE9kNv0pGIQA48Ryim8/edit?gid=1285727875#gid=1285727875"",""Sheet1!A2:G""),7,0))"),435.08)</f>
        <v>435.08</v>
      </c>
      <c r="L80" s="62">
        <f t="shared" si="3"/>
        <v>4.550887193</v>
      </c>
      <c r="M80" s="60">
        <f>IFERROR(__xludf.DUMMYFUNCTION("IFERROR(VLOOKUP(C80,IMPORTRANGE(""https://docs.google.com/spreadsheets/d/1HZUHB8NvANAZR0sHDmHYVAm2WE9kNv0pGIQA48Ryim8/edit?gid=1285727875#gid=1285727875"",""Cost!A2:G""),7,0))"),515.0)</f>
        <v>515</v>
      </c>
      <c r="N80" s="62">
        <f t="shared" si="4"/>
        <v>4.27184466</v>
      </c>
      <c r="O80" s="62"/>
      <c r="P80" s="28"/>
      <c r="Q80" s="28"/>
      <c r="R80" s="28"/>
      <c r="S80" s="28"/>
      <c r="T80" s="28"/>
      <c r="U80" s="65"/>
      <c r="V80" s="92"/>
      <c r="W80" s="65"/>
      <c r="X80" s="66" t="s">
        <v>375</v>
      </c>
      <c r="Y80" s="65" t="str">
        <f t="shared" si="6"/>
        <v>ASPIRE 52DB-ON-OFF</v>
      </c>
    </row>
    <row r="81">
      <c r="A81" s="18" t="s">
        <v>300</v>
      </c>
      <c r="B81" s="91">
        <f t="shared" si="14"/>
        <v>5295</v>
      </c>
      <c r="C81" s="15">
        <v>5295.0</v>
      </c>
      <c r="D81" s="18" t="s">
        <v>265</v>
      </c>
      <c r="E81" s="75">
        <v>1170.0</v>
      </c>
      <c r="F81" s="39">
        <v>1290.0</v>
      </c>
      <c r="G81" s="50">
        <f t="shared" si="1"/>
        <v>0.1025641026</v>
      </c>
      <c r="H81" s="28"/>
      <c r="I81" s="55">
        <f t="shared" si="2"/>
        <v>1291.24953</v>
      </c>
      <c r="J81" s="81"/>
      <c r="K81" s="60">
        <f>IFERROR(__xludf.DUMMYFUNCTION("IFERROR(VLOOKUP(C81,IMPORTRANGE(""https://docs.google.com/spreadsheets/d/1HZUHB8NvANAZR0sHDmHYVAm2WE9kNv0pGIQA48Ryim8/edit?gid=1285727875#gid=1285727875"",""Sheet1!A2:G""),7,0))"),292.67)</f>
        <v>292.67</v>
      </c>
      <c r="L81" s="62">
        <f t="shared" si="3"/>
        <v>3.997676564</v>
      </c>
      <c r="M81" s="60">
        <f>IFERROR(__xludf.DUMMYFUNCTION("IFERROR(VLOOKUP(C81,IMPORTRANGE(""https://docs.google.com/spreadsheets/d/1HZUHB8NvANAZR0sHDmHYVAm2WE9kNv0pGIQA48Ryim8/edit?gid=1285727875#gid=1285727875"",""Cost!A2:G""),7,0))"),323.0)</f>
        <v>323</v>
      </c>
      <c r="N81" s="62">
        <f t="shared" si="4"/>
        <v>3.99380805</v>
      </c>
      <c r="O81" s="62"/>
      <c r="P81" s="28"/>
      <c r="Q81" s="28"/>
      <c r="R81" s="28"/>
      <c r="S81" s="28"/>
      <c r="T81" s="28"/>
      <c r="U81" s="65"/>
      <c r="V81" s="92"/>
      <c r="W81" s="65"/>
      <c r="X81" s="66" t="s">
        <v>264</v>
      </c>
      <c r="Y81" s="65" t="str">
        <f t="shared" si="6"/>
        <v>ASPIRE 5295</v>
      </c>
    </row>
    <row r="82">
      <c r="A82" s="18" t="s">
        <v>300</v>
      </c>
      <c r="B82" s="91">
        <f t="shared" si="14"/>
        <v>5296</v>
      </c>
      <c r="C82" s="15">
        <v>5296.0</v>
      </c>
      <c r="D82" s="18" t="s">
        <v>268</v>
      </c>
      <c r="E82" s="75">
        <v>1930.0</v>
      </c>
      <c r="F82" s="39">
        <v>2160.0</v>
      </c>
      <c r="G82" s="50">
        <f t="shared" si="1"/>
        <v>0.1191709845</v>
      </c>
      <c r="H82" s="28"/>
      <c r="I82" s="55">
        <f t="shared" si="2"/>
        <v>2127.447585</v>
      </c>
      <c r="J82" s="81"/>
      <c r="K82" s="60">
        <f>IFERROR(__xludf.DUMMYFUNCTION("IFERROR(VLOOKUP(C82,IMPORTRANGE(""https://docs.google.com/spreadsheets/d/1HZUHB8NvANAZR0sHDmHYVAm2WE9kNv0pGIQA48Ryim8/edit?gid=1285727875#gid=1285727875"",""Sheet1!A2:G""),7,0))"),490.79)</f>
        <v>490.79</v>
      </c>
      <c r="L82" s="62">
        <f t="shared" si="3"/>
        <v>3.932435461</v>
      </c>
      <c r="M82" s="60">
        <f>IFERROR(__xludf.DUMMYFUNCTION("IFERROR(VLOOKUP(C82,IMPORTRANGE(""https://docs.google.com/spreadsheets/d/1HZUHB8NvANAZR0sHDmHYVAm2WE9kNv0pGIQA48Ryim8/edit?gid=1285727875#gid=1285727875"",""Cost!A2:G""),7,0))"),541.0)</f>
        <v>541</v>
      </c>
      <c r="N82" s="62">
        <f t="shared" si="4"/>
        <v>3.992606285</v>
      </c>
      <c r="O82" s="62"/>
      <c r="P82" s="28"/>
      <c r="Q82" s="28"/>
      <c r="R82" s="28"/>
      <c r="S82" s="28"/>
      <c r="T82" s="28"/>
      <c r="U82" s="65"/>
      <c r="V82" s="92"/>
      <c r="W82" s="65"/>
      <c r="X82" s="66" t="s">
        <v>267</v>
      </c>
      <c r="Y82" s="65" t="str">
        <f t="shared" si="6"/>
        <v>ASPIRE 5296</v>
      </c>
    </row>
    <row r="83">
      <c r="A83" s="18" t="s">
        <v>300</v>
      </c>
      <c r="B83" s="91">
        <f t="shared" si="14"/>
        <v>5298</v>
      </c>
      <c r="C83" s="15">
        <v>5298.0</v>
      </c>
      <c r="D83" s="18" t="s">
        <v>272</v>
      </c>
      <c r="E83" s="75">
        <v>2150.0</v>
      </c>
      <c r="F83" s="39">
        <v>2380.0</v>
      </c>
      <c r="G83" s="50">
        <f t="shared" si="1"/>
        <v>0.1069767442</v>
      </c>
      <c r="H83" s="28"/>
      <c r="I83" s="55">
        <f t="shared" si="2"/>
        <v>2385.273195</v>
      </c>
      <c r="J83" s="81"/>
      <c r="K83" s="60">
        <f>IFERROR(__xludf.DUMMYFUNCTION("IFERROR(VLOOKUP(C83,IMPORTRANGE(""https://docs.google.com/spreadsheets/d/1HZUHB8NvANAZR0sHDmHYVAm2WE9kNv0pGIQA48Ryim8/edit?gid=1285727875#gid=1285727875"",""Sheet1!A2:G""),7,0))"),660.7)</f>
        <v>660.7</v>
      </c>
      <c r="L83" s="62">
        <f t="shared" si="3"/>
        <v>3.254124414</v>
      </c>
      <c r="M83" s="60">
        <f>IFERROR(__xludf.DUMMYFUNCTION("IFERROR(VLOOKUP(C83,IMPORTRANGE(""https://docs.google.com/spreadsheets/d/1HZUHB8NvANAZR0sHDmHYVAm2WE9kNv0pGIQA48Ryim8/edit?gid=1285727875#gid=1285727875"",""Cost!A2:G""),7,0))"),733.0)</f>
        <v>733</v>
      </c>
      <c r="N83" s="62">
        <f t="shared" si="4"/>
        <v>3.246930423</v>
      </c>
      <c r="O83" s="62"/>
      <c r="P83" s="28"/>
      <c r="Q83" s="28"/>
      <c r="R83" s="28"/>
      <c r="S83" s="28"/>
      <c r="T83" s="28"/>
      <c r="U83" s="65"/>
      <c r="X83" s="66" t="s">
        <v>271</v>
      </c>
      <c r="Y83" s="65" t="str">
        <f t="shared" si="6"/>
        <v>ASPIRE 5298</v>
      </c>
    </row>
    <row r="84">
      <c r="A84" s="18" t="s">
        <v>422</v>
      </c>
      <c r="B84" s="91">
        <f t="shared" si="14"/>
        <v>5302</v>
      </c>
      <c r="C84" s="15">
        <v>5302.0</v>
      </c>
      <c r="D84" s="18" t="s">
        <v>15</v>
      </c>
      <c r="E84" s="75">
        <v>1290.0</v>
      </c>
      <c r="F84" s="39">
        <v>1390.0</v>
      </c>
      <c r="G84" s="50">
        <f t="shared" si="1"/>
        <v>0.07751937984</v>
      </c>
      <c r="H84" s="28"/>
      <c r="I84" s="55">
        <f t="shared" si="2"/>
        <v>1412.158224</v>
      </c>
      <c r="J84" s="81"/>
      <c r="K84" s="60">
        <f>IFERROR(__xludf.DUMMYFUNCTION("IFERROR(VLOOKUP(C84,IMPORTRANGE(""https://docs.google.com/spreadsheets/d/1HZUHB8NvANAZR0sHDmHYVAm2WE9kNv0pGIQA48Ryim8/edit?gid=1285727875#gid=1285727875"",""Sheet1!A2:G""),7,0))"),394.63)</f>
        <v>394.63</v>
      </c>
      <c r="L84" s="62">
        <f t="shared" si="3"/>
        <v>3.268884778</v>
      </c>
      <c r="M84" s="60">
        <f>IFERROR(__xludf.DUMMYFUNCTION("IFERROR(VLOOKUP(C84,IMPORTRANGE(""https://docs.google.com/spreadsheets/d/1HZUHB8NvANAZR0sHDmHYVAm2WE9kNv0pGIQA48Ryim8/edit?gid=1285727875#gid=1285727875"",""Cost!A2:G""),7,0))"),432.0)</f>
        <v>432</v>
      </c>
      <c r="N84" s="62">
        <f t="shared" si="4"/>
        <v>3.217592593</v>
      </c>
      <c r="O84" s="62"/>
      <c r="P84" s="28"/>
      <c r="Q84" s="28"/>
      <c r="R84" s="28"/>
      <c r="S84" s="28"/>
      <c r="T84" s="28"/>
      <c r="U84" s="65"/>
      <c r="V84" s="28"/>
      <c r="W84" s="65"/>
      <c r="X84" s="66" t="s">
        <v>303</v>
      </c>
      <c r="Y84" s="65" t="str">
        <f t="shared" si="6"/>
        <v>ORBIT 5302</v>
      </c>
    </row>
    <row r="85">
      <c r="A85" s="18" t="s">
        <v>422</v>
      </c>
      <c r="B85" s="91">
        <f t="shared" si="14"/>
        <v>5306</v>
      </c>
      <c r="C85" s="15">
        <v>5306.0</v>
      </c>
      <c r="D85" s="18" t="s">
        <v>67</v>
      </c>
      <c r="E85" s="39">
        <v>1040.0</v>
      </c>
      <c r="F85" s="39">
        <v>1140.0</v>
      </c>
      <c r="G85" s="50">
        <f t="shared" si="1"/>
        <v>0.09615384615</v>
      </c>
      <c r="H85" s="28"/>
      <c r="I85" s="55">
        <f t="shared" si="2"/>
        <v>1132.897603</v>
      </c>
      <c r="J85" s="81"/>
      <c r="K85" s="60">
        <f>IFERROR(__xludf.DUMMYFUNCTION("IFERROR(VLOOKUP(C85,IMPORTRANGE(""https://docs.google.com/spreadsheets/d/1HZUHB8NvANAZR0sHDmHYVAm2WE9kNv0pGIQA48Ryim8/edit?gid=1285727875#gid=1285727875"",""Sheet1!A2:G""),7,0))"),302.94)</f>
        <v>302.94</v>
      </c>
      <c r="L85" s="62">
        <f t="shared" si="3"/>
        <v>3.433023041</v>
      </c>
      <c r="M85" s="60">
        <f>IFERROR(__xludf.DUMMYFUNCTION("IFERROR(VLOOKUP(C85,IMPORTRANGE(""https://docs.google.com/spreadsheets/d/1HZUHB8NvANAZR0sHDmHYVAm2WE9kNv0pGIQA48Ryim8/edit?gid=1285727875#gid=1285727875"",""Cost!A2:G""),7,0))"),330.0)</f>
        <v>330</v>
      </c>
      <c r="N85" s="62">
        <f t="shared" si="4"/>
        <v>3.454545455</v>
      </c>
      <c r="O85" s="62"/>
      <c r="P85" s="28"/>
      <c r="Q85" s="28"/>
      <c r="R85" s="28"/>
      <c r="S85" s="28"/>
      <c r="T85" s="28"/>
      <c r="U85" s="65"/>
      <c r="V85" s="28"/>
      <c r="W85" s="65"/>
      <c r="X85" s="66" t="s">
        <v>311</v>
      </c>
      <c r="Y85" s="65" t="str">
        <f t="shared" si="6"/>
        <v>ORBIT 5306</v>
      </c>
    </row>
    <row r="86">
      <c r="A86" s="18" t="s">
        <v>422</v>
      </c>
      <c r="B86" s="91">
        <f t="shared" si="14"/>
        <v>5307</v>
      </c>
      <c r="C86" s="15">
        <v>5307.0</v>
      </c>
      <c r="D86" s="18" t="s">
        <v>71</v>
      </c>
      <c r="E86" s="75">
        <f t="shared" ref="E86:F86" si="16">SUM(E87:E88)</f>
        <v>2680</v>
      </c>
      <c r="F86" s="75">
        <f t="shared" si="16"/>
        <v>2840</v>
      </c>
      <c r="G86" s="50">
        <f t="shared" si="1"/>
        <v>0.05970149254</v>
      </c>
      <c r="H86" s="28"/>
      <c r="I86" s="55">
        <f t="shared" si="2"/>
        <v>2890.16012</v>
      </c>
      <c r="J86" s="81"/>
      <c r="K86" s="60">
        <f>IFERROR(__xludf.DUMMYFUNCTION("IFERROR(VLOOKUP(C86,IMPORTRANGE(""https://docs.google.com/spreadsheets/d/1HZUHB8NvANAZR0sHDmHYVAm2WE9kNv0pGIQA48Ryim8/edit?gid=1285727875#gid=1285727875"",""Sheet1!A2:G""),7,0))"),730.7)</f>
        <v>730.7</v>
      </c>
      <c r="L86" s="62">
        <f t="shared" si="3"/>
        <v>3.667715889</v>
      </c>
      <c r="M86" s="60">
        <f>IFERROR(__xludf.DUMMYFUNCTION("IFERROR(VLOOKUP(C86,IMPORTRANGE(""https://docs.google.com/spreadsheets/d/1HZUHB8NvANAZR0sHDmHYVAm2WE9kNv0pGIQA48Ryim8/edit?gid=1285727875#gid=1285727875"",""Cost!A2:G""),7,0))"),788.0)</f>
        <v>788</v>
      </c>
      <c r="N86" s="62">
        <f t="shared" si="4"/>
        <v>3.604060914</v>
      </c>
      <c r="O86" s="62"/>
      <c r="P86" s="28"/>
      <c r="Q86" s="28"/>
      <c r="R86" s="28"/>
      <c r="S86" s="28"/>
      <c r="T86" s="28"/>
      <c r="U86" s="65"/>
      <c r="V86" s="28"/>
      <c r="W86" s="65"/>
      <c r="X86" s="66" t="s">
        <v>315</v>
      </c>
      <c r="Y86" s="65" t="str">
        <f t="shared" si="6"/>
        <v>ORBIT 5307</v>
      </c>
    </row>
    <row r="87">
      <c r="A87" s="18" t="s">
        <v>422</v>
      </c>
      <c r="B87" s="91" t="str">
        <f t="shared" si="14"/>
        <v>CP-07</v>
      </c>
      <c r="C87" s="15" t="s">
        <v>73</v>
      </c>
      <c r="D87" s="18" t="s">
        <v>74</v>
      </c>
      <c r="E87" s="93">
        <v>1390.0</v>
      </c>
      <c r="F87" s="39">
        <v>1490.0</v>
      </c>
      <c r="G87" s="50">
        <f t="shared" si="1"/>
        <v>0.07194244604</v>
      </c>
      <c r="H87" s="28"/>
      <c r="I87" s="55">
        <f t="shared" si="2"/>
        <v>1515.459624</v>
      </c>
      <c r="J87" s="81"/>
      <c r="K87" s="60">
        <f>IFERROR(__xludf.DUMMYFUNCTION("IFERROR(VLOOKUP(C87,IMPORTRANGE(""https://docs.google.com/spreadsheets/d/1HZUHB8NvANAZR0sHDmHYVAm2WE9kNv0pGIQA48Ryim8/edit?gid=1285727875#gid=1285727875"",""Sheet1!A2:G""),7,0))"),408.16)</f>
        <v>408.16</v>
      </c>
      <c r="L87" s="62">
        <f t="shared" si="3"/>
        <v>3.405527244</v>
      </c>
      <c r="M87" s="60">
        <f>IFERROR(__xludf.DUMMYFUNCTION("IFERROR(VLOOKUP(C87,IMPORTRANGE(""https://docs.google.com/spreadsheets/d/1HZUHB8NvANAZR0sHDmHYVAm2WE9kNv0pGIQA48Ryim8/edit?gid=1285727875#gid=1285727875"",""Cost!A2:G""),7,0))"),445.0)</f>
        <v>445</v>
      </c>
      <c r="N87" s="62">
        <f t="shared" si="4"/>
        <v>3.348314607</v>
      </c>
      <c r="O87" s="62"/>
      <c r="P87" s="28"/>
      <c r="Q87" s="28"/>
      <c r="R87" s="28"/>
      <c r="S87" s="28"/>
      <c r="T87" s="28"/>
      <c r="U87" s="65"/>
      <c r="V87" s="28"/>
      <c r="W87" s="65"/>
      <c r="X87" s="66" t="s">
        <v>73</v>
      </c>
      <c r="Y87" s="65" t="str">
        <f t="shared" si="6"/>
        <v>ORBIT 53CP-07</v>
      </c>
    </row>
    <row r="88">
      <c r="A88" s="18" t="s">
        <v>422</v>
      </c>
      <c r="B88" s="91" t="str">
        <f t="shared" si="14"/>
        <v>CP-53</v>
      </c>
      <c r="C88" s="15" t="s">
        <v>429</v>
      </c>
      <c r="D88" s="18" t="s">
        <v>78</v>
      </c>
      <c r="E88" s="93">
        <v>1290.0</v>
      </c>
      <c r="F88" s="39">
        <v>1350.0</v>
      </c>
      <c r="G88" s="50">
        <f t="shared" si="1"/>
        <v>0.04651162791</v>
      </c>
      <c r="H88" s="28"/>
      <c r="I88" s="55">
        <f t="shared" si="2"/>
        <v>1292.549194</v>
      </c>
      <c r="J88" s="81"/>
      <c r="K88" s="60">
        <f>IFERROR(__xludf.DUMMYFUNCTION("IFERROR(VLOOKUP(C88,IMPORTRANGE(""https://docs.google.com/spreadsheets/d/1HZUHB8NvANAZR0sHDmHYVAm2WE9kNv0pGIQA48Ryim8/edit?gid=1285727875#gid=1285727875"",""Sheet1!A2:G""),7,0))"),359.29)</f>
        <v>359.29</v>
      </c>
      <c r="L88" s="62">
        <f t="shared" si="3"/>
        <v>3.590414428</v>
      </c>
      <c r="M88" s="60">
        <f>IFERROR(__xludf.DUMMYFUNCTION("IFERROR(VLOOKUP(C88,IMPORTRANGE(""https://docs.google.com/spreadsheets/d/1HZUHB8NvANAZR0sHDmHYVAm2WE9kNv0pGIQA48Ryim8/edit?gid=1285727875#gid=1285727875"",""Cost!A2:G""),7,0))"),360.0)</f>
        <v>360</v>
      </c>
      <c r="N88" s="62">
        <f t="shared" si="4"/>
        <v>3.75</v>
      </c>
      <c r="O88" s="62"/>
      <c r="P88" s="28"/>
      <c r="Q88" s="28"/>
      <c r="R88" s="28"/>
      <c r="S88" s="28"/>
      <c r="T88" s="28"/>
      <c r="U88" s="65"/>
      <c r="V88" s="28"/>
      <c r="W88" s="65"/>
      <c r="X88" s="66" t="s">
        <v>77</v>
      </c>
      <c r="Y88" s="65" t="str">
        <f t="shared" si="6"/>
        <v>ORBIT 53CP</v>
      </c>
    </row>
    <row r="89">
      <c r="A89" s="18" t="s">
        <v>422</v>
      </c>
      <c r="B89" s="91">
        <f t="shared" si="14"/>
        <v>5308</v>
      </c>
      <c r="C89" s="15">
        <v>5308.0</v>
      </c>
      <c r="D89" s="18" t="s">
        <v>81</v>
      </c>
      <c r="E89" s="75">
        <v>1290.0</v>
      </c>
      <c r="F89" s="39">
        <v>1350.0</v>
      </c>
      <c r="G89" s="50">
        <f t="shared" si="1"/>
        <v>0.04651162791</v>
      </c>
      <c r="H89" s="28"/>
      <c r="I89" s="55">
        <f t="shared" si="2"/>
        <v>1407.259331</v>
      </c>
      <c r="J89" s="81"/>
      <c r="K89" s="60">
        <f>IFERROR(__xludf.DUMMYFUNCTION("IFERROR(VLOOKUP(C89,IMPORTRANGE(""https://docs.google.com/spreadsheets/d/1HZUHB8NvANAZR0sHDmHYVAm2WE9kNv0pGIQA48Ryim8/edit?gid=1285727875#gid=1285727875"",""Sheet1!A2:G""),7,0))"),350.17)</f>
        <v>350.17</v>
      </c>
      <c r="L89" s="62">
        <f t="shared" si="3"/>
        <v>3.683924951</v>
      </c>
      <c r="M89" s="60">
        <f>IFERROR(__xludf.DUMMYFUNCTION("IFERROR(VLOOKUP(C89,IMPORTRANGE(""https://docs.google.com/spreadsheets/d/1HZUHB8NvANAZR0sHDmHYVAm2WE9kNv0pGIQA48Ryim8/edit?gid=1285727875#gid=1285727875"",""Cost!A2:G""),7,0))"),382.0)</f>
        <v>382</v>
      </c>
      <c r="N89" s="62">
        <f t="shared" si="4"/>
        <v>3.534031414</v>
      </c>
      <c r="O89" s="62"/>
      <c r="P89" s="28"/>
      <c r="Q89" s="28"/>
      <c r="R89" s="28"/>
      <c r="S89" s="28"/>
      <c r="T89" s="28"/>
      <c r="U89" s="65"/>
      <c r="V89" s="28"/>
      <c r="W89" s="65"/>
      <c r="X89" s="66" t="s">
        <v>321</v>
      </c>
      <c r="Y89" s="65" t="str">
        <f t="shared" si="6"/>
        <v>ORBIT 5308</v>
      </c>
    </row>
    <row r="90">
      <c r="A90" s="18" t="s">
        <v>422</v>
      </c>
      <c r="B90" s="91">
        <f t="shared" si="14"/>
        <v>5310</v>
      </c>
      <c r="C90" s="15">
        <v>5310.0</v>
      </c>
      <c r="D90" s="18" t="s">
        <v>89</v>
      </c>
      <c r="E90" s="39">
        <v>790.0</v>
      </c>
      <c r="F90" s="39">
        <v>860.0</v>
      </c>
      <c r="G90" s="50">
        <f t="shared" si="1"/>
        <v>0.08860759494</v>
      </c>
      <c r="H90" s="28"/>
      <c r="I90" s="55">
        <f t="shared" si="2"/>
        <v>860.903096</v>
      </c>
      <c r="J90" s="81"/>
      <c r="K90" s="60">
        <f>IFERROR(__xludf.DUMMYFUNCTION("IFERROR(VLOOKUP(C90,IMPORTRANGE(""https://docs.google.com/spreadsheets/d/1HZUHB8NvANAZR0sHDmHYVAm2WE9kNv0pGIQA48Ryim8/edit?gid=1285727875#gid=1285727875"",""Sheet1!A2:G""),7,0))"),178.94)</f>
        <v>178.94</v>
      </c>
      <c r="L90" s="62">
        <f t="shared" si="3"/>
        <v>4.414887672</v>
      </c>
      <c r="M90" s="60">
        <f>IFERROR(__xludf.DUMMYFUNCTION("IFERROR(VLOOKUP(C90,IMPORTRANGE(""https://docs.google.com/spreadsheets/d/1HZUHB8NvANAZR0sHDmHYVAm2WE9kNv0pGIQA48Ryim8/edit?gid=1285727875#gid=1285727875"",""Cost!A2:G""),7,0))"),195.0)</f>
        <v>195</v>
      </c>
      <c r="N90" s="62">
        <f t="shared" si="4"/>
        <v>4.41025641</v>
      </c>
      <c r="O90" s="62"/>
      <c r="P90" s="28"/>
      <c r="Q90" s="28"/>
      <c r="R90" s="28"/>
      <c r="S90" s="28"/>
      <c r="T90" s="28"/>
      <c r="U90" s="65"/>
      <c r="V90" s="28"/>
      <c r="W90" s="65"/>
      <c r="X90" s="66" t="s">
        <v>87</v>
      </c>
      <c r="Y90" s="65" t="str">
        <f t="shared" si="6"/>
        <v>ORBIT 5310</v>
      </c>
    </row>
    <row r="91">
      <c r="A91" s="18" t="s">
        <v>422</v>
      </c>
      <c r="B91" s="91">
        <f t="shared" si="14"/>
        <v>5311</v>
      </c>
      <c r="C91" s="15">
        <v>5311.0</v>
      </c>
      <c r="D91" s="18" t="s">
        <v>94</v>
      </c>
      <c r="E91" s="39">
        <v>1540.0</v>
      </c>
      <c r="F91" s="39">
        <v>1690.0</v>
      </c>
      <c r="G91" s="50">
        <f t="shared" si="1"/>
        <v>0.0974025974</v>
      </c>
      <c r="H91" s="28"/>
      <c r="I91" s="55">
        <f t="shared" si="2"/>
        <v>1712.423313</v>
      </c>
      <c r="J91" s="81"/>
      <c r="K91" s="60">
        <f>IFERROR(__xludf.DUMMYFUNCTION("IFERROR(VLOOKUP(C91,IMPORTRANGE(""https://docs.google.com/spreadsheets/d/1HZUHB8NvANAZR0sHDmHYVAm2WE9kNv0pGIQA48Ryim8/edit?gid=1285727875#gid=1285727875"",""Sheet1!A2:G""),7,0))"),443.36)</f>
        <v>443.36</v>
      </c>
      <c r="L91" s="62">
        <f t="shared" si="3"/>
        <v>3.47347528</v>
      </c>
      <c r="M91" s="60">
        <f>IFERROR(__xludf.DUMMYFUNCTION("IFERROR(VLOOKUP(C91,IMPORTRANGE(""https://docs.google.com/spreadsheets/d/1HZUHB8NvANAZR0sHDmHYVAm2WE9kNv0pGIQA48Ryim8/edit?gid=1285727875#gid=1285727875"",""Cost!A2:G""),7,0))"),493.0)</f>
        <v>493</v>
      </c>
      <c r="N91" s="62">
        <f t="shared" si="4"/>
        <v>3.427991886</v>
      </c>
      <c r="O91" s="62"/>
      <c r="P91" s="28"/>
      <c r="Q91" s="28"/>
      <c r="R91" s="28"/>
      <c r="S91" s="28"/>
      <c r="T91" s="28"/>
      <c r="U91" s="65"/>
      <c r="V91" s="28"/>
      <c r="W91" s="65"/>
      <c r="X91" s="66" t="s">
        <v>91</v>
      </c>
      <c r="Y91" s="65" t="str">
        <f t="shared" si="6"/>
        <v>ORBIT 5311</v>
      </c>
    </row>
    <row r="92">
      <c r="A92" s="18" t="s">
        <v>422</v>
      </c>
      <c r="B92" s="91">
        <f t="shared" si="14"/>
        <v>5312</v>
      </c>
      <c r="C92" s="15">
        <v>5312.0</v>
      </c>
      <c r="D92" s="18" t="s">
        <v>97</v>
      </c>
      <c r="E92" s="39">
        <v>1690.0</v>
      </c>
      <c r="F92" s="39">
        <v>1880.0</v>
      </c>
      <c r="G92" s="50">
        <f t="shared" si="1"/>
        <v>0.1124260355</v>
      </c>
      <c r="H92" s="28"/>
      <c r="I92" s="55">
        <f t="shared" si="2"/>
        <v>1880.957297</v>
      </c>
      <c r="J92" s="81"/>
      <c r="K92" s="60">
        <f>IFERROR(__xludf.DUMMYFUNCTION("IFERROR(VLOOKUP(C92,IMPORTRANGE(""https://docs.google.com/spreadsheets/d/1HZUHB8NvANAZR0sHDmHYVAm2WE9kNv0pGIQA48Ryim8/edit?gid=1285727875#gid=1285727875"",""Sheet1!A2:G""),7,0))"),484.28)</f>
        <v>484.28</v>
      </c>
      <c r="L92" s="62">
        <f t="shared" si="3"/>
        <v>3.489716693</v>
      </c>
      <c r="M92" s="60">
        <f>IFERROR(__xludf.DUMMYFUNCTION("IFERROR(VLOOKUP(C92,IMPORTRANGE(""https://docs.google.com/spreadsheets/d/1HZUHB8NvANAZR0sHDmHYVAm2WE9kNv0pGIQA48Ryim8/edit?gid=1285727875#gid=1285727875"",""Cost!A2:G""),7,0))"),539.0)</f>
        <v>539</v>
      </c>
      <c r="N92" s="62">
        <f t="shared" si="4"/>
        <v>3.487940631</v>
      </c>
      <c r="O92" s="62"/>
      <c r="P92" s="28"/>
      <c r="Q92" s="28"/>
      <c r="R92" s="28"/>
      <c r="S92" s="28"/>
      <c r="T92" s="28"/>
      <c r="U92" s="65"/>
      <c r="V92" s="28"/>
      <c r="W92" s="65"/>
      <c r="X92" s="66" t="s">
        <v>95</v>
      </c>
      <c r="Y92" s="65" t="str">
        <f t="shared" si="6"/>
        <v>ORBIT 5312</v>
      </c>
    </row>
    <row r="93">
      <c r="A93" s="18" t="s">
        <v>422</v>
      </c>
      <c r="B93" s="91">
        <f t="shared" si="14"/>
        <v>5314</v>
      </c>
      <c r="C93" s="15">
        <v>5314.0</v>
      </c>
      <c r="D93" s="18" t="s">
        <v>106</v>
      </c>
      <c r="E93" s="39">
        <v>1880.0</v>
      </c>
      <c r="F93" s="39">
        <v>1990.0</v>
      </c>
      <c r="G93" s="50">
        <f t="shared" si="1"/>
        <v>0.0585106383</v>
      </c>
      <c r="H93" s="28"/>
      <c r="I93" s="55">
        <f t="shared" si="2"/>
        <v>2062.759775</v>
      </c>
      <c r="J93" s="81"/>
      <c r="K93" s="60">
        <f>IFERROR(__xludf.DUMMYFUNCTION("IFERROR(VLOOKUP(C93,IMPORTRANGE(""https://docs.google.com/spreadsheets/d/1HZUHB8NvANAZR0sHDmHYVAm2WE9kNv0pGIQA48Ryim8/edit?gid=1285727875#gid=1285727875"",""Sheet1!A2:G""),7,0))"),507.65)</f>
        <v>507.65</v>
      </c>
      <c r="L93" s="62">
        <f t="shared" si="3"/>
        <v>3.703338915</v>
      </c>
      <c r="M93" s="60">
        <f>IFERROR(__xludf.DUMMYFUNCTION("IFERROR(VLOOKUP(C93,IMPORTRANGE(""https://docs.google.com/spreadsheets/d/1HZUHB8NvANAZR0sHDmHYVAm2WE9kNv0pGIQA48Ryim8/edit?gid=1285727875#gid=1285727875"",""Cost!A2:G""),7,0))"),557.0)</f>
        <v>557</v>
      </c>
      <c r="N93" s="62">
        <f t="shared" si="4"/>
        <v>3.572710952</v>
      </c>
      <c r="O93" s="62"/>
      <c r="P93" s="28"/>
      <c r="Q93" s="28"/>
      <c r="R93" s="28"/>
      <c r="S93" s="28"/>
      <c r="T93" s="28"/>
      <c r="U93" s="65"/>
      <c r="V93" s="28"/>
      <c r="W93" s="65"/>
      <c r="X93" s="66" t="s">
        <v>104</v>
      </c>
      <c r="Y93" s="65" t="str">
        <f t="shared" si="6"/>
        <v>ORBIT 5314</v>
      </c>
    </row>
    <row r="94">
      <c r="A94" s="18" t="s">
        <v>422</v>
      </c>
      <c r="B94" s="91">
        <f t="shared" si="14"/>
        <v>5316</v>
      </c>
      <c r="C94" s="15">
        <v>5316.0</v>
      </c>
      <c r="D94" s="18" t="s">
        <v>112</v>
      </c>
      <c r="E94" s="39">
        <v>1690.0</v>
      </c>
      <c r="F94" s="39">
        <v>1790.0</v>
      </c>
      <c r="G94" s="50">
        <f t="shared" si="1"/>
        <v>0.05917159763</v>
      </c>
      <c r="H94" s="28"/>
      <c r="I94" s="55">
        <f t="shared" si="2"/>
        <v>1873.492012</v>
      </c>
      <c r="J94" s="81"/>
      <c r="K94" s="60">
        <f>IFERROR(__xludf.DUMMYFUNCTION("IFERROR(VLOOKUP(C94,IMPORTRANGE(""https://docs.google.com/spreadsheets/d/1HZUHB8NvANAZR0sHDmHYVAm2WE9kNv0pGIQA48Ryim8/edit?gid=1285727875#gid=1285727875"",""Sheet1!A2:G""),7,0))"),429.38)</f>
        <v>429.38</v>
      </c>
      <c r="L94" s="62">
        <f t="shared" si="3"/>
        <v>3.935907588</v>
      </c>
      <c r="M94" s="60">
        <f>IFERROR(__xludf.DUMMYFUNCTION("IFERROR(VLOOKUP(C94,IMPORTRANGE(""https://docs.google.com/spreadsheets/d/1HZUHB8NvANAZR0sHDmHYVAm2WE9kNv0pGIQA48Ryim8/edit?gid=1285727875#gid=1285727875"",""Cost!A2:G""),7,0))"),476.0)</f>
        <v>476</v>
      </c>
      <c r="N94" s="62">
        <f t="shared" si="4"/>
        <v>3.760504202</v>
      </c>
      <c r="O94" s="62"/>
      <c r="P94" s="28"/>
      <c r="Q94" s="28"/>
      <c r="R94" s="28"/>
      <c r="S94" s="28"/>
      <c r="T94" s="28"/>
      <c r="U94" s="65"/>
      <c r="V94" s="28"/>
      <c r="W94" s="65"/>
      <c r="X94" s="66" t="s">
        <v>110</v>
      </c>
      <c r="Y94" s="65" t="str">
        <f t="shared" si="6"/>
        <v>ORBIT 5316</v>
      </c>
    </row>
    <row r="95">
      <c r="A95" s="18" t="s">
        <v>422</v>
      </c>
      <c r="B95" s="91"/>
      <c r="C95" s="15">
        <v>5317.0</v>
      </c>
      <c r="D95" s="18" t="s">
        <v>112</v>
      </c>
      <c r="E95" s="39">
        <v>1840.0</v>
      </c>
      <c r="F95" s="39">
        <v>1990.0</v>
      </c>
      <c r="G95" s="50">
        <f t="shared" si="1"/>
        <v>0.08152173913</v>
      </c>
      <c r="H95" s="28"/>
      <c r="I95" s="55">
        <f t="shared" si="2"/>
        <v>0</v>
      </c>
      <c r="J95" s="81"/>
      <c r="K95" s="60" t="str">
        <f>IFERROR(__xludf.DUMMYFUNCTION("IFERROR(VLOOKUP(C95,IMPORTRANGE(""https://docs.google.com/spreadsheets/d/1HZUHB8NvANAZR0sHDmHYVAm2WE9kNv0pGIQA48Ryim8/edit?gid=1285727875#gid=1285727875"",""Sheet1!A2:G""),7,0))"),"")</f>
        <v/>
      </c>
      <c r="L95" s="62" t="str">
        <f t="shared" si="3"/>
        <v/>
      </c>
      <c r="M95" s="60">
        <f>IFERROR(__xludf.DUMMYFUNCTION("IFERROR(VLOOKUP(C95,IMPORTRANGE(""https://docs.google.com/spreadsheets/d/1HZUHB8NvANAZR0sHDmHYVAm2WE9kNv0pGIQA48Ryim8/edit?gid=1285727875#gid=1285727875"",""Cost!A2:G""),7,0))"),508.0)</f>
        <v>508</v>
      </c>
      <c r="N95" s="62">
        <f t="shared" si="4"/>
        <v>3.917322835</v>
      </c>
      <c r="O95" s="62"/>
      <c r="P95" s="28"/>
      <c r="Q95" s="28"/>
      <c r="R95" s="28"/>
      <c r="S95" s="28"/>
      <c r="T95" s="28"/>
      <c r="U95" s="65"/>
      <c r="V95" s="28"/>
      <c r="W95" s="65"/>
      <c r="X95" s="66" t="s">
        <v>114</v>
      </c>
      <c r="Y95" s="65" t="str">
        <f t="shared" si="6"/>
        <v>ORBIT 5317</v>
      </c>
    </row>
    <row r="96">
      <c r="A96" s="18" t="s">
        <v>422</v>
      </c>
      <c r="B96" s="91">
        <f t="shared" ref="B96:B116" si="17">C96</f>
        <v>5318</v>
      </c>
      <c r="C96" s="15">
        <v>5318.0</v>
      </c>
      <c r="D96" s="18" t="s">
        <v>119</v>
      </c>
      <c r="E96" s="39">
        <v>1250.0</v>
      </c>
      <c r="F96" s="39">
        <v>1390.0</v>
      </c>
      <c r="G96" s="50">
        <f t="shared" si="1"/>
        <v>0.112</v>
      </c>
      <c r="H96" s="28"/>
      <c r="I96" s="55">
        <f t="shared" si="2"/>
        <v>1404.575731</v>
      </c>
      <c r="J96" s="81"/>
      <c r="K96" s="60">
        <f>IFERROR(__xludf.DUMMYFUNCTION("IFERROR(VLOOKUP(C96,IMPORTRANGE(""https://docs.google.com/spreadsheets/d/1HZUHB8NvANAZR0sHDmHYVAm2WE9kNv0pGIQA48Ryim8/edit?gid=1285727875#gid=1285727875"",""Sheet1!A2:G""),7,0))"),345.3)</f>
        <v>345.3</v>
      </c>
      <c r="L96" s="62">
        <f t="shared" si="3"/>
        <v>3.620040544</v>
      </c>
      <c r="M96" s="60">
        <f>IFERROR(__xludf.DUMMYFUNCTION("IFERROR(VLOOKUP(C96,IMPORTRANGE(""https://docs.google.com/spreadsheets/d/1HZUHB8NvANAZR0sHDmHYVAm2WE9kNv0pGIQA48Ryim8/edit?gid=1285727875#gid=1285727875"",""Cost!A2:G""),7,0))"),388.0)</f>
        <v>388</v>
      </c>
      <c r="N96" s="62">
        <f t="shared" si="4"/>
        <v>3.582474227</v>
      </c>
      <c r="O96" s="62"/>
      <c r="P96" s="28"/>
      <c r="Q96" s="28"/>
      <c r="R96" s="28"/>
      <c r="S96" s="28"/>
      <c r="T96" s="28"/>
      <c r="U96" s="65"/>
      <c r="V96" s="28"/>
      <c r="W96" s="65"/>
      <c r="X96" s="66" t="s">
        <v>117</v>
      </c>
      <c r="Y96" s="65" t="str">
        <f t="shared" si="6"/>
        <v>ORBIT 5318</v>
      </c>
    </row>
    <row r="97">
      <c r="A97" s="18" t="s">
        <v>422</v>
      </c>
      <c r="B97" s="91">
        <f t="shared" si="17"/>
        <v>5320</v>
      </c>
      <c r="C97" s="15">
        <v>5320.0</v>
      </c>
      <c r="D97" s="18" t="s">
        <v>122</v>
      </c>
      <c r="E97" s="39">
        <v>1290.0</v>
      </c>
      <c r="F97" s="39">
        <v>1430.0</v>
      </c>
      <c r="G97" s="50">
        <f t="shared" si="1"/>
        <v>0.1085271318</v>
      </c>
      <c r="H97" s="28"/>
      <c r="I97" s="55">
        <f t="shared" si="2"/>
        <v>1448.502372</v>
      </c>
      <c r="J97" s="81"/>
      <c r="K97" s="60">
        <f>IFERROR(__xludf.DUMMYFUNCTION("IFERROR(VLOOKUP(C97,IMPORTRANGE(""https://docs.google.com/spreadsheets/d/1HZUHB8NvANAZR0sHDmHYVAm2WE9kNv0pGIQA48Ryim8/edit?gid=1285727875#gid=1285727875"",""Sheet1!A2:G""),7,0))"),356.23)</f>
        <v>356.23</v>
      </c>
      <c r="L97" s="62">
        <f t="shared" si="3"/>
        <v>3.62125593</v>
      </c>
      <c r="M97" s="60">
        <f>IFERROR(__xludf.DUMMYFUNCTION("IFERROR(VLOOKUP(C97,IMPORTRANGE(""https://docs.google.com/spreadsheets/d/1HZUHB8NvANAZR0sHDmHYVAm2WE9kNv0pGIQA48Ryim8/edit?gid=1285727875#gid=1285727875"",""Cost!A2:G""),7,0))"),400.0)</f>
        <v>400</v>
      </c>
      <c r="N97" s="62">
        <f t="shared" si="4"/>
        <v>3.575</v>
      </c>
      <c r="O97" s="62"/>
      <c r="P97" s="28"/>
      <c r="Q97" s="28"/>
      <c r="R97" s="28"/>
      <c r="S97" s="28"/>
      <c r="T97" s="28"/>
      <c r="U97" s="65"/>
      <c r="V97" s="28"/>
      <c r="W97" s="65"/>
      <c r="X97" s="66" t="s">
        <v>120</v>
      </c>
      <c r="Y97" s="65" t="str">
        <f t="shared" si="6"/>
        <v>ORBIT 5320</v>
      </c>
    </row>
    <row r="98">
      <c r="A98" s="18" t="s">
        <v>422</v>
      </c>
      <c r="B98" s="91">
        <f t="shared" si="17"/>
        <v>5350</v>
      </c>
      <c r="C98" s="15">
        <v>5350.0</v>
      </c>
      <c r="D98" s="18" t="s">
        <v>136</v>
      </c>
      <c r="E98" s="39">
        <v>2960.0</v>
      </c>
      <c r="F98" s="39">
        <v>3260.0</v>
      </c>
      <c r="G98" s="50">
        <f t="shared" si="1"/>
        <v>0.1013513514</v>
      </c>
      <c r="H98" s="28"/>
      <c r="I98" s="55">
        <f t="shared" si="2"/>
        <v>3266.212549</v>
      </c>
      <c r="J98" s="81"/>
      <c r="K98" s="60">
        <f>IFERROR(__xludf.DUMMYFUNCTION("IFERROR(VLOOKUP(C98,IMPORTRANGE(""https://docs.google.com/spreadsheets/d/1HZUHB8NvANAZR0sHDmHYVAm2WE9kNv0pGIQA48Ryim8/edit?gid=1285727875#gid=1285727875"",""Sheet1!A2:G""),7,0))"),722.28)</f>
        <v>722.28</v>
      </c>
      <c r="L98" s="62">
        <f t="shared" si="3"/>
        <v>4.098133688</v>
      </c>
      <c r="M98" s="60">
        <f>IFERROR(__xludf.DUMMYFUNCTION("IFERROR(VLOOKUP(C98,IMPORTRANGE(""https://docs.google.com/spreadsheets/d/1HZUHB8NvANAZR0sHDmHYVAm2WE9kNv0pGIQA48Ryim8/edit?gid=1285727875#gid=1285727875"",""Cost!A2:G""),7,0))"),797.0)</f>
        <v>797</v>
      </c>
      <c r="N98" s="62">
        <f t="shared" si="4"/>
        <v>4.09033877</v>
      </c>
      <c r="O98" s="62"/>
      <c r="P98" s="28"/>
      <c r="Q98" s="28"/>
      <c r="R98" s="28"/>
      <c r="S98" s="28"/>
      <c r="T98" s="28"/>
      <c r="U98" s="65"/>
      <c r="V98" s="28"/>
      <c r="W98" s="65"/>
      <c r="X98" s="66" t="s">
        <v>134</v>
      </c>
      <c r="Y98" s="65" t="str">
        <f t="shared" si="6"/>
        <v>ORBIT 5350</v>
      </c>
    </row>
    <row r="99">
      <c r="A99" s="18" t="s">
        <v>422</v>
      </c>
      <c r="B99" s="91">
        <f t="shared" si="17"/>
        <v>5351</v>
      </c>
      <c r="C99" s="15">
        <v>5351.0</v>
      </c>
      <c r="D99" s="18" t="s">
        <v>141</v>
      </c>
      <c r="E99" s="75">
        <v>3870.0</v>
      </c>
      <c r="F99" s="39">
        <v>4280.0</v>
      </c>
      <c r="G99" s="50">
        <f t="shared" si="1"/>
        <v>0.1059431525</v>
      </c>
      <c r="H99" s="28"/>
      <c r="I99" s="55">
        <f t="shared" si="2"/>
        <v>4315.735909</v>
      </c>
      <c r="J99" s="81"/>
      <c r="K99" s="60">
        <f>IFERROR(__xludf.DUMMYFUNCTION("IFERROR(VLOOKUP(C99,IMPORTRANGE(""https://docs.google.com/spreadsheets/d/1HZUHB8NvANAZR0sHDmHYVAm2WE9kNv0pGIQA48Ryim8/edit?gid=1285727875#gid=1285727875"",""Sheet1!A2:G""),7,0))"),923.62)</f>
        <v>923.62</v>
      </c>
      <c r="L99" s="62">
        <f t="shared" si="3"/>
        <v>4.190034863</v>
      </c>
      <c r="M99" s="60">
        <f>IFERROR(__xludf.DUMMYFUNCTION("IFERROR(VLOOKUP(C99,IMPORTRANGE(""https://docs.google.com/spreadsheets/d/1HZUHB8NvANAZR0sHDmHYVAm2WE9kNv0pGIQA48Ryim8/edit?gid=1285727875#gid=1285727875"",""Cost!A2:G""),7,0))"),1030.0)</f>
        <v>1030</v>
      </c>
      <c r="N99" s="62">
        <f t="shared" si="4"/>
        <v>4.155339806</v>
      </c>
      <c r="O99" s="62"/>
      <c r="P99" s="28"/>
      <c r="Q99" s="28"/>
      <c r="R99" s="28"/>
      <c r="S99" s="28"/>
      <c r="T99" s="28"/>
      <c r="U99" s="65"/>
      <c r="V99" s="28"/>
      <c r="W99" s="65"/>
      <c r="X99" s="66" t="s">
        <v>139</v>
      </c>
      <c r="Y99" s="65" t="str">
        <f t="shared" si="6"/>
        <v>ORBIT 5351</v>
      </c>
    </row>
    <row r="100">
      <c r="A100" s="18" t="s">
        <v>422</v>
      </c>
      <c r="B100" s="91" t="str">
        <f t="shared" si="17"/>
        <v>5354-S</v>
      </c>
      <c r="C100" s="15" t="s">
        <v>448</v>
      </c>
      <c r="D100" s="18" t="s">
        <v>152</v>
      </c>
      <c r="E100" s="75">
        <f t="shared" ref="E100:F100" si="18">SUM(E101:E102)</f>
        <v>5640</v>
      </c>
      <c r="F100" s="75">
        <f t="shared" si="18"/>
        <v>6230</v>
      </c>
      <c r="G100" s="50">
        <f t="shared" si="1"/>
        <v>0.1046099291</v>
      </c>
      <c r="H100" s="28"/>
      <c r="I100" s="55">
        <f t="shared" si="2"/>
        <v>6125.210023</v>
      </c>
      <c r="J100" s="81"/>
      <c r="K100" s="60">
        <f>IFERROR(__xludf.DUMMYFUNCTION("IFERROR(VLOOKUP(C100,IMPORTRANGE(""https://docs.google.com/spreadsheets/d/1HZUHB8NvANAZR0sHDmHYVAm2WE9kNv0pGIQA48Ryim8/edit?gid=1285727875#gid=1285727875"",""Sheet1!A2:G""),7,0))"),1642.68)</f>
        <v>1642.68</v>
      </c>
      <c r="L100" s="62">
        <f t="shared" si="3"/>
        <v>3.43341369</v>
      </c>
      <c r="M100" s="60">
        <f>IFERROR(__xludf.DUMMYFUNCTION("IFERROR(VLOOKUP(C100,IMPORTRANGE(""https://docs.google.com/spreadsheets/d/1HZUHB8NvANAZR0sHDmHYVAm2WE9kNv0pGIQA48Ryim8/edit?gid=1285727875#gid=1285727875"",""Cost!A2:G""),7,0))"),1784.0)</f>
        <v>1784</v>
      </c>
      <c r="N100" s="62">
        <f t="shared" si="4"/>
        <v>3.492152466</v>
      </c>
      <c r="O100" s="62"/>
      <c r="P100" s="28"/>
      <c r="Q100" s="28"/>
      <c r="R100" s="28"/>
      <c r="S100" s="28"/>
      <c r="T100" s="28"/>
      <c r="U100" s="65"/>
      <c r="V100" s="28"/>
      <c r="W100" s="65"/>
      <c r="X100" s="66" t="s">
        <v>342</v>
      </c>
      <c r="Y100" s="65" t="str">
        <f t="shared" si="6"/>
        <v>ORBIT 5354-S</v>
      </c>
    </row>
    <row r="101">
      <c r="A101" s="18" t="s">
        <v>422</v>
      </c>
      <c r="B101" s="91" t="str">
        <f t="shared" si="17"/>
        <v>BD-40</v>
      </c>
      <c r="C101" s="15" t="s">
        <v>154</v>
      </c>
      <c r="D101" s="18" t="s">
        <v>156</v>
      </c>
      <c r="E101" s="39">
        <v>3680.0</v>
      </c>
      <c r="F101" s="39">
        <v>3990.0</v>
      </c>
      <c r="G101" s="50">
        <f t="shared" si="1"/>
        <v>0.08423913043</v>
      </c>
      <c r="H101" s="28"/>
      <c r="I101" s="55">
        <f t="shared" si="2"/>
        <v>4075.59981</v>
      </c>
      <c r="J101" s="81"/>
      <c r="K101" s="60">
        <f>IFERROR(__xludf.DUMMYFUNCTION("IFERROR(VLOOKUP(C101,IMPORTRANGE(""https://docs.google.com/spreadsheets/d/1HZUHB8NvANAZR0sHDmHYVAm2WE9kNv0pGIQA48Ryim8/edit?gid=1285727875#gid=1285727875"",""Sheet1!A2:G""),7,0))"),966.14)</f>
        <v>966.14</v>
      </c>
      <c r="L101" s="62">
        <f t="shared" si="3"/>
        <v>3.808971785</v>
      </c>
      <c r="M101" s="60">
        <f>IFERROR(__xludf.DUMMYFUNCTION("IFERROR(VLOOKUP(C101,IMPORTRANGE(""https://docs.google.com/spreadsheets/d/1HZUHB8NvANAZR0sHDmHYVAm2WE9kNv0pGIQA48Ryim8/edit?gid=1285727875#gid=1285727875"",""Cost!A2:G""),7,0))"),1070.0)</f>
        <v>1070</v>
      </c>
      <c r="N101" s="62">
        <f t="shared" si="4"/>
        <v>3.728971963</v>
      </c>
      <c r="O101" s="62"/>
      <c r="P101" s="28"/>
      <c r="Q101" s="28"/>
      <c r="R101" s="28"/>
      <c r="S101" s="28"/>
      <c r="T101" s="28"/>
      <c r="U101" s="65"/>
      <c r="V101" s="28"/>
      <c r="W101" s="65"/>
      <c r="X101" s="66" t="s">
        <v>154</v>
      </c>
      <c r="Y101" s="65" t="str">
        <f t="shared" si="6"/>
        <v>ORBIT 53BD-40</v>
      </c>
    </row>
    <row r="102">
      <c r="A102" s="18" t="s">
        <v>422</v>
      </c>
      <c r="B102" s="91" t="str">
        <f t="shared" si="17"/>
        <v>BB-53-S</v>
      </c>
      <c r="C102" s="15" t="s">
        <v>453</v>
      </c>
      <c r="D102" s="18" t="s">
        <v>78</v>
      </c>
      <c r="E102" s="39">
        <v>1960.0</v>
      </c>
      <c r="F102" s="39">
        <v>2240.0</v>
      </c>
      <c r="G102" s="50">
        <f t="shared" si="1"/>
        <v>0.1428571429</v>
      </c>
      <c r="H102" s="28"/>
      <c r="I102" s="55">
        <f t="shared" si="2"/>
        <v>2140.923077</v>
      </c>
      <c r="J102" s="81"/>
      <c r="K102" s="60">
        <f>IFERROR(__xludf.DUMMYFUNCTION("IFERROR(VLOOKUP(C102,IMPORTRANGE(""https://docs.google.com/spreadsheets/d/1HZUHB8NvANAZR0sHDmHYVAm2WE9kNv0pGIQA48Ryim8/edit?gid=1285727875#gid=1285727875"",""Sheet1!A2:G""),7,0))"),650.0)</f>
        <v>650</v>
      </c>
      <c r="L102" s="62">
        <f t="shared" si="3"/>
        <v>3.015384615</v>
      </c>
      <c r="M102" s="60">
        <f>IFERROR(__xludf.DUMMYFUNCTION("IFERROR(VLOOKUP(C102,IMPORTRANGE(""https://docs.google.com/spreadsheets/d/1HZUHB8NvANAZR0sHDmHYVAm2WE9kNv0pGIQA48Ryim8/edit?gid=1285727875#gid=1285727875"",""Cost!A2:G""),7,0))"),710.0)</f>
        <v>710</v>
      </c>
      <c r="N102" s="62">
        <f t="shared" si="4"/>
        <v>3.154929577</v>
      </c>
      <c r="O102" s="62"/>
      <c r="P102" s="28"/>
      <c r="Q102" s="28"/>
      <c r="R102" s="28"/>
      <c r="S102" s="28"/>
      <c r="T102" s="28"/>
      <c r="U102" s="65"/>
      <c r="V102" s="28"/>
      <c r="W102" s="65"/>
      <c r="X102" s="66" t="s">
        <v>346</v>
      </c>
      <c r="Y102" s="65" t="str">
        <f t="shared" si="6"/>
        <v>ORBIT 53BB-S</v>
      </c>
    </row>
    <row r="103">
      <c r="A103" s="18" t="s">
        <v>422</v>
      </c>
      <c r="B103" s="91">
        <f t="shared" si="17"/>
        <v>5355</v>
      </c>
      <c r="C103" s="15">
        <v>5355.0</v>
      </c>
      <c r="D103" s="18" t="s">
        <v>164</v>
      </c>
      <c r="E103" s="39">
        <v>3580.0</v>
      </c>
      <c r="F103" s="39">
        <v>3840.0</v>
      </c>
      <c r="G103" s="50">
        <f t="shared" si="1"/>
        <v>0.07262569832</v>
      </c>
      <c r="H103" s="28"/>
      <c r="I103" s="55">
        <f t="shared" si="2"/>
        <v>3936.718278</v>
      </c>
      <c r="J103" s="81"/>
      <c r="K103" s="60">
        <f>IFERROR(__xludf.DUMMYFUNCTION("IFERROR(VLOOKUP(C103,IMPORTRANGE(""https://docs.google.com/spreadsheets/d/1HZUHB8NvANAZR0sHDmHYVAm2WE9kNv0pGIQA48Ryim8/edit?gid=1285727875#gid=1285727875"",""Sheet1!A2:G""),7,0))"),860.28)</f>
        <v>860.28</v>
      </c>
      <c r="L103" s="62">
        <f t="shared" si="3"/>
        <v>4.161435812</v>
      </c>
      <c r="M103" s="60">
        <f>IFERROR(__xludf.DUMMYFUNCTION("IFERROR(VLOOKUP(C103,IMPORTRANGE(""https://docs.google.com/spreadsheets/d/1HZUHB8NvANAZR0sHDmHYVAm2WE9kNv0pGIQA48Ryim8/edit?gid=1285727875#gid=1285727875"",""Cost!A2:G""),7,0))"),946.0)</f>
        <v>946</v>
      </c>
      <c r="N103" s="62">
        <f t="shared" si="4"/>
        <v>4.059196617</v>
      </c>
      <c r="O103" s="62"/>
      <c r="P103" s="28"/>
      <c r="Q103" s="28"/>
      <c r="R103" s="28"/>
      <c r="S103" s="28"/>
      <c r="T103" s="28"/>
      <c r="U103" s="65"/>
      <c r="V103" s="28"/>
      <c r="W103" s="65"/>
      <c r="X103" s="66" t="s">
        <v>162</v>
      </c>
      <c r="Y103" s="65" t="str">
        <f t="shared" si="6"/>
        <v>ORBIT 5355</v>
      </c>
    </row>
    <row r="104">
      <c r="A104" s="18" t="s">
        <v>422</v>
      </c>
      <c r="B104" s="91">
        <f t="shared" si="17"/>
        <v>5365</v>
      </c>
      <c r="C104" s="15">
        <v>5365.0</v>
      </c>
      <c r="D104" s="18" t="s">
        <v>182</v>
      </c>
      <c r="E104" s="39">
        <v>3690.0</v>
      </c>
      <c r="F104" s="39">
        <v>3990.0</v>
      </c>
      <c r="G104" s="50">
        <f t="shared" si="1"/>
        <v>0.08130081301</v>
      </c>
      <c r="H104" s="28"/>
      <c r="I104" s="55">
        <f t="shared" si="2"/>
        <v>4042.9089</v>
      </c>
      <c r="J104" s="81"/>
      <c r="K104" s="60">
        <f>IFERROR(__xludf.DUMMYFUNCTION("IFERROR(VLOOKUP(C104,IMPORTRANGE(""https://docs.google.com/spreadsheets/d/1HZUHB8NvANAZR0sHDmHYVAm2WE9kNv0pGIQA48Ryim8/edit?gid=1285727875#gid=1285727875"",""Sheet1!A2:G""),7,0))"),916.36)</f>
        <v>916.36</v>
      </c>
      <c r="L104" s="62">
        <f t="shared" si="3"/>
        <v>4.026801694</v>
      </c>
      <c r="M104" s="60">
        <f>IFERROR(__xludf.DUMMYFUNCTION("IFERROR(VLOOKUP(C104,IMPORTRANGE(""https://docs.google.com/spreadsheets/d/1HZUHB8NvANAZR0sHDmHYVAm2WE9kNv0pGIQA48Ryim8/edit?gid=1285727875#gid=1285727875"",""Cost!A2:G""),7,0))"),1004.0)</f>
        <v>1004</v>
      </c>
      <c r="N104" s="62">
        <f t="shared" si="4"/>
        <v>3.974103586</v>
      </c>
      <c r="O104" s="62"/>
      <c r="P104" s="28"/>
      <c r="Q104" s="28"/>
      <c r="R104" s="28"/>
      <c r="S104" s="28"/>
      <c r="T104" s="28"/>
      <c r="U104" s="65"/>
      <c r="V104" s="28"/>
      <c r="W104" s="65"/>
      <c r="X104" s="66" t="s">
        <v>181</v>
      </c>
      <c r="Y104" s="65" t="str">
        <f t="shared" si="6"/>
        <v>ORBIT 5365</v>
      </c>
    </row>
    <row r="105">
      <c r="A105" s="18" t="s">
        <v>422</v>
      </c>
      <c r="B105" s="91">
        <f t="shared" si="17"/>
        <v>5370</v>
      </c>
      <c r="C105" s="15">
        <v>5370.0</v>
      </c>
      <c r="D105" s="18" t="s">
        <v>186</v>
      </c>
      <c r="E105" s="39">
        <v>4980.0</v>
      </c>
      <c r="F105" s="39">
        <v>5340.0</v>
      </c>
      <c r="G105" s="50">
        <f t="shared" si="1"/>
        <v>0.07228915663</v>
      </c>
      <c r="H105" s="28"/>
      <c r="I105" s="55">
        <f t="shared" si="2"/>
        <v>5533.728487</v>
      </c>
      <c r="J105" s="81"/>
      <c r="K105" s="60">
        <f>IFERROR(__xludf.DUMMYFUNCTION("IFERROR(VLOOKUP(C105,IMPORTRANGE(""https://docs.google.com/spreadsheets/d/1HZUHB8NvANAZR0sHDmHYVAm2WE9kNv0pGIQA48Ryim8/edit?gid=1285727875#gid=1285727875"",""Sheet1!A2:G""),7,0))"),1400.3)</f>
        <v>1400.3</v>
      </c>
      <c r="L105" s="62">
        <f t="shared" si="3"/>
        <v>3.556380776</v>
      </c>
      <c r="M105" s="60">
        <f>IFERROR(__xludf.DUMMYFUNCTION("IFERROR(VLOOKUP(C105,IMPORTRANGE(""https://docs.google.com/spreadsheets/d/1HZUHB8NvANAZR0sHDmHYVAm2WE9kNv0pGIQA48Ryim8/edit?gid=1285727875#gid=1285727875"",""Cost!A2:G""),7,0))"),1556.0)</f>
        <v>1556</v>
      </c>
      <c r="N105" s="62">
        <f t="shared" si="4"/>
        <v>3.431876607</v>
      </c>
      <c r="O105" s="62"/>
      <c r="P105" s="28"/>
      <c r="Q105" s="28"/>
      <c r="R105" s="28"/>
      <c r="S105" s="28"/>
      <c r="T105" s="28"/>
      <c r="U105" s="65"/>
      <c r="V105" s="28"/>
      <c r="W105" s="65"/>
      <c r="X105" s="66" t="s">
        <v>184</v>
      </c>
      <c r="Y105" s="65" t="str">
        <f t="shared" si="6"/>
        <v>ORBIT 5370</v>
      </c>
    </row>
    <row r="106">
      <c r="A106" s="18" t="s">
        <v>422</v>
      </c>
      <c r="B106" s="91">
        <f t="shared" si="17"/>
        <v>5375</v>
      </c>
      <c r="C106" s="15">
        <v>5375.0</v>
      </c>
      <c r="D106" s="18" t="s">
        <v>196</v>
      </c>
      <c r="E106" s="39">
        <v>4980.0</v>
      </c>
      <c r="F106" s="39">
        <v>5340.0</v>
      </c>
      <c r="G106" s="50">
        <f t="shared" si="1"/>
        <v>0.07228915663</v>
      </c>
      <c r="H106" s="28"/>
      <c r="I106" s="55">
        <f t="shared" si="2"/>
        <v>5518.691247</v>
      </c>
      <c r="J106" s="81"/>
      <c r="K106" s="60">
        <f>IFERROR(__xludf.DUMMYFUNCTION("IFERROR(VLOOKUP(C106,IMPORTRANGE(""https://docs.google.com/spreadsheets/d/1HZUHB8NvANAZR0sHDmHYVAm2WE9kNv0pGIQA48Ryim8/edit?gid=1285727875#gid=1285727875"",""Sheet1!A2:G""),7,0))"),1368.02)</f>
        <v>1368.02</v>
      </c>
      <c r="L106" s="62">
        <f t="shared" si="3"/>
        <v>3.640297656</v>
      </c>
      <c r="M106" s="60">
        <f>IFERROR(__xludf.DUMMYFUNCTION("IFERROR(VLOOKUP(C106,IMPORTRANGE(""https://docs.google.com/spreadsheets/d/1HZUHB8NvANAZR0sHDmHYVAm2WE9kNv0pGIQA48Ryim8/edit?gid=1285727875#gid=1285727875"",""Cost!A2:G""),7,0))"),1516.0)</f>
        <v>1516</v>
      </c>
      <c r="N106" s="62">
        <f t="shared" si="4"/>
        <v>3.522427441</v>
      </c>
      <c r="O106" s="62"/>
      <c r="P106" s="28"/>
      <c r="Q106" s="28"/>
      <c r="R106" s="28"/>
      <c r="S106" s="28"/>
      <c r="T106" s="28"/>
      <c r="U106" s="65"/>
      <c r="V106" s="28"/>
      <c r="W106" s="65"/>
      <c r="X106" s="66" t="s">
        <v>194</v>
      </c>
      <c r="Y106" s="65" t="str">
        <f t="shared" si="6"/>
        <v>ORBIT 5375</v>
      </c>
    </row>
    <row r="107">
      <c r="A107" s="18" t="s">
        <v>422</v>
      </c>
      <c r="B107" s="91">
        <f t="shared" si="17"/>
        <v>5380</v>
      </c>
      <c r="C107" s="15">
        <v>5380.0</v>
      </c>
      <c r="D107" s="18" t="s">
        <v>205</v>
      </c>
      <c r="E107" s="39">
        <v>5840.0</v>
      </c>
      <c r="F107" s="39">
        <v>6240.0</v>
      </c>
      <c r="G107" s="50">
        <f t="shared" si="1"/>
        <v>0.06849315068</v>
      </c>
      <c r="H107" s="28"/>
      <c r="I107" s="55">
        <f t="shared" si="2"/>
        <v>6469.782987</v>
      </c>
      <c r="J107" s="81"/>
      <c r="K107" s="60">
        <f>IFERROR(__xludf.DUMMYFUNCTION("IFERROR(VLOOKUP(C107,IMPORTRANGE(""https://docs.google.com/spreadsheets/d/1HZUHB8NvANAZR0sHDmHYVAm2WE9kNv0pGIQA48Ryim8/edit?gid=1285727875#gid=1285727875"",""Sheet1!A2:G""),7,0))"),1558.89)</f>
        <v>1558.89</v>
      </c>
      <c r="L107" s="62">
        <f t="shared" si="3"/>
        <v>3.746255348</v>
      </c>
      <c r="M107" s="60">
        <f>IFERROR(__xludf.DUMMYFUNCTION("IFERROR(VLOOKUP(C107,IMPORTRANGE(""https://docs.google.com/spreadsheets/d/1HZUHB8NvANAZR0sHDmHYVAm2WE9kNv0pGIQA48Ryim8/edit?gid=1285727875#gid=1285727875"",""Cost!A2:G""),7,0))"),1727.0)</f>
        <v>1727</v>
      </c>
      <c r="N107" s="62">
        <f t="shared" si="4"/>
        <v>3.613202085</v>
      </c>
      <c r="O107" s="62"/>
      <c r="P107" s="28"/>
      <c r="Q107" s="28"/>
      <c r="R107" s="28"/>
      <c r="S107" s="28"/>
      <c r="T107" s="28"/>
      <c r="U107" s="65"/>
      <c r="V107" s="28"/>
      <c r="W107" s="65"/>
      <c r="X107" s="66" t="s">
        <v>203</v>
      </c>
      <c r="Y107" s="65" t="str">
        <f t="shared" si="6"/>
        <v>ORBIT 5380</v>
      </c>
    </row>
    <row r="108">
      <c r="A108" s="18" t="s">
        <v>422</v>
      </c>
      <c r="B108" s="91" t="str">
        <f t="shared" si="17"/>
        <v>5391-N</v>
      </c>
      <c r="C108" s="15" t="s">
        <v>459</v>
      </c>
      <c r="D108" s="18" t="s">
        <v>210</v>
      </c>
      <c r="E108" s="75">
        <f t="shared" ref="E108:F108" si="19">SUM(E109:E110)</f>
        <v>5980</v>
      </c>
      <c r="F108" s="75">
        <f t="shared" si="19"/>
        <v>6470</v>
      </c>
      <c r="G108" s="50">
        <f t="shared" si="1"/>
        <v>0.08193979933</v>
      </c>
      <c r="H108" s="28"/>
      <c r="I108" s="55">
        <f t="shared" si="2"/>
        <v>6577.474654</v>
      </c>
      <c r="J108" s="81"/>
      <c r="K108" s="60">
        <f>IFERROR(__xludf.DUMMYFUNCTION("IFERROR(VLOOKUP(C108,IMPORTRANGE(""https://docs.google.com/spreadsheets/d/1HZUHB8NvANAZR0sHDmHYVAm2WE9kNv0pGIQA48Ryim8/edit?gid=1285727875#gid=1285727875"",""Sheet1!A2:G""),7,0))"),1684.68)</f>
        <v>1684.68</v>
      </c>
      <c r="L108" s="62">
        <f t="shared" si="3"/>
        <v>3.549635539</v>
      </c>
      <c r="M108" s="60">
        <f>IFERROR(__xludf.DUMMYFUNCTION("IFERROR(VLOOKUP(C108,IMPORTRANGE(""https://docs.google.com/spreadsheets/d/1HZUHB8NvANAZR0sHDmHYVAm2WE9kNv0pGIQA48Ryim8/edit?gid=1285727875#gid=1285727875"",""Cost!A2:G""),7,0))"),1853.0)</f>
        <v>1853</v>
      </c>
      <c r="N108" s="62">
        <f t="shared" si="4"/>
        <v>3.491635186</v>
      </c>
      <c r="O108" s="62"/>
      <c r="P108" s="28"/>
      <c r="Q108" s="28"/>
      <c r="R108" s="28"/>
      <c r="S108" s="28"/>
      <c r="T108" s="28"/>
      <c r="U108" s="65"/>
      <c r="V108" s="28"/>
      <c r="W108" s="65"/>
      <c r="X108" s="66" t="s">
        <v>209</v>
      </c>
      <c r="Y108" s="65" t="str">
        <f t="shared" si="6"/>
        <v>ORBIT 5391</v>
      </c>
    </row>
    <row r="109">
      <c r="A109" s="18" t="s">
        <v>422</v>
      </c>
      <c r="B109" s="91" t="str">
        <f t="shared" si="17"/>
        <v>PD-40-N</v>
      </c>
      <c r="C109" s="15" t="s">
        <v>212</v>
      </c>
      <c r="D109" s="18" t="s">
        <v>214</v>
      </c>
      <c r="E109" s="39">
        <v>4240.0</v>
      </c>
      <c r="F109" s="39">
        <v>4580.0</v>
      </c>
      <c r="G109" s="50">
        <f t="shared" si="1"/>
        <v>0.08018867925</v>
      </c>
      <c r="H109" s="101"/>
      <c r="I109" s="55">
        <f t="shared" si="2"/>
        <v>4549.622554</v>
      </c>
      <c r="J109" s="81"/>
      <c r="K109" s="60">
        <f>IFERROR(__xludf.DUMMYFUNCTION("IFERROR(VLOOKUP(C109,IMPORTRANGE(""https://docs.google.com/spreadsheets/d/1HZUHB8NvANAZR0sHDmHYVAm2WE9kNv0pGIQA48Ryim8/edit?gid=1285727875#gid=1285727875"",""Sheet1!A2:G""),7,0))"),1298.2)</f>
        <v>1298.2</v>
      </c>
      <c r="L109" s="62">
        <f t="shared" si="3"/>
        <v>3.266060699</v>
      </c>
      <c r="M109" s="60">
        <f>IFERROR(__xludf.DUMMYFUNCTION("IFERROR(VLOOKUP(C109,IMPORTRANGE(""https://docs.google.com/spreadsheets/d/1HZUHB8NvANAZR0sHDmHYVAm2WE9kNv0pGIQA48Ryim8/edit?gid=1285727875#gid=1285727875"",""Cost!A2:G""),7,0))"),1393.0)</f>
        <v>1393</v>
      </c>
      <c r="N109" s="62">
        <f t="shared" si="4"/>
        <v>3.287867911</v>
      </c>
      <c r="O109" s="62"/>
      <c r="P109" s="28"/>
      <c r="Q109" s="28"/>
      <c r="R109" s="28"/>
      <c r="S109" s="28"/>
      <c r="T109" s="28"/>
      <c r="U109" s="65"/>
      <c r="V109" s="28"/>
      <c r="W109" s="65"/>
      <c r="X109" s="66" t="s">
        <v>212</v>
      </c>
      <c r="Y109" s="65" t="str">
        <f t="shared" si="6"/>
        <v>ORBIT 53PD-40-N</v>
      </c>
    </row>
    <row r="110">
      <c r="A110" s="18" t="s">
        <v>422</v>
      </c>
      <c r="B110" s="91" t="str">
        <f t="shared" si="17"/>
        <v>DB-53-N</v>
      </c>
      <c r="C110" s="15" t="s">
        <v>464</v>
      </c>
      <c r="D110" s="18" t="s">
        <v>217</v>
      </c>
      <c r="E110" s="39">
        <v>1740.0</v>
      </c>
      <c r="F110" s="39">
        <v>1890.0</v>
      </c>
      <c r="G110" s="50">
        <f t="shared" si="1"/>
        <v>0.08620689655</v>
      </c>
      <c r="H110" s="28"/>
      <c r="I110" s="55">
        <f t="shared" si="2"/>
        <v>2073.702368</v>
      </c>
      <c r="J110" s="81"/>
      <c r="K110" s="60">
        <f>IFERROR(__xludf.DUMMYFUNCTION("IFERROR(VLOOKUP(C110,IMPORTRANGE(""https://docs.google.com/spreadsheets/d/1HZUHB8NvANAZR0sHDmHYVAm2WE9kNv0pGIQA48Ryim8/edit?gid=1285727875#gid=1285727875"",""Sheet1!A2:G""),7,0))"),382.62)</f>
        <v>382.62</v>
      </c>
      <c r="L110" s="62">
        <f t="shared" si="3"/>
        <v>4.547592912</v>
      </c>
      <c r="M110" s="60">
        <f>IFERROR(__xludf.DUMMYFUNCTION("IFERROR(VLOOKUP(C110,IMPORTRANGE(""https://docs.google.com/spreadsheets/d/1HZUHB8NvANAZR0sHDmHYVAm2WE9kNv0pGIQA48Ryim8/edit?gid=1285727875#gid=1285727875"",""Cost!A2:G""),7,0))"),456.0)</f>
        <v>456</v>
      </c>
      <c r="N110" s="62">
        <f t="shared" si="4"/>
        <v>4.144736842</v>
      </c>
      <c r="O110" s="62"/>
      <c r="P110" s="28"/>
      <c r="Q110" s="28"/>
      <c r="R110" s="28"/>
      <c r="S110" s="28"/>
      <c r="T110" s="28"/>
      <c r="U110" s="65"/>
      <c r="V110" s="28"/>
      <c r="W110" s="65"/>
      <c r="X110" s="66" t="s">
        <v>358</v>
      </c>
      <c r="Y110" s="65" t="str">
        <f t="shared" si="6"/>
        <v>ORBIT 53DB</v>
      </c>
    </row>
    <row r="111">
      <c r="A111" s="18" t="s">
        <v>422</v>
      </c>
      <c r="B111" s="91" t="str">
        <f t="shared" si="17"/>
        <v>5392-N</v>
      </c>
      <c r="C111" s="15" t="s">
        <v>466</v>
      </c>
      <c r="D111" s="18" t="s">
        <v>220</v>
      </c>
      <c r="E111" s="75">
        <f t="shared" ref="E111:F111" si="20">SUM(E112:E113)</f>
        <v>6720</v>
      </c>
      <c r="F111" s="75">
        <f t="shared" si="20"/>
        <v>7380</v>
      </c>
      <c r="G111" s="50">
        <f t="shared" si="1"/>
        <v>0.09821428571</v>
      </c>
      <c r="H111" s="28"/>
      <c r="I111" s="55">
        <f t="shared" si="2"/>
        <v>7554.09356</v>
      </c>
      <c r="J111" s="81"/>
      <c r="K111" s="60">
        <f>IFERROR(__xludf.DUMMYFUNCTION("IFERROR(VLOOKUP(C111,IMPORTRANGE(""https://docs.google.com/spreadsheets/d/1HZUHB8NvANAZR0sHDmHYVAm2WE9kNv0pGIQA48Ryim8/edit?gid=1285727875#gid=1285727875"",""Sheet1!A2:G""),7,0))"),1966.87)</f>
        <v>1966.87</v>
      </c>
      <c r="L111" s="62">
        <f t="shared" si="3"/>
        <v>3.416595911</v>
      </c>
      <c r="M111" s="60">
        <f>IFERROR(__xludf.DUMMYFUNCTION("IFERROR(VLOOKUP(C111,IMPORTRANGE(""https://docs.google.com/spreadsheets/d/1HZUHB8NvANAZR0sHDmHYVAm2WE9kNv0pGIQA48Ryim8/edit?gid=1285727875#gid=1285727875"",""Cost!A2:G""),7,0))"),2211.0)</f>
        <v>2211</v>
      </c>
      <c r="N111" s="62">
        <f t="shared" si="4"/>
        <v>3.337856174</v>
      </c>
      <c r="O111" s="62"/>
      <c r="P111" s="28"/>
      <c r="Q111" s="28"/>
      <c r="R111" s="28"/>
      <c r="S111" s="28"/>
      <c r="T111" s="28"/>
      <c r="U111" s="65"/>
      <c r="V111" s="28"/>
      <c r="W111" s="65"/>
      <c r="X111" s="66" t="s">
        <v>219</v>
      </c>
      <c r="Y111" s="65" t="str">
        <f t="shared" si="6"/>
        <v>ORBIT 5392</v>
      </c>
    </row>
    <row r="112">
      <c r="A112" s="18" t="s">
        <v>422</v>
      </c>
      <c r="B112" s="91" t="str">
        <f t="shared" si="17"/>
        <v>PD-46-H-N</v>
      </c>
      <c r="C112" s="15" t="s">
        <v>223</v>
      </c>
      <c r="D112" s="18" t="s">
        <v>224</v>
      </c>
      <c r="E112" s="39">
        <v>4980.0</v>
      </c>
      <c r="F112" s="39">
        <v>5490.0</v>
      </c>
      <c r="G112" s="50">
        <f t="shared" si="1"/>
        <v>0.1024096386</v>
      </c>
      <c r="H112" s="28"/>
      <c r="I112" s="55">
        <f t="shared" si="2"/>
        <v>5513.426362</v>
      </c>
      <c r="J112" s="81"/>
      <c r="K112" s="60">
        <f>IFERROR(__xludf.DUMMYFUNCTION("IFERROR(VLOOKUP(C112,IMPORTRANGE(""https://docs.google.com/spreadsheets/d/1HZUHB8NvANAZR0sHDmHYVAm2WE9kNv0pGIQA48Ryim8/edit?gid=1285727875#gid=1285727875"",""Sheet1!A2:G""),7,0))"),1581.59)</f>
        <v>1581.59</v>
      </c>
      <c r="L112" s="62">
        <f t="shared" si="3"/>
        <v>3.148730075</v>
      </c>
      <c r="M112" s="60">
        <f>IFERROR(__xludf.DUMMYFUNCTION("IFERROR(VLOOKUP(C112,IMPORTRANGE(""https://docs.google.com/spreadsheets/d/1HZUHB8NvANAZR0sHDmHYVAm2WE9kNv0pGIQA48Ryim8/edit?gid=1285727875#gid=1285727875"",""Cost!A2:G""),7,0))"),1751.0)</f>
        <v>1751</v>
      </c>
      <c r="N112" s="62">
        <f t="shared" si="4"/>
        <v>3.135351228</v>
      </c>
      <c r="O112" s="62"/>
      <c r="P112" s="28"/>
      <c r="Q112" s="28"/>
      <c r="R112" s="28"/>
      <c r="S112" s="28"/>
      <c r="T112" s="28"/>
      <c r="U112" s="65"/>
      <c r="V112" s="28"/>
      <c r="W112" s="65"/>
      <c r="X112" s="66" t="s">
        <v>223</v>
      </c>
      <c r="Y112" s="65" t="str">
        <f t="shared" si="6"/>
        <v>ORBIT 53PD-46-H-N</v>
      </c>
    </row>
    <row r="113">
      <c r="A113" s="18" t="s">
        <v>422</v>
      </c>
      <c r="B113" s="91" t="str">
        <f t="shared" si="17"/>
        <v>DB-53-H-N</v>
      </c>
      <c r="C113" s="15" t="s">
        <v>470</v>
      </c>
      <c r="D113" s="18" t="s">
        <v>217</v>
      </c>
      <c r="E113" s="39">
        <v>1740.0</v>
      </c>
      <c r="F113" s="39">
        <f>F110</f>
        <v>1890</v>
      </c>
      <c r="G113" s="50">
        <f t="shared" si="1"/>
        <v>0.08620689655</v>
      </c>
      <c r="H113" s="28"/>
      <c r="I113" s="55">
        <f t="shared" si="2"/>
        <v>2082.612974</v>
      </c>
      <c r="J113" s="81"/>
      <c r="K113" s="60">
        <f>IFERROR(__xludf.DUMMYFUNCTION("IFERROR(VLOOKUP(C113,IMPORTRANGE(""https://docs.google.com/spreadsheets/d/1HZUHB8NvANAZR0sHDmHYVAm2WE9kNv0pGIQA48Ryim8/edit?gid=1285727875#gid=1285727875"",""Sheet1!A2:G""),7,0))"),375.97)</f>
        <v>375.97</v>
      </c>
      <c r="L113" s="62">
        <f t="shared" si="3"/>
        <v>4.628028832</v>
      </c>
      <c r="M113" s="60">
        <f>IFERROR(__xludf.DUMMYFUNCTION("IFERROR(VLOOKUP(C113,IMPORTRANGE(""https://docs.google.com/spreadsheets/d/1HZUHB8NvANAZR0sHDmHYVAm2WE9kNv0pGIQA48Ryim8/edit?gid=1285727875#gid=1285727875"",""Cost!A2:G""),7,0))"),450.0)</f>
        <v>450</v>
      </c>
      <c r="N113" s="62">
        <f t="shared" si="4"/>
        <v>4.2</v>
      </c>
      <c r="O113" s="62"/>
      <c r="P113" s="28"/>
      <c r="Q113" s="28"/>
      <c r="R113" s="28"/>
      <c r="S113" s="28"/>
      <c r="T113" s="28"/>
      <c r="U113" s="65"/>
      <c r="V113" s="28"/>
      <c r="W113" s="65"/>
      <c r="X113" s="66" t="s">
        <v>358</v>
      </c>
      <c r="Y113" s="65" t="str">
        <f t="shared" si="6"/>
        <v>ORBIT 53DB</v>
      </c>
    </row>
    <row r="114">
      <c r="A114" s="18" t="s">
        <v>422</v>
      </c>
      <c r="B114" s="91" t="str">
        <f t="shared" si="17"/>
        <v>5392-ON-OFF-N</v>
      </c>
      <c r="C114" s="15" t="s">
        <v>473</v>
      </c>
      <c r="D114" s="18" t="s">
        <v>229</v>
      </c>
      <c r="E114" s="75">
        <f t="shared" ref="E114:F114" si="21">SUM(E115:E116)</f>
        <v>6720</v>
      </c>
      <c r="F114" s="75">
        <f t="shared" si="21"/>
        <v>7380</v>
      </c>
      <c r="G114" s="50">
        <f t="shared" si="1"/>
        <v>0.09821428571</v>
      </c>
      <c r="H114" s="28"/>
      <c r="I114" s="55">
        <f t="shared" si="2"/>
        <v>7633.836568</v>
      </c>
      <c r="J114" s="81"/>
      <c r="K114" s="60">
        <f>IFERROR(__xludf.DUMMYFUNCTION("IFERROR(VLOOKUP(C114,IMPORTRANGE(""https://docs.google.com/spreadsheets/d/1HZUHB8NvANAZR0sHDmHYVAm2WE9kNv0pGIQA48Ryim8/edit?gid=1285727875#gid=1285727875"",""Sheet1!A2:G""),7,0))"),1752.66)</f>
        <v>1752.66</v>
      </c>
      <c r="L114" s="62">
        <f t="shared" si="3"/>
        <v>3.834172058</v>
      </c>
      <c r="M114" s="60">
        <f>IFERROR(__xludf.DUMMYFUNCTION("IFERROR(VLOOKUP(C114,IMPORTRANGE(""https://docs.google.com/spreadsheets/d/1HZUHB8NvANAZR0sHDmHYVAm2WE9kNv0pGIQA48Ryim8/edit?gid=1285727875#gid=1285727875"",""Cost!A2:G""),7,0))"),1991.0)</f>
        <v>1991</v>
      </c>
      <c r="N114" s="62">
        <f t="shared" si="4"/>
        <v>3.70668006</v>
      </c>
      <c r="O114" s="62"/>
      <c r="P114" s="28"/>
      <c r="Q114" s="28"/>
      <c r="R114" s="28"/>
      <c r="S114" s="28"/>
      <c r="T114" s="28"/>
      <c r="U114" s="65"/>
      <c r="V114" s="28"/>
      <c r="W114" s="65"/>
      <c r="X114" s="66" t="s">
        <v>368</v>
      </c>
      <c r="Y114" s="65" t="str">
        <f t="shared" si="6"/>
        <v>ORBIT 5392-ON-OFF</v>
      </c>
    </row>
    <row r="115">
      <c r="A115" s="18" t="s">
        <v>422</v>
      </c>
      <c r="B115" s="91" t="str">
        <f t="shared" si="17"/>
        <v>PD-46-H-ON-OFF-N</v>
      </c>
      <c r="C115" s="15" t="s">
        <v>234</v>
      </c>
      <c r="D115" s="18" t="s">
        <v>235</v>
      </c>
      <c r="E115" s="39">
        <f>E112-240</f>
        <v>4740</v>
      </c>
      <c r="F115" s="75">
        <f>F112-$X$1</f>
        <v>5250</v>
      </c>
      <c r="G115" s="50">
        <f t="shared" si="1"/>
        <v>0.1075949367</v>
      </c>
      <c r="H115" s="28"/>
      <c r="I115" s="55">
        <f t="shared" si="2"/>
        <v>5306.797906</v>
      </c>
      <c r="J115" s="81"/>
      <c r="K115" s="60">
        <f>IFERROR(__xludf.DUMMYFUNCTION("IFERROR(VLOOKUP(C115,IMPORTRANGE(""https://docs.google.com/spreadsheets/d/1HZUHB8NvANAZR0sHDmHYVAm2WE9kNv0pGIQA48Ryim8/edit?gid=1285727875#gid=1285727875"",""Sheet1!A2:G""),7,0))"),1367.48)</f>
        <v>1367.48</v>
      </c>
      <c r="L115" s="62">
        <f t="shared" si="3"/>
        <v>3.466229853</v>
      </c>
      <c r="M115" s="60">
        <f>IFERROR(__xludf.DUMMYFUNCTION("IFERROR(VLOOKUP(C115,IMPORTRANGE(""https://docs.google.com/spreadsheets/d/1HZUHB8NvANAZR0sHDmHYVAm2WE9kNv0pGIQA48Ryim8/edit?gid=1285727875#gid=1285727875"",""Cost!A2:G""),7,0))"),1531.0)</f>
        <v>1531</v>
      </c>
      <c r="N115" s="62">
        <f t="shared" si="4"/>
        <v>3.429131287</v>
      </c>
      <c r="O115" s="62"/>
      <c r="P115" s="28"/>
      <c r="Q115" s="28"/>
      <c r="R115" s="28"/>
      <c r="S115" s="28"/>
      <c r="T115" s="28"/>
      <c r="U115" s="65"/>
      <c r="V115" s="28"/>
      <c r="W115" s="65"/>
      <c r="X115" s="66" t="s">
        <v>371</v>
      </c>
      <c r="Y115" s="65" t="str">
        <f t="shared" si="6"/>
        <v>ORBIT 53PD-ON-OFF</v>
      </c>
    </row>
    <row r="116">
      <c r="A116" s="18" t="s">
        <v>422</v>
      </c>
      <c r="B116" s="91" t="str">
        <f t="shared" si="17"/>
        <v>DB-53-H-ON-OFF-N</v>
      </c>
      <c r="C116" s="15" t="s">
        <v>478</v>
      </c>
      <c r="D116" s="18" t="s">
        <v>217</v>
      </c>
      <c r="E116" s="75">
        <f>E113+240</f>
        <v>1980</v>
      </c>
      <c r="F116" s="75">
        <f>F113+$X$1</f>
        <v>2130</v>
      </c>
      <c r="G116" s="50">
        <f t="shared" si="1"/>
        <v>0.07575757576</v>
      </c>
      <c r="H116" s="28"/>
      <c r="I116" s="55">
        <f t="shared" si="2"/>
        <v>2362.582608</v>
      </c>
      <c r="J116" s="81"/>
      <c r="K116" s="60">
        <f>IFERROR(__xludf.DUMMYFUNCTION("IFERROR(VLOOKUP(C116,IMPORTRANGE(""https://docs.google.com/spreadsheets/d/1HZUHB8NvANAZR0sHDmHYVAm2WE9kNv0pGIQA48Ryim8/edit?gid=1285727875#gid=1285727875"",""Sheet1!A2:G""),7,0))"),381.32)</f>
        <v>381.32</v>
      </c>
      <c r="L116" s="62">
        <f t="shared" si="3"/>
        <v>5.192489248</v>
      </c>
      <c r="M116" s="60">
        <f>IFERROR(__xludf.DUMMYFUNCTION("IFERROR(VLOOKUP(C116,IMPORTRANGE(""https://docs.google.com/spreadsheets/d/1HZUHB8NvANAZR0sHDmHYVAm2WE9kNv0pGIQA48Ryim8/edit?gid=1285727875#gid=1285727875"",""Cost!A2:G""),7,0))"),455.0)</f>
        <v>455</v>
      </c>
      <c r="N116" s="62">
        <f t="shared" si="4"/>
        <v>4.681318681</v>
      </c>
      <c r="O116" s="62"/>
      <c r="P116" s="28"/>
      <c r="Q116" s="28"/>
      <c r="R116" s="28"/>
      <c r="S116" s="28"/>
      <c r="T116" s="28"/>
      <c r="U116" s="65"/>
      <c r="V116" s="28"/>
      <c r="W116" s="65"/>
      <c r="X116" s="66" t="s">
        <v>375</v>
      </c>
      <c r="Y116" s="65" t="str">
        <f t="shared" si="6"/>
        <v>ORBIT 53DB-ON-OFF</v>
      </c>
    </row>
    <row r="117">
      <c r="A117" s="18" t="s">
        <v>422</v>
      </c>
      <c r="B117" s="91"/>
      <c r="C117" s="15" t="s">
        <v>481</v>
      </c>
      <c r="D117" s="18" t="s">
        <v>220</v>
      </c>
      <c r="E117" s="97" t="s">
        <v>377</v>
      </c>
      <c r="F117" s="75">
        <f>SUM(F118:F119)</f>
        <v>7380</v>
      </c>
      <c r="G117" s="50"/>
      <c r="H117" s="28"/>
      <c r="I117" s="55">
        <f t="shared" si="2"/>
        <v>0</v>
      </c>
      <c r="J117" s="81"/>
      <c r="K117" s="60"/>
      <c r="L117" s="62"/>
      <c r="M117" s="60">
        <f>SUM(M118:M119)</f>
        <v>2158.74</v>
      </c>
      <c r="N117" s="62">
        <f t="shared" si="4"/>
        <v>3.418660886</v>
      </c>
      <c r="O117" s="62"/>
      <c r="P117" s="28"/>
      <c r="Q117" s="28"/>
      <c r="R117" s="28"/>
      <c r="S117" s="28"/>
      <c r="T117" s="28"/>
      <c r="U117" s="65"/>
      <c r="V117" s="28"/>
      <c r="W117" s="65"/>
      <c r="X117" s="66" t="s">
        <v>380</v>
      </c>
      <c r="Y117" s="65" t="str">
        <f t="shared" si="6"/>
        <v>ORBIT 5392-P</v>
      </c>
    </row>
    <row r="118">
      <c r="A118" s="18" t="s">
        <v>422</v>
      </c>
      <c r="B118" s="91"/>
      <c r="C118" s="15" t="s">
        <v>381</v>
      </c>
      <c r="D118" s="18" t="s">
        <v>382</v>
      </c>
      <c r="E118" s="97" t="s">
        <v>377</v>
      </c>
      <c r="F118" s="39">
        <f>F112-$Y$1</f>
        <v>4990</v>
      </c>
      <c r="G118" s="50"/>
      <c r="H118" s="28"/>
      <c r="I118" s="55">
        <f t="shared" si="2"/>
        <v>0</v>
      </c>
      <c r="J118" s="81"/>
      <c r="K118" s="60"/>
      <c r="L118" s="62"/>
      <c r="M118" s="60">
        <f>IFERROR(__xludf.DUMMYFUNCTION("IFERROR(VLOOKUP(C118,IMPORTRANGE(""https://docs.google.com/spreadsheets/d/1HZUHB8NvANAZR0sHDmHYVAm2WE9kNv0pGIQA48Ryim8/edit?gid=1285727875#gid=1285727875"",""Diverter &amp; Upper!A2:B""),2,0))"),1585.45)</f>
        <v>1585.45</v>
      </c>
      <c r="N118" s="62">
        <f t="shared" si="4"/>
        <v>3.147371409</v>
      </c>
      <c r="O118" s="62"/>
      <c r="P118" s="28"/>
      <c r="Q118" s="28"/>
      <c r="R118" s="28"/>
      <c r="S118" s="28"/>
      <c r="T118" s="28"/>
      <c r="U118" s="65"/>
      <c r="V118" s="28"/>
      <c r="W118" s="65"/>
      <c r="X118" s="66" t="s">
        <v>381</v>
      </c>
      <c r="Y118" s="65" t="str">
        <f t="shared" si="6"/>
        <v>ORBIT 53PD-46-H-P</v>
      </c>
    </row>
    <row r="119">
      <c r="A119" s="18" t="s">
        <v>422</v>
      </c>
      <c r="B119" s="91"/>
      <c r="C119" s="15" t="s">
        <v>484</v>
      </c>
      <c r="D119" s="18" t="s">
        <v>386</v>
      </c>
      <c r="E119" s="97" t="s">
        <v>377</v>
      </c>
      <c r="F119" s="39">
        <f>F113+$Y$1</f>
        <v>2390</v>
      </c>
      <c r="G119" s="50"/>
      <c r="H119" s="28"/>
      <c r="I119" s="55">
        <f t="shared" si="2"/>
        <v>0</v>
      </c>
      <c r="J119" s="81"/>
      <c r="K119" s="60"/>
      <c r="L119" s="62"/>
      <c r="M119" s="60">
        <f>IFERROR(__xludf.DUMMYFUNCTION("IFERROR(VLOOKUP(C119,IMPORTRANGE(""https://docs.google.com/spreadsheets/d/1HZUHB8NvANAZR0sHDmHYVAm2WE9kNv0pGIQA48Ryim8/edit?gid=1285727875#gid=1285727875"",""Diverter &amp; Upper!A2:B""),2,0))"),573.29)</f>
        <v>573.29</v>
      </c>
      <c r="N119" s="62">
        <f t="shared" si="4"/>
        <v>4.168919744</v>
      </c>
      <c r="O119" s="62"/>
      <c r="P119" s="28"/>
      <c r="Q119" s="28"/>
      <c r="R119" s="28"/>
      <c r="S119" s="28"/>
      <c r="T119" s="28"/>
      <c r="U119" s="65"/>
      <c r="V119" s="28"/>
      <c r="W119" s="65"/>
      <c r="X119" s="66" t="s">
        <v>387</v>
      </c>
      <c r="Y119" s="65" t="str">
        <f t="shared" si="6"/>
        <v>ORBIT 53DB-P</v>
      </c>
    </row>
    <row r="120">
      <c r="A120" s="18" t="s">
        <v>422</v>
      </c>
      <c r="B120" s="91"/>
      <c r="C120" s="15" t="s">
        <v>485</v>
      </c>
      <c r="D120" s="18" t="s">
        <v>229</v>
      </c>
      <c r="E120" s="97" t="s">
        <v>377</v>
      </c>
      <c r="F120" s="75">
        <f>SUM(F121:F122)</f>
        <v>7380</v>
      </c>
      <c r="G120" s="50"/>
      <c r="H120" s="28"/>
      <c r="I120" s="55">
        <f t="shared" si="2"/>
        <v>0</v>
      </c>
      <c r="J120" s="81"/>
      <c r="K120" s="60"/>
      <c r="L120" s="62"/>
      <c r="M120" s="60">
        <f>SUM(M121:M122)</f>
        <v>1947.73</v>
      </c>
      <c r="N120" s="62">
        <f t="shared" si="4"/>
        <v>3.7890262</v>
      </c>
      <c r="O120" s="62"/>
      <c r="P120" s="28"/>
      <c r="Q120" s="28"/>
      <c r="R120" s="28"/>
      <c r="S120" s="28"/>
      <c r="T120" s="28"/>
      <c r="U120" s="65"/>
      <c r="V120" s="28"/>
      <c r="W120" s="65"/>
      <c r="X120" s="66" t="s">
        <v>391</v>
      </c>
      <c r="Y120" s="65" t="str">
        <f t="shared" si="6"/>
        <v>ORBIT 5392-ON-OFF-P</v>
      </c>
    </row>
    <row r="121">
      <c r="A121" s="18" t="s">
        <v>422</v>
      </c>
      <c r="B121" s="91"/>
      <c r="C121" s="15" t="s">
        <v>392</v>
      </c>
      <c r="D121" s="18" t="s">
        <v>393</v>
      </c>
      <c r="E121" s="97" t="s">
        <v>377</v>
      </c>
      <c r="F121" s="39">
        <f>F118-$X$1</f>
        <v>4750</v>
      </c>
      <c r="G121" s="50"/>
      <c r="H121" s="28"/>
      <c r="I121" s="55">
        <f t="shared" si="2"/>
        <v>0</v>
      </c>
      <c r="J121" s="81"/>
      <c r="K121" s="60"/>
      <c r="L121" s="62"/>
      <c r="M121" s="60">
        <f>IFERROR(__xludf.DUMMYFUNCTION("IFERROR(VLOOKUP(C121,IMPORTRANGE(""https://docs.google.com/spreadsheets/d/1HZUHB8NvANAZR0sHDmHYVAm2WE9kNv0pGIQA48Ryim8/edit?gid=1285727875#gid=1285727875"",""Diverter &amp; Upper!A2:B""),2,0))"),1357.68)</f>
        <v>1357.68</v>
      </c>
      <c r="N121" s="62">
        <f t="shared" si="4"/>
        <v>3.498615285</v>
      </c>
      <c r="O121" s="62"/>
      <c r="P121" s="28"/>
      <c r="Q121" s="28"/>
      <c r="R121" s="28"/>
      <c r="S121" s="28"/>
      <c r="T121" s="28"/>
      <c r="U121" s="65"/>
      <c r="V121" s="28"/>
      <c r="W121" s="65"/>
      <c r="X121" s="66" t="s">
        <v>396</v>
      </c>
      <c r="Y121" s="65" t="str">
        <f t="shared" si="6"/>
        <v>ORBIT 53PD-ON-OFF-P</v>
      </c>
    </row>
    <row r="122">
      <c r="A122" s="18" t="s">
        <v>422</v>
      </c>
      <c r="B122" s="91"/>
      <c r="C122" s="15" t="s">
        <v>488</v>
      </c>
      <c r="D122" s="18" t="s">
        <v>386</v>
      </c>
      <c r="E122" s="97" t="s">
        <v>377</v>
      </c>
      <c r="F122" s="39">
        <f>F119+$X$1</f>
        <v>2630</v>
      </c>
      <c r="G122" s="50"/>
      <c r="H122" s="28"/>
      <c r="I122" s="55">
        <f t="shared" si="2"/>
        <v>0</v>
      </c>
      <c r="J122" s="81"/>
      <c r="K122" s="60"/>
      <c r="L122" s="62"/>
      <c r="M122" s="60">
        <f>IFERROR(__xludf.DUMMYFUNCTION("IFERROR(VLOOKUP(C122,IMPORTRANGE(""https://docs.google.com/spreadsheets/d/1HZUHB8NvANAZR0sHDmHYVAm2WE9kNv0pGIQA48Ryim8/edit?gid=1285727875#gid=1285727875"",""Diverter &amp; Upper!A2:B""),2,0))"),590.05)</f>
        <v>590.05</v>
      </c>
      <c r="N122" s="62">
        <f t="shared" si="4"/>
        <v>4.457249386</v>
      </c>
      <c r="O122" s="62"/>
      <c r="P122" s="28"/>
      <c r="Q122" s="28"/>
      <c r="R122" s="28"/>
      <c r="S122" s="28"/>
      <c r="T122" s="28"/>
      <c r="U122" s="65"/>
      <c r="V122" s="28"/>
      <c r="W122" s="65"/>
      <c r="X122" s="66" t="s">
        <v>400</v>
      </c>
      <c r="Y122" s="65" t="str">
        <f t="shared" si="6"/>
        <v>ORBIT 53DB-ON-OFF-P</v>
      </c>
    </row>
    <row r="123">
      <c r="A123" s="18" t="s">
        <v>422</v>
      </c>
      <c r="B123" s="91" t="str">
        <f t="shared" ref="B123:B131" si="23">C123</f>
        <v>5393-N</v>
      </c>
      <c r="C123" s="15" t="s">
        <v>491</v>
      </c>
      <c r="D123" s="18" t="s">
        <v>241</v>
      </c>
      <c r="E123" s="75">
        <f t="shared" ref="E123:F123" si="22">SUM(E124:E125)</f>
        <v>6720</v>
      </c>
      <c r="F123" s="75">
        <f t="shared" si="22"/>
        <v>7380</v>
      </c>
      <c r="G123" s="50">
        <f t="shared" ref="G123:G164" si="24">IFERROR((F123-E123)/E123,"")</f>
        <v>0.09821428571</v>
      </c>
      <c r="H123" s="28"/>
      <c r="I123" s="55">
        <f t="shared" si="2"/>
        <v>7432.629139</v>
      </c>
      <c r="J123" s="81"/>
      <c r="K123" s="60">
        <f>IFERROR(__xludf.DUMMYFUNCTION("IFERROR(VLOOKUP(C123,IMPORTRANGE(""https://docs.google.com/spreadsheets/d/1HZUHB8NvANAZR0sHDmHYVAm2WE9kNv0pGIQA48Ryim8/edit?gid=1285727875#gid=1285727875"",""Sheet1!A2:G""),7,0))"),1919.45)</f>
        <v>1919.45</v>
      </c>
      <c r="L123" s="62">
        <f t="shared" ref="L123:L164" si="25">IFERROR(E123/$K123,"")</f>
        <v>3.501002891</v>
      </c>
      <c r="M123" s="60">
        <f>IFERROR(__xludf.DUMMYFUNCTION("IFERROR(VLOOKUP(C123,IMPORTRANGE(""https://docs.google.com/spreadsheets/d/1HZUHB8NvANAZR0sHDmHYVAm2WE9kNv0pGIQA48Ryim8/edit?gid=1285727875#gid=1285727875"",""Cost!A2:G""),7,0))"),2123.0)</f>
        <v>2123</v>
      </c>
      <c r="N123" s="62">
        <f t="shared" si="4"/>
        <v>3.476212906</v>
      </c>
      <c r="O123" s="62"/>
      <c r="P123" s="28"/>
      <c r="Q123" s="28"/>
      <c r="R123" s="28"/>
      <c r="S123" s="28"/>
      <c r="T123" s="28"/>
      <c r="U123" s="65"/>
      <c r="V123" s="28"/>
      <c r="W123" s="65"/>
      <c r="X123" s="66" t="s">
        <v>239</v>
      </c>
      <c r="Y123" s="65" t="str">
        <f t="shared" si="6"/>
        <v>ORBIT 5393</v>
      </c>
    </row>
    <row r="124">
      <c r="A124" s="18" t="s">
        <v>422</v>
      </c>
      <c r="B124" s="91" t="str">
        <f t="shared" si="23"/>
        <v>PD-3 IN-N</v>
      </c>
      <c r="C124" s="15" t="s">
        <v>243</v>
      </c>
      <c r="D124" s="18" t="s">
        <v>244</v>
      </c>
      <c r="E124" s="39">
        <v>4980.0</v>
      </c>
      <c r="F124" s="39">
        <v>5490.0</v>
      </c>
      <c r="G124" s="50">
        <f t="shared" si="24"/>
        <v>0.1024096386</v>
      </c>
      <c r="H124" s="28"/>
      <c r="I124" s="55">
        <f t="shared" si="2"/>
        <v>5395.785272</v>
      </c>
      <c r="J124" s="81"/>
      <c r="K124" s="60">
        <f>IFERROR(__xludf.DUMMYFUNCTION("IFERROR(VLOOKUP(C124,IMPORTRANGE(""https://docs.google.com/spreadsheets/d/1HZUHB8NvANAZR0sHDmHYVAm2WE9kNv0pGIQA48Ryim8/edit?gid=1285727875#gid=1285727875"",""Sheet1!A2:G""),7,0))"),1543.16)</f>
        <v>1543.16</v>
      </c>
      <c r="L124" s="62">
        <f t="shared" si="25"/>
        <v>3.227144301</v>
      </c>
      <c r="M124" s="60">
        <f>IFERROR(__xludf.DUMMYFUNCTION("IFERROR(VLOOKUP(C124,IMPORTRANGE(""https://docs.google.com/spreadsheets/d/1HZUHB8NvANAZR0sHDmHYVAm2WE9kNv0pGIQA48Ryim8/edit?gid=1285727875#gid=1285727875"",""Cost!A2:G""),7,0))"),1672.0)</f>
        <v>1672</v>
      </c>
      <c r="N124" s="62">
        <f t="shared" si="4"/>
        <v>3.283492823</v>
      </c>
      <c r="O124" s="62"/>
      <c r="P124" s="28"/>
      <c r="Q124" s="28"/>
      <c r="R124" s="28"/>
      <c r="S124" s="28"/>
      <c r="T124" s="28"/>
      <c r="U124" s="65"/>
      <c r="V124" s="28"/>
      <c r="W124" s="65"/>
      <c r="X124" s="66" t="s">
        <v>243</v>
      </c>
      <c r="Y124" s="65" t="str">
        <f t="shared" si="6"/>
        <v>ORBIT 53PD-3 IN-N</v>
      </c>
    </row>
    <row r="125">
      <c r="A125" s="18" t="s">
        <v>422</v>
      </c>
      <c r="B125" s="91" t="str">
        <f t="shared" si="23"/>
        <v>DB-53-3 IN-N</v>
      </c>
      <c r="C125" s="15" t="s">
        <v>496</v>
      </c>
      <c r="D125" s="18" t="s">
        <v>217</v>
      </c>
      <c r="E125" s="39">
        <v>1740.0</v>
      </c>
      <c r="F125" s="39">
        <f>F110</f>
        <v>1890</v>
      </c>
      <c r="G125" s="50">
        <f t="shared" si="24"/>
        <v>0.08620689655</v>
      </c>
      <c r="H125" s="28"/>
      <c r="I125" s="55">
        <f t="shared" si="2"/>
        <v>2078.537792</v>
      </c>
      <c r="J125" s="81"/>
      <c r="K125" s="60">
        <f>IFERROR(__xludf.DUMMYFUNCTION("IFERROR(VLOOKUP(C125,IMPORTRANGE(""https://docs.google.com/spreadsheets/d/1HZUHB8NvANAZR0sHDmHYVAm2WE9kNv0pGIQA48Ryim8/edit?gid=1285727875#gid=1285727875"",""Sheet1!A2:G""),7,0))"),375.87)</f>
        <v>375.87</v>
      </c>
      <c r="L125" s="62">
        <f t="shared" si="25"/>
        <v>4.629260117</v>
      </c>
      <c r="M125" s="60">
        <f>IFERROR(__xludf.DUMMYFUNCTION("IFERROR(VLOOKUP(C125,IMPORTRANGE(""https://docs.google.com/spreadsheets/d/1HZUHB8NvANAZR0sHDmHYVAm2WE9kNv0pGIQA48Ryim8/edit?gid=1285727875#gid=1285727875"",""Cost!A2:G""),7,0))"),449.0)</f>
        <v>449</v>
      </c>
      <c r="N125" s="62">
        <f t="shared" si="4"/>
        <v>4.20935412</v>
      </c>
      <c r="O125" s="62"/>
      <c r="P125" s="28"/>
      <c r="Q125" s="28"/>
      <c r="R125" s="28"/>
      <c r="S125" s="28"/>
      <c r="T125" s="28"/>
      <c r="U125" s="65"/>
      <c r="V125" s="28"/>
      <c r="W125" s="65"/>
      <c r="X125" s="66" t="s">
        <v>358</v>
      </c>
      <c r="Y125" s="65" t="str">
        <f t="shared" si="6"/>
        <v>ORBIT 53DB</v>
      </c>
    </row>
    <row r="126">
      <c r="A126" s="18" t="s">
        <v>422</v>
      </c>
      <c r="B126" s="91" t="str">
        <f t="shared" si="23"/>
        <v>5393-ON-OFF-N</v>
      </c>
      <c r="C126" s="15" t="s">
        <v>499</v>
      </c>
      <c r="D126" s="18" t="s">
        <v>250</v>
      </c>
      <c r="E126" s="75">
        <f t="shared" ref="E126:F126" si="26">SUM(E127:E128)</f>
        <v>6720</v>
      </c>
      <c r="F126" s="75">
        <f t="shared" si="26"/>
        <v>7380</v>
      </c>
      <c r="G126" s="50">
        <f t="shared" si="24"/>
        <v>0.09821428571</v>
      </c>
      <c r="H126" s="28"/>
      <c r="I126" s="55">
        <f t="shared" si="2"/>
        <v>7521.731767</v>
      </c>
      <c r="J126" s="81"/>
      <c r="K126" s="60">
        <f>IFERROR(__xludf.DUMMYFUNCTION("IFERROR(VLOOKUP(C126,IMPORTRANGE(""https://docs.google.com/spreadsheets/d/1HZUHB8NvANAZR0sHDmHYVAm2WE9kNv0pGIQA48Ryim8/edit?gid=1285727875#gid=1285727875"",""Sheet1!A2:G""),7,0))"),1948.53)</f>
        <v>1948.53</v>
      </c>
      <c r="L126" s="62">
        <f t="shared" si="25"/>
        <v>3.448753676</v>
      </c>
      <c r="M126" s="60">
        <f>IFERROR(__xludf.DUMMYFUNCTION("IFERROR(VLOOKUP(C126,IMPORTRANGE(""https://docs.google.com/spreadsheets/d/1HZUHB8NvANAZR0sHDmHYVAm2WE9kNv0pGIQA48Ryim8/edit?gid=1285727875#gid=1285727875"",""Cost!A2:G""),7,0))"),2181.0)</f>
        <v>2181</v>
      </c>
      <c r="N126" s="62">
        <f t="shared" si="4"/>
        <v>3.383768913</v>
      </c>
      <c r="O126" s="62"/>
      <c r="P126" s="28"/>
      <c r="Q126" s="28"/>
      <c r="R126" s="28"/>
      <c r="S126" s="28"/>
      <c r="T126" s="28"/>
      <c r="U126" s="65"/>
      <c r="V126" s="28"/>
      <c r="W126" s="65"/>
      <c r="X126" s="66" t="s">
        <v>410</v>
      </c>
      <c r="Y126" s="65" t="str">
        <f t="shared" si="6"/>
        <v>ORBIT 5393-ON-OFF</v>
      </c>
    </row>
    <row r="127">
      <c r="A127" s="18" t="s">
        <v>422</v>
      </c>
      <c r="B127" s="91" t="str">
        <f t="shared" si="23"/>
        <v>PD-3 IN-ON-OFF-N</v>
      </c>
      <c r="C127" s="15" t="s">
        <v>253</v>
      </c>
      <c r="D127" s="18" t="s">
        <v>256</v>
      </c>
      <c r="E127" s="39">
        <f>E124-240</f>
        <v>4740</v>
      </c>
      <c r="F127" s="39">
        <f>F124-$X$1</f>
        <v>5250</v>
      </c>
      <c r="G127" s="50">
        <f t="shared" si="24"/>
        <v>0.1075949367</v>
      </c>
      <c r="H127" s="28"/>
      <c r="I127" s="55">
        <f t="shared" si="2"/>
        <v>5217.019108</v>
      </c>
      <c r="J127" s="81"/>
      <c r="K127" s="60">
        <f>IFERROR(__xludf.DUMMYFUNCTION("IFERROR(VLOOKUP(C127,IMPORTRANGE(""https://docs.google.com/spreadsheets/d/1HZUHB8NvANAZR0sHDmHYVAm2WE9kNv0pGIQA48Ryim8/edit?gid=1285727875#gid=1285727875"",""Sheet1!A2:G""),7,0))"),1570.0)</f>
        <v>1570</v>
      </c>
      <c r="L127" s="62">
        <f t="shared" si="25"/>
        <v>3.01910828</v>
      </c>
      <c r="M127" s="60">
        <f>IFERROR(__xludf.DUMMYFUNCTION("IFERROR(VLOOKUP(C127,IMPORTRANGE(""https://docs.google.com/spreadsheets/d/1HZUHB8NvANAZR0sHDmHYVAm2WE9kNv0pGIQA48Ryim8/edit?gid=1285727875#gid=1285727875"",""Cost!A2:G""),7,0))"),1728.0)</f>
        <v>1728</v>
      </c>
      <c r="N127" s="62">
        <f t="shared" si="4"/>
        <v>3.038194444</v>
      </c>
      <c r="O127" s="62"/>
      <c r="P127" s="28"/>
      <c r="Q127" s="28"/>
      <c r="R127" s="28"/>
      <c r="S127" s="28"/>
      <c r="T127" s="28"/>
      <c r="U127" s="65"/>
      <c r="V127" s="28"/>
      <c r="W127" s="65"/>
      <c r="X127" s="66" t="s">
        <v>371</v>
      </c>
      <c r="Y127" s="65" t="str">
        <f t="shared" si="6"/>
        <v>ORBIT 53PD-ON-OFF</v>
      </c>
    </row>
    <row r="128">
      <c r="A128" s="18" t="s">
        <v>422</v>
      </c>
      <c r="B128" s="91" t="str">
        <f t="shared" si="23"/>
        <v>DB-53-3 IN-ON-OFF-N</v>
      </c>
      <c r="C128" s="15" t="s">
        <v>504</v>
      </c>
      <c r="D128" s="18" t="s">
        <v>217</v>
      </c>
      <c r="E128" s="75">
        <f>E125+240</f>
        <v>1980</v>
      </c>
      <c r="F128" s="75">
        <f>F125+$X$1</f>
        <v>2130</v>
      </c>
      <c r="G128" s="50">
        <f t="shared" si="24"/>
        <v>0.07575757576</v>
      </c>
      <c r="H128" s="28"/>
      <c r="I128" s="55">
        <f t="shared" si="2"/>
        <v>2362.582608</v>
      </c>
      <c r="J128" s="81"/>
      <c r="K128" s="60">
        <f>IFERROR(__xludf.DUMMYFUNCTION("IFERROR(VLOOKUP(C128,IMPORTRANGE(""https://docs.google.com/spreadsheets/d/1HZUHB8NvANAZR0sHDmHYVAm2WE9kNv0pGIQA48Ryim8/edit?gid=1285727875#gid=1285727875"",""Sheet1!A2:G""),7,0))"),381.32)</f>
        <v>381.32</v>
      </c>
      <c r="L128" s="62">
        <f t="shared" si="25"/>
        <v>5.192489248</v>
      </c>
      <c r="M128" s="60">
        <f>IFERROR(__xludf.DUMMYFUNCTION("IFERROR(VLOOKUP(C128,IMPORTRANGE(""https://docs.google.com/spreadsheets/d/1HZUHB8NvANAZR0sHDmHYVAm2WE9kNv0pGIQA48Ryim8/edit?gid=1285727875#gid=1285727875"",""Cost!A2:G""),7,0))"),455.0)</f>
        <v>455</v>
      </c>
      <c r="N128" s="62">
        <f t="shared" si="4"/>
        <v>4.681318681</v>
      </c>
      <c r="O128" s="62"/>
      <c r="P128" s="28"/>
      <c r="Q128" s="28"/>
      <c r="R128" s="28"/>
      <c r="S128" s="28"/>
      <c r="T128" s="28"/>
      <c r="U128" s="65"/>
      <c r="V128" s="28"/>
      <c r="W128" s="65"/>
      <c r="X128" s="66" t="s">
        <v>375</v>
      </c>
      <c r="Y128" s="65" t="str">
        <f t="shared" si="6"/>
        <v>ORBIT 53DB-ON-OFF</v>
      </c>
    </row>
    <row r="129">
      <c r="A129" s="18" t="s">
        <v>422</v>
      </c>
      <c r="B129" s="91">
        <f t="shared" si="23"/>
        <v>5395</v>
      </c>
      <c r="C129" s="15">
        <v>5395.0</v>
      </c>
      <c r="D129" s="18" t="s">
        <v>265</v>
      </c>
      <c r="E129" s="75">
        <v>1170.0</v>
      </c>
      <c r="F129" s="39">
        <v>1290.0</v>
      </c>
      <c r="G129" s="50">
        <f t="shared" si="24"/>
        <v>0.1025641026</v>
      </c>
      <c r="H129" s="28"/>
      <c r="I129" s="55">
        <f t="shared" si="2"/>
        <v>1292.748783</v>
      </c>
      <c r="J129" s="81"/>
      <c r="K129" s="60">
        <f>IFERROR(__xludf.DUMMYFUNCTION("IFERROR(VLOOKUP(C129,IMPORTRANGE(""https://docs.google.com/spreadsheets/d/1HZUHB8NvANAZR0sHDmHYVAm2WE9kNv0pGIQA48Ryim8/edit?gid=1285727875#gid=1285727875"",""Sheet1!A2:G""),7,0))"),281.47)</f>
        <v>281.47</v>
      </c>
      <c r="L129" s="62">
        <f t="shared" si="25"/>
        <v>4.156748499</v>
      </c>
      <c r="M129" s="60">
        <f>IFERROR(__xludf.DUMMYFUNCTION("IFERROR(VLOOKUP(C129,IMPORTRANGE(""https://docs.google.com/spreadsheets/d/1HZUHB8NvANAZR0sHDmHYVAm2WE9kNv0pGIQA48Ryim8/edit?gid=1285727875#gid=1285727875"",""Cost!A2:G""),7,0))"),311.0)</f>
        <v>311</v>
      </c>
      <c r="N129" s="62">
        <f t="shared" si="4"/>
        <v>4.147909968</v>
      </c>
      <c r="O129" s="62"/>
      <c r="P129" s="28"/>
      <c r="Q129" s="28"/>
      <c r="R129" s="28"/>
      <c r="S129" s="28"/>
      <c r="T129" s="28"/>
      <c r="U129" s="65"/>
      <c r="V129" s="28"/>
      <c r="W129" s="65"/>
      <c r="X129" s="66" t="s">
        <v>264</v>
      </c>
      <c r="Y129" s="65" t="str">
        <f t="shared" si="6"/>
        <v>ORBIT 5395</v>
      </c>
    </row>
    <row r="130">
      <c r="A130" s="18" t="s">
        <v>422</v>
      </c>
      <c r="B130" s="91">
        <f t="shared" si="23"/>
        <v>5396</v>
      </c>
      <c r="C130" s="15">
        <v>5396.0</v>
      </c>
      <c r="D130" s="18" t="s">
        <v>268</v>
      </c>
      <c r="E130" s="75">
        <v>1930.0</v>
      </c>
      <c r="F130" s="39">
        <v>2080.0</v>
      </c>
      <c r="G130" s="50">
        <f t="shared" si="24"/>
        <v>0.07772020725</v>
      </c>
      <c r="H130" s="28"/>
      <c r="I130" s="55">
        <f t="shared" si="2"/>
        <v>2123.384151</v>
      </c>
      <c r="J130" s="81"/>
      <c r="K130" s="60">
        <f>IFERROR(__xludf.DUMMYFUNCTION("IFERROR(VLOOKUP(C130,IMPORTRANGE(""https://docs.google.com/spreadsheets/d/1HZUHB8NvANAZR0sHDmHYVAm2WE9kNv0pGIQA48Ryim8/edit?gid=1285727875#gid=1285727875"",""Sheet1!A2:G""),7,0))"),457.19)</f>
        <v>457.19</v>
      </c>
      <c r="L130" s="62">
        <f t="shared" si="25"/>
        <v>4.221439664</v>
      </c>
      <c r="M130" s="60">
        <f>IFERROR(__xludf.DUMMYFUNCTION("IFERROR(VLOOKUP(C130,IMPORTRANGE(""https://docs.google.com/spreadsheets/d/1HZUHB8NvANAZR0sHDmHYVAm2WE9kNv0pGIQA48Ryim8/edit?gid=1285727875#gid=1285727875"",""Cost!A2:G""),7,0))"),503.0)</f>
        <v>503</v>
      </c>
      <c r="N130" s="62">
        <f t="shared" si="4"/>
        <v>4.135188867</v>
      </c>
      <c r="O130" s="62"/>
      <c r="P130" s="28"/>
      <c r="Q130" s="28"/>
      <c r="R130" s="28"/>
      <c r="S130" s="28"/>
      <c r="T130" s="28"/>
      <c r="U130" s="65"/>
      <c r="V130" s="28"/>
      <c r="W130" s="65"/>
      <c r="X130" s="66" t="s">
        <v>267</v>
      </c>
      <c r="Y130" s="65" t="str">
        <f t="shared" si="6"/>
        <v>ORBIT 5396</v>
      </c>
    </row>
    <row r="131">
      <c r="A131" s="18" t="s">
        <v>422</v>
      </c>
      <c r="B131" s="91">
        <f t="shared" si="23"/>
        <v>5398</v>
      </c>
      <c r="C131" s="15">
        <v>5398.0</v>
      </c>
      <c r="D131" s="18" t="s">
        <v>272</v>
      </c>
      <c r="E131" s="75">
        <v>2150.0</v>
      </c>
      <c r="F131" s="39">
        <v>2380.0</v>
      </c>
      <c r="G131" s="50">
        <f t="shared" si="24"/>
        <v>0.1069767442</v>
      </c>
      <c r="H131" s="28"/>
      <c r="I131" s="55">
        <f t="shared" si="2"/>
        <v>2383.439781</v>
      </c>
      <c r="J131" s="81"/>
      <c r="K131" s="60">
        <f>IFERROR(__xludf.DUMMYFUNCTION("IFERROR(VLOOKUP(C131,IMPORTRANGE(""https://docs.google.com/spreadsheets/d/1HZUHB8NvANAZR0sHDmHYVAm2WE9kNv0pGIQA48Ryim8/edit?gid=1285727875#gid=1285727875"",""Sheet1!A2:G""),7,0))"),657.6)</f>
        <v>657.6</v>
      </c>
      <c r="L131" s="62">
        <f t="shared" si="25"/>
        <v>3.26946472</v>
      </c>
      <c r="M131" s="60">
        <f>IFERROR(__xludf.DUMMYFUNCTION("IFERROR(VLOOKUP(C131,IMPORTRANGE(""https://docs.google.com/spreadsheets/d/1HZUHB8NvANAZR0sHDmHYVAm2WE9kNv0pGIQA48Ryim8/edit?gid=1285727875#gid=1285727875"",""Cost!A2:G""),7,0))"),729.0)</f>
        <v>729</v>
      </c>
      <c r="N131" s="62">
        <f t="shared" si="4"/>
        <v>3.264746228</v>
      </c>
      <c r="O131" s="62"/>
      <c r="P131" s="28"/>
      <c r="Q131" s="28"/>
      <c r="R131" s="28"/>
      <c r="S131" s="28"/>
      <c r="T131" s="28"/>
      <c r="U131" s="65"/>
      <c r="V131" s="28"/>
      <c r="W131" s="65"/>
      <c r="X131" s="66" t="s">
        <v>271</v>
      </c>
      <c r="Y131" s="65" t="str">
        <f t="shared" si="6"/>
        <v>ORBIT 5398</v>
      </c>
    </row>
    <row r="132">
      <c r="A132" s="15" t="s">
        <v>511</v>
      </c>
      <c r="B132" s="15">
        <v>5402.0</v>
      </c>
      <c r="C132" s="15">
        <v>5402.0</v>
      </c>
      <c r="D132" s="48" t="s">
        <v>15</v>
      </c>
      <c r="E132" s="39">
        <v>1440.0</v>
      </c>
      <c r="F132" s="39">
        <v>1590.0</v>
      </c>
      <c r="G132" s="50">
        <f t="shared" si="24"/>
        <v>0.1041666667</v>
      </c>
      <c r="H132" s="28"/>
      <c r="I132" s="55">
        <f t="shared" si="2"/>
        <v>1593.136839</v>
      </c>
      <c r="J132" s="81"/>
      <c r="K132" s="60">
        <f>IFERROR(__xludf.DUMMYFUNCTION("IFERROR(VLOOKUP(C132,IMPORTRANGE(""https://docs.google.com/spreadsheets/d/1HZUHB8NvANAZR0sHDmHYVAm2WE9kNv0pGIQA48Ryim8/edit?gid=1285727875#gid=1285727875"",""Sheet1!A2:G""),7,0))"),470.92)</f>
        <v>470.92</v>
      </c>
      <c r="L132" s="62">
        <f t="shared" si="25"/>
        <v>3.05784422</v>
      </c>
      <c r="M132" s="60">
        <f>IFERROR(__xludf.DUMMYFUNCTION("IFERROR(VLOOKUP(C132,IMPORTRANGE(""https://docs.google.com/spreadsheets/d/1HZUHB8NvANAZR0sHDmHYVAm2WE9kNv0pGIQA48Ryim8/edit?gid=1285727875#gid=1285727875"",""Cost!A2:G""),7,0))"),521.0)</f>
        <v>521</v>
      </c>
      <c r="N132" s="62">
        <f t="shared" si="4"/>
        <v>3.051823417</v>
      </c>
      <c r="O132" s="62"/>
      <c r="P132" s="28"/>
      <c r="Q132" s="28"/>
      <c r="R132" s="28"/>
      <c r="S132" s="28"/>
      <c r="T132" s="28"/>
      <c r="U132" s="65"/>
      <c r="V132" s="28"/>
      <c r="W132" s="65"/>
      <c r="X132" s="66" t="s">
        <v>303</v>
      </c>
      <c r="Y132" s="65" t="str">
        <f t="shared" si="6"/>
        <v>AQUA 5402</v>
      </c>
    </row>
    <row r="133">
      <c r="A133" s="15" t="s">
        <v>511</v>
      </c>
      <c r="B133" s="15">
        <v>5404.0</v>
      </c>
      <c r="C133" s="15">
        <v>5404.0</v>
      </c>
      <c r="D133" s="48" t="s">
        <v>46</v>
      </c>
      <c r="E133" s="39">
        <v>2190.0</v>
      </c>
      <c r="F133" s="39">
        <v>2440.0</v>
      </c>
      <c r="G133" s="50">
        <f t="shared" si="24"/>
        <v>0.1141552511</v>
      </c>
      <c r="H133" s="28"/>
      <c r="I133" s="55">
        <f t="shared" si="2"/>
        <v>2443.437089</v>
      </c>
      <c r="J133" s="81"/>
      <c r="K133" s="60">
        <f>IFERROR(__xludf.DUMMYFUNCTION("IFERROR(VLOOKUP(C133,IMPORTRANGE(""https://docs.google.com/spreadsheets/d/1HZUHB8NvANAZR0sHDmHYVAm2WE9kNv0pGIQA48Ryim8/edit?gid=1285727875#gid=1285727875"",""Sheet1!A2:G""),7,0))"),669.52)</f>
        <v>669.52</v>
      </c>
      <c r="L133" s="62">
        <f t="shared" si="25"/>
        <v>3.271000119</v>
      </c>
      <c r="M133" s="60">
        <f>IFERROR(__xludf.DUMMYFUNCTION("IFERROR(VLOOKUP(C133,IMPORTRANGE(""https://docs.google.com/spreadsheets/d/1HZUHB8NvANAZR0sHDmHYVAm2WE9kNv0pGIQA48Ryim8/edit?gid=1285727875#gid=1285727875"",""Cost!A2:G""),7,0))"),747.0)</f>
        <v>747</v>
      </c>
      <c r="N133" s="62">
        <f t="shared" si="4"/>
        <v>3.266398929</v>
      </c>
      <c r="O133" s="62"/>
      <c r="P133" s="28"/>
      <c r="Q133" s="28"/>
      <c r="R133" s="28"/>
      <c r="S133" s="28"/>
      <c r="T133" s="28"/>
      <c r="U133" s="65"/>
      <c r="V133" s="28"/>
      <c r="W133" s="65"/>
      <c r="X133" s="66" t="s">
        <v>309</v>
      </c>
      <c r="Y133" s="65" t="str">
        <f t="shared" si="6"/>
        <v>AQUA 5404</v>
      </c>
    </row>
    <row r="134">
      <c r="A134" s="15" t="s">
        <v>511</v>
      </c>
      <c r="B134" s="15">
        <v>5406.0</v>
      </c>
      <c r="C134" s="15">
        <v>5406.0</v>
      </c>
      <c r="D134" s="48" t="s">
        <v>67</v>
      </c>
      <c r="E134" s="75">
        <v>1390.0</v>
      </c>
      <c r="F134" s="39">
        <v>1540.0</v>
      </c>
      <c r="G134" s="50">
        <f t="shared" si="24"/>
        <v>0.1079136691</v>
      </c>
      <c r="H134" s="28"/>
      <c r="I134" s="55">
        <f t="shared" si="2"/>
        <v>1534.163181</v>
      </c>
      <c r="J134" s="81"/>
      <c r="K134" s="60">
        <f>IFERROR(__xludf.DUMMYFUNCTION("IFERROR(VLOOKUP(C134,IMPORTRANGE(""https://docs.google.com/spreadsheets/d/1HZUHB8NvANAZR0sHDmHYVAm2WE9kNv0pGIQA48Ryim8/edit?gid=1285727875#gid=1285727875"",""Sheet1!A2:G""),7,0))"),404.09)</f>
        <v>404.09</v>
      </c>
      <c r="L134" s="62">
        <f t="shared" si="25"/>
        <v>3.439827761</v>
      </c>
      <c r="M134" s="60">
        <f>IFERROR(__xludf.DUMMYFUNCTION("IFERROR(VLOOKUP(C134,IMPORTRANGE(""https://docs.google.com/spreadsheets/d/1HZUHB8NvANAZR0sHDmHYVAm2WE9kNv0pGIQA48Ryim8/edit?gid=1285727875#gid=1285727875"",""Cost!A2:G""),7,0))"),446.0)</f>
        <v>446</v>
      </c>
      <c r="N134" s="62">
        <f t="shared" si="4"/>
        <v>3.452914798</v>
      </c>
      <c r="O134" s="62"/>
      <c r="P134" s="28"/>
      <c r="Q134" s="28"/>
      <c r="R134" s="28"/>
      <c r="S134" s="28"/>
      <c r="T134" s="28"/>
      <c r="U134" s="65"/>
      <c r="V134" s="28"/>
      <c r="W134" s="65"/>
      <c r="X134" s="66" t="s">
        <v>311</v>
      </c>
      <c r="Y134" s="65" t="str">
        <f t="shared" si="6"/>
        <v>AQUA 5406</v>
      </c>
    </row>
    <row r="135">
      <c r="A135" s="15" t="s">
        <v>511</v>
      </c>
      <c r="B135" s="15">
        <v>5407.0</v>
      </c>
      <c r="C135" s="15">
        <v>5407.0</v>
      </c>
      <c r="D135" s="18" t="s">
        <v>71</v>
      </c>
      <c r="E135" s="75">
        <f t="shared" ref="E135:F135" si="27">SUM(E136:E137)</f>
        <v>2680</v>
      </c>
      <c r="F135" s="75">
        <f t="shared" si="27"/>
        <v>2850</v>
      </c>
      <c r="G135" s="50">
        <f t="shared" si="24"/>
        <v>0.06343283582</v>
      </c>
      <c r="H135" s="28"/>
      <c r="I135" s="55">
        <f t="shared" si="2"/>
        <v>2913.043478</v>
      </c>
      <c r="J135" s="81"/>
      <c r="K135" s="60">
        <f>IFERROR(__xludf.DUMMYFUNCTION("IFERROR(VLOOKUP(C135,IMPORTRANGE(""https://docs.google.com/spreadsheets/d/1HZUHB8NvANAZR0sHDmHYVAm2WE9kNv0pGIQA48Ryim8/edit?gid=1285727875#gid=1285727875"",""Sheet1!A2:G""),7,0))"),751.64)</f>
        <v>751.64</v>
      </c>
      <c r="L135" s="62">
        <f t="shared" si="25"/>
        <v>3.565536693</v>
      </c>
      <c r="M135" s="60">
        <f>IFERROR(__xludf.DUMMYFUNCTION("IFERROR(VLOOKUP(C135,IMPORTRANGE(""https://docs.google.com/spreadsheets/d/1HZUHB8NvANAZR0sHDmHYVAm2WE9kNv0pGIQA48Ryim8/edit?gid=1285727875#gid=1285727875"",""Cost!A2:G""),7,0))"),817.0)</f>
        <v>817</v>
      </c>
      <c r="N135" s="62">
        <f t="shared" si="4"/>
        <v>3.488372093</v>
      </c>
      <c r="O135" s="62"/>
      <c r="P135" s="28"/>
      <c r="Q135" s="28"/>
      <c r="R135" s="28"/>
      <c r="S135" s="28"/>
      <c r="T135" s="28"/>
      <c r="U135" s="65"/>
      <c r="V135" s="28"/>
      <c r="W135" s="65"/>
      <c r="X135" s="66" t="s">
        <v>315</v>
      </c>
      <c r="Y135" s="65" t="str">
        <f t="shared" si="6"/>
        <v>AQUA 5407</v>
      </c>
    </row>
    <row r="136">
      <c r="A136" s="15" t="s">
        <v>511</v>
      </c>
      <c r="B136" s="15" t="s">
        <v>73</v>
      </c>
      <c r="C136" s="15" t="s">
        <v>73</v>
      </c>
      <c r="D136" s="18" t="s">
        <v>74</v>
      </c>
      <c r="E136" s="93">
        <v>1390.0</v>
      </c>
      <c r="F136" s="39">
        <v>1490.0</v>
      </c>
      <c r="G136" s="50">
        <f t="shared" si="24"/>
        <v>0.07194244604</v>
      </c>
      <c r="H136" s="101"/>
      <c r="I136" s="55">
        <f t="shared" si="2"/>
        <v>1515.459624</v>
      </c>
      <c r="J136" s="81"/>
      <c r="K136" s="60">
        <f>IFERROR(__xludf.DUMMYFUNCTION("IFERROR(VLOOKUP(C136,IMPORTRANGE(""https://docs.google.com/spreadsheets/d/1HZUHB8NvANAZR0sHDmHYVAm2WE9kNv0pGIQA48Ryim8/edit?gid=1285727875#gid=1285727875"",""Sheet1!A2:G""),7,0))"),408.16)</f>
        <v>408.16</v>
      </c>
      <c r="L136" s="62">
        <f t="shared" si="25"/>
        <v>3.405527244</v>
      </c>
      <c r="M136" s="60">
        <f>IFERROR(__xludf.DUMMYFUNCTION("IFERROR(VLOOKUP(C136,IMPORTRANGE(""https://docs.google.com/spreadsheets/d/1HZUHB8NvANAZR0sHDmHYVAm2WE9kNv0pGIQA48Ryim8/edit?gid=1285727875#gid=1285727875"",""Cost!A2:G""),7,0))"),445.0)</f>
        <v>445</v>
      </c>
      <c r="N136" s="62">
        <f t="shared" si="4"/>
        <v>3.348314607</v>
      </c>
      <c r="O136" s="62"/>
      <c r="P136" s="28"/>
      <c r="Q136" s="28"/>
      <c r="R136" s="28"/>
      <c r="S136" s="28"/>
      <c r="T136" s="28"/>
      <c r="U136" s="65"/>
      <c r="V136" s="28"/>
      <c r="W136" s="65"/>
      <c r="X136" s="66" t="s">
        <v>73</v>
      </c>
      <c r="Y136" s="65" t="str">
        <f t="shared" si="6"/>
        <v>AQUA 54CP-07</v>
      </c>
    </row>
    <row r="137">
      <c r="A137" s="15" t="s">
        <v>511</v>
      </c>
      <c r="B137" s="15" t="s">
        <v>520</v>
      </c>
      <c r="C137" s="15" t="s">
        <v>520</v>
      </c>
      <c r="D137" s="18" t="s">
        <v>78</v>
      </c>
      <c r="E137" s="93">
        <v>1290.0</v>
      </c>
      <c r="F137" s="39">
        <v>1360.0</v>
      </c>
      <c r="G137" s="50">
        <f t="shared" si="24"/>
        <v>0.05426356589</v>
      </c>
      <c r="H137" s="28"/>
      <c r="I137" s="55">
        <f t="shared" si="2"/>
        <v>1319.753833</v>
      </c>
      <c r="J137" s="81"/>
      <c r="K137" s="60">
        <f>IFERROR(__xludf.DUMMYFUNCTION("IFERROR(VLOOKUP(C137,IMPORTRANGE(""https://docs.google.com/spreadsheets/d/1HZUHB8NvANAZR0sHDmHYVAm2WE9kNv0pGIQA48Ryim8/edit?gid=1285727875#gid=1285727875"",""Sheet1!A2:G""),7,0))"),380.23)</f>
        <v>380.23</v>
      </c>
      <c r="L137" s="62">
        <f t="shared" si="25"/>
        <v>3.392683376</v>
      </c>
      <c r="M137" s="60">
        <f>IFERROR(__xludf.DUMMYFUNCTION("IFERROR(VLOOKUP(C137,IMPORTRANGE(""https://docs.google.com/spreadsheets/d/1HZUHB8NvANAZR0sHDmHYVAm2WE9kNv0pGIQA48Ryim8/edit?gid=1285727875#gid=1285727875"",""Cost!A2:G""),7,0))"),389.0)</f>
        <v>389</v>
      </c>
      <c r="N137" s="62">
        <f t="shared" si="4"/>
        <v>3.496143959</v>
      </c>
      <c r="O137" s="62"/>
      <c r="P137" s="28"/>
      <c r="Q137" s="28"/>
      <c r="R137" s="28"/>
      <c r="S137" s="28"/>
      <c r="T137" s="28"/>
      <c r="U137" s="65"/>
      <c r="V137" s="28"/>
      <c r="W137" s="65"/>
      <c r="X137" s="66" t="s">
        <v>77</v>
      </c>
      <c r="Y137" s="65" t="str">
        <f t="shared" si="6"/>
        <v>AQUA 54CP</v>
      </c>
    </row>
    <row r="138">
      <c r="A138" s="15" t="s">
        <v>511</v>
      </c>
      <c r="B138" s="15">
        <v>5408.0</v>
      </c>
      <c r="C138" s="15">
        <v>5408.0</v>
      </c>
      <c r="D138" s="48" t="s">
        <v>81</v>
      </c>
      <c r="E138" s="39">
        <v>1490.0</v>
      </c>
      <c r="F138" s="39">
        <v>1640.0</v>
      </c>
      <c r="G138" s="50">
        <f t="shared" si="24"/>
        <v>0.1006711409</v>
      </c>
      <c r="H138" s="28"/>
      <c r="I138" s="55">
        <f t="shared" si="2"/>
        <v>1647.784774</v>
      </c>
      <c r="J138" s="81"/>
      <c r="K138" s="60">
        <f>IFERROR(__xludf.DUMMYFUNCTION("IFERROR(VLOOKUP(C138,IMPORTRANGE(""https://docs.google.com/spreadsheets/d/1HZUHB8NvANAZR0sHDmHYVAm2WE9kNv0pGIQA48Ryim8/edit?gid=1285727875#gid=1285727875"",""Sheet1!A2:G""),7,0))"),436.75)</f>
        <v>436.75</v>
      </c>
      <c r="L138" s="62">
        <f t="shared" si="25"/>
        <v>3.411562679</v>
      </c>
      <c r="M138" s="60">
        <f>IFERROR(__xludf.DUMMYFUNCTION("IFERROR(VLOOKUP(C138,IMPORTRANGE(""https://docs.google.com/spreadsheets/d/1HZUHB8NvANAZR0sHDmHYVAm2WE9kNv0pGIQA48Ryim8/edit?gid=1285727875#gid=1285727875"",""Cost!A2:G""),7,0))"),483.0)</f>
        <v>483</v>
      </c>
      <c r="N138" s="62">
        <f t="shared" si="4"/>
        <v>3.395445135</v>
      </c>
      <c r="O138" s="62"/>
      <c r="P138" s="28"/>
      <c r="Q138" s="28"/>
      <c r="R138" s="28"/>
      <c r="S138" s="28"/>
      <c r="T138" s="28"/>
      <c r="U138" s="65"/>
      <c r="V138" s="28"/>
      <c r="W138" s="65"/>
      <c r="X138" s="66" t="s">
        <v>321</v>
      </c>
      <c r="Y138" s="65" t="str">
        <f t="shared" si="6"/>
        <v>AQUA 5408</v>
      </c>
    </row>
    <row r="139">
      <c r="A139" s="15" t="s">
        <v>511</v>
      </c>
      <c r="B139" s="15">
        <v>5410.0</v>
      </c>
      <c r="C139" s="15">
        <v>5410.0</v>
      </c>
      <c r="D139" s="48" t="s">
        <v>89</v>
      </c>
      <c r="E139" s="39">
        <v>840.0</v>
      </c>
      <c r="F139" s="39">
        <v>930.0</v>
      </c>
      <c r="G139" s="50">
        <f t="shared" si="24"/>
        <v>0.1071428571</v>
      </c>
      <c r="H139" s="28"/>
      <c r="I139" s="55">
        <f t="shared" si="2"/>
        <v>927.8781704</v>
      </c>
      <c r="J139" s="81"/>
      <c r="K139" s="60">
        <f>IFERROR(__xludf.DUMMYFUNCTION("IFERROR(VLOOKUP(C139,IMPORTRANGE(""https://docs.google.com/spreadsheets/d/1HZUHB8NvANAZR0sHDmHYVAm2WE9kNv0pGIQA48Ryim8/edit?gid=1285727875#gid=1285727875"",""Sheet1!A2:G""),7,0))"),186.49)</f>
        <v>186.49</v>
      </c>
      <c r="L139" s="62">
        <f t="shared" si="25"/>
        <v>4.504262963</v>
      </c>
      <c r="M139" s="60">
        <f>IFERROR(__xludf.DUMMYFUNCTION("IFERROR(VLOOKUP(C139,IMPORTRANGE(""https://docs.google.com/spreadsheets/d/1HZUHB8NvANAZR0sHDmHYVAm2WE9kNv0pGIQA48Ryim8/edit?gid=1285727875#gid=1285727875"",""Cost!A2:G""),7,0))"),206.0)</f>
        <v>206</v>
      </c>
      <c r="N139" s="62">
        <f t="shared" si="4"/>
        <v>4.514563107</v>
      </c>
      <c r="O139" s="62"/>
      <c r="P139" s="28"/>
      <c r="Q139" s="28"/>
      <c r="R139" s="28"/>
      <c r="S139" s="28"/>
      <c r="T139" s="28"/>
      <c r="U139" s="65"/>
      <c r="V139" s="28"/>
      <c r="W139" s="65"/>
      <c r="X139" s="66" t="s">
        <v>87</v>
      </c>
      <c r="Y139" s="65" t="str">
        <f t="shared" si="6"/>
        <v>AQUA 5410</v>
      </c>
    </row>
    <row r="140">
      <c r="A140" s="15" t="s">
        <v>511</v>
      </c>
      <c r="B140" s="15">
        <v>5411.0</v>
      </c>
      <c r="C140" s="15">
        <v>5411.0</v>
      </c>
      <c r="D140" s="48" t="s">
        <v>94</v>
      </c>
      <c r="E140" s="39">
        <v>1590.0</v>
      </c>
      <c r="F140" s="39">
        <v>1730.0</v>
      </c>
      <c r="G140" s="50">
        <f t="shared" si="24"/>
        <v>0.08805031447</v>
      </c>
      <c r="H140" s="28"/>
      <c r="I140" s="55">
        <f t="shared" si="2"/>
        <v>1796.354975</v>
      </c>
      <c r="J140" s="81"/>
      <c r="K140" s="60">
        <f>IFERROR(__xludf.DUMMYFUNCTION("IFERROR(VLOOKUP(C140,IMPORTRANGE(""https://docs.google.com/spreadsheets/d/1HZUHB8NvANAZR0sHDmHYVAm2WE9kNv0pGIQA48Ryim8/edit?gid=1285727875#gid=1285727875"",""Sheet1!A2:G""),7,0))"),457.61)</f>
        <v>457.61</v>
      </c>
      <c r="L140" s="62">
        <f t="shared" si="25"/>
        <v>3.474574419</v>
      </c>
      <c r="M140" s="60">
        <f>IFERROR(__xludf.DUMMYFUNCTION("IFERROR(VLOOKUP(C140,IMPORTRANGE(""https://docs.google.com/spreadsheets/d/1HZUHB8NvANAZR0sHDmHYVAm2WE9kNv0pGIQA48Ryim8/edit?gid=1285727875#gid=1285727875"",""Cost!A2:G""),7,0))"),517.0)</f>
        <v>517</v>
      </c>
      <c r="N140" s="62">
        <f t="shared" si="4"/>
        <v>3.34622824</v>
      </c>
      <c r="O140" s="62"/>
      <c r="P140" s="28"/>
      <c r="Q140" s="28"/>
      <c r="R140" s="28"/>
      <c r="S140" s="28"/>
      <c r="T140" s="28"/>
      <c r="U140" s="65"/>
      <c r="V140" s="28"/>
      <c r="W140" s="65"/>
      <c r="X140" s="66" t="s">
        <v>91</v>
      </c>
      <c r="Y140" s="65" t="str">
        <f t="shared" si="6"/>
        <v>AQUA 5411</v>
      </c>
    </row>
    <row r="141">
      <c r="A141" s="15" t="s">
        <v>511</v>
      </c>
      <c r="B141" s="15">
        <v>5412.0</v>
      </c>
      <c r="C141" s="15">
        <v>5412.0</v>
      </c>
      <c r="D141" s="48" t="s">
        <v>97</v>
      </c>
      <c r="E141" s="39">
        <v>1980.0</v>
      </c>
      <c r="F141" s="39">
        <v>2180.0</v>
      </c>
      <c r="G141" s="50">
        <f t="shared" si="24"/>
        <v>0.101010101</v>
      </c>
      <c r="H141" s="28"/>
      <c r="I141" s="55">
        <f t="shared" si="2"/>
        <v>2230.826232</v>
      </c>
      <c r="J141" s="81"/>
      <c r="K141" s="60">
        <f>IFERROR(__xludf.DUMMYFUNCTION("IFERROR(VLOOKUP(C141,IMPORTRANGE(""https://docs.google.com/spreadsheets/d/1HZUHB8NvANAZR0sHDmHYVAm2WE9kNv0pGIQA48Ryim8/edit?gid=1285727875#gid=1285727875"",""Sheet1!A2:G""),7,0))"),593.78)</f>
        <v>593.78</v>
      </c>
      <c r="L141" s="62">
        <f t="shared" si="25"/>
        <v>3.334568359</v>
      </c>
      <c r="M141" s="60">
        <f>IFERROR(__xludf.DUMMYFUNCTION("IFERROR(VLOOKUP(C141,IMPORTRANGE(""https://docs.google.com/spreadsheets/d/1HZUHB8NvANAZR0sHDmHYVAm2WE9kNv0pGIQA48Ryim8/edit?gid=1285727875#gid=1285727875"",""Cost!A2:G""),7,0))"),669.0)</f>
        <v>669</v>
      </c>
      <c r="N141" s="62">
        <f t="shared" si="4"/>
        <v>3.258594918</v>
      </c>
      <c r="O141" s="62"/>
      <c r="P141" s="28"/>
      <c r="Q141" s="28"/>
      <c r="R141" s="28"/>
      <c r="S141" s="28"/>
      <c r="T141" s="28"/>
      <c r="U141" s="65"/>
      <c r="V141" s="28"/>
      <c r="W141" s="65"/>
      <c r="X141" s="66" t="s">
        <v>95</v>
      </c>
      <c r="Y141" s="65" t="str">
        <f t="shared" si="6"/>
        <v>AQUA 5412</v>
      </c>
    </row>
    <row r="142">
      <c r="A142" s="15" t="s">
        <v>511</v>
      </c>
      <c r="B142" s="15">
        <v>5414.0</v>
      </c>
      <c r="C142" s="15">
        <v>5414.0</v>
      </c>
      <c r="D142" s="48" t="s">
        <v>106</v>
      </c>
      <c r="E142" s="39">
        <v>1860.0</v>
      </c>
      <c r="F142" s="39">
        <v>2060.0</v>
      </c>
      <c r="G142" s="50">
        <f t="shared" si="24"/>
        <v>0.1075268817</v>
      </c>
      <c r="H142" s="28"/>
      <c r="I142" s="55">
        <f t="shared" si="2"/>
        <v>2054.872171</v>
      </c>
      <c r="J142" s="81"/>
      <c r="K142" s="60">
        <f>IFERROR(__xludf.DUMMYFUNCTION("IFERROR(VLOOKUP(C142,IMPORTRANGE(""https://docs.google.com/spreadsheets/d/1HZUHB8NvANAZR0sHDmHYVAm2WE9kNv0pGIQA48Ryim8/edit?gid=1285727875#gid=1285727875"",""Sheet1!A2:G""),7,0))"),518.66)</f>
        <v>518.66</v>
      </c>
      <c r="L142" s="62">
        <f t="shared" si="25"/>
        <v>3.586164347</v>
      </c>
      <c r="M142" s="60">
        <f>IFERROR(__xludf.DUMMYFUNCTION("IFERROR(VLOOKUP(C142,IMPORTRANGE(""https://docs.google.com/spreadsheets/d/1HZUHB8NvANAZR0sHDmHYVAm2WE9kNv0pGIQA48Ryim8/edit?gid=1285727875#gid=1285727875"",""Cost!A2:G""),7,0))"),573.0)</f>
        <v>573</v>
      </c>
      <c r="N142" s="62">
        <f t="shared" si="4"/>
        <v>3.595113438</v>
      </c>
      <c r="O142" s="62"/>
      <c r="P142" s="28"/>
      <c r="Q142" s="28"/>
      <c r="R142" s="28"/>
      <c r="S142" s="28"/>
      <c r="T142" s="28"/>
      <c r="U142" s="65"/>
      <c r="V142" s="28"/>
      <c r="W142" s="65"/>
      <c r="X142" s="66" t="s">
        <v>104</v>
      </c>
      <c r="Y142" s="65" t="str">
        <f t="shared" si="6"/>
        <v>AQUA 5414</v>
      </c>
    </row>
    <row r="143">
      <c r="A143" s="15" t="s">
        <v>511</v>
      </c>
      <c r="B143" s="15">
        <v>5416.0</v>
      </c>
      <c r="C143" s="15">
        <v>5416.0</v>
      </c>
      <c r="D143" s="48" t="s">
        <v>112</v>
      </c>
      <c r="E143" s="39">
        <v>1690.0</v>
      </c>
      <c r="F143" s="39">
        <v>1840.0</v>
      </c>
      <c r="G143" s="50">
        <f t="shared" si="24"/>
        <v>0.08875739645</v>
      </c>
      <c r="H143" s="28"/>
      <c r="I143" s="55">
        <f t="shared" si="2"/>
        <v>1888.657338</v>
      </c>
      <c r="J143" s="81"/>
      <c r="K143" s="60">
        <f>IFERROR(__xludf.DUMMYFUNCTION("IFERROR(VLOOKUP(C143,IMPORTRANGE(""https://docs.google.com/spreadsheets/d/1HZUHB8NvANAZR0sHDmHYVAm2WE9kNv0pGIQA48Ryim8/edit?gid=1285727875#gid=1285727875"",""Sheet1!A2:G""),7,0))"),436.67)</f>
        <v>436.67</v>
      </c>
      <c r="L143" s="62">
        <f t="shared" si="25"/>
        <v>3.870199464</v>
      </c>
      <c r="M143" s="60">
        <f>IFERROR(__xludf.DUMMYFUNCTION("IFERROR(VLOOKUP(C143,IMPORTRANGE(""https://docs.google.com/spreadsheets/d/1HZUHB8NvANAZR0sHDmHYVAm2WE9kNv0pGIQA48Ryim8/edit?gid=1285727875#gid=1285727875"",""Cost!A2:G""),7,0))"),488.0)</f>
        <v>488</v>
      </c>
      <c r="N143" s="62">
        <f t="shared" si="4"/>
        <v>3.770491803</v>
      </c>
      <c r="O143" s="62"/>
      <c r="P143" s="28"/>
      <c r="Q143" s="28"/>
      <c r="R143" s="28"/>
      <c r="S143" s="28"/>
      <c r="T143" s="28"/>
      <c r="U143" s="65"/>
      <c r="V143" s="28"/>
      <c r="W143" s="65"/>
      <c r="X143" s="66" t="s">
        <v>110</v>
      </c>
      <c r="Y143" s="65" t="str">
        <f t="shared" si="6"/>
        <v>AQUA 5416</v>
      </c>
    </row>
    <row r="144">
      <c r="A144" s="15" t="s">
        <v>511</v>
      </c>
      <c r="B144" s="15">
        <v>5417.0</v>
      </c>
      <c r="C144" s="15">
        <v>5417.0</v>
      </c>
      <c r="D144" s="48" t="s">
        <v>112</v>
      </c>
      <c r="E144" s="39">
        <v>1840.0</v>
      </c>
      <c r="F144" s="39">
        <v>1970.0</v>
      </c>
      <c r="G144" s="50">
        <f t="shared" si="24"/>
        <v>0.07065217391</v>
      </c>
      <c r="H144" s="28"/>
      <c r="I144" s="55">
        <f t="shared" si="2"/>
        <v>1973.333333</v>
      </c>
      <c r="J144" s="81"/>
      <c r="K144" s="60">
        <f>IFERROR(__xludf.DUMMYFUNCTION("IFERROR(VLOOKUP(C144,IMPORTRANGE(""https://docs.google.com/spreadsheets/d/1HZUHB8NvANAZR0sHDmHYVAm2WE9kNv0pGIQA48Ryim8/edit?gid=1285727875#gid=1285727875"",""Sheet1!A2:G""),7,0))"),483.0)</f>
        <v>483</v>
      </c>
      <c r="L144" s="62">
        <f t="shared" si="25"/>
        <v>3.80952381</v>
      </c>
      <c r="M144" s="60">
        <f>IFERROR(__xludf.DUMMYFUNCTION("IFERROR(VLOOKUP(C144,IMPORTRANGE(""https://docs.google.com/spreadsheets/d/1HZUHB8NvANAZR0sHDmHYVAm2WE9kNv0pGIQA48Ryim8/edit?gid=1285727875#gid=1285727875"",""Cost!A2:G""),7,0))"),518.0)</f>
        <v>518</v>
      </c>
      <c r="N144" s="62">
        <f t="shared" si="4"/>
        <v>3.803088803</v>
      </c>
      <c r="O144" s="62"/>
      <c r="P144" s="28"/>
      <c r="Q144" s="28"/>
      <c r="R144" s="28"/>
      <c r="S144" s="28"/>
      <c r="T144" s="28"/>
      <c r="U144" s="65"/>
      <c r="V144" s="28"/>
      <c r="W144" s="65"/>
      <c r="X144" s="66" t="s">
        <v>114</v>
      </c>
      <c r="Y144" s="65" t="str">
        <f t="shared" si="6"/>
        <v>AQUA 5417</v>
      </c>
    </row>
    <row r="145">
      <c r="A145" s="15" t="s">
        <v>511</v>
      </c>
      <c r="B145" s="15">
        <v>5418.0</v>
      </c>
      <c r="C145" s="15">
        <v>5418.0</v>
      </c>
      <c r="D145" s="48" t="s">
        <v>119</v>
      </c>
      <c r="E145" s="39">
        <v>1250.0</v>
      </c>
      <c r="F145" s="39">
        <v>1410.0</v>
      </c>
      <c r="G145" s="50">
        <f t="shared" si="24"/>
        <v>0.128</v>
      </c>
      <c r="H145" s="28"/>
      <c r="I145" s="55">
        <f t="shared" si="2"/>
        <v>1418.077654</v>
      </c>
      <c r="J145" s="81"/>
      <c r="K145" s="60">
        <f>IFERROR(__xludf.DUMMYFUNCTION("IFERROR(VLOOKUP(C145,IMPORTRANGE(""https://docs.google.com/spreadsheets/d/1HZUHB8NvANAZR0sHDmHYVAm2WE9kNv0pGIQA48Ryim8/edit?gid=1285727875#gid=1285727875"",""Sheet1!A2:G""),7,0))"),352.59)</f>
        <v>352.59</v>
      </c>
      <c r="L145" s="62">
        <f t="shared" si="25"/>
        <v>3.545194135</v>
      </c>
      <c r="M145" s="60">
        <f>IFERROR(__xludf.DUMMYFUNCTION("IFERROR(VLOOKUP(C145,IMPORTRANGE(""https://docs.google.com/spreadsheets/d/1HZUHB8NvANAZR0sHDmHYVAm2WE9kNv0pGIQA48Ryim8/edit?gid=1285727875#gid=1285727875"",""Cost!A2:G""),7,0))"),400.0)</f>
        <v>400</v>
      </c>
      <c r="N145" s="62">
        <f t="shared" si="4"/>
        <v>3.525</v>
      </c>
      <c r="O145" s="62"/>
      <c r="P145" s="28"/>
      <c r="Q145" s="28"/>
      <c r="R145" s="28"/>
      <c r="S145" s="28"/>
      <c r="T145" s="28"/>
      <c r="U145" s="65"/>
      <c r="V145" s="28"/>
      <c r="W145" s="65"/>
      <c r="X145" s="66" t="s">
        <v>117</v>
      </c>
      <c r="Y145" s="65" t="str">
        <f t="shared" si="6"/>
        <v>AQUA 5418</v>
      </c>
    </row>
    <row r="146">
      <c r="A146" s="15" t="s">
        <v>511</v>
      </c>
      <c r="B146" s="15">
        <v>5420.0</v>
      </c>
      <c r="C146" s="15">
        <v>5420.0</v>
      </c>
      <c r="D146" s="48" t="s">
        <v>122</v>
      </c>
      <c r="E146" s="39">
        <v>1290.0</v>
      </c>
      <c r="F146" s="39">
        <v>1450.0</v>
      </c>
      <c r="G146" s="50">
        <f t="shared" si="24"/>
        <v>0.1240310078</v>
      </c>
      <c r="H146" s="28"/>
      <c r="I146" s="55">
        <f t="shared" si="2"/>
        <v>1462.230067</v>
      </c>
      <c r="J146" s="81"/>
      <c r="K146" s="60">
        <f>IFERROR(__xludf.DUMMYFUNCTION("IFERROR(VLOOKUP(C146,IMPORTRANGE(""https://docs.google.com/spreadsheets/d/1HZUHB8NvANAZR0sHDmHYVAm2WE9kNv0pGIQA48Ryim8/edit?gid=1285727875#gid=1285727875"",""Sheet1!A2:G""),7,0))"),362.59)</f>
        <v>362.59</v>
      </c>
      <c r="L146" s="62">
        <f t="shared" si="25"/>
        <v>3.557737389</v>
      </c>
      <c r="M146" s="60">
        <f>IFERROR(__xludf.DUMMYFUNCTION("IFERROR(VLOOKUP(C146,IMPORTRANGE(""https://docs.google.com/spreadsheets/d/1HZUHB8NvANAZR0sHDmHYVAm2WE9kNv0pGIQA48Ryim8/edit?gid=1285727875#gid=1285727875"",""Cost!A2:G""),7,0))"),411.0)</f>
        <v>411</v>
      </c>
      <c r="N146" s="62">
        <f t="shared" si="4"/>
        <v>3.527980535</v>
      </c>
      <c r="O146" s="62"/>
      <c r="P146" s="28"/>
      <c r="Q146" s="28"/>
      <c r="R146" s="28"/>
      <c r="S146" s="28"/>
      <c r="T146" s="28"/>
      <c r="U146" s="65"/>
      <c r="V146" s="28"/>
      <c r="W146" s="65"/>
      <c r="X146" s="66" t="s">
        <v>120</v>
      </c>
      <c r="Y146" s="65" t="str">
        <f t="shared" si="6"/>
        <v>AQUA 5420</v>
      </c>
    </row>
    <row r="147">
      <c r="A147" s="15" t="s">
        <v>511</v>
      </c>
      <c r="B147" s="15">
        <v>5450.0</v>
      </c>
      <c r="C147" s="15">
        <v>5450.0</v>
      </c>
      <c r="D147" s="48" t="s">
        <v>136</v>
      </c>
      <c r="E147" s="39">
        <v>2980.0</v>
      </c>
      <c r="F147" s="39">
        <v>3240.0</v>
      </c>
      <c r="G147" s="50">
        <f t="shared" si="24"/>
        <v>0.08724832215</v>
      </c>
      <c r="H147" s="28"/>
      <c r="I147" s="55">
        <f t="shared" si="2"/>
        <v>3320.99905</v>
      </c>
      <c r="J147" s="81"/>
      <c r="K147" s="60">
        <f>IFERROR(__xludf.DUMMYFUNCTION("IFERROR(VLOOKUP(C147,IMPORTRANGE(""https://docs.google.com/spreadsheets/d/1HZUHB8NvANAZR0sHDmHYVAm2WE9kNv0pGIQA48Ryim8/edit?gid=1285727875#gid=1285727875"",""Sheet1!A2:G""),7,0))"),736.7)</f>
        <v>736.7</v>
      </c>
      <c r="L147" s="62">
        <f t="shared" si="25"/>
        <v>4.045065834</v>
      </c>
      <c r="M147" s="60">
        <f>IFERROR(__xludf.DUMMYFUNCTION("IFERROR(VLOOKUP(C147,IMPORTRANGE(""https://docs.google.com/spreadsheets/d/1HZUHB8NvANAZR0sHDmHYVAm2WE9kNv0pGIQA48Ryim8/edit?gid=1285727875#gid=1285727875"",""Cost!A2:G""),7,0))"),821.0)</f>
        <v>821</v>
      </c>
      <c r="N147" s="62">
        <f t="shared" si="4"/>
        <v>3.946406821</v>
      </c>
      <c r="O147" s="62"/>
      <c r="P147" s="28"/>
      <c r="Q147" s="28"/>
      <c r="R147" s="28"/>
      <c r="S147" s="28"/>
      <c r="T147" s="28"/>
      <c r="U147" s="65"/>
      <c r="V147" s="28"/>
      <c r="W147" s="65"/>
      <c r="X147" s="66" t="s">
        <v>134</v>
      </c>
      <c r="Y147" s="65" t="str">
        <f t="shared" si="6"/>
        <v>AQUA 5450</v>
      </c>
    </row>
    <row r="148">
      <c r="A148" s="15" t="s">
        <v>511</v>
      </c>
      <c r="B148" s="15">
        <v>5451.0</v>
      </c>
      <c r="C148" s="15">
        <v>5451.0</v>
      </c>
      <c r="D148" s="48" t="s">
        <v>141</v>
      </c>
      <c r="E148" s="39">
        <v>3880.0</v>
      </c>
      <c r="F148" s="39">
        <v>3980.0</v>
      </c>
      <c r="G148" s="50">
        <f t="shared" si="24"/>
        <v>0.02577319588</v>
      </c>
      <c r="H148" s="28"/>
      <c r="I148" s="55">
        <f t="shared" si="2"/>
        <v>4278.784512</v>
      </c>
      <c r="J148" s="81"/>
      <c r="K148" s="60">
        <f>IFERROR(__xludf.DUMMYFUNCTION("IFERROR(VLOOKUP(C148,IMPORTRANGE(""https://docs.google.com/spreadsheets/d/1HZUHB8NvANAZR0sHDmHYVAm2WE9kNv0pGIQA48Ryim8/edit?gid=1285727875#gid=1285727875"",""Sheet1!A2:G""),7,0))"),864.18)</f>
        <v>864.18</v>
      </c>
      <c r="L148" s="62">
        <f t="shared" si="25"/>
        <v>4.489805365</v>
      </c>
      <c r="M148" s="60">
        <f>IFERROR(__xludf.DUMMYFUNCTION("IFERROR(VLOOKUP(C148,IMPORTRANGE(""https://docs.google.com/spreadsheets/d/1HZUHB8NvANAZR0sHDmHYVAm2WE9kNv0pGIQA48Ryim8/edit?gid=1285727875#gid=1285727875"",""Cost!A2:G""),7,0))"),953.0)</f>
        <v>953</v>
      </c>
      <c r="N148" s="62">
        <f t="shared" si="4"/>
        <v>4.176285414</v>
      </c>
      <c r="O148" s="62"/>
      <c r="P148" s="28"/>
      <c r="Q148" s="28"/>
      <c r="R148" s="28"/>
      <c r="S148" s="28"/>
      <c r="T148" s="28"/>
      <c r="U148" s="65"/>
      <c r="V148" s="28"/>
      <c r="W148" s="65"/>
      <c r="X148" s="66" t="s">
        <v>139</v>
      </c>
      <c r="Y148" s="65" t="str">
        <f t="shared" si="6"/>
        <v>AQUA 5451</v>
      </c>
    </row>
    <row r="149">
      <c r="A149" s="15" t="s">
        <v>511</v>
      </c>
      <c r="B149" s="15">
        <v>5454.0</v>
      </c>
      <c r="C149" s="15">
        <v>5454.0</v>
      </c>
      <c r="D149" s="48" t="s">
        <v>152</v>
      </c>
      <c r="E149" s="75">
        <f t="shared" ref="E149:F149" si="28">SUM(E150:E151)</f>
        <v>5740</v>
      </c>
      <c r="F149" s="75">
        <f t="shared" si="28"/>
        <v>6050</v>
      </c>
      <c r="G149" s="50">
        <f t="shared" si="24"/>
        <v>0.05400696864</v>
      </c>
      <c r="H149" s="28"/>
      <c r="I149" s="55">
        <f t="shared" si="2"/>
        <v>6177.822866</v>
      </c>
      <c r="J149" s="81"/>
      <c r="K149" s="60">
        <f>IFERROR(__xludf.DUMMYFUNCTION("IFERROR(VLOOKUP(C149,IMPORTRANGE(""https://docs.google.com/spreadsheets/d/1HZUHB8NvANAZR0sHDmHYVAm2WE9kNv0pGIQA48Ryim8/edit?gid=1285727875#gid=1285727875"",""Sheet1!A2:G""),7,0))"),1537.71)</f>
        <v>1537.71</v>
      </c>
      <c r="L149" s="62">
        <f t="shared" si="25"/>
        <v>3.732823484</v>
      </c>
      <c r="M149" s="60">
        <f>IFERROR(__xludf.DUMMYFUNCTION("IFERROR(VLOOKUP(C149,IMPORTRANGE(""https://docs.google.com/spreadsheets/d/1HZUHB8NvANAZR0sHDmHYVAm2WE9kNv0pGIQA48Ryim8/edit?gid=1285727875#gid=1285727875"",""Cost!A2:G""),7,0))"),1655.0)</f>
        <v>1655</v>
      </c>
      <c r="N149" s="62">
        <f t="shared" si="4"/>
        <v>3.655589124</v>
      </c>
      <c r="O149" s="62"/>
      <c r="P149" s="28"/>
      <c r="Q149" s="28"/>
      <c r="R149" s="28"/>
      <c r="S149" s="28"/>
      <c r="T149" s="28"/>
      <c r="U149" s="65"/>
      <c r="V149" s="28"/>
      <c r="W149" s="65"/>
      <c r="X149" s="66" t="s">
        <v>150</v>
      </c>
      <c r="Y149" s="65" t="str">
        <f t="shared" si="6"/>
        <v>AQUA 5454</v>
      </c>
    </row>
    <row r="150">
      <c r="A150" s="15" t="s">
        <v>511</v>
      </c>
      <c r="B150" s="15" t="s">
        <v>154</v>
      </c>
      <c r="C150" s="15" t="s">
        <v>154</v>
      </c>
      <c r="D150" s="48" t="s">
        <v>156</v>
      </c>
      <c r="E150" s="39">
        <v>3680.0</v>
      </c>
      <c r="F150" s="39">
        <v>3990.0</v>
      </c>
      <c r="G150" s="50">
        <f t="shared" si="24"/>
        <v>0.08423913043</v>
      </c>
      <c r="H150" s="101"/>
      <c r="I150" s="55">
        <f t="shared" si="2"/>
        <v>4075.59981</v>
      </c>
      <c r="J150" s="81"/>
      <c r="K150" s="60">
        <f>IFERROR(__xludf.DUMMYFUNCTION("IFERROR(VLOOKUP(C150,IMPORTRANGE(""https://docs.google.com/spreadsheets/d/1HZUHB8NvANAZR0sHDmHYVAm2WE9kNv0pGIQA48Ryim8/edit?gid=1285727875#gid=1285727875"",""Sheet1!A2:G""),7,0))"),966.14)</f>
        <v>966.14</v>
      </c>
      <c r="L150" s="62">
        <f t="shared" si="25"/>
        <v>3.808971785</v>
      </c>
      <c r="M150" s="60">
        <f>IFERROR(__xludf.DUMMYFUNCTION("IFERROR(VLOOKUP(C150,IMPORTRANGE(""https://docs.google.com/spreadsheets/d/1HZUHB8NvANAZR0sHDmHYVAm2WE9kNv0pGIQA48Ryim8/edit?gid=1285727875#gid=1285727875"",""Cost!A2:G""),7,0))"),1070.0)</f>
        <v>1070</v>
      </c>
      <c r="N150" s="62">
        <f t="shared" si="4"/>
        <v>3.728971963</v>
      </c>
      <c r="O150" s="62"/>
      <c r="P150" s="28"/>
      <c r="Q150" s="28"/>
      <c r="R150" s="28"/>
      <c r="S150" s="28"/>
      <c r="T150" s="28"/>
      <c r="U150" s="65"/>
      <c r="V150" s="28"/>
      <c r="W150" s="65"/>
      <c r="X150" s="66" t="s">
        <v>154</v>
      </c>
      <c r="Y150" s="65" t="str">
        <f t="shared" si="6"/>
        <v>AQUA 54BD-40</v>
      </c>
    </row>
    <row r="151">
      <c r="A151" s="15" t="s">
        <v>511</v>
      </c>
      <c r="B151" s="15" t="s">
        <v>541</v>
      </c>
      <c r="C151" s="15" t="s">
        <v>541</v>
      </c>
      <c r="D151" s="48" t="s">
        <v>78</v>
      </c>
      <c r="E151" s="39">
        <v>2060.0</v>
      </c>
      <c r="F151" s="39">
        <v>2060.0</v>
      </c>
      <c r="G151" s="50">
        <f t="shared" si="24"/>
        <v>0</v>
      </c>
      <c r="H151" s="28"/>
      <c r="I151" s="55">
        <f t="shared" si="2"/>
        <v>2195.824176</v>
      </c>
      <c r="J151" s="81"/>
      <c r="K151" s="60">
        <f>IFERROR(__xludf.DUMMYFUNCTION("IFERROR(VLOOKUP(C151,IMPORTRANGE(""https://docs.google.com/spreadsheets/d/1HZUHB8NvANAZR0sHDmHYVAm2WE9kNv0pGIQA48Ryim8/edit?gid=1285727875#gid=1285727875"",""Sheet1!A2:G""),7,0))"),546.0)</f>
        <v>546</v>
      </c>
      <c r="L151" s="62">
        <f t="shared" si="25"/>
        <v>3.772893773</v>
      </c>
      <c r="M151" s="60">
        <f>IFERROR(__xludf.DUMMYFUNCTION("IFERROR(VLOOKUP(C151,IMPORTRANGE(""https://docs.google.com/spreadsheets/d/1HZUHB8NvANAZR0sHDmHYVAm2WE9kNv0pGIQA48Ryim8/edit?gid=1285727875#gid=1285727875"",""Cost!A2:G""),7,0))"),582.0)</f>
        <v>582</v>
      </c>
      <c r="N151" s="62">
        <f t="shared" si="4"/>
        <v>3.5395189</v>
      </c>
      <c r="O151" s="62"/>
      <c r="P151" s="28"/>
      <c r="Q151" s="28"/>
      <c r="R151" s="28"/>
      <c r="S151" s="28"/>
      <c r="T151" s="28"/>
      <c r="U151" s="65"/>
      <c r="V151" s="28"/>
      <c r="W151" s="65"/>
      <c r="X151" s="66" t="s">
        <v>159</v>
      </c>
      <c r="Y151" s="65" t="str">
        <f t="shared" si="6"/>
        <v>AQUA 54BB</v>
      </c>
    </row>
    <row r="152">
      <c r="A152" s="15" t="s">
        <v>511</v>
      </c>
      <c r="B152" s="15">
        <v>5455.0</v>
      </c>
      <c r="C152" s="15">
        <v>5455.0</v>
      </c>
      <c r="D152" s="48" t="s">
        <v>164</v>
      </c>
      <c r="E152" s="75">
        <v>3650.0</v>
      </c>
      <c r="F152" s="39">
        <v>3990.0</v>
      </c>
      <c r="G152" s="50">
        <f t="shared" si="24"/>
        <v>0.09315068493</v>
      </c>
      <c r="H152" s="28"/>
      <c r="I152" s="55">
        <f t="shared" si="2"/>
        <v>4046.933224</v>
      </c>
      <c r="J152" s="81"/>
      <c r="K152" s="60">
        <f>IFERROR(__xludf.DUMMYFUNCTION("IFERROR(VLOOKUP(C152,IMPORTRANGE(""https://docs.google.com/spreadsheets/d/1HZUHB8NvANAZR0sHDmHYVAm2WE9kNv0pGIQA48Ryim8/edit?gid=1285727875#gid=1285727875"",""Sheet1!A2:G""),7,0))"),874.86)</f>
        <v>874.86</v>
      </c>
      <c r="L152" s="62">
        <f t="shared" si="25"/>
        <v>4.172096107</v>
      </c>
      <c r="M152" s="60">
        <f>IFERROR(__xludf.DUMMYFUNCTION("IFERROR(VLOOKUP(C152,IMPORTRANGE(""https://docs.google.com/spreadsheets/d/1HZUHB8NvANAZR0sHDmHYVAm2WE9kNv0pGIQA48Ryim8/edit?gid=1285727875#gid=1285727875"",""Cost!A2:G""),7,0))"),970.0)</f>
        <v>970</v>
      </c>
      <c r="N152" s="62">
        <f t="shared" si="4"/>
        <v>4.113402062</v>
      </c>
      <c r="O152" s="62"/>
      <c r="P152" s="28"/>
      <c r="Q152" s="28"/>
      <c r="R152" s="28"/>
      <c r="S152" s="28"/>
      <c r="T152" s="28"/>
      <c r="U152" s="65"/>
      <c r="V152" s="28"/>
      <c r="W152" s="65"/>
      <c r="X152" s="66" t="s">
        <v>162</v>
      </c>
      <c r="Y152" s="65" t="str">
        <f t="shared" si="6"/>
        <v>AQUA 5455</v>
      </c>
    </row>
    <row r="153">
      <c r="A153" s="15" t="s">
        <v>511</v>
      </c>
      <c r="B153" s="15">
        <v>5470.0</v>
      </c>
      <c r="C153" s="15">
        <v>5470.0</v>
      </c>
      <c r="D153" s="48" t="s">
        <v>186</v>
      </c>
      <c r="E153" s="39">
        <v>4990.0</v>
      </c>
      <c r="F153" s="39">
        <v>5380.0</v>
      </c>
      <c r="G153" s="50">
        <f t="shared" si="24"/>
        <v>0.07815631263</v>
      </c>
      <c r="H153" s="28"/>
      <c r="I153" s="55">
        <f t="shared" si="2"/>
        <v>5569.881285</v>
      </c>
      <c r="J153" s="81"/>
      <c r="K153" s="60">
        <f>IFERROR(__xludf.DUMMYFUNCTION("IFERROR(VLOOKUP(C153,IMPORTRANGE(""https://docs.google.com/spreadsheets/d/1HZUHB8NvANAZR0sHDmHYVAm2WE9kNv0pGIQA48Ryim8/edit?gid=1285727875#gid=1285727875"",""Sheet1!A2:G""),7,0))"),1480.01)</f>
        <v>1480.01</v>
      </c>
      <c r="L153" s="62">
        <f t="shared" si="25"/>
        <v>3.371598841</v>
      </c>
      <c r="M153" s="60">
        <f>IFERROR(__xludf.DUMMYFUNCTION("IFERROR(VLOOKUP(C153,IMPORTRANGE(""https://docs.google.com/spreadsheets/d/1HZUHB8NvANAZR0sHDmHYVAm2WE9kNv0pGIQA48Ryim8/edit?gid=1285727875#gid=1285727875"",""Cost!A2:G""),7,0))"),1652.0)</f>
        <v>1652</v>
      </c>
      <c r="N153" s="62">
        <f t="shared" si="4"/>
        <v>3.256658596</v>
      </c>
      <c r="O153" s="62"/>
      <c r="P153" s="28"/>
      <c r="Q153" s="28"/>
      <c r="R153" s="28"/>
      <c r="S153" s="28"/>
      <c r="T153" s="28"/>
      <c r="U153" s="65"/>
      <c r="V153" s="28"/>
      <c r="W153" s="65"/>
      <c r="X153" s="66" t="s">
        <v>184</v>
      </c>
      <c r="Y153" s="65" t="str">
        <f t="shared" si="6"/>
        <v>AQUA 5470</v>
      </c>
    </row>
    <row r="154">
      <c r="A154" s="15" t="s">
        <v>511</v>
      </c>
      <c r="B154" s="15">
        <v>5475.0</v>
      </c>
      <c r="C154" s="15">
        <v>5475.0</v>
      </c>
      <c r="D154" s="48" t="s">
        <v>196</v>
      </c>
      <c r="E154" s="39">
        <v>4990.0</v>
      </c>
      <c r="F154" s="39">
        <v>5380.0</v>
      </c>
      <c r="G154" s="50">
        <f t="shared" si="24"/>
        <v>0.07815631263</v>
      </c>
      <c r="H154" s="28"/>
      <c r="I154" s="55">
        <f t="shared" si="2"/>
        <v>5556.792873</v>
      </c>
      <c r="J154" s="81"/>
      <c r="K154" s="60">
        <f>IFERROR(__xludf.DUMMYFUNCTION("IFERROR(VLOOKUP(C154,IMPORTRANGE(""https://docs.google.com/spreadsheets/d/1HZUHB8NvANAZR0sHDmHYVAm2WE9kNv0pGIQA48Ryim8/edit?gid=1285727875#gid=1285727875"",""Sheet1!A2:G""),7,0))"),1445.78)</f>
        <v>1445.78</v>
      </c>
      <c r="L154" s="62">
        <f t="shared" si="25"/>
        <v>3.451424145</v>
      </c>
      <c r="M154" s="60">
        <f>IFERROR(__xludf.DUMMYFUNCTION("IFERROR(VLOOKUP(C154,IMPORTRANGE(""https://docs.google.com/spreadsheets/d/1HZUHB8NvANAZR0sHDmHYVAm2WE9kNv0pGIQA48Ryim8/edit?gid=1285727875#gid=1285727875"",""Cost!A2:G""),7,0))"),1610.0)</f>
        <v>1610</v>
      </c>
      <c r="N154" s="62">
        <f t="shared" si="4"/>
        <v>3.341614907</v>
      </c>
      <c r="O154" s="62"/>
      <c r="P154" s="28"/>
      <c r="Q154" s="28"/>
      <c r="R154" s="28"/>
      <c r="S154" s="28"/>
      <c r="T154" s="28"/>
      <c r="U154" s="65"/>
      <c r="V154" s="28"/>
      <c r="W154" s="65"/>
      <c r="X154" s="66" t="s">
        <v>194</v>
      </c>
      <c r="Y154" s="65" t="str">
        <f t="shared" si="6"/>
        <v>AQUA 5475</v>
      </c>
    </row>
    <row r="155">
      <c r="A155" s="15" t="s">
        <v>511</v>
      </c>
      <c r="B155" s="15">
        <v>5480.0</v>
      </c>
      <c r="C155" s="15">
        <v>5480.0</v>
      </c>
      <c r="D155" s="48" t="s">
        <v>205</v>
      </c>
      <c r="E155" s="39">
        <v>5880.0</v>
      </c>
      <c r="F155" s="39">
        <v>6540.0</v>
      </c>
      <c r="G155" s="50">
        <f t="shared" si="24"/>
        <v>0.112244898</v>
      </c>
      <c r="H155" s="28"/>
      <c r="I155" s="55">
        <f t="shared" si="2"/>
        <v>6542.611961</v>
      </c>
      <c r="J155" s="81"/>
      <c r="K155" s="60">
        <f>IFERROR(__xludf.DUMMYFUNCTION("IFERROR(VLOOKUP(C155,IMPORTRANGE(""https://docs.google.com/spreadsheets/d/1HZUHB8NvANAZR0sHDmHYVAm2WE9kNv0pGIQA48Ryim8/edit?gid=1285727875#gid=1285727875"",""Sheet1!A2:G""),7,0))"),1661.74)</f>
        <v>1661.74</v>
      </c>
      <c r="L155" s="62">
        <f t="shared" si="25"/>
        <v>3.538459687</v>
      </c>
      <c r="M155" s="60">
        <f>IFERROR(__xludf.DUMMYFUNCTION("IFERROR(VLOOKUP(C155,IMPORTRANGE(""https://docs.google.com/spreadsheets/d/1HZUHB8NvANAZR0sHDmHYVAm2WE9kNv0pGIQA48Ryim8/edit?gid=1285727875#gid=1285727875"",""Cost!A2:G""),7,0))"),1849.0)</f>
        <v>1849</v>
      </c>
      <c r="N155" s="62">
        <f t="shared" si="4"/>
        <v>3.537047052</v>
      </c>
      <c r="O155" s="62"/>
      <c r="P155" s="28"/>
      <c r="Q155" s="28"/>
      <c r="R155" s="28"/>
      <c r="S155" s="28"/>
      <c r="T155" s="28"/>
      <c r="U155" s="65"/>
      <c r="V155" s="28"/>
      <c r="W155" s="65"/>
      <c r="X155" s="66" t="s">
        <v>203</v>
      </c>
      <c r="Y155" s="65" t="str">
        <f t="shared" si="6"/>
        <v>AQUA 5480</v>
      </c>
    </row>
    <row r="156">
      <c r="A156" s="15" t="s">
        <v>511</v>
      </c>
      <c r="B156" s="15" t="s">
        <v>546</v>
      </c>
      <c r="C156" s="15" t="s">
        <v>546</v>
      </c>
      <c r="D156" s="48" t="s">
        <v>210</v>
      </c>
      <c r="E156" s="75">
        <f t="shared" ref="E156:F156" si="29">SUM(E157:E158)</f>
        <v>5980</v>
      </c>
      <c r="F156" s="75">
        <f t="shared" si="29"/>
        <v>6320</v>
      </c>
      <c r="G156" s="50">
        <f t="shared" si="24"/>
        <v>0.05685618729</v>
      </c>
      <c r="H156" s="28"/>
      <c r="I156" s="55">
        <f t="shared" si="2"/>
        <v>6506.816492</v>
      </c>
      <c r="J156" s="81"/>
      <c r="K156" s="60">
        <f>IFERROR(__xludf.DUMMYFUNCTION("IFERROR(VLOOKUP(C156,IMPORTRANGE(""https://docs.google.com/spreadsheets/d/1HZUHB8NvANAZR0sHDmHYVAm2WE9kNv0pGIQA48Ryim8/edit?gid=1285727875#gid=1285727875"",""Sheet1!A2:G""),7,0))"),1573.39)</f>
        <v>1573.39</v>
      </c>
      <c r="L156" s="62">
        <f t="shared" si="25"/>
        <v>3.800710568</v>
      </c>
      <c r="M156" s="60">
        <f>IFERROR(__xludf.DUMMYFUNCTION("IFERROR(VLOOKUP(C156,IMPORTRANGE(""https://docs.google.com/spreadsheets/d/1HZUHB8NvANAZR0sHDmHYVAm2WE9kNv0pGIQA48Ryim8/edit?gid=1285727875#gid=1285727875"",""Cost!A2:G""),7,0))"),1712.0)</f>
        <v>1712</v>
      </c>
      <c r="N156" s="62">
        <f t="shared" si="4"/>
        <v>3.691588785</v>
      </c>
      <c r="O156" s="62"/>
      <c r="P156" s="28"/>
      <c r="Q156" s="28"/>
      <c r="R156" s="28"/>
      <c r="S156" s="28"/>
      <c r="T156" s="28"/>
      <c r="U156" s="65"/>
      <c r="V156" s="28"/>
      <c r="W156" s="65"/>
      <c r="X156" s="66" t="s">
        <v>209</v>
      </c>
      <c r="Y156" s="65" t="str">
        <f t="shared" si="6"/>
        <v>AQUA 5491</v>
      </c>
    </row>
    <row r="157">
      <c r="A157" s="15" t="s">
        <v>511</v>
      </c>
      <c r="B157" s="15" t="s">
        <v>212</v>
      </c>
      <c r="C157" s="15" t="s">
        <v>212</v>
      </c>
      <c r="D157" s="48" t="s">
        <v>214</v>
      </c>
      <c r="E157" s="39">
        <v>4240.0</v>
      </c>
      <c r="F157" s="39">
        <v>4580.0</v>
      </c>
      <c r="G157" s="50">
        <f t="shared" si="24"/>
        <v>0.08018867925</v>
      </c>
      <c r="H157" s="28"/>
      <c r="I157" s="55">
        <f t="shared" si="2"/>
        <v>4549.622554</v>
      </c>
      <c r="J157" s="81"/>
      <c r="K157" s="60">
        <f>IFERROR(__xludf.DUMMYFUNCTION("IFERROR(VLOOKUP(C157,IMPORTRANGE(""https://docs.google.com/spreadsheets/d/1HZUHB8NvANAZR0sHDmHYVAm2WE9kNv0pGIQA48Ryim8/edit?gid=1285727875#gid=1285727875"",""Sheet1!A2:G""),7,0))"),1298.2)</f>
        <v>1298.2</v>
      </c>
      <c r="L157" s="62">
        <f t="shared" si="25"/>
        <v>3.266060699</v>
      </c>
      <c r="M157" s="60">
        <f>IFERROR(__xludf.DUMMYFUNCTION("IFERROR(VLOOKUP(C157,IMPORTRANGE(""https://docs.google.com/spreadsheets/d/1HZUHB8NvANAZR0sHDmHYVAm2WE9kNv0pGIQA48Ryim8/edit?gid=1285727875#gid=1285727875"",""Cost!A2:G""),7,0))"),1393.0)</f>
        <v>1393</v>
      </c>
      <c r="N157" s="62">
        <f t="shared" si="4"/>
        <v>3.287867911</v>
      </c>
      <c r="O157" s="62"/>
      <c r="P157" s="28"/>
      <c r="Q157" s="28"/>
      <c r="R157" s="28"/>
      <c r="S157" s="28"/>
      <c r="T157" s="28"/>
      <c r="U157" s="65"/>
      <c r="V157" s="28"/>
      <c r="W157" s="65"/>
      <c r="X157" s="66" t="s">
        <v>212</v>
      </c>
      <c r="Y157" s="65" t="str">
        <f t="shared" si="6"/>
        <v>AQUA 54PD-40-N</v>
      </c>
    </row>
    <row r="158">
      <c r="A158" s="15" t="s">
        <v>511</v>
      </c>
      <c r="B158" s="15" t="s">
        <v>549</v>
      </c>
      <c r="C158" s="15" t="s">
        <v>549</v>
      </c>
      <c r="D158" s="48" t="s">
        <v>217</v>
      </c>
      <c r="E158" s="39">
        <v>1740.0</v>
      </c>
      <c r="F158" s="39">
        <v>1740.0</v>
      </c>
      <c r="G158" s="50">
        <f t="shared" si="24"/>
        <v>0</v>
      </c>
      <c r="H158" s="28"/>
      <c r="I158" s="55">
        <f t="shared" si="2"/>
        <v>2013.636531</v>
      </c>
      <c r="J158" s="81"/>
      <c r="K158" s="60">
        <f>IFERROR(__xludf.DUMMYFUNCTION("IFERROR(VLOOKUP(C158,IMPORTRANGE(""https://docs.google.com/spreadsheets/d/1HZUHB8NvANAZR0sHDmHYVAm2WE9kNv0pGIQA48Ryim8/edit?gid=1285727875#gid=1285727875"",""Sheet1!A2:G""),7,0))"),271.33)</f>
        <v>271.33</v>
      </c>
      <c r="L158" s="62">
        <f t="shared" si="25"/>
        <v>6.412855195</v>
      </c>
      <c r="M158" s="60">
        <f>IFERROR(__xludf.DUMMYFUNCTION("IFERROR(VLOOKUP(C158,IMPORTRANGE(""https://docs.google.com/spreadsheets/d/1HZUHB8NvANAZR0sHDmHYVAm2WE9kNv0pGIQA48Ryim8/edit?gid=1285727875#gid=1285727875"",""Cost!A2:G""),7,0))"),314.0)</f>
        <v>314</v>
      </c>
      <c r="N158" s="62">
        <f t="shared" si="4"/>
        <v>5.541401274</v>
      </c>
      <c r="O158" s="62"/>
      <c r="P158" s="28"/>
      <c r="Q158" s="28"/>
      <c r="R158" s="28"/>
      <c r="S158" s="28"/>
      <c r="T158" s="28"/>
      <c r="U158" s="65"/>
      <c r="V158" s="28"/>
      <c r="W158" s="65"/>
      <c r="X158" s="66" t="s">
        <v>358</v>
      </c>
      <c r="Y158" s="65" t="str">
        <f t="shared" si="6"/>
        <v>AQUA 54DB</v>
      </c>
    </row>
    <row r="159">
      <c r="A159" s="15" t="s">
        <v>511</v>
      </c>
      <c r="B159" s="15" t="s">
        <v>552</v>
      </c>
      <c r="C159" s="15" t="s">
        <v>552</v>
      </c>
      <c r="D159" s="48" t="s">
        <v>220</v>
      </c>
      <c r="E159" s="75">
        <f t="shared" ref="E159:F159" si="30">SUM(E160:E161)</f>
        <v>6720</v>
      </c>
      <c r="F159" s="75">
        <f t="shared" si="30"/>
        <v>7230</v>
      </c>
      <c r="G159" s="50">
        <f t="shared" si="24"/>
        <v>0.07589285714</v>
      </c>
      <c r="H159" s="28"/>
      <c r="I159" s="55">
        <f t="shared" si="2"/>
        <v>7496.523998</v>
      </c>
      <c r="J159" s="81"/>
      <c r="K159" s="60">
        <f>IFERROR(__xludf.DUMMYFUNCTION("IFERROR(VLOOKUP(C159,IMPORTRANGE(""https://docs.google.com/spreadsheets/d/1HZUHB8NvANAZR0sHDmHYVAm2WE9kNv0pGIQA48Ryim8/edit?gid=1285727875#gid=1285727875"",""Sheet1!A2:G""),7,0))"),1855.58)</f>
        <v>1855.58</v>
      </c>
      <c r="L159" s="62">
        <f t="shared" si="25"/>
        <v>3.621509178</v>
      </c>
      <c r="M159" s="60">
        <f>IFERROR(__xludf.DUMMYFUNCTION("IFERROR(VLOOKUP(C159,IMPORTRANGE(""https://docs.google.com/spreadsheets/d/1HZUHB8NvANAZR0sHDmHYVAm2WE9kNv0pGIQA48Ryim8/edit?gid=1285727875#gid=1285727875"",""Cost!A2:G""),7,0))"),2070.0)</f>
        <v>2070</v>
      </c>
      <c r="N159" s="62">
        <f t="shared" si="4"/>
        <v>3.492753623</v>
      </c>
      <c r="O159" s="62"/>
      <c r="P159" s="28"/>
      <c r="Q159" s="28"/>
      <c r="R159" s="28"/>
      <c r="S159" s="28"/>
      <c r="T159" s="28"/>
      <c r="U159" s="65"/>
      <c r="V159" s="28"/>
      <c r="W159" s="65"/>
      <c r="X159" s="66" t="s">
        <v>219</v>
      </c>
      <c r="Y159" s="65" t="str">
        <f t="shared" si="6"/>
        <v>AQUA 5492</v>
      </c>
    </row>
    <row r="160">
      <c r="A160" s="15" t="s">
        <v>511</v>
      </c>
      <c r="B160" s="15" t="s">
        <v>223</v>
      </c>
      <c r="C160" s="15" t="s">
        <v>223</v>
      </c>
      <c r="D160" s="48" t="s">
        <v>224</v>
      </c>
      <c r="E160" s="39">
        <v>4980.0</v>
      </c>
      <c r="F160" s="39">
        <v>5490.0</v>
      </c>
      <c r="G160" s="50">
        <f t="shared" si="24"/>
        <v>0.1024096386</v>
      </c>
      <c r="H160" s="28"/>
      <c r="I160" s="55">
        <f t="shared" si="2"/>
        <v>5513.426362</v>
      </c>
      <c r="J160" s="81"/>
      <c r="K160" s="60">
        <f>IFERROR(__xludf.DUMMYFUNCTION("IFERROR(VLOOKUP(C160,IMPORTRANGE(""https://docs.google.com/spreadsheets/d/1HZUHB8NvANAZR0sHDmHYVAm2WE9kNv0pGIQA48Ryim8/edit?gid=1285727875#gid=1285727875"",""Sheet1!A2:G""),7,0))"),1581.59)</f>
        <v>1581.59</v>
      </c>
      <c r="L160" s="62">
        <f t="shared" si="25"/>
        <v>3.148730075</v>
      </c>
      <c r="M160" s="60">
        <f>IFERROR(__xludf.DUMMYFUNCTION("IFERROR(VLOOKUP(C160,IMPORTRANGE(""https://docs.google.com/spreadsheets/d/1HZUHB8NvANAZR0sHDmHYVAm2WE9kNv0pGIQA48Ryim8/edit?gid=1285727875#gid=1285727875"",""Cost!A2:G""),7,0))"),1751.0)</f>
        <v>1751</v>
      </c>
      <c r="N160" s="62">
        <f t="shared" si="4"/>
        <v>3.135351228</v>
      </c>
      <c r="O160" s="62"/>
      <c r="P160" s="28"/>
      <c r="Q160" s="28"/>
      <c r="R160" s="28"/>
      <c r="S160" s="28"/>
      <c r="T160" s="28"/>
      <c r="U160" s="65"/>
      <c r="V160" s="28"/>
      <c r="W160" s="65"/>
      <c r="X160" s="66" t="s">
        <v>223</v>
      </c>
      <c r="Y160" s="65" t="str">
        <f t="shared" si="6"/>
        <v>AQUA 54PD-46-H-N</v>
      </c>
    </row>
    <row r="161">
      <c r="A161" s="15" t="s">
        <v>511</v>
      </c>
      <c r="B161" s="15" t="s">
        <v>555</v>
      </c>
      <c r="C161" s="15" t="s">
        <v>555</v>
      </c>
      <c r="D161" s="48" t="s">
        <v>217</v>
      </c>
      <c r="E161" s="39">
        <v>1740.0</v>
      </c>
      <c r="F161" s="39">
        <f>F158</f>
        <v>1740</v>
      </c>
      <c r="G161" s="50">
        <f t="shared" si="24"/>
        <v>0</v>
      </c>
      <c r="H161" s="28"/>
      <c r="I161" s="55">
        <f t="shared" si="2"/>
        <v>2019.305162</v>
      </c>
      <c r="J161" s="81"/>
      <c r="K161" s="60">
        <f>IFERROR(__xludf.DUMMYFUNCTION("IFERROR(VLOOKUP(C161,IMPORTRANGE(""https://docs.google.com/spreadsheets/d/1HZUHB8NvANAZR0sHDmHYVAm2WE9kNv0pGIQA48Ryim8/edit?gid=1285727875#gid=1285727875"",""Sheet1!A2:G""),7,0))"),271.43)</f>
        <v>271.43</v>
      </c>
      <c r="L161" s="62">
        <f t="shared" si="25"/>
        <v>6.410492576</v>
      </c>
      <c r="M161" s="60">
        <f>IFERROR(__xludf.DUMMYFUNCTION("IFERROR(VLOOKUP(C161,IMPORTRANGE(""https://docs.google.com/spreadsheets/d/1HZUHB8NvANAZR0sHDmHYVAm2WE9kNv0pGIQA48Ryim8/edit?gid=1285727875#gid=1285727875"",""Cost!A2:G""),7,0))"),315.0)</f>
        <v>315</v>
      </c>
      <c r="N161" s="62">
        <f t="shared" si="4"/>
        <v>5.523809524</v>
      </c>
      <c r="O161" s="62"/>
      <c r="P161" s="28"/>
      <c r="Q161" s="28"/>
      <c r="R161" s="28"/>
      <c r="S161" s="28"/>
      <c r="T161" s="28"/>
      <c r="U161" s="65"/>
      <c r="V161" s="28"/>
      <c r="W161" s="65"/>
      <c r="X161" s="66" t="s">
        <v>358</v>
      </c>
      <c r="Y161" s="65" t="str">
        <f t="shared" si="6"/>
        <v>AQUA 54DB</v>
      </c>
    </row>
    <row r="162">
      <c r="A162" s="15" t="s">
        <v>511</v>
      </c>
      <c r="B162" s="15" t="s">
        <v>558</v>
      </c>
      <c r="C162" s="15" t="s">
        <v>558</v>
      </c>
      <c r="D162" s="48" t="s">
        <v>229</v>
      </c>
      <c r="E162" s="75">
        <f t="shared" ref="E162:F162" si="31">SUM(E163:E164)</f>
        <v>6720</v>
      </c>
      <c r="F162" s="75">
        <f t="shared" si="31"/>
        <v>7230</v>
      </c>
      <c r="G162" s="50">
        <f t="shared" si="24"/>
        <v>0.07589285714</v>
      </c>
      <c r="H162" s="28"/>
      <c r="I162" s="55">
        <f t="shared" si="2"/>
        <v>7574.16061</v>
      </c>
      <c r="J162" s="81"/>
      <c r="K162" s="60">
        <f>IFERROR(__xludf.DUMMYFUNCTION("IFERROR(VLOOKUP(C162,IMPORTRANGE(""https://docs.google.com/spreadsheets/d/1HZUHB8NvANAZR0sHDmHYVAm2WE9kNv0pGIQA48Ryim8/edit?gid=1285727875#gid=1285727875"",""Sheet1!A2:G""),7,0))"),1641.37)</f>
        <v>1641.37</v>
      </c>
      <c r="L162" s="62">
        <f t="shared" si="25"/>
        <v>4.09414087</v>
      </c>
      <c r="M162" s="60">
        <f>IFERROR(__xludf.DUMMYFUNCTION("IFERROR(VLOOKUP(C162,IMPORTRANGE(""https://docs.google.com/spreadsheets/d/1HZUHB8NvANAZR0sHDmHYVAm2WE9kNv0pGIQA48Ryim8/edit?gid=1285727875#gid=1285727875"",""Cost!A2:G""),7,0))"),1850.0)</f>
        <v>1850</v>
      </c>
      <c r="N162" s="62">
        <f t="shared" si="4"/>
        <v>3.908108108</v>
      </c>
      <c r="O162" s="62"/>
      <c r="P162" s="28"/>
      <c r="Q162" s="28"/>
      <c r="R162" s="28"/>
      <c r="S162" s="28"/>
      <c r="T162" s="28"/>
      <c r="U162" s="65"/>
      <c r="V162" s="28"/>
      <c r="W162" s="65"/>
      <c r="X162" s="66" t="s">
        <v>368</v>
      </c>
      <c r="Y162" s="65" t="str">
        <f t="shared" si="6"/>
        <v>AQUA 5492-ON-OFF</v>
      </c>
    </row>
    <row r="163">
      <c r="A163" s="15" t="s">
        <v>511</v>
      </c>
      <c r="B163" s="15" t="s">
        <v>234</v>
      </c>
      <c r="C163" s="15" t="s">
        <v>234</v>
      </c>
      <c r="D163" s="48" t="s">
        <v>235</v>
      </c>
      <c r="E163" s="39">
        <f>E160-240</f>
        <v>4740</v>
      </c>
      <c r="F163" s="75">
        <f>F160-$X$1</f>
        <v>5250</v>
      </c>
      <c r="G163" s="50">
        <f t="shared" si="24"/>
        <v>0.1075949367</v>
      </c>
      <c r="H163" s="28"/>
      <c r="I163" s="55">
        <f t="shared" si="2"/>
        <v>5306.797906</v>
      </c>
      <c r="J163" s="81"/>
      <c r="K163" s="60">
        <f>IFERROR(__xludf.DUMMYFUNCTION("IFERROR(VLOOKUP(C163,IMPORTRANGE(""https://docs.google.com/spreadsheets/d/1HZUHB8NvANAZR0sHDmHYVAm2WE9kNv0pGIQA48Ryim8/edit?gid=1285727875#gid=1285727875"",""Sheet1!A2:G""),7,0))"),1367.48)</f>
        <v>1367.48</v>
      </c>
      <c r="L163" s="62">
        <f t="shared" si="25"/>
        <v>3.466229853</v>
      </c>
      <c r="M163" s="60">
        <f>IFERROR(__xludf.DUMMYFUNCTION("IFERROR(VLOOKUP(C163,IMPORTRANGE(""https://docs.google.com/spreadsheets/d/1HZUHB8NvANAZR0sHDmHYVAm2WE9kNv0pGIQA48Ryim8/edit?gid=1285727875#gid=1285727875"",""Cost!A2:G""),7,0))"),1531.0)</f>
        <v>1531</v>
      </c>
      <c r="N163" s="62">
        <f t="shared" si="4"/>
        <v>3.429131287</v>
      </c>
      <c r="O163" s="62"/>
      <c r="P163" s="28"/>
      <c r="Q163" s="28"/>
      <c r="R163" s="28"/>
      <c r="S163" s="28"/>
      <c r="T163" s="28"/>
      <c r="U163" s="65"/>
      <c r="V163" s="28"/>
      <c r="W163" s="65"/>
      <c r="X163" s="66" t="s">
        <v>371</v>
      </c>
      <c r="Y163" s="65" t="str">
        <f t="shared" si="6"/>
        <v>AQUA 54PD-ON-OFF</v>
      </c>
    </row>
    <row r="164">
      <c r="A164" s="15" t="s">
        <v>511</v>
      </c>
      <c r="B164" s="15" t="s">
        <v>561</v>
      </c>
      <c r="C164" s="15" t="s">
        <v>561</v>
      </c>
      <c r="D164" s="48" t="s">
        <v>217</v>
      </c>
      <c r="E164" s="75">
        <f>E161+240</f>
        <v>1980</v>
      </c>
      <c r="F164" s="75">
        <f>F161+$X$1</f>
        <v>1980</v>
      </c>
      <c r="G164" s="50">
        <f t="shared" si="24"/>
        <v>0</v>
      </c>
      <c r="H164" s="28"/>
      <c r="I164" s="55">
        <f t="shared" si="2"/>
        <v>2301.558509</v>
      </c>
      <c r="J164" s="81"/>
      <c r="K164" s="60">
        <f>IFERROR(__xludf.DUMMYFUNCTION("IFERROR(VLOOKUP(C164,IMPORTRANGE(""https://docs.google.com/spreadsheets/d/1HZUHB8NvANAZR0sHDmHYVAm2WE9kNv0pGIQA48Ryim8/edit?gid=1285727875#gid=1285727875"",""Sheet1!A2:G""),7,0))"),270.13)</f>
        <v>270.13</v>
      </c>
      <c r="L164" s="62">
        <f t="shared" si="25"/>
        <v>7.329804168</v>
      </c>
      <c r="M164" s="60">
        <f>IFERROR(__xludf.DUMMYFUNCTION("IFERROR(VLOOKUP(C164,IMPORTRANGE(""https://docs.google.com/spreadsheets/d/1HZUHB8NvANAZR0sHDmHYVAm2WE9kNv0pGIQA48Ryim8/edit?gid=1285727875#gid=1285727875"",""Cost!A2:G""),7,0))"),314.0)</f>
        <v>314</v>
      </c>
      <c r="N164" s="62">
        <f t="shared" si="4"/>
        <v>6.305732484</v>
      </c>
      <c r="O164" s="62"/>
      <c r="P164" s="28"/>
      <c r="Q164" s="28"/>
      <c r="R164" s="28"/>
      <c r="S164" s="28"/>
      <c r="T164" s="28"/>
      <c r="U164" s="65"/>
      <c r="V164" s="28"/>
      <c r="W164" s="65"/>
      <c r="X164" s="66" t="s">
        <v>375</v>
      </c>
      <c r="Y164" s="65" t="str">
        <f t="shared" si="6"/>
        <v>AQUA 54DB-ON-OFF</v>
      </c>
    </row>
    <row r="165">
      <c r="A165" s="15" t="s">
        <v>511</v>
      </c>
      <c r="B165" s="15"/>
      <c r="C165" s="15" t="s">
        <v>564</v>
      </c>
      <c r="D165" s="18" t="s">
        <v>220</v>
      </c>
      <c r="E165" s="97" t="s">
        <v>377</v>
      </c>
      <c r="F165" s="75">
        <f>SUM(F166:F167)</f>
        <v>7230</v>
      </c>
      <c r="G165" s="50"/>
      <c r="H165" s="28"/>
      <c r="I165" s="55">
        <f t="shared" si="2"/>
        <v>0</v>
      </c>
      <c r="J165" s="81"/>
      <c r="K165" s="60"/>
      <c r="L165" s="62"/>
      <c r="M165" s="60">
        <f>SUM(M166:M167)</f>
        <v>2041.82</v>
      </c>
      <c r="N165" s="62">
        <f t="shared" si="4"/>
        <v>3.540958557</v>
      </c>
      <c r="O165" s="62"/>
      <c r="P165" s="28"/>
      <c r="Q165" s="28"/>
      <c r="R165" s="28"/>
      <c r="S165" s="28"/>
      <c r="T165" s="28"/>
      <c r="U165" s="65"/>
      <c r="V165" s="28"/>
      <c r="W165" s="65"/>
      <c r="X165" s="66" t="s">
        <v>380</v>
      </c>
      <c r="Y165" s="65" t="str">
        <f t="shared" si="6"/>
        <v>AQUA 5492-P</v>
      </c>
    </row>
    <row r="166">
      <c r="A166" s="15" t="s">
        <v>511</v>
      </c>
      <c r="B166" s="15"/>
      <c r="C166" s="15" t="s">
        <v>381</v>
      </c>
      <c r="D166" s="18" t="s">
        <v>382</v>
      </c>
      <c r="E166" s="97" t="s">
        <v>377</v>
      </c>
      <c r="F166" s="39">
        <f>F160-$Y$1</f>
        <v>4990</v>
      </c>
      <c r="G166" s="50"/>
      <c r="H166" s="28"/>
      <c r="I166" s="55">
        <f t="shared" si="2"/>
        <v>0</v>
      </c>
      <c r="J166" s="81"/>
      <c r="K166" s="60"/>
      <c r="L166" s="62"/>
      <c r="M166" s="60">
        <f>IFERROR(__xludf.DUMMYFUNCTION("IFERROR(VLOOKUP(C166,IMPORTRANGE(""https://docs.google.com/spreadsheets/d/1HZUHB8NvANAZR0sHDmHYVAm2WE9kNv0pGIQA48Ryim8/edit?gid=1285727875#gid=1285727875"",""Diverter &amp; Upper!A2:B""),2,0))"),1585.45)</f>
        <v>1585.45</v>
      </c>
      <c r="N166" s="62">
        <f t="shared" si="4"/>
        <v>3.147371409</v>
      </c>
      <c r="O166" s="62"/>
      <c r="P166" s="28"/>
      <c r="Q166" s="28"/>
      <c r="R166" s="28"/>
      <c r="S166" s="28"/>
      <c r="T166" s="28"/>
      <c r="U166" s="65"/>
      <c r="V166" s="28"/>
      <c r="W166" s="65"/>
      <c r="X166" s="66" t="s">
        <v>381</v>
      </c>
      <c r="Y166" s="65" t="str">
        <f t="shared" si="6"/>
        <v>AQUA 54PD-46-H-P</v>
      </c>
    </row>
    <row r="167">
      <c r="A167" s="15" t="s">
        <v>511</v>
      </c>
      <c r="B167" s="15"/>
      <c r="C167" s="15" t="s">
        <v>569</v>
      </c>
      <c r="D167" s="18" t="s">
        <v>386</v>
      </c>
      <c r="E167" s="97" t="s">
        <v>377</v>
      </c>
      <c r="F167" s="39">
        <f>F161+$Y$1</f>
        <v>2240</v>
      </c>
      <c r="G167" s="50"/>
      <c r="H167" s="28"/>
      <c r="I167" s="55">
        <f t="shared" si="2"/>
        <v>0</v>
      </c>
      <c r="J167" s="81"/>
      <c r="K167" s="60"/>
      <c r="L167" s="62"/>
      <c r="M167" s="60">
        <f>IFERROR(__xludf.DUMMYFUNCTION("IFERROR(VLOOKUP(C167,IMPORTRANGE(""https://docs.google.com/spreadsheets/d/1HZUHB8NvANAZR0sHDmHYVAm2WE9kNv0pGIQA48Ryim8/edit?gid=1285727875#gid=1285727875"",""Diverter &amp; Upper!A2:B""),2,0))"),456.37)</f>
        <v>456.37</v>
      </c>
      <c r="N167" s="62">
        <f t="shared" si="4"/>
        <v>4.908298091</v>
      </c>
      <c r="O167" s="62"/>
      <c r="P167" s="28"/>
      <c r="Q167" s="28"/>
      <c r="R167" s="28"/>
      <c r="S167" s="28"/>
      <c r="T167" s="28"/>
      <c r="U167" s="65"/>
      <c r="V167" s="28"/>
      <c r="W167" s="65"/>
      <c r="X167" s="66" t="s">
        <v>387</v>
      </c>
      <c r="Y167" s="65" t="str">
        <f t="shared" si="6"/>
        <v>AQUA 54DB-P</v>
      </c>
    </row>
    <row r="168">
      <c r="A168" s="15" t="s">
        <v>511</v>
      </c>
      <c r="B168" s="15"/>
      <c r="C168" s="15" t="s">
        <v>572</v>
      </c>
      <c r="D168" s="18" t="s">
        <v>229</v>
      </c>
      <c r="E168" s="97" t="s">
        <v>377</v>
      </c>
      <c r="F168" s="75">
        <f>SUM(F169:F170)</f>
        <v>7230</v>
      </c>
      <c r="G168" s="50"/>
      <c r="H168" s="28"/>
      <c r="I168" s="55">
        <f t="shared" si="2"/>
        <v>0</v>
      </c>
      <c r="J168" s="81"/>
      <c r="K168" s="60"/>
      <c r="L168" s="62"/>
      <c r="M168" s="60">
        <f>SUM(M169:M170)</f>
        <v>1824.95</v>
      </c>
      <c r="N168" s="62">
        <f t="shared" si="4"/>
        <v>3.961752377</v>
      </c>
      <c r="O168" s="62"/>
      <c r="P168" s="28"/>
      <c r="Q168" s="28"/>
      <c r="R168" s="28"/>
      <c r="S168" s="28"/>
      <c r="T168" s="28"/>
      <c r="U168" s="65"/>
      <c r="V168" s="28"/>
      <c r="W168" s="65"/>
      <c r="X168" s="66" t="s">
        <v>391</v>
      </c>
      <c r="Y168" s="65" t="str">
        <f t="shared" si="6"/>
        <v>AQUA 5492-ON-OFF-P</v>
      </c>
    </row>
    <row r="169">
      <c r="A169" s="15" t="s">
        <v>511</v>
      </c>
      <c r="B169" s="15"/>
      <c r="C169" s="15" t="s">
        <v>392</v>
      </c>
      <c r="D169" s="18" t="s">
        <v>393</v>
      </c>
      <c r="E169" s="97" t="s">
        <v>377</v>
      </c>
      <c r="F169" s="39">
        <f>F166-$X$1</f>
        <v>4750</v>
      </c>
      <c r="G169" s="50"/>
      <c r="H169" s="28"/>
      <c r="I169" s="55">
        <f t="shared" si="2"/>
        <v>0</v>
      </c>
      <c r="J169" s="81"/>
      <c r="K169" s="60"/>
      <c r="L169" s="62"/>
      <c r="M169" s="60">
        <f>IFERROR(__xludf.DUMMYFUNCTION("IFERROR(VLOOKUP(C169,IMPORTRANGE(""https://docs.google.com/spreadsheets/d/1HZUHB8NvANAZR0sHDmHYVAm2WE9kNv0pGIQA48Ryim8/edit?gid=1285727875#gid=1285727875"",""Diverter &amp; Upper!A2:B""),2,0))"),1357.68)</f>
        <v>1357.68</v>
      </c>
      <c r="N169" s="62">
        <f t="shared" si="4"/>
        <v>3.498615285</v>
      </c>
      <c r="O169" s="62"/>
      <c r="P169" s="28"/>
      <c r="Q169" s="28"/>
      <c r="R169" s="28"/>
      <c r="S169" s="28"/>
      <c r="T169" s="28"/>
      <c r="U169" s="65"/>
      <c r="V169" s="28"/>
      <c r="W169" s="65"/>
      <c r="X169" s="66" t="s">
        <v>396</v>
      </c>
      <c r="Y169" s="65" t="str">
        <f t="shared" si="6"/>
        <v>AQUA 54PD-ON-OFF-P</v>
      </c>
    </row>
    <row r="170">
      <c r="A170" s="15" t="s">
        <v>511</v>
      </c>
      <c r="B170" s="15"/>
      <c r="C170" s="15" t="s">
        <v>575</v>
      </c>
      <c r="D170" s="18" t="s">
        <v>386</v>
      </c>
      <c r="E170" s="97" t="s">
        <v>377</v>
      </c>
      <c r="F170" s="39">
        <f>F167+$X$1</f>
        <v>2480</v>
      </c>
      <c r="G170" s="50"/>
      <c r="H170" s="28"/>
      <c r="I170" s="55">
        <f t="shared" si="2"/>
        <v>0</v>
      </c>
      <c r="J170" s="81"/>
      <c r="K170" s="60"/>
      <c r="L170" s="62"/>
      <c r="M170" s="60">
        <f>IFERROR(__xludf.DUMMYFUNCTION("IFERROR(VLOOKUP(C170,IMPORTRANGE(""https://docs.google.com/spreadsheets/d/1HZUHB8NvANAZR0sHDmHYVAm2WE9kNv0pGIQA48Ryim8/edit?gid=1285727875#gid=1285727875"",""Diverter &amp; Upper!A2:B""),2,0))"),467.27)</f>
        <v>467.27</v>
      </c>
      <c r="N170" s="62">
        <f t="shared" si="4"/>
        <v>5.307423973</v>
      </c>
      <c r="O170" s="62"/>
      <c r="P170" s="28"/>
      <c r="Q170" s="28"/>
      <c r="R170" s="28"/>
      <c r="S170" s="28"/>
      <c r="T170" s="28"/>
      <c r="U170" s="65"/>
      <c r="V170" s="28"/>
      <c r="W170" s="65"/>
      <c r="X170" s="66" t="s">
        <v>400</v>
      </c>
      <c r="Y170" s="65" t="str">
        <f t="shared" si="6"/>
        <v>AQUA 54DB-ON-OFF-P</v>
      </c>
    </row>
    <row r="171">
      <c r="A171" s="15" t="s">
        <v>511</v>
      </c>
      <c r="B171" s="15" t="s">
        <v>578</v>
      </c>
      <c r="C171" s="15" t="s">
        <v>578</v>
      </c>
      <c r="D171" s="48" t="s">
        <v>241</v>
      </c>
      <c r="E171" s="75">
        <f t="shared" ref="E171:F171" si="32">SUM(E172:E173)</f>
        <v>6720</v>
      </c>
      <c r="F171" s="75">
        <f t="shared" si="32"/>
        <v>7230</v>
      </c>
      <c r="G171" s="50">
        <f t="shared" ref="G171:G212" si="33">IFERROR((F171-E171)/E171,"")</f>
        <v>0.07589285714</v>
      </c>
      <c r="H171" s="28"/>
      <c r="I171" s="55">
        <f t="shared" si="2"/>
        <v>7362.357314</v>
      </c>
      <c r="J171" s="81"/>
      <c r="K171" s="60">
        <f>IFERROR(__xludf.DUMMYFUNCTION("IFERROR(VLOOKUP(C171,IMPORTRANGE(""https://docs.google.com/spreadsheets/d/1HZUHB8NvANAZR0sHDmHYVAm2WE9kNv0pGIQA48Ryim8/edit?gid=1285727875#gid=1285727875"",""Sheet1!A2:G""),7,0))"),1808.16)</f>
        <v>1808.16</v>
      </c>
      <c r="L171" s="62">
        <f t="shared" ref="L171:L212" si="34">IFERROR(E171/$K171,"")</f>
        <v>3.716485267</v>
      </c>
      <c r="M171" s="60">
        <f>IFERROR(__xludf.DUMMYFUNCTION("IFERROR(VLOOKUP(C171,IMPORTRANGE(""https://docs.google.com/spreadsheets/d/1HZUHB8NvANAZR0sHDmHYVAm2WE9kNv0pGIQA48Ryim8/edit?gid=1285727875#gid=1285727875"",""Cost!A2:G""),7,0))"),1981.0)</f>
        <v>1981</v>
      </c>
      <c r="N171" s="62">
        <f t="shared" si="4"/>
        <v>3.649671883</v>
      </c>
      <c r="O171" s="62"/>
      <c r="P171" s="28"/>
      <c r="Q171" s="28"/>
      <c r="R171" s="28"/>
      <c r="S171" s="28"/>
      <c r="T171" s="28"/>
      <c r="U171" s="65"/>
      <c r="V171" s="28"/>
      <c r="W171" s="65"/>
      <c r="X171" s="66" t="s">
        <v>239</v>
      </c>
      <c r="Y171" s="65" t="str">
        <f t="shared" si="6"/>
        <v>AQUA 5493</v>
      </c>
    </row>
    <row r="172">
      <c r="A172" s="15" t="s">
        <v>511</v>
      </c>
      <c r="B172" s="15" t="s">
        <v>243</v>
      </c>
      <c r="C172" s="15" t="s">
        <v>243</v>
      </c>
      <c r="D172" s="48" t="s">
        <v>244</v>
      </c>
      <c r="E172" s="39">
        <v>4980.0</v>
      </c>
      <c r="F172" s="39">
        <v>5490.0</v>
      </c>
      <c r="G172" s="50">
        <f t="shared" si="33"/>
        <v>0.1024096386</v>
      </c>
      <c r="H172" s="28"/>
      <c r="I172" s="55">
        <f t="shared" si="2"/>
        <v>5395.785272</v>
      </c>
      <c r="J172" s="81"/>
      <c r="K172" s="60">
        <f>IFERROR(__xludf.DUMMYFUNCTION("IFERROR(VLOOKUP(C172,IMPORTRANGE(""https://docs.google.com/spreadsheets/d/1HZUHB8NvANAZR0sHDmHYVAm2WE9kNv0pGIQA48Ryim8/edit?gid=1285727875#gid=1285727875"",""Sheet1!A2:G""),7,0))"),1543.16)</f>
        <v>1543.16</v>
      </c>
      <c r="L172" s="62">
        <f t="shared" si="34"/>
        <v>3.227144301</v>
      </c>
      <c r="M172" s="60">
        <f>IFERROR(__xludf.DUMMYFUNCTION("IFERROR(VLOOKUP(C172,IMPORTRANGE(""https://docs.google.com/spreadsheets/d/1HZUHB8NvANAZR0sHDmHYVAm2WE9kNv0pGIQA48Ryim8/edit?gid=1285727875#gid=1285727875"",""Cost!A2:G""),7,0))"),1672.0)</f>
        <v>1672</v>
      </c>
      <c r="N172" s="62">
        <f t="shared" si="4"/>
        <v>3.283492823</v>
      </c>
      <c r="O172" s="62"/>
      <c r="P172" s="28"/>
      <c r="Q172" s="28"/>
      <c r="R172" s="28"/>
      <c r="S172" s="28"/>
      <c r="T172" s="28"/>
      <c r="U172" s="65"/>
      <c r="V172" s="28"/>
      <c r="W172" s="65"/>
      <c r="X172" s="66" t="s">
        <v>243</v>
      </c>
      <c r="Y172" s="65" t="str">
        <f t="shared" si="6"/>
        <v>AQUA 54PD-3 IN-N</v>
      </c>
    </row>
    <row r="173">
      <c r="A173" s="15" t="s">
        <v>511</v>
      </c>
      <c r="B173" s="15" t="s">
        <v>582</v>
      </c>
      <c r="C173" s="15" t="s">
        <v>582</v>
      </c>
      <c r="D173" s="48" t="s">
        <v>217</v>
      </c>
      <c r="E173" s="39">
        <v>1740.0</v>
      </c>
      <c r="F173" s="39">
        <f>F158</f>
        <v>1740</v>
      </c>
      <c r="G173" s="50">
        <f t="shared" si="33"/>
        <v>0</v>
      </c>
      <c r="H173" s="28"/>
      <c r="I173" s="55">
        <f t="shared" si="2"/>
        <v>2023.330741</v>
      </c>
      <c r="J173" s="81"/>
      <c r="K173" s="60">
        <f>IFERROR(__xludf.DUMMYFUNCTION("IFERROR(VLOOKUP(C173,IMPORTRANGE(""https://docs.google.com/spreadsheets/d/1HZUHB8NvANAZR0sHDmHYVAm2WE9kNv0pGIQA48Ryim8/edit?gid=1285727875#gid=1285727875"",""Sheet1!A2:G""),7,0))"),270.03)</f>
        <v>270.03</v>
      </c>
      <c r="L173" s="62">
        <f t="shared" si="34"/>
        <v>6.443728475</v>
      </c>
      <c r="M173" s="60">
        <f>IFERROR(__xludf.DUMMYFUNCTION("IFERROR(VLOOKUP(C173,IMPORTRANGE(""https://docs.google.com/spreadsheets/d/1HZUHB8NvANAZR0sHDmHYVAm2WE9kNv0pGIQA48Ryim8/edit?gid=1285727875#gid=1285727875"",""Cost!A2:G""),7,0))"),314.0)</f>
        <v>314</v>
      </c>
      <c r="N173" s="62">
        <f t="shared" si="4"/>
        <v>5.541401274</v>
      </c>
      <c r="O173" s="62"/>
      <c r="P173" s="28"/>
      <c r="Q173" s="28"/>
      <c r="R173" s="28"/>
      <c r="S173" s="28"/>
      <c r="T173" s="28"/>
      <c r="U173" s="65"/>
      <c r="V173" s="28"/>
      <c r="W173" s="65"/>
      <c r="X173" s="66" t="s">
        <v>358</v>
      </c>
      <c r="Y173" s="65" t="str">
        <f t="shared" si="6"/>
        <v>AQUA 54DB</v>
      </c>
    </row>
    <row r="174">
      <c r="A174" s="15" t="s">
        <v>511</v>
      </c>
      <c r="B174" s="15" t="s">
        <v>585</v>
      </c>
      <c r="C174" s="15" t="s">
        <v>585</v>
      </c>
      <c r="D174" s="48" t="s">
        <v>250</v>
      </c>
      <c r="E174" s="75">
        <f t="shared" ref="E174:F174" si="35">SUM(E175:E176)</f>
        <v>6720</v>
      </c>
      <c r="F174" s="75">
        <f t="shared" si="35"/>
        <v>7230</v>
      </c>
      <c r="G174" s="50">
        <f t="shared" si="33"/>
        <v>0.07589285714</v>
      </c>
      <c r="H174" s="28"/>
      <c r="I174" s="55">
        <f t="shared" si="2"/>
        <v>7461.627223</v>
      </c>
      <c r="J174" s="81"/>
      <c r="K174" s="60">
        <f>IFERROR(__xludf.DUMMYFUNCTION("IFERROR(VLOOKUP(C174,IMPORTRANGE(""https://docs.google.com/spreadsheets/d/1HZUHB8NvANAZR0sHDmHYVAm2WE9kNv0pGIQA48Ryim8/edit?gid=1285727875#gid=1285727875"",""Sheet1!A2:G""),7,0))"),1837.24)</f>
        <v>1837.24</v>
      </c>
      <c r="L174" s="62">
        <f t="shared" si="34"/>
        <v>3.657660404</v>
      </c>
      <c r="M174" s="60">
        <f>IFERROR(__xludf.DUMMYFUNCTION("IFERROR(VLOOKUP(C174,IMPORTRANGE(""https://docs.google.com/spreadsheets/d/1HZUHB8NvANAZR0sHDmHYVAm2WE9kNv0pGIQA48Ryim8/edit?gid=1285727875#gid=1285727875"",""Cost!A2:G""),7,0))"),2040.0)</f>
        <v>2040</v>
      </c>
      <c r="N174" s="62">
        <f t="shared" si="4"/>
        <v>3.544117647</v>
      </c>
      <c r="O174" s="62"/>
      <c r="P174" s="28"/>
      <c r="Q174" s="28"/>
      <c r="R174" s="28"/>
      <c r="S174" s="28"/>
      <c r="T174" s="28"/>
      <c r="U174" s="65"/>
      <c r="V174" s="28"/>
      <c r="W174" s="65"/>
      <c r="X174" s="66" t="s">
        <v>410</v>
      </c>
      <c r="Y174" s="65" t="str">
        <f t="shared" si="6"/>
        <v>AQUA 5493-ON-OFF</v>
      </c>
    </row>
    <row r="175">
      <c r="A175" s="15" t="s">
        <v>511</v>
      </c>
      <c r="B175" s="15" t="s">
        <v>253</v>
      </c>
      <c r="C175" s="15" t="s">
        <v>253</v>
      </c>
      <c r="D175" s="48" t="s">
        <v>256</v>
      </c>
      <c r="E175" s="39">
        <f>E172-240</f>
        <v>4740</v>
      </c>
      <c r="F175" s="39">
        <f>F172-$X$1</f>
        <v>5250</v>
      </c>
      <c r="G175" s="50">
        <f t="shared" si="33"/>
        <v>0.1075949367</v>
      </c>
      <c r="H175" s="28"/>
      <c r="I175" s="55">
        <f t="shared" si="2"/>
        <v>5217.019108</v>
      </c>
      <c r="J175" s="81"/>
      <c r="K175" s="60">
        <f>IFERROR(__xludf.DUMMYFUNCTION("IFERROR(VLOOKUP(C175,IMPORTRANGE(""https://docs.google.com/spreadsheets/d/1HZUHB8NvANAZR0sHDmHYVAm2WE9kNv0pGIQA48Ryim8/edit?gid=1285727875#gid=1285727875"",""Sheet1!A2:G""),7,0))"),1570.0)</f>
        <v>1570</v>
      </c>
      <c r="L175" s="62">
        <f t="shared" si="34"/>
        <v>3.01910828</v>
      </c>
      <c r="M175" s="60">
        <f>IFERROR(__xludf.DUMMYFUNCTION("IFERROR(VLOOKUP(C175,IMPORTRANGE(""https://docs.google.com/spreadsheets/d/1HZUHB8NvANAZR0sHDmHYVAm2WE9kNv0pGIQA48Ryim8/edit?gid=1285727875#gid=1285727875"",""Cost!A2:G""),7,0))"),1728.0)</f>
        <v>1728</v>
      </c>
      <c r="N175" s="62">
        <f t="shared" si="4"/>
        <v>3.038194444</v>
      </c>
      <c r="O175" s="62"/>
      <c r="P175" s="28"/>
      <c r="Q175" s="28"/>
      <c r="R175" s="28"/>
      <c r="S175" s="28"/>
      <c r="T175" s="28"/>
      <c r="U175" s="65"/>
      <c r="V175" s="28"/>
      <c r="W175" s="65"/>
      <c r="X175" s="66" t="s">
        <v>371</v>
      </c>
      <c r="Y175" s="65" t="str">
        <f t="shared" si="6"/>
        <v>AQUA 54PD-ON-OFF</v>
      </c>
    </row>
    <row r="176">
      <c r="A176" s="15" t="s">
        <v>511</v>
      </c>
      <c r="B176" s="15" t="s">
        <v>590</v>
      </c>
      <c r="C176" s="15" t="s">
        <v>590</v>
      </c>
      <c r="D176" s="48" t="s">
        <v>217</v>
      </c>
      <c r="E176" s="75">
        <f>E173+240</f>
        <v>1980</v>
      </c>
      <c r="F176" s="75">
        <f>F173+$X$1</f>
        <v>1980</v>
      </c>
      <c r="G176" s="50">
        <f t="shared" si="33"/>
        <v>0</v>
      </c>
      <c r="H176" s="28"/>
      <c r="I176" s="55">
        <f t="shared" si="2"/>
        <v>2302.410843</v>
      </c>
      <c r="J176" s="81"/>
      <c r="K176" s="60">
        <f>IFERROR(__xludf.DUMMYFUNCTION("IFERROR(VLOOKUP(C176,IMPORTRANGE(""https://docs.google.com/spreadsheets/d/1HZUHB8NvANAZR0sHDmHYVAm2WE9kNv0pGIQA48Ryim8/edit?gid=1285727875#gid=1285727875"",""Sheet1!A2:G""),7,0))"),270.03)</f>
        <v>270.03</v>
      </c>
      <c r="L176" s="62">
        <f t="shared" si="34"/>
        <v>7.332518609</v>
      </c>
      <c r="M176" s="60">
        <f>IFERROR(__xludf.DUMMYFUNCTION("IFERROR(VLOOKUP(C176,IMPORTRANGE(""https://docs.google.com/spreadsheets/d/1HZUHB8NvANAZR0sHDmHYVAm2WE9kNv0pGIQA48Ryim8/edit?gid=1285727875#gid=1285727875"",""Cost!A2:G""),7,0))"),314.0)</f>
        <v>314</v>
      </c>
      <c r="N176" s="62">
        <f t="shared" si="4"/>
        <v>6.305732484</v>
      </c>
      <c r="O176" s="62"/>
      <c r="P176" s="28"/>
      <c r="Q176" s="28"/>
      <c r="R176" s="28"/>
      <c r="S176" s="28"/>
      <c r="T176" s="28"/>
      <c r="U176" s="65"/>
      <c r="V176" s="28"/>
      <c r="W176" s="65"/>
      <c r="X176" s="66" t="s">
        <v>375</v>
      </c>
      <c r="Y176" s="65" t="str">
        <f t="shared" si="6"/>
        <v>AQUA 54DB-ON-OFF</v>
      </c>
    </row>
    <row r="177">
      <c r="A177" s="15" t="s">
        <v>511</v>
      </c>
      <c r="B177" s="15">
        <v>5495.0</v>
      </c>
      <c r="C177" s="15">
        <v>5495.0</v>
      </c>
      <c r="D177" s="48" t="s">
        <v>265</v>
      </c>
      <c r="E177" s="75">
        <v>1170.0</v>
      </c>
      <c r="F177" s="39">
        <v>1290.0</v>
      </c>
      <c r="G177" s="50">
        <f t="shared" si="33"/>
        <v>0.1025641026</v>
      </c>
      <c r="H177" s="28"/>
      <c r="I177" s="55">
        <f t="shared" si="2"/>
        <v>1290.890651</v>
      </c>
      <c r="J177" s="81"/>
      <c r="K177" s="60">
        <f>IFERROR(__xludf.DUMMYFUNCTION("IFERROR(VLOOKUP(C177,IMPORTRANGE(""https://docs.google.com/spreadsheets/d/1HZUHB8NvANAZR0sHDmHYVAm2WE9kNv0pGIQA48Ryim8/edit?gid=1285727875#gid=1285727875"",""Sheet1!A2:G""),7,0))"),325.38)</f>
        <v>325.38</v>
      </c>
      <c r="L177" s="62">
        <f t="shared" si="34"/>
        <v>3.595795685</v>
      </c>
      <c r="M177" s="60">
        <f>IFERROR(__xludf.DUMMYFUNCTION("IFERROR(VLOOKUP(C177,IMPORTRANGE(""https://docs.google.com/spreadsheets/d/1HZUHB8NvANAZR0sHDmHYVAm2WE9kNv0pGIQA48Ryim8/edit?gid=1285727875#gid=1285727875"",""Cost!A2:G""),7,0))"),359.0)</f>
        <v>359</v>
      </c>
      <c r="N177" s="62">
        <f t="shared" si="4"/>
        <v>3.593314763</v>
      </c>
      <c r="O177" s="62"/>
      <c r="P177" s="28"/>
      <c r="Q177" s="28"/>
      <c r="R177" s="28"/>
      <c r="S177" s="28"/>
      <c r="T177" s="28"/>
      <c r="U177" s="65"/>
      <c r="V177" s="28"/>
      <c r="W177" s="65"/>
      <c r="X177" s="66" t="s">
        <v>264</v>
      </c>
      <c r="Y177" s="65" t="str">
        <f t="shared" si="6"/>
        <v>AQUA 5495</v>
      </c>
    </row>
    <row r="178">
      <c r="A178" s="15" t="s">
        <v>511</v>
      </c>
      <c r="B178" s="15">
        <v>5496.0</v>
      </c>
      <c r="C178" s="15">
        <v>5496.0</v>
      </c>
      <c r="D178" s="48" t="s">
        <v>268</v>
      </c>
      <c r="E178" s="39">
        <v>1780.0</v>
      </c>
      <c r="F178" s="39">
        <v>2060.0</v>
      </c>
      <c r="G178" s="50">
        <f t="shared" si="33"/>
        <v>0.1573033708</v>
      </c>
      <c r="H178" s="28"/>
      <c r="I178" s="55">
        <f t="shared" si="2"/>
        <v>1964.315522</v>
      </c>
      <c r="J178" s="81"/>
      <c r="K178" s="60">
        <f>IFERROR(__xludf.DUMMYFUNCTION("IFERROR(VLOOKUP(C178,IMPORTRANGE(""https://docs.google.com/spreadsheets/d/1HZUHB8NvANAZR0sHDmHYVAm2WE9kNv0pGIQA48Ryim8/edit?gid=1285727875#gid=1285727875"",""Sheet1!A2:G""),7,0))"),539.17)</f>
        <v>539.17</v>
      </c>
      <c r="L178" s="62">
        <f t="shared" si="34"/>
        <v>3.301370625</v>
      </c>
      <c r="M178" s="60">
        <f>IFERROR(__xludf.DUMMYFUNCTION("IFERROR(VLOOKUP(C178,IMPORTRANGE(""https://docs.google.com/spreadsheets/d/1HZUHB8NvANAZR0sHDmHYVAm2WE9kNv0pGIQA48Ryim8/edit?gid=1285727875#gid=1285727875"",""Cost!A2:G""),7,0))"),595.0)</f>
        <v>595</v>
      </c>
      <c r="N178" s="62">
        <f t="shared" si="4"/>
        <v>3.462184874</v>
      </c>
      <c r="O178" s="62"/>
      <c r="P178" s="28"/>
      <c r="Q178" s="28"/>
      <c r="R178" s="28"/>
      <c r="S178" s="28"/>
      <c r="T178" s="28"/>
      <c r="U178" s="65"/>
      <c r="V178" s="28"/>
      <c r="W178" s="65"/>
      <c r="X178" s="66" t="s">
        <v>267</v>
      </c>
      <c r="Y178" s="65" t="str">
        <f t="shared" si="6"/>
        <v>AQUA 5496</v>
      </c>
    </row>
    <row r="179">
      <c r="A179" s="15" t="s">
        <v>511</v>
      </c>
      <c r="B179" s="15">
        <v>5498.0</v>
      </c>
      <c r="C179" s="15">
        <v>5498.0</v>
      </c>
      <c r="D179" s="48" t="s">
        <v>272</v>
      </c>
      <c r="E179" s="75">
        <v>2150.0</v>
      </c>
      <c r="F179" s="39">
        <v>2480.0</v>
      </c>
      <c r="G179" s="50">
        <f t="shared" si="33"/>
        <v>0.1534883721</v>
      </c>
      <c r="H179" s="28"/>
      <c r="I179" s="55">
        <f t="shared" si="2"/>
        <v>2576.014468</v>
      </c>
      <c r="J179" s="81"/>
      <c r="K179" s="60">
        <f>IFERROR(__xludf.DUMMYFUNCTION("IFERROR(VLOOKUP(C179,IMPORTRANGE(""https://docs.google.com/spreadsheets/d/1HZUHB8NvANAZR0sHDmHYVAm2WE9kNv0pGIQA48Ryim8/edit?gid=1285727875#gid=1285727875"",""Sheet1!A2:G""),7,0))"),619.29)</f>
        <v>619.29</v>
      </c>
      <c r="L179" s="62">
        <f t="shared" si="34"/>
        <v>3.471717612</v>
      </c>
      <c r="M179" s="60">
        <f>IFERROR(__xludf.DUMMYFUNCTION("IFERROR(VLOOKUP(C179,IMPORTRANGE(""https://docs.google.com/spreadsheets/d/1HZUHB8NvANAZR0sHDmHYVAm2WE9kNv0pGIQA48Ryim8/edit?gid=1285727875#gid=1285727875"",""Cost!A2:G""),7,0))"),742.0)</f>
        <v>742</v>
      </c>
      <c r="N179" s="62">
        <f t="shared" si="4"/>
        <v>3.342318059</v>
      </c>
      <c r="O179" s="62"/>
      <c r="P179" s="28"/>
      <c r="Q179" s="28"/>
      <c r="R179" s="28"/>
      <c r="S179" s="28"/>
      <c r="T179" s="28"/>
      <c r="U179" s="65"/>
      <c r="V179" s="28"/>
      <c r="W179" s="65"/>
      <c r="X179" s="66" t="s">
        <v>271</v>
      </c>
      <c r="Y179" s="65" t="str">
        <f t="shared" si="6"/>
        <v>AQUA 5498</v>
      </c>
    </row>
    <row r="180">
      <c r="A180" s="15" t="s">
        <v>595</v>
      </c>
      <c r="B180" s="15">
        <v>5502.0</v>
      </c>
      <c r="C180" s="15">
        <v>5502.0</v>
      </c>
      <c r="D180" s="48" t="s">
        <v>15</v>
      </c>
      <c r="E180" s="39">
        <v>1490.0</v>
      </c>
      <c r="F180" s="39">
        <v>1640.0</v>
      </c>
      <c r="G180" s="50">
        <f t="shared" si="33"/>
        <v>0.1006711409</v>
      </c>
      <c r="H180" s="28"/>
      <c r="I180" s="55">
        <f t="shared" si="2"/>
        <v>1617.98142</v>
      </c>
      <c r="J180" s="81"/>
      <c r="K180" s="60">
        <f>IFERROR(__xludf.DUMMYFUNCTION("IFERROR(VLOOKUP(C180,IMPORTRANGE(""https://docs.google.com/spreadsheets/d/1HZUHB8NvANAZR0sHDmHYVAm2WE9kNv0pGIQA48Ryim8/edit?gid=1285727875#gid=1285727875"",""Sheet1!A2:G""),7,0))"),490.84)</f>
        <v>490.84</v>
      </c>
      <c r="L180" s="62">
        <f t="shared" si="34"/>
        <v>3.03561242</v>
      </c>
      <c r="M180" s="60">
        <f>IFERROR(__xludf.DUMMYFUNCTION("IFERROR(VLOOKUP(C180,IMPORTRANGE(""https://docs.google.com/spreadsheets/d/1HZUHB8NvANAZR0sHDmHYVAm2WE9kNv0pGIQA48Ryim8/edit?gid=1285727875#gid=1285727875"",""Cost!A2:G""),7,0))"),533.0)</f>
        <v>533</v>
      </c>
      <c r="N180" s="62">
        <f t="shared" si="4"/>
        <v>3.076923077</v>
      </c>
      <c r="O180" s="28"/>
      <c r="P180" s="28"/>
      <c r="Q180" s="28"/>
      <c r="R180" s="28"/>
      <c r="S180" s="28"/>
      <c r="T180" s="28"/>
      <c r="U180" s="65"/>
      <c r="V180" s="28"/>
      <c r="W180" s="65"/>
      <c r="X180" s="66" t="s">
        <v>303</v>
      </c>
      <c r="Y180" s="65" t="str">
        <f t="shared" si="6"/>
        <v>OCEAN 5502</v>
      </c>
    </row>
    <row r="181">
      <c r="A181" s="15" t="s">
        <v>595</v>
      </c>
      <c r="B181" s="15">
        <v>5504.0</v>
      </c>
      <c r="C181" s="15">
        <v>5504.0</v>
      </c>
      <c r="D181" s="48" t="s">
        <v>46</v>
      </c>
      <c r="E181" s="75">
        <v>2240.0</v>
      </c>
      <c r="F181" s="39">
        <v>2460.0</v>
      </c>
      <c r="G181" s="50">
        <f t="shared" si="33"/>
        <v>0.09821428571</v>
      </c>
      <c r="H181" s="28"/>
      <c r="I181" s="55">
        <f t="shared" si="2"/>
        <v>2466.853811</v>
      </c>
      <c r="J181" s="81"/>
      <c r="K181" s="60">
        <f>IFERROR(__xludf.DUMMYFUNCTION("IFERROR(VLOOKUP(C181,IMPORTRANGE(""https://docs.google.com/spreadsheets/d/1HZUHB8NvANAZR0sHDmHYVAm2WE9kNv0pGIQA48Ryim8/edit?gid=1285727875#gid=1285727875"",""Sheet1!A2:G""),7,0))"),694.65)</f>
        <v>694.65</v>
      </c>
      <c r="L181" s="62">
        <f t="shared" si="34"/>
        <v>3.224645505</v>
      </c>
      <c r="M181" s="60">
        <f>IFERROR(__xludf.DUMMYFUNCTION("IFERROR(VLOOKUP(C181,IMPORTRANGE(""https://docs.google.com/spreadsheets/d/1HZUHB8NvANAZR0sHDmHYVAm2WE9kNv0pGIQA48Ryim8/edit?gid=1285727875#gid=1285727875"",""Cost!A2:G""),7,0))"),765.0)</f>
        <v>765</v>
      </c>
      <c r="N181" s="62">
        <f t="shared" si="4"/>
        <v>3.215686275</v>
      </c>
      <c r="O181" s="28"/>
      <c r="P181" s="28"/>
      <c r="Q181" s="28"/>
      <c r="R181" s="28"/>
      <c r="S181" s="28"/>
      <c r="T181" s="28"/>
      <c r="U181" s="65"/>
      <c r="V181" s="28"/>
      <c r="W181" s="65"/>
      <c r="X181" s="66" t="s">
        <v>309</v>
      </c>
      <c r="Y181" s="65" t="str">
        <f t="shared" si="6"/>
        <v>OCEAN 5504</v>
      </c>
    </row>
    <row r="182">
      <c r="A182" s="15" t="s">
        <v>595</v>
      </c>
      <c r="B182" s="15">
        <v>5506.0</v>
      </c>
      <c r="C182" s="15">
        <v>5506.0</v>
      </c>
      <c r="D182" s="48" t="s">
        <v>67</v>
      </c>
      <c r="E182" s="75">
        <v>1390.0</v>
      </c>
      <c r="F182" s="39">
        <v>1490.0</v>
      </c>
      <c r="G182" s="50">
        <f t="shared" si="33"/>
        <v>0.07194244604</v>
      </c>
      <c r="H182" s="28"/>
      <c r="I182" s="55">
        <f t="shared" si="2"/>
        <v>1500.901799</v>
      </c>
      <c r="J182" s="81"/>
      <c r="K182" s="60">
        <f>IFERROR(__xludf.DUMMYFUNCTION("IFERROR(VLOOKUP(C182,IMPORTRANGE(""https://docs.google.com/spreadsheets/d/1HZUHB8NvANAZR0sHDmHYVAm2WE9kNv0pGIQA48Ryim8/edit?gid=1285727875#gid=1285727875"",""Sheet1!A2:G""),7,0))"),421.38)</f>
        <v>421.38</v>
      </c>
      <c r="L182" s="62">
        <f t="shared" si="34"/>
        <v>3.298685272</v>
      </c>
      <c r="M182" s="60">
        <f>IFERROR(__xludf.DUMMYFUNCTION("IFERROR(VLOOKUP(C182,IMPORTRANGE(""https://docs.google.com/spreadsheets/d/1HZUHB8NvANAZR0sHDmHYVAm2WE9kNv0pGIQA48Ryim8/edit?gid=1285727875#gid=1285727875"",""Cost!A2:G""),7,0))"),455.0)</f>
        <v>455</v>
      </c>
      <c r="N182" s="62">
        <f t="shared" si="4"/>
        <v>3.274725275</v>
      </c>
      <c r="O182" s="28"/>
      <c r="P182" s="28"/>
      <c r="Q182" s="28"/>
      <c r="R182" s="28"/>
      <c r="S182" s="28"/>
      <c r="T182" s="28"/>
      <c r="U182" s="65"/>
      <c r="V182" s="28"/>
      <c r="W182" s="65"/>
      <c r="X182" s="66" t="s">
        <v>311</v>
      </c>
      <c r="Y182" s="65" t="str">
        <f t="shared" si="6"/>
        <v>OCEAN 5506</v>
      </c>
    </row>
    <row r="183">
      <c r="A183" s="15" t="s">
        <v>595</v>
      </c>
      <c r="B183" s="15">
        <v>5507.0</v>
      </c>
      <c r="C183" s="15">
        <v>5507.0</v>
      </c>
      <c r="D183" s="18" t="s">
        <v>71</v>
      </c>
      <c r="E183" s="39">
        <v>2680.0</v>
      </c>
      <c r="F183" s="75">
        <f>SUM(F184:F185)</f>
        <v>2850</v>
      </c>
      <c r="G183" s="50">
        <f t="shared" si="33"/>
        <v>0.06343283582</v>
      </c>
      <c r="H183" s="28"/>
      <c r="I183" s="55">
        <f t="shared" si="2"/>
        <v>2901.556932</v>
      </c>
      <c r="J183" s="81"/>
      <c r="K183" s="60">
        <f>IFERROR(__xludf.DUMMYFUNCTION("IFERROR(VLOOKUP(C183,IMPORTRANGE(""https://docs.google.com/spreadsheets/d/1HZUHB8NvANAZR0sHDmHYVAm2WE9kNv0pGIQA48Ryim8/edit?gid=1285727875#gid=1285727875"",""Sheet1!A2:G""),7,0))"),737.99)</f>
        <v>737.99</v>
      </c>
      <c r="L183" s="62">
        <f t="shared" si="34"/>
        <v>3.631485521</v>
      </c>
      <c r="M183" s="60">
        <f>IFERROR(__xludf.DUMMYFUNCTION("IFERROR(VLOOKUP(C183,IMPORTRANGE(""https://docs.google.com/spreadsheets/d/1HZUHB8NvANAZR0sHDmHYVAm2WE9kNv0pGIQA48Ryim8/edit?gid=1285727875#gid=1285727875"",""Cost!A2:G""),7,0))"),799.0)</f>
        <v>799</v>
      </c>
      <c r="N183" s="62">
        <f t="shared" si="4"/>
        <v>3.566958698</v>
      </c>
      <c r="O183" s="28"/>
      <c r="P183" s="28"/>
      <c r="Q183" s="28"/>
      <c r="R183" s="28"/>
      <c r="S183" s="28"/>
      <c r="T183" s="28"/>
      <c r="U183" s="65"/>
      <c r="V183" s="28"/>
      <c r="W183" s="65"/>
      <c r="X183" s="66" t="s">
        <v>315</v>
      </c>
      <c r="Y183" s="65" t="str">
        <f t="shared" si="6"/>
        <v>OCEAN 5507</v>
      </c>
    </row>
    <row r="184">
      <c r="A184" s="15" t="s">
        <v>595</v>
      </c>
      <c r="B184" s="15" t="s">
        <v>73</v>
      </c>
      <c r="C184" s="15" t="s">
        <v>73</v>
      </c>
      <c r="D184" s="18" t="s">
        <v>74</v>
      </c>
      <c r="E184" s="93">
        <v>1390.0</v>
      </c>
      <c r="F184" s="39">
        <v>1490.0</v>
      </c>
      <c r="G184" s="50">
        <f t="shared" si="33"/>
        <v>0.07194244604</v>
      </c>
      <c r="H184" s="28"/>
      <c r="I184" s="55">
        <f t="shared" si="2"/>
        <v>1515.459624</v>
      </c>
      <c r="J184" s="81"/>
      <c r="K184" s="60">
        <f>IFERROR(__xludf.DUMMYFUNCTION("IFERROR(VLOOKUP(C184,IMPORTRANGE(""https://docs.google.com/spreadsheets/d/1HZUHB8NvANAZR0sHDmHYVAm2WE9kNv0pGIQA48Ryim8/edit?gid=1285727875#gid=1285727875"",""Sheet1!A2:G""),7,0))"),408.16)</f>
        <v>408.16</v>
      </c>
      <c r="L184" s="62">
        <f t="shared" si="34"/>
        <v>3.405527244</v>
      </c>
      <c r="M184" s="60">
        <f>IFERROR(__xludf.DUMMYFUNCTION("IFERROR(VLOOKUP(C184,IMPORTRANGE(""https://docs.google.com/spreadsheets/d/1HZUHB8NvANAZR0sHDmHYVAm2WE9kNv0pGIQA48Ryim8/edit?gid=1285727875#gid=1285727875"",""Cost!A2:G""),7,0))"),445.0)</f>
        <v>445</v>
      </c>
      <c r="N184" s="62">
        <f t="shared" si="4"/>
        <v>3.348314607</v>
      </c>
      <c r="O184" s="28"/>
      <c r="P184" s="28"/>
      <c r="Q184" s="28"/>
      <c r="R184" s="28"/>
      <c r="S184" s="28"/>
      <c r="T184" s="28"/>
      <c r="U184" s="65"/>
      <c r="V184" s="28"/>
      <c r="W184" s="65"/>
      <c r="X184" s="66" t="s">
        <v>73</v>
      </c>
      <c r="Y184" s="65" t="str">
        <f t="shared" si="6"/>
        <v>OCEAN 55CP-07</v>
      </c>
    </row>
    <row r="185">
      <c r="A185" s="15" t="s">
        <v>595</v>
      </c>
      <c r="B185" s="15" t="s">
        <v>603</v>
      </c>
      <c r="C185" s="15" t="s">
        <v>603</v>
      </c>
      <c r="D185" s="18" t="s">
        <v>78</v>
      </c>
      <c r="E185" s="93">
        <v>1290.0</v>
      </c>
      <c r="F185" s="39">
        <v>1360.0</v>
      </c>
      <c r="G185" s="50">
        <f t="shared" si="33"/>
        <v>0.05426356589</v>
      </c>
      <c r="H185" s="28"/>
      <c r="I185" s="55">
        <f t="shared" si="2"/>
        <v>1309.073054</v>
      </c>
      <c r="J185" s="81"/>
      <c r="K185" s="60">
        <f>IFERROR(__xludf.DUMMYFUNCTION("IFERROR(VLOOKUP(C185,IMPORTRANGE(""https://docs.google.com/spreadsheets/d/1HZUHB8NvANAZR0sHDmHYVAm2WE9kNv0pGIQA48Ryim8/edit?gid=1285727875#gid=1285727875"",""Sheet1!A2:G""),7,0))"),366.58)</f>
        <v>366.58</v>
      </c>
      <c r="L185" s="62">
        <f t="shared" si="34"/>
        <v>3.519013585</v>
      </c>
      <c r="M185" s="60">
        <f>IFERROR(__xludf.DUMMYFUNCTION("IFERROR(VLOOKUP(C185,IMPORTRANGE(""https://docs.google.com/spreadsheets/d/1HZUHB8NvANAZR0sHDmHYVAm2WE9kNv0pGIQA48Ryim8/edit?gid=1285727875#gid=1285727875"",""Cost!A2:G""),7,0))"),372.0)</f>
        <v>372</v>
      </c>
      <c r="N185" s="62">
        <f t="shared" si="4"/>
        <v>3.655913978</v>
      </c>
      <c r="O185" s="28"/>
      <c r="P185" s="28"/>
      <c r="Q185" s="28"/>
      <c r="R185" s="28"/>
      <c r="S185" s="28"/>
      <c r="T185" s="28"/>
      <c r="U185" s="65"/>
      <c r="V185" s="28"/>
      <c r="W185" s="65"/>
      <c r="X185" s="66" t="s">
        <v>77</v>
      </c>
      <c r="Y185" s="65" t="str">
        <f t="shared" si="6"/>
        <v>OCEAN 55CP</v>
      </c>
    </row>
    <row r="186">
      <c r="A186" s="15" t="s">
        <v>595</v>
      </c>
      <c r="B186" s="15">
        <v>5508.0</v>
      </c>
      <c r="C186" s="15">
        <v>5508.0</v>
      </c>
      <c r="D186" s="48" t="s">
        <v>81</v>
      </c>
      <c r="E186" s="39">
        <v>1490.0</v>
      </c>
      <c r="F186" s="39">
        <v>1590.0</v>
      </c>
      <c r="G186" s="50">
        <f t="shared" si="33"/>
        <v>0.06711409396</v>
      </c>
      <c r="H186" s="28"/>
      <c r="I186" s="55">
        <f t="shared" si="2"/>
        <v>1610.511835</v>
      </c>
      <c r="J186" s="81"/>
      <c r="K186" s="60">
        <f>IFERROR(__xludf.DUMMYFUNCTION("IFERROR(VLOOKUP(C186,IMPORTRANGE(""https://docs.google.com/spreadsheets/d/1HZUHB8NvANAZR0sHDmHYVAm2WE9kNv0pGIQA48Ryim8/edit?gid=1285727875#gid=1285727875"",""Sheet1!A2:G""),7,0))"),457.96)</f>
        <v>457.96</v>
      </c>
      <c r="L186" s="62">
        <f t="shared" si="34"/>
        <v>3.253559263</v>
      </c>
      <c r="M186" s="60">
        <f>IFERROR(__xludf.DUMMYFUNCTION("IFERROR(VLOOKUP(C186,IMPORTRANGE(""https://docs.google.com/spreadsheets/d/1HZUHB8NvANAZR0sHDmHYVAm2WE9kNv0pGIQA48Ryim8/edit?gid=1285727875#gid=1285727875"",""Cost!A2:G""),7,0))"),495.0)</f>
        <v>495</v>
      </c>
      <c r="N186" s="62">
        <f t="shared" si="4"/>
        <v>3.212121212</v>
      </c>
      <c r="O186" s="28"/>
      <c r="P186" s="28"/>
      <c r="Q186" s="28"/>
      <c r="R186" s="28"/>
      <c r="S186" s="28"/>
      <c r="T186" s="28"/>
      <c r="U186" s="65"/>
      <c r="V186" s="28"/>
      <c r="W186" s="65"/>
      <c r="X186" s="66" t="s">
        <v>321</v>
      </c>
      <c r="Y186" s="65" t="str">
        <f t="shared" si="6"/>
        <v>OCEAN 5508</v>
      </c>
    </row>
    <row r="187">
      <c r="A187" s="15" t="s">
        <v>595</v>
      </c>
      <c r="B187" s="15">
        <v>5510.0</v>
      </c>
      <c r="C187" s="15">
        <v>5510.0</v>
      </c>
      <c r="D187" s="48" t="s">
        <v>89</v>
      </c>
      <c r="E187" s="39">
        <v>820.0</v>
      </c>
      <c r="F187" s="39">
        <v>860.0</v>
      </c>
      <c r="G187" s="50">
        <f t="shared" si="33"/>
        <v>0.0487804878</v>
      </c>
      <c r="H187" s="28"/>
      <c r="I187" s="55">
        <f t="shared" si="2"/>
        <v>860.858665</v>
      </c>
      <c r="J187" s="81"/>
      <c r="K187" s="60">
        <f>IFERROR(__xludf.DUMMYFUNCTION("IFERROR(VLOOKUP(C187,IMPORTRANGE(""https://docs.google.com/spreadsheets/d/1HZUHB8NvANAZR0sHDmHYVAm2WE9kNv0pGIQA48Ryim8/edit?gid=1285727875#gid=1285727875"",""Sheet1!A2:G""),7,0))"),191.46)</f>
        <v>191.46</v>
      </c>
      <c r="L187" s="62">
        <f t="shared" si="34"/>
        <v>4.28287893</v>
      </c>
      <c r="M187" s="60">
        <f>IFERROR(__xludf.DUMMYFUNCTION("IFERROR(VLOOKUP(C187,IMPORTRANGE(""https://docs.google.com/spreadsheets/d/1HZUHB8NvANAZR0sHDmHYVAm2WE9kNv0pGIQA48Ryim8/edit?gid=1285727875#gid=1285727875"",""Cost!A2:G""),7,0))"),201.0)</f>
        <v>201</v>
      </c>
      <c r="N187" s="62">
        <f t="shared" si="4"/>
        <v>4.278606965</v>
      </c>
      <c r="O187" s="28"/>
      <c r="P187" s="28"/>
      <c r="Q187" s="28"/>
      <c r="R187" s="28"/>
      <c r="S187" s="28"/>
      <c r="T187" s="28"/>
      <c r="U187" s="65"/>
      <c r="V187" s="28"/>
      <c r="W187" s="65"/>
      <c r="X187" s="66" t="s">
        <v>87</v>
      </c>
      <c r="Y187" s="65" t="str">
        <f t="shared" si="6"/>
        <v>OCEAN 5510</v>
      </c>
    </row>
    <row r="188">
      <c r="A188" s="15" t="s">
        <v>595</v>
      </c>
      <c r="B188" s="15">
        <v>5511.0</v>
      </c>
      <c r="C188" s="15">
        <v>5511.0</v>
      </c>
      <c r="D188" s="48" t="s">
        <v>94</v>
      </c>
      <c r="E188" s="39">
        <v>1690.0</v>
      </c>
      <c r="F188" s="39">
        <v>1840.0</v>
      </c>
      <c r="G188" s="50">
        <f t="shared" si="33"/>
        <v>0.08875739645</v>
      </c>
      <c r="H188" s="28"/>
      <c r="I188" s="55">
        <f t="shared" si="2"/>
        <v>1832.595444</v>
      </c>
      <c r="J188" s="81"/>
      <c r="K188" s="60">
        <f>IFERROR(__xludf.DUMMYFUNCTION("IFERROR(VLOOKUP(C188,IMPORTRANGE(""https://docs.google.com/spreadsheets/d/1HZUHB8NvANAZR0sHDmHYVAm2WE9kNv0pGIQA48Ryim8/edit?gid=1285727875#gid=1285727875"",""Sheet1!A2:G""),7,0))"),467.55)</f>
        <v>467.55</v>
      </c>
      <c r="L188" s="62">
        <f t="shared" si="34"/>
        <v>3.614586675</v>
      </c>
      <c r="M188" s="60">
        <f>IFERROR(__xludf.DUMMYFUNCTION("IFERROR(VLOOKUP(C188,IMPORTRANGE(""https://docs.google.com/spreadsheets/d/1HZUHB8NvANAZR0sHDmHYVAm2WE9kNv0pGIQA48Ryim8/edit?gid=1285727875#gid=1285727875"",""Cost!A2:G""),7,0))"),507.0)</f>
        <v>507</v>
      </c>
      <c r="N188" s="62">
        <f t="shared" si="4"/>
        <v>3.629191321</v>
      </c>
      <c r="O188" s="28"/>
      <c r="P188" s="28"/>
      <c r="Q188" s="28"/>
      <c r="R188" s="28"/>
      <c r="S188" s="28"/>
      <c r="T188" s="28"/>
      <c r="U188" s="65"/>
      <c r="V188" s="28"/>
      <c r="W188" s="65"/>
      <c r="X188" s="66" t="s">
        <v>91</v>
      </c>
      <c r="Y188" s="65" t="str">
        <f t="shared" si="6"/>
        <v>OCEAN 5511</v>
      </c>
    </row>
    <row r="189">
      <c r="A189" s="15" t="s">
        <v>595</v>
      </c>
      <c r="B189" s="15">
        <v>5512.0</v>
      </c>
      <c r="C189" s="15">
        <v>5512.0</v>
      </c>
      <c r="D189" s="48" t="s">
        <v>97</v>
      </c>
      <c r="E189" s="39">
        <v>1990.0</v>
      </c>
      <c r="F189" s="39">
        <v>2180.0</v>
      </c>
      <c r="G189" s="50">
        <f t="shared" si="33"/>
        <v>0.09547738693</v>
      </c>
      <c r="H189" s="28"/>
      <c r="I189" s="55">
        <f t="shared" si="2"/>
        <v>2173.091812</v>
      </c>
      <c r="J189" s="81"/>
      <c r="K189" s="60">
        <f>IFERROR(__xludf.DUMMYFUNCTION("IFERROR(VLOOKUP(C189,IMPORTRANGE(""https://docs.google.com/spreadsheets/d/1HZUHB8NvANAZR0sHDmHYVAm2WE9kNv0pGIQA48Ryim8/edit?gid=1285727875#gid=1285727875"",""Sheet1!A2:G""),7,0))"),619.96)</f>
        <v>619.96</v>
      </c>
      <c r="L189" s="62">
        <f t="shared" si="34"/>
        <v>3.209884509</v>
      </c>
      <c r="M189" s="60">
        <f>IFERROR(__xludf.DUMMYFUNCTION("IFERROR(VLOOKUP(C189,IMPORTRANGE(""https://docs.google.com/spreadsheets/d/1HZUHB8NvANAZR0sHDmHYVAm2WE9kNv0pGIQA48Ryim8/edit?gid=1285727875#gid=1285727875"",""Cost!A2:G""),7,0))"),677.0)</f>
        <v>677</v>
      </c>
      <c r="N189" s="62">
        <f t="shared" si="4"/>
        <v>3.220088626</v>
      </c>
      <c r="O189" s="28"/>
      <c r="P189" s="28"/>
      <c r="Q189" s="28"/>
      <c r="R189" s="28"/>
      <c r="S189" s="28"/>
      <c r="T189" s="28"/>
      <c r="U189" s="65"/>
      <c r="V189" s="28"/>
      <c r="W189" s="65"/>
      <c r="X189" s="66" t="s">
        <v>95</v>
      </c>
      <c r="Y189" s="65" t="str">
        <f t="shared" si="6"/>
        <v>OCEAN 5512</v>
      </c>
    </row>
    <row r="190">
      <c r="A190" s="15" t="s">
        <v>595</v>
      </c>
      <c r="B190" s="15">
        <v>5514.0</v>
      </c>
      <c r="C190" s="15">
        <v>5514.0</v>
      </c>
      <c r="D190" s="48" t="s">
        <v>106</v>
      </c>
      <c r="E190" s="39">
        <v>1890.0</v>
      </c>
      <c r="F190" s="39">
        <v>2080.0</v>
      </c>
      <c r="G190" s="50">
        <f t="shared" si="33"/>
        <v>0.1005291005</v>
      </c>
      <c r="H190" s="28"/>
      <c r="I190" s="55">
        <f t="shared" si="2"/>
        <v>2046.540496</v>
      </c>
      <c r="J190" s="81"/>
      <c r="K190" s="60">
        <f>IFERROR(__xludf.DUMMYFUNCTION("IFERROR(VLOOKUP(C190,IMPORTRANGE(""https://docs.google.com/spreadsheets/d/1HZUHB8NvANAZR0sHDmHYVAm2WE9kNv0pGIQA48Ryim8/edit?gid=1285727875#gid=1285727875"",""Sheet1!A2:G""),7,0))"),523.63)</f>
        <v>523.63</v>
      </c>
      <c r="L190" s="62">
        <f t="shared" si="34"/>
        <v>3.609418864</v>
      </c>
      <c r="M190" s="60">
        <f>IFERROR(__xludf.DUMMYFUNCTION("IFERROR(VLOOKUP(C190,IMPORTRANGE(""https://docs.google.com/spreadsheets/d/1HZUHB8NvANAZR0sHDmHYVAm2WE9kNv0pGIQA48Ryim8/edit?gid=1285727875#gid=1285727875"",""Cost!A2:G""),7,0))"),567.0)</f>
        <v>567</v>
      </c>
      <c r="N190" s="62">
        <f t="shared" si="4"/>
        <v>3.668430335</v>
      </c>
      <c r="O190" s="28"/>
      <c r="P190" s="28"/>
      <c r="Q190" s="28"/>
      <c r="R190" s="28"/>
      <c r="S190" s="28"/>
      <c r="T190" s="28"/>
      <c r="U190" s="65"/>
      <c r="V190" s="28"/>
      <c r="W190" s="65"/>
      <c r="X190" s="66" t="s">
        <v>104</v>
      </c>
      <c r="Y190" s="65" t="str">
        <f t="shared" si="6"/>
        <v>OCEAN 5514</v>
      </c>
    </row>
    <row r="191">
      <c r="A191" s="15" t="s">
        <v>595</v>
      </c>
      <c r="B191" s="15">
        <v>5516.0</v>
      </c>
      <c r="C191" s="15">
        <v>5516.0</v>
      </c>
      <c r="D191" s="48" t="s">
        <v>112</v>
      </c>
      <c r="E191" s="39">
        <v>1590.0</v>
      </c>
      <c r="F191" s="39">
        <v>1740.0</v>
      </c>
      <c r="G191" s="50">
        <f t="shared" si="33"/>
        <v>0.09433962264</v>
      </c>
      <c r="H191" s="28"/>
      <c r="I191" s="55">
        <f t="shared" si="2"/>
        <v>1738.90499</v>
      </c>
      <c r="J191" s="81"/>
      <c r="K191" s="60">
        <f>IFERROR(__xludf.DUMMYFUNCTION("IFERROR(VLOOKUP(C191,IMPORTRANGE(""https://docs.google.com/spreadsheets/d/1HZUHB8NvANAZR0sHDmHYVAm2WE9kNv0pGIQA48Ryim8/edit?gid=1285727875#gid=1285727875"",""Sheet1!A2:G""),7,0))"),441.64)</f>
        <v>441.64</v>
      </c>
      <c r="L191" s="62">
        <f t="shared" si="34"/>
        <v>3.600217372</v>
      </c>
      <c r="M191" s="60">
        <f>IFERROR(__xludf.DUMMYFUNCTION("IFERROR(VLOOKUP(C191,IMPORTRANGE(""https://docs.google.com/spreadsheets/d/1HZUHB8NvANAZR0sHDmHYVAm2WE9kNv0pGIQA48Ryim8/edit?gid=1285727875#gid=1285727875"",""Cost!A2:G""),7,0))"),483.0)</f>
        <v>483</v>
      </c>
      <c r="N191" s="62">
        <f t="shared" si="4"/>
        <v>3.602484472</v>
      </c>
      <c r="O191" s="28"/>
      <c r="P191" s="28"/>
      <c r="Q191" s="28"/>
      <c r="R191" s="28"/>
      <c r="S191" s="28"/>
      <c r="T191" s="28"/>
      <c r="U191" s="65"/>
      <c r="V191" s="28"/>
      <c r="W191" s="65"/>
      <c r="X191" s="66" t="s">
        <v>110</v>
      </c>
      <c r="Y191" s="65" t="str">
        <f t="shared" si="6"/>
        <v>OCEAN 5516</v>
      </c>
    </row>
    <row r="192">
      <c r="A192" s="15" t="s">
        <v>595</v>
      </c>
      <c r="B192" s="15">
        <v>5517.0</v>
      </c>
      <c r="C192" s="15">
        <v>5517.0</v>
      </c>
      <c r="D192" s="48" t="s">
        <v>112</v>
      </c>
      <c r="E192" s="39">
        <v>1890.0</v>
      </c>
      <c r="F192" s="39">
        <v>1980.0</v>
      </c>
      <c r="G192" s="50">
        <f t="shared" si="33"/>
        <v>0.04761904762</v>
      </c>
      <c r="H192" s="28"/>
      <c r="I192" s="55">
        <f t="shared" si="2"/>
        <v>1986.945919</v>
      </c>
      <c r="J192" s="81"/>
      <c r="K192" s="60">
        <f>IFERROR(__xludf.DUMMYFUNCTION("IFERROR(VLOOKUP(C192,IMPORTRANGE(""https://docs.google.com/spreadsheets/d/1HZUHB8NvANAZR0sHDmHYVAm2WE9kNv0pGIQA48Ryim8/edit?gid=1285727875#gid=1285727875"",""Sheet1!A2:G""),7,0))"),487.97)</f>
        <v>487.97</v>
      </c>
      <c r="L192" s="62">
        <f t="shared" si="34"/>
        <v>3.873188926</v>
      </c>
      <c r="M192" s="60">
        <f>IFERROR(__xludf.DUMMYFUNCTION("IFERROR(VLOOKUP(C192,IMPORTRANGE(""https://docs.google.com/spreadsheets/d/1HZUHB8NvANAZR0sHDmHYVAm2WE9kNv0pGIQA48Ryim8/edit?gid=1285727875#gid=1285727875"",""Cost!A2:G""),7,0))"),513.0)</f>
        <v>513</v>
      </c>
      <c r="N192" s="62">
        <f t="shared" si="4"/>
        <v>3.859649123</v>
      </c>
      <c r="O192" s="28"/>
      <c r="P192" s="28"/>
      <c r="Q192" s="28"/>
      <c r="R192" s="28"/>
      <c r="S192" s="28"/>
      <c r="T192" s="28"/>
      <c r="U192" s="65"/>
      <c r="V192" s="28"/>
      <c r="W192" s="65"/>
      <c r="X192" s="66" t="s">
        <v>114</v>
      </c>
      <c r="Y192" s="65" t="str">
        <f t="shared" si="6"/>
        <v>OCEAN 5517</v>
      </c>
    </row>
    <row r="193">
      <c r="A193" s="15" t="s">
        <v>595</v>
      </c>
      <c r="B193" s="15">
        <v>5518.0</v>
      </c>
      <c r="C193" s="15">
        <v>5518.0</v>
      </c>
      <c r="D193" s="48" t="s">
        <v>119</v>
      </c>
      <c r="E193" s="39">
        <v>1320.0</v>
      </c>
      <c r="F193" s="39">
        <v>1470.0</v>
      </c>
      <c r="G193" s="50">
        <f t="shared" si="33"/>
        <v>0.1136363636</v>
      </c>
      <c r="H193" s="28"/>
      <c r="I193" s="55">
        <f t="shared" si="2"/>
        <v>1458.216803</v>
      </c>
      <c r="J193" s="81"/>
      <c r="K193" s="60">
        <f>IFERROR(__xludf.DUMMYFUNCTION("IFERROR(VLOOKUP(C193,IMPORTRANGE(""https://docs.google.com/spreadsheets/d/1HZUHB8NvANAZR0sHDmHYVAm2WE9kNv0pGIQA48Ryim8/edit?gid=1285727875#gid=1285727875"",""Sheet1!A2:G""),7,0))"),357.56)</f>
        <v>357.56</v>
      </c>
      <c r="L193" s="62">
        <f t="shared" si="34"/>
        <v>3.691688108</v>
      </c>
      <c r="M193" s="60">
        <f>IFERROR(__xludf.DUMMYFUNCTION("IFERROR(VLOOKUP(C193,IMPORTRANGE(""https://docs.google.com/spreadsheets/d/1HZUHB8NvANAZR0sHDmHYVAm2WE9kNv0pGIQA48Ryim8/edit?gid=1285727875#gid=1285727875"",""Cost!A2:G""),7,0))"),395.0)</f>
        <v>395</v>
      </c>
      <c r="N193" s="62">
        <f t="shared" si="4"/>
        <v>3.721518987</v>
      </c>
      <c r="O193" s="28"/>
      <c r="P193" s="28"/>
      <c r="Q193" s="28"/>
      <c r="R193" s="28"/>
      <c r="S193" s="28"/>
      <c r="T193" s="28"/>
      <c r="U193" s="65"/>
      <c r="V193" s="28"/>
      <c r="W193" s="65"/>
      <c r="X193" s="66" t="s">
        <v>117</v>
      </c>
      <c r="Y193" s="65" t="str">
        <f t="shared" si="6"/>
        <v>OCEAN 5518</v>
      </c>
    </row>
    <row r="194">
      <c r="A194" s="15" t="s">
        <v>595</v>
      </c>
      <c r="B194" s="15">
        <v>5520.0</v>
      </c>
      <c r="C194" s="15">
        <v>5520.0</v>
      </c>
      <c r="D194" s="48" t="s">
        <v>122</v>
      </c>
      <c r="E194" s="39">
        <v>1360.0</v>
      </c>
      <c r="F194" s="39">
        <v>1510.0</v>
      </c>
      <c r="G194" s="50">
        <f t="shared" si="33"/>
        <v>0.1102941176</v>
      </c>
      <c r="H194" s="28"/>
      <c r="I194" s="55">
        <f t="shared" si="2"/>
        <v>1502.230928</v>
      </c>
      <c r="J194" s="81"/>
      <c r="K194" s="60">
        <f>IFERROR(__xludf.DUMMYFUNCTION("IFERROR(VLOOKUP(C194,IMPORTRANGE(""https://docs.google.com/spreadsheets/d/1HZUHB8NvANAZR0sHDmHYVAm2WE9kNv0pGIQA48Ryim8/edit?gid=1285727875#gid=1285727875"",""Sheet1!A2:G""),7,0))"),367.56)</f>
        <v>367.56</v>
      </c>
      <c r="L194" s="62">
        <f t="shared" si="34"/>
        <v>3.700076178</v>
      </c>
      <c r="M194" s="60">
        <f>IFERROR(__xludf.DUMMYFUNCTION("IFERROR(VLOOKUP(C194,IMPORTRANGE(""https://docs.google.com/spreadsheets/d/1HZUHB8NvANAZR0sHDmHYVAm2WE9kNv0pGIQA48Ryim8/edit?gid=1285727875#gid=1285727875"",""Cost!A2:G""),7,0))"),406.0)</f>
        <v>406</v>
      </c>
      <c r="N194" s="62">
        <f t="shared" si="4"/>
        <v>3.719211823</v>
      </c>
      <c r="O194" s="28"/>
      <c r="P194" s="28"/>
      <c r="Q194" s="28"/>
      <c r="R194" s="28"/>
      <c r="S194" s="28"/>
      <c r="T194" s="28"/>
      <c r="U194" s="65"/>
      <c r="V194" s="28"/>
      <c r="W194" s="65"/>
      <c r="X194" s="66" t="s">
        <v>120</v>
      </c>
      <c r="Y194" s="65" t="str">
        <f t="shared" si="6"/>
        <v>OCEAN 5520</v>
      </c>
    </row>
    <row r="195">
      <c r="A195" s="15" t="s">
        <v>595</v>
      </c>
      <c r="B195" s="15">
        <v>5550.0</v>
      </c>
      <c r="C195" s="15">
        <v>5550.0</v>
      </c>
      <c r="D195" s="48" t="s">
        <v>136</v>
      </c>
      <c r="E195" s="39">
        <v>2980.0</v>
      </c>
      <c r="F195" s="39">
        <v>3240.0</v>
      </c>
      <c r="G195" s="50">
        <f t="shared" si="33"/>
        <v>0.08724832215</v>
      </c>
      <c r="H195" s="28"/>
      <c r="I195" s="55">
        <f t="shared" si="2"/>
        <v>3232.883317</v>
      </c>
      <c r="J195" s="81"/>
      <c r="K195" s="60">
        <f>IFERROR(__xludf.DUMMYFUNCTION("IFERROR(VLOOKUP(C195,IMPORTRANGE(""https://docs.google.com/spreadsheets/d/1HZUHB8NvANAZR0sHDmHYVAm2WE9kNv0pGIQA48Ryim8/edit?gid=1285727875#gid=1285727875"",""Sheet1!A2:G""),7,0))"),746.64)</f>
        <v>746.64</v>
      </c>
      <c r="L195" s="62">
        <f t="shared" si="34"/>
        <v>3.991213972</v>
      </c>
      <c r="M195" s="60">
        <f>IFERROR(__xludf.DUMMYFUNCTION("IFERROR(VLOOKUP(C195,IMPORTRANGE(""https://docs.google.com/spreadsheets/d/1HZUHB8NvANAZR0sHDmHYVAm2WE9kNv0pGIQA48Ryim8/edit?gid=1285727875#gid=1285727875"",""Cost!A2:G""),7,0))"),810.0)</f>
        <v>810</v>
      </c>
      <c r="N195" s="62">
        <f t="shared" si="4"/>
        <v>4</v>
      </c>
      <c r="O195" s="28"/>
      <c r="P195" s="28"/>
      <c r="Q195" s="28"/>
      <c r="R195" s="28"/>
      <c r="S195" s="28"/>
      <c r="T195" s="28"/>
      <c r="U195" s="65"/>
      <c r="V195" s="28"/>
      <c r="W195" s="65"/>
      <c r="X195" s="66" t="s">
        <v>134</v>
      </c>
      <c r="Y195" s="65" t="str">
        <f t="shared" si="6"/>
        <v>OCEAN 5550</v>
      </c>
    </row>
    <row r="196">
      <c r="A196" s="15" t="s">
        <v>595</v>
      </c>
      <c r="B196" s="15">
        <v>5551.0</v>
      </c>
      <c r="C196" s="15">
        <v>5551.0</v>
      </c>
      <c r="D196" s="48" t="s">
        <v>141</v>
      </c>
      <c r="E196" s="75">
        <v>3760.0</v>
      </c>
      <c r="F196" s="39">
        <v>3990.0</v>
      </c>
      <c r="G196" s="50">
        <f t="shared" si="33"/>
        <v>0.06117021277</v>
      </c>
      <c r="H196" s="28"/>
      <c r="I196" s="55">
        <f t="shared" si="2"/>
        <v>4276.105075</v>
      </c>
      <c r="J196" s="81"/>
      <c r="K196" s="60">
        <f>IFERROR(__xludf.DUMMYFUNCTION("IFERROR(VLOOKUP(C196,IMPORTRANGE(""https://docs.google.com/spreadsheets/d/1HZUHB8NvANAZR0sHDmHYVAm2WE9kNv0pGIQA48Ryim8/edit?gid=1285727875#gid=1285727875"",""Sheet1!A2:G""),7,0))"),885.46)</f>
        <v>885.46</v>
      </c>
      <c r="L196" s="62">
        <f t="shared" si="34"/>
        <v>4.246380412</v>
      </c>
      <c r="M196" s="60">
        <f>IFERROR(__xludf.DUMMYFUNCTION("IFERROR(VLOOKUP(C196,IMPORTRANGE(""https://docs.google.com/spreadsheets/d/1HZUHB8NvANAZR0sHDmHYVAm2WE9kNv0pGIQA48Ryim8/edit?gid=1285727875#gid=1285727875"",""Cost!A2:G""),7,0))"),1007.0)</f>
        <v>1007</v>
      </c>
      <c r="N196" s="62">
        <f t="shared" si="4"/>
        <v>3.962264151</v>
      </c>
      <c r="O196" s="28"/>
      <c r="P196" s="28"/>
      <c r="Q196" s="28"/>
      <c r="R196" s="28"/>
      <c r="S196" s="28"/>
      <c r="T196" s="28"/>
      <c r="U196" s="65"/>
      <c r="V196" s="28"/>
      <c r="W196" s="65"/>
      <c r="X196" s="66" t="s">
        <v>139</v>
      </c>
      <c r="Y196" s="65" t="str">
        <f t="shared" si="6"/>
        <v>OCEAN 5551</v>
      </c>
    </row>
    <row r="197">
      <c r="A197" s="15" t="s">
        <v>595</v>
      </c>
      <c r="B197" s="15">
        <v>5554.0</v>
      </c>
      <c r="C197" s="15">
        <v>5554.0</v>
      </c>
      <c r="D197" s="48" t="s">
        <v>152</v>
      </c>
      <c r="E197" s="75">
        <f t="shared" ref="E197:F197" si="36">SUM(E198:E199)</f>
        <v>5740</v>
      </c>
      <c r="F197" s="75">
        <f t="shared" si="36"/>
        <v>6170</v>
      </c>
      <c r="G197" s="50">
        <f t="shared" si="33"/>
        <v>0.07491289199</v>
      </c>
      <c r="H197" s="28"/>
      <c r="I197" s="55">
        <f t="shared" si="2"/>
        <v>6289.807571</v>
      </c>
      <c r="J197" s="81"/>
      <c r="K197" s="60">
        <f>IFERROR(__xludf.DUMMYFUNCTION("IFERROR(VLOOKUP(C197,IMPORTRANGE(""https://docs.google.com/spreadsheets/d/1HZUHB8NvANAZR0sHDmHYVAm2WE9kNv0pGIQA48Ryim8/edit?gid=1285727875#gid=1285727875"",""Sheet1!A2:G""),7,0))"),1537.71)</f>
        <v>1537.71</v>
      </c>
      <c r="L197" s="62">
        <f t="shared" si="34"/>
        <v>3.732823484</v>
      </c>
      <c r="M197" s="60">
        <f>IFERROR(__xludf.DUMMYFUNCTION("IFERROR(VLOOKUP(C197,IMPORTRANGE(""https://docs.google.com/spreadsheets/d/1HZUHB8NvANAZR0sHDmHYVAm2WE9kNv0pGIQA48Ryim8/edit?gid=1285727875#gid=1285727875"",""Cost!A2:G""),7,0))"),1685.0)</f>
        <v>1685</v>
      </c>
      <c r="N197" s="62">
        <f t="shared" si="4"/>
        <v>3.661721068</v>
      </c>
      <c r="O197" s="28"/>
      <c r="P197" s="28"/>
      <c r="Q197" s="28"/>
      <c r="R197" s="28"/>
      <c r="S197" s="28"/>
      <c r="T197" s="28"/>
      <c r="U197" s="65"/>
      <c r="V197" s="28"/>
      <c r="W197" s="65"/>
      <c r="X197" s="66" t="s">
        <v>150</v>
      </c>
      <c r="Y197" s="65" t="str">
        <f t="shared" si="6"/>
        <v>OCEAN 5554</v>
      </c>
    </row>
    <row r="198">
      <c r="A198" s="15" t="s">
        <v>595</v>
      </c>
      <c r="B198" s="15" t="s">
        <v>154</v>
      </c>
      <c r="C198" s="15" t="s">
        <v>154</v>
      </c>
      <c r="D198" s="48" t="s">
        <v>156</v>
      </c>
      <c r="E198" s="39">
        <v>3680.0</v>
      </c>
      <c r="F198" s="39">
        <v>3990.0</v>
      </c>
      <c r="G198" s="50">
        <f t="shared" si="33"/>
        <v>0.08423913043</v>
      </c>
      <c r="H198" s="28"/>
      <c r="I198" s="55">
        <f t="shared" si="2"/>
        <v>4075.59981</v>
      </c>
      <c r="J198" s="81"/>
      <c r="K198" s="60">
        <f>IFERROR(__xludf.DUMMYFUNCTION("IFERROR(VLOOKUP(C198,IMPORTRANGE(""https://docs.google.com/spreadsheets/d/1HZUHB8NvANAZR0sHDmHYVAm2WE9kNv0pGIQA48Ryim8/edit?gid=1285727875#gid=1285727875"",""Sheet1!A2:G""),7,0))"),966.14)</f>
        <v>966.14</v>
      </c>
      <c r="L198" s="62">
        <f t="shared" si="34"/>
        <v>3.808971785</v>
      </c>
      <c r="M198" s="60">
        <f>IFERROR(__xludf.DUMMYFUNCTION("IFERROR(VLOOKUP(C198,IMPORTRANGE(""https://docs.google.com/spreadsheets/d/1HZUHB8NvANAZR0sHDmHYVAm2WE9kNv0pGIQA48Ryim8/edit?gid=1285727875#gid=1285727875"",""Cost!A2:G""),7,0))"),1070.0)</f>
        <v>1070</v>
      </c>
      <c r="N198" s="62">
        <f t="shared" si="4"/>
        <v>3.728971963</v>
      </c>
      <c r="O198" s="28"/>
      <c r="P198" s="28"/>
      <c r="Q198" s="28"/>
      <c r="R198" s="28"/>
      <c r="S198" s="28"/>
      <c r="T198" s="28"/>
      <c r="U198" s="65"/>
      <c r="V198" s="28"/>
      <c r="W198" s="65"/>
      <c r="X198" s="66" t="s">
        <v>154</v>
      </c>
      <c r="Y198" s="65" t="str">
        <f t="shared" si="6"/>
        <v>OCEAN 55BD-40</v>
      </c>
    </row>
    <row r="199">
      <c r="A199" s="15" t="s">
        <v>595</v>
      </c>
      <c r="B199" s="15" t="s">
        <v>616</v>
      </c>
      <c r="C199" s="15" t="s">
        <v>616</v>
      </c>
      <c r="D199" s="48" t="s">
        <v>78</v>
      </c>
      <c r="E199" s="39">
        <v>2060.0</v>
      </c>
      <c r="F199" s="39">
        <v>2180.0</v>
      </c>
      <c r="G199" s="50">
        <f t="shared" si="33"/>
        <v>0.05825242718</v>
      </c>
      <c r="H199" s="28"/>
      <c r="I199" s="55">
        <f t="shared" si="2"/>
        <v>2309.010989</v>
      </c>
      <c r="J199" s="81"/>
      <c r="K199" s="60">
        <f>IFERROR(__xludf.DUMMYFUNCTION("IFERROR(VLOOKUP(C199,IMPORTRANGE(""https://docs.google.com/spreadsheets/d/1HZUHB8NvANAZR0sHDmHYVAm2WE9kNv0pGIQA48Ryim8/edit?gid=1285727875#gid=1285727875"",""Sheet1!A2:G""),7,0))"),546.0)</f>
        <v>546</v>
      </c>
      <c r="L199" s="62">
        <f t="shared" si="34"/>
        <v>3.772893773</v>
      </c>
      <c r="M199" s="60">
        <f>IFERROR(__xludf.DUMMYFUNCTION("IFERROR(VLOOKUP(C199,IMPORTRANGE(""https://docs.google.com/spreadsheets/d/1HZUHB8NvANAZR0sHDmHYVAm2WE9kNv0pGIQA48Ryim8/edit?gid=1285727875#gid=1285727875"",""Cost!A2:G""),7,0))"),612.0)</f>
        <v>612</v>
      </c>
      <c r="N199" s="62">
        <f t="shared" si="4"/>
        <v>3.562091503</v>
      </c>
      <c r="O199" s="28"/>
      <c r="P199" s="28"/>
      <c r="Q199" s="28"/>
      <c r="R199" s="28"/>
      <c r="S199" s="28"/>
      <c r="T199" s="28"/>
      <c r="U199" s="65"/>
      <c r="V199" s="28"/>
      <c r="W199" s="65"/>
      <c r="X199" s="66" t="s">
        <v>159</v>
      </c>
      <c r="Y199" s="65" t="str">
        <f t="shared" si="6"/>
        <v>OCEAN 55BB</v>
      </c>
    </row>
    <row r="200">
      <c r="A200" s="15" t="s">
        <v>595</v>
      </c>
      <c r="B200" s="15">
        <v>5555.0</v>
      </c>
      <c r="C200" s="15">
        <v>5555.0</v>
      </c>
      <c r="D200" s="48" t="s">
        <v>164</v>
      </c>
      <c r="E200" s="39">
        <v>3480.0</v>
      </c>
      <c r="F200" s="39">
        <v>3780.0</v>
      </c>
      <c r="G200" s="50">
        <f t="shared" si="33"/>
        <v>0.08620689655</v>
      </c>
      <c r="H200" s="28"/>
      <c r="I200" s="55">
        <f t="shared" si="2"/>
        <v>3771.835443</v>
      </c>
      <c r="J200" s="81"/>
      <c r="K200" s="60">
        <f>IFERROR(__xludf.DUMMYFUNCTION("IFERROR(VLOOKUP(C200,IMPORTRANGE(""https://docs.google.com/spreadsheets/d/1HZUHB8NvANAZR0sHDmHYVAm2WE9kNv0pGIQA48Ryim8/edit?gid=1285727875#gid=1285727875"",""Sheet1!A2:G""),7,0))"),884.8)</f>
        <v>884.8</v>
      </c>
      <c r="L200" s="62">
        <f t="shared" si="34"/>
        <v>3.933092224</v>
      </c>
      <c r="M200" s="60">
        <f>IFERROR(__xludf.DUMMYFUNCTION("IFERROR(VLOOKUP(C200,IMPORTRANGE(""https://docs.google.com/spreadsheets/d/1HZUHB8NvANAZR0sHDmHYVAm2WE9kNv0pGIQA48Ryim8/edit?gid=1285727875#gid=1285727875"",""Cost!A2:G""),7,0))"),959.0)</f>
        <v>959</v>
      </c>
      <c r="N200" s="62">
        <f t="shared" si="4"/>
        <v>3.941605839</v>
      </c>
      <c r="O200" s="28"/>
      <c r="P200" s="28"/>
      <c r="Q200" s="28"/>
      <c r="R200" s="28"/>
      <c r="S200" s="28"/>
      <c r="T200" s="28"/>
      <c r="U200" s="65"/>
      <c r="V200" s="28"/>
      <c r="W200" s="65"/>
      <c r="X200" s="66" t="s">
        <v>162</v>
      </c>
      <c r="Y200" s="65" t="str">
        <f t="shared" si="6"/>
        <v>OCEAN 5555</v>
      </c>
    </row>
    <row r="201">
      <c r="A201" s="15" t="s">
        <v>595</v>
      </c>
      <c r="B201" s="15">
        <v>5570.0</v>
      </c>
      <c r="C201" s="15">
        <v>5570.0</v>
      </c>
      <c r="D201" s="48" t="s">
        <v>186</v>
      </c>
      <c r="E201" s="39">
        <v>4990.0</v>
      </c>
      <c r="F201" s="39">
        <v>5380.0</v>
      </c>
      <c r="G201" s="50">
        <f t="shared" si="33"/>
        <v>0.07815631263</v>
      </c>
      <c r="H201" s="28"/>
      <c r="I201" s="55">
        <f t="shared" si="2"/>
        <v>5495.934122</v>
      </c>
      <c r="J201" s="81"/>
      <c r="K201" s="60">
        <f>IFERROR(__xludf.DUMMYFUNCTION("IFERROR(VLOOKUP(C201,IMPORTRANGE(""https://docs.google.com/spreadsheets/d/1HZUHB8NvANAZR0sHDmHYVAm2WE9kNv0pGIQA48Ryim8/edit?gid=1285727875#gid=1285727875"",""Sheet1!A2:G""),7,0))"),1457.25)</f>
        <v>1457.25</v>
      </c>
      <c r="L201" s="62">
        <f t="shared" si="34"/>
        <v>3.42425802</v>
      </c>
      <c r="M201" s="60">
        <f>IFERROR(__xludf.DUMMYFUNCTION("IFERROR(VLOOKUP(C201,IMPORTRANGE(""https://docs.google.com/spreadsheets/d/1HZUHB8NvANAZR0sHDmHYVAm2WE9kNv0pGIQA48Ryim8/edit?gid=1285727875#gid=1285727875"",""Cost!A2:G""),7,0))"),1605.0)</f>
        <v>1605</v>
      </c>
      <c r="N201" s="62">
        <f t="shared" si="4"/>
        <v>3.352024922</v>
      </c>
      <c r="O201" s="28"/>
      <c r="P201" s="28"/>
      <c r="Q201" s="28"/>
      <c r="R201" s="28"/>
      <c r="S201" s="28"/>
      <c r="T201" s="28"/>
      <c r="U201" s="65"/>
      <c r="V201" s="28"/>
      <c r="W201" s="65"/>
      <c r="X201" s="66" t="s">
        <v>184</v>
      </c>
      <c r="Y201" s="65" t="str">
        <f t="shared" si="6"/>
        <v>OCEAN 5570</v>
      </c>
    </row>
    <row r="202">
      <c r="A202" s="15" t="s">
        <v>595</v>
      </c>
      <c r="B202" s="15">
        <v>5575.0</v>
      </c>
      <c r="C202" s="15">
        <v>5575.0</v>
      </c>
      <c r="D202" s="48" t="s">
        <v>196</v>
      </c>
      <c r="E202" s="39">
        <v>4990.0</v>
      </c>
      <c r="F202" s="39">
        <v>5380.0</v>
      </c>
      <c r="G202" s="50">
        <f t="shared" si="33"/>
        <v>0.07815631263</v>
      </c>
      <c r="H202" s="28"/>
      <c r="I202" s="55">
        <f t="shared" si="2"/>
        <v>5480.857613</v>
      </c>
      <c r="J202" s="81"/>
      <c r="K202" s="60">
        <f>IFERROR(__xludf.DUMMYFUNCTION("IFERROR(VLOOKUP(C202,IMPORTRANGE(""https://docs.google.com/spreadsheets/d/1HZUHB8NvANAZR0sHDmHYVAm2WE9kNv0pGIQA48Ryim8/edit?gid=1285727875#gid=1285727875"",""Sheet1!A2:G""),7,0))"),1423.02)</f>
        <v>1423.02</v>
      </c>
      <c r="L202" s="62">
        <f t="shared" si="34"/>
        <v>3.506626752</v>
      </c>
      <c r="M202" s="60">
        <f>IFERROR(__xludf.DUMMYFUNCTION("IFERROR(VLOOKUP(C202,IMPORTRANGE(""https://docs.google.com/spreadsheets/d/1HZUHB8NvANAZR0sHDmHYVAm2WE9kNv0pGIQA48Ryim8/edit?gid=1285727875#gid=1285727875"",""Cost!A2:G""),7,0))"),1563.0)</f>
        <v>1563</v>
      </c>
      <c r="N202" s="62">
        <f t="shared" si="4"/>
        <v>3.442098528</v>
      </c>
      <c r="O202" s="28"/>
      <c r="P202" s="28"/>
      <c r="Q202" s="28"/>
      <c r="R202" s="28"/>
      <c r="S202" s="28"/>
      <c r="T202" s="28"/>
      <c r="U202" s="65"/>
      <c r="V202" s="28"/>
      <c r="W202" s="65"/>
      <c r="X202" s="66" t="s">
        <v>194</v>
      </c>
      <c r="Y202" s="65" t="str">
        <f t="shared" si="6"/>
        <v>OCEAN 5575</v>
      </c>
    </row>
    <row r="203">
      <c r="A203" s="15" t="s">
        <v>595</v>
      </c>
      <c r="B203" s="15">
        <v>5580.0</v>
      </c>
      <c r="C203" s="15">
        <v>5580.0</v>
      </c>
      <c r="D203" s="48" t="s">
        <v>205</v>
      </c>
      <c r="E203" s="39">
        <v>5880.0</v>
      </c>
      <c r="F203" s="39">
        <v>6280.0</v>
      </c>
      <c r="G203" s="50">
        <f t="shared" si="33"/>
        <v>0.06802721088</v>
      </c>
      <c r="H203" s="28"/>
      <c r="I203" s="55">
        <f t="shared" si="2"/>
        <v>6461.940786</v>
      </c>
      <c r="J203" s="81"/>
      <c r="K203" s="60">
        <f>IFERROR(__xludf.DUMMYFUNCTION("IFERROR(VLOOKUP(C203,IMPORTRANGE(""https://docs.google.com/spreadsheets/d/1HZUHB8NvANAZR0sHDmHYVAm2WE9kNv0pGIQA48Ryim8/edit?gid=1285727875#gid=1285727875"",""Sheet1!A2:G""),7,0))"),1606.05)</f>
        <v>1606.05</v>
      </c>
      <c r="L203" s="62">
        <f t="shared" si="34"/>
        <v>3.661156253</v>
      </c>
      <c r="M203" s="60">
        <f>IFERROR(__xludf.DUMMYFUNCTION("IFERROR(VLOOKUP(C203,IMPORTRANGE(""https://docs.google.com/spreadsheets/d/1HZUHB8NvANAZR0sHDmHYVAm2WE9kNv0pGIQA48Ryim8/edit?gid=1285727875#gid=1285727875"",""Cost!A2:G""),7,0))"),1765.0)</f>
        <v>1765</v>
      </c>
      <c r="N203" s="62">
        <f t="shared" si="4"/>
        <v>3.558073654</v>
      </c>
      <c r="O203" s="28"/>
      <c r="P203" s="28"/>
      <c r="Q203" s="28"/>
      <c r="R203" s="28"/>
      <c r="S203" s="28"/>
      <c r="T203" s="28"/>
      <c r="U203" s="65"/>
      <c r="V203" s="28"/>
      <c r="W203" s="65"/>
      <c r="X203" s="66" t="s">
        <v>203</v>
      </c>
      <c r="Y203" s="65" t="str">
        <f t="shared" si="6"/>
        <v>OCEAN 5580</v>
      </c>
    </row>
    <row r="204">
      <c r="A204" s="15" t="s">
        <v>595</v>
      </c>
      <c r="B204" s="15" t="s">
        <v>623</v>
      </c>
      <c r="C204" s="15" t="s">
        <v>623</v>
      </c>
      <c r="D204" s="48" t="s">
        <v>210</v>
      </c>
      <c r="E204" s="75">
        <f t="shared" ref="E204:F204" si="37">SUM(E205:E206)</f>
        <v>5920</v>
      </c>
      <c r="F204" s="75">
        <f t="shared" si="37"/>
        <v>6320</v>
      </c>
      <c r="G204" s="50">
        <f t="shared" si="33"/>
        <v>0.06756756757</v>
      </c>
      <c r="H204" s="28"/>
      <c r="I204" s="55">
        <f t="shared" si="2"/>
        <v>6509.257082</v>
      </c>
      <c r="J204" s="81"/>
      <c r="K204" s="60">
        <f>IFERROR(__xludf.DUMMYFUNCTION("IFERROR(VLOOKUP(C204,IMPORTRANGE(""https://docs.google.com/spreadsheets/d/1HZUHB8NvANAZR0sHDmHYVAm2WE9kNv0pGIQA48Ryim8/edit?gid=1285727875#gid=1285727875"",""Sheet1!A2:G""),7,0))"),1573.39)</f>
        <v>1573.39</v>
      </c>
      <c r="L204" s="62">
        <f t="shared" si="34"/>
        <v>3.762576348</v>
      </c>
      <c r="M204" s="60">
        <f>IFERROR(__xludf.DUMMYFUNCTION("IFERROR(VLOOKUP(C204,IMPORTRANGE(""https://docs.google.com/spreadsheets/d/1HZUHB8NvANAZR0sHDmHYVAm2WE9kNv0pGIQA48Ryim8/edit?gid=1285727875#gid=1285727875"",""Cost!A2:G""),7,0))"),1730.0)</f>
        <v>1730</v>
      </c>
      <c r="N204" s="62">
        <f t="shared" si="4"/>
        <v>3.653179191</v>
      </c>
      <c r="O204" s="28"/>
      <c r="P204" s="28"/>
      <c r="Q204" s="28"/>
      <c r="R204" s="28"/>
      <c r="S204" s="28"/>
      <c r="T204" s="28"/>
      <c r="U204" s="65"/>
      <c r="V204" s="28"/>
      <c r="W204" s="65"/>
      <c r="X204" s="66" t="s">
        <v>209</v>
      </c>
      <c r="Y204" s="65" t="str">
        <f t="shared" si="6"/>
        <v>OCEAN 5591</v>
      </c>
    </row>
    <row r="205">
      <c r="A205" s="15" t="s">
        <v>595</v>
      </c>
      <c r="B205" s="15" t="s">
        <v>212</v>
      </c>
      <c r="C205" s="15" t="s">
        <v>212</v>
      </c>
      <c r="D205" s="48" t="s">
        <v>214</v>
      </c>
      <c r="E205" s="39">
        <v>4240.0</v>
      </c>
      <c r="F205" s="39">
        <v>4580.0</v>
      </c>
      <c r="G205" s="50">
        <f t="shared" si="33"/>
        <v>0.08018867925</v>
      </c>
      <c r="H205" s="28"/>
      <c r="I205" s="55">
        <f t="shared" si="2"/>
        <v>4549.622554</v>
      </c>
      <c r="J205" s="81"/>
      <c r="K205" s="60">
        <f>IFERROR(__xludf.DUMMYFUNCTION("IFERROR(VLOOKUP(C205,IMPORTRANGE(""https://docs.google.com/spreadsheets/d/1HZUHB8NvANAZR0sHDmHYVAm2WE9kNv0pGIQA48Ryim8/edit?gid=1285727875#gid=1285727875"",""Sheet1!A2:G""),7,0))"),1298.2)</f>
        <v>1298.2</v>
      </c>
      <c r="L205" s="62">
        <f t="shared" si="34"/>
        <v>3.266060699</v>
      </c>
      <c r="M205" s="60">
        <f>IFERROR(__xludf.DUMMYFUNCTION("IFERROR(VLOOKUP(C205,IMPORTRANGE(""https://docs.google.com/spreadsheets/d/1HZUHB8NvANAZR0sHDmHYVAm2WE9kNv0pGIQA48Ryim8/edit?gid=1285727875#gid=1285727875"",""Cost!A2:G""),7,0))"),1393.0)</f>
        <v>1393</v>
      </c>
      <c r="N205" s="62">
        <f t="shared" si="4"/>
        <v>3.287867911</v>
      </c>
      <c r="O205" s="28"/>
      <c r="P205" s="28"/>
      <c r="Q205" s="28"/>
      <c r="R205" s="28"/>
      <c r="S205" s="28"/>
      <c r="T205" s="28"/>
      <c r="U205" s="65"/>
      <c r="V205" s="28"/>
      <c r="W205" s="65"/>
      <c r="X205" s="66" t="s">
        <v>212</v>
      </c>
      <c r="Y205" s="65" t="str">
        <f t="shared" si="6"/>
        <v>OCEAN 55PD-40-N</v>
      </c>
    </row>
    <row r="206">
      <c r="A206" s="15" t="s">
        <v>595</v>
      </c>
      <c r="B206" s="15" t="s">
        <v>628</v>
      </c>
      <c r="C206" s="15" t="s">
        <v>628</v>
      </c>
      <c r="D206" s="48" t="s">
        <v>217</v>
      </c>
      <c r="E206" s="39">
        <v>1680.0</v>
      </c>
      <c r="F206" s="39">
        <v>1740.0</v>
      </c>
      <c r="G206" s="50">
        <f t="shared" si="33"/>
        <v>0.03571428571</v>
      </c>
      <c r="H206" s="28"/>
      <c r="I206" s="55">
        <f t="shared" si="2"/>
        <v>2061.843512</v>
      </c>
      <c r="J206" s="81"/>
      <c r="K206" s="60">
        <f>IFERROR(__xludf.DUMMYFUNCTION("IFERROR(VLOOKUP(C206,IMPORTRANGE(""https://docs.google.com/spreadsheets/d/1HZUHB8NvANAZR0sHDmHYVAm2WE9kNv0pGIQA48Ryim8/edit?gid=1285727875#gid=1285727875"",""Sheet1!A2:G""),7,0))"),271.33)</f>
        <v>271.33</v>
      </c>
      <c r="L206" s="62">
        <f t="shared" si="34"/>
        <v>6.191722257</v>
      </c>
      <c r="M206" s="60">
        <f>IFERROR(__xludf.DUMMYFUNCTION("IFERROR(VLOOKUP(C206,IMPORTRANGE(""https://docs.google.com/spreadsheets/d/1HZUHB8NvANAZR0sHDmHYVAm2WE9kNv0pGIQA48Ryim8/edit?gid=1285727875#gid=1285727875"",""Cost!A2:G""),7,0))"),333.0)</f>
        <v>333</v>
      </c>
      <c r="N206" s="62">
        <f t="shared" si="4"/>
        <v>5.225225225</v>
      </c>
      <c r="O206" s="28"/>
      <c r="P206" s="28"/>
      <c r="Q206" s="28"/>
      <c r="R206" s="28"/>
      <c r="S206" s="28"/>
      <c r="T206" s="28"/>
      <c r="U206" s="65"/>
      <c r="V206" s="28"/>
      <c r="W206" s="65"/>
      <c r="X206" s="66" t="s">
        <v>358</v>
      </c>
      <c r="Y206" s="65" t="str">
        <f t="shared" si="6"/>
        <v>OCEAN 55DB</v>
      </c>
    </row>
    <row r="207">
      <c r="A207" s="15" t="s">
        <v>595</v>
      </c>
      <c r="B207" s="15" t="s">
        <v>629</v>
      </c>
      <c r="C207" s="15" t="s">
        <v>629</v>
      </c>
      <c r="D207" s="48" t="s">
        <v>220</v>
      </c>
      <c r="E207" s="75">
        <f t="shared" ref="E207:F207" si="38">SUM(E208:E209)</f>
        <v>6660</v>
      </c>
      <c r="F207" s="75">
        <f t="shared" si="38"/>
        <v>7230</v>
      </c>
      <c r="G207" s="50">
        <f t="shared" si="33"/>
        <v>0.08558558559</v>
      </c>
      <c r="H207" s="28"/>
      <c r="I207" s="55">
        <f t="shared" si="2"/>
        <v>7494.195885</v>
      </c>
      <c r="J207" s="81"/>
      <c r="K207" s="60">
        <f>IFERROR(__xludf.DUMMYFUNCTION("IFERROR(VLOOKUP(C207,IMPORTRANGE(""https://docs.google.com/spreadsheets/d/1HZUHB8NvANAZR0sHDmHYVAm2WE9kNv0pGIQA48Ryim8/edit?gid=1285727875#gid=1285727875"",""Sheet1!A2:G""),7,0))"),1855.58)</f>
        <v>1855.58</v>
      </c>
      <c r="L207" s="62">
        <f t="shared" si="34"/>
        <v>3.589174274</v>
      </c>
      <c r="M207" s="60">
        <f>IFERROR(__xludf.DUMMYFUNCTION("IFERROR(VLOOKUP(C207,IMPORTRANGE(""https://docs.google.com/spreadsheets/d/1HZUHB8NvANAZR0sHDmHYVAm2WE9kNv0pGIQA48Ryim8/edit?gid=1285727875#gid=1285727875"",""Cost!A2:G""),7,0))"),2088.0)</f>
        <v>2088</v>
      </c>
      <c r="N207" s="62">
        <f t="shared" si="4"/>
        <v>3.462643678</v>
      </c>
      <c r="O207" s="28"/>
      <c r="P207" s="28"/>
      <c r="Q207" s="28"/>
      <c r="R207" s="28"/>
      <c r="S207" s="28"/>
      <c r="T207" s="28"/>
      <c r="U207" s="65"/>
      <c r="V207" s="28"/>
      <c r="W207" s="65"/>
      <c r="X207" s="66" t="s">
        <v>219</v>
      </c>
      <c r="Y207" s="65" t="str">
        <f t="shared" si="6"/>
        <v>OCEAN 5592</v>
      </c>
    </row>
    <row r="208">
      <c r="A208" s="15" t="s">
        <v>595</v>
      </c>
      <c r="B208" s="15" t="s">
        <v>223</v>
      </c>
      <c r="C208" s="15" t="s">
        <v>223</v>
      </c>
      <c r="D208" s="48" t="s">
        <v>224</v>
      </c>
      <c r="E208" s="39">
        <v>4980.0</v>
      </c>
      <c r="F208" s="39">
        <v>5490.0</v>
      </c>
      <c r="G208" s="50">
        <f t="shared" si="33"/>
        <v>0.1024096386</v>
      </c>
      <c r="H208" s="28"/>
      <c r="I208" s="55">
        <f t="shared" si="2"/>
        <v>5513.426362</v>
      </c>
      <c r="J208" s="81"/>
      <c r="K208" s="60">
        <f>IFERROR(__xludf.DUMMYFUNCTION("IFERROR(VLOOKUP(C208,IMPORTRANGE(""https://docs.google.com/spreadsheets/d/1HZUHB8NvANAZR0sHDmHYVAm2WE9kNv0pGIQA48Ryim8/edit?gid=1285727875#gid=1285727875"",""Sheet1!A2:G""),7,0))"),1581.59)</f>
        <v>1581.59</v>
      </c>
      <c r="L208" s="62">
        <f t="shared" si="34"/>
        <v>3.148730075</v>
      </c>
      <c r="M208" s="60">
        <f>IFERROR(__xludf.DUMMYFUNCTION("IFERROR(VLOOKUP(C208,IMPORTRANGE(""https://docs.google.com/spreadsheets/d/1HZUHB8NvANAZR0sHDmHYVAm2WE9kNv0pGIQA48Ryim8/edit?gid=1285727875#gid=1285727875"",""Cost!A2:G""),7,0))"),1751.0)</f>
        <v>1751</v>
      </c>
      <c r="N208" s="62">
        <f t="shared" si="4"/>
        <v>3.135351228</v>
      </c>
      <c r="O208" s="28"/>
      <c r="P208" s="28"/>
      <c r="Q208" s="28"/>
      <c r="R208" s="28"/>
      <c r="S208" s="28"/>
      <c r="T208" s="28"/>
      <c r="U208" s="65"/>
      <c r="V208" s="28"/>
      <c r="W208" s="65"/>
      <c r="X208" s="66" t="s">
        <v>223</v>
      </c>
      <c r="Y208" s="65" t="str">
        <f t="shared" si="6"/>
        <v>OCEAN 55PD-46-H-N</v>
      </c>
    </row>
    <row r="209">
      <c r="A209" s="15" t="s">
        <v>595</v>
      </c>
      <c r="B209" s="15" t="s">
        <v>634</v>
      </c>
      <c r="C209" s="15" t="s">
        <v>634</v>
      </c>
      <c r="D209" s="48" t="s">
        <v>217</v>
      </c>
      <c r="E209" s="39">
        <v>1680.0</v>
      </c>
      <c r="F209" s="39">
        <f>F206</f>
        <v>1740</v>
      </c>
      <c r="G209" s="50">
        <f t="shared" si="33"/>
        <v>0.03571428571</v>
      </c>
      <c r="H209" s="28"/>
      <c r="I209" s="55">
        <f t="shared" si="2"/>
        <v>2061.083889</v>
      </c>
      <c r="J209" s="81"/>
      <c r="K209" s="60">
        <f>IFERROR(__xludf.DUMMYFUNCTION("IFERROR(VLOOKUP(C209,IMPORTRANGE(""https://docs.google.com/spreadsheets/d/1HZUHB8NvANAZR0sHDmHYVAm2WE9kNv0pGIQA48Ryim8/edit?gid=1285727875#gid=1285727875"",""Sheet1!A2:G""),7,0))"),271.43)</f>
        <v>271.43</v>
      </c>
      <c r="L209" s="62">
        <f t="shared" si="34"/>
        <v>6.189441108</v>
      </c>
      <c r="M209" s="60">
        <f>IFERROR(__xludf.DUMMYFUNCTION("IFERROR(VLOOKUP(C209,IMPORTRANGE(""https://docs.google.com/spreadsheets/d/1HZUHB8NvANAZR0sHDmHYVAm2WE9kNv0pGIQA48Ryim8/edit?gid=1285727875#gid=1285727875"",""Cost!A2:G""),7,0))"),333.0)</f>
        <v>333</v>
      </c>
      <c r="N209" s="62">
        <f t="shared" si="4"/>
        <v>5.225225225</v>
      </c>
      <c r="O209" s="28"/>
      <c r="P209" s="28"/>
      <c r="Q209" s="28"/>
      <c r="R209" s="28"/>
      <c r="S209" s="28"/>
      <c r="T209" s="28"/>
      <c r="U209" s="65"/>
      <c r="V209" s="28"/>
      <c r="W209" s="65"/>
      <c r="X209" s="66" t="s">
        <v>358</v>
      </c>
      <c r="Y209" s="65" t="str">
        <f t="shared" si="6"/>
        <v>OCEAN 55DB</v>
      </c>
    </row>
    <row r="210">
      <c r="A210" s="15" t="s">
        <v>595</v>
      </c>
      <c r="B210" s="15" t="s">
        <v>635</v>
      </c>
      <c r="C210" s="15" t="s">
        <v>635</v>
      </c>
      <c r="D210" s="48" t="s">
        <v>229</v>
      </c>
      <c r="E210" s="75">
        <f t="shared" ref="E210:F210" si="39">SUM(E211:E212)</f>
        <v>6660</v>
      </c>
      <c r="F210" s="75">
        <f t="shared" si="39"/>
        <v>7230</v>
      </c>
      <c r="G210" s="50">
        <f t="shared" si="33"/>
        <v>0.08558558559</v>
      </c>
      <c r="H210" s="28"/>
      <c r="I210" s="55">
        <f t="shared" si="2"/>
        <v>7579.570724</v>
      </c>
      <c r="J210" s="81"/>
      <c r="K210" s="60">
        <f>IFERROR(__xludf.DUMMYFUNCTION("IFERROR(VLOOKUP(C210,IMPORTRANGE(""https://docs.google.com/spreadsheets/d/1HZUHB8NvANAZR0sHDmHYVAm2WE9kNv0pGIQA48Ryim8/edit?gid=1285727875#gid=1285727875"",""Sheet1!A2:G""),7,0))"),1641.37)</f>
        <v>1641.37</v>
      </c>
      <c r="L210" s="62">
        <f t="shared" si="34"/>
        <v>4.057586041</v>
      </c>
      <c r="M210" s="60">
        <f>IFERROR(__xludf.DUMMYFUNCTION("IFERROR(VLOOKUP(C210,IMPORTRANGE(""https://docs.google.com/spreadsheets/d/1HZUHB8NvANAZR0sHDmHYVAm2WE9kNv0pGIQA48Ryim8/edit?gid=1285727875#gid=1285727875"",""Cost!A2:G""),7,0))"),1868.0)</f>
        <v>1868</v>
      </c>
      <c r="N210" s="62">
        <f t="shared" si="4"/>
        <v>3.870449679</v>
      </c>
      <c r="O210" s="28"/>
      <c r="P210" s="28"/>
      <c r="Q210" s="28"/>
      <c r="R210" s="28"/>
      <c r="S210" s="28"/>
      <c r="T210" s="28"/>
      <c r="U210" s="65"/>
      <c r="V210" s="28"/>
      <c r="W210" s="65"/>
      <c r="X210" s="66" t="s">
        <v>368</v>
      </c>
      <c r="Y210" s="65" t="str">
        <f t="shared" si="6"/>
        <v>OCEAN 5592-ON-OFF</v>
      </c>
    </row>
    <row r="211">
      <c r="A211" s="15" t="s">
        <v>595</v>
      </c>
      <c r="B211" s="15" t="s">
        <v>234</v>
      </c>
      <c r="C211" s="15" t="s">
        <v>234</v>
      </c>
      <c r="D211" s="48" t="s">
        <v>235</v>
      </c>
      <c r="E211" s="39">
        <f>E208-240</f>
        <v>4740</v>
      </c>
      <c r="F211" s="75">
        <f>F208-$X$1</f>
        <v>5250</v>
      </c>
      <c r="G211" s="50">
        <f t="shared" si="33"/>
        <v>0.1075949367</v>
      </c>
      <c r="H211" s="28"/>
      <c r="I211" s="55">
        <f t="shared" si="2"/>
        <v>5306.797906</v>
      </c>
      <c r="J211" s="81"/>
      <c r="K211" s="60">
        <f>IFERROR(__xludf.DUMMYFUNCTION("IFERROR(VLOOKUP(C211,IMPORTRANGE(""https://docs.google.com/spreadsheets/d/1HZUHB8NvANAZR0sHDmHYVAm2WE9kNv0pGIQA48Ryim8/edit?gid=1285727875#gid=1285727875"",""Sheet1!A2:G""),7,0))"),1367.48)</f>
        <v>1367.48</v>
      </c>
      <c r="L211" s="62">
        <f t="shared" si="34"/>
        <v>3.466229853</v>
      </c>
      <c r="M211" s="60">
        <f>IFERROR(__xludf.DUMMYFUNCTION("IFERROR(VLOOKUP(C211,IMPORTRANGE(""https://docs.google.com/spreadsheets/d/1HZUHB8NvANAZR0sHDmHYVAm2WE9kNv0pGIQA48Ryim8/edit?gid=1285727875#gid=1285727875"",""Cost!A2:G""),7,0))"),1531.0)</f>
        <v>1531</v>
      </c>
      <c r="N211" s="62">
        <f t="shared" si="4"/>
        <v>3.429131287</v>
      </c>
      <c r="O211" s="28"/>
      <c r="P211" s="28"/>
      <c r="Q211" s="28"/>
      <c r="R211" s="28"/>
      <c r="S211" s="28"/>
      <c r="T211" s="28"/>
      <c r="U211" s="65"/>
      <c r="V211" s="28"/>
      <c r="W211" s="65"/>
      <c r="X211" s="66" t="s">
        <v>371</v>
      </c>
      <c r="Y211" s="65" t="str">
        <f t="shared" si="6"/>
        <v>OCEAN 55PD-ON-OFF</v>
      </c>
    </row>
    <row r="212">
      <c r="A212" s="15" t="s">
        <v>595</v>
      </c>
      <c r="B212" s="15" t="s">
        <v>640</v>
      </c>
      <c r="C212" s="15" t="s">
        <v>640</v>
      </c>
      <c r="D212" s="48" t="s">
        <v>217</v>
      </c>
      <c r="E212" s="75">
        <f>E209+240</f>
        <v>1920</v>
      </c>
      <c r="F212" s="75">
        <f>F209+$X$1</f>
        <v>1980</v>
      </c>
      <c r="G212" s="50">
        <f t="shared" si="33"/>
        <v>0.03125</v>
      </c>
      <c r="H212" s="28"/>
      <c r="I212" s="55">
        <f t="shared" si="2"/>
        <v>2359.752712</v>
      </c>
      <c r="J212" s="81"/>
      <c r="K212" s="60">
        <f>IFERROR(__xludf.DUMMYFUNCTION("IFERROR(VLOOKUP(C212,IMPORTRANGE(""https://docs.google.com/spreadsheets/d/1HZUHB8NvANAZR0sHDmHYVAm2WE9kNv0pGIQA48Ryim8/edit?gid=1285727875#gid=1285727875"",""Sheet1!A2:G""),7,0))"),270.13)</f>
        <v>270.13</v>
      </c>
      <c r="L212" s="62">
        <f t="shared" si="34"/>
        <v>7.107688891</v>
      </c>
      <c r="M212" s="60">
        <f>IFERROR(__xludf.DUMMYFUNCTION("IFERROR(VLOOKUP(C212,IMPORTRANGE(""https://docs.google.com/spreadsheets/d/1HZUHB8NvANAZR0sHDmHYVAm2WE9kNv0pGIQA48Ryim8/edit?gid=1285727875#gid=1285727875"",""Cost!A2:G""),7,0))"),332.0)</f>
        <v>332</v>
      </c>
      <c r="N212" s="62">
        <f t="shared" si="4"/>
        <v>5.963855422</v>
      </c>
      <c r="O212" s="28"/>
      <c r="P212" s="28"/>
      <c r="Q212" s="28"/>
      <c r="R212" s="28"/>
      <c r="S212" s="28"/>
      <c r="T212" s="28"/>
      <c r="U212" s="65"/>
      <c r="V212" s="28"/>
      <c r="W212" s="65"/>
      <c r="X212" s="66" t="s">
        <v>375</v>
      </c>
      <c r="Y212" s="65" t="str">
        <f t="shared" si="6"/>
        <v>OCEAN 55DB-ON-OFF</v>
      </c>
    </row>
    <row r="213">
      <c r="A213" s="15" t="s">
        <v>595</v>
      </c>
      <c r="B213" s="15"/>
      <c r="C213" s="15" t="s">
        <v>643</v>
      </c>
      <c r="D213" s="18" t="s">
        <v>220</v>
      </c>
      <c r="E213" s="97" t="s">
        <v>377</v>
      </c>
      <c r="F213" s="75">
        <f>SUM(F214:F215)</f>
        <v>7230</v>
      </c>
      <c r="G213" s="50"/>
      <c r="H213" s="28"/>
      <c r="I213" s="55">
        <f t="shared" si="2"/>
        <v>0</v>
      </c>
      <c r="J213" s="81"/>
      <c r="K213" s="60"/>
      <c r="L213" s="62"/>
      <c r="M213" s="60">
        <f>SUM(M214:M215)</f>
        <v>2023.53</v>
      </c>
      <c r="N213" s="62">
        <f t="shared" si="4"/>
        <v>3.572964078</v>
      </c>
      <c r="O213" s="28"/>
      <c r="P213" s="28"/>
      <c r="Q213" s="28"/>
      <c r="R213" s="28"/>
      <c r="S213" s="28"/>
      <c r="T213" s="28"/>
      <c r="U213" s="65"/>
      <c r="V213" s="28"/>
      <c r="W213" s="65"/>
      <c r="X213" s="66" t="s">
        <v>380</v>
      </c>
      <c r="Y213" s="65" t="str">
        <f t="shared" si="6"/>
        <v>OCEAN 5592-P</v>
      </c>
    </row>
    <row r="214">
      <c r="A214" s="15" t="s">
        <v>595</v>
      </c>
      <c r="B214" s="15"/>
      <c r="C214" s="15" t="s">
        <v>381</v>
      </c>
      <c r="D214" s="18" t="s">
        <v>382</v>
      </c>
      <c r="E214" s="97" t="s">
        <v>377</v>
      </c>
      <c r="F214" s="39">
        <f>F208-$Y$1</f>
        <v>4990</v>
      </c>
      <c r="G214" s="50"/>
      <c r="H214" s="28"/>
      <c r="I214" s="55">
        <f t="shared" si="2"/>
        <v>0</v>
      </c>
      <c r="J214" s="81"/>
      <c r="K214" s="60"/>
      <c r="L214" s="62"/>
      <c r="M214" s="60">
        <f>IFERROR(__xludf.DUMMYFUNCTION("IFERROR(VLOOKUP(C214,IMPORTRANGE(""https://docs.google.com/spreadsheets/d/1HZUHB8NvANAZR0sHDmHYVAm2WE9kNv0pGIQA48Ryim8/edit?gid=1285727875#gid=1285727875"",""Diverter &amp; Upper!A2:B""),2,0))"),1585.45)</f>
        <v>1585.45</v>
      </c>
      <c r="N214" s="62">
        <f t="shared" si="4"/>
        <v>3.147371409</v>
      </c>
      <c r="O214" s="28"/>
      <c r="P214" s="28"/>
      <c r="Q214" s="28"/>
      <c r="R214" s="28"/>
      <c r="S214" s="28"/>
      <c r="T214" s="28"/>
      <c r="U214" s="65"/>
      <c r="V214" s="28"/>
      <c r="W214" s="65"/>
      <c r="X214" s="66" t="s">
        <v>381</v>
      </c>
      <c r="Y214" s="65" t="str">
        <f t="shared" si="6"/>
        <v>OCEAN 55PD-46-H-P</v>
      </c>
    </row>
    <row r="215">
      <c r="A215" s="15" t="s">
        <v>595</v>
      </c>
      <c r="B215" s="15"/>
      <c r="C215" s="15" t="s">
        <v>646</v>
      </c>
      <c r="D215" s="18" t="s">
        <v>386</v>
      </c>
      <c r="E215" s="97" t="s">
        <v>377</v>
      </c>
      <c r="F215" s="39">
        <f>F209+$Y$1</f>
        <v>2240</v>
      </c>
      <c r="G215" s="50"/>
      <c r="H215" s="28"/>
      <c r="I215" s="55">
        <f t="shared" si="2"/>
        <v>0</v>
      </c>
      <c r="J215" s="81"/>
      <c r="K215" s="60"/>
      <c r="L215" s="62"/>
      <c r="M215" s="60">
        <f>IFERROR(__xludf.DUMMYFUNCTION("IFERROR(VLOOKUP(C215,IMPORTRANGE(""https://docs.google.com/spreadsheets/d/1HZUHB8NvANAZR0sHDmHYVAm2WE9kNv0pGIQA48Ryim8/edit?gid=1285727875#gid=1285727875"",""Diverter &amp; Upper!A2:B""),2,0))"),438.08)</f>
        <v>438.08</v>
      </c>
      <c r="N215" s="62">
        <f t="shared" si="4"/>
        <v>5.113221329</v>
      </c>
      <c r="O215" s="28"/>
      <c r="P215" s="28"/>
      <c r="Q215" s="28"/>
      <c r="R215" s="28"/>
      <c r="S215" s="28"/>
      <c r="T215" s="28"/>
      <c r="U215" s="65"/>
      <c r="V215" s="28"/>
      <c r="W215" s="65"/>
      <c r="X215" s="66" t="s">
        <v>387</v>
      </c>
      <c r="Y215" s="65" t="str">
        <f t="shared" si="6"/>
        <v>OCEAN 55DB-P</v>
      </c>
    </row>
    <row r="216">
      <c r="A216" s="15" t="s">
        <v>595</v>
      </c>
      <c r="B216" s="15"/>
      <c r="C216" s="15" t="s">
        <v>647</v>
      </c>
      <c r="D216" s="18" t="s">
        <v>229</v>
      </c>
      <c r="E216" s="97" t="s">
        <v>377</v>
      </c>
      <c r="F216" s="75">
        <f>SUM(F217:F218)</f>
        <v>7230</v>
      </c>
      <c r="G216" s="50"/>
      <c r="H216" s="28"/>
      <c r="I216" s="55">
        <f t="shared" si="2"/>
        <v>0</v>
      </c>
      <c r="J216" s="81"/>
      <c r="K216" s="60"/>
      <c r="L216" s="62"/>
      <c r="M216" s="60">
        <f>SUM(M217:M218)</f>
        <v>1806.66</v>
      </c>
      <c r="N216" s="62">
        <f t="shared" si="4"/>
        <v>4.001859785</v>
      </c>
      <c r="O216" s="28"/>
      <c r="P216" s="28"/>
      <c r="Q216" s="28"/>
      <c r="R216" s="28"/>
      <c r="S216" s="28"/>
      <c r="T216" s="28"/>
      <c r="U216" s="65"/>
      <c r="V216" s="28"/>
      <c r="W216" s="65"/>
      <c r="X216" s="66" t="s">
        <v>391</v>
      </c>
      <c r="Y216" s="65" t="str">
        <f t="shared" si="6"/>
        <v>OCEAN 5592-ON-OFF-P</v>
      </c>
    </row>
    <row r="217">
      <c r="A217" s="15" t="s">
        <v>595</v>
      </c>
      <c r="B217" s="15"/>
      <c r="C217" s="15" t="s">
        <v>392</v>
      </c>
      <c r="D217" s="18" t="s">
        <v>393</v>
      </c>
      <c r="E217" s="97" t="s">
        <v>377</v>
      </c>
      <c r="F217" s="39">
        <f>F214-$X$1</f>
        <v>4750</v>
      </c>
      <c r="G217" s="50"/>
      <c r="H217" s="28"/>
      <c r="I217" s="55">
        <f t="shared" si="2"/>
        <v>0</v>
      </c>
      <c r="J217" s="81"/>
      <c r="K217" s="60"/>
      <c r="L217" s="62"/>
      <c r="M217" s="60">
        <f>IFERROR(__xludf.DUMMYFUNCTION("IFERROR(VLOOKUP(C217,IMPORTRANGE(""https://docs.google.com/spreadsheets/d/1HZUHB8NvANAZR0sHDmHYVAm2WE9kNv0pGIQA48Ryim8/edit?gid=1285727875#gid=1285727875"",""Diverter &amp; Upper!A2:B""),2,0))"),1357.68)</f>
        <v>1357.68</v>
      </c>
      <c r="N217" s="62">
        <f t="shared" si="4"/>
        <v>3.498615285</v>
      </c>
      <c r="O217" s="28"/>
      <c r="P217" s="28"/>
      <c r="Q217" s="28"/>
      <c r="R217" s="28"/>
      <c r="S217" s="28"/>
      <c r="T217" s="28"/>
      <c r="U217" s="65"/>
      <c r="V217" s="28"/>
      <c r="W217" s="65"/>
      <c r="X217" s="66" t="s">
        <v>396</v>
      </c>
      <c r="Y217" s="65" t="str">
        <f t="shared" si="6"/>
        <v>OCEAN 55PD-ON-OFF-P</v>
      </c>
    </row>
    <row r="218">
      <c r="A218" s="15" t="s">
        <v>595</v>
      </c>
      <c r="B218" s="15"/>
      <c r="C218" s="15" t="s">
        <v>650</v>
      </c>
      <c r="D218" s="18" t="s">
        <v>386</v>
      </c>
      <c r="E218" s="97" t="s">
        <v>377</v>
      </c>
      <c r="F218" s="39">
        <f>F215+$X$1</f>
        <v>2480</v>
      </c>
      <c r="G218" s="50"/>
      <c r="H218" s="28"/>
      <c r="I218" s="55">
        <f t="shared" si="2"/>
        <v>0</v>
      </c>
      <c r="J218" s="81"/>
      <c r="K218" s="60"/>
      <c r="L218" s="62"/>
      <c r="M218" s="60">
        <f>IFERROR(__xludf.DUMMYFUNCTION("IFERROR(VLOOKUP(C218,IMPORTRANGE(""https://docs.google.com/spreadsheets/d/1HZUHB8NvANAZR0sHDmHYVAm2WE9kNv0pGIQA48Ryim8/edit?gid=1285727875#gid=1285727875"",""Diverter &amp; Upper!A2:B""),2,0))"),448.98)</f>
        <v>448.98</v>
      </c>
      <c r="N218" s="62">
        <f t="shared" si="4"/>
        <v>5.523631342</v>
      </c>
      <c r="O218" s="28"/>
      <c r="P218" s="28"/>
      <c r="Q218" s="28"/>
      <c r="R218" s="28"/>
      <c r="S218" s="28"/>
      <c r="T218" s="28"/>
      <c r="U218" s="65"/>
      <c r="V218" s="28"/>
      <c r="W218" s="65"/>
      <c r="X218" s="66" t="s">
        <v>400</v>
      </c>
      <c r="Y218" s="65" t="str">
        <f t="shared" si="6"/>
        <v>OCEAN 55DB-ON-OFF-P</v>
      </c>
    </row>
    <row r="219">
      <c r="A219" s="15" t="s">
        <v>595</v>
      </c>
      <c r="B219" s="15" t="s">
        <v>651</v>
      </c>
      <c r="C219" s="15" t="s">
        <v>651</v>
      </c>
      <c r="D219" s="48" t="s">
        <v>241</v>
      </c>
      <c r="E219" s="75">
        <f t="shared" ref="E219:F219" si="40">SUM(E220:E221)</f>
        <v>6660</v>
      </c>
      <c r="F219" s="75">
        <f t="shared" si="40"/>
        <v>7230</v>
      </c>
      <c r="G219" s="50">
        <f t="shared" ref="G219:G259" si="41">IFERROR((F219-E219)/E219,"")</f>
        <v>0.08558558559</v>
      </c>
      <c r="H219" s="28"/>
      <c r="I219" s="55">
        <f t="shared" si="2"/>
        <v>7366.604725</v>
      </c>
      <c r="J219" s="81"/>
      <c r="K219" s="60">
        <f>IFERROR(__xludf.DUMMYFUNCTION("IFERROR(VLOOKUP(C219,IMPORTRANGE(""https://docs.google.com/spreadsheets/d/1HZUHB8NvANAZR0sHDmHYVAm2WE9kNv0pGIQA48Ryim8/edit?gid=1285727875#gid=1285727875"",""Sheet1!A2:G""),7,0))"),1808.16)</f>
        <v>1808.16</v>
      </c>
      <c r="L219" s="62">
        <f t="shared" ref="L219:L259" si="42">IFERROR(E219/$K219,"")</f>
        <v>3.683302363</v>
      </c>
      <c r="M219" s="60">
        <f>IFERROR(__xludf.DUMMYFUNCTION("IFERROR(VLOOKUP(C219,IMPORTRANGE(""https://docs.google.com/spreadsheets/d/1HZUHB8NvANAZR0sHDmHYVAm2WE9kNv0pGIQA48Ryim8/edit?gid=1285727875#gid=1285727875"",""Cost!A2:G""),7,0))"),2000.0)</f>
        <v>2000</v>
      </c>
      <c r="N219" s="62">
        <f t="shared" si="4"/>
        <v>3.615</v>
      </c>
      <c r="O219" s="28"/>
      <c r="P219" s="28"/>
      <c r="Q219" s="28"/>
      <c r="R219" s="28"/>
      <c r="S219" s="28"/>
      <c r="T219" s="28"/>
      <c r="U219" s="65"/>
      <c r="V219" s="28"/>
      <c r="W219" s="65"/>
      <c r="X219" s="66" t="s">
        <v>239</v>
      </c>
      <c r="Y219" s="65" t="str">
        <f t="shared" si="6"/>
        <v>OCEAN 5593</v>
      </c>
    </row>
    <row r="220">
      <c r="A220" s="15" t="s">
        <v>595</v>
      </c>
      <c r="B220" s="15" t="s">
        <v>243</v>
      </c>
      <c r="C220" s="15" t="s">
        <v>243</v>
      </c>
      <c r="D220" s="48" t="s">
        <v>244</v>
      </c>
      <c r="E220" s="39">
        <v>4980.0</v>
      </c>
      <c r="F220" s="39">
        <v>5490.0</v>
      </c>
      <c r="G220" s="50">
        <f t="shared" si="41"/>
        <v>0.1024096386</v>
      </c>
      <c r="H220" s="28"/>
      <c r="I220" s="55">
        <f t="shared" si="2"/>
        <v>5395.785272</v>
      </c>
      <c r="J220" s="81"/>
      <c r="K220" s="60">
        <f>IFERROR(__xludf.DUMMYFUNCTION("IFERROR(VLOOKUP(C220,IMPORTRANGE(""https://docs.google.com/spreadsheets/d/1HZUHB8NvANAZR0sHDmHYVAm2WE9kNv0pGIQA48Ryim8/edit?gid=1285727875#gid=1285727875"",""Sheet1!A2:G""),7,0))"),1543.16)</f>
        <v>1543.16</v>
      </c>
      <c r="L220" s="62">
        <f t="shared" si="42"/>
        <v>3.227144301</v>
      </c>
      <c r="M220" s="60">
        <f>IFERROR(__xludf.DUMMYFUNCTION("IFERROR(VLOOKUP(C220,IMPORTRANGE(""https://docs.google.com/spreadsheets/d/1HZUHB8NvANAZR0sHDmHYVAm2WE9kNv0pGIQA48Ryim8/edit?gid=1285727875#gid=1285727875"",""Cost!A2:G""),7,0))"),1672.0)</f>
        <v>1672</v>
      </c>
      <c r="N220" s="62">
        <f t="shared" si="4"/>
        <v>3.283492823</v>
      </c>
      <c r="O220" s="28"/>
      <c r="P220" s="28"/>
      <c r="Q220" s="28"/>
      <c r="R220" s="28"/>
      <c r="S220" s="28"/>
      <c r="T220" s="28"/>
      <c r="U220" s="65"/>
      <c r="V220" s="28"/>
      <c r="W220" s="65"/>
      <c r="X220" s="66" t="s">
        <v>243</v>
      </c>
      <c r="Y220" s="65" t="str">
        <f t="shared" si="6"/>
        <v>OCEAN 55PD-3 IN-N</v>
      </c>
    </row>
    <row r="221">
      <c r="A221" s="15" t="s">
        <v>595</v>
      </c>
      <c r="B221" s="15" t="s">
        <v>654</v>
      </c>
      <c r="C221" s="15" t="s">
        <v>654</v>
      </c>
      <c r="D221" s="48" t="s">
        <v>217</v>
      </c>
      <c r="E221" s="39">
        <v>1680.0</v>
      </c>
      <c r="F221" s="39">
        <f>F206</f>
        <v>1740</v>
      </c>
      <c r="G221" s="50">
        <f t="shared" si="41"/>
        <v>0.03571428571</v>
      </c>
      <c r="H221" s="28"/>
      <c r="I221" s="55">
        <f t="shared" si="2"/>
        <v>2065.548272</v>
      </c>
      <c r="J221" s="81"/>
      <c r="K221" s="60">
        <f>IFERROR(__xludf.DUMMYFUNCTION("IFERROR(VLOOKUP(C221,IMPORTRANGE(""https://docs.google.com/spreadsheets/d/1HZUHB8NvANAZR0sHDmHYVAm2WE9kNv0pGIQA48Ryim8/edit?gid=1285727875#gid=1285727875"",""Sheet1!A2:G""),7,0))"),270.03)</f>
        <v>270.03</v>
      </c>
      <c r="L221" s="62">
        <f t="shared" si="42"/>
        <v>6.221530941</v>
      </c>
      <c r="M221" s="60">
        <f>IFERROR(__xludf.DUMMYFUNCTION("IFERROR(VLOOKUP(C221,IMPORTRANGE(""https://docs.google.com/spreadsheets/d/1HZUHB8NvANAZR0sHDmHYVAm2WE9kNv0pGIQA48Ryim8/edit?gid=1285727875#gid=1285727875"",""Cost!A2:G""),7,0))"),332.0)</f>
        <v>332</v>
      </c>
      <c r="N221" s="62">
        <f t="shared" si="4"/>
        <v>5.240963855</v>
      </c>
      <c r="O221" s="28"/>
      <c r="P221" s="28"/>
      <c r="Q221" s="28"/>
      <c r="R221" s="28"/>
      <c r="S221" s="28"/>
      <c r="T221" s="28"/>
      <c r="U221" s="65"/>
      <c r="V221" s="28"/>
      <c r="W221" s="65"/>
      <c r="X221" s="66" t="s">
        <v>358</v>
      </c>
      <c r="Y221" s="65" t="str">
        <f t="shared" si="6"/>
        <v>OCEAN 55DB</v>
      </c>
    </row>
    <row r="222">
      <c r="A222" s="15" t="s">
        <v>595</v>
      </c>
      <c r="B222" s="15" t="s">
        <v>657</v>
      </c>
      <c r="C222" s="15" t="s">
        <v>657</v>
      </c>
      <c r="D222" s="48" t="s">
        <v>250</v>
      </c>
      <c r="E222" s="75">
        <f t="shared" ref="E222:F222" si="43">SUM(E223:E224)</f>
        <v>6660</v>
      </c>
      <c r="F222" s="75">
        <f t="shared" si="43"/>
        <v>7230</v>
      </c>
      <c r="G222" s="50">
        <f t="shared" si="41"/>
        <v>0.08558558559</v>
      </c>
      <c r="H222" s="28"/>
      <c r="I222" s="55">
        <f t="shared" si="2"/>
        <v>7460.255601</v>
      </c>
      <c r="J222" s="81"/>
      <c r="K222" s="60">
        <f>IFERROR(__xludf.DUMMYFUNCTION("IFERROR(VLOOKUP(C222,IMPORTRANGE(""https://docs.google.com/spreadsheets/d/1HZUHB8NvANAZR0sHDmHYVAm2WE9kNv0pGIQA48Ryim8/edit?gid=1285727875#gid=1285727875"",""Sheet1!A2:G""),7,0))"),1837.24)</f>
        <v>1837.24</v>
      </c>
      <c r="L222" s="62">
        <f t="shared" si="42"/>
        <v>3.625002721</v>
      </c>
      <c r="M222" s="60">
        <f>IFERROR(__xludf.DUMMYFUNCTION("IFERROR(VLOOKUP(C222,IMPORTRANGE(""https://docs.google.com/spreadsheets/d/1HZUHB8NvANAZR0sHDmHYVAm2WE9kNv0pGIQA48Ryim8/edit?gid=1285727875#gid=1285727875"",""Cost!A2:G""),7,0))"),2058.0)</f>
        <v>2058</v>
      </c>
      <c r="N222" s="62">
        <f t="shared" si="4"/>
        <v>3.513119534</v>
      </c>
      <c r="O222" s="28"/>
      <c r="P222" s="28"/>
      <c r="Q222" s="28"/>
      <c r="R222" s="28"/>
      <c r="S222" s="28"/>
      <c r="T222" s="28"/>
      <c r="U222" s="65"/>
      <c r="V222" s="28"/>
      <c r="W222" s="65"/>
      <c r="X222" s="66" t="s">
        <v>410</v>
      </c>
      <c r="Y222" s="65" t="str">
        <f t="shared" si="6"/>
        <v>OCEAN 5593-ON-OFF</v>
      </c>
    </row>
    <row r="223">
      <c r="A223" s="15" t="s">
        <v>595</v>
      </c>
      <c r="B223" s="15" t="s">
        <v>253</v>
      </c>
      <c r="C223" s="15" t="s">
        <v>253</v>
      </c>
      <c r="D223" s="48" t="s">
        <v>256</v>
      </c>
      <c r="E223" s="39">
        <f>E220-240</f>
        <v>4740</v>
      </c>
      <c r="F223" s="39">
        <f>F220-$X$1</f>
        <v>5250</v>
      </c>
      <c r="G223" s="50">
        <f t="shared" si="41"/>
        <v>0.1075949367</v>
      </c>
      <c r="H223" s="28"/>
      <c r="I223" s="55">
        <f t="shared" si="2"/>
        <v>5217.019108</v>
      </c>
      <c r="J223" s="81"/>
      <c r="K223" s="60">
        <f>IFERROR(__xludf.DUMMYFUNCTION("IFERROR(VLOOKUP(C223,IMPORTRANGE(""https://docs.google.com/spreadsheets/d/1HZUHB8NvANAZR0sHDmHYVAm2WE9kNv0pGIQA48Ryim8/edit?gid=1285727875#gid=1285727875"",""Sheet1!A2:G""),7,0))"),1570.0)</f>
        <v>1570</v>
      </c>
      <c r="L223" s="62">
        <f t="shared" si="42"/>
        <v>3.01910828</v>
      </c>
      <c r="M223" s="60">
        <f>IFERROR(__xludf.DUMMYFUNCTION("IFERROR(VLOOKUP(C223,IMPORTRANGE(""https://docs.google.com/spreadsheets/d/1HZUHB8NvANAZR0sHDmHYVAm2WE9kNv0pGIQA48Ryim8/edit?gid=1285727875#gid=1285727875"",""Cost!A2:G""),7,0))"),1728.0)</f>
        <v>1728</v>
      </c>
      <c r="N223" s="62">
        <f t="shared" si="4"/>
        <v>3.038194444</v>
      </c>
      <c r="O223" s="28"/>
      <c r="P223" s="28"/>
      <c r="Q223" s="28"/>
      <c r="R223" s="28"/>
      <c r="S223" s="28"/>
      <c r="T223" s="28"/>
      <c r="U223" s="65"/>
      <c r="V223" s="28"/>
      <c r="W223" s="65"/>
      <c r="X223" s="66" t="s">
        <v>371</v>
      </c>
      <c r="Y223" s="65" t="str">
        <f t="shared" si="6"/>
        <v>OCEAN 55PD-ON-OFF</v>
      </c>
    </row>
    <row r="224">
      <c r="A224" s="15" t="s">
        <v>595</v>
      </c>
      <c r="B224" s="15" t="s">
        <v>664</v>
      </c>
      <c r="C224" s="15" t="s">
        <v>664</v>
      </c>
      <c r="D224" s="48" t="s">
        <v>217</v>
      </c>
      <c r="E224" s="75">
        <f>E221+240</f>
        <v>1920</v>
      </c>
      <c r="F224" s="75">
        <f>F221+$X$1</f>
        <v>1980</v>
      </c>
      <c r="G224" s="50">
        <f t="shared" si="41"/>
        <v>0.03125</v>
      </c>
      <c r="H224" s="28"/>
      <c r="I224" s="55">
        <f t="shared" si="2"/>
        <v>2360.626597</v>
      </c>
      <c r="J224" s="81"/>
      <c r="K224" s="60">
        <f>IFERROR(__xludf.DUMMYFUNCTION("IFERROR(VLOOKUP(C224,IMPORTRANGE(""https://docs.google.com/spreadsheets/d/1HZUHB8NvANAZR0sHDmHYVAm2WE9kNv0pGIQA48Ryim8/edit?gid=1285727875#gid=1285727875"",""Sheet1!A2:G""),7,0))"),270.03)</f>
        <v>270.03</v>
      </c>
      <c r="L224" s="62">
        <f t="shared" si="42"/>
        <v>7.110321075</v>
      </c>
      <c r="M224" s="60">
        <f>IFERROR(__xludf.DUMMYFUNCTION("IFERROR(VLOOKUP(C224,IMPORTRANGE(""https://docs.google.com/spreadsheets/d/1HZUHB8NvANAZR0sHDmHYVAm2WE9kNv0pGIQA48Ryim8/edit?gid=1285727875#gid=1285727875"",""Cost!A2:G""),7,0))"),332.0)</f>
        <v>332</v>
      </c>
      <c r="N224" s="62">
        <f t="shared" si="4"/>
        <v>5.963855422</v>
      </c>
      <c r="O224" s="28"/>
      <c r="P224" s="28"/>
      <c r="Q224" s="28"/>
      <c r="R224" s="28"/>
      <c r="S224" s="28"/>
      <c r="T224" s="28"/>
      <c r="U224" s="65"/>
      <c r="V224" s="28"/>
      <c r="W224" s="65"/>
      <c r="X224" s="66" t="s">
        <v>375</v>
      </c>
      <c r="Y224" s="65" t="str">
        <f t="shared" si="6"/>
        <v>OCEAN 55DB-ON-OFF</v>
      </c>
    </row>
    <row r="225">
      <c r="A225" s="15" t="s">
        <v>595</v>
      </c>
      <c r="B225" s="15">
        <v>5595.0</v>
      </c>
      <c r="C225" s="15">
        <v>5595.0</v>
      </c>
      <c r="D225" s="48" t="s">
        <v>265</v>
      </c>
      <c r="E225" s="75">
        <v>1170.0</v>
      </c>
      <c r="F225" s="39">
        <v>1290.0</v>
      </c>
      <c r="G225" s="50">
        <f t="shared" si="41"/>
        <v>0.1025641026</v>
      </c>
      <c r="H225" s="28"/>
      <c r="I225" s="55">
        <f t="shared" si="2"/>
        <v>1287.251854</v>
      </c>
      <c r="J225" s="81"/>
      <c r="K225" s="60">
        <f>IFERROR(__xludf.DUMMYFUNCTION("IFERROR(VLOOKUP(C225,IMPORTRANGE(""https://docs.google.com/spreadsheets/d/1HZUHB8NvANAZR0sHDmHYVAm2WE9kNv0pGIQA48Ryim8/edit?gid=1285727875#gid=1285727875"",""Sheet1!A2:G""),7,0))"),292.67)</f>
        <v>292.67</v>
      </c>
      <c r="L225" s="62">
        <f t="shared" si="42"/>
        <v>3.997676564</v>
      </c>
      <c r="M225" s="60">
        <f>IFERROR(__xludf.DUMMYFUNCTION("IFERROR(VLOOKUP(C225,IMPORTRANGE(""https://docs.google.com/spreadsheets/d/1HZUHB8NvANAZR0sHDmHYVAm2WE9kNv0pGIQA48Ryim8/edit?gid=1285727875#gid=1285727875"",""Cost!A2:G""),7,0))"),322.0)</f>
        <v>322</v>
      </c>
      <c r="N225" s="62">
        <f t="shared" si="4"/>
        <v>4.00621118</v>
      </c>
      <c r="O225" s="28"/>
      <c r="P225" s="28"/>
      <c r="Q225" s="28"/>
      <c r="R225" s="28"/>
      <c r="S225" s="28"/>
      <c r="T225" s="28"/>
      <c r="U225" s="65"/>
      <c r="V225" s="28"/>
      <c r="W225" s="65"/>
      <c r="X225" s="66" t="s">
        <v>264</v>
      </c>
      <c r="Y225" s="65" t="str">
        <f t="shared" si="6"/>
        <v>OCEAN 5595</v>
      </c>
    </row>
    <row r="226">
      <c r="A226" s="15" t="s">
        <v>595</v>
      </c>
      <c r="B226" s="15">
        <v>5596.0</v>
      </c>
      <c r="C226" s="15">
        <v>5596.0</v>
      </c>
      <c r="D226" s="48" t="s">
        <v>268</v>
      </c>
      <c r="E226" s="39">
        <v>1780.0</v>
      </c>
      <c r="F226" s="39">
        <v>1990.0</v>
      </c>
      <c r="G226" s="50">
        <f t="shared" si="41"/>
        <v>0.1179775281</v>
      </c>
      <c r="H226" s="28"/>
      <c r="I226" s="55">
        <f t="shared" si="2"/>
        <v>1962.101917</v>
      </c>
      <c r="J226" s="81"/>
      <c r="K226" s="60">
        <f>IFERROR(__xludf.DUMMYFUNCTION("IFERROR(VLOOKUP(C226,IMPORTRANGE(""https://docs.google.com/spreadsheets/d/1HZUHB8NvANAZR0sHDmHYVAm2WE9kNv0pGIQA48Ryim8/edit?gid=1285727875#gid=1285727875"",""Sheet1!A2:G""),7,0))"),490.79)</f>
        <v>490.79</v>
      </c>
      <c r="L226" s="62">
        <f t="shared" si="42"/>
        <v>3.626805762</v>
      </c>
      <c r="M226" s="60">
        <f>IFERROR(__xludf.DUMMYFUNCTION("IFERROR(VLOOKUP(C226,IMPORTRANGE(""https://docs.google.com/spreadsheets/d/1HZUHB8NvANAZR0sHDmHYVAm2WE9kNv0pGIQA48Ryim8/edit?gid=1285727875#gid=1285727875"",""Cost!A2:G""),7,0))"),541.0)</f>
        <v>541</v>
      </c>
      <c r="N226" s="62">
        <f t="shared" si="4"/>
        <v>3.678373383</v>
      </c>
      <c r="O226" s="28"/>
      <c r="P226" s="28"/>
      <c r="Q226" s="28"/>
      <c r="R226" s="28"/>
      <c r="S226" s="28"/>
      <c r="T226" s="28"/>
      <c r="U226" s="65"/>
      <c r="V226" s="28"/>
      <c r="W226" s="65"/>
      <c r="X226" s="66" t="s">
        <v>267</v>
      </c>
      <c r="Y226" s="65" t="str">
        <f t="shared" si="6"/>
        <v>OCEAN 5596</v>
      </c>
    </row>
    <row r="227">
      <c r="A227" s="15" t="s">
        <v>595</v>
      </c>
      <c r="B227" s="15">
        <v>5598.0</v>
      </c>
      <c r="C227" s="15">
        <v>5598.0</v>
      </c>
      <c r="D227" s="48" t="s">
        <v>272</v>
      </c>
      <c r="E227" s="75">
        <v>2150.0</v>
      </c>
      <c r="F227" s="39">
        <v>2340.0</v>
      </c>
      <c r="G227" s="50">
        <f t="shared" si="41"/>
        <v>0.08837209302</v>
      </c>
      <c r="H227" s="28"/>
      <c r="I227" s="55">
        <f t="shared" si="2"/>
        <v>2538.28533</v>
      </c>
      <c r="J227" s="81"/>
      <c r="K227" s="60">
        <f>IFERROR(__xludf.DUMMYFUNCTION("IFERROR(VLOOKUP(C227,IMPORTRANGE(""https://docs.google.com/spreadsheets/d/1HZUHB8NvANAZR0sHDmHYVAm2WE9kNv0pGIQA48Ryim8/edit?gid=1285727875#gid=1285727875"",""Sheet1!A2:G""),7,0))"),624.26)</f>
        <v>624.26</v>
      </c>
      <c r="L227" s="62">
        <f t="shared" si="42"/>
        <v>3.444077788</v>
      </c>
      <c r="M227" s="60">
        <f>IFERROR(__xludf.DUMMYFUNCTION("IFERROR(VLOOKUP(C227,IMPORTRANGE(""https://docs.google.com/spreadsheets/d/1HZUHB8NvANAZR0sHDmHYVAm2WE9kNv0pGIQA48Ryim8/edit?gid=1285727875#gid=1285727875"",""Cost!A2:G""),7,0))"),737.0)</f>
        <v>737</v>
      </c>
      <c r="N227" s="62">
        <f t="shared" si="4"/>
        <v>3.175033921</v>
      </c>
      <c r="O227" s="28"/>
      <c r="P227" s="28"/>
      <c r="Q227" s="28"/>
      <c r="R227" s="28"/>
      <c r="S227" s="28"/>
      <c r="T227" s="28"/>
      <c r="U227" s="65"/>
      <c r="V227" s="28"/>
      <c r="W227" s="65"/>
      <c r="X227" s="66" t="s">
        <v>271</v>
      </c>
      <c r="Y227" s="65" t="str">
        <f t="shared" si="6"/>
        <v>OCEAN 5598</v>
      </c>
    </row>
    <row r="228">
      <c r="A228" s="18" t="s">
        <v>716</v>
      </c>
      <c r="B228" s="15">
        <v>6002.0</v>
      </c>
      <c r="C228" s="15">
        <v>6002.0</v>
      </c>
      <c r="D228" s="48" t="s">
        <v>15</v>
      </c>
      <c r="E228" s="39">
        <v>1740.0</v>
      </c>
      <c r="F228" s="39">
        <v>1940.0</v>
      </c>
      <c r="G228" s="50">
        <f t="shared" si="41"/>
        <v>0.1149425287</v>
      </c>
      <c r="H228" s="28"/>
      <c r="I228" s="55">
        <f t="shared" si="2"/>
        <v>1950.304701</v>
      </c>
      <c r="J228" s="81"/>
      <c r="K228" s="60">
        <f>IFERROR(__xludf.DUMMYFUNCTION("IFERROR(VLOOKUP(C228,IMPORTRANGE(""https://docs.google.com/spreadsheets/d/1HZUHB8NvANAZR0sHDmHYVAm2WE9kNv0pGIQA48Ryim8/edit?gid=1285727875#gid=1285727875"",""Sheet1!A2:G""),7,0))"),551.36)</f>
        <v>551.36</v>
      </c>
      <c r="L228" s="62">
        <f t="shared" si="42"/>
        <v>3.15583285</v>
      </c>
      <c r="M228" s="60">
        <f>IFERROR(__xludf.DUMMYFUNCTION("IFERROR(VLOOKUP(C228,IMPORTRANGE(""https://docs.google.com/spreadsheets/d/1HZUHB8NvANAZR0sHDmHYVAm2WE9kNv0pGIQA48Ryim8/edit?gid=1285727875#gid=1285727875"",""Cost!A2:G""),7,0))"),618.0)</f>
        <v>618</v>
      </c>
      <c r="N228" s="62">
        <f t="shared" si="4"/>
        <v>3.139158576</v>
      </c>
      <c r="O228" s="62"/>
      <c r="P228" s="28"/>
      <c r="Q228" s="28"/>
      <c r="R228" s="28"/>
      <c r="S228" s="28"/>
      <c r="T228" s="28"/>
      <c r="U228" s="65"/>
      <c r="V228" s="28"/>
      <c r="W228" s="65"/>
      <c r="X228" s="66" t="s">
        <v>303</v>
      </c>
      <c r="Y228" s="65" t="str">
        <f t="shared" si="6"/>
        <v>POLO 6002</v>
      </c>
    </row>
    <row r="229">
      <c r="A229" s="18" t="s">
        <v>716</v>
      </c>
      <c r="B229" s="15">
        <v>6004.0</v>
      </c>
      <c r="C229" s="15">
        <v>6004.0</v>
      </c>
      <c r="D229" s="48" t="s">
        <v>46</v>
      </c>
      <c r="E229" s="39">
        <v>2380.0</v>
      </c>
      <c r="F229" s="39">
        <v>2680.0</v>
      </c>
      <c r="G229" s="50">
        <f t="shared" si="41"/>
        <v>0.1260504202</v>
      </c>
      <c r="H229" s="28"/>
      <c r="I229" s="55">
        <f t="shared" si="2"/>
        <v>2681.333951</v>
      </c>
      <c r="J229" s="81"/>
      <c r="K229" s="60">
        <f>IFERROR(__xludf.DUMMYFUNCTION("IFERROR(VLOOKUP(C229,IMPORTRANGE(""https://docs.google.com/spreadsheets/d/1HZUHB8NvANAZR0sHDmHYVAm2WE9kNv0pGIQA48Ryim8/edit?gid=1285727875#gid=1285727875"",""Sheet1!A2:G""),7,0))"),734.06)</f>
        <v>734.06</v>
      </c>
      <c r="L229" s="62">
        <f t="shared" si="42"/>
        <v>3.242241779</v>
      </c>
      <c r="M229" s="60">
        <f>IFERROR(__xludf.DUMMYFUNCTION("IFERROR(VLOOKUP(C229,IMPORTRANGE(""https://docs.google.com/spreadsheets/d/1HZUHB8NvANAZR0sHDmHYVAm2WE9kNv0pGIQA48Ryim8/edit?gid=1285727875#gid=1285727875"",""Cost!A2:G""),7,0))"),827.0)</f>
        <v>827</v>
      </c>
      <c r="N229" s="62">
        <f t="shared" si="4"/>
        <v>3.240628779</v>
      </c>
      <c r="O229" s="62"/>
      <c r="P229" s="28"/>
      <c r="Q229" s="28"/>
      <c r="R229" s="28"/>
      <c r="S229" s="28"/>
      <c r="T229" s="28"/>
      <c r="U229" s="65"/>
      <c r="V229" s="28"/>
      <c r="W229" s="65"/>
      <c r="X229" s="66" t="s">
        <v>309</v>
      </c>
      <c r="Y229" s="65" t="str">
        <f t="shared" si="6"/>
        <v>POLO 6004</v>
      </c>
    </row>
    <row r="230">
      <c r="A230" s="18" t="s">
        <v>716</v>
      </c>
      <c r="B230" s="15">
        <v>6006.0</v>
      </c>
      <c r="C230" s="15">
        <v>6006.0</v>
      </c>
      <c r="D230" s="48" t="s">
        <v>67</v>
      </c>
      <c r="E230" s="39">
        <v>1420.0</v>
      </c>
      <c r="F230" s="39">
        <v>1580.0</v>
      </c>
      <c r="G230" s="50">
        <f t="shared" si="41"/>
        <v>0.1126760563</v>
      </c>
      <c r="H230" s="28"/>
      <c r="I230" s="55">
        <f t="shared" si="2"/>
        <v>1581.687396</v>
      </c>
      <c r="J230" s="81"/>
      <c r="K230" s="60">
        <f>IFERROR(__xludf.DUMMYFUNCTION("IFERROR(VLOOKUP(C230,IMPORTRANGE(""https://docs.google.com/spreadsheets/d/1HZUHB8NvANAZR0sHDmHYVAm2WE9kNv0pGIQA48Ryim8/edit?gid=1285727875#gid=1285727875"",""Sheet1!A2:G""),7,0))"),415.67)</f>
        <v>415.67</v>
      </c>
      <c r="L230" s="62">
        <f t="shared" si="42"/>
        <v>3.416171482</v>
      </c>
      <c r="M230" s="60">
        <f>IFERROR(__xludf.DUMMYFUNCTION("IFERROR(VLOOKUP(C230,IMPORTRANGE(""https://docs.google.com/spreadsheets/d/1HZUHB8NvANAZR0sHDmHYVAm2WE9kNv0pGIQA48Ryim8/edit?gid=1285727875#gid=1285727875"",""Cost!A2:G""),7,0))"),463.0)</f>
        <v>463</v>
      </c>
      <c r="N230" s="62">
        <f t="shared" si="4"/>
        <v>3.412526998</v>
      </c>
      <c r="O230" s="62"/>
      <c r="P230" s="28"/>
      <c r="Q230" s="28"/>
      <c r="R230" s="28"/>
      <c r="S230" s="28"/>
      <c r="T230" s="28"/>
      <c r="U230" s="65"/>
      <c r="V230" s="28"/>
      <c r="W230" s="65"/>
      <c r="X230" s="66" t="s">
        <v>311</v>
      </c>
      <c r="Y230" s="65" t="str">
        <f t="shared" si="6"/>
        <v>POLO 6006</v>
      </c>
    </row>
    <row r="231">
      <c r="A231" s="18" t="s">
        <v>716</v>
      </c>
      <c r="B231" s="15">
        <v>6007.0</v>
      </c>
      <c r="C231" s="15">
        <v>6007.0</v>
      </c>
      <c r="D231" s="18" t="s">
        <v>71</v>
      </c>
      <c r="E231" s="75">
        <f t="shared" ref="E231:F231" si="44">SUM(E232:E233)</f>
        <v>2730</v>
      </c>
      <c r="F231" s="75">
        <f t="shared" si="44"/>
        <v>2880</v>
      </c>
      <c r="G231" s="50">
        <f t="shared" si="41"/>
        <v>0.05494505495</v>
      </c>
      <c r="H231" s="28"/>
      <c r="I231" s="55">
        <f t="shared" si="2"/>
        <v>2970.308229</v>
      </c>
      <c r="J231" s="81"/>
      <c r="K231" s="60">
        <f>IFERROR(__xludf.DUMMYFUNCTION("IFERROR(VLOOKUP(C231,IMPORTRANGE(""https://docs.google.com/spreadsheets/d/1HZUHB8NvANAZR0sHDmHYVAm2WE9kNv0pGIQA48Ryim8/edit?gid=1285727875#gid=1285727875"",""Sheet1!A2:G""),7,0))"),742.63)</f>
        <v>742.63</v>
      </c>
      <c r="L231" s="62">
        <f t="shared" si="42"/>
        <v>3.676124046</v>
      </c>
      <c r="M231" s="60">
        <f>IFERROR(__xludf.DUMMYFUNCTION("IFERROR(VLOOKUP(C231,IMPORTRANGE(""https://docs.google.com/spreadsheets/d/1HZUHB8NvANAZR0sHDmHYVAm2WE9kNv0pGIQA48Ryim8/edit?gid=1285727875#gid=1285727875"",""Cost!A2:G""),7,0))"),808.0)</f>
        <v>808</v>
      </c>
      <c r="N231" s="62">
        <f t="shared" si="4"/>
        <v>3.564356436</v>
      </c>
      <c r="O231" s="62"/>
      <c r="P231" s="28"/>
      <c r="Q231" s="28"/>
      <c r="R231" s="28"/>
      <c r="S231" s="28"/>
      <c r="T231" s="28"/>
      <c r="U231" s="65"/>
      <c r="V231" s="28"/>
      <c r="W231" s="65"/>
      <c r="X231" s="66" t="s">
        <v>315</v>
      </c>
      <c r="Y231" s="65" t="str">
        <f t="shared" si="6"/>
        <v>POLO 6007</v>
      </c>
    </row>
    <row r="232">
      <c r="A232" s="18" t="s">
        <v>716</v>
      </c>
      <c r="B232" s="15" t="s">
        <v>73</v>
      </c>
      <c r="C232" s="15" t="s">
        <v>73</v>
      </c>
      <c r="D232" s="18" t="s">
        <v>74</v>
      </c>
      <c r="E232" s="93">
        <v>1390.0</v>
      </c>
      <c r="F232" s="39">
        <v>1490.0</v>
      </c>
      <c r="G232" s="50">
        <f t="shared" si="41"/>
        <v>0.07194244604</v>
      </c>
      <c r="H232" s="28"/>
      <c r="I232" s="55">
        <f t="shared" si="2"/>
        <v>1515.459624</v>
      </c>
      <c r="J232" s="81"/>
      <c r="K232" s="60">
        <f>IFERROR(__xludf.DUMMYFUNCTION("IFERROR(VLOOKUP(C232,IMPORTRANGE(""https://docs.google.com/spreadsheets/d/1HZUHB8NvANAZR0sHDmHYVAm2WE9kNv0pGIQA48Ryim8/edit?gid=1285727875#gid=1285727875"",""Sheet1!A2:G""),7,0))"),408.16)</f>
        <v>408.16</v>
      </c>
      <c r="L232" s="62">
        <f t="shared" si="42"/>
        <v>3.405527244</v>
      </c>
      <c r="M232" s="60">
        <f>IFERROR(__xludf.DUMMYFUNCTION("IFERROR(VLOOKUP(C232,IMPORTRANGE(""https://docs.google.com/spreadsheets/d/1HZUHB8NvANAZR0sHDmHYVAm2WE9kNv0pGIQA48Ryim8/edit?gid=1285727875#gid=1285727875"",""Cost!A2:G""),7,0))"),445.0)</f>
        <v>445</v>
      </c>
      <c r="N232" s="62">
        <f t="shared" si="4"/>
        <v>3.348314607</v>
      </c>
      <c r="O232" s="62"/>
      <c r="P232" s="28"/>
      <c r="Q232" s="28"/>
      <c r="R232" s="28"/>
      <c r="S232" s="28"/>
      <c r="T232" s="28"/>
      <c r="U232" s="65"/>
      <c r="V232" s="28"/>
      <c r="W232" s="65"/>
      <c r="X232" s="66" t="s">
        <v>73</v>
      </c>
      <c r="Y232" s="65" t="str">
        <f t="shared" si="6"/>
        <v>POLO 60CP-07</v>
      </c>
    </row>
    <row r="233">
      <c r="A233" s="18" t="s">
        <v>716</v>
      </c>
      <c r="B233" s="15" t="s">
        <v>723</v>
      </c>
      <c r="C233" s="15" t="s">
        <v>723</v>
      </c>
      <c r="D233" s="18" t="s">
        <v>78</v>
      </c>
      <c r="E233" s="93">
        <v>1340.0</v>
      </c>
      <c r="F233" s="39">
        <v>1390.0</v>
      </c>
      <c r="G233" s="50">
        <f t="shared" si="41"/>
        <v>0.03731343284</v>
      </c>
      <c r="H233" s="28"/>
      <c r="I233" s="55">
        <f t="shared" si="2"/>
        <v>1375.303055</v>
      </c>
      <c r="J233" s="81"/>
      <c r="K233" s="60">
        <f>IFERROR(__xludf.DUMMYFUNCTION("IFERROR(VLOOKUP(C233,IMPORTRANGE(""https://docs.google.com/spreadsheets/d/1HZUHB8NvANAZR0sHDmHYVAm2WE9kNv0pGIQA48Ryim8/edit?gid=1285727875#gid=1285727875"",""Sheet1!A2:G""),7,0))"),371.22)</f>
        <v>371.22</v>
      </c>
      <c r="L233" s="62">
        <f t="shared" si="42"/>
        <v>3.609719304</v>
      </c>
      <c r="M233" s="60">
        <f>IFERROR(__xludf.DUMMYFUNCTION("IFERROR(VLOOKUP(C233,IMPORTRANGE(""https://docs.google.com/spreadsheets/d/1HZUHB8NvANAZR0sHDmHYVAm2WE9kNv0pGIQA48Ryim8/edit?gid=1285727875#gid=1285727875"",""Cost!A2:G""),7,0))"),381.0)</f>
        <v>381</v>
      </c>
      <c r="N233" s="62">
        <f t="shared" si="4"/>
        <v>3.648293963</v>
      </c>
      <c r="O233" s="62"/>
      <c r="P233" s="28"/>
      <c r="Q233" s="28"/>
      <c r="R233" s="28"/>
      <c r="S233" s="28"/>
      <c r="T233" s="28"/>
      <c r="U233" s="65"/>
      <c r="V233" s="28"/>
      <c r="W233" s="65"/>
      <c r="X233" s="66" t="s">
        <v>77</v>
      </c>
      <c r="Y233" s="65" t="str">
        <f t="shared" si="6"/>
        <v>POLO 60CP</v>
      </c>
    </row>
    <row r="234">
      <c r="A234" s="18" t="s">
        <v>716</v>
      </c>
      <c r="B234" s="15">
        <v>6008.0</v>
      </c>
      <c r="C234" s="15">
        <v>6008.0</v>
      </c>
      <c r="D234" s="48" t="s">
        <v>81</v>
      </c>
      <c r="E234" s="39">
        <v>1690.0</v>
      </c>
      <c r="F234" s="39">
        <v>1880.0</v>
      </c>
      <c r="G234" s="50">
        <f t="shared" si="41"/>
        <v>0.1124260355</v>
      </c>
      <c r="H234" s="28"/>
      <c r="I234" s="55">
        <f t="shared" si="2"/>
        <v>1884.065393</v>
      </c>
      <c r="J234" s="81"/>
      <c r="K234" s="60">
        <f>IFERROR(__xludf.DUMMYFUNCTION("IFERROR(VLOOKUP(C234,IMPORTRANGE(""https://docs.google.com/spreadsheets/d/1HZUHB8NvANAZR0sHDmHYVAm2WE9kNv0pGIQA48Ryim8/edit?gid=1285727875#gid=1285727875"",""Sheet1!A2:G""),7,0))"),507.7)</f>
        <v>507.7</v>
      </c>
      <c r="L234" s="62">
        <f t="shared" si="42"/>
        <v>3.328737443</v>
      </c>
      <c r="M234" s="60">
        <f>IFERROR(__xludf.DUMMYFUNCTION("IFERROR(VLOOKUP(C234,IMPORTRANGE(""https://docs.google.com/spreadsheets/d/1HZUHB8NvANAZR0sHDmHYVAm2WE9kNv0pGIQA48Ryim8/edit?gid=1285727875#gid=1285727875"",""Cost!A2:G""),7,0))"),566.0)</f>
        <v>566</v>
      </c>
      <c r="N234" s="62">
        <f t="shared" si="4"/>
        <v>3.32155477</v>
      </c>
      <c r="O234" s="62"/>
      <c r="P234" s="28"/>
      <c r="Q234" s="28"/>
      <c r="R234" s="28"/>
      <c r="S234" s="28"/>
      <c r="T234" s="28"/>
      <c r="U234" s="65"/>
      <c r="V234" s="28"/>
      <c r="W234" s="65"/>
      <c r="X234" s="66" t="s">
        <v>321</v>
      </c>
      <c r="Y234" s="65" t="str">
        <f t="shared" si="6"/>
        <v>POLO 6008</v>
      </c>
    </row>
    <row r="235">
      <c r="A235" s="18" t="s">
        <v>716</v>
      </c>
      <c r="B235" s="15">
        <v>6010.0</v>
      </c>
      <c r="C235" s="15">
        <v>6010.0</v>
      </c>
      <c r="D235" s="48" t="s">
        <v>89</v>
      </c>
      <c r="E235" s="75">
        <v>1070.0</v>
      </c>
      <c r="F235" s="39">
        <v>1160.0</v>
      </c>
      <c r="G235" s="50">
        <f t="shared" si="41"/>
        <v>0.08411214953</v>
      </c>
      <c r="H235" s="28"/>
      <c r="I235" s="55">
        <f t="shared" si="2"/>
        <v>1194.26728</v>
      </c>
      <c r="J235" s="81"/>
      <c r="K235" s="60">
        <f>IFERROR(__xludf.DUMMYFUNCTION("IFERROR(VLOOKUP(C235,IMPORTRANGE(""https://docs.google.com/spreadsheets/d/1HZUHB8NvANAZR0sHDmHYVAm2WE9kNv0pGIQA48Ryim8/edit?gid=1285727875#gid=1285727875"",""Sheet1!A2:G""),7,0))"),269.68)</f>
        <v>269.68</v>
      </c>
      <c r="L235" s="62">
        <f t="shared" si="42"/>
        <v>3.967665381</v>
      </c>
      <c r="M235" s="60">
        <f>IFERROR(__xludf.DUMMYFUNCTION("IFERROR(VLOOKUP(C235,IMPORTRANGE(""https://docs.google.com/spreadsheets/d/1HZUHB8NvANAZR0sHDmHYVAm2WE9kNv0pGIQA48Ryim8/edit?gid=1285727875#gid=1285727875"",""Cost!A2:G""),7,0))"),301.0)</f>
        <v>301</v>
      </c>
      <c r="N235" s="62">
        <f t="shared" si="4"/>
        <v>3.853820598</v>
      </c>
      <c r="O235" s="62"/>
      <c r="P235" s="28"/>
      <c r="Q235" s="28"/>
      <c r="R235" s="28"/>
      <c r="S235" s="28"/>
      <c r="T235" s="28"/>
      <c r="U235" s="65"/>
      <c r="V235" s="28"/>
      <c r="W235" s="65"/>
      <c r="X235" s="66" t="s">
        <v>87</v>
      </c>
      <c r="Y235" s="65" t="str">
        <f t="shared" si="6"/>
        <v>POLO 6010</v>
      </c>
    </row>
    <row r="236">
      <c r="A236" s="18" t="s">
        <v>716</v>
      </c>
      <c r="B236" s="15">
        <v>6011.0</v>
      </c>
      <c r="C236" s="15">
        <v>6011.0</v>
      </c>
      <c r="D236" s="48" t="s">
        <v>94</v>
      </c>
      <c r="E236" s="75">
        <v>1990.0</v>
      </c>
      <c r="F236" s="39">
        <v>2140.0</v>
      </c>
      <c r="G236" s="50">
        <f t="shared" si="41"/>
        <v>0.07537688442</v>
      </c>
      <c r="H236" s="28"/>
      <c r="I236" s="55">
        <f t="shared" si="2"/>
        <v>2274.328748</v>
      </c>
      <c r="J236" s="81"/>
      <c r="K236" s="60">
        <f>IFERROR(__xludf.DUMMYFUNCTION("IFERROR(VLOOKUP(C236,IMPORTRANGE(""https://docs.google.com/spreadsheets/d/1HZUHB8NvANAZR0sHDmHYVAm2WE9kNv0pGIQA48Ryim8/edit?gid=1285727875#gid=1285727875"",""Sheet1!A2:G""),7,0))"),528.49)</f>
        <v>528.49</v>
      </c>
      <c r="L236" s="62">
        <f t="shared" si="42"/>
        <v>3.765444947</v>
      </c>
      <c r="M236" s="60">
        <f>IFERROR(__xludf.DUMMYFUNCTION("IFERROR(VLOOKUP(C236,IMPORTRANGE(""https://docs.google.com/spreadsheets/d/1HZUHB8NvANAZR0sHDmHYVAm2WE9kNv0pGIQA48Ryim8/edit?gid=1285727875#gid=1285727875"",""Cost!A2:G""),7,0))"),604.0)</f>
        <v>604</v>
      </c>
      <c r="N236" s="62">
        <f t="shared" si="4"/>
        <v>3.543046358</v>
      </c>
      <c r="O236" s="62"/>
      <c r="P236" s="28"/>
      <c r="Q236" s="28"/>
      <c r="R236" s="28"/>
      <c r="S236" s="28"/>
      <c r="T236" s="28"/>
      <c r="U236" s="65"/>
      <c r="V236" s="28"/>
      <c r="W236" s="65"/>
      <c r="X236" s="66" t="s">
        <v>91</v>
      </c>
      <c r="Y236" s="65" t="str">
        <f t="shared" si="6"/>
        <v>POLO 6011</v>
      </c>
    </row>
    <row r="237">
      <c r="A237" s="18" t="s">
        <v>716</v>
      </c>
      <c r="B237" s="15">
        <v>6012.0</v>
      </c>
      <c r="C237" s="15">
        <v>6012.0</v>
      </c>
      <c r="D237" s="48" t="s">
        <v>97</v>
      </c>
      <c r="E237" s="39">
        <v>2190.0</v>
      </c>
      <c r="F237" s="39">
        <v>2380.0</v>
      </c>
      <c r="G237" s="50">
        <f t="shared" si="41"/>
        <v>0.08675799087</v>
      </c>
      <c r="H237" s="28"/>
      <c r="I237" s="55">
        <f t="shared" si="2"/>
        <v>2474.309415</v>
      </c>
      <c r="J237" s="81"/>
      <c r="K237" s="60">
        <f>IFERROR(__xludf.DUMMYFUNCTION("IFERROR(VLOOKUP(C237,IMPORTRANGE(""https://docs.google.com/spreadsheets/d/1HZUHB8NvANAZR0sHDmHYVAm2WE9kNv0pGIQA48Ryim8/edit?gid=1285727875#gid=1285727875"",""Sheet1!A2:G""),7,0))"),602.75)</f>
        <v>602.75</v>
      </c>
      <c r="L237" s="62">
        <f t="shared" si="42"/>
        <v>3.633347159</v>
      </c>
      <c r="M237" s="60">
        <f>IFERROR(__xludf.DUMMYFUNCTION("IFERROR(VLOOKUP(C237,IMPORTRANGE(""https://docs.google.com/spreadsheets/d/1HZUHB8NvANAZR0sHDmHYVAm2WE9kNv0pGIQA48Ryim8/edit?gid=1285727875#gid=1285727875"",""Cost!A2:G""),7,0))"),681.0)</f>
        <v>681</v>
      </c>
      <c r="N237" s="62">
        <f t="shared" si="4"/>
        <v>3.494860499</v>
      </c>
      <c r="O237" s="62"/>
      <c r="P237" s="28"/>
      <c r="Q237" s="28"/>
      <c r="R237" s="28"/>
      <c r="S237" s="28"/>
      <c r="T237" s="28"/>
      <c r="U237" s="65"/>
      <c r="V237" s="28"/>
      <c r="W237" s="65"/>
      <c r="X237" s="66" t="s">
        <v>95</v>
      </c>
      <c r="Y237" s="65" t="str">
        <f t="shared" si="6"/>
        <v>POLO 6012</v>
      </c>
    </row>
    <row r="238">
      <c r="A238" s="18" t="s">
        <v>716</v>
      </c>
      <c r="B238" s="15">
        <v>6014.0</v>
      </c>
      <c r="C238" s="15">
        <v>6014.0</v>
      </c>
      <c r="D238" s="48" t="s">
        <v>106</v>
      </c>
      <c r="E238" s="75">
        <v>2240.0</v>
      </c>
      <c r="F238" s="39">
        <v>2440.0</v>
      </c>
      <c r="G238" s="50">
        <f t="shared" si="41"/>
        <v>0.08928571429</v>
      </c>
      <c r="H238" s="28"/>
      <c r="I238" s="55">
        <f t="shared" si="2"/>
        <v>2445.817882</v>
      </c>
      <c r="J238" s="81"/>
      <c r="K238" s="60">
        <f>IFERROR(__xludf.DUMMYFUNCTION("IFERROR(VLOOKUP(C238,IMPORTRANGE(""https://docs.google.com/spreadsheets/d/1HZUHB8NvANAZR0sHDmHYVAm2WE9kNv0pGIQA48Ryim8/edit?gid=1285727875#gid=1285727875"",""Sheet1!A2:G""),7,0))"),679.56)</f>
        <v>679.56</v>
      </c>
      <c r="L238" s="62">
        <f t="shared" si="42"/>
        <v>3.296250515</v>
      </c>
      <c r="M238" s="60">
        <f>IFERROR(__xludf.DUMMYFUNCTION("IFERROR(VLOOKUP(C238,IMPORTRANGE(""https://docs.google.com/spreadsheets/d/1HZUHB8NvANAZR0sHDmHYVAm2WE9kNv0pGIQA48Ryim8/edit?gid=1285727875#gid=1285727875"",""Cost!A2:G""),7,0))"),742.0)</f>
        <v>742</v>
      </c>
      <c r="N238" s="62">
        <f t="shared" si="4"/>
        <v>3.288409704</v>
      </c>
      <c r="O238" s="62"/>
      <c r="P238" s="28"/>
      <c r="Q238" s="28"/>
      <c r="R238" s="28"/>
      <c r="S238" s="28"/>
      <c r="T238" s="28"/>
      <c r="U238" s="65"/>
      <c r="V238" s="28"/>
      <c r="W238" s="65"/>
      <c r="X238" s="66" t="s">
        <v>104</v>
      </c>
      <c r="Y238" s="65" t="str">
        <f t="shared" si="6"/>
        <v>POLO 6014</v>
      </c>
    </row>
    <row r="239">
      <c r="A239" s="18" t="s">
        <v>716</v>
      </c>
      <c r="B239" s="15">
        <v>6016.0</v>
      </c>
      <c r="C239" s="15">
        <v>6016.0</v>
      </c>
      <c r="D239" s="48" t="s">
        <v>112</v>
      </c>
      <c r="E239" s="75">
        <v>1990.0</v>
      </c>
      <c r="F239" s="39">
        <v>2180.0</v>
      </c>
      <c r="G239" s="50">
        <f t="shared" si="41"/>
        <v>0.09547738693</v>
      </c>
      <c r="H239" s="28"/>
      <c r="I239" s="55">
        <f t="shared" si="2"/>
        <v>2192.864235</v>
      </c>
      <c r="J239" s="81"/>
      <c r="K239" s="60">
        <f>IFERROR(__xludf.DUMMYFUNCTION("IFERROR(VLOOKUP(C239,IMPORTRANGE(""https://docs.google.com/spreadsheets/d/1HZUHB8NvANAZR0sHDmHYVAm2WE9kNv0pGIQA48Ryim8/edit?gid=1285727875#gid=1285727875"",""Sheet1!A2:G""),7,0))"),614.37)</f>
        <v>614.37</v>
      </c>
      <c r="L239" s="62">
        <f t="shared" si="42"/>
        <v>3.23909045</v>
      </c>
      <c r="M239" s="60">
        <f>IFERROR(__xludf.DUMMYFUNCTION("IFERROR(VLOOKUP(C239,IMPORTRANGE(""https://docs.google.com/spreadsheets/d/1HZUHB8NvANAZR0sHDmHYVAm2WE9kNv0pGIQA48Ryim8/edit?gid=1285727875#gid=1285727875"",""Cost!A2:G""),7,0))"),677.0)</f>
        <v>677</v>
      </c>
      <c r="N239" s="62">
        <f t="shared" si="4"/>
        <v>3.220088626</v>
      </c>
      <c r="O239" s="62"/>
      <c r="P239" s="28"/>
      <c r="Q239" s="28"/>
      <c r="R239" s="28"/>
      <c r="S239" s="28"/>
      <c r="T239" s="28"/>
      <c r="U239" s="65"/>
      <c r="V239" s="28"/>
      <c r="W239" s="65"/>
      <c r="X239" s="66" t="s">
        <v>110</v>
      </c>
      <c r="Y239" s="65" t="str">
        <f t="shared" si="6"/>
        <v>POLO 6016</v>
      </c>
    </row>
    <row r="240">
      <c r="A240" s="18" t="s">
        <v>716</v>
      </c>
      <c r="B240" s="15">
        <v>6018.0</v>
      </c>
      <c r="C240" s="15">
        <v>6018.0</v>
      </c>
      <c r="D240" s="48" t="s">
        <v>119</v>
      </c>
      <c r="E240" s="39">
        <v>1240.0</v>
      </c>
      <c r="F240" s="39">
        <v>1410.0</v>
      </c>
      <c r="G240" s="50">
        <f t="shared" si="41"/>
        <v>0.1370967742</v>
      </c>
      <c r="H240" s="28"/>
      <c r="I240" s="55">
        <f t="shared" si="2"/>
        <v>1433.586205</v>
      </c>
      <c r="J240" s="81"/>
      <c r="K240" s="60">
        <f>IFERROR(__xludf.DUMMYFUNCTION("IFERROR(VLOOKUP(C240,IMPORTRANGE(""https://docs.google.com/spreadsheets/d/1HZUHB8NvANAZR0sHDmHYVAm2WE9kNv0pGIQA48Ryim8/edit?gid=1285727875#gid=1285727875"",""Sheet1!A2:G""),7,0))"),357.23)</f>
        <v>357.23</v>
      </c>
      <c r="L240" s="62">
        <f t="shared" si="42"/>
        <v>3.471153039</v>
      </c>
      <c r="M240" s="60">
        <f>IFERROR(__xludf.DUMMYFUNCTION("IFERROR(VLOOKUP(C240,IMPORTRANGE(""https://docs.google.com/spreadsheets/d/1HZUHB8NvANAZR0sHDmHYVAm2WE9kNv0pGIQA48Ryim8/edit?gid=1285727875#gid=1285727875"",""Cost!A2:G""),7,0))"),413.0)</f>
        <v>413</v>
      </c>
      <c r="N240" s="62">
        <f t="shared" si="4"/>
        <v>3.414043584</v>
      </c>
      <c r="O240" s="62"/>
      <c r="P240" s="28"/>
      <c r="Q240" s="28"/>
      <c r="R240" s="28"/>
      <c r="S240" s="28"/>
      <c r="T240" s="28"/>
      <c r="U240" s="65"/>
      <c r="V240" s="28"/>
      <c r="W240" s="65"/>
      <c r="X240" s="66" t="s">
        <v>117</v>
      </c>
      <c r="Y240" s="65" t="str">
        <f t="shared" si="6"/>
        <v>POLO 6018</v>
      </c>
    </row>
    <row r="241">
      <c r="A241" s="18" t="s">
        <v>716</v>
      </c>
      <c r="B241" s="15">
        <v>6020.0</v>
      </c>
      <c r="C241" s="15">
        <v>6020.0</v>
      </c>
      <c r="D241" s="48" t="s">
        <v>122</v>
      </c>
      <c r="E241" s="39">
        <v>1280.0</v>
      </c>
      <c r="F241" s="39">
        <v>1450.0</v>
      </c>
      <c r="G241" s="50">
        <f t="shared" si="41"/>
        <v>0.1328125</v>
      </c>
      <c r="H241" s="28"/>
      <c r="I241" s="55">
        <f t="shared" si="2"/>
        <v>1477.874901</v>
      </c>
      <c r="J241" s="81"/>
      <c r="K241" s="60">
        <f>IFERROR(__xludf.DUMMYFUNCTION("IFERROR(VLOOKUP(C241,IMPORTRANGE(""https://docs.google.com/spreadsheets/d/1HZUHB8NvANAZR0sHDmHYVAm2WE9kNv0pGIQA48Ryim8/edit?gid=1285727875#gid=1285727875"",""Sheet1!A2:G""),7,0))"),367.23)</f>
        <v>367.23</v>
      </c>
      <c r="L241" s="62">
        <f t="shared" si="42"/>
        <v>3.485554012</v>
      </c>
      <c r="M241" s="60">
        <f>IFERROR(__xludf.DUMMYFUNCTION("IFERROR(VLOOKUP(C241,IMPORTRANGE(""https://docs.google.com/spreadsheets/d/1HZUHB8NvANAZR0sHDmHYVAm2WE9kNv0pGIQA48Ryim8/edit?gid=1285727875#gid=1285727875"",""Cost!A2:G""),7,0))"),424.0)</f>
        <v>424</v>
      </c>
      <c r="N241" s="62">
        <f t="shared" si="4"/>
        <v>3.419811321</v>
      </c>
      <c r="O241" s="62"/>
      <c r="P241" s="28"/>
      <c r="Q241" s="28"/>
      <c r="R241" s="28"/>
      <c r="S241" s="28"/>
      <c r="T241" s="28"/>
      <c r="U241" s="65"/>
      <c r="V241" s="28"/>
      <c r="W241" s="65"/>
      <c r="X241" s="66" t="s">
        <v>120</v>
      </c>
      <c r="Y241" s="65" t="str">
        <f t="shared" si="6"/>
        <v>POLO 6020</v>
      </c>
    </row>
    <row r="242">
      <c r="A242" s="18" t="s">
        <v>716</v>
      </c>
      <c r="B242" s="15">
        <v>6050.0</v>
      </c>
      <c r="C242" s="15">
        <v>6050.0</v>
      </c>
      <c r="D242" s="48" t="s">
        <v>136</v>
      </c>
      <c r="E242" s="39">
        <v>3980.0</v>
      </c>
      <c r="F242" s="39">
        <v>4480.0</v>
      </c>
      <c r="G242" s="50">
        <f t="shared" si="41"/>
        <v>0.1256281407</v>
      </c>
      <c r="H242" s="28"/>
      <c r="I242" s="55">
        <f t="shared" si="2"/>
        <v>4485.615066</v>
      </c>
      <c r="J242" s="81"/>
      <c r="K242" s="60">
        <f>IFERROR(__xludf.DUMMYFUNCTION("IFERROR(VLOOKUP(C242,IMPORTRANGE(""https://docs.google.com/spreadsheets/d/1HZUHB8NvANAZR0sHDmHYVAm2WE9kNv0pGIQA48Ryim8/edit?gid=1285727875#gid=1285727875"",""Sheet1!A2:G""),7,0))"),1102.89)</f>
        <v>1102.89</v>
      </c>
      <c r="L242" s="62">
        <f t="shared" si="42"/>
        <v>3.608700777</v>
      </c>
      <c r="M242" s="60">
        <f>IFERROR(__xludf.DUMMYFUNCTION("IFERROR(VLOOKUP(C242,IMPORTRANGE(""https://docs.google.com/spreadsheets/d/1HZUHB8NvANAZR0sHDmHYVAm2WE9kNv0pGIQA48Ryim8/edit?gid=1285727875#gid=1285727875"",""Cost!A2:G""),7,0))"),1243.0)</f>
        <v>1243</v>
      </c>
      <c r="N242" s="62">
        <f t="shared" si="4"/>
        <v>3.604183427</v>
      </c>
      <c r="O242" s="62"/>
      <c r="P242" s="28"/>
      <c r="Q242" s="28"/>
      <c r="R242" s="28"/>
      <c r="S242" s="28"/>
      <c r="T242" s="28"/>
      <c r="U242" s="65"/>
      <c r="V242" s="28"/>
      <c r="W242" s="65"/>
      <c r="X242" s="66" t="s">
        <v>134</v>
      </c>
      <c r="Y242" s="65" t="str">
        <f t="shared" si="6"/>
        <v>POLO 6050</v>
      </c>
    </row>
    <row r="243">
      <c r="A243" s="18" t="s">
        <v>716</v>
      </c>
      <c r="B243" s="15">
        <v>6051.0</v>
      </c>
      <c r="C243" s="15">
        <v>6051.0</v>
      </c>
      <c r="D243" s="48" t="s">
        <v>141</v>
      </c>
      <c r="E243" s="39">
        <v>4290.0</v>
      </c>
      <c r="F243" s="39">
        <v>4780.0</v>
      </c>
      <c r="G243" s="50">
        <f t="shared" si="41"/>
        <v>0.1142191142</v>
      </c>
      <c r="H243" s="28"/>
      <c r="I243" s="55">
        <f t="shared" si="2"/>
        <v>4786.428966</v>
      </c>
      <c r="J243" s="81"/>
      <c r="K243" s="60">
        <f>IFERROR(__xludf.DUMMYFUNCTION("IFERROR(VLOOKUP(C243,IMPORTRANGE(""https://docs.google.com/spreadsheets/d/1HZUHB8NvANAZR0sHDmHYVAm2WE9kNv0pGIQA48Ryim8/edit?gid=1285727875#gid=1285727875"",""Sheet1!A2:G""),7,0))"),1085.4)</f>
        <v>1085.4</v>
      </c>
      <c r="L243" s="62">
        <f t="shared" si="42"/>
        <v>3.952459923</v>
      </c>
      <c r="M243" s="60">
        <f>IFERROR(__xludf.DUMMYFUNCTION("IFERROR(VLOOKUP(C243,IMPORTRANGE(""https://docs.google.com/spreadsheets/d/1HZUHB8NvANAZR0sHDmHYVAm2WE9kNv0pGIQA48Ryim8/edit?gid=1285727875#gid=1285727875"",""Cost!A2:G""),7,0))"),1211.0)</f>
        <v>1211</v>
      </c>
      <c r="N243" s="62">
        <f t="shared" si="4"/>
        <v>3.947151115</v>
      </c>
      <c r="O243" s="62"/>
      <c r="P243" s="28"/>
      <c r="Q243" s="28"/>
      <c r="R243" s="28"/>
      <c r="S243" s="28"/>
      <c r="T243" s="28"/>
      <c r="U243" s="65"/>
      <c r="V243" s="28"/>
      <c r="W243" s="65"/>
      <c r="X243" s="66" t="s">
        <v>139</v>
      </c>
      <c r="Y243" s="65" t="str">
        <f t="shared" si="6"/>
        <v>POLO 6051</v>
      </c>
    </row>
    <row r="244">
      <c r="A244" s="18" t="s">
        <v>716</v>
      </c>
      <c r="B244" s="15">
        <v>6054.0</v>
      </c>
      <c r="C244" s="15">
        <v>6054.0</v>
      </c>
      <c r="D244" s="48" t="s">
        <v>152</v>
      </c>
      <c r="E244" s="75">
        <f t="shared" ref="E244:F244" si="45">SUM(E245:E246)</f>
        <v>6140</v>
      </c>
      <c r="F244" s="75">
        <f t="shared" si="45"/>
        <v>6680</v>
      </c>
      <c r="G244" s="50">
        <f t="shared" si="41"/>
        <v>0.08794788274</v>
      </c>
      <c r="H244" s="28"/>
      <c r="I244" s="55">
        <f t="shared" si="2"/>
        <v>6667.920499</v>
      </c>
      <c r="J244" s="81"/>
      <c r="K244" s="60">
        <f>IFERROR(__xludf.DUMMYFUNCTION("IFERROR(VLOOKUP(C244,IMPORTRANGE(""https://docs.google.com/spreadsheets/d/1HZUHB8NvANAZR0sHDmHYVAm2WE9kNv0pGIQA48Ryim8/edit?gid=1285727875#gid=1285727875"",""Sheet1!A2:G""),7,0))"),1648.28)</f>
        <v>1648.28</v>
      </c>
      <c r="L244" s="62">
        <f t="shared" si="42"/>
        <v>3.725095251</v>
      </c>
      <c r="M244" s="60">
        <f>IFERROR(__xludf.DUMMYFUNCTION("IFERROR(VLOOKUP(C244,IMPORTRANGE(""https://docs.google.com/spreadsheets/d/1HZUHB8NvANAZR0sHDmHYVAm2WE9kNv0pGIQA48Ryim8/edit?gid=1285727875#gid=1285727875"",""Cost!A2:G""),7,0))"),1790.0)</f>
        <v>1790</v>
      </c>
      <c r="N244" s="62">
        <f t="shared" si="4"/>
        <v>3.731843575</v>
      </c>
      <c r="O244" s="62"/>
      <c r="P244" s="28"/>
      <c r="Q244" s="28"/>
      <c r="R244" s="28"/>
      <c r="S244" s="28"/>
      <c r="T244" s="28"/>
      <c r="U244" s="65"/>
      <c r="V244" s="28"/>
      <c r="W244" s="65"/>
      <c r="X244" s="66" t="s">
        <v>150</v>
      </c>
      <c r="Y244" s="65" t="str">
        <f t="shared" si="6"/>
        <v>POLO 6054</v>
      </c>
    </row>
    <row r="245">
      <c r="A245" s="18" t="s">
        <v>716</v>
      </c>
      <c r="B245" s="15" t="s">
        <v>154</v>
      </c>
      <c r="C245" s="15" t="s">
        <v>154</v>
      </c>
      <c r="D245" s="48" t="s">
        <v>156</v>
      </c>
      <c r="E245" s="39">
        <v>3680.0</v>
      </c>
      <c r="F245" s="39">
        <v>3990.0</v>
      </c>
      <c r="G245" s="50">
        <f t="shared" si="41"/>
        <v>0.08423913043</v>
      </c>
      <c r="H245" s="28"/>
      <c r="I245" s="55">
        <f t="shared" si="2"/>
        <v>4075.59981</v>
      </c>
      <c r="J245" s="81"/>
      <c r="K245" s="60">
        <f>IFERROR(__xludf.DUMMYFUNCTION("IFERROR(VLOOKUP(C245,IMPORTRANGE(""https://docs.google.com/spreadsheets/d/1HZUHB8NvANAZR0sHDmHYVAm2WE9kNv0pGIQA48Ryim8/edit?gid=1285727875#gid=1285727875"",""Sheet1!A2:G""),7,0))"),966.14)</f>
        <v>966.14</v>
      </c>
      <c r="L245" s="62">
        <f t="shared" si="42"/>
        <v>3.808971785</v>
      </c>
      <c r="M245" s="60">
        <f>IFERROR(__xludf.DUMMYFUNCTION("IFERROR(VLOOKUP(C245,IMPORTRANGE(""https://docs.google.com/spreadsheets/d/1HZUHB8NvANAZR0sHDmHYVAm2WE9kNv0pGIQA48Ryim8/edit?gid=1285727875#gid=1285727875"",""Cost!A2:G""),7,0))"),1070.0)</f>
        <v>1070</v>
      </c>
      <c r="N245" s="62">
        <f t="shared" si="4"/>
        <v>3.728971963</v>
      </c>
      <c r="O245" s="62"/>
      <c r="P245" s="28"/>
      <c r="Q245" s="28"/>
      <c r="R245" s="28"/>
      <c r="S245" s="28"/>
      <c r="T245" s="28"/>
      <c r="U245" s="65"/>
      <c r="V245" s="28"/>
      <c r="W245" s="65"/>
      <c r="X245" s="66" t="s">
        <v>154</v>
      </c>
      <c r="Y245" s="65" t="str">
        <f t="shared" si="6"/>
        <v>POLO 60BD-40</v>
      </c>
    </row>
    <row r="246">
      <c r="A246" s="18" t="s">
        <v>716</v>
      </c>
      <c r="B246" s="15" t="s">
        <v>738</v>
      </c>
      <c r="C246" s="15" t="s">
        <v>738</v>
      </c>
      <c r="D246" s="48" t="s">
        <v>78</v>
      </c>
      <c r="E246" s="39">
        <v>2460.0</v>
      </c>
      <c r="F246" s="39">
        <v>2690.0</v>
      </c>
      <c r="G246" s="50">
        <f t="shared" si="41"/>
        <v>0.09349593496</v>
      </c>
      <c r="H246" s="28"/>
      <c r="I246" s="55">
        <f t="shared" si="2"/>
        <v>2688.75</v>
      </c>
      <c r="J246" s="81"/>
      <c r="K246" s="60">
        <f>IFERROR(__xludf.DUMMYFUNCTION("IFERROR(VLOOKUP(C246,IMPORTRANGE(""https://docs.google.com/spreadsheets/d/1HZUHB8NvANAZR0sHDmHYVAm2WE9kNv0pGIQA48Ryim8/edit?gid=1285727875#gid=1285727875"",""Sheet1!A2:G""),7,0))"),656.0)</f>
        <v>656</v>
      </c>
      <c r="L246" s="62">
        <f t="shared" si="42"/>
        <v>3.75</v>
      </c>
      <c r="M246" s="60">
        <f>IFERROR(__xludf.DUMMYFUNCTION("IFERROR(VLOOKUP(C246,IMPORTRANGE(""https://docs.google.com/spreadsheets/d/1HZUHB8NvANAZR0sHDmHYVAm2WE9kNv0pGIQA48Ryim8/edit?gid=1285727875#gid=1285727875"",""Cost!A2:G""),7,0))"),717.0)</f>
        <v>717</v>
      </c>
      <c r="N246" s="62">
        <f t="shared" si="4"/>
        <v>3.751743375</v>
      </c>
      <c r="O246" s="62"/>
      <c r="P246" s="28"/>
      <c r="Q246" s="28"/>
      <c r="R246" s="28"/>
      <c r="S246" s="28"/>
      <c r="T246" s="28"/>
      <c r="U246" s="65"/>
      <c r="V246" s="28"/>
      <c r="W246" s="65"/>
      <c r="X246" s="66" t="s">
        <v>159</v>
      </c>
      <c r="Y246" s="65" t="str">
        <f t="shared" si="6"/>
        <v>POLO 60BB</v>
      </c>
    </row>
    <row r="247">
      <c r="A247" s="18" t="s">
        <v>716</v>
      </c>
      <c r="B247" s="15">
        <v>6055.0</v>
      </c>
      <c r="C247" s="15">
        <v>6055.0</v>
      </c>
      <c r="D247" s="48" t="s">
        <v>164</v>
      </c>
      <c r="E247" s="75">
        <v>4260.0</v>
      </c>
      <c r="F247" s="39">
        <v>4640.0</v>
      </c>
      <c r="G247" s="50">
        <f t="shared" si="41"/>
        <v>0.08920187793</v>
      </c>
      <c r="H247" s="28"/>
      <c r="I247" s="55">
        <f t="shared" si="2"/>
        <v>4757.324922</v>
      </c>
      <c r="J247" s="81"/>
      <c r="K247" s="60">
        <f>IFERROR(__xludf.DUMMYFUNCTION("IFERROR(VLOOKUP(C247,IMPORTRANGE(""https://docs.google.com/spreadsheets/d/1HZUHB8NvANAZR0sHDmHYVAm2WE9kNv0pGIQA48Ryim8/edit?gid=1285727875#gid=1285727875"",""Sheet1!A2:G""),7,0))"),1096.94)</f>
        <v>1096.94</v>
      </c>
      <c r="L247" s="62">
        <f t="shared" si="42"/>
        <v>3.883530549</v>
      </c>
      <c r="M247" s="60">
        <f>IFERROR(__xludf.DUMMYFUNCTION("IFERROR(VLOOKUP(C247,IMPORTRANGE(""https://docs.google.com/spreadsheets/d/1HZUHB8NvANAZR0sHDmHYVAm2WE9kNv0pGIQA48Ryim8/edit?gid=1285727875#gid=1285727875"",""Cost!A2:G""),7,0))"),1225.0)</f>
        <v>1225</v>
      </c>
      <c r="N247" s="62">
        <f t="shared" si="4"/>
        <v>3.787755102</v>
      </c>
      <c r="O247" s="62"/>
      <c r="P247" s="28"/>
      <c r="Q247" s="28"/>
      <c r="R247" s="28"/>
      <c r="S247" s="28"/>
      <c r="T247" s="28"/>
      <c r="U247" s="65"/>
      <c r="V247" s="28"/>
      <c r="W247" s="65"/>
      <c r="X247" s="66" t="s">
        <v>162</v>
      </c>
      <c r="Y247" s="65" t="str">
        <f t="shared" si="6"/>
        <v>POLO 6055</v>
      </c>
    </row>
    <row r="248">
      <c r="A248" s="18" t="s">
        <v>716</v>
      </c>
      <c r="B248" s="15">
        <v>6070.0</v>
      </c>
      <c r="C248" s="15">
        <v>6070.0</v>
      </c>
      <c r="D248" s="48" t="s">
        <v>186</v>
      </c>
      <c r="E248" s="39">
        <v>5980.0</v>
      </c>
      <c r="F248" s="39">
        <v>6480.0</v>
      </c>
      <c r="G248" s="50">
        <f t="shared" si="41"/>
        <v>0.08361204013</v>
      </c>
      <c r="H248" s="28"/>
      <c r="I248" s="55">
        <f t="shared" si="2"/>
        <v>6707.79585</v>
      </c>
      <c r="J248" s="81"/>
      <c r="K248" s="60">
        <f>IFERROR(__xludf.DUMMYFUNCTION("IFERROR(VLOOKUP(C248,IMPORTRANGE(""https://docs.google.com/spreadsheets/d/1HZUHB8NvANAZR0sHDmHYVAm2WE9kNv0pGIQA48Ryim8/edit?gid=1285727875#gid=1285727875"",""Sheet1!A2:G""),7,0))"),1800.83)</f>
        <v>1800.83</v>
      </c>
      <c r="L248" s="62">
        <f t="shared" si="42"/>
        <v>3.320691015</v>
      </c>
      <c r="M248" s="60">
        <f>IFERROR(__xludf.DUMMYFUNCTION("IFERROR(VLOOKUP(C248,IMPORTRANGE(""https://docs.google.com/spreadsheets/d/1HZUHB8NvANAZR0sHDmHYVAm2WE9kNv0pGIQA48Ryim8/edit?gid=1285727875#gid=1285727875"",""Cost!A2:G""),7,0))"),2020.0)</f>
        <v>2020</v>
      </c>
      <c r="N248" s="62">
        <f t="shared" si="4"/>
        <v>3.207920792</v>
      </c>
      <c r="O248" s="62"/>
      <c r="P248" s="28"/>
      <c r="Q248" s="28"/>
      <c r="R248" s="28"/>
      <c r="S248" s="28"/>
      <c r="T248" s="28"/>
      <c r="U248" s="65"/>
      <c r="V248" s="28"/>
      <c r="W248" s="65"/>
      <c r="X248" s="66" t="s">
        <v>184</v>
      </c>
      <c r="Y248" s="65" t="str">
        <f t="shared" si="6"/>
        <v>POLO 6070</v>
      </c>
    </row>
    <row r="249">
      <c r="A249" s="18" t="s">
        <v>716</v>
      </c>
      <c r="B249" s="15">
        <v>6075.0</v>
      </c>
      <c r="C249" s="15">
        <v>6075.0</v>
      </c>
      <c r="D249" s="48" t="s">
        <v>196</v>
      </c>
      <c r="E249" s="39">
        <v>5980.0</v>
      </c>
      <c r="F249" s="39">
        <v>6480.0</v>
      </c>
      <c r="G249" s="50">
        <f t="shared" si="41"/>
        <v>0.08361204013</v>
      </c>
      <c r="H249" s="28"/>
      <c r="I249" s="55">
        <f t="shared" si="2"/>
        <v>6698.981094</v>
      </c>
      <c r="J249" s="81"/>
      <c r="K249" s="60">
        <f>IFERROR(__xludf.DUMMYFUNCTION("IFERROR(VLOOKUP(C249,IMPORTRANGE(""https://docs.google.com/spreadsheets/d/1HZUHB8NvANAZR0sHDmHYVAm2WE9kNv0pGIQA48Ryim8/edit?gid=1285727875#gid=1285727875"",""Sheet1!A2:G""),7,0))"),1766.6)</f>
        <v>1766.6</v>
      </c>
      <c r="L249" s="62">
        <f t="shared" si="42"/>
        <v>3.385033397</v>
      </c>
      <c r="M249" s="60">
        <f>IFERROR(__xludf.DUMMYFUNCTION("IFERROR(VLOOKUP(C249,IMPORTRANGE(""https://docs.google.com/spreadsheets/d/1HZUHB8NvANAZR0sHDmHYVAm2WE9kNv0pGIQA48Ryim8/edit?gid=1285727875#gid=1285727875"",""Cost!A2:G""),7,0))"),1979.0)</f>
        <v>1979</v>
      </c>
      <c r="N249" s="62">
        <f t="shared" si="4"/>
        <v>3.274381001</v>
      </c>
      <c r="O249" s="62"/>
      <c r="P249" s="28"/>
      <c r="Q249" s="28"/>
      <c r="R249" s="28"/>
      <c r="S249" s="28"/>
      <c r="T249" s="28"/>
      <c r="U249" s="65"/>
      <c r="V249" s="28"/>
      <c r="W249" s="65"/>
      <c r="X249" s="66" t="s">
        <v>194</v>
      </c>
      <c r="Y249" s="65" t="str">
        <f t="shared" si="6"/>
        <v>POLO 6075</v>
      </c>
    </row>
    <row r="250">
      <c r="A250" s="18" t="s">
        <v>716</v>
      </c>
      <c r="B250" s="15">
        <v>6080.0</v>
      </c>
      <c r="C250" s="15">
        <v>6080.0</v>
      </c>
      <c r="D250" s="48" t="s">
        <v>205</v>
      </c>
      <c r="E250" s="39">
        <v>6980.0</v>
      </c>
      <c r="F250" s="39">
        <v>7540.0</v>
      </c>
      <c r="G250" s="50">
        <f t="shared" si="41"/>
        <v>0.08022922636</v>
      </c>
      <c r="H250" s="28"/>
      <c r="I250" s="55">
        <f t="shared" si="2"/>
        <v>7804.856933</v>
      </c>
      <c r="J250" s="81"/>
      <c r="K250" s="60">
        <f>IFERROR(__xludf.DUMMYFUNCTION("IFERROR(VLOOKUP(C250,IMPORTRANGE(""https://docs.google.com/spreadsheets/d/1HZUHB8NvANAZR0sHDmHYVAm2WE9kNv0pGIQA48Ryim8/edit?gid=1285727875#gid=1285727875"",""Sheet1!A2:G""),7,0))"),2056.03)</f>
        <v>2056.03</v>
      </c>
      <c r="L250" s="62">
        <f t="shared" si="42"/>
        <v>3.394892098</v>
      </c>
      <c r="M250" s="60">
        <f>IFERROR(__xludf.DUMMYFUNCTION("IFERROR(VLOOKUP(C250,IMPORTRANGE(""https://docs.google.com/spreadsheets/d/1HZUHB8NvANAZR0sHDmHYVAm2WE9kNv0pGIQA48Ryim8/edit?gid=1285727875#gid=1285727875"",""Cost!A2:G""),7,0))"),2299.0)</f>
        <v>2299</v>
      </c>
      <c r="N250" s="62">
        <f t="shared" si="4"/>
        <v>3.27968682</v>
      </c>
      <c r="O250" s="62"/>
      <c r="P250" s="28"/>
      <c r="Q250" s="28"/>
      <c r="R250" s="28"/>
      <c r="S250" s="28"/>
      <c r="T250" s="28"/>
      <c r="U250" s="65"/>
      <c r="V250" s="28"/>
      <c r="W250" s="65"/>
      <c r="X250" s="66" t="s">
        <v>203</v>
      </c>
      <c r="Y250" s="65" t="str">
        <f t="shared" si="6"/>
        <v>POLO 6080</v>
      </c>
    </row>
    <row r="251">
      <c r="A251" s="18" t="s">
        <v>716</v>
      </c>
      <c r="B251" s="15" t="s">
        <v>743</v>
      </c>
      <c r="C251" s="15" t="s">
        <v>743</v>
      </c>
      <c r="D251" s="48" t="s">
        <v>210</v>
      </c>
      <c r="E251" s="75">
        <f t="shared" ref="E251:F251" si="46">SUM(E252:E253)</f>
        <v>6180</v>
      </c>
      <c r="F251" s="75">
        <f t="shared" si="46"/>
        <v>6660</v>
      </c>
      <c r="G251" s="50">
        <f t="shared" si="41"/>
        <v>0.07766990291</v>
      </c>
      <c r="H251" s="28"/>
      <c r="I251" s="55">
        <f t="shared" si="2"/>
        <v>6627.15994</v>
      </c>
      <c r="J251" s="81"/>
      <c r="K251" s="60">
        <f>IFERROR(__xludf.DUMMYFUNCTION("IFERROR(VLOOKUP(C251,IMPORTRANGE(""https://docs.google.com/spreadsheets/d/1HZUHB8NvANAZR0sHDmHYVAm2WE9kNv0pGIQA48Ryim8/edit?gid=1285727875#gid=1285727875"",""Sheet1!A2:G""),7,0))"),1871.58)</f>
        <v>1871.58</v>
      </c>
      <c r="L251" s="62">
        <f t="shared" si="42"/>
        <v>3.30202289</v>
      </c>
      <c r="M251" s="60">
        <f>IFERROR(__xludf.DUMMYFUNCTION("IFERROR(VLOOKUP(C251,IMPORTRANGE(""https://docs.google.com/spreadsheets/d/1HZUHB8NvANAZR0sHDmHYVAm2WE9kNv0pGIQA48Ryim8/edit?gid=1285727875#gid=1285727875"",""Cost!A2:G""),7,0))"),2007.0)</f>
        <v>2007</v>
      </c>
      <c r="N251" s="62">
        <f t="shared" si="4"/>
        <v>3.31838565</v>
      </c>
      <c r="O251" s="62"/>
      <c r="P251" s="28"/>
      <c r="Q251" s="28"/>
      <c r="R251" s="28"/>
      <c r="S251" s="28"/>
      <c r="T251" s="28"/>
      <c r="U251" s="65"/>
      <c r="V251" s="28"/>
      <c r="W251" s="65"/>
      <c r="X251" s="66" t="s">
        <v>209</v>
      </c>
      <c r="Y251" s="65" t="str">
        <f t="shared" si="6"/>
        <v>POLO 6091</v>
      </c>
    </row>
    <row r="252">
      <c r="A252" s="18" t="s">
        <v>716</v>
      </c>
      <c r="B252" s="15" t="s">
        <v>212</v>
      </c>
      <c r="C252" s="15" t="s">
        <v>212</v>
      </c>
      <c r="D252" s="48" t="s">
        <v>214</v>
      </c>
      <c r="E252" s="39">
        <v>4240.0</v>
      </c>
      <c r="F252" s="39">
        <v>4580.0</v>
      </c>
      <c r="G252" s="50">
        <f t="shared" si="41"/>
        <v>0.08018867925</v>
      </c>
      <c r="H252" s="28"/>
      <c r="I252" s="55">
        <f t="shared" si="2"/>
        <v>4549.622554</v>
      </c>
      <c r="J252" s="81"/>
      <c r="K252" s="60">
        <f>IFERROR(__xludf.DUMMYFUNCTION("IFERROR(VLOOKUP(C252,IMPORTRANGE(""https://docs.google.com/spreadsheets/d/1HZUHB8NvANAZR0sHDmHYVAm2WE9kNv0pGIQA48Ryim8/edit?gid=1285727875#gid=1285727875"",""Sheet1!A2:G""),7,0))"),1298.2)</f>
        <v>1298.2</v>
      </c>
      <c r="L252" s="62">
        <f t="shared" si="42"/>
        <v>3.266060699</v>
      </c>
      <c r="M252" s="60">
        <f>IFERROR(__xludf.DUMMYFUNCTION("IFERROR(VLOOKUP(C252,IMPORTRANGE(""https://docs.google.com/spreadsheets/d/1HZUHB8NvANAZR0sHDmHYVAm2WE9kNv0pGIQA48Ryim8/edit?gid=1285727875#gid=1285727875"",""Cost!A2:G""),7,0))"),1393.0)</f>
        <v>1393</v>
      </c>
      <c r="N252" s="62">
        <f t="shared" si="4"/>
        <v>3.287867911</v>
      </c>
      <c r="O252" s="62"/>
      <c r="P252" s="28"/>
      <c r="Q252" s="28"/>
      <c r="R252" s="28"/>
      <c r="S252" s="28"/>
      <c r="T252" s="28"/>
      <c r="U252" s="65"/>
      <c r="V252" s="28"/>
      <c r="W252" s="65"/>
      <c r="X252" s="66" t="s">
        <v>212</v>
      </c>
      <c r="Y252" s="65" t="str">
        <f t="shared" si="6"/>
        <v>POLO 60PD-40-N</v>
      </c>
    </row>
    <row r="253">
      <c r="A253" s="18" t="s">
        <v>716</v>
      </c>
      <c r="B253" s="15" t="s">
        <v>748</v>
      </c>
      <c r="C253" s="15" t="s">
        <v>748</v>
      </c>
      <c r="D253" s="48" t="s">
        <v>217</v>
      </c>
      <c r="E253" s="39">
        <v>1940.0</v>
      </c>
      <c r="F253" s="39">
        <v>2080.0</v>
      </c>
      <c r="G253" s="50">
        <f t="shared" si="41"/>
        <v>0.07216494845</v>
      </c>
      <c r="H253" s="28"/>
      <c r="I253" s="55">
        <f t="shared" si="2"/>
        <v>2074.483776</v>
      </c>
      <c r="J253" s="81"/>
      <c r="K253" s="60">
        <f>IFERROR(__xludf.DUMMYFUNCTION("IFERROR(VLOOKUP(C253,IMPORTRANGE(""https://docs.google.com/spreadsheets/d/1HZUHB8NvANAZR0sHDmHYVAm2WE9kNv0pGIQA48Ryim8/edit?gid=1285727875#gid=1285727875"",""Sheet1!A2:G""),7,0))"),569.52)</f>
        <v>569.52</v>
      </c>
      <c r="L253" s="62">
        <f t="shared" si="42"/>
        <v>3.4063773</v>
      </c>
      <c r="M253" s="60">
        <f>IFERROR(__xludf.DUMMYFUNCTION("IFERROR(VLOOKUP(C253,IMPORTRANGE(""https://docs.google.com/spreadsheets/d/1HZUHB8NvANAZR0sHDmHYVAm2WE9kNv0pGIQA48Ryim8/edit?gid=1285727875#gid=1285727875"",""Cost!A2:G""),7,0))"),609.0)</f>
        <v>609</v>
      </c>
      <c r="N253" s="62">
        <f t="shared" si="4"/>
        <v>3.41543514</v>
      </c>
      <c r="O253" s="62"/>
      <c r="P253" s="28"/>
      <c r="Q253" s="28"/>
      <c r="R253" s="28"/>
      <c r="S253" s="28"/>
      <c r="T253" s="28"/>
      <c r="U253" s="65"/>
      <c r="V253" s="28"/>
      <c r="W253" s="65"/>
      <c r="X253" s="66" t="s">
        <v>358</v>
      </c>
      <c r="Y253" s="65" t="str">
        <f t="shared" si="6"/>
        <v>POLO 60DB</v>
      </c>
    </row>
    <row r="254">
      <c r="A254" s="18" t="s">
        <v>716</v>
      </c>
      <c r="B254" s="15" t="s">
        <v>749</v>
      </c>
      <c r="C254" s="15" t="s">
        <v>749</v>
      </c>
      <c r="D254" s="48" t="s">
        <v>220</v>
      </c>
      <c r="E254" s="75">
        <f t="shared" ref="E254:F254" si="47">SUM(E255:E256)</f>
        <v>6920</v>
      </c>
      <c r="F254" s="75">
        <f t="shared" si="47"/>
        <v>7570</v>
      </c>
      <c r="G254" s="50">
        <f t="shared" si="41"/>
        <v>0.09393063584</v>
      </c>
      <c r="H254" s="28"/>
      <c r="I254" s="55">
        <f t="shared" si="2"/>
        <v>7595.46284</v>
      </c>
      <c r="J254" s="81"/>
      <c r="K254" s="60">
        <f>IFERROR(__xludf.DUMMYFUNCTION("IFERROR(VLOOKUP(C254,IMPORTRANGE(""https://docs.google.com/spreadsheets/d/1HZUHB8NvANAZR0sHDmHYVAm2WE9kNv0pGIQA48Ryim8/edit?gid=1285727875#gid=1285727875"",""Sheet1!A2:G""),7,0))"),2153.77)</f>
        <v>2153.77</v>
      </c>
      <c r="L254" s="62">
        <f t="shared" si="42"/>
        <v>3.212970744</v>
      </c>
      <c r="M254" s="60">
        <f>IFERROR(__xludf.DUMMYFUNCTION("IFERROR(VLOOKUP(C254,IMPORTRANGE(""https://docs.google.com/spreadsheets/d/1HZUHB8NvANAZR0sHDmHYVAm2WE9kNv0pGIQA48Ryim8/edit?gid=1285727875#gid=1285727875"",""Cost!A2:G""),7,0))"),2364.0)</f>
        <v>2364</v>
      </c>
      <c r="N254" s="62">
        <f t="shared" si="4"/>
        <v>3.202199662</v>
      </c>
      <c r="O254" s="62"/>
      <c r="P254" s="28"/>
      <c r="Q254" s="28"/>
      <c r="R254" s="28"/>
      <c r="S254" s="28"/>
      <c r="T254" s="28"/>
      <c r="U254" s="65"/>
      <c r="V254" s="28"/>
      <c r="W254" s="65"/>
      <c r="X254" s="66" t="s">
        <v>219</v>
      </c>
      <c r="Y254" s="65" t="str">
        <f t="shared" si="6"/>
        <v>POLO 6092</v>
      </c>
    </row>
    <row r="255">
      <c r="A255" s="18" t="s">
        <v>716</v>
      </c>
      <c r="B255" s="15" t="s">
        <v>223</v>
      </c>
      <c r="C255" s="15" t="s">
        <v>223</v>
      </c>
      <c r="D255" s="48" t="s">
        <v>224</v>
      </c>
      <c r="E255" s="39">
        <v>4980.0</v>
      </c>
      <c r="F255" s="39">
        <v>5490.0</v>
      </c>
      <c r="G255" s="50">
        <f t="shared" si="41"/>
        <v>0.1024096386</v>
      </c>
      <c r="H255" s="28"/>
      <c r="I255" s="55">
        <f t="shared" si="2"/>
        <v>5513.426362</v>
      </c>
      <c r="J255" s="81"/>
      <c r="K255" s="60">
        <f>IFERROR(__xludf.DUMMYFUNCTION("IFERROR(VLOOKUP(C255,IMPORTRANGE(""https://docs.google.com/spreadsheets/d/1HZUHB8NvANAZR0sHDmHYVAm2WE9kNv0pGIQA48Ryim8/edit?gid=1285727875#gid=1285727875"",""Sheet1!A2:G""),7,0))"),1581.59)</f>
        <v>1581.59</v>
      </c>
      <c r="L255" s="62">
        <f t="shared" si="42"/>
        <v>3.148730075</v>
      </c>
      <c r="M255" s="60">
        <f>IFERROR(__xludf.DUMMYFUNCTION("IFERROR(VLOOKUP(C255,IMPORTRANGE(""https://docs.google.com/spreadsheets/d/1HZUHB8NvANAZR0sHDmHYVAm2WE9kNv0pGIQA48Ryim8/edit?gid=1285727875#gid=1285727875"",""Cost!A2:G""),7,0))"),1751.0)</f>
        <v>1751</v>
      </c>
      <c r="N255" s="62">
        <f t="shared" si="4"/>
        <v>3.135351228</v>
      </c>
      <c r="O255" s="62"/>
      <c r="P255" s="28"/>
      <c r="Q255" s="28"/>
      <c r="R255" s="28"/>
      <c r="S255" s="28"/>
      <c r="T255" s="28"/>
      <c r="U255" s="65"/>
      <c r="V255" s="28"/>
      <c r="W255" s="65"/>
      <c r="X255" s="66" t="s">
        <v>223</v>
      </c>
      <c r="Y255" s="65" t="str">
        <f t="shared" si="6"/>
        <v>POLO 60PD-46-H-N</v>
      </c>
    </row>
    <row r="256">
      <c r="A256" s="18" t="s">
        <v>716</v>
      </c>
      <c r="B256" s="15" t="s">
        <v>752</v>
      </c>
      <c r="C256" s="15" t="s">
        <v>752</v>
      </c>
      <c r="D256" s="48" t="s">
        <v>217</v>
      </c>
      <c r="E256" s="39">
        <v>1940.0</v>
      </c>
      <c r="F256" s="39">
        <f>F253</f>
        <v>2080</v>
      </c>
      <c r="G256" s="50">
        <f t="shared" si="41"/>
        <v>0.07216494845</v>
      </c>
      <c r="H256" s="28"/>
      <c r="I256" s="55">
        <f t="shared" si="2"/>
        <v>2074.119588</v>
      </c>
      <c r="J256" s="81"/>
      <c r="K256" s="60">
        <f>IFERROR(__xludf.DUMMYFUNCTION("IFERROR(VLOOKUP(C256,IMPORTRANGE(""https://docs.google.com/spreadsheets/d/1HZUHB8NvANAZR0sHDmHYVAm2WE9kNv0pGIQA48Ryim8/edit?gid=1285727875#gid=1285727875"",""Sheet1!A2:G""),7,0))"),569.62)</f>
        <v>569.62</v>
      </c>
      <c r="L256" s="62">
        <f t="shared" si="42"/>
        <v>3.405779291</v>
      </c>
      <c r="M256" s="60">
        <f>IFERROR(__xludf.DUMMYFUNCTION("IFERROR(VLOOKUP(C256,IMPORTRANGE(""https://docs.google.com/spreadsheets/d/1HZUHB8NvANAZR0sHDmHYVAm2WE9kNv0pGIQA48Ryim8/edit?gid=1285727875#gid=1285727875"",""Cost!A2:G""),7,0))"),609.0)</f>
        <v>609</v>
      </c>
      <c r="N256" s="62">
        <f t="shared" si="4"/>
        <v>3.41543514</v>
      </c>
      <c r="O256" s="62"/>
      <c r="P256" s="28"/>
      <c r="Q256" s="28"/>
      <c r="R256" s="28"/>
      <c r="S256" s="28"/>
      <c r="T256" s="28"/>
      <c r="U256" s="65"/>
      <c r="V256" s="28"/>
      <c r="W256" s="65"/>
      <c r="X256" s="66" t="s">
        <v>358</v>
      </c>
      <c r="Y256" s="65" t="str">
        <f t="shared" si="6"/>
        <v>POLO 60DB</v>
      </c>
    </row>
    <row r="257">
      <c r="A257" s="18" t="s">
        <v>716</v>
      </c>
      <c r="B257" s="15" t="s">
        <v>755</v>
      </c>
      <c r="C257" s="15" t="s">
        <v>755</v>
      </c>
      <c r="D257" s="48" t="s">
        <v>229</v>
      </c>
      <c r="E257" s="75">
        <f t="shared" ref="E257:F257" si="48">SUM(E258:E259)</f>
        <v>6920</v>
      </c>
      <c r="F257" s="75">
        <f t="shared" si="48"/>
        <v>7570</v>
      </c>
      <c r="G257" s="50">
        <f t="shared" si="41"/>
        <v>0.09393063584</v>
      </c>
      <c r="H257" s="28"/>
      <c r="I257" s="55">
        <f t="shared" si="2"/>
        <v>7649.40502</v>
      </c>
      <c r="J257" s="81"/>
      <c r="K257" s="60">
        <f>IFERROR(__xludf.DUMMYFUNCTION("IFERROR(VLOOKUP(C257,IMPORTRANGE(""https://docs.google.com/spreadsheets/d/1HZUHB8NvANAZR0sHDmHYVAm2WE9kNv0pGIQA48Ryim8/edit?gid=1285727875#gid=1285727875"",""Sheet1!A2:G""),7,0))"),1939.56)</f>
        <v>1939.56</v>
      </c>
      <c r="L257" s="62">
        <f t="shared" si="42"/>
        <v>3.567819505</v>
      </c>
      <c r="M257" s="60">
        <f>IFERROR(__xludf.DUMMYFUNCTION("IFERROR(VLOOKUP(C257,IMPORTRANGE(""https://docs.google.com/spreadsheets/d/1HZUHB8NvANAZR0sHDmHYVAm2WE9kNv0pGIQA48Ryim8/edit?gid=1285727875#gid=1285727875"",""Cost!A2:G""),7,0))"),2144.0)</f>
        <v>2144</v>
      </c>
      <c r="N257" s="62">
        <f t="shared" si="4"/>
        <v>3.530783582</v>
      </c>
      <c r="O257" s="62"/>
      <c r="P257" s="28"/>
      <c r="Q257" s="28"/>
      <c r="R257" s="28"/>
      <c r="S257" s="28"/>
      <c r="T257" s="28"/>
      <c r="U257" s="65"/>
      <c r="V257" s="28"/>
      <c r="W257" s="65"/>
      <c r="X257" s="66" t="s">
        <v>368</v>
      </c>
      <c r="Y257" s="65" t="str">
        <f t="shared" si="6"/>
        <v>POLO 6092-ON-OFF</v>
      </c>
    </row>
    <row r="258">
      <c r="A258" s="18" t="s">
        <v>716</v>
      </c>
      <c r="B258" s="15" t="s">
        <v>234</v>
      </c>
      <c r="C258" s="15" t="s">
        <v>234</v>
      </c>
      <c r="D258" s="48" t="s">
        <v>235</v>
      </c>
      <c r="E258" s="39">
        <f>E255-240</f>
        <v>4740</v>
      </c>
      <c r="F258" s="75">
        <f>F255-$X$1</f>
        <v>5250</v>
      </c>
      <c r="G258" s="50">
        <f t="shared" si="41"/>
        <v>0.1075949367</v>
      </c>
      <c r="H258" s="28"/>
      <c r="I258" s="55">
        <f t="shared" si="2"/>
        <v>5306.797906</v>
      </c>
      <c r="J258" s="81"/>
      <c r="K258" s="60">
        <f>IFERROR(__xludf.DUMMYFUNCTION("IFERROR(VLOOKUP(C258,IMPORTRANGE(""https://docs.google.com/spreadsheets/d/1HZUHB8NvANAZR0sHDmHYVAm2WE9kNv0pGIQA48Ryim8/edit?gid=1285727875#gid=1285727875"",""Sheet1!A2:G""),7,0))"),1367.48)</f>
        <v>1367.48</v>
      </c>
      <c r="L258" s="62">
        <f t="shared" si="42"/>
        <v>3.466229853</v>
      </c>
      <c r="M258" s="60">
        <f>IFERROR(__xludf.DUMMYFUNCTION("IFERROR(VLOOKUP(C258,IMPORTRANGE(""https://docs.google.com/spreadsheets/d/1HZUHB8NvANAZR0sHDmHYVAm2WE9kNv0pGIQA48Ryim8/edit?gid=1285727875#gid=1285727875"",""Cost!A2:G""),7,0))"),1531.0)</f>
        <v>1531</v>
      </c>
      <c r="N258" s="62">
        <f t="shared" si="4"/>
        <v>3.429131287</v>
      </c>
      <c r="O258" s="62"/>
      <c r="P258" s="28"/>
      <c r="Q258" s="28"/>
      <c r="R258" s="28"/>
      <c r="S258" s="28"/>
      <c r="T258" s="28"/>
      <c r="U258" s="65"/>
      <c r="V258" s="28"/>
      <c r="W258" s="65"/>
      <c r="X258" s="66" t="s">
        <v>371</v>
      </c>
      <c r="Y258" s="65" t="str">
        <f t="shared" si="6"/>
        <v>POLO 60PD-ON-OFF</v>
      </c>
    </row>
    <row r="259">
      <c r="A259" s="18" t="s">
        <v>716</v>
      </c>
      <c r="B259" s="15" t="s">
        <v>758</v>
      </c>
      <c r="C259" s="15" t="s">
        <v>758</v>
      </c>
      <c r="D259" s="48" t="s">
        <v>217</v>
      </c>
      <c r="E259" s="75">
        <f>E256+240</f>
        <v>2180</v>
      </c>
      <c r="F259" s="75">
        <f>F256+$X$1</f>
        <v>2320</v>
      </c>
      <c r="G259" s="50">
        <f t="shared" si="41"/>
        <v>0.06422018349</v>
      </c>
      <c r="H259" s="28"/>
      <c r="I259" s="55">
        <f t="shared" si="2"/>
        <v>2336.043074</v>
      </c>
      <c r="J259" s="81"/>
      <c r="K259" s="60">
        <f>IFERROR(__xludf.DUMMYFUNCTION("IFERROR(VLOOKUP(C259,IMPORTRANGE(""https://docs.google.com/spreadsheets/d/1HZUHB8NvANAZR0sHDmHYVAm2WE9kNv0pGIQA48Ryim8/edit?gid=1285727875#gid=1285727875"",""Sheet1!A2:G""),7,0))"),568.32)</f>
        <v>568.32</v>
      </c>
      <c r="L259" s="62">
        <f t="shared" si="42"/>
        <v>3.835867117</v>
      </c>
      <c r="M259" s="60">
        <f>IFERROR(__xludf.DUMMYFUNCTION("IFERROR(VLOOKUP(C259,IMPORTRANGE(""https://docs.google.com/spreadsheets/d/1HZUHB8NvANAZR0sHDmHYVAm2WE9kNv0pGIQA48Ryim8/edit?gid=1285727875#gid=1285727875"",""Cost!A2:G""),7,0))"),609.0)</f>
        <v>609</v>
      </c>
      <c r="N259" s="62">
        <f t="shared" si="4"/>
        <v>3.80952381</v>
      </c>
      <c r="O259" s="62"/>
      <c r="P259" s="28"/>
      <c r="Q259" s="28"/>
      <c r="R259" s="28"/>
      <c r="S259" s="28"/>
      <c r="T259" s="28"/>
      <c r="U259" s="65"/>
      <c r="V259" s="28"/>
      <c r="W259" s="65"/>
      <c r="X259" s="66" t="s">
        <v>375</v>
      </c>
      <c r="Y259" s="65" t="str">
        <f t="shared" si="6"/>
        <v>POLO 60DB-ON-OFF</v>
      </c>
    </row>
    <row r="260">
      <c r="A260" s="18" t="s">
        <v>716</v>
      </c>
      <c r="B260" s="15"/>
      <c r="C260" s="15" t="s">
        <v>761</v>
      </c>
      <c r="D260" s="18" t="s">
        <v>220</v>
      </c>
      <c r="E260" s="97" t="s">
        <v>377</v>
      </c>
      <c r="F260" s="75">
        <f>SUM(F261:F262)</f>
        <v>7570</v>
      </c>
      <c r="G260" s="50"/>
      <c r="H260" s="28"/>
      <c r="I260" s="55">
        <f t="shared" si="2"/>
        <v>0</v>
      </c>
      <c r="J260" s="81"/>
      <c r="K260" s="60"/>
      <c r="L260" s="62"/>
      <c r="M260" s="60">
        <f>SUM(M261:M262)</f>
        <v>2340.62</v>
      </c>
      <c r="N260" s="62">
        <f t="shared" si="4"/>
        <v>3.234185814</v>
      </c>
      <c r="O260" s="62"/>
      <c r="P260" s="28"/>
      <c r="Q260" s="28"/>
      <c r="R260" s="28"/>
      <c r="S260" s="28"/>
      <c r="T260" s="28"/>
      <c r="U260" s="65"/>
      <c r="V260" s="28"/>
      <c r="W260" s="65"/>
      <c r="X260" s="66" t="s">
        <v>380</v>
      </c>
      <c r="Y260" s="65" t="str">
        <f t="shared" si="6"/>
        <v>POLO 6092-P</v>
      </c>
    </row>
    <row r="261">
      <c r="A261" s="18" t="s">
        <v>716</v>
      </c>
      <c r="B261" s="15"/>
      <c r="C261" s="15" t="s">
        <v>381</v>
      </c>
      <c r="D261" s="18" t="s">
        <v>382</v>
      </c>
      <c r="E261" s="97" t="s">
        <v>377</v>
      </c>
      <c r="F261" s="39">
        <f>F255-$Y$1</f>
        <v>4990</v>
      </c>
      <c r="G261" s="50"/>
      <c r="H261" s="28"/>
      <c r="I261" s="55">
        <f t="shared" si="2"/>
        <v>0</v>
      </c>
      <c r="J261" s="81"/>
      <c r="K261" s="60"/>
      <c r="L261" s="62"/>
      <c r="M261" s="60">
        <f>IFERROR(__xludf.DUMMYFUNCTION("IFERROR(VLOOKUP(C261,IMPORTRANGE(""https://docs.google.com/spreadsheets/d/1HZUHB8NvANAZR0sHDmHYVAm2WE9kNv0pGIQA48Ryim8/edit?gid=1285727875#gid=1285727875"",""Diverter &amp; Upper!A2:B""),2,0))"),1585.45)</f>
        <v>1585.45</v>
      </c>
      <c r="N261" s="62">
        <f t="shared" si="4"/>
        <v>3.147371409</v>
      </c>
      <c r="O261" s="62"/>
      <c r="P261" s="28"/>
      <c r="Q261" s="28"/>
      <c r="R261" s="28"/>
      <c r="S261" s="28"/>
      <c r="T261" s="28"/>
      <c r="U261" s="65"/>
      <c r="V261" s="28"/>
      <c r="W261" s="65"/>
      <c r="X261" s="66" t="s">
        <v>381</v>
      </c>
      <c r="Y261" s="65" t="str">
        <f t="shared" si="6"/>
        <v>POLO 60PD-46-H-P</v>
      </c>
    </row>
    <row r="262">
      <c r="A262" s="18" t="s">
        <v>716</v>
      </c>
      <c r="B262" s="15"/>
      <c r="C262" s="15" t="s">
        <v>766</v>
      </c>
      <c r="D262" s="18" t="s">
        <v>386</v>
      </c>
      <c r="E262" s="97" t="s">
        <v>377</v>
      </c>
      <c r="F262" s="39">
        <f>F256+$Y$1</f>
        <v>2580</v>
      </c>
      <c r="G262" s="50"/>
      <c r="H262" s="28"/>
      <c r="I262" s="55">
        <f t="shared" si="2"/>
        <v>0</v>
      </c>
      <c r="J262" s="81"/>
      <c r="K262" s="60"/>
      <c r="L262" s="62"/>
      <c r="M262" s="60">
        <f>IFERROR(__xludf.DUMMYFUNCTION("IFERROR(VLOOKUP(C262,IMPORTRANGE(""https://docs.google.com/spreadsheets/d/1HZUHB8NvANAZR0sHDmHYVAm2WE9kNv0pGIQA48Ryim8/edit?gid=1285727875#gid=1285727875"",""Diverter &amp; Upper!A2:B""),2,0))"),755.17)</f>
        <v>755.17</v>
      </c>
      <c r="N262" s="62">
        <f t="shared" si="4"/>
        <v>3.416449276</v>
      </c>
      <c r="O262" s="62"/>
      <c r="P262" s="28"/>
      <c r="Q262" s="28"/>
      <c r="R262" s="28"/>
      <c r="S262" s="28"/>
      <c r="T262" s="28"/>
      <c r="U262" s="65"/>
      <c r="V262" s="28"/>
      <c r="W262" s="65"/>
      <c r="X262" s="66" t="s">
        <v>387</v>
      </c>
      <c r="Y262" s="65" t="str">
        <f t="shared" si="6"/>
        <v>POLO 60DB-P</v>
      </c>
    </row>
    <row r="263">
      <c r="A263" s="18" t="s">
        <v>716</v>
      </c>
      <c r="B263" s="15"/>
      <c r="C263" s="15" t="s">
        <v>768</v>
      </c>
      <c r="D263" s="18" t="s">
        <v>229</v>
      </c>
      <c r="E263" s="97" t="s">
        <v>377</v>
      </c>
      <c r="F263" s="75">
        <f>SUM(F264:F265)</f>
        <v>7570</v>
      </c>
      <c r="G263" s="50"/>
      <c r="H263" s="28"/>
      <c r="I263" s="55">
        <f t="shared" si="2"/>
        <v>0</v>
      </c>
      <c r="J263" s="81"/>
      <c r="K263" s="60"/>
      <c r="L263" s="62"/>
      <c r="M263" s="60">
        <f>SUM(M264:M265)</f>
        <v>2123.75</v>
      </c>
      <c r="N263" s="62">
        <f t="shared" si="4"/>
        <v>3.564449676</v>
      </c>
      <c r="O263" s="62"/>
      <c r="P263" s="28"/>
      <c r="Q263" s="28"/>
      <c r="R263" s="28"/>
      <c r="S263" s="28"/>
      <c r="T263" s="28"/>
      <c r="U263" s="65"/>
      <c r="V263" s="28"/>
      <c r="W263" s="65"/>
      <c r="X263" s="66" t="s">
        <v>391</v>
      </c>
      <c r="Y263" s="65" t="str">
        <f t="shared" si="6"/>
        <v>POLO 6092-ON-OFF-P</v>
      </c>
    </row>
    <row r="264">
      <c r="A264" s="18" t="s">
        <v>716</v>
      </c>
      <c r="B264" s="15"/>
      <c r="C264" s="15" t="s">
        <v>392</v>
      </c>
      <c r="D264" s="18" t="s">
        <v>393</v>
      </c>
      <c r="E264" s="97" t="s">
        <v>377</v>
      </c>
      <c r="F264" s="39">
        <f>F261-$X$1</f>
        <v>4750</v>
      </c>
      <c r="G264" s="50"/>
      <c r="H264" s="28"/>
      <c r="I264" s="55">
        <f t="shared" si="2"/>
        <v>0</v>
      </c>
      <c r="J264" s="81"/>
      <c r="K264" s="60"/>
      <c r="L264" s="62"/>
      <c r="M264" s="60">
        <f>IFERROR(__xludf.DUMMYFUNCTION("IFERROR(VLOOKUP(C264,IMPORTRANGE(""https://docs.google.com/spreadsheets/d/1HZUHB8NvANAZR0sHDmHYVAm2WE9kNv0pGIQA48Ryim8/edit?gid=1285727875#gid=1285727875"",""Diverter &amp; Upper!A2:B""),2,0))"),1357.68)</f>
        <v>1357.68</v>
      </c>
      <c r="N264" s="62">
        <f t="shared" si="4"/>
        <v>3.498615285</v>
      </c>
      <c r="O264" s="62"/>
      <c r="P264" s="28"/>
      <c r="Q264" s="28"/>
      <c r="R264" s="28"/>
      <c r="S264" s="28"/>
      <c r="T264" s="28"/>
      <c r="U264" s="65"/>
      <c r="V264" s="28"/>
      <c r="W264" s="65"/>
      <c r="X264" s="66" t="s">
        <v>396</v>
      </c>
      <c r="Y264" s="65" t="str">
        <f t="shared" si="6"/>
        <v>POLO 60PD-ON-OFF-P</v>
      </c>
    </row>
    <row r="265">
      <c r="A265" s="18" t="s">
        <v>716</v>
      </c>
      <c r="B265" s="15"/>
      <c r="C265" s="15" t="s">
        <v>770</v>
      </c>
      <c r="D265" s="18" t="s">
        <v>386</v>
      </c>
      <c r="E265" s="97" t="s">
        <v>377</v>
      </c>
      <c r="F265" s="39">
        <f>F262+$X$1</f>
        <v>2820</v>
      </c>
      <c r="G265" s="50"/>
      <c r="H265" s="28"/>
      <c r="I265" s="55">
        <f t="shared" si="2"/>
        <v>0</v>
      </c>
      <c r="J265" s="81"/>
      <c r="K265" s="60"/>
      <c r="L265" s="62"/>
      <c r="M265" s="60">
        <f>IFERROR(__xludf.DUMMYFUNCTION("IFERROR(VLOOKUP(C265,IMPORTRANGE(""https://docs.google.com/spreadsheets/d/1HZUHB8NvANAZR0sHDmHYVAm2WE9kNv0pGIQA48Ryim8/edit?gid=1285727875#gid=1285727875"",""Diverter &amp; Upper!A2:B""),2,0))"),766.07)</f>
        <v>766.07</v>
      </c>
      <c r="N265" s="62">
        <f t="shared" si="4"/>
        <v>3.681125746</v>
      </c>
      <c r="O265" s="62"/>
      <c r="P265" s="28"/>
      <c r="Q265" s="28"/>
      <c r="R265" s="28"/>
      <c r="S265" s="28"/>
      <c r="T265" s="28"/>
      <c r="U265" s="65"/>
      <c r="V265" s="28"/>
      <c r="W265" s="65"/>
      <c r="X265" s="66" t="s">
        <v>400</v>
      </c>
      <c r="Y265" s="65" t="str">
        <f t="shared" si="6"/>
        <v>POLO 60DB-ON-OFF-P</v>
      </c>
    </row>
    <row r="266">
      <c r="A266" s="18" t="s">
        <v>716</v>
      </c>
      <c r="B266" s="15" t="s">
        <v>771</v>
      </c>
      <c r="C266" s="15" t="s">
        <v>771</v>
      </c>
      <c r="D266" s="48" t="s">
        <v>241</v>
      </c>
      <c r="E266" s="75">
        <f t="shared" ref="E266:F266" si="49">SUM(E267:E268)</f>
        <v>6920</v>
      </c>
      <c r="F266" s="75">
        <f t="shared" si="49"/>
        <v>7570</v>
      </c>
      <c r="G266" s="50">
        <f t="shared" ref="G266:G306" si="50">IFERROR((F266-E266)/E266,"")</f>
        <v>0.09393063584</v>
      </c>
      <c r="H266" s="28"/>
      <c r="I266" s="55">
        <f t="shared" si="2"/>
        <v>7477.351817</v>
      </c>
      <c r="J266" s="81"/>
      <c r="K266" s="60">
        <f>IFERROR(__xludf.DUMMYFUNCTION("IFERROR(VLOOKUP(C266,IMPORTRANGE(""https://docs.google.com/spreadsheets/d/1HZUHB8NvANAZR0sHDmHYVAm2WE9kNv0pGIQA48Ryim8/edit?gid=1285727875#gid=1285727875"",""Sheet1!A2:G""),7,0))"),2106.35)</f>
        <v>2106.35</v>
      </c>
      <c r="L266" s="62">
        <f t="shared" ref="L266:L306" si="51">IFERROR(E266/$K266,"")</f>
        <v>3.285303962</v>
      </c>
      <c r="M266" s="60">
        <f>IFERROR(__xludf.DUMMYFUNCTION("IFERROR(VLOOKUP(C266,IMPORTRANGE(""https://docs.google.com/spreadsheets/d/1HZUHB8NvANAZR0sHDmHYVAm2WE9kNv0pGIQA48Ryim8/edit?gid=1285727875#gid=1285727875"",""Cost!A2:G""),7,0))"),2276.0)</f>
        <v>2276</v>
      </c>
      <c r="N266" s="62">
        <f t="shared" si="4"/>
        <v>3.326010545</v>
      </c>
      <c r="O266" s="62"/>
      <c r="P266" s="28"/>
      <c r="Q266" s="28"/>
      <c r="R266" s="28"/>
      <c r="S266" s="28"/>
      <c r="T266" s="28"/>
      <c r="U266" s="65"/>
      <c r="V266" s="28"/>
      <c r="W266" s="65"/>
      <c r="X266" s="66" t="s">
        <v>239</v>
      </c>
      <c r="Y266" s="65" t="str">
        <f t="shared" si="6"/>
        <v>POLO 6093</v>
      </c>
    </row>
    <row r="267">
      <c r="A267" s="18" t="s">
        <v>716</v>
      </c>
      <c r="B267" s="15" t="s">
        <v>243</v>
      </c>
      <c r="C267" s="15" t="s">
        <v>243</v>
      </c>
      <c r="D267" s="48" t="s">
        <v>244</v>
      </c>
      <c r="E267" s="39">
        <v>4980.0</v>
      </c>
      <c r="F267" s="39">
        <v>5490.0</v>
      </c>
      <c r="G267" s="50">
        <f t="shared" si="50"/>
        <v>0.1024096386</v>
      </c>
      <c r="H267" s="28"/>
      <c r="I267" s="55">
        <f t="shared" si="2"/>
        <v>5395.785272</v>
      </c>
      <c r="J267" s="81"/>
      <c r="K267" s="60">
        <f>IFERROR(__xludf.DUMMYFUNCTION("IFERROR(VLOOKUP(C267,IMPORTRANGE(""https://docs.google.com/spreadsheets/d/1HZUHB8NvANAZR0sHDmHYVAm2WE9kNv0pGIQA48Ryim8/edit?gid=1285727875#gid=1285727875"",""Sheet1!A2:G""),7,0))"),1543.16)</f>
        <v>1543.16</v>
      </c>
      <c r="L267" s="62">
        <f t="shared" si="51"/>
        <v>3.227144301</v>
      </c>
      <c r="M267" s="60">
        <f>IFERROR(__xludf.DUMMYFUNCTION("IFERROR(VLOOKUP(C267,IMPORTRANGE(""https://docs.google.com/spreadsheets/d/1HZUHB8NvANAZR0sHDmHYVAm2WE9kNv0pGIQA48Ryim8/edit?gid=1285727875#gid=1285727875"",""Cost!A2:G""),7,0))"),1672.0)</f>
        <v>1672</v>
      </c>
      <c r="N267" s="62">
        <f t="shared" si="4"/>
        <v>3.283492823</v>
      </c>
      <c r="O267" s="62"/>
      <c r="P267" s="28"/>
      <c r="Q267" s="28"/>
      <c r="R267" s="28"/>
      <c r="S267" s="28"/>
      <c r="T267" s="28"/>
      <c r="U267" s="65"/>
      <c r="V267" s="28"/>
      <c r="W267" s="65"/>
      <c r="X267" s="66" t="s">
        <v>243</v>
      </c>
      <c r="Y267" s="65" t="str">
        <f t="shared" si="6"/>
        <v>POLO 60PD-3 IN-N</v>
      </c>
    </row>
    <row r="268">
      <c r="A268" s="18" t="s">
        <v>716</v>
      </c>
      <c r="B268" s="15" t="s">
        <v>776</v>
      </c>
      <c r="C268" s="15" t="s">
        <v>776</v>
      </c>
      <c r="D268" s="48" t="s">
        <v>217</v>
      </c>
      <c r="E268" s="39">
        <v>1940.0</v>
      </c>
      <c r="F268" s="39">
        <f>F253</f>
        <v>2080</v>
      </c>
      <c r="G268" s="50">
        <f t="shared" si="50"/>
        <v>0.07216494845</v>
      </c>
      <c r="H268" s="28"/>
      <c r="I268" s="55">
        <f t="shared" si="2"/>
        <v>2075.815705</v>
      </c>
      <c r="J268" s="81"/>
      <c r="K268" s="60">
        <f>IFERROR(__xludf.DUMMYFUNCTION("IFERROR(VLOOKUP(C268,IMPORTRANGE(""https://docs.google.com/spreadsheets/d/1HZUHB8NvANAZR0sHDmHYVAm2WE9kNv0pGIQA48Ryim8/edit?gid=1285727875#gid=1285727875"",""Sheet1!A2:G""),7,0))"),568.22)</f>
        <v>568.22</v>
      </c>
      <c r="L268" s="62">
        <f t="shared" si="51"/>
        <v>3.414170568</v>
      </c>
      <c r="M268" s="60">
        <f>IFERROR(__xludf.DUMMYFUNCTION("IFERROR(VLOOKUP(C268,IMPORTRANGE(""https://docs.google.com/spreadsheets/d/1HZUHB8NvANAZR0sHDmHYVAm2WE9kNv0pGIQA48Ryim8/edit?gid=1285727875#gid=1285727875"",""Cost!A2:G""),7,0))"),608.0)</f>
        <v>608</v>
      </c>
      <c r="N268" s="62">
        <f t="shared" si="4"/>
        <v>3.421052632</v>
      </c>
      <c r="O268" s="62"/>
      <c r="P268" s="28"/>
      <c r="Q268" s="28"/>
      <c r="R268" s="28"/>
      <c r="S268" s="28"/>
      <c r="T268" s="28"/>
      <c r="U268" s="65"/>
      <c r="V268" s="28"/>
      <c r="W268" s="65"/>
      <c r="X268" s="66" t="s">
        <v>358</v>
      </c>
      <c r="Y268" s="65" t="str">
        <f t="shared" si="6"/>
        <v>POLO 60DB</v>
      </c>
    </row>
    <row r="269">
      <c r="A269" s="18" t="s">
        <v>716</v>
      </c>
      <c r="B269" s="15" t="s">
        <v>777</v>
      </c>
      <c r="C269" s="15" t="s">
        <v>777</v>
      </c>
      <c r="D269" s="48" t="s">
        <v>250</v>
      </c>
      <c r="E269" s="75">
        <f t="shared" ref="E269:F269" si="52">SUM(E270:E271)</f>
        <v>6920</v>
      </c>
      <c r="F269" s="75">
        <f t="shared" si="52"/>
        <v>7570</v>
      </c>
      <c r="G269" s="50">
        <f t="shared" si="50"/>
        <v>0.09393063584</v>
      </c>
      <c r="H269" s="28"/>
      <c r="I269" s="55">
        <f t="shared" si="2"/>
        <v>7566.719583</v>
      </c>
      <c r="J269" s="81"/>
      <c r="K269" s="60">
        <f>IFERROR(__xludf.DUMMYFUNCTION("IFERROR(VLOOKUP(C269,IMPORTRANGE(""https://docs.google.com/spreadsheets/d/1HZUHB8NvANAZR0sHDmHYVAm2WE9kNv0pGIQA48Ryim8/edit?gid=1285727875#gid=1285727875"",""Sheet1!A2:G""),7,0))"),2135.43)</f>
        <v>2135.43</v>
      </c>
      <c r="L269" s="62">
        <f t="shared" si="51"/>
        <v>3.240565132</v>
      </c>
      <c r="M269" s="60">
        <f>IFERROR(__xludf.DUMMYFUNCTION("IFERROR(VLOOKUP(C269,IMPORTRANGE(""https://docs.google.com/spreadsheets/d/1HZUHB8NvANAZR0sHDmHYVAm2WE9kNv0pGIQA48Ryim8/edit?gid=1285727875#gid=1285727875"",""Cost!A2:G""),7,0))"),2335.0)</f>
        <v>2335</v>
      </c>
      <c r="N269" s="62">
        <f t="shared" si="4"/>
        <v>3.241970021</v>
      </c>
      <c r="O269" s="62"/>
      <c r="P269" s="28"/>
      <c r="Q269" s="28"/>
      <c r="R269" s="28"/>
      <c r="S269" s="28"/>
      <c r="T269" s="28"/>
      <c r="U269" s="65"/>
      <c r="V269" s="28"/>
      <c r="W269" s="65"/>
      <c r="X269" s="66" t="s">
        <v>410</v>
      </c>
      <c r="Y269" s="65" t="str">
        <f t="shared" si="6"/>
        <v>POLO 6093-ON-OFF</v>
      </c>
    </row>
    <row r="270">
      <c r="A270" s="18" t="s">
        <v>716</v>
      </c>
      <c r="B270" s="15" t="s">
        <v>253</v>
      </c>
      <c r="C270" s="15" t="s">
        <v>253</v>
      </c>
      <c r="D270" s="48" t="s">
        <v>256</v>
      </c>
      <c r="E270" s="39">
        <f>E267-240</f>
        <v>4740</v>
      </c>
      <c r="F270" s="39">
        <f>F267-$X$1</f>
        <v>5250</v>
      </c>
      <c r="G270" s="50">
        <f t="shared" si="50"/>
        <v>0.1075949367</v>
      </c>
      <c r="H270" s="28"/>
      <c r="I270" s="55">
        <f t="shared" si="2"/>
        <v>5217.019108</v>
      </c>
      <c r="J270" s="81"/>
      <c r="K270" s="60">
        <f>IFERROR(__xludf.DUMMYFUNCTION("IFERROR(VLOOKUP(C270,IMPORTRANGE(""https://docs.google.com/spreadsheets/d/1HZUHB8NvANAZR0sHDmHYVAm2WE9kNv0pGIQA48Ryim8/edit?gid=1285727875#gid=1285727875"",""Sheet1!A2:G""),7,0))"),1570.0)</f>
        <v>1570</v>
      </c>
      <c r="L270" s="62">
        <f t="shared" si="51"/>
        <v>3.01910828</v>
      </c>
      <c r="M270" s="60">
        <f>IFERROR(__xludf.DUMMYFUNCTION("IFERROR(VLOOKUP(C270,IMPORTRANGE(""https://docs.google.com/spreadsheets/d/1HZUHB8NvANAZR0sHDmHYVAm2WE9kNv0pGIQA48Ryim8/edit?gid=1285727875#gid=1285727875"",""Cost!A2:G""),7,0))"),1728.0)</f>
        <v>1728</v>
      </c>
      <c r="N270" s="62">
        <f t="shared" si="4"/>
        <v>3.038194444</v>
      </c>
      <c r="O270" s="62"/>
      <c r="P270" s="28"/>
      <c r="Q270" s="28"/>
      <c r="R270" s="28"/>
      <c r="S270" s="28"/>
      <c r="T270" s="28"/>
      <c r="U270" s="65"/>
      <c r="V270" s="28"/>
      <c r="W270" s="65"/>
      <c r="X270" s="66" t="s">
        <v>371</v>
      </c>
      <c r="Y270" s="65" t="str">
        <f t="shared" si="6"/>
        <v>POLO 60PD-ON-OFF</v>
      </c>
    </row>
    <row r="271">
      <c r="A271" s="18" t="s">
        <v>716</v>
      </c>
      <c r="B271" s="15" t="s">
        <v>782</v>
      </c>
      <c r="C271" s="15" t="s">
        <v>782</v>
      </c>
      <c r="D271" s="48" t="s">
        <v>217</v>
      </c>
      <c r="E271" s="75">
        <f>E268+240</f>
        <v>2180</v>
      </c>
      <c r="F271" s="75">
        <f>F268+$X$1</f>
        <v>2320</v>
      </c>
      <c r="G271" s="50">
        <f t="shared" si="50"/>
        <v>0.06422018349</v>
      </c>
      <c r="H271" s="28"/>
      <c r="I271" s="55">
        <f t="shared" si="2"/>
        <v>2332.617648</v>
      </c>
      <c r="J271" s="81"/>
      <c r="K271" s="60">
        <f>IFERROR(__xludf.DUMMYFUNCTION("IFERROR(VLOOKUP(C271,IMPORTRANGE(""https://docs.google.com/spreadsheets/d/1HZUHB8NvANAZR0sHDmHYVAm2WE9kNv0pGIQA48Ryim8/edit?gid=1285727875#gid=1285727875"",""Sheet1!A2:G""),7,0))"),568.22)</f>
        <v>568.22</v>
      </c>
      <c r="L271" s="62">
        <f t="shared" si="51"/>
        <v>3.836542184</v>
      </c>
      <c r="M271" s="60">
        <f>IFERROR(__xludf.DUMMYFUNCTION("IFERROR(VLOOKUP(C271,IMPORTRANGE(""https://docs.google.com/spreadsheets/d/1HZUHB8NvANAZR0sHDmHYVAm2WE9kNv0pGIQA48Ryim8/edit?gid=1285727875#gid=1285727875"",""Cost!A2:G""),7,0))"),608.0)</f>
        <v>608</v>
      </c>
      <c r="N271" s="62">
        <f t="shared" si="4"/>
        <v>3.815789474</v>
      </c>
      <c r="O271" s="62"/>
      <c r="P271" s="28"/>
      <c r="Q271" s="28"/>
      <c r="R271" s="28"/>
      <c r="S271" s="28"/>
      <c r="T271" s="28"/>
      <c r="U271" s="65"/>
      <c r="V271" s="28"/>
      <c r="W271" s="65"/>
      <c r="X271" s="66" t="s">
        <v>375</v>
      </c>
      <c r="Y271" s="65" t="str">
        <f t="shared" si="6"/>
        <v>POLO 60DB-ON-OFF</v>
      </c>
    </row>
    <row r="272">
      <c r="A272" s="18" t="s">
        <v>716</v>
      </c>
      <c r="B272" s="15">
        <v>6095.0</v>
      </c>
      <c r="C272" s="15">
        <v>6095.0</v>
      </c>
      <c r="D272" s="48" t="s">
        <v>265</v>
      </c>
      <c r="E272" s="39">
        <v>1590.0</v>
      </c>
      <c r="F272" s="39">
        <v>1760.0</v>
      </c>
      <c r="G272" s="50">
        <f t="shared" si="50"/>
        <v>0.106918239</v>
      </c>
      <c r="H272" s="28"/>
      <c r="I272" s="55">
        <f t="shared" si="2"/>
        <v>1759.531795</v>
      </c>
      <c r="J272" s="81"/>
      <c r="K272" s="60">
        <f>IFERROR(__xludf.DUMMYFUNCTION("IFERROR(VLOOKUP(C272,IMPORTRANGE(""https://docs.google.com/spreadsheets/d/1HZUHB8NvANAZR0sHDmHYVAm2WE9kNv0pGIQA48Ryim8/edit?gid=1285727875#gid=1285727875"",""Sheet1!A2:G""),7,0))"),438.27)</f>
        <v>438.27</v>
      </c>
      <c r="L272" s="62">
        <f t="shared" si="51"/>
        <v>3.627900609</v>
      </c>
      <c r="M272" s="60">
        <f>IFERROR(__xludf.DUMMYFUNCTION("IFERROR(VLOOKUP(C272,IMPORTRANGE(""https://docs.google.com/spreadsheets/d/1HZUHB8NvANAZR0sHDmHYVAm2WE9kNv0pGIQA48Ryim8/edit?gid=1285727875#gid=1285727875"",""Cost!A2:G""),7,0))"),485.0)</f>
        <v>485</v>
      </c>
      <c r="N272" s="62">
        <f t="shared" si="4"/>
        <v>3.628865979</v>
      </c>
      <c r="O272" s="62"/>
      <c r="P272" s="28"/>
      <c r="Q272" s="28"/>
      <c r="R272" s="28"/>
      <c r="S272" s="28"/>
      <c r="T272" s="28"/>
      <c r="U272" s="65"/>
      <c r="V272" s="28"/>
      <c r="W272" s="65"/>
      <c r="X272" s="66" t="s">
        <v>264</v>
      </c>
      <c r="Y272" s="65" t="str">
        <f t="shared" si="6"/>
        <v>POLO 6095</v>
      </c>
    </row>
    <row r="273">
      <c r="A273" s="18" t="s">
        <v>716</v>
      </c>
      <c r="B273" s="15">
        <v>6096.0</v>
      </c>
      <c r="C273" s="15">
        <v>6096.0</v>
      </c>
      <c r="D273" s="48" t="s">
        <v>268</v>
      </c>
      <c r="E273" s="39">
        <v>2240.0</v>
      </c>
      <c r="F273" s="39">
        <v>2480.0</v>
      </c>
      <c r="G273" s="50">
        <f t="shared" si="50"/>
        <v>0.1071428571</v>
      </c>
      <c r="H273" s="28"/>
      <c r="I273" s="55">
        <f t="shared" si="2"/>
        <v>2473.525627</v>
      </c>
      <c r="J273" s="81"/>
      <c r="K273" s="60">
        <f>IFERROR(__xludf.DUMMYFUNCTION("IFERROR(VLOOKUP(C273,IMPORTRANGE(""https://docs.google.com/spreadsheets/d/1HZUHB8NvANAZR0sHDmHYVAm2WE9kNv0pGIQA48Ryim8/edit?gid=1285727875#gid=1285727875"",""Sheet1!A2:G""),7,0))"),613.99)</f>
        <v>613.99</v>
      </c>
      <c r="L273" s="62">
        <f t="shared" si="51"/>
        <v>3.648267887</v>
      </c>
      <c r="M273" s="60">
        <f>IFERROR(__xludf.DUMMYFUNCTION("IFERROR(VLOOKUP(C273,IMPORTRANGE(""https://docs.google.com/spreadsheets/d/1HZUHB8NvANAZR0sHDmHYVAm2WE9kNv0pGIQA48Ryim8/edit?gid=1285727875#gid=1285727875"",""Cost!A2:G""),7,0))"),678.0)</f>
        <v>678</v>
      </c>
      <c r="N273" s="62">
        <f t="shared" si="4"/>
        <v>3.657817109</v>
      </c>
      <c r="O273" s="62"/>
      <c r="P273" s="28"/>
      <c r="Q273" s="28"/>
      <c r="R273" s="28"/>
      <c r="S273" s="28"/>
      <c r="T273" s="28"/>
      <c r="U273" s="65"/>
      <c r="V273" s="28"/>
      <c r="W273" s="65"/>
      <c r="X273" s="66" t="s">
        <v>267</v>
      </c>
      <c r="Y273" s="65" t="str">
        <f t="shared" si="6"/>
        <v>POLO 6096</v>
      </c>
    </row>
    <row r="274">
      <c r="A274" s="18" t="s">
        <v>716</v>
      </c>
      <c r="B274" s="15">
        <v>6098.0</v>
      </c>
      <c r="C274" s="15">
        <v>6098.0</v>
      </c>
      <c r="D274" s="48" t="s">
        <v>272</v>
      </c>
      <c r="E274" s="75">
        <v>2350.0</v>
      </c>
      <c r="F274" s="39">
        <v>2640.0</v>
      </c>
      <c r="G274" s="50">
        <f t="shared" si="50"/>
        <v>0.1234042553</v>
      </c>
      <c r="H274" s="28"/>
      <c r="I274" s="55">
        <f t="shared" si="2"/>
        <v>2635.953579</v>
      </c>
      <c r="J274" s="81"/>
      <c r="K274" s="60">
        <f>IFERROR(__xludf.DUMMYFUNCTION("IFERROR(VLOOKUP(C274,IMPORTRANGE(""https://docs.google.com/spreadsheets/d/1HZUHB8NvANAZR0sHDmHYVAm2WE9kNv0pGIQA48Ryim8/edit?gid=1285727875#gid=1285727875"",""Sheet1!A2:G""),7,0))"),669.53)</f>
        <v>669.53</v>
      </c>
      <c r="L274" s="62">
        <f t="shared" si="51"/>
        <v>3.509924873</v>
      </c>
      <c r="M274" s="60">
        <f>IFERROR(__xludf.DUMMYFUNCTION("IFERROR(VLOOKUP(C274,IMPORTRANGE(""https://docs.google.com/spreadsheets/d/1HZUHB8NvANAZR0sHDmHYVAm2WE9kNv0pGIQA48Ryim8/edit?gid=1285727875#gid=1285727875"",""Cost!A2:G""),7,0))"),751.0)</f>
        <v>751</v>
      </c>
      <c r="N274" s="62">
        <f t="shared" si="4"/>
        <v>3.515312916</v>
      </c>
      <c r="O274" s="62"/>
      <c r="P274" s="28"/>
      <c r="Q274" s="28"/>
      <c r="R274" s="28"/>
      <c r="S274" s="28"/>
      <c r="T274" s="28"/>
      <c r="U274" s="65"/>
      <c r="V274" s="28"/>
      <c r="W274" s="65"/>
      <c r="X274" s="66" t="s">
        <v>271</v>
      </c>
      <c r="Y274" s="65" t="str">
        <f t="shared" si="6"/>
        <v>POLO 6098</v>
      </c>
    </row>
    <row r="275">
      <c r="A275" s="18" t="s">
        <v>787</v>
      </c>
      <c r="B275" s="15">
        <v>6202.0</v>
      </c>
      <c r="C275" s="15">
        <v>6202.0</v>
      </c>
      <c r="D275" s="48" t="s">
        <v>15</v>
      </c>
      <c r="E275" s="75">
        <v>1770.0</v>
      </c>
      <c r="F275" s="39">
        <v>1880.0</v>
      </c>
      <c r="G275" s="50">
        <f t="shared" si="50"/>
        <v>0.06214689266</v>
      </c>
      <c r="H275" s="28"/>
      <c r="I275" s="55">
        <f t="shared" si="2"/>
        <v>1907.981615</v>
      </c>
      <c r="J275" s="81"/>
      <c r="K275" s="60">
        <f>IFERROR(__xludf.DUMMYFUNCTION("IFERROR(VLOOKUP(C275,IMPORTRANGE(""https://docs.google.com/spreadsheets/d/1HZUHB8NvANAZR0sHDmHYVAm2WE9kNv0pGIQA48Ryim8/edit?gid=1285727875#gid=1285727875"",""Sheet1!A2:G""),7,0))"),548.26)</f>
        <v>548.26</v>
      </c>
      <c r="L275" s="62">
        <f t="shared" si="51"/>
        <v>3.228395287</v>
      </c>
      <c r="M275" s="60">
        <f>IFERROR(__xludf.DUMMYFUNCTION("IFERROR(VLOOKUP(C275,IMPORTRANGE(""https://docs.google.com/spreadsheets/d/1HZUHB8NvANAZR0sHDmHYVAm2WE9kNv0pGIQA48Ryim8/edit?gid=1285727875#gid=1285727875"",""Cost!A2:G""),7,0))"),591.0)</f>
        <v>591</v>
      </c>
      <c r="N275" s="62">
        <f t="shared" si="4"/>
        <v>3.181049069</v>
      </c>
      <c r="O275" s="28"/>
      <c r="P275" s="28"/>
      <c r="Q275" s="28"/>
      <c r="R275" s="28"/>
      <c r="S275" s="28"/>
      <c r="T275" s="28"/>
      <c r="U275" s="65"/>
      <c r="V275" s="28"/>
      <c r="W275" s="65"/>
      <c r="X275" s="66" t="s">
        <v>303</v>
      </c>
      <c r="Y275" s="65" t="str">
        <f t="shared" si="6"/>
        <v>BLAZE 6202</v>
      </c>
    </row>
    <row r="276">
      <c r="A276" s="18" t="s">
        <v>787</v>
      </c>
      <c r="B276" s="15">
        <v>6204.0</v>
      </c>
      <c r="C276" s="15">
        <v>6204.0</v>
      </c>
      <c r="D276" s="48" t="s">
        <v>46</v>
      </c>
      <c r="E276" s="75">
        <v>2420.0</v>
      </c>
      <c r="F276" s="39">
        <v>2580.0</v>
      </c>
      <c r="G276" s="50">
        <f t="shared" si="50"/>
        <v>0.06611570248</v>
      </c>
      <c r="H276" s="28"/>
      <c r="I276" s="55">
        <f t="shared" si="2"/>
        <v>2645.946358</v>
      </c>
      <c r="J276" s="81"/>
      <c r="K276" s="60">
        <f>IFERROR(__xludf.DUMMYFUNCTION("IFERROR(VLOOKUP(C276,IMPORTRANGE(""https://docs.google.com/spreadsheets/d/1HZUHB8NvANAZR0sHDmHYVAm2WE9kNv0pGIQA48Ryim8/edit?gid=1285727875#gid=1285727875"",""Sheet1!A2:G""),7,0))"),720.71)</f>
        <v>720.71</v>
      </c>
      <c r="L276" s="62">
        <f t="shared" si="51"/>
        <v>3.357799947</v>
      </c>
      <c r="M276" s="60">
        <f>IFERROR(__xludf.DUMMYFUNCTION("IFERROR(VLOOKUP(C276,IMPORTRANGE(""https://docs.google.com/spreadsheets/d/1HZUHB8NvANAZR0sHDmHYVAm2WE9kNv0pGIQA48Ryim8/edit?gid=1285727875#gid=1285727875"",""Cost!A2:G""),7,0))"),788.0)</f>
        <v>788</v>
      </c>
      <c r="N276" s="62">
        <f t="shared" si="4"/>
        <v>3.274111675</v>
      </c>
      <c r="O276" s="28"/>
      <c r="P276" s="28"/>
      <c r="Q276" s="28"/>
      <c r="R276" s="28"/>
      <c r="S276" s="28"/>
      <c r="T276" s="28"/>
      <c r="U276" s="65"/>
      <c r="V276" s="28"/>
      <c r="W276" s="65"/>
      <c r="X276" s="66" t="s">
        <v>309</v>
      </c>
      <c r="Y276" s="65" t="str">
        <f t="shared" si="6"/>
        <v>BLAZE 6204</v>
      </c>
    </row>
    <row r="277">
      <c r="A277" s="18" t="s">
        <v>787</v>
      </c>
      <c r="B277" s="15">
        <v>6206.0</v>
      </c>
      <c r="C277" s="15">
        <v>6206.0</v>
      </c>
      <c r="D277" s="48" t="s">
        <v>67</v>
      </c>
      <c r="E277" s="75">
        <v>1450.0</v>
      </c>
      <c r="F277" s="39">
        <v>1580.0</v>
      </c>
      <c r="G277" s="50">
        <f t="shared" si="50"/>
        <v>0.08965517241</v>
      </c>
      <c r="H277" s="28"/>
      <c r="I277" s="55">
        <f t="shared" si="2"/>
        <v>1546.475491</v>
      </c>
      <c r="J277" s="81"/>
      <c r="K277" s="60">
        <f>IFERROR(__xludf.DUMMYFUNCTION("IFERROR(VLOOKUP(C277,IMPORTRANGE(""https://docs.google.com/spreadsheets/d/1HZUHB8NvANAZR0sHDmHYVAm2WE9kNv0pGIQA48Ryim8/edit?gid=1285727875#gid=1285727875"",""Sheet1!A2:G""),7,0))"),424.74)</f>
        <v>424.74</v>
      </c>
      <c r="L277" s="62">
        <f t="shared" si="51"/>
        <v>3.413853181</v>
      </c>
      <c r="M277" s="60">
        <f>IFERROR(__xludf.DUMMYFUNCTION("IFERROR(VLOOKUP(C277,IMPORTRANGE(""https://docs.google.com/spreadsheets/d/1HZUHB8NvANAZR0sHDmHYVAm2WE9kNv0pGIQA48Ryim8/edit?gid=1285727875#gid=1285727875"",""Cost!A2:G""),7,0))"),453.0)</f>
        <v>453</v>
      </c>
      <c r="N277" s="62">
        <f t="shared" si="4"/>
        <v>3.48785872</v>
      </c>
      <c r="O277" s="28"/>
      <c r="P277" s="28"/>
      <c r="Q277" s="28"/>
      <c r="R277" s="28"/>
      <c r="S277" s="28"/>
      <c r="T277" s="28"/>
      <c r="U277" s="65"/>
      <c r="V277" s="28"/>
      <c r="W277" s="65"/>
      <c r="X277" s="66" t="s">
        <v>311</v>
      </c>
      <c r="Y277" s="65" t="str">
        <f t="shared" si="6"/>
        <v>BLAZE 6206</v>
      </c>
    </row>
    <row r="278">
      <c r="A278" s="18" t="s">
        <v>787</v>
      </c>
      <c r="B278" s="15">
        <v>6207.0</v>
      </c>
      <c r="C278" s="15">
        <v>6207.0</v>
      </c>
      <c r="D278" s="18" t="s">
        <v>71</v>
      </c>
      <c r="E278" s="75">
        <f t="shared" ref="E278:F278" si="53">SUM(E279:E280)</f>
        <v>2730</v>
      </c>
      <c r="F278" s="75">
        <f t="shared" si="53"/>
        <v>2880</v>
      </c>
      <c r="G278" s="50">
        <f t="shared" si="50"/>
        <v>0.05494505495</v>
      </c>
      <c r="H278" s="28"/>
      <c r="I278" s="55">
        <f t="shared" si="2"/>
        <v>2898.305085</v>
      </c>
      <c r="J278" s="81"/>
      <c r="K278" s="60">
        <f>IFERROR(__xludf.DUMMYFUNCTION("IFERROR(VLOOKUP(C278,IMPORTRANGE(""https://docs.google.com/spreadsheets/d/1HZUHB8NvANAZR0sHDmHYVAm2WE9kNv0pGIQA48Ryim8/edit?gid=1285727875#gid=1285727875"",""Sheet1!A2:G""),7,0))"),751.66)</f>
        <v>751.66</v>
      </c>
      <c r="L278" s="62">
        <f t="shared" si="51"/>
        <v>3.631961259</v>
      </c>
      <c r="M278" s="60">
        <f>IFERROR(__xludf.DUMMYFUNCTION("IFERROR(VLOOKUP(C278,IMPORTRANGE(""https://docs.google.com/spreadsheets/d/1HZUHB8NvANAZR0sHDmHYVAm2WE9kNv0pGIQA48Ryim8/edit?gid=1285727875#gid=1285727875"",""Cost!A2:G""),7,0))"),798.0)</f>
        <v>798</v>
      </c>
      <c r="N278" s="62">
        <f t="shared" si="4"/>
        <v>3.609022556</v>
      </c>
      <c r="O278" s="28"/>
      <c r="P278" s="28"/>
      <c r="Q278" s="28"/>
      <c r="R278" s="28"/>
      <c r="S278" s="28"/>
      <c r="T278" s="28"/>
      <c r="U278" s="65"/>
      <c r="V278" s="28"/>
      <c r="W278" s="65"/>
      <c r="X278" s="66" t="s">
        <v>315</v>
      </c>
      <c r="Y278" s="65" t="str">
        <f t="shared" si="6"/>
        <v>BLAZE 6207</v>
      </c>
    </row>
    <row r="279">
      <c r="A279" s="18" t="s">
        <v>787</v>
      </c>
      <c r="B279" s="15" t="s">
        <v>73</v>
      </c>
      <c r="C279" s="15" t="s">
        <v>73</v>
      </c>
      <c r="D279" s="18" t="s">
        <v>74</v>
      </c>
      <c r="E279" s="93">
        <v>1390.0</v>
      </c>
      <c r="F279" s="39">
        <v>1490.0</v>
      </c>
      <c r="G279" s="50">
        <f t="shared" si="50"/>
        <v>0.07194244604</v>
      </c>
      <c r="H279" s="28"/>
      <c r="I279" s="55">
        <f t="shared" si="2"/>
        <v>1515.459624</v>
      </c>
      <c r="J279" s="81"/>
      <c r="K279" s="60">
        <f>IFERROR(__xludf.DUMMYFUNCTION("IFERROR(VLOOKUP(C279,IMPORTRANGE(""https://docs.google.com/spreadsheets/d/1HZUHB8NvANAZR0sHDmHYVAm2WE9kNv0pGIQA48Ryim8/edit?gid=1285727875#gid=1285727875"",""Sheet1!A2:G""),7,0))"),408.16)</f>
        <v>408.16</v>
      </c>
      <c r="L279" s="62">
        <f t="shared" si="51"/>
        <v>3.405527244</v>
      </c>
      <c r="M279" s="60">
        <f>IFERROR(__xludf.DUMMYFUNCTION("IFERROR(VLOOKUP(C279,IMPORTRANGE(""https://docs.google.com/spreadsheets/d/1HZUHB8NvANAZR0sHDmHYVAm2WE9kNv0pGIQA48Ryim8/edit?gid=1285727875#gid=1285727875"",""Cost!A2:G""),7,0))"),445.0)</f>
        <v>445</v>
      </c>
      <c r="N279" s="62">
        <f t="shared" si="4"/>
        <v>3.348314607</v>
      </c>
      <c r="O279" s="28"/>
      <c r="P279" s="28"/>
      <c r="Q279" s="28"/>
      <c r="R279" s="28"/>
      <c r="S279" s="28"/>
      <c r="T279" s="28"/>
      <c r="U279" s="65"/>
      <c r="V279" s="28"/>
      <c r="W279" s="65"/>
      <c r="X279" s="66" t="s">
        <v>73</v>
      </c>
      <c r="Y279" s="65" t="str">
        <f t="shared" si="6"/>
        <v>BLAZE 62CP-07</v>
      </c>
    </row>
    <row r="280">
      <c r="A280" s="18" t="s">
        <v>787</v>
      </c>
      <c r="B280" s="15" t="s">
        <v>792</v>
      </c>
      <c r="C280" s="15" t="s">
        <v>792</v>
      </c>
      <c r="D280" s="18" t="s">
        <v>78</v>
      </c>
      <c r="E280" s="93">
        <v>1340.0</v>
      </c>
      <c r="F280" s="39">
        <v>1390.0</v>
      </c>
      <c r="G280" s="50">
        <f t="shared" si="50"/>
        <v>0.03731343284</v>
      </c>
      <c r="H280" s="28"/>
      <c r="I280" s="55">
        <f t="shared" si="2"/>
        <v>1303.879027</v>
      </c>
      <c r="J280" s="81"/>
      <c r="K280" s="60">
        <f>IFERROR(__xludf.DUMMYFUNCTION("IFERROR(VLOOKUP(C280,IMPORTRANGE(""https://docs.google.com/spreadsheets/d/1HZUHB8NvANAZR0sHDmHYVAm2WE9kNv0pGIQA48Ryim8/edit?gid=1285727875#gid=1285727875"",""Sheet1!A2:G""),7,0))"),380.25)</f>
        <v>380.25</v>
      </c>
      <c r="L280" s="62">
        <f t="shared" si="51"/>
        <v>3.52399737</v>
      </c>
      <c r="M280" s="60">
        <f>IFERROR(__xludf.DUMMYFUNCTION("IFERROR(VLOOKUP(C280,IMPORTRANGE(""https://docs.google.com/spreadsheets/d/1HZUHB8NvANAZR0sHDmHYVAm2WE9kNv0pGIQA48Ryim8/edit?gid=1285727875#gid=1285727875"",""Cost!A2:G""),7,0))"),370.0)</f>
        <v>370</v>
      </c>
      <c r="N280" s="62">
        <f t="shared" si="4"/>
        <v>3.756756757</v>
      </c>
      <c r="O280" s="28"/>
      <c r="P280" s="28"/>
      <c r="Q280" s="28"/>
      <c r="R280" s="28"/>
      <c r="S280" s="28"/>
      <c r="T280" s="28"/>
      <c r="U280" s="65"/>
      <c r="V280" s="28"/>
      <c r="W280" s="65"/>
      <c r="X280" s="66" t="s">
        <v>77</v>
      </c>
      <c r="Y280" s="65" t="str">
        <f t="shared" si="6"/>
        <v>BLAZE 62CP</v>
      </c>
    </row>
    <row r="281">
      <c r="A281" s="18" t="s">
        <v>787</v>
      </c>
      <c r="B281" s="15">
        <v>6208.0</v>
      </c>
      <c r="C281" s="15">
        <v>6208.0</v>
      </c>
      <c r="D281" s="48" t="s">
        <v>81</v>
      </c>
      <c r="E281" s="39">
        <v>1690.0</v>
      </c>
      <c r="F281" s="39">
        <v>1780.0</v>
      </c>
      <c r="G281" s="50">
        <f t="shared" si="50"/>
        <v>0.05325443787</v>
      </c>
      <c r="H281" s="28"/>
      <c r="I281" s="55">
        <f t="shared" si="2"/>
        <v>1811.788567</v>
      </c>
      <c r="J281" s="81"/>
      <c r="K281" s="60">
        <f>IFERROR(__xludf.DUMMYFUNCTION("IFERROR(VLOOKUP(C281,IMPORTRANGE(""https://docs.google.com/spreadsheets/d/1HZUHB8NvANAZR0sHDmHYVAm2WE9kNv0pGIQA48Ryim8/edit?gid=1285727875#gid=1285727875"",""Sheet1!A2:G""),7,0))"),483.18)</f>
        <v>483.18</v>
      </c>
      <c r="L281" s="62">
        <f t="shared" si="51"/>
        <v>3.497661327</v>
      </c>
      <c r="M281" s="60">
        <f>IFERROR(__xludf.DUMMYFUNCTION("IFERROR(VLOOKUP(C281,IMPORTRANGE(""https://docs.google.com/spreadsheets/d/1HZUHB8NvANAZR0sHDmHYVAm2WE9kNv0pGIQA48Ryim8/edit?gid=1285727875#gid=1285727875"",""Cost!A2:G""),7,0))"),518.0)</f>
        <v>518</v>
      </c>
      <c r="N281" s="62">
        <f t="shared" si="4"/>
        <v>3.436293436</v>
      </c>
      <c r="O281" s="28"/>
      <c r="P281" s="28"/>
      <c r="Q281" s="28"/>
      <c r="R281" s="28"/>
      <c r="S281" s="28"/>
      <c r="T281" s="28"/>
      <c r="U281" s="65"/>
      <c r="V281" s="28"/>
      <c r="W281" s="65"/>
      <c r="X281" s="66" t="s">
        <v>321</v>
      </c>
      <c r="Y281" s="65" t="str">
        <f t="shared" si="6"/>
        <v>BLAZE 6208</v>
      </c>
    </row>
    <row r="282">
      <c r="A282" s="18" t="s">
        <v>787</v>
      </c>
      <c r="B282" s="15">
        <v>6210.0</v>
      </c>
      <c r="C282" s="15">
        <v>6210.0</v>
      </c>
      <c r="D282" s="48" t="s">
        <v>89</v>
      </c>
      <c r="E282" s="39">
        <v>1040.0</v>
      </c>
      <c r="F282" s="39">
        <v>1090.0</v>
      </c>
      <c r="G282" s="50">
        <f t="shared" si="50"/>
        <v>0.04807692308</v>
      </c>
      <c r="H282" s="28"/>
      <c r="I282" s="55">
        <f t="shared" si="2"/>
        <v>1104.131646</v>
      </c>
      <c r="J282" s="81"/>
      <c r="K282" s="60">
        <f>IFERROR(__xludf.DUMMYFUNCTION("IFERROR(VLOOKUP(C282,IMPORTRANGE(""https://docs.google.com/spreadsheets/d/1HZUHB8NvANAZR0sHDmHYVAm2WE9kNv0pGIQA48Ryim8/edit?gid=1285727875#gid=1285727875"",""Sheet1!A2:G""),7,0))"),226.06)</f>
        <v>226.06</v>
      </c>
      <c r="L282" s="62">
        <f t="shared" si="51"/>
        <v>4.600548527</v>
      </c>
      <c r="M282" s="60">
        <f>IFERROR(__xludf.DUMMYFUNCTION("IFERROR(VLOOKUP(C282,IMPORTRANGE(""https://docs.google.com/spreadsheets/d/1HZUHB8NvANAZR0sHDmHYVAm2WE9kNv0pGIQA48Ryim8/edit?gid=1285727875#gid=1285727875"",""Cost!A2:G""),7,0))"),240.0)</f>
        <v>240</v>
      </c>
      <c r="N282" s="62">
        <f t="shared" si="4"/>
        <v>4.541666667</v>
      </c>
      <c r="O282" s="28"/>
      <c r="P282" s="28"/>
      <c r="Q282" s="28"/>
      <c r="R282" s="28"/>
      <c r="S282" s="28"/>
      <c r="T282" s="28"/>
      <c r="U282" s="65"/>
      <c r="V282" s="28"/>
      <c r="W282" s="65"/>
      <c r="X282" s="66" t="s">
        <v>87</v>
      </c>
      <c r="Y282" s="65" t="str">
        <f t="shared" si="6"/>
        <v>BLAZE 6210</v>
      </c>
    </row>
    <row r="283">
      <c r="A283" s="18" t="s">
        <v>787</v>
      </c>
      <c r="B283" s="15">
        <v>6211.0</v>
      </c>
      <c r="C283" s="15">
        <v>6211.0</v>
      </c>
      <c r="D283" s="48" t="s">
        <v>94</v>
      </c>
      <c r="E283" s="39">
        <v>1790.0</v>
      </c>
      <c r="F283" s="39">
        <v>1880.0</v>
      </c>
      <c r="G283" s="50">
        <f t="shared" si="50"/>
        <v>0.05027932961</v>
      </c>
      <c r="H283" s="28"/>
      <c r="I283" s="55">
        <f t="shared" si="2"/>
        <v>1898.373147</v>
      </c>
      <c r="J283" s="81"/>
      <c r="K283" s="60">
        <f>IFERROR(__xludf.DUMMYFUNCTION("IFERROR(VLOOKUP(C283,IMPORTRANGE(""https://docs.google.com/spreadsheets/d/1HZUHB8NvANAZR0sHDmHYVAm2WE9kNv0pGIQA48Ryim8/edit?gid=1285727875#gid=1285727875"",""Sheet1!A2:G""),7,0))"),485.6)</f>
        <v>485.6</v>
      </c>
      <c r="L283" s="62">
        <f t="shared" si="51"/>
        <v>3.68616145</v>
      </c>
      <c r="M283" s="60">
        <f>IFERROR(__xludf.DUMMYFUNCTION("IFERROR(VLOOKUP(C283,IMPORTRANGE(""https://docs.google.com/spreadsheets/d/1HZUHB8NvANAZR0sHDmHYVAm2WE9kNv0pGIQA48Ryim8/edit?gid=1285727875#gid=1285727875"",""Cost!A2:G""),7,0))"),515.0)</f>
        <v>515</v>
      </c>
      <c r="N283" s="62">
        <f t="shared" si="4"/>
        <v>3.650485437</v>
      </c>
      <c r="O283" s="28"/>
      <c r="P283" s="28"/>
      <c r="Q283" s="28"/>
      <c r="R283" s="28"/>
      <c r="S283" s="28"/>
      <c r="T283" s="28"/>
      <c r="U283" s="65"/>
      <c r="V283" s="28"/>
      <c r="W283" s="65"/>
      <c r="X283" s="66" t="s">
        <v>91</v>
      </c>
      <c r="Y283" s="65" t="str">
        <f t="shared" si="6"/>
        <v>BLAZE 6211</v>
      </c>
    </row>
    <row r="284">
      <c r="A284" s="18" t="s">
        <v>787</v>
      </c>
      <c r="B284" s="15">
        <v>6212.0</v>
      </c>
      <c r="C284" s="15">
        <v>6212.0</v>
      </c>
      <c r="D284" s="48" t="s">
        <v>97</v>
      </c>
      <c r="E284" s="75">
        <v>2040.0</v>
      </c>
      <c r="F284" s="39">
        <v>2180.0</v>
      </c>
      <c r="G284" s="50">
        <f t="shared" si="50"/>
        <v>0.06862745098</v>
      </c>
      <c r="H284" s="28"/>
      <c r="I284" s="55">
        <f t="shared" si="2"/>
        <v>2226.043479</v>
      </c>
      <c r="J284" s="81"/>
      <c r="K284" s="60">
        <f>IFERROR(__xludf.DUMMYFUNCTION("IFERROR(VLOOKUP(C284,IMPORTRANGE(""https://docs.google.com/spreadsheets/d/1HZUHB8NvANAZR0sHDmHYVAm2WE9kNv0pGIQA48Ryim8/edit?gid=1285727875#gid=1285727875"",""Sheet1!A2:G""),7,0))"),592.01)</f>
        <v>592.01</v>
      </c>
      <c r="L284" s="62">
        <f t="shared" si="51"/>
        <v>3.445887738</v>
      </c>
      <c r="M284" s="60">
        <f>IFERROR(__xludf.DUMMYFUNCTION("IFERROR(VLOOKUP(C284,IMPORTRANGE(""https://docs.google.com/spreadsheets/d/1HZUHB8NvANAZR0sHDmHYVAm2WE9kNv0pGIQA48Ryim8/edit?gid=1285727875#gid=1285727875"",""Cost!A2:G""),7,0))"),646.0)</f>
        <v>646</v>
      </c>
      <c r="N284" s="62">
        <f t="shared" si="4"/>
        <v>3.374613003</v>
      </c>
      <c r="O284" s="28"/>
      <c r="P284" s="28"/>
      <c r="Q284" s="28"/>
      <c r="R284" s="28"/>
      <c r="S284" s="28"/>
      <c r="T284" s="28"/>
      <c r="U284" s="65"/>
      <c r="V284" s="28"/>
      <c r="W284" s="65"/>
      <c r="X284" s="66" t="s">
        <v>95</v>
      </c>
      <c r="Y284" s="65" t="str">
        <f t="shared" si="6"/>
        <v>BLAZE 6212</v>
      </c>
    </row>
    <row r="285">
      <c r="A285" s="18" t="s">
        <v>787</v>
      </c>
      <c r="B285" s="15">
        <v>6214.0</v>
      </c>
      <c r="C285" s="15">
        <v>6214.0</v>
      </c>
      <c r="D285" s="48" t="s">
        <v>106</v>
      </c>
      <c r="E285" s="39">
        <v>1980.0</v>
      </c>
      <c r="F285" s="39">
        <v>2090.0</v>
      </c>
      <c r="G285" s="50">
        <f t="shared" si="50"/>
        <v>0.05555555556</v>
      </c>
      <c r="H285" s="28"/>
      <c r="I285" s="55">
        <f t="shared" si="2"/>
        <v>2126.713486</v>
      </c>
      <c r="J285" s="81"/>
      <c r="K285" s="60">
        <f>IFERROR(__xludf.DUMMYFUNCTION("IFERROR(VLOOKUP(C285,IMPORTRANGE(""https://docs.google.com/spreadsheets/d/1HZUHB8NvANAZR0sHDmHYVAm2WE9kNv0pGIQA48Ryim8/edit?gid=1285727875#gid=1285727875"",""Sheet1!A2:G""),7,0))"),532.54)</f>
        <v>532.54</v>
      </c>
      <c r="L285" s="62">
        <f t="shared" si="51"/>
        <v>3.71803057</v>
      </c>
      <c r="M285" s="60">
        <f>IFERROR(__xludf.DUMMYFUNCTION("IFERROR(VLOOKUP(C285,IMPORTRANGE(""https://docs.google.com/spreadsheets/d/1HZUHB8NvANAZR0sHDmHYVAm2WE9kNv0pGIQA48Ryim8/edit?gid=1285727875#gid=1285727875"",""Cost!A2:G""),7,0))"),572.0)</f>
        <v>572</v>
      </c>
      <c r="N285" s="62">
        <f t="shared" si="4"/>
        <v>3.653846154</v>
      </c>
      <c r="O285" s="28"/>
      <c r="P285" s="28"/>
      <c r="Q285" s="28"/>
      <c r="R285" s="28"/>
      <c r="S285" s="28"/>
      <c r="T285" s="28"/>
      <c r="U285" s="65"/>
      <c r="V285" s="28"/>
      <c r="W285" s="65"/>
      <c r="X285" s="66" t="s">
        <v>104</v>
      </c>
      <c r="Y285" s="65" t="str">
        <f t="shared" si="6"/>
        <v>BLAZE 6214</v>
      </c>
    </row>
    <row r="286">
      <c r="A286" s="18" t="s">
        <v>787</v>
      </c>
      <c r="B286" s="15">
        <v>6216.0</v>
      </c>
      <c r="C286" s="15">
        <v>6216.0</v>
      </c>
      <c r="D286" s="48" t="s">
        <v>112</v>
      </c>
      <c r="E286" s="39">
        <v>1790.0</v>
      </c>
      <c r="F286" s="39">
        <v>1940.0</v>
      </c>
      <c r="G286" s="50">
        <f t="shared" si="50"/>
        <v>0.08379888268</v>
      </c>
      <c r="H286" s="28"/>
      <c r="I286" s="55">
        <f t="shared" si="2"/>
        <v>1940.887186</v>
      </c>
      <c r="J286" s="81"/>
      <c r="K286" s="60">
        <f>IFERROR(__xludf.DUMMYFUNCTION("IFERROR(VLOOKUP(C286,IMPORTRANGE(""https://docs.google.com/spreadsheets/d/1HZUHB8NvANAZR0sHDmHYVAm2WE9kNv0pGIQA48Ryim8/edit?gid=1285727875#gid=1285727875"",""Sheet1!A2:G""),7,0))"),506.32)</f>
        <v>506.32</v>
      </c>
      <c r="L286" s="62">
        <f t="shared" si="51"/>
        <v>3.535313636</v>
      </c>
      <c r="M286" s="60">
        <f>IFERROR(__xludf.DUMMYFUNCTION("IFERROR(VLOOKUP(C286,IMPORTRANGE(""https://docs.google.com/spreadsheets/d/1HZUHB8NvANAZR0sHDmHYVAm2WE9kNv0pGIQA48Ryim8/edit?gid=1285727875#gid=1285727875"",""Cost!A2:G""),7,0))"),549.0)</f>
        <v>549</v>
      </c>
      <c r="N286" s="62">
        <f t="shared" si="4"/>
        <v>3.533697632</v>
      </c>
      <c r="O286" s="28"/>
      <c r="P286" s="28"/>
      <c r="Q286" s="28"/>
      <c r="R286" s="28"/>
      <c r="S286" s="28"/>
      <c r="T286" s="28"/>
      <c r="U286" s="65"/>
      <c r="V286" s="28"/>
      <c r="W286" s="65"/>
      <c r="X286" s="66" t="s">
        <v>110</v>
      </c>
      <c r="Y286" s="65" t="str">
        <f t="shared" si="6"/>
        <v>BLAZE 6216</v>
      </c>
    </row>
    <row r="287">
      <c r="A287" s="18" t="s">
        <v>787</v>
      </c>
      <c r="B287" s="15">
        <v>6218.0</v>
      </c>
      <c r="C287" s="15">
        <v>6218.0</v>
      </c>
      <c r="D287" s="48" t="s">
        <v>119</v>
      </c>
      <c r="E287" s="39">
        <v>1250.0</v>
      </c>
      <c r="F287" s="39">
        <v>1420.0</v>
      </c>
      <c r="G287" s="50">
        <f t="shared" si="50"/>
        <v>0.136</v>
      </c>
      <c r="H287" s="28"/>
      <c r="I287" s="55">
        <f t="shared" si="2"/>
        <v>1358.73276</v>
      </c>
      <c r="J287" s="81"/>
      <c r="K287" s="60">
        <f>IFERROR(__xludf.DUMMYFUNCTION("IFERROR(VLOOKUP(C287,IMPORTRANGE(""https://docs.google.com/spreadsheets/d/1HZUHB8NvANAZR0sHDmHYVAm2WE9kNv0pGIQA48Ryim8/edit?gid=1285727875#gid=1285727875"",""Sheet1!A2:G""),7,0))"),366.15)</f>
        <v>366.15</v>
      </c>
      <c r="L287" s="62">
        <f t="shared" si="51"/>
        <v>3.413901407</v>
      </c>
      <c r="M287" s="60">
        <f>IFERROR(__xludf.DUMMYFUNCTION("IFERROR(VLOOKUP(C287,IMPORTRANGE(""https://docs.google.com/spreadsheets/d/1HZUHB8NvANAZR0sHDmHYVAm2WE9kNv0pGIQA48Ryim8/edit?gid=1285727875#gid=1285727875"",""Cost!A2:G""),7,0))"),398.0)</f>
        <v>398</v>
      </c>
      <c r="N287" s="62">
        <f t="shared" si="4"/>
        <v>3.567839196</v>
      </c>
      <c r="O287" s="28"/>
      <c r="P287" s="28"/>
      <c r="Q287" s="28"/>
      <c r="R287" s="28"/>
      <c r="S287" s="28"/>
      <c r="T287" s="28"/>
      <c r="U287" s="65"/>
      <c r="V287" s="28"/>
      <c r="W287" s="65"/>
      <c r="X287" s="66" t="s">
        <v>117</v>
      </c>
      <c r="Y287" s="65" t="str">
        <f t="shared" si="6"/>
        <v>BLAZE 6218</v>
      </c>
    </row>
    <row r="288">
      <c r="A288" s="18" t="s">
        <v>787</v>
      </c>
      <c r="B288" s="15">
        <v>6220.0</v>
      </c>
      <c r="C288" s="15">
        <v>6220.0</v>
      </c>
      <c r="D288" s="48" t="s">
        <v>122</v>
      </c>
      <c r="E288" s="39">
        <v>1290.0</v>
      </c>
      <c r="F288" s="39">
        <v>1460.0</v>
      </c>
      <c r="G288" s="50">
        <f t="shared" si="50"/>
        <v>0.1317829457</v>
      </c>
      <c r="H288" s="28"/>
      <c r="I288" s="55">
        <f t="shared" si="2"/>
        <v>1406.087997</v>
      </c>
      <c r="J288" s="81"/>
      <c r="K288" s="60">
        <f>IFERROR(__xludf.DUMMYFUNCTION("IFERROR(VLOOKUP(C288,IMPORTRANGE(""https://docs.google.com/spreadsheets/d/1HZUHB8NvANAZR0sHDmHYVAm2WE9kNv0pGIQA48Ryim8/edit?gid=1285727875#gid=1285727875"",""Sheet1!A2:G""),7,0))"),376.15)</f>
        <v>376.15</v>
      </c>
      <c r="L288" s="62">
        <f t="shared" si="51"/>
        <v>3.429482919</v>
      </c>
      <c r="M288" s="60">
        <f>IFERROR(__xludf.DUMMYFUNCTION("IFERROR(VLOOKUP(C288,IMPORTRANGE(""https://docs.google.com/spreadsheets/d/1HZUHB8NvANAZR0sHDmHYVAm2WE9kNv0pGIQA48Ryim8/edit?gid=1285727875#gid=1285727875"",""Cost!A2:G""),7,0))"),410.0)</f>
        <v>410</v>
      </c>
      <c r="N288" s="62">
        <f t="shared" si="4"/>
        <v>3.56097561</v>
      </c>
      <c r="O288" s="28"/>
      <c r="P288" s="28"/>
      <c r="Q288" s="28"/>
      <c r="R288" s="28"/>
      <c r="S288" s="28"/>
      <c r="T288" s="28"/>
      <c r="U288" s="65"/>
      <c r="V288" s="28"/>
      <c r="W288" s="65"/>
      <c r="X288" s="66" t="s">
        <v>120</v>
      </c>
      <c r="Y288" s="65" t="str">
        <f t="shared" si="6"/>
        <v>BLAZE 6220</v>
      </c>
    </row>
    <row r="289">
      <c r="A289" s="18" t="s">
        <v>787</v>
      </c>
      <c r="B289" s="15">
        <v>6250.0</v>
      </c>
      <c r="C289" s="15">
        <v>6250.0</v>
      </c>
      <c r="D289" s="48" t="s">
        <v>136</v>
      </c>
      <c r="E289" s="39">
        <v>3480.0</v>
      </c>
      <c r="F289" s="39">
        <v>3780.0</v>
      </c>
      <c r="G289" s="50">
        <f t="shared" si="50"/>
        <v>0.08620689655</v>
      </c>
      <c r="H289" s="28"/>
      <c r="I289" s="55">
        <f t="shared" si="2"/>
        <v>3744.05436</v>
      </c>
      <c r="J289" s="81"/>
      <c r="K289" s="60">
        <f>IFERROR(__xludf.DUMMYFUNCTION("IFERROR(VLOOKUP(C289,IMPORTRANGE(""https://docs.google.com/spreadsheets/d/1HZUHB8NvANAZR0sHDmHYVAm2WE9kNv0pGIQA48Ryim8/edit?gid=1285727875#gid=1285727875"",""Sheet1!A2:G""),7,0))"),865.34)</f>
        <v>865.34</v>
      </c>
      <c r="L289" s="62">
        <f t="shared" si="51"/>
        <v>4.021540666</v>
      </c>
      <c r="M289" s="60">
        <f>IFERROR(__xludf.DUMMYFUNCTION("IFERROR(VLOOKUP(C289,IMPORTRANGE(""https://docs.google.com/spreadsheets/d/1HZUHB8NvANAZR0sHDmHYVAm2WE9kNv0pGIQA48Ryim8/edit?gid=1285727875#gid=1285727875"",""Cost!A2:G""),7,0))"),931.0)</f>
        <v>931</v>
      </c>
      <c r="N289" s="62">
        <f t="shared" si="4"/>
        <v>4.060150376</v>
      </c>
      <c r="O289" s="28"/>
      <c r="P289" s="28"/>
      <c r="Q289" s="28"/>
      <c r="R289" s="28"/>
      <c r="S289" s="28"/>
      <c r="T289" s="28"/>
      <c r="U289" s="65"/>
      <c r="V289" s="28"/>
      <c r="W289" s="65"/>
      <c r="X289" s="66" t="s">
        <v>134</v>
      </c>
      <c r="Y289" s="65" t="str">
        <f t="shared" si="6"/>
        <v>BLAZE 6250</v>
      </c>
    </row>
    <row r="290">
      <c r="A290" s="18" t="s">
        <v>787</v>
      </c>
      <c r="B290" s="15">
        <v>6251.0</v>
      </c>
      <c r="C290" s="15">
        <v>6251.0</v>
      </c>
      <c r="D290" s="48" t="s">
        <v>141</v>
      </c>
      <c r="E290" s="75">
        <v>3760.0</v>
      </c>
      <c r="F290" s="39">
        <v>3980.0</v>
      </c>
      <c r="G290" s="50">
        <f t="shared" si="50"/>
        <v>0.0585106383</v>
      </c>
      <c r="H290" s="28"/>
      <c r="I290" s="55">
        <f t="shared" si="2"/>
        <v>4150.176901</v>
      </c>
      <c r="J290" s="81"/>
      <c r="K290" s="60">
        <f>IFERROR(__xludf.DUMMYFUNCTION("IFERROR(VLOOKUP(C290,IMPORTRANGE(""https://docs.google.com/spreadsheets/d/1HZUHB8NvANAZR0sHDmHYVAm2WE9kNv0pGIQA48Ryim8/edit?gid=1285727875#gid=1285727875"",""Sheet1!A2:G""),7,0))"),873.37)</f>
        <v>873.37</v>
      </c>
      <c r="L290" s="62">
        <f t="shared" si="51"/>
        <v>4.30516276</v>
      </c>
      <c r="M290" s="60">
        <f>IFERROR(__xludf.DUMMYFUNCTION("IFERROR(VLOOKUP(C290,IMPORTRANGE(""https://docs.google.com/spreadsheets/d/1HZUHB8NvANAZR0sHDmHYVAm2WE9kNv0pGIQA48Ryim8/edit?gid=1285727875#gid=1285727875"",""Cost!A2:G""),7,0))"),964.0)</f>
        <v>964</v>
      </c>
      <c r="N290" s="62">
        <f t="shared" si="4"/>
        <v>4.128630705</v>
      </c>
      <c r="O290" s="28"/>
      <c r="P290" s="28"/>
      <c r="Q290" s="28"/>
      <c r="R290" s="28"/>
      <c r="S290" s="28"/>
      <c r="T290" s="28"/>
      <c r="U290" s="65"/>
      <c r="V290" s="28"/>
      <c r="W290" s="65"/>
      <c r="X290" s="66" t="s">
        <v>139</v>
      </c>
      <c r="Y290" s="65" t="str">
        <f t="shared" si="6"/>
        <v>BLAZE 6251</v>
      </c>
    </row>
    <row r="291">
      <c r="A291" s="18" t="s">
        <v>787</v>
      </c>
      <c r="B291" s="15">
        <v>6254.0</v>
      </c>
      <c r="C291" s="15">
        <v>6254.0</v>
      </c>
      <c r="D291" s="48" t="s">
        <v>152</v>
      </c>
      <c r="E291" s="75">
        <f t="shared" ref="E291:F291" si="54">SUM(E292:E293)</f>
        <v>6140</v>
      </c>
      <c r="F291" s="75">
        <f t="shared" si="54"/>
        <v>6570</v>
      </c>
      <c r="G291" s="50">
        <f t="shared" si="50"/>
        <v>0.07003257329</v>
      </c>
      <c r="H291" s="28"/>
      <c r="I291" s="55">
        <f t="shared" si="2"/>
        <v>6604.408368</v>
      </c>
      <c r="J291" s="81"/>
      <c r="K291" s="60">
        <f>IFERROR(__xludf.DUMMYFUNCTION("IFERROR(VLOOKUP(C291,IMPORTRANGE(""https://docs.google.com/spreadsheets/d/1HZUHB8NvANAZR0sHDmHYVAm2WE9kNv0pGIQA48Ryim8/edit?gid=1285727875#gid=1285727875"",""Sheet1!A2:G""),7,0))"),1549.78)</f>
        <v>1549.78</v>
      </c>
      <c r="L291" s="62">
        <f t="shared" si="51"/>
        <v>3.96185265</v>
      </c>
      <c r="M291" s="60">
        <f>IFERROR(__xludf.DUMMYFUNCTION("IFERROR(VLOOKUP(C291,IMPORTRANGE(""https://docs.google.com/spreadsheets/d/1HZUHB8NvANAZR0sHDmHYVAm2WE9kNv0pGIQA48Ryim8/edit?gid=1285727875#gid=1285727875"",""Cost!A2:G""),7,0))"),1667.0)</f>
        <v>1667</v>
      </c>
      <c r="N291" s="62">
        <f t="shared" si="4"/>
        <v>3.941211758</v>
      </c>
      <c r="O291" s="28"/>
      <c r="P291" s="28"/>
      <c r="Q291" s="28"/>
      <c r="R291" s="28"/>
      <c r="S291" s="28"/>
      <c r="T291" s="28"/>
      <c r="U291" s="65"/>
      <c r="V291" s="28"/>
      <c r="W291" s="65"/>
      <c r="X291" s="66" t="s">
        <v>150</v>
      </c>
      <c r="Y291" s="65" t="str">
        <f t="shared" si="6"/>
        <v>BLAZE 6254</v>
      </c>
    </row>
    <row r="292">
      <c r="A292" s="18" t="s">
        <v>787</v>
      </c>
      <c r="B292" s="15" t="s">
        <v>154</v>
      </c>
      <c r="C292" s="15" t="s">
        <v>154</v>
      </c>
      <c r="D292" s="48" t="s">
        <v>156</v>
      </c>
      <c r="E292" s="39">
        <v>3680.0</v>
      </c>
      <c r="F292" s="39">
        <v>3990.0</v>
      </c>
      <c r="G292" s="50">
        <f t="shared" si="50"/>
        <v>0.08423913043</v>
      </c>
      <c r="H292" s="28"/>
      <c r="I292" s="55">
        <f t="shared" si="2"/>
        <v>4075.59981</v>
      </c>
      <c r="J292" s="81"/>
      <c r="K292" s="60">
        <f>IFERROR(__xludf.DUMMYFUNCTION("IFERROR(VLOOKUP(C292,IMPORTRANGE(""https://docs.google.com/spreadsheets/d/1HZUHB8NvANAZR0sHDmHYVAm2WE9kNv0pGIQA48Ryim8/edit?gid=1285727875#gid=1285727875"",""Sheet1!A2:G""),7,0))"),966.14)</f>
        <v>966.14</v>
      </c>
      <c r="L292" s="62">
        <f t="shared" si="51"/>
        <v>3.808971785</v>
      </c>
      <c r="M292" s="60">
        <f>IFERROR(__xludf.DUMMYFUNCTION("IFERROR(VLOOKUP(C292,IMPORTRANGE(""https://docs.google.com/spreadsheets/d/1HZUHB8NvANAZR0sHDmHYVAm2WE9kNv0pGIQA48Ryim8/edit?gid=1285727875#gid=1285727875"",""Cost!A2:G""),7,0))"),1070.0)</f>
        <v>1070</v>
      </c>
      <c r="N292" s="62">
        <f t="shared" si="4"/>
        <v>3.728971963</v>
      </c>
      <c r="O292" s="28"/>
      <c r="P292" s="28"/>
      <c r="Q292" s="28"/>
      <c r="R292" s="28"/>
      <c r="S292" s="28"/>
      <c r="T292" s="28"/>
      <c r="U292" s="65"/>
      <c r="V292" s="28"/>
      <c r="W292" s="65"/>
      <c r="X292" s="66" t="s">
        <v>154</v>
      </c>
      <c r="Y292" s="65" t="str">
        <f t="shared" si="6"/>
        <v>BLAZE 62BD-40</v>
      </c>
    </row>
    <row r="293">
      <c r="A293" s="18" t="s">
        <v>787</v>
      </c>
      <c r="B293" s="15" t="s">
        <v>803</v>
      </c>
      <c r="C293" s="15" t="s">
        <v>803</v>
      </c>
      <c r="D293" s="48" t="s">
        <v>78</v>
      </c>
      <c r="E293" s="39">
        <v>2460.0</v>
      </c>
      <c r="F293" s="39">
        <v>2580.0</v>
      </c>
      <c r="G293" s="50">
        <f t="shared" si="50"/>
        <v>0.0487804878</v>
      </c>
      <c r="H293" s="28"/>
      <c r="I293" s="55">
        <f t="shared" si="2"/>
        <v>2619.413821</v>
      </c>
      <c r="J293" s="81"/>
      <c r="K293" s="60">
        <f>IFERROR(__xludf.DUMMYFUNCTION("IFERROR(VLOOKUP(C293,IMPORTRANGE(""https://docs.google.com/spreadsheets/d/1HZUHB8NvANAZR0sHDmHYVAm2WE9kNv0pGIQA48Ryim8/edit?gid=1285727875#gid=1285727875"",""Sheet1!A2:G""),7,0))"),557.85)</f>
        <v>557.85</v>
      </c>
      <c r="L293" s="62">
        <f t="shared" si="51"/>
        <v>4.409787577</v>
      </c>
      <c r="M293" s="60">
        <f>IFERROR(__xludf.DUMMYFUNCTION("IFERROR(VLOOKUP(C293,IMPORTRANGE(""https://docs.google.com/spreadsheets/d/1HZUHB8NvANAZR0sHDmHYVAm2WE9kNv0pGIQA48Ryim8/edit?gid=1285727875#gid=1285727875"",""Cost!A2:G""),7,0))"),594.0)</f>
        <v>594</v>
      </c>
      <c r="N293" s="62">
        <f t="shared" si="4"/>
        <v>4.343434343</v>
      </c>
      <c r="O293" s="28"/>
      <c r="P293" s="28"/>
      <c r="Q293" s="28"/>
      <c r="R293" s="28"/>
      <c r="S293" s="28"/>
      <c r="T293" s="28"/>
      <c r="U293" s="65"/>
      <c r="V293" s="28"/>
      <c r="W293" s="65"/>
      <c r="X293" s="66" t="s">
        <v>159</v>
      </c>
      <c r="Y293" s="65" t="str">
        <f t="shared" si="6"/>
        <v>BLAZE 62BB</v>
      </c>
    </row>
    <row r="294">
      <c r="A294" s="18" t="s">
        <v>787</v>
      </c>
      <c r="B294" s="15">
        <v>6255.0</v>
      </c>
      <c r="C294" s="15">
        <v>6255.0</v>
      </c>
      <c r="D294" s="48" t="s">
        <v>164</v>
      </c>
      <c r="E294" s="39">
        <v>3980.0</v>
      </c>
      <c r="F294" s="39">
        <v>4260.0</v>
      </c>
      <c r="G294" s="50">
        <f t="shared" si="50"/>
        <v>0.07035175879</v>
      </c>
      <c r="H294" s="28"/>
      <c r="I294" s="55">
        <f t="shared" si="2"/>
        <v>4268.281961</v>
      </c>
      <c r="J294" s="81"/>
      <c r="K294" s="60">
        <f>IFERROR(__xludf.DUMMYFUNCTION("IFERROR(VLOOKUP(C294,IMPORTRANGE(""https://docs.google.com/spreadsheets/d/1HZUHB8NvANAZR0sHDmHYVAm2WE9kNv0pGIQA48Ryim8/edit?gid=1285727875#gid=1285727875"",""Sheet1!A2:G""),7,0))"),978.15)</f>
        <v>978.15</v>
      </c>
      <c r="L294" s="62">
        <f t="shared" si="51"/>
        <v>4.068905587</v>
      </c>
      <c r="M294" s="60">
        <f>IFERROR(__xludf.DUMMYFUNCTION("IFERROR(VLOOKUP(C294,IMPORTRANGE(""https://docs.google.com/spreadsheets/d/1HZUHB8NvANAZR0sHDmHYVAm2WE9kNv0pGIQA48Ryim8/edit?gid=1285727875#gid=1285727875"",""Cost!A2:G""),7,0))"),1049.0)</f>
        <v>1049</v>
      </c>
      <c r="N294" s="62">
        <f t="shared" si="4"/>
        <v>4.061010486</v>
      </c>
      <c r="O294" s="28"/>
      <c r="P294" s="28"/>
      <c r="Q294" s="28"/>
      <c r="R294" s="28"/>
      <c r="S294" s="28"/>
      <c r="T294" s="28"/>
      <c r="U294" s="65"/>
      <c r="V294" s="28"/>
      <c r="W294" s="65"/>
      <c r="X294" s="66" t="s">
        <v>162</v>
      </c>
      <c r="Y294" s="65" t="str">
        <f t="shared" si="6"/>
        <v>BLAZE 6255</v>
      </c>
    </row>
    <row r="295">
      <c r="A295" s="18" t="s">
        <v>787</v>
      </c>
      <c r="B295" s="15">
        <v>6270.0</v>
      </c>
      <c r="C295" s="15">
        <v>6270.0</v>
      </c>
      <c r="D295" s="48" t="s">
        <v>186</v>
      </c>
      <c r="E295" s="39">
        <v>5690.0</v>
      </c>
      <c r="F295" s="39">
        <v>6180.0</v>
      </c>
      <c r="G295" s="50">
        <f t="shared" si="50"/>
        <v>0.08611599297</v>
      </c>
      <c r="H295" s="28"/>
      <c r="I295" s="55">
        <f t="shared" si="2"/>
        <v>6299.984286</v>
      </c>
      <c r="J295" s="81"/>
      <c r="K295" s="60">
        <f>IFERROR(__xludf.DUMMYFUNCTION("IFERROR(VLOOKUP(C295,IMPORTRANGE(""https://docs.google.com/spreadsheets/d/1HZUHB8NvANAZR0sHDmHYVAm2WE9kNv0pGIQA48Ryim8/edit?gid=1285727875#gid=1285727875"",""Sheet1!A2:G""),7,0))"),1654.62)</f>
        <v>1654.62</v>
      </c>
      <c r="L295" s="62">
        <f t="shared" si="51"/>
        <v>3.438856052</v>
      </c>
      <c r="M295" s="60">
        <f>IFERROR(__xludf.DUMMYFUNCTION("IFERROR(VLOOKUP(C295,IMPORTRANGE(""https://docs.google.com/spreadsheets/d/1HZUHB8NvANAZR0sHDmHYVAm2WE9kNv0pGIQA48Ryim8/edit?gid=1285727875#gid=1285727875"",""Cost!A2:G""),7,0))"),1832.0)</f>
        <v>1832</v>
      </c>
      <c r="N295" s="62">
        <f t="shared" si="4"/>
        <v>3.373362445</v>
      </c>
      <c r="O295" s="28"/>
      <c r="P295" s="28"/>
      <c r="Q295" s="28"/>
      <c r="R295" s="28"/>
      <c r="S295" s="28"/>
      <c r="T295" s="28"/>
      <c r="U295" s="65"/>
      <c r="V295" s="28"/>
      <c r="W295" s="65"/>
      <c r="X295" s="66" t="s">
        <v>184</v>
      </c>
      <c r="Y295" s="65" t="str">
        <f t="shared" si="6"/>
        <v>BLAZE 6270</v>
      </c>
    </row>
    <row r="296">
      <c r="A296" s="18" t="s">
        <v>787</v>
      </c>
      <c r="B296" s="15">
        <v>6275.0</v>
      </c>
      <c r="C296" s="15">
        <v>6275.0</v>
      </c>
      <c r="D296" s="48" t="s">
        <v>196</v>
      </c>
      <c r="E296" s="39">
        <v>5690.0</v>
      </c>
      <c r="F296" s="39">
        <v>6180.0</v>
      </c>
      <c r="G296" s="50">
        <f t="shared" si="50"/>
        <v>0.08611599297</v>
      </c>
      <c r="H296" s="28"/>
      <c r="I296" s="55">
        <f t="shared" si="2"/>
        <v>6285.045058</v>
      </c>
      <c r="J296" s="81"/>
      <c r="K296" s="60">
        <f>IFERROR(__xludf.DUMMYFUNCTION("IFERROR(VLOOKUP(C296,IMPORTRANGE(""https://docs.google.com/spreadsheets/d/1HZUHB8NvANAZR0sHDmHYVAm2WE9kNv0pGIQA48Ryim8/edit?gid=1285727875#gid=1285727875"",""Sheet1!A2:G""),7,0))"),1622.34)</f>
        <v>1622.34</v>
      </c>
      <c r="L296" s="62">
        <f t="shared" si="51"/>
        <v>3.507279608</v>
      </c>
      <c r="M296" s="60">
        <f>IFERROR(__xludf.DUMMYFUNCTION("IFERROR(VLOOKUP(C296,IMPORTRANGE(""https://docs.google.com/spreadsheets/d/1HZUHB8NvANAZR0sHDmHYVAm2WE9kNv0pGIQA48Ryim8/edit?gid=1285727875#gid=1285727875"",""Cost!A2:G""),7,0))"),1792.0)</f>
        <v>1792</v>
      </c>
      <c r="N296" s="62">
        <f t="shared" si="4"/>
        <v>3.448660714</v>
      </c>
      <c r="O296" s="28"/>
      <c r="P296" s="28"/>
      <c r="Q296" s="28"/>
      <c r="R296" s="28"/>
      <c r="S296" s="28"/>
      <c r="T296" s="28"/>
      <c r="U296" s="65"/>
      <c r="V296" s="28"/>
      <c r="W296" s="65"/>
      <c r="X296" s="66" t="s">
        <v>194</v>
      </c>
      <c r="Y296" s="65" t="str">
        <f t="shared" si="6"/>
        <v>BLAZE 6275</v>
      </c>
    </row>
    <row r="297">
      <c r="A297" s="18" t="s">
        <v>787</v>
      </c>
      <c r="B297" s="15">
        <v>6280.0</v>
      </c>
      <c r="C297" s="15">
        <v>6280.0</v>
      </c>
      <c r="D297" s="48" t="s">
        <v>205</v>
      </c>
      <c r="E297" s="75">
        <v>6460.0</v>
      </c>
      <c r="F297" s="39">
        <v>6980.0</v>
      </c>
      <c r="G297" s="50">
        <f t="shared" si="50"/>
        <v>0.08049535604</v>
      </c>
      <c r="H297" s="28"/>
      <c r="I297" s="55">
        <f t="shared" si="2"/>
        <v>7045.503138</v>
      </c>
      <c r="J297" s="81"/>
      <c r="K297" s="60">
        <f>IFERROR(__xludf.DUMMYFUNCTION("IFERROR(VLOOKUP(C297,IMPORTRANGE(""https://docs.google.com/spreadsheets/d/1HZUHB8NvANAZR0sHDmHYVAm2WE9kNv0pGIQA48Ryim8/edit?gid=1285727875#gid=1285727875"",""Sheet1!A2:G""),7,0))"),1805.37)</f>
        <v>1805.37</v>
      </c>
      <c r="L297" s="62">
        <f t="shared" si="51"/>
        <v>3.578213884</v>
      </c>
      <c r="M297" s="60">
        <f>IFERROR(__xludf.DUMMYFUNCTION("IFERROR(VLOOKUP(C297,IMPORTRANGE(""https://docs.google.com/spreadsheets/d/1HZUHB8NvANAZR0sHDmHYVAm2WE9kNv0pGIQA48Ryim8/edit?gid=1285727875#gid=1285727875"",""Cost!A2:G""),7,0))"),1969.0)</f>
        <v>1969</v>
      </c>
      <c r="N297" s="62">
        <f t="shared" si="4"/>
        <v>3.544946673</v>
      </c>
      <c r="O297" s="28"/>
      <c r="P297" s="28"/>
      <c r="Q297" s="28"/>
      <c r="R297" s="28"/>
      <c r="S297" s="28"/>
      <c r="T297" s="28"/>
      <c r="U297" s="65"/>
      <c r="V297" s="28"/>
      <c r="W297" s="65"/>
      <c r="X297" s="66" t="s">
        <v>203</v>
      </c>
      <c r="Y297" s="65" t="str">
        <f t="shared" si="6"/>
        <v>BLAZE 6280</v>
      </c>
    </row>
    <row r="298">
      <c r="A298" s="18" t="s">
        <v>787</v>
      </c>
      <c r="B298" s="15" t="s">
        <v>810</v>
      </c>
      <c r="C298" s="15" t="s">
        <v>810</v>
      </c>
      <c r="D298" s="48" t="s">
        <v>210</v>
      </c>
      <c r="E298" s="75">
        <f t="shared" ref="E298:F298" si="55">SUM(E299:E300)</f>
        <v>5990</v>
      </c>
      <c r="F298" s="75">
        <f t="shared" si="55"/>
        <v>6420</v>
      </c>
      <c r="G298" s="50">
        <f t="shared" si="50"/>
        <v>0.07178631052</v>
      </c>
      <c r="H298" s="28"/>
      <c r="I298" s="55">
        <f t="shared" si="2"/>
        <v>6517.155306</v>
      </c>
      <c r="J298" s="81"/>
      <c r="K298" s="60">
        <f>IFERROR(__xludf.DUMMYFUNCTION("IFERROR(VLOOKUP(C298,IMPORTRANGE(""https://docs.google.com/spreadsheets/d/1HZUHB8NvANAZR0sHDmHYVAm2WE9kNv0pGIQA48Ryim8/edit?gid=1285727875#gid=1285727875"",""Sheet1!A2:G""),7,0))"),1574.44)</f>
        <v>1574.44</v>
      </c>
      <c r="L298" s="62">
        <f t="shared" si="51"/>
        <v>3.804527324</v>
      </c>
      <c r="M298" s="60">
        <f>IFERROR(__xludf.DUMMYFUNCTION("IFERROR(VLOOKUP(C298,IMPORTRANGE(""https://docs.google.com/spreadsheets/d/1HZUHB8NvANAZR0sHDmHYVAm2WE9kNv0pGIQA48Ryim8/edit?gid=1285727875#gid=1285727875"",""Cost!A2:G""),7,0))"),1713.0)</f>
        <v>1713</v>
      </c>
      <c r="N298" s="62">
        <f t="shared" si="4"/>
        <v>3.747810858</v>
      </c>
      <c r="O298" s="28"/>
      <c r="P298" s="28"/>
      <c r="Q298" s="28"/>
      <c r="R298" s="28"/>
      <c r="S298" s="28"/>
      <c r="T298" s="28"/>
      <c r="U298" s="65"/>
      <c r="V298" s="28"/>
      <c r="W298" s="65"/>
      <c r="X298" s="66" t="s">
        <v>209</v>
      </c>
      <c r="Y298" s="65" t="str">
        <f t="shared" si="6"/>
        <v>BLAZE 6291</v>
      </c>
    </row>
    <row r="299">
      <c r="A299" s="18" t="s">
        <v>787</v>
      </c>
      <c r="B299" s="15" t="s">
        <v>212</v>
      </c>
      <c r="C299" s="15" t="s">
        <v>212</v>
      </c>
      <c r="D299" s="48" t="s">
        <v>214</v>
      </c>
      <c r="E299" s="39">
        <v>4240.0</v>
      </c>
      <c r="F299" s="39">
        <v>4580.0</v>
      </c>
      <c r="G299" s="50">
        <f t="shared" si="50"/>
        <v>0.08018867925</v>
      </c>
      <c r="H299" s="28"/>
      <c r="I299" s="55">
        <f t="shared" si="2"/>
        <v>4549.622554</v>
      </c>
      <c r="J299" s="81"/>
      <c r="K299" s="60">
        <f>IFERROR(__xludf.DUMMYFUNCTION("IFERROR(VLOOKUP(C299,IMPORTRANGE(""https://docs.google.com/spreadsheets/d/1HZUHB8NvANAZR0sHDmHYVAm2WE9kNv0pGIQA48Ryim8/edit?gid=1285727875#gid=1285727875"",""Sheet1!A2:G""),7,0))"),1298.2)</f>
        <v>1298.2</v>
      </c>
      <c r="L299" s="62">
        <f t="shared" si="51"/>
        <v>3.266060699</v>
      </c>
      <c r="M299" s="60">
        <f>IFERROR(__xludf.DUMMYFUNCTION("IFERROR(VLOOKUP(C299,IMPORTRANGE(""https://docs.google.com/spreadsheets/d/1HZUHB8NvANAZR0sHDmHYVAm2WE9kNv0pGIQA48Ryim8/edit?gid=1285727875#gid=1285727875"",""Cost!A2:G""),7,0))"),1393.0)</f>
        <v>1393</v>
      </c>
      <c r="N299" s="62">
        <f t="shared" si="4"/>
        <v>3.287867911</v>
      </c>
      <c r="O299" s="28"/>
      <c r="P299" s="28"/>
      <c r="Q299" s="28"/>
      <c r="R299" s="28"/>
      <c r="S299" s="28"/>
      <c r="T299" s="28"/>
      <c r="U299" s="65"/>
      <c r="V299" s="28"/>
      <c r="W299" s="65"/>
      <c r="X299" s="66" t="s">
        <v>212</v>
      </c>
      <c r="Y299" s="65" t="str">
        <f t="shared" si="6"/>
        <v>BLAZE 62PD-40-N</v>
      </c>
    </row>
    <row r="300">
      <c r="A300" s="18" t="s">
        <v>787</v>
      </c>
      <c r="B300" s="15" t="s">
        <v>813</v>
      </c>
      <c r="C300" s="15" t="s">
        <v>813</v>
      </c>
      <c r="D300" s="48" t="s">
        <v>217</v>
      </c>
      <c r="E300" s="39">
        <v>1750.0</v>
      </c>
      <c r="F300" s="39">
        <v>1840.0</v>
      </c>
      <c r="G300" s="50">
        <f t="shared" si="50"/>
        <v>0.05142857143</v>
      </c>
      <c r="H300" s="28"/>
      <c r="I300" s="55">
        <f t="shared" si="2"/>
        <v>2024.158126</v>
      </c>
      <c r="J300" s="81"/>
      <c r="K300" s="60">
        <f>IFERROR(__xludf.DUMMYFUNCTION("IFERROR(VLOOKUP(C300,IMPORTRANGE(""https://docs.google.com/spreadsheets/d/1HZUHB8NvANAZR0sHDmHYVAm2WE9kNv0pGIQA48Ryim8/edit?gid=1285727875#gid=1285727875"",""Sheet1!A2:G""),7,0))"),273.2)</f>
        <v>273.2</v>
      </c>
      <c r="L300" s="62">
        <f t="shared" si="51"/>
        <v>6.40556369</v>
      </c>
      <c r="M300" s="60">
        <f>IFERROR(__xludf.DUMMYFUNCTION("IFERROR(VLOOKUP(C300,IMPORTRANGE(""https://docs.google.com/spreadsheets/d/1HZUHB8NvANAZR0sHDmHYVAm2WE9kNv0pGIQA48Ryim8/edit?gid=1285727875#gid=1285727875"",""Cost!A2:G""),7,0))"),316.0)</f>
        <v>316</v>
      </c>
      <c r="N300" s="62">
        <f t="shared" si="4"/>
        <v>5.82278481</v>
      </c>
      <c r="O300" s="28"/>
      <c r="P300" s="28"/>
      <c r="Q300" s="28"/>
      <c r="R300" s="28"/>
      <c r="S300" s="28"/>
      <c r="T300" s="28"/>
      <c r="U300" s="65"/>
      <c r="V300" s="28"/>
      <c r="W300" s="65"/>
      <c r="X300" s="66" t="s">
        <v>358</v>
      </c>
      <c r="Y300" s="65" t="str">
        <f t="shared" si="6"/>
        <v>BLAZE 62DB</v>
      </c>
    </row>
    <row r="301">
      <c r="A301" s="18" t="s">
        <v>787</v>
      </c>
      <c r="B301" s="15" t="s">
        <v>816</v>
      </c>
      <c r="C301" s="15" t="s">
        <v>816</v>
      </c>
      <c r="D301" s="48" t="s">
        <v>220</v>
      </c>
      <c r="E301" s="75">
        <f t="shared" ref="E301:F301" si="56">SUM(E302:E303)</f>
        <v>6730</v>
      </c>
      <c r="F301" s="75">
        <f t="shared" si="56"/>
        <v>7330</v>
      </c>
      <c r="G301" s="50">
        <f t="shared" si="50"/>
        <v>0.08915304606</v>
      </c>
      <c r="H301" s="28"/>
      <c r="I301" s="55">
        <f t="shared" si="2"/>
        <v>7507.529302</v>
      </c>
      <c r="J301" s="81"/>
      <c r="K301" s="60">
        <f>IFERROR(__xludf.DUMMYFUNCTION("IFERROR(VLOOKUP(C301,IMPORTRANGE(""https://docs.google.com/spreadsheets/d/1HZUHB8NvANAZR0sHDmHYVAm2WE9kNv0pGIQA48Ryim8/edit?gid=1285727875#gid=1285727875"",""Sheet1!A2:G""),7,0))"),1857.41)</f>
        <v>1857.41</v>
      </c>
      <c r="L301" s="62">
        <f t="shared" si="51"/>
        <v>3.623324952</v>
      </c>
      <c r="M301" s="60">
        <f>IFERROR(__xludf.DUMMYFUNCTION("IFERROR(VLOOKUP(C301,IMPORTRANGE(""https://docs.google.com/spreadsheets/d/1HZUHB8NvANAZR0sHDmHYVAm2WE9kNv0pGIQA48Ryim8/edit?gid=1285727875#gid=1285727875"",""Cost!A2:G""),7,0))"),2072.0)</f>
        <v>2072</v>
      </c>
      <c r="N301" s="62">
        <f t="shared" si="4"/>
        <v>3.537644788</v>
      </c>
      <c r="O301" s="28"/>
      <c r="P301" s="28"/>
      <c r="Q301" s="28"/>
      <c r="R301" s="28"/>
      <c r="S301" s="28"/>
      <c r="T301" s="28"/>
      <c r="U301" s="65"/>
      <c r="V301" s="28"/>
      <c r="W301" s="65"/>
      <c r="X301" s="66" t="s">
        <v>219</v>
      </c>
      <c r="Y301" s="65" t="str">
        <f t="shared" si="6"/>
        <v>BLAZE 6292</v>
      </c>
    </row>
    <row r="302">
      <c r="A302" s="18" t="s">
        <v>787</v>
      </c>
      <c r="B302" s="15" t="s">
        <v>223</v>
      </c>
      <c r="C302" s="15" t="s">
        <v>223</v>
      </c>
      <c r="D302" s="48" t="s">
        <v>224</v>
      </c>
      <c r="E302" s="39">
        <v>4980.0</v>
      </c>
      <c r="F302" s="39">
        <v>5490.0</v>
      </c>
      <c r="G302" s="50">
        <f t="shared" si="50"/>
        <v>0.1024096386</v>
      </c>
      <c r="H302" s="28"/>
      <c r="I302" s="55">
        <f t="shared" si="2"/>
        <v>5513.426362</v>
      </c>
      <c r="J302" s="81"/>
      <c r="K302" s="60">
        <f>IFERROR(__xludf.DUMMYFUNCTION("IFERROR(VLOOKUP(C302,IMPORTRANGE(""https://docs.google.com/spreadsheets/d/1HZUHB8NvANAZR0sHDmHYVAm2WE9kNv0pGIQA48Ryim8/edit?gid=1285727875#gid=1285727875"",""Sheet1!A2:G""),7,0))"),1581.59)</f>
        <v>1581.59</v>
      </c>
      <c r="L302" s="62">
        <f t="shared" si="51"/>
        <v>3.148730075</v>
      </c>
      <c r="M302" s="60">
        <f>IFERROR(__xludf.DUMMYFUNCTION("IFERROR(VLOOKUP(C302,IMPORTRANGE(""https://docs.google.com/spreadsheets/d/1HZUHB8NvANAZR0sHDmHYVAm2WE9kNv0pGIQA48Ryim8/edit?gid=1285727875#gid=1285727875"",""Cost!A2:G""),7,0))"),1751.0)</f>
        <v>1751</v>
      </c>
      <c r="N302" s="62">
        <f t="shared" si="4"/>
        <v>3.135351228</v>
      </c>
      <c r="O302" s="28"/>
      <c r="P302" s="28"/>
      <c r="Q302" s="28"/>
      <c r="R302" s="28"/>
      <c r="S302" s="28"/>
      <c r="T302" s="28"/>
      <c r="U302" s="65"/>
      <c r="V302" s="28"/>
      <c r="W302" s="65"/>
      <c r="X302" s="66" t="s">
        <v>223</v>
      </c>
      <c r="Y302" s="65" t="str">
        <f t="shared" si="6"/>
        <v>BLAZE 62PD-46-H-N</v>
      </c>
    </row>
    <row r="303">
      <c r="A303" s="18" t="s">
        <v>787</v>
      </c>
      <c r="B303" s="15" t="s">
        <v>819</v>
      </c>
      <c r="C303" s="15" t="s">
        <v>819</v>
      </c>
      <c r="D303" s="48" t="s">
        <v>217</v>
      </c>
      <c r="E303" s="39">
        <v>1750.0</v>
      </c>
      <c r="F303" s="39">
        <f>F300</f>
        <v>1840</v>
      </c>
      <c r="G303" s="50">
        <f t="shared" si="50"/>
        <v>0.05142857143</v>
      </c>
      <c r="H303" s="28"/>
      <c r="I303" s="55">
        <f t="shared" si="2"/>
        <v>2033.387263</v>
      </c>
      <c r="J303" s="81"/>
      <c r="K303" s="60">
        <f>IFERROR(__xludf.DUMMYFUNCTION("IFERROR(VLOOKUP(C303,IMPORTRANGE(""https://docs.google.com/spreadsheets/d/1HZUHB8NvANAZR0sHDmHYVAm2WE9kNv0pGIQA48Ryim8/edit?gid=1285727875#gid=1285727875"",""Sheet1!A2:G""),7,0))"),271.96)</f>
        <v>271.96</v>
      </c>
      <c r="L303" s="62">
        <f t="shared" si="51"/>
        <v>6.434769819</v>
      </c>
      <c r="M303" s="60">
        <f>IFERROR(__xludf.DUMMYFUNCTION("IFERROR(VLOOKUP(C303,IMPORTRANGE(""https://docs.google.com/spreadsheets/d/1HZUHB8NvANAZR0sHDmHYVAm2WE9kNv0pGIQA48Ryim8/edit?gid=1285727875#gid=1285727875"",""Cost!A2:G""),7,0))"),316.0)</f>
        <v>316</v>
      </c>
      <c r="N303" s="62">
        <f t="shared" si="4"/>
        <v>5.82278481</v>
      </c>
      <c r="O303" s="28"/>
      <c r="P303" s="28"/>
      <c r="Q303" s="28"/>
      <c r="R303" s="28"/>
      <c r="S303" s="28"/>
      <c r="T303" s="28"/>
      <c r="U303" s="65"/>
      <c r="V303" s="28"/>
      <c r="W303" s="65"/>
      <c r="X303" s="66" t="s">
        <v>358</v>
      </c>
      <c r="Y303" s="65" t="str">
        <f t="shared" si="6"/>
        <v>BLAZE 62DB</v>
      </c>
    </row>
    <row r="304">
      <c r="A304" s="18" t="s">
        <v>787</v>
      </c>
      <c r="B304" s="15" t="s">
        <v>822</v>
      </c>
      <c r="C304" s="15" t="s">
        <v>822</v>
      </c>
      <c r="D304" s="48" t="s">
        <v>229</v>
      </c>
      <c r="E304" s="75">
        <f t="shared" ref="E304:F304" si="57">SUM(E305:E306)</f>
        <v>6730</v>
      </c>
      <c r="F304" s="75">
        <f t="shared" si="57"/>
        <v>7330</v>
      </c>
      <c r="G304" s="50">
        <f t="shared" si="50"/>
        <v>0.08915304606</v>
      </c>
      <c r="H304" s="28"/>
      <c r="I304" s="55">
        <f t="shared" si="2"/>
        <v>7583.652261</v>
      </c>
      <c r="J304" s="81"/>
      <c r="K304" s="60">
        <f>IFERROR(__xludf.DUMMYFUNCTION("IFERROR(VLOOKUP(C304,IMPORTRANGE(""https://docs.google.com/spreadsheets/d/1HZUHB8NvANAZR0sHDmHYVAm2WE9kNv0pGIQA48Ryim8/edit?gid=1285727875#gid=1285727875"",""Sheet1!A2:G""),7,0))"),1643.53)</f>
        <v>1643.53</v>
      </c>
      <c r="L304" s="62">
        <f t="shared" si="51"/>
        <v>4.094844633</v>
      </c>
      <c r="M304" s="60">
        <f>IFERROR(__xludf.DUMMYFUNCTION("IFERROR(VLOOKUP(C304,IMPORTRANGE(""https://docs.google.com/spreadsheets/d/1HZUHB8NvANAZR0sHDmHYVAm2WE9kNv0pGIQA48Ryim8/edit?gid=1285727875#gid=1285727875"",""Cost!A2:G""),7,0))"),1852.0)</f>
        <v>1852</v>
      </c>
      <c r="N304" s="62">
        <f t="shared" si="4"/>
        <v>3.957883369</v>
      </c>
      <c r="O304" s="28"/>
      <c r="P304" s="28"/>
      <c r="Q304" s="28"/>
      <c r="R304" s="28"/>
      <c r="S304" s="28"/>
      <c r="T304" s="28"/>
      <c r="U304" s="65"/>
      <c r="V304" s="28"/>
      <c r="W304" s="65"/>
      <c r="X304" s="66" t="s">
        <v>368</v>
      </c>
      <c r="Y304" s="65" t="str">
        <f t="shared" si="6"/>
        <v>BLAZE 6292-ON-OFF</v>
      </c>
    </row>
    <row r="305">
      <c r="A305" s="18" t="s">
        <v>787</v>
      </c>
      <c r="B305" s="15" t="s">
        <v>234</v>
      </c>
      <c r="C305" s="15" t="s">
        <v>234</v>
      </c>
      <c r="D305" s="48" t="s">
        <v>235</v>
      </c>
      <c r="E305" s="39">
        <f>E302-240</f>
        <v>4740</v>
      </c>
      <c r="F305" s="75">
        <f>F302-$X$1</f>
        <v>5250</v>
      </c>
      <c r="G305" s="50">
        <f t="shared" si="50"/>
        <v>0.1075949367</v>
      </c>
      <c r="H305" s="28"/>
      <c r="I305" s="55">
        <f t="shared" si="2"/>
        <v>5306.797906</v>
      </c>
      <c r="J305" s="81"/>
      <c r="K305" s="60">
        <f>IFERROR(__xludf.DUMMYFUNCTION("IFERROR(VLOOKUP(C305,IMPORTRANGE(""https://docs.google.com/spreadsheets/d/1HZUHB8NvANAZR0sHDmHYVAm2WE9kNv0pGIQA48Ryim8/edit?gid=1285727875#gid=1285727875"",""Sheet1!A2:G""),7,0))"),1367.48)</f>
        <v>1367.48</v>
      </c>
      <c r="L305" s="62">
        <f t="shared" si="51"/>
        <v>3.466229853</v>
      </c>
      <c r="M305" s="60">
        <f>IFERROR(__xludf.DUMMYFUNCTION("IFERROR(VLOOKUP(C305,IMPORTRANGE(""https://docs.google.com/spreadsheets/d/1HZUHB8NvANAZR0sHDmHYVAm2WE9kNv0pGIQA48Ryim8/edit?gid=1285727875#gid=1285727875"",""Cost!A2:G""),7,0))"),1531.0)</f>
        <v>1531</v>
      </c>
      <c r="N305" s="62">
        <f t="shared" si="4"/>
        <v>3.429131287</v>
      </c>
      <c r="O305" s="28"/>
      <c r="P305" s="28"/>
      <c r="Q305" s="28"/>
      <c r="R305" s="28"/>
      <c r="S305" s="28"/>
      <c r="T305" s="28"/>
      <c r="U305" s="65"/>
      <c r="V305" s="28"/>
      <c r="W305" s="65"/>
      <c r="X305" s="66" t="s">
        <v>371</v>
      </c>
      <c r="Y305" s="65" t="str">
        <f t="shared" si="6"/>
        <v>BLAZE 62PD-ON-OFF</v>
      </c>
    </row>
    <row r="306">
      <c r="A306" s="18" t="s">
        <v>787</v>
      </c>
      <c r="B306" s="15" t="s">
        <v>827</v>
      </c>
      <c r="C306" s="15" t="s">
        <v>827</v>
      </c>
      <c r="D306" s="48" t="s">
        <v>217</v>
      </c>
      <c r="E306" s="75">
        <f>E303+240</f>
        <v>1990</v>
      </c>
      <c r="F306" s="75">
        <f>F303+$X$1</f>
        <v>2080</v>
      </c>
      <c r="G306" s="50">
        <f t="shared" si="50"/>
        <v>0.04522613065</v>
      </c>
      <c r="H306" s="28"/>
      <c r="I306" s="55">
        <f t="shared" si="2"/>
        <v>2313.102332</v>
      </c>
      <c r="J306" s="81"/>
      <c r="K306" s="60">
        <f>IFERROR(__xludf.DUMMYFUNCTION("IFERROR(VLOOKUP(C306,IMPORTRANGE(""https://docs.google.com/spreadsheets/d/1HZUHB8NvANAZR0sHDmHYVAm2WE9kNv0pGIQA48Ryim8/edit?gid=1285727875#gid=1285727875"",""Sheet1!A2:G""),7,0))"),271.86)</f>
        <v>271.86</v>
      </c>
      <c r="L306" s="62">
        <f t="shared" si="51"/>
        <v>7.319944089</v>
      </c>
      <c r="M306" s="60">
        <f>IFERROR(__xludf.DUMMYFUNCTION("IFERROR(VLOOKUP(C306,IMPORTRANGE(""https://docs.google.com/spreadsheets/d/1HZUHB8NvANAZR0sHDmHYVAm2WE9kNv0pGIQA48Ryim8/edit?gid=1285727875#gid=1285727875"",""Cost!A2:G""),7,0))"),316.0)</f>
        <v>316</v>
      </c>
      <c r="N306" s="62">
        <f t="shared" si="4"/>
        <v>6.582278481</v>
      </c>
      <c r="O306" s="28"/>
      <c r="P306" s="28"/>
      <c r="Q306" s="28"/>
      <c r="R306" s="28"/>
      <c r="S306" s="28"/>
      <c r="T306" s="28"/>
      <c r="U306" s="65"/>
      <c r="V306" s="28"/>
      <c r="W306" s="65"/>
      <c r="X306" s="66" t="s">
        <v>375</v>
      </c>
      <c r="Y306" s="65" t="str">
        <f t="shared" si="6"/>
        <v>BLAZE 62DB-ON-OFF</v>
      </c>
    </row>
    <row r="307">
      <c r="A307" s="18" t="s">
        <v>787</v>
      </c>
      <c r="B307" s="15"/>
      <c r="C307" s="15" t="s">
        <v>830</v>
      </c>
      <c r="D307" s="18" t="s">
        <v>220</v>
      </c>
      <c r="E307" s="97" t="s">
        <v>377</v>
      </c>
      <c r="F307" s="75">
        <f>SUM(F308:F309)</f>
        <v>7330</v>
      </c>
      <c r="G307" s="50"/>
      <c r="H307" s="28"/>
      <c r="I307" s="55">
        <f t="shared" si="2"/>
        <v>0</v>
      </c>
      <c r="J307" s="81"/>
      <c r="K307" s="60"/>
      <c r="L307" s="62"/>
      <c r="M307" s="60">
        <f>SUM(M308:M309)</f>
        <v>2024.83</v>
      </c>
      <c r="N307" s="62">
        <f t="shared" si="4"/>
        <v>3.620056992</v>
      </c>
      <c r="O307" s="28"/>
      <c r="P307" s="28"/>
      <c r="Q307" s="28"/>
      <c r="R307" s="28"/>
      <c r="S307" s="28"/>
      <c r="T307" s="28"/>
      <c r="U307" s="65"/>
      <c r="V307" s="28"/>
      <c r="W307" s="65"/>
      <c r="X307" s="66" t="s">
        <v>380</v>
      </c>
      <c r="Y307" s="65" t="str">
        <f t="shared" si="6"/>
        <v>BLAZE 6292-P</v>
      </c>
    </row>
    <row r="308">
      <c r="A308" s="18" t="s">
        <v>787</v>
      </c>
      <c r="B308" s="15"/>
      <c r="C308" s="15" t="s">
        <v>381</v>
      </c>
      <c r="D308" s="18" t="s">
        <v>382</v>
      </c>
      <c r="E308" s="97" t="s">
        <v>377</v>
      </c>
      <c r="F308" s="39">
        <f>F302-$Y$1</f>
        <v>4990</v>
      </c>
      <c r="G308" s="50"/>
      <c r="H308" s="28"/>
      <c r="I308" s="55">
        <f t="shared" si="2"/>
        <v>0</v>
      </c>
      <c r="J308" s="81"/>
      <c r="K308" s="60"/>
      <c r="L308" s="62"/>
      <c r="M308" s="60">
        <f>IFERROR(__xludf.DUMMYFUNCTION("IFERROR(VLOOKUP(C308,IMPORTRANGE(""https://docs.google.com/spreadsheets/d/1HZUHB8NvANAZR0sHDmHYVAm2WE9kNv0pGIQA48Ryim8/edit?gid=1285727875#gid=1285727875"",""Diverter &amp; Upper!A2:B""),2,0))"),1585.45)</f>
        <v>1585.45</v>
      </c>
      <c r="N308" s="62">
        <f t="shared" si="4"/>
        <v>3.147371409</v>
      </c>
      <c r="O308" s="28"/>
      <c r="P308" s="28"/>
      <c r="Q308" s="28"/>
      <c r="R308" s="28"/>
      <c r="S308" s="28"/>
      <c r="T308" s="28"/>
      <c r="U308" s="65"/>
      <c r="V308" s="28"/>
      <c r="W308" s="65"/>
      <c r="X308" s="66" t="s">
        <v>381</v>
      </c>
      <c r="Y308" s="65" t="str">
        <f t="shared" si="6"/>
        <v>BLAZE 62PD-46-H-P</v>
      </c>
    </row>
    <row r="309">
      <c r="A309" s="18" t="s">
        <v>787</v>
      </c>
      <c r="B309" s="15"/>
      <c r="C309" s="15" t="s">
        <v>833</v>
      </c>
      <c r="D309" s="18" t="s">
        <v>386</v>
      </c>
      <c r="E309" s="97" t="s">
        <v>377</v>
      </c>
      <c r="F309" s="39">
        <f>F303+$Y$1</f>
        <v>2340</v>
      </c>
      <c r="G309" s="50"/>
      <c r="H309" s="28"/>
      <c r="I309" s="55">
        <f t="shared" si="2"/>
        <v>0</v>
      </c>
      <c r="J309" s="81"/>
      <c r="K309" s="60"/>
      <c r="L309" s="62"/>
      <c r="M309" s="60">
        <f>IFERROR(__xludf.DUMMYFUNCTION("IFERROR(VLOOKUP(C309,IMPORTRANGE(""https://docs.google.com/spreadsheets/d/1HZUHB8NvANAZR0sHDmHYVAm2WE9kNv0pGIQA48Ryim8/edit?gid=1285727875#gid=1285727875"",""Diverter &amp; Upper!A2:B""),2,0))"),439.38)</f>
        <v>439.38</v>
      </c>
      <c r="N309" s="62">
        <f t="shared" si="4"/>
        <v>5.325686194</v>
      </c>
      <c r="O309" s="28"/>
      <c r="P309" s="28"/>
      <c r="Q309" s="28"/>
      <c r="R309" s="28"/>
      <c r="S309" s="28"/>
      <c r="T309" s="28"/>
      <c r="U309" s="65"/>
      <c r="V309" s="28"/>
      <c r="W309" s="65"/>
      <c r="X309" s="66" t="s">
        <v>387</v>
      </c>
      <c r="Y309" s="65" t="str">
        <f t="shared" si="6"/>
        <v>BLAZE 62DB-P</v>
      </c>
    </row>
    <row r="310">
      <c r="A310" s="18" t="s">
        <v>787</v>
      </c>
      <c r="B310" s="15"/>
      <c r="C310" s="15" t="s">
        <v>834</v>
      </c>
      <c r="D310" s="18" t="s">
        <v>229</v>
      </c>
      <c r="E310" s="97" t="s">
        <v>377</v>
      </c>
      <c r="F310" s="75">
        <f>SUM(F311:F312)</f>
        <v>7330</v>
      </c>
      <c r="G310" s="50"/>
      <c r="H310" s="28"/>
      <c r="I310" s="55">
        <f t="shared" si="2"/>
        <v>0</v>
      </c>
      <c r="J310" s="81"/>
      <c r="K310" s="60"/>
      <c r="L310" s="62"/>
      <c r="M310" s="60">
        <f>SUM(M311:M312)</f>
        <v>1808.37</v>
      </c>
      <c r="N310" s="62">
        <f t="shared" si="4"/>
        <v>4.053374033</v>
      </c>
      <c r="O310" s="28"/>
      <c r="P310" s="28"/>
      <c r="Q310" s="28"/>
      <c r="R310" s="28"/>
      <c r="S310" s="28"/>
      <c r="T310" s="28"/>
      <c r="U310" s="65"/>
      <c r="V310" s="28"/>
      <c r="W310" s="65"/>
      <c r="X310" s="66" t="s">
        <v>391</v>
      </c>
      <c r="Y310" s="65" t="str">
        <f t="shared" si="6"/>
        <v>BLAZE 6292-ON-OFF-P</v>
      </c>
    </row>
    <row r="311">
      <c r="A311" s="18" t="s">
        <v>787</v>
      </c>
      <c r="B311" s="15"/>
      <c r="C311" s="15" t="s">
        <v>392</v>
      </c>
      <c r="D311" s="18" t="s">
        <v>393</v>
      </c>
      <c r="E311" s="97" t="s">
        <v>377</v>
      </c>
      <c r="F311" s="39">
        <f>F308-$X$1</f>
        <v>4750</v>
      </c>
      <c r="G311" s="50"/>
      <c r="H311" s="28"/>
      <c r="I311" s="55">
        <f t="shared" si="2"/>
        <v>0</v>
      </c>
      <c r="J311" s="81"/>
      <c r="K311" s="60"/>
      <c r="L311" s="62"/>
      <c r="M311" s="60">
        <f>IFERROR(__xludf.DUMMYFUNCTION("IFERROR(VLOOKUP(C311,IMPORTRANGE(""https://docs.google.com/spreadsheets/d/1HZUHB8NvANAZR0sHDmHYVAm2WE9kNv0pGIQA48Ryim8/edit?gid=1285727875#gid=1285727875"",""Diverter &amp; Upper!A2:B""),2,0))"),1357.68)</f>
        <v>1357.68</v>
      </c>
      <c r="N311" s="62">
        <f t="shared" si="4"/>
        <v>3.498615285</v>
      </c>
      <c r="O311" s="28"/>
      <c r="P311" s="28"/>
      <c r="Q311" s="28"/>
      <c r="R311" s="28"/>
      <c r="S311" s="28"/>
      <c r="T311" s="28"/>
      <c r="U311" s="65"/>
      <c r="V311" s="28"/>
      <c r="W311" s="65"/>
      <c r="X311" s="66" t="s">
        <v>396</v>
      </c>
      <c r="Y311" s="65" t="str">
        <f t="shared" si="6"/>
        <v>BLAZE 62PD-ON-OFF-P</v>
      </c>
    </row>
    <row r="312">
      <c r="A312" s="18" t="s">
        <v>787</v>
      </c>
      <c r="B312" s="15"/>
      <c r="C312" s="15" t="s">
        <v>837</v>
      </c>
      <c r="D312" s="18" t="s">
        <v>386</v>
      </c>
      <c r="E312" s="97" t="s">
        <v>377</v>
      </c>
      <c r="F312" s="39">
        <f>F309+$X$1</f>
        <v>2580</v>
      </c>
      <c r="G312" s="50"/>
      <c r="H312" s="28"/>
      <c r="I312" s="55">
        <f t="shared" si="2"/>
        <v>0</v>
      </c>
      <c r="J312" s="81"/>
      <c r="K312" s="60"/>
      <c r="L312" s="62"/>
      <c r="M312" s="60">
        <f>IFERROR(__xludf.DUMMYFUNCTION("IFERROR(VLOOKUP(C312,IMPORTRANGE(""https://docs.google.com/spreadsheets/d/1HZUHB8NvANAZR0sHDmHYVAm2WE9kNv0pGIQA48Ryim8/edit?gid=1285727875#gid=1285727875"",""Diverter &amp; Upper!A2:B""),2,0))"),450.69)</f>
        <v>450.69</v>
      </c>
      <c r="N312" s="62">
        <f t="shared" si="4"/>
        <v>5.724555681</v>
      </c>
      <c r="O312" s="28"/>
      <c r="P312" s="28"/>
      <c r="Q312" s="28"/>
      <c r="R312" s="28"/>
      <c r="S312" s="28"/>
      <c r="T312" s="28"/>
      <c r="U312" s="65"/>
      <c r="V312" s="28"/>
      <c r="W312" s="65"/>
      <c r="X312" s="66" t="s">
        <v>400</v>
      </c>
      <c r="Y312" s="65" t="str">
        <f t="shared" si="6"/>
        <v>BLAZE 62DB-ON-OFF-P</v>
      </c>
    </row>
    <row r="313">
      <c r="A313" s="18" t="s">
        <v>787</v>
      </c>
      <c r="B313" s="15" t="s">
        <v>838</v>
      </c>
      <c r="C313" s="15" t="s">
        <v>838</v>
      </c>
      <c r="D313" s="48" t="s">
        <v>241</v>
      </c>
      <c r="E313" s="75">
        <f t="shared" ref="E313:F313" si="58">SUM(E314:E315)</f>
        <v>6730</v>
      </c>
      <c r="F313" s="75">
        <f t="shared" si="58"/>
        <v>7330</v>
      </c>
      <c r="G313" s="50">
        <f t="shared" ref="G313:G508" si="59">IFERROR((F313-E313)/E313,"")</f>
        <v>0.08915304606</v>
      </c>
      <c r="H313" s="28"/>
      <c r="I313" s="55">
        <f t="shared" si="2"/>
        <v>7372.991738</v>
      </c>
      <c r="J313" s="81"/>
      <c r="K313" s="60">
        <f>IFERROR(__xludf.DUMMYFUNCTION("IFERROR(VLOOKUP(C313,IMPORTRANGE(""https://docs.google.com/spreadsheets/d/1HZUHB8NvANAZR0sHDmHYVAm2WE9kNv0pGIQA48Ryim8/edit?gid=1285727875#gid=1285727875"",""Sheet1!A2:G""),7,0))"),1811.89)</f>
        <v>1811.89</v>
      </c>
      <c r="L313" s="62">
        <f t="shared" ref="L313:L508" si="60">IFERROR(E313/$K313,"")</f>
        <v>3.71435352</v>
      </c>
      <c r="M313" s="60">
        <f>IFERROR(__xludf.DUMMYFUNCTION("IFERROR(VLOOKUP(C313,IMPORTRANGE(""https://docs.google.com/spreadsheets/d/1HZUHB8NvANAZR0sHDmHYVAm2WE9kNv0pGIQA48Ryim8/edit?gid=1285727875#gid=1285727875"",""Cost!A2:G""),7,0))"),1985.0)</f>
        <v>1985</v>
      </c>
      <c r="N313" s="62">
        <f t="shared" si="4"/>
        <v>3.692695214</v>
      </c>
      <c r="O313" s="28"/>
      <c r="P313" s="28"/>
      <c r="Q313" s="28"/>
      <c r="R313" s="28"/>
      <c r="S313" s="28"/>
      <c r="T313" s="28"/>
      <c r="U313" s="65"/>
      <c r="V313" s="28"/>
      <c r="W313" s="65"/>
      <c r="X313" s="66" t="s">
        <v>239</v>
      </c>
      <c r="Y313" s="65" t="str">
        <f t="shared" si="6"/>
        <v>BLAZE 6293</v>
      </c>
    </row>
    <row r="314">
      <c r="A314" s="18" t="s">
        <v>787</v>
      </c>
      <c r="B314" s="15" t="s">
        <v>243</v>
      </c>
      <c r="C314" s="15" t="s">
        <v>243</v>
      </c>
      <c r="D314" s="48" t="s">
        <v>244</v>
      </c>
      <c r="E314" s="39">
        <v>4980.0</v>
      </c>
      <c r="F314" s="39">
        <v>5490.0</v>
      </c>
      <c r="G314" s="50">
        <f t="shared" si="59"/>
        <v>0.1024096386</v>
      </c>
      <c r="H314" s="28"/>
      <c r="I314" s="55">
        <f t="shared" si="2"/>
        <v>5395.785272</v>
      </c>
      <c r="J314" s="81"/>
      <c r="K314" s="60">
        <f>IFERROR(__xludf.DUMMYFUNCTION("IFERROR(VLOOKUP(C314,IMPORTRANGE(""https://docs.google.com/spreadsheets/d/1HZUHB8NvANAZR0sHDmHYVAm2WE9kNv0pGIQA48Ryim8/edit?gid=1285727875#gid=1285727875"",""Sheet1!A2:G""),7,0))"),1543.16)</f>
        <v>1543.16</v>
      </c>
      <c r="L314" s="62">
        <f t="shared" si="60"/>
        <v>3.227144301</v>
      </c>
      <c r="M314" s="60">
        <f>IFERROR(__xludf.DUMMYFUNCTION("IFERROR(VLOOKUP(C314,IMPORTRANGE(""https://docs.google.com/spreadsheets/d/1HZUHB8NvANAZR0sHDmHYVAm2WE9kNv0pGIQA48Ryim8/edit?gid=1285727875#gid=1285727875"",""Cost!A2:G""),7,0))"),1672.0)</f>
        <v>1672</v>
      </c>
      <c r="N314" s="62">
        <f t="shared" si="4"/>
        <v>3.283492823</v>
      </c>
      <c r="O314" s="28"/>
      <c r="P314" s="28"/>
      <c r="Q314" s="28"/>
      <c r="R314" s="28"/>
      <c r="S314" s="28"/>
      <c r="T314" s="28"/>
      <c r="U314" s="65"/>
      <c r="V314" s="28"/>
      <c r="W314" s="65"/>
      <c r="X314" s="66" t="s">
        <v>243</v>
      </c>
      <c r="Y314" s="65" t="str">
        <f t="shared" si="6"/>
        <v>BLAZE 62PD-3 IN-N</v>
      </c>
    </row>
    <row r="315">
      <c r="A315" s="18" t="s">
        <v>787</v>
      </c>
      <c r="B315" s="15" t="s">
        <v>843</v>
      </c>
      <c r="C315" s="15" t="s">
        <v>843</v>
      </c>
      <c r="D315" s="48" t="s">
        <v>217</v>
      </c>
      <c r="E315" s="39">
        <v>1750.0</v>
      </c>
      <c r="F315" s="39">
        <f>F300</f>
        <v>1840</v>
      </c>
      <c r="G315" s="50">
        <f t="shared" si="59"/>
        <v>0.05142857143</v>
      </c>
      <c r="H315" s="28"/>
      <c r="I315" s="55">
        <f t="shared" si="2"/>
        <v>2036.334972</v>
      </c>
      <c r="J315" s="81"/>
      <c r="K315" s="60">
        <f>IFERROR(__xludf.DUMMYFUNCTION("IFERROR(VLOOKUP(C315,IMPORTRANGE(""https://docs.google.com/spreadsheets/d/1HZUHB8NvANAZR0sHDmHYVAm2WE9kNv0pGIQA48Ryim8/edit?gid=1285727875#gid=1285727875"",""Sheet1!A2:G""),7,0))"),266.41)</f>
        <v>266.41</v>
      </c>
      <c r="L315" s="62">
        <f t="shared" si="60"/>
        <v>6.568822492</v>
      </c>
      <c r="M315" s="60">
        <f>IFERROR(__xludf.DUMMYFUNCTION("IFERROR(VLOOKUP(C315,IMPORTRANGE(""https://docs.google.com/spreadsheets/d/1HZUHB8NvANAZR0sHDmHYVAm2WE9kNv0pGIQA48Ryim8/edit?gid=1285727875#gid=1285727875"",""Cost!A2:G""),7,0))"),310.0)</f>
        <v>310</v>
      </c>
      <c r="N315" s="62">
        <f t="shared" si="4"/>
        <v>5.935483871</v>
      </c>
      <c r="O315" s="28"/>
      <c r="P315" s="28"/>
      <c r="Q315" s="28"/>
      <c r="R315" s="28"/>
      <c r="S315" s="28"/>
      <c r="T315" s="28"/>
      <c r="U315" s="65"/>
      <c r="V315" s="28"/>
      <c r="W315" s="65"/>
      <c r="X315" s="66" t="s">
        <v>358</v>
      </c>
      <c r="Y315" s="65" t="str">
        <f t="shared" si="6"/>
        <v>BLAZE 62DB</v>
      </c>
    </row>
    <row r="316">
      <c r="A316" s="18" t="s">
        <v>787</v>
      </c>
      <c r="B316" s="15" t="s">
        <v>846</v>
      </c>
      <c r="C316" s="15" t="s">
        <v>846</v>
      </c>
      <c r="D316" s="48" t="s">
        <v>250</v>
      </c>
      <c r="E316" s="75">
        <f t="shared" ref="E316:F316" si="61">SUM(E317:E318)</f>
        <v>6730</v>
      </c>
      <c r="F316" s="75">
        <f t="shared" si="61"/>
        <v>7330</v>
      </c>
      <c r="G316" s="50">
        <f t="shared" si="59"/>
        <v>0.08915304606</v>
      </c>
      <c r="H316" s="28"/>
      <c r="I316" s="55">
        <f t="shared" si="2"/>
        <v>7469.652849</v>
      </c>
      <c r="J316" s="81"/>
      <c r="K316" s="60">
        <f>IFERROR(__xludf.DUMMYFUNCTION("IFERROR(VLOOKUP(C316,IMPORTRANGE(""https://docs.google.com/spreadsheets/d/1HZUHB8NvANAZR0sHDmHYVAm2WE9kNv0pGIQA48Ryim8/edit?gid=1285727875#gid=1285727875"",""Sheet1!A2:G""),7,0))"),1840.7)</f>
        <v>1840.7</v>
      </c>
      <c r="L316" s="62">
        <f t="shared" si="60"/>
        <v>3.656217743</v>
      </c>
      <c r="M316" s="60">
        <f>IFERROR(__xludf.DUMMYFUNCTION("IFERROR(VLOOKUP(C316,IMPORTRANGE(""https://docs.google.com/spreadsheets/d/1HZUHB8NvANAZR0sHDmHYVAm2WE9kNv0pGIQA48Ryim8/edit?gid=1285727875#gid=1285727875"",""Cost!A2:G""),7,0))"),2043.0)</f>
        <v>2043</v>
      </c>
      <c r="N316" s="62">
        <f t="shared" si="4"/>
        <v>3.587860989</v>
      </c>
      <c r="O316" s="28"/>
      <c r="P316" s="28"/>
      <c r="Q316" s="28"/>
      <c r="R316" s="28"/>
      <c r="S316" s="28"/>
      <c r="T316" s="28"/>
      <c r="U316" s="65"/>
      <c r="V316" s="28"/>
      <c r="W316" s="65"/>
      <c r="X316" s="66" t="s">
        <v>410</v>
      </c>
      <c r="Y316" s="65" t="str">
        <f t="shared" si="6"/>
        <v>BLAZE 6293-ON-OFF</v>
      </c>
    </row>
    <row r="317">
      <c r="A317" s="18" t="s">
        <v>787</v>
      </c>
      <c r="B317" s="15" t="s">
        <v>253</v>
      </c>
      <c r="C317" s="15" t="s">
        <v>253</v>
      </c>
      <c r="D317" s="48" t="s">
        <v>256</v>
      </c>
      <c r="E317" s="39">
        <f>E314-240</f>
        <v>4740</v>
      </c>
      <c r="F317" s="39">
        <f>F314-$X$1</f>
        <v>5250</v>
      </c>
      <c r="G317" s="50">
        <f t="shared" si="59"/>
        <v>0.1075949367</v>
      </c>
      <c r="H317" s="28"/>
      <c r="I317" s="55">
        <f t="shared" si="2"/>
        <v>5217.019108</v>
      </c>
      <c r="J317" s="81"/>
      <c r="K317" s="60">
        <f>IFERROR(__xludf.DUMMYFUNCTION("IFERROR(VLOOKUP(C317,IMPORTRANGE(""https://docs.google.com/spreadsheets/d/1HZUHB8NvANAZR0sHDmHYVAm2WE9kNv0pGIQA48Ryim8/edit?gid=1285727875#gid=1285727875"",""Sheet1!A2:G""),7,0))"),1570.0)</f>
        <v>1570</v>
      </c>
      <c r="L317" s="62">
        <f t="shared" si="60"/>
        <v>3.01910828</v>
      </c>
      <c r="M317" s="60">
        <f>IFERROR(__xludf.DUMMYFUNCTION("IFERROR(VLOOKUP(C317,IMPORTRANGE(""https://docs.google.com/spreadsheets/d/1HZUHB8NvANAZR0sHDmHYVAm2WE9kNv0pGIQA48Ryim8/edit?gid=1285727875#gid=1285727875"",""Cost!A2:G""),7,0))"),1728.0)</f>
        <v>1728</v>
      </c>
      <c r="N317" s="62">
        <f t="shared" si="4"/>
        <v>3.038194444</v>
      </c>
      <c r="O317" s="28"/>
      <c r="P317" s="28"/>
      <c r="Q317" s="28"/>
      <c r="R317" s="28"/>
      <c r="S317" s="28"/>
      <c r="T317" s="28"/>
      <c r="U317" s="65"/>
      <c r="V317" s="28"/>
      <c r="W317" s="65"/>
      <c r="X317" s="66" t="s">
        <v>371</v>
      </c>
      <c r="Y317" s="65" t="str">
        <f t="shared" si="6"/>
        <v>BLAZE 62PD-ON-OFF</v>
      </c>
    </row>
    <row r="318">
      <c r="A318" s="18" t="s">
        <v>787</v>
      </c>
      <c r="B318" s="15" t="s">
        <v>849</v>
      </c>
      <c r="C318" s="15" t="s">
        <v>849</v>
      </c>
      <c r="D318" s="48" t="s">
        <v>217</v>
      </c>
      <c r="E318" s="75">
        <f>E315+240</f>
        <v>1990</v>
      </c>
      <c r="F318" s="75">
        <f>F315+$X$1</f>
        <v>2080</v>
      </c>
      <c r="G318" s="50">
        <f t="shared" si="59"/>
        <v>0.04522613065</v>
      </c>
      <c r="H318" s="28"/>
      <c r="I318" s="55">
        <f t="shared" si="2"/>
        <v>2315.603769</v>
      </c>
      <c r="J318" s="81"/>
      <c r="K318" s="60">
        <f>IFERROR(__xludf.DUMMYFUNCTION("IFERROR(VLOOKUP(C318,IMPORTRANGE(""https://docs.google.com/spreadsheets/d/1HZUHB8NvANAZR0sHDmHYVAm2WE9kNv0pGIQA48Ryim8/edit?gid=1285727875#gid=1285727875"",""Sheet1!A2:G""),7,0))"),266.41)</f>
        <v>266.41</v>
      </c>
      <c r="L318" s="62">
        <f t="shared" si="60"/>
        <v>7.469689576</v>
      </c>
      <c r="M318" s="60">
        <f>IFERROR(__xludf.DUMMYFUNCTION("IFERROR(VLOOKUP(C318,IMPORTRANGE(""https://docs.google.com/spreadsheets/d/1HZUHB8NvANAZR0sHDmHYVAm2WE9kNv0pGIQA48Ryim8/edit?gid=1285727875#gid=1285727875"",""Cost!A2:G""),7,0))"),310.0)</f>
        <v>310</v>
      </c>
      <c r="N318" s="62">
        <f t="shared" si="4"/>
        <v>6.709677419</v>
      </c>
      <c r="O318" s="28"/>
      <c r="P318" s="28"/>
      <c r="Q318" s="28"/>
      <c r="R318" s="28"/>
      <c r="S318" s="28"/>
      <c r="T318" s="28"/>
      <c r="U318" s="65"/>
      <c r="V318" s="28"/>
      <c r="W318" s="65"/>
      <c r="X318" s="66" t="s">
        <v>375</v>
      </c>
      <c r="Y318" s="65" t="str">
        <f t="shared" si="6"/>
        <v>BLAZE 62DB-ON-OFF</v>
      </c>
    </row>
    <row r="319">
      <c r="A319" s="18" t="s">
        <v>787</v>
      </c>
      <c r="B319" s="15">
        <v>6295.0</v>
      </c>
      <c r="C319" s="15">
        <v>6295.0</v>
      </c>
      <c r="D319" s="48" t="s">
        <v>265</v>
      </c>
      <c r="E319" s="75">
        <v>1380.0</v>
      </c>
      <c r="F319" s="39">
        <v>1490.0</v>
      </c>
      <c r="G319" s="50">
        <f t="shared" si="59"/>
        <v>0.07971014493</v>
      </c>
      <c r="H319" s="28"/>
      <c r="I319" s="55">
        <f t="shared" si="2"/>
        <v>1523.973363</v>
      </c>
      <c r="J319" s="81"/>
      <c r="K319" s="60">
        <f>IFERROR(__xludf.DUMMYFUNCTION("IFERROR(VLOOKUP(C319,IMPORTRANGE(""https://docs.google.com/spreadsheets/d/1HZUHB8NvANAZR0sHDmHYVAm2WE9kNv0pGIQA48Ryim8/edit?gid=1285727875#gid=1285727875"",""Sheet1!A2:G""),7,0))"),360.4)</f>
        <v>360.4</v>
      </c>
      <c r="L319" s="62">
        <f t="shared" si="60"/>
        <v>3.829078801</v>
      </c>
      <c r="M319" s="60">
        <f>IFERROR(__xludf.DUMMYFUNCTION("IFERROR(VLOOKUP(C319,IMPORTRANGE(""https://docs.google.com/spreadsheets/d/1HZUHB8NvANAZR0sHDmHYVAm2WE9kNv0pGIQA48Ryim8/edit?gid=1285727875#gid=1285727875"",""Cost!A2:G""),7,0))"),398.0)</f>
        <v>398</v>
      </c>
      <c r="N319" s="62">
        <f t="shared" si="4"/>
        <v>3.743718593</v>
      </c>
      <c r="O319" s="28"/>
      <c r="P319" s="28"/>
      <c r="Q319" s="28"/>
      <c r="R319" s="28"/>
      <c r="S319" s="28"/>
      <c r="T319" s="28"/>
      <c r="U319" s="65"/>
      <c r="V319" s="28"/>
      <c r="W319" s="65"/>
      <c r="X319" s="66" t="s">
        <v>264</v>
      </c>
      <c r="Y319" s="65" t="str">
        <f t="shared" si="6"/>
        <v>BLAZE 6295</v>
      </c>
    </row>
    <row r="320">
      <c r="A320" s="18" t="s">
        <v>787</v>
      </c>
      <c r="B320" s="15">
        <v>6296.0</v>
      </c>
      <c r="C320" s="15">
        <v>6296.0</v>
      </c>
      <c r="D320" s="48" t="s">
        <v>268</v>
      </c>
      <c r="E320" s="75">
        <v>2030.0</v>
      </c>
      <c r="F320" s="39">
        <v>2180.0</v>
      </c>
      <c r="G320" s="50">
        <f t="shared" si="59"/>
        <v>0.07389162562</v>
      </c>
      <c r="H320" s="28"/>
      <c r="I320" s="55">
        <f t="shared" si="2"/>
        <v>2239.342929</v>
      </c>
      <c r="J320" s="81"/>
      <c r="K320" s="60">
        <f>IFERROR(__xludf.DUMMYFUNCTION("IFERROR(VLOOKUP(C320,IMPORTRANGE(""https://docs.google.com/spreadsheets/d/1HZUHB8NvANAZR0sHDmHYVAm2WE9kNv0pGIQA48Ryim8/edit?gid=1285727875#gid=1285727875"",""Sheet1!A2:G""),7,0))"),541.19)</f>
        <v>541.19</v>
      </c>
      <c r="L320" s="62">
        <f t="shared" si="60"/>
        <v>3.750993182</v>
      </c>
      <c r="M320" s="60">
        <f>IFERROR(__xludf.DUMMYFUNCTION("IFERROR(VLOOKUP(C320,IMPORTRANGE(""https://docs.google.com/spreadsheets/d/1HZUHB8NvANAZR0sHDmHYVAm2WE9kNv0pGIQA48Ryim8/edit?gid=1285727875#gid=1285727875"",""Cost!A2:G""),7,0))"),597.0)</f>
        <v>597</v>
      </c>
      <c r="N320" s="62">
        <f t="shared" si="4"/>
        <v>3.65159129</v>
      </c>
      <c r="O320" s="28"/>
      <c r="P320" s="28"/>
      <c r="Q320" s="28"/>
      <c r="R320" s="28"/>
      <c r="S320" s="28"/>
      <c r="T320" s="28"/>
      <c r="U320" s="65"/>
      <c r="V320" s="28"/>
      <c r="W320" s="65"/>
      <c r="X320" s="66" t="s">
        <v>267</v>
      </c>
      <c r="Y320" s="65" t="str">
        <f t="shared" si="6"/>
        <v>BLAZE 6296</v>
      </c>
    </row>
    <row r="321">
      <c r="A321" s="18" t="s">
        <v>787</v>
      </c>
      <c r="B321" s="15">
        <v>6298.0</v>
      </c>
      <c r="C321" s="15">
        <v>6298.0</v>
      </c>
      <c r="D321" s="48" t="s">
        <v>272</v>
      </c>
      <c r="E321" s="75">
        <v>2240.0</v>
      </c>
      <c r="F321" s="39">
        <v>2350.0</v>
      </c>
      <c r="G321" s="50">
        <f t="shared" si="59"/>
        <v>0.04910714286</v>
      </c>
      <c r="H321" s="28"/>
      <c r="I321" s="55">
        <f t="shared" si="2"/>
        <v>2442.82009</v>
      </c>
      <c r="J321" s="81"/>
      <c r="K321" s="60">
        <f>IFERROR(__xludf.DUMMYFUNCTION("IFERROR(VLOOKUP(C321,IMPORTRANGE(""https://docs.google.com/spreadsheets/d/1HZUHB8NvANAZR0sHDmHYVAm2WE9kNv0pGIQA48Ryim8/edit?gid=1285727875#gid=1285727875"",""Sheet1!A2:G""),7,0))"),678.56)</f>
        <v>678.56</v>
      </c>
      <c r="L321" s="62">
        <f t="shared" si="60"/>
        <v>3.301108229</v>
      </c>
      <c r="M321" s="60">
        <f>IFERROR(__xludf.DUMMYFUNCTION("IFERROR(VLOOKUP(C321,IMPORTRANGE(""https://docs.google.com/spreadsheets/d/1HZUHB8NvANAZR0sHDmHYVAm2WE9kNv0pGIQA48Ryim8/edit?gid=1285727875#gid=1285727875"",""Cost!A2:G""),7,0))"),740.0)</f>
        <v>740</v>
      </c>
      <c r="N321" s="62">
        <f t="shared" si="4"/>
        <v>3.175675676</v>
      </c>
      <c r="O321" s="28"/>
      <c r="P321" s="28"/>
      <c r="Q321" s="28"/>
      <c r="R321" s="28"/>
      <c r="S321" s="28"/>
      <c r="T321" s="28"/>
      <c r="U321" s="65"/>
      <c r="V321" s="28"/>
      <c r="W321" s="65"/>
      <c r="X321" s="66" t="s">
        <v>271</v>
      </c>
      <c r="Y321" s="65" t="str">
        <f t="shared" si="6"/>
        <v>BLAZE 6298</v>
      </c>
    </row>
    <row r="322">
      <c r="A322" s="121" t="s">
        <v>856</v>
      </c>
      <c r="B322" s="91">
        <f t="shared" ref="B322:B326" si="62">C322</f>
        <v>6102</v>
      </c>
      <c r="C322" s="15">
        <v>6102.0</v>
      </c>
      <c r="D322" s="18" t="s">
        <v>15</v>
      </c>
      <c r="E322" s="75">
        <v>1770.0</v>
      </c>
      <c r="F322" s="83" t="s">
        <v>202</v>
      </c>
      <c r="G322" s="50" t="str">
        <f t="shared" si="59"/>
        <v/>
      </c>
      <c r="H322" s="28"/>
      <c r="I322" s="55">
        <f t="shared" si="2"/>
        <v>1956.603134</v>
      </c>
      <c r="J322" s="81"/>
      <c r="K322" s="60">
        <f>IFERROR(__xludf.DUMMYFUNCTION("IFERROR(VLOOKUP(C322,IMPORTRANGE(""https://docs.google.com/spreadsheets/d/1HZUHB8NvANAZR0sHDmHYVAm2WE9kNv0pGIQA48Ryim8/edit?gid=1285727875#gid=1285727875"",""Sheet1!A2:G""),7,0))"),560.87)</f>
        <v>560.87</v>
      </c>
      <c r="L322" s="62">
        <f t="shared" si="60"/>
        <v>3.155811507</v>
      </c>
      <c r="M322" s="60">
        <f>IFERROR(__xludf.DUMMYFUNCTION("IFERROR(VLOOKUP(C322,IMPORTRANGE(""https://docs.google.com/spreadsheets/d/1HZUHB8NvANAZR0sHDmHYVAm2WE9kNv0pGIQA48Ryim8/edit?gid=1285727875#gid=1285727875"",""Cost!A2:G""),7,0))"),620.0)</f>
        <v>620</v>
      </c>
      <c r="N322" s="62" t="str">
        <f t="shared" si="4"/>
        <v/>
      </c>
      <c r="O322" s="28"/>
      <c r="P322" s="28"/>
      <c r="Q322" s="28"/>
      <c r="R322" s="28"/>
      <c r="S322" s="28"/>
      <c r="T322" s="28"/>
      <c r="U322" s="65"/>
      <c r="V322" s="28"/>
      <c r="W322" s="65"/>
      <c r="X322" s="66" t="s">
        <v>303</v>
      </c>
      <c r="Y322" s="65" t="str">
        <f t="shared" si="6"/>
        <v>EMERALD 6102</v>
      </c>
    </row>
    <row r="323">
      <c r="A323" s="121" t="s">
        <v>856</v>
      </c>
      <c r="B323" s="91">
        <f t="shared" si="62"/>
        <v>6103</v>
      </c>
      <c r="C323" s="15">
        <v>6103.0</v>
      </c>
      <c r="D323" s="18" t="s">
        <v>30</v>
      </c>
      <c r="E323" s="75">
        <v>3820.0</v>
      </c>
      <c r="F323" s="83" t="s">
        <v>202</v>
      </c>
      <c r="G323" s="50" t="str">
        <f t="shared" si="59"/>
        <v/>
      </c>
      <c r="H323" s="28"/>
      <c r="I323" s="55">
        <f t="shared" si="2"/>
        <v>4282.485012</v>
      </c>
      <c r="J323" s="81"/>
      <c r="K323" s="60">
        <f>IFERROR(__xludf.DUMMYFUNCTION("IFERROR(VLOOKUP(C323,IMPORTRANGE(""https://docs.google.com/spreadsheets/d/1HZUHB8NvANAZR0sHDmHYVAm2WE9kNv0pGIQA48Ryim8/edit?gid=1285727875#gid=1285727875"",""Sheet1!A2:G""),7,0))"),1307.68)</f>
        <v>1307.68</v>
      </c>
      <c r="L323" s="62">
        <f t="shared" si="60"/>
        <v>2.921203964</v>
      </c>
      <c r="M323" s="60">
        <f>IFERROR(__xludf.DUMMYFUNCTION("IFERROR(VLOOKUP(C323,IMPORTRANGE(""https://docs.google.com/spreadsheets/d/1HZUHB8NvANAZR0sHDmHYVAm2WE9kNv0pGIQA48Ryim8/edit?gid=1285727875#gid=1285727875"",""Cost!A2:G""),7,0))"),1466.0)</f>
        <v>1466</v>
      </c>
      <c r="N323" s="62" t="str">
        <f t="shared" si="4"/>
        <v/>
      </c>
      <c r="O323" s="28"/>
      <c r="P323" s="28"/>
      <c r="Q323" s="28"/>
      <c r="R323" s="28"/>
      <c r="S323" s="28"/>
      <c r="T323" s="28"/>
      <c r="U323" s="65"/>
      <c r="V323" s="28"/>
      <c r="W323" s="65"/>
      <c r="X323" s="66" t="s">
        <v>306</v>
      </c>
      <c r="Y323" s="65" t="str">
        <f t="shared" si="6"/>
        <v>EMERALD 6103</v>
      </c>
    </row>
    <row r="324">
      <c r="A324" s="121" t="s">
        <v>856</v>
      </c>
      <c r="B324" s="91" t="str">
        <f t="shared" si="62"/>
        <v>6103-S</v>
      </c>
      <c r="C324" s="15" t="s">
        <v>861</v>
      </c>
      <c r="D324" s="18" t="s">
        <v>39</v>
      </c>
      <c r="E324" s="75">
        <v>3610.0</v>
      </c>
      <c r="F324" s="83" t="s">
        <v>202</v>
      </c>
      <c r="G324" s="50" t="str">
        <f t="shared" si="59"/>
        <v/>
      </c>
      <c r="H324" s="28"/>
      <c r="I324" s="55">
        <f t="shared" si="2"/>
        <v>4012.513968</v>
      </c>
      <c r="J324" s="81"/>
      <c r="K324" s="60">
        <f>IFERROR(__xludf.DUMMYFUNCTION("IFERROR(VLOOKUP(C324,IMPORTRANGE(""https://docs.google.com/spreadsheets/d/1HZUHB8NvANAZR0sHDmHYVAm2WE9kNv0pGIQA48Ryim8/edit?gid=1285727875#gid=1285727875"",""Sheet1!A2:G""),7,0))"),1172.29)</f>
        <v>1172.29</v>
      </c>
      <c r="L324" s="62">
        <f t="shared" si="60"/>
        <v>3.0794428</v>
      </c>
      <c r="M324" s="60">
        <f>IFERROR(__xludf.DUMMYFUNCTION("IFERROR(VLOOKUP(C324,IMPORTRANGE(""https://docs.google.com/spreadsheets/d/1HZUHB8NvANAZR0sHDmHYVAm2WE9kNv0pGIQA48Ryim8/edit?gid=1285727875#gid=1285727875"",""Cost!A2:G""),7,0))"),1303.0)</f>
        <v>1303</v>
      </c>
      <c r="N324" s="62" t="str">
        <f t="shared" si="4"/>
        <v/>
      </c>
      <c r="O324" s="28"/>
      <c r="P324" s="28"/>
      <c r="Q324" s="28"/>
      <c r="R324" s="28"/>
      <c r="S324" s="28"/>
      <c r="T324" s="28"/>
      <c r="U324" s="65"/>
      <c r="V324" s="28"/>
      <c r="W324" s="65"/>
      <c r="X324" s="66" t="s">
        <v>662</v>
      </c>
      <c r="Y324" s="65" t="str">
        <f t="shared" si="6"/>
        <v>EMERALD 6103-S</v>
      </c>
    </row>
    <row r="325">
      <c r="A325" s="121" t="s">
        <v>856</v>
      </c>
      <c r="B325" s="91">
        <f t="shared" si="62"/>
        <v>6104</v>
      </c>
      <c r="C325" s="15">
        <v>6104.0</v>
      </c>
      <c r="D325" s="18" t="s">
        <v>46</v>
      </c>
      <c r="E325" s="75">
        <v>2370.0</v>
      </c>
      <c r="F325" s="83" t="s">
        <v>202</v>
      </c>
      <c r="G325" s="50" t="str">
        <f t="shared" si="59"/>
        <v/>
      </c>
      <c r="H325" s="28"/>
      <c r="I325" s="55">
        <f t="shared" si="2"/>
        <v>2936.313088</v>
      </c>
      <c r="J325" s="81"/>
      <c r="K325" s="60">
        <f>IFERROR(__xludf.DUMMYFUNCTION("IFERROR(VLOOKUP(C325,IMPORTRANGE(""https://docs.google.com/spreadsheets/d/1HZUHB8NvANAZR0sHDmHYVAm2WE9kNv0pGIQA48Ryim8/edit?gid=1285727875#gid=1285727875"",""Sheet1!A2:G""),7,0))"),701.4)</f>
        <v>701.4</v>
      </c>
      <c r="L325" s="62">
        <f t="shared" si="60"/>
        <v>3.378956373</v>
      </c>
      <c r="M325" s="60">
        <f>IFERROR(__xludf.DUMMYFUNCTION("IFERROR(VLOOKUP(C325,IMPORTRANGE(""https://docs.google.com/spreadsheets/d/1HZUHB8NvANAZR0sHDmHYVAm2WE9kNv0pGIQA48Ryim8/edit?gid=1285727875#gid=1285727875"",""Cost!A2:G""),7,0))"),869.0)</f>
        <v>869</v>
      </c>
      <c r="N325" s="62" t="str">
        <f t="shared" si="4"/>
        <v/>
      </c>
      <c r="O325" s="28"/>
      <c r="P325" s="28"/>
      <c r="Q325" s="28"/>
      <c r="R325" s="28"/>
      <c r="S325" s="28"/>
      <c r="T325" s="28"/>
      <c r="U325" s="65"/>
      <c r="V325" s="28"/>
      <c r="W325" s="65"/>
      <c r="X325" s="66" t="s">
        <v>309</v>
      </c>
      <c r="Y325" s="65" t="str">
        <f t="shared" si="6"/>
        <v>EMERALD 6104</v>
      </c>
    </row>
    <row r="326">
      <c r="A326" s="121" t="s">
        <v>856</v>
      </c>
      <c r="B326" s="91">
        <f t="shared" si="62"/>
        <v>6106</v>
      </c>
      <c r="C326" s="15">
        <v>6106.0</v>
      </c>
      <c r="D326" s="18" t="s">
        <v>67</v>
      </c>
      <c r="E326" s="75">
        <v>1390.0</v>
      </c>
      <c r="F326" s="83" t="s">
        <v>202</v>
      </c>
      <c r="G326" s="50" t="str">
        <f t="shared" si="59"/>
        <v/>
      </c>
      <c r="H326" s="28"/>
      <c r="I326" s="55">
        <f t="shared" si="2"/>
        <v>1533.761528</v>
      </c>
      <c r="J326" s="81"/>
      <c r="K326" s="60">
        <f>IFERROR(__xludf.DUMMYFUNCTION("IFERROR(VLOOKUP(C326,IMPORTRANGE(""https://docs.google.com/spreadsheets/d/1HZUHB8NvANAZR0sHDmHYVAm2WE9kNv0pGIQA48Ryim8/edit?gid=1285727875#gid=1285727875"",""Sheet1!A2:G""),7,0))"),425.04)</f>
        <v>425.04</v>
      </c>
      <c r="L326" s="62">
        <f t="shared" si="60"/>
        <v>3.270280444</v>
      </c>
      <c r="M326" s="60">
        <f>IFERROR(__xludf.DUMMYFUNCTION("IFERROR(VLOOKUP(C326,IMPORTRANGE(""https://docs.google.com/spreadsheets/d/1HZUHB8NvANAZR0sHDmHYVAm2WE9kNv0pGIQA48Ryim8/edit?gid=1285727875#gid=1285727875"",""Cost!A2:G""),7,0))"),469.0)</f>
        <v>469</v>
      </c>
      <c r="N326" s="62" t="str">
        <f t="shared" si="4"/>
        <v/>
      </c>
      <c r="O326" s="28"/>
      <c r="P326" s="28"/>
      <c r="Q326" s="28"/>
      <c r="R326" s="28"/>
      <c r="S326" s="28"/>
      <c r="T326" s="28"/>
      <c r="U326" s="65"/>
      <c r="V326" s="28"/>
      <c r="W326" s="65"/>
      <c r="X326" s="66" t="s">
        <v>311</v>
      </c>
      <c r="Y326" s="65" t="str">
        <f t="shared" si="6"/>
        <v>EMERALD 6106</v>
      </c>
    </row>
    <row r="327">
      <c r="A327" s="121" t="s">
        <v>856</v>
      </c>
      <c r="B327" s="15">
        <v>6107.0</v>
      </c>
      <c r="C327" s="15">
        <v>6107.0</v>
      </c>
      <c r="D327" s="18" t="s">
        <v>71</v>
      </c>
      <c r="E327" s="75">
        <f>SUM(E328:E329)</f>
        <v>2730</v>
      </c>
      <c r="F327" s="83" t="s">
        <v>202</v>
      </c>
      <c r="G327" s="50" t="str">
        <f t="shared" si="59"/>
        <v/>
      </c>
      <c r="H327" s="28"/>
      <c r="I327" s="55">
        <f t="shared" si="2"/>
        <v>2939.72999</v>
      </c>
      <c r="J327" s="81"/>
      <c r="K327" s="60">
        <f>IFERROR(__xludf.DUMMYFUNCTION("IFERROR(VLOOKUP(C327,IMPORTRANGE(""https://docs.google.com/spreadsheets/d/1HZUHB8NvANAZR0sHDmHYVAm2WE9kNv0pGIQA48Ryim8/edit?gid=1285727875#gid=1285727875"",""Sheet1!A2:G""),7,0))"),746.64)</f>
        <v>746.64</v>
      </c>
      <c r="L327" s="62">
        <f t="shared" si="60"/>
        <v>3.656380585</v>
      </c>
      <c r="M327" s="60">
        <f>IFERROR(__xludf.DUMMYFUNCTION("IFERROR(VLOOKUP(C327,IMPORTRANGE(""https://docs.google.com/spreadsheets/d/1HZUHB8NvANAZR0sHDmHYVAm2WE9kNv0pGIQA48Ryim8/edit?gid=1285727875#gid=1285727875"",""Cost!A2:G""),7,0))"),804.0)</f>
        <v>804</v>
      </c>
      <c r="N327" s="62" t="str">
        <f t="shared" si="4"/>
        <v/>
      </c>
      <c r="O327" s="28"/>
      <c r="P327" s="28"/>
      <c r="Q327" s="28"/>
      <c r="R327" s="28"/>
      <c r="S327" s="28"/>
      <c r="T327" s="28"/>
      <c r="U327" s="65"/>
      <c r="V327" s="28"/>
      <c r="W327" s="65"/>
      <c r="X327" s="66" t="s">
        <v>315</v>
      </c>
      <c r="Y327" s="65" t="str">
        <f t="shared" si="6"/>
        <v>EMERALD 6107</v>
      </c>
    </row>
    <row r="328">
      <c r="A328" s="121" t="s">
        <v>856</v>
      </c>
      <c r="B328" s="15" t="s">
        <v>73</v>
      </c>
      <c r="C328" s="15" t="s">
        <v>73</v>
      </c>
      <c r="D328" s="18" t="s">
        <v>74</v>
      </c>
      <c r="E328" s="93">
        <v>1390.0</v>
      </c>
      <c r="F328" s="83" t="s">
        <v>202</v>
      </c>
      <c r="G328" s="50" t="str">
        <f t="shared" si="59"/>
        <v/>
      </c>
      <c r="H328" s="28"/>
      <c r="I328" s="55">
        <f t="shared" si="2"/>
        <v>1515.459624</v>
      </c>
      <c r="J328" s="81"/>
      <c r="K328" s="60">
        <f>IFERROR(__xludf.DUMMYFUNCTION("IFERROR(VLOOKUP(C328,IMPORTRANGE(""https://docs.google.com/spreadsheets/d/1HZUHB8NvANAZR0sHDmHYVAm2WE9kNv0pGIQA48Ryim8/edit?gid=1285727875#gid=1285727875"",""Sheet1!A2:G""),7,0))"),408.16)</f>
        <v>408.16</v>
      </c>
      <c r="L328" s="62">
        <f t="shared" si="60"/>
        <v>3.405527244</v>
      </c>
      <c r="M328" s="60">
        <f>IFERROR(__xludf.DUMMYFUNCTION("IFERROR(VLOOKUP(C328,IMPORTRANGE(""https://docs.google.com/spreadsheets/d/1HZUHB8NvANAZR0sHDmHYVAm2WE9kNv0pGIQA48Ryim8/edit?gid=1285727875#gid=1285727875"",""Cost!A2:G""),7,0))"),445.0)</f>
        <v>445</v>
      </c>
      <c r="N328" s="62" t="str">
        <f t="shared" si="4"/>
        <v/>
      </c>
      <c r="O328" s="28"/>
      <c r="P328" s="28"/>
      <c r="Q328" s="28"/>
      <c r="R328" s="28"/>
      <c r="S328" s="28"/>
      <c r="T328" s="28"/>
      <c r="U328" s="65"/>
      <c r="V328" s="28"/>
      <c r="W328" s="65"/>
      <c r="X328" s="66" t="s">
        <v>73</v>
      </c>
      <c r="Y328" s="65" t="str">
        <f t="shared" si="6"/>
        <v>EMERALD 61CP-07</v>
      </c>
    </row>
    <row r="329">
      <c r="A329" s="121" t="s">
        <v>856</v>
      </c>
      <c r="B329" s="15" t="s">
        <v>866</v>
      </c>
      <c r="C329" s="15" t="s">
        <v>866</v>
      </c>
      <c r="D329" s="18" t="s">
        <v>78</v>
      </c>
      <c r="E329" s="93">
        <v>1340.0</v>
      </c>
      <c r="F329" s="83" t="s">
        <v>202</v>
      </c>
      <c r="G329" s="50" t="str">
        <f t="shared" si="59"/>
        <v/>
      </c>
      <c r="H329" s="28"/>
      <c r="I329" s="55">
        <f t="shared" si="2"/>
        <v>1342.74978</v>
      </c>
      <c r="J329" s="81"/>
      <c r="K329" s="60">
        <f>IFERROR(__xludf.DUMMYFUNCTION("IFERROR(VLOOKUP(C329,IMPORTRANGE(""https://docs.google.com/spreadsheets/d/1HZUHB8NvANAZR0sHDmHYVAm2WE9kNv0pGIQA48Ryim8/edit?gid=1285727875#gid=1285727875"",""Sheet1!A2:G""),7,0))"),375.23)</f>
        <v>375.23</v>
      </c>
      <c r="L329" s="62">
        <f t="shared" si="60"/>
        <v>3.571143032</v>
      </c>
      <c r="M329" s="60">
        <f>IFERROR(__xludf.DUMMYFUNCTION("IFERROR(VLOOKUP(C329,IMPORTRANGE(""https://docs.google.com/spreadsheets/d/1HZUHB8NvANAZR0sHDmHYVAm2WE9kNv0pGIQA48Ryim8/edit?gid=1285727875#gid=1285727875"",""Cost!A2:G""),7,0))"),376.0)</f>
        <v>376</v>
      </c>
      <c r="N329" s="62" t="str">
        <f t="shared" si="4"/>
        <v/>
      </c>
      <c r="O329" s="28"/>
      <c r="P329" s="28"/>
      <c r="Q329" s="28"/>
      <c r="R329" s="28"/>
      <c r="S329" s="28"/>
      <c r="T329" s="28"/>
      <c r="U329" s="65"/>
      <c r="V329" s="28"/>
      <c r="W329" s="65"/>
      <c r="X329" s="66" t="s">
        <v>77</v>
      </c>
      <c r="Y329" s="65" t="str">
        <f t="shared" si="6"/>
        <v>EMERALD 61CP</v>
      </c>
    </row>
    <row r="330">
      <c r="A330" s="121" t="s">
        <v>856</v>
      </c>
      <c r="B330" s="91">
        <f t="shared" ref="B330:B374" si="63">C330</f>
        <v>6108</v>
      </c>
      <c r="C330" s="15">
        <v>6108.0</v>
      </c>
      <c r="D330" s="18" t="s">
        <v>81</v>
      </c>
      <c r="E330" s="39">
        <v>1590.0</v>
      </c>
      <c r="F330" s="83" t="s">
        <v>202</v>
      </c>
      <c r="G330" s="50" t="str">
        <f t="shared" si="59"/>
        <v/>
      </c>
      <c r="H330" s="28"/>
      <c r="I330" s="55">
        <f t="shared" si="2"/>
        <v>1752.911653</v>
      </c>
      <c r="J330" s="81"/>
      <c r="K330" s="60">
        <f>IFERROR(__xludf.DUMMYFUNCTION("IFERROR(VLOOKUP(C330,IMPORTRANGE(""https://docs.google.com/spreadsheets/d/1HZUHB8NvANAZR0sHDmHYVAm2WE9kNv0pGIQA48Ryim8/edit?gid=1285727875#gid=1285727875"",""Sheet1!A2:G""),7,0))"),466.23)</f>
        <v>466.23</v>
      </c>
      <c r="L330" s="62">
        <f t="shared" si="60"/>
        <v>3.410333955</v>
      </c>
      <c r="M330" s="60">
        <f>IFERROR(__xludf.DUMMYFUNCTION("IFERROR(VLOOKUP(C330,IMPORTRANGE(""https://docs.google.com/spreadsheets/d/1HZUHB8NvANAZR0sHDmHYVAm2WE9kNv0pGIQA48Ryim8/edit?gid=1285727875#gid=1285727875"",""Cost!A2:G""),7,0))"),514.0)</f>
        <v>514</v>
      </c>
      <c r="N330" s="62" t="str">
        <f t="shared" si="4"/>
        <v/>
      </c>
      <c r="O330" s="28"/>
      <c r="P330" s="28"/>
      <c r="Q330" s="28"/>
      <c r="R330" s="28"/>
      <c r="S330" s="28"/>
      <c r="T330" s="28"/>
      <c r="U330" s="65"/>
      <c r="V330" s="28"/>
      <c r="W330" s="65"/>
      <c r="X330" s="66" t="s">
        <v>321</v>
      </c>
      <c r="Y330" s="65" t="str">
        <f t="shared" si="6"/>
        <v>EMERALD 6108</v>
      </c>
    </row>
    <row r="331">
      <c r="A331" s="121" t="s">
        <v>856</v>
      </c>
      <c r="B331" s="91">
        <f t="shared" si="63"/>
        <v>6110</v>
      </c>
      <c r="C331" s="15">
        <v>6110.0</v>
      </c>
      <c r="D331" s="18" t="s">
        <v>89</v>
      </c>
      <c r="E331" s="39">
        <v>1040.0</v>
      </c>
      <c r="F331" s="83" t="s">
        <v>202</v>
      </c>
      <c r="G331" s="50" t="str">
        <f t="shared" si="59"/>
        <v/>
      </c>
      <c r="H331" s="28"/>
      <c r="I331" s="55">
        <f t="shared" si="2"/>
        <v>1182.067858</v>
      </c>
      <c r="J331" s="81"/>
      <c r="K331" s="60">
        <f>IFERROR(__xludf.DUMMYFUNCTION("IFERROR(VLOOKUP(C331,IMPORTRANGE(""https://docs.google.com/spreadsheets/d/1HZUHB8NvANAZR0sHDmHYVAm2WE9kNv0pGIQA48Ryim8/edit?gid=1285727875#gid=1285727875"",""Sheet1!A2:G""),7,0))"),236.67)</f>
        <v>236.67</v>
      </c>
      <c r="L331" s="62">
        <f t="shared" si="60"/>
        <v>4.394304306</v>
      </c>
      <c r="M331" s="60">
        <f>IFERROR(__xludf.DUMMYFUNCTION("IFERROR(VLOOKUP(C331,IMPORTRANGE(""https://docs.google.com/spreadsheets/d/1HZUHB8NvANAZR0sHDmHYVAm2WE9kNv0pGIQA48Ryim8/edit?gid=1285727875#gid=1285727875"",""Cost!A2:G""),7,0))"),269.0)</f>
        <v>269</v>
      </c>
      <c r="N331" s="62" t="str">
        <f t="shared" si="4"/>
        <v/>
      </c>
      <c r="O331" s="28"/>
      <c r="P331" s="28"/>
      <c r="Q331" s="28"/>
      <c r="R331" s="28"/>
      <c r="S331" s="28"/>
      <c r="T331" s="28"/>
      <c r="U331" s="65"/>
      <c r="V331" s="28"/>
      <c r="W331" s="65"/>
      <c r="X331" s="66" t="s">
        <v>87</v>
      </c>
      <c r="Y331" s="65" t="str">
        <f t="shared" si="6"/>
        <v>EMERALD 6110</v>
      </c>
    </row>
    <row r="332">
      <c r="A332" s="121" t="s">
        <v>856</v>
      </c>
      <c r="B332" s="91">
        <f t="shared" si="63"/>
        <v>6111</v>
      </c>
      <c r="C332" s="15">
        <v>6111.0</v>
      </c>
      <c r="D332" s="18" t="s">
        <v>94</v>
      </c>
      <c r="E332" s="75">
        <v>1770.0</v>
      </c>
      <c r="F332" s="83" t="s">
        <v>202</v>
      </c>
      <c r="G332" s="50" t="str">
        <f t="shared" si="59"/>
        <v/>
      </c>
      <c r="H332" s="28"/>
      <c r="I332" s="55">
        <f t="shared" si="2"/>
        <v>1988.919776</v>
      </c>
      <c r="J332" s="81"/>
      <c r="K332" s="60">
        <f>IFERROR(__xludf.DUMMYFUNCTION("IFERROR(VLOOKUP(C332,IMPORTRANGE(""https://docs.google.com/spreadsheets/d/1HZUHB8NvANAZR0sHDmHYVAm2WE9kNv0pGIQA48Ryim8/edit?gid=1285727875#gid=1285727875"",""Sheet1!A2:G""),7,0))"),510.82)</f>
        <v>510.82</v>
      </c>
      <c r="L332" s="62">
        <f t="shared" si="60"/>
        <v>3.465017031</v>
      </c>
      <c r="M332" s="60">
        <f>IFERROR(__xludf.DUMMYFUNCTION("IFERROR(VLOOKUP(C332,IMPORTRANGE(""https://docs.google.com/spreadsheets/d/1HZUHB8NvANAZR0sHDmHYVAm2WE9kNv0pGIQA48Ryim8/edit?gid=1285727875#gid=1285727875"",""Cost!A2:G""),7,0))"),574.0)</f>
        <v>574</v>
      </c>
      <c r="N332" s="62" t="str">
        <f t="shared" si="4"/>
        <v/>
      </c>
      <c r="O332" s="28"/>
      <c r="P332" s="28"/>
      <c r="Q332" s="28"/>
      <c r="R332" s="28"/>
      <c r="S332" s="28"/>
      <c r="T332" s="28"/>
      <c r="U332" s="65"/>
      <c r="V332" s="28"/>
      <c r="W332" s="65"/>
      <c r="X332" s="66" t="s">
        <v>91</v>
      </c>
      <c r="Y332" s="65" t="str">
        <f t="shared" si="6"/>
        <v>EMERALD 6111</v>
      </c>
    </row>
    <row r="333">
      <c r="A333" s="121" t="s">
        <v>856</v>
      </c>
      <c r="B333" s="91">
        <f t="shared" si="63"/>
        <v>6112</v>
      </c>
      <c r="C333" s="15">
        <v>6112.0</v>
      </c>
      <c r="D333" s="18" t="s">
        <v>97</v>
      </c>
      <c r="E333" s="39">
        <v>2390.0</v>
      </c>
      <c r="F333" s="83" t="s">
        <v>202</v>
      </c>
      <c r="G333" s="50" t="str">
        <f t="shared" si="59"/>
        <v/>
      </c>
      <c r="H333" s="28"/>
      <c r="I333" s="55">
        <f t="shared" si="2"/>
        <v>2671.988449</v>
      </c>
      <c r="J333" s="81"/>
      <c r="K333" s="60">
        <f>IFERROR(__xludf.DUMMYFUNCTION("IFERROR(VLOOKUP(C333,IMPORTRANGE(""https://docs.google.com/spreadsheets/d/1HZUHB8NvANAZR0sHDmHYVAm2WE9kNv0pGIQA48Ryim8/edit?gid=1285727875#gid=1285727875"",""Sheet1!A2:G""),7,0))"),727.2)</f>
        <v>727.2</v>
      </c>
      <c r="L333" s="62">
        <f t="shared" si="60"/>
        <v>3.286578658</v>
      </c>
      <c r="M333" s="60">
        <f>IFERROR(__xludf.DUMMYFUNCTION("IFERROR(VLOOKUP(C333,IMPORTRANGE(""https://docs.google.com/spreadsheets/d/1HZUHB8NvANAZR0sHDmHYVAm2WE9kNv0pGIQA48Ryim8/edit?gid=1285727875#gid=1285727875"",""Cost!A2:G""),7,0))"),813.0)</f>
        <v>813</v>
      </c>
      <c r="N333" s="62" t="str">
        <f t="shared" si="4"/>
        <v/>
      </c>
      <c r="O333" s="28"/>
      <c r="P333" s="28"/>
      <c r="Q333" s="28"/>
      <c r="R333" s="28"/>
      <c r="S333" s="28"/>
      <c r="T333" s="28"/>
      <c r="U333" s="65"/>
      <c r="V333" s="28"/>
      <c r="W333" s="65"/>
      <c r="X333" s="66" t="s">
        <v>95</v>
      </c>
      <c r="Y333" s="65" t="str">
        <f t="shared" si="6"/>
        <v>EMERALD 6112</v>
      </c>
    </row>
    <row r="334">
      <c r="A334" s="121" t="s">
        <v>856</v>
      </c>
      <c r="B334" s="91">
        <f t="shared" si="63"/>
        <v>6113</v>
      </c>
      <c r="C334" s="15">
        <v>6113.0</v>
      </c>
      <c r="D334" s="18" t="s">
        <v>101</v>
      </c>
      <c r="E334" s="39">
        <v>2090.0</v>
      </c>
      <c r="F334" s="83" t="s">
        <v>202</v>
      </c>
      <c r="G334" s="50" t="str">
        <f t="shared" si="59"/>
        <v/>
      </c>
      <c r="H334" s="28"/>
      <c r="I334" s="55">
        <f t="shared" si="2"/>
        <v>2355.010368</v>
      </c>
      <c r="J334" s="81"/>
      <c r="K334" s="60">
        <f>IFERROR(__xludf.DUMMYFUNCTION("IFERROR(VLOOKUP(C334,IMPORTRANGE(""https://docs.google.com/spreadsheets/d/1HZUHB8NvANAZR0sHDmHYVAm2WE9kNv0pGIQA48Ryim8/edit?gid=1285727875#gid=1285727875"",""Sheet1!A2:G""),7,0))"),655.84)</f>
        <v>655.84</v>
      </c>
      <c r="L334" s="62">
        <f t="shared" si="60"/>
        <v>3.186752867</v>
      </c>
      <c r="M334" s="60">
        <f>IFERROR(__xludf.DUMMYFUNCTION("IFERROR(VLOOKUP(C334,IMPORTRANGE(""https://docs.google.com/spreadsheets/d/1HZUHB8NvANAZR0sHDmHYVAm2WE9kNv0pGIQA48Ryim8/edit?gid=1285727875#gid=1285727875"",""Cost!A2:G""),7,0))"),739.0)</f>
        <v>739</v>
      </c>
      <c r="N334" s="62" t="str">
        <f t="shared" si="4"/>
        <v/>
      </c>
      <c r="O334" s="28"/>
      <c r="P334" s="28"/>
      <c r="Q334" s="28"/>
      <c r="R334" s="28"/>
      <c r="S334" s="28"/>
      <c r="T334" s="28"/>
      <c r="U334" s="65"/>
      <c r="V334" s="28"/>
      <c r="W334" s="65"/>
      <c r="X334" s="66" t="s">
        <v>100</v>
      </c>
      <c r="Y334" s="65" t="str">
        <f t="shared" si="6"/>
        <v>EMERALD 6113</v>
      </c>
    </row>
    <row r="335">
      <c r="A335" s="121" t="s">
        <v>856</v>
      </c>
      <c r="B335" s="91">
        <f t="shared" si="63"/>
        <v>6114</v>
      </c>
      <c r="C335" s="15">
        <v>6114.0</v>
      </c>
      <c r="D335" s="18" t="s">
        <v>106</v>
      </c>
      <c r="E335" s="39">
        <v>2190.0</v>
      </c>
      <c r="F335" s="83" t="s">
        <v>202</v>
      </c>
      <c r="G335" s="50" t="str">
        <f t="shared" si="59"/>
        <v/>
      </c>
      <c r="H335" s="28"/>
      <c r="I335" s="55">
        <f t="shared" si="2"/>
        <v>2414.363019</v>
      </c>
      <c r="J335" s="81"/>
      <c r="K335" s="60">
        <f>IFERROR(__xludf.DUMMYFUNCTION("IFERROR(VLOOKUP(C335,IMPORTRANGE(""https://docs.google.com/spreadsheets/d/1HZUHB8NvANAZR0sHDmHYVAm2WE9kNv0pGIQA48Ryim8/edit?gid=1285727875#gid=1285727875"",""Sheet1!A2:G""),7,0))"),545.15)</f>
        <v>545.15</v>
      </c>
      <c r="L335" s="62">
        <f t="shared" si="60"/>
        <v>4.017242961</v>
      </c>
      <c r="M335" s="60">
        <f>IFERROR(__xludf.DUMMYFUNCTION("IFERROR(VLOOKUP(C335,IMPORTRANGE(""https://docs.google.com/spreadsheets/d/1HZUHB8NvANAZR0sHDmHYVAm2WE9kNv0pGIQA48Ryim8/edit?gid=1285727875#gid=1285727875"",""Cost!A2:G""),7,0))"),601.0)</f>
        <v>601</v>
      </c>
      <c r="N335" s="62" t="str">
        <f t="shared" si="4"/>
        <v/>
      </c>
      <c r="O335" s="28"/>
      <c r="P335" s="28"/>
      <c r="Q335" s="28"/>
      <c r="R335" s="28"/>
      <c r="S335" s="28"/>
      <c r="T335" s="28"/>
      <c r="U335" s="65"/>
      <c r="V335" s="28"/>
      <c r="W335" s="65"/>
      <c r="X335" s="66" t="s">
        <v>104</v>
      </c>
      <c r="Y335" s="65" t="str">
        <f t="shared" si="6"/>
        <v>EMERALD 6114</v>
      </c>
    </row>
    <row r="336">
      <c r="A336" s="121" t="s">
        <v>856</v>
      </c>
      <c r="B336" s="91">
        <f t="shared" si="63"/>
        <v>6116</v>
      </c>
      <c r="C336" s="15">
        <v>6116.0</v>
      </c>
      <c r="D336" s="18" t="s">
        <v>112</v>
      </c>
      <c r="E336" s="39">
        <v>1990.0</v>
      </c>
      <c r="F336" s="83" t="s">
        <v>202</v>
      </c>
      <c r="G336" s="50" t="str">
        <f t="shared" si="59"/>
        <v/>
      </c>
      <c r="H336" s="28"/>
      <c r="I336" s="55">
        <f t="shared" si="2"/>
        <v>2193.513576</v>
      </c>
      <c r="J336" s="81"/>
      <c r="K336" s="60">
        <f>IFERROR(__xludf.DUMMYFUNCTION("IFERROR(VLOOKUP(C336,IMPORTRANGE(""https://docs.google.com/spreadsheets/d/1HZUHB8NvANAZR0sHDmHYVAm2WE9kNv0pGIQA48Ryim8/edit?gid=1285727875#gid=1285727875"",""Sheet1!A2:G""),7,0))"),518.93)</f>
        <v>518.93</v>
      </c>
      <c r="L336" s="62">
        <f t="shared" si="60"/>
        <v>3.834813944</v>
      </c>
      <c r="M336" s="60">
        <f>IFERROR(__xludf.DUMMYFUNCTION("IFERROR(VLOOKUP(C336,IMPORTRANGE(""https://docs.google.com/spreadsheets/d/1HZUHB8NvANAZR0sHDmHYVAm2WE9kNv0pGIQA48Ryim8/edit?gid=1285727875#gid=1285727875"",""Cost!A2:G""),7,0))"),572.0)</f>
        <v>572</v>
      </c>
      <c r="N336" s="62" t="str">
        <f t="shared" si="4"/>
        <v/>
      </c>
      <c r="O336" s="28"/>
      <c r="P336" s="28"/>
      <c r="Q336" s="28"/>
      <c r="R336" s="28"/>
      <c r="S336" s="28"/>
      <c r="T336" s="28"/>
      <c r="U336" s="65"/>
      <c r="V336" s="28"/>
      <c r="W336" s="65"/>
      <c r="X336" s="66" t="s">
        <v>110</v>
      </c>
      <c r="Y336" s="65" t="str">
        <f t="shared" si="6"/>
        <v>EMERALD 6116</v>
      </c>
    </row>
    <row r="337">
      <c r="A337" s="121" t="s">
        <v>856</v>
      </c>
      <c r="B337" s="91">
        <f t="shared" si="63"/>
        <v>6118</v>
      </c>
      <c r="C337" s="15">
        <v>6118.0</v>
      </c>
      <c r="D337" s="18" t="s">
        <v>119</v>
      </c>
      <c r="E337" s="39">
        <v>1350.0</v>
      </c>
      <c r="F337" s="83" t="s">
        <v>202</v>
      </c>
      <c r="G337" s="50" t="str">
        <f t="shared" si="59"/>
        <v/>
      </c>
      <c r="H337" s="28"/>
      <c r="I337" s="55">
        <f t="shared" si="2"/>
        <v>1510.259463</v>
      </c>
      <c r="J337" s="81"/>
      <c r="K337" s="60">
        <f>IFERROR(__xludf.DUMMYFUNCTION("IFERROR(VLOOKUP(C337,IMPORTRANGE(""https://docs.google.com/spreadsheets/d/1HZUHB8NvANAZR0sHDmHYVAm2WE9kNv0pGIQA48Ryim8/edit?gid=1285727875#gid=1285727875"",""Sheet1!A2:G""),7,0))"),361.13)</f>
        <v>361.13</v>
      </c>
      <c r="L337" s="62">
        <f t="shared" si="60"/>
        <v>3.738265998</v>
      </c>
      <c r="M337" s="60">
        <f>IFERROR(__xludf.DUMMYFUNCTION("IFERROR(VLOOKUP(C337,IMPORTRANGE(""https://docs.google.com/spreadsheets/d/1HZUHB8NvANAZR0sHDmHYVAm2WE9kNv0pGIQA48Ryim8/edit?gid=1285727875#gid=1285727875"",""Cost!A2:G""),7,0))"),404.0)</f>
        <v>404</v>
      </c>
      <c r="N337" s="62" t="str">
        <f t="shared" si="4"/>
        <v/>
      </c>
      <c r="O337" s="28"/>
      <c r="P337" s="28"/>
      <c r="Q337" s="28"/>
      <c r="R337" s="28"/>
      <c r="S337" s="28"/>
      <c r="T337" s="28"/>
      <c r="U337" s="65"/>
      <c r="V337" s="28"/>
      <c r="W337" s="65"/>
      <c r="X337" s="66" t="s">
        <v>117</v>
      </c>
      <c r="Y337" s="65" t="str">
        <f t="shared" si="6"/>
        <v>EMERALD 6118</v>
      </c>
    </row>
    <row r="338">
      <c r="A338" s="121" t="s">
        <v>856</v>
      </c>
      <c r="B338" s="91">
        <f t="shared" si="63"/>
        <v>6120</v>
      </c>
      <c r="C338" s="15">
        <v>6120.0</v>
      </c>
      <c r="D338" s="18" t="s">
        <v>122</v>
      </c>
      <c r="E338" s="39">
        <v>1390.0</v>
      </c>
      <c r="F338" s="83" t="s">
        <v>202</v>
      </c>
      <c r="G338" s="50" t="str">
        <f t="shared" si="59"/>
        <v/>
      </c>
      <c r="H338" s="28"/>
      <c r="I338" s="55">
        <f t="shared" si="2"/>
        <v>1557.381023</v>
      </c>
      <c r="J338" s="81"/>
      <c r="K338" s="60">
        <f>IFERROR(__xludf.DUMMYFUNCTION("IFERROR(VLOOKUP(C338,IMPORTRANGE(""https://docs.google.com/spreadsheets/d/1HZUHB8NvANAZR0sHDmHYVAm2WE9kNv0pGIQA48Ryim8/edit?gid=1285727875#gid=1285727875"",""Sheet1!A2:G""),7,0))"),371.29)</f>
        <v>371.29</v>
      </c>
      <c r="L338" s="62">
        <f t="shared" si="60"/>
        <v>3.743704382</v>
      </c>
      <c r="M338" s="60">
        <f>IFERROR(__xludf.DUMMYFUNCTION("IFERROR(VLOOKUP(C338,IMPORTRANGE(""https://docs.google.com/spreadsheets/d/1HZUHB8NvANAZR0sHDmHYVAm2WE9kNv0pGIQA48Ryim8/edit?gid=1285727875#gid=1285727875"",""Cost!A2:G""),7,0))"),416.0)</f>
        <v>416</v>
      </c>
      <c r="N338" s="62" t="str">
        <f t="shared" si="4"/>
        <v/>
      </c>
      <c r="O338" s="28"/>
      <c r="P338" s="28"/>
      <c r="Q338" s="28"/>
      <c r="R338" s="28"/>
      <c r="S338" s="28"/>
      <c r="T338" s="28"/>
      <c r="U338" s="65"/>
      <c r="V338" s="28"/>
      <c r="W338" s="65"/>
      <c r="X338" s="66" t="s">
        <v>120</v>
      </c>
      <c r="Y338" s="65" t="str">
        <f t="shared" si="6"/>
        <v>EMERALD 6120</v>
      </c>
    </row>
    <row r="339">
      <c r="A339" s="121" t="s">
        <v>856</v>
      </c>
      <c r="B339" s="91">
        <f t="shared" si="63"/>
        <v>6150</v>
      </c>
      <c r="C339" s="15">
        <v>6150.0</v>
      </c>
      <c r="D339" s="18" t="s">
        <v>136</v>
      </c>
      <c r="E339" s="39">
        <v>3480.0</v>
      </c>
      <c r="F339" s="83" t="s">
        <v>202</v>
      </c>
      <c r="G339" s="50" t="str">
        <f t="shared" si="59"/>
        <v/>
      </c>
      <c r="H339" s="28"/>
      <c r="I339" s="55">
        <f t="shared" si="2"/>
        <v>3868.577075</v>
      </c>
      <c r="J339" s="81"/>
      <c r="K339" s="60">
        <f>IFERROR(__xludf.DUMMYFUNCTION("IFERROR(VLOOKUP(C339,IMPORTRANGE(""https://docs.google.com/spreadsheets/d/1HZUHB8NvANAZR0sHDmHYVAm2WE9kNv0pGIQA48Ryim8/edit?gid=1285727875#gid=1285727875"",""Sheet1!A2:G""),7,0))"),890.56)</f>
        <v>890.56</v>
      </c>
      <c r="L339" s="62">
        <f t="shared" si="60"/>
        <v>3.907653611</v>
      </c>
      <c r="M339" s="60">
        <f>IFERROR(__xludf.DUMMYFUNCTION("IFERROR(VLOOKUP(C339,IMPORTRANGE(""https://docs.google.com/spreadsheets/d/1HZUHB8NvANAZR0sHDmHYVAm2WE9kNv0pGIQA48Ryim8/edit?gid=1285727875#gid=1285727875"",""Cost!A2:G""),7,0))"),990.0)</f>
        <v>990</v>
      </c>
      <c r="N339" s="62" t="str">
        <f t="shared" si="4"/>
        <v/>
      </c>
      <c r="O339" s="28"/>
      <c r="P339" s="28"/>
      <c r="Q339" s="28"/>
      <c r="R339" s="28"/>
      <c r="S339" s="28"/>
      <c r="T339" s="28"/>
      <c r="U339" s="65"/>
      <c r="V339" s="28"/>
      <c r="W339" s="65"/>
      <c r="X339" s="66" t="s">
        <v>134</v>
      </c>
      <c r="Y339" s="65" t="str">
        <f t="shared" si="6"/>
        <v>EMERALD 6150</v>
      </c>
    </row>
    <row r="340">
      <c r="A340" s="121" t="s">
        <v>856</v>
      </c>
      <c r="B340" s="91">
        <f t="shared" si="63"/>
        <v>6151</v>
      </c>
      <c r="C340" s="15">
        <v>6151.0</v>
      </c>
      <c r="D340" s="18" t="s">
        <v>141</v>
      </c>
      <c r="E340" s="39">
        <v>3980.0</v>
      </c>
      <c r="F340" s="83" t="s">
        <v>202</v>
      </c>
      <c r="G340" s="50" t="str">
        <f t="shared" si="59"/>
        <v/>
      </c>
      <c r="H340" s="28"/>
      <c r="I340" s="55">
        <f t="shared" si="2"/>
        <v>4453.371207</v>
      </c>
      <c r="J340" s="81"/>
      <c r="K340" s="60">
        <f>IFERROR(__xludf.DUMMYFUNCTION("IFERROR(VLOOKUP(C340,IMPORTRANGE(""https://docs.google.com/spreadsheets/d/1HZUHB8NvANAZR0sHDmHYVAm2WE9kNv0pGIQA48Ryim8/edit?gid=1285727875#gid=1285727875"",""Sheet1!A2:G""),7,0))"),1042.06)</f>
        <v>1042.06</v>
      </c>
      <c r="L340" s="62">
        <f t="shared" si="60"/>
        <v>3.81935781</v>
      </c>
      <c r="M340" s="60">
        <f>IFERROR(__xludf.DUMMYFUNCTION("IFERROR(VLOOKUP(C340,IMPORTRANGE(""https://docs.google.com/spreadsheets/d/1HZUHB8NvANAZR0sHDmHYVAm2WE9kNv0pGIQA48Ryim8/edit?gid=1285727875#gid=1285727875"",""Cost!A2:G""),7,0))"),1166.0)</f>
        <v>1166</v>
      </c>
      <c r="N340" s="62" t="str">
        <f t="shared" si="4"/>
        <v/>
      </c>
      <c r="O340" s="28"/>
      <c r="P340" s="28"/>
      <c r="Q340" s="28"/>
      <c r="R340" s="28"/>
      <c r="S340" s="28"/>
      <c r="T340" s="28"/>
      <c r="U340" s="65"/>
      <c r="V340" s="28"/>
      <c r="W340" s="65"/>
      <c r="X340" s="66" t="s">
        <v>139</v>
      </c>
      <c r="Y340" s="65" t="str">
        <f t="shared" si="6"/>
        <v>EMERALD 6151</v>
      </c>
    </row>
    <row r="341">
      <c r="A341" s="121" t="s">
        <v>856</v>
      </c>
      <c r="B341" s="91">
        <f t="shared" si="63"/>
        <v>6152</v>
      </c>
      <c r="C341" s="15">
        <v>6152.0</v>
      </c>
      <c r="D341" s="18" t="s">
        <v>147</v>
      </c>
      <c r="E341" s="75">
        <v>6240.0</v>
      </c>
      <c r="F341" s="83" t="s">
        <v>202</v>
      </c>
      <c r="G341" s="50" t="str">
        <f t="shared" si="59"/>
        <v/>
      </c>
      <c r="H341" s="28"/>
      <c r="I341" s="55">
        <f t="shared" si="2"/>
        <v>6954.390939</v>
      </c>
      <c r="J341" s="81"/>
      <c r="K341" s="60">
        <f>IFERROR(__xludf.DUMMYFUNCTION("IFERROR(VLOOKUP(C341,IMPORTRANGE(""https://docs.google.com/spreadsheets/d/1HZUHB8NvANAZR0sHDmHYVAm2WE9kNv0pGIQA48Ryim8/edit?gid=1285727875#gid=1285727875"",""Sheet1!A2:G""),7,0))"),1932.73)</f>
        <v>1932.73</v>
      </c>
      <c r="L341" s="62">
        <f t="shared" si="60"/>
        <v>3.228593751</v>
      </c>
      <c r="M341" s="60">
        <f>IFERROR(__xludf.DUMMYFUNCTION("IFERROR(VLOOKUP(C341,IMPORTRANGE(""https://docs.google.com/spreadsheets/d/1HZUHB8NvANAZR0sHDmHYVAm2WE9kNv0pGIQA48Ryim8/edit?gid=1285727875#gid=1285727875"",""Cost!A2:G""),7,0))"),2154.0)</f>
        <v>2154</v>
      </c>
      <c r="N341" s="62" t="str">
        <f t="shared" si="4"/>
        <v/>
      </c>
      <c r="O341" s="28"/>
      <c r="P341" s="28"/>
      <c r="Q341" s="28"/>
      <c r="R341" s="28"/>
      <c r="S341" s="28"/>
      <c r="T341" s="28"/>
      <c r="U341" s="65"/>
      <c r="V341" s="28"/>
      <c r="W341" s="65"/>
      <c r="X341" s="66" t="s">
        <v>144</v>
      </c>
      <c r="Y341" s="65" t="str">
        <f t="shared" si="6"/>
        <v>EMERALD 6152</v>
      </c>
    </row>
    <row r="342">
      <c r="A342" s="121" t="s">
        <v>856</v>
      </c>
      <c r="B342" s="91">
        <f t="shared" si="63"/>
        <v>6154</v>
      </c>
      <c r="C342" s="15">
        <v>6154.0</v>
      </c>
      <c r="D342" s="18" t="s">
        <v>152</v>
      </c>
      <c r="E342" s="75">
        <f>SUM(E343:E344)</f>
        <v>6140</v>
      </c>
      <c r="F342" s="83" t="s">
        <v>202</v>
      </c>
      <c r="G342" s="50" t="str">
        <f t="shared" si="59"/>
        <v/>
      </c>
      <c r="H342" s="28"/>
      <c r="I342" s="55">
        <f t="shared" si="2"/>
        <v>6664.487301</v>
      </c>
      <c r="J342" s="81"/>
      <c r="K342" s="60">
        <f>IFERROR(__xludf.DUMMYFUNCTION("IFERROR(VLOOKUP(C342,IMPORTRANGE(""https://docs.google.com/spreadsheets/d/1HZUHB8NvANAZR0sHDmHYVAm2WE9kNv0pGIQA48Ryim8/edit?gid=1285727875#gid=1285727875"",""Sheet1!A2:G""),7,0))"),1642.68)</f>
        <v>1642.68</v>
      </c>
      <c r="L342" s="62">
        <f t="shared" si="60"/>
        <v>3.737794336</v>
      </c>
      <c r="M342" s="60">
        <f>IFERROR(__xludf.DUMMYFUNCTION("IFERROR(VLOOKUP(C342,IMPORTRANGE(""https://docs.google.com/spreadsheets/d/1HZUHB8NvANAZR0sHDmHYVAm2WE9kNv0pGIQA48Ryim8/edit?gid=1285727875#gid=1285727875"",""Cost!A2:G""),7,0))"),1783.0)</f>
        <v>1783</v>
      </c>
      <c r="N342" s="62" t="str">
        <f t="shared" si="4"/>
        <v/>
      </c>
      <c r="O342" s="28"/>
      <c r="P342" s="28"/>
      <c r="Q342" s="28"/>
      <c r="R342" s="28"/>
      <c r="S342" s="28"/>
      <c r="T342" s="28"/>
      <c r="U342" s="65"/>
      <c r="V342" s="28"/>
      <c r="W342" s="65"/>
      <c r="X342" s="66" t="s">
        <v>150</v>
      </c>
      <c r="Y342" s="65" t="str">
        <f t="shared" si="6"/>
        <v>EMERALD 6154</v>
      </c>
    </row>
    <row r="343">
      <c r="A343" s="121" t="s">
        <v>856</v>
      </c>
      <c r="B343" s="91" t="str">
        <f t="shared" si="63"/>
        <v>BD-40</v>
      </c>
      <c r="C343" s="15" t="s">
        <v>154</v>
      </c>
      <c r="D343" s="18" t="s">
        <v>156</v>
      </c>
      <c r="E343" s="39">
        <v>3680.0</v>
      </c>
      <c r="F343" s="83" t="s">
        <v>202</v>
      </c>
      <c r="G343" s="50" t="str">
        <f t="shared" si="59"/>
        <v/>
      </c>
      <c r="H343" s="28"/>
      <c r="I343" s="55">
        <f t="shared" si="2"/>
        <v>4075.59981</v>
      </c>
      <c r="J343" s="81"/>
      <c r="K343" s="60">
        <f>IFERROR(__xludf.DUMMYFUNCTION("IFERROR(VLOOKUP(C343,IMPORTRANGE(""https://docs.google.com/spreadsheets/d/1HZUHB8NvANAZR0sHDmHYVAm2WE9kNv0pGIQA48Ryim8/edit?gid=1285727875#gid=1285727875"",""Sheet1!A2:G""),7,0))"),966.14)</f>
        <v>966.14</v>
      </c>
      <c r="L343" s="62">
        <f t="shared" si="60"/>
        <v>3.808971785</v>
      </c>
      <c r="M343" s="60">
        <f>IFERROR(__xludf.DUMMYFUNCTION("IFERROR(VLOOKUP(C343,IMPORTRANGE(""https://docs.google.com/spreadsheets/d/1HZUHB8NvANAZR0sHDmHYVAm2WE9kNv0pGIQA48Ryim8/edit?gid=1285727875#gid=1285727875"",""Cost!A2:G""),7,0))"),1070.0)</f>
        <v>1070</v>
      </c>
      <c r="N343" s="62" t="str">
        <f t="shared" si="4"/>
        <v/>
      </c>
      <c r="O343" s="28"/>
      <c r="P343" s="28"/>
      <c r="Q343" s="28"/>
      <c r="R343" s="28"/>
      <c r="S343" s="28"/>
      <c r="T343" s="28"/>
      <c r="U343" s="65"/>
      <c r="V343" s="28"/>
      <c r="W343" s="65"/>
      <c r="X343" s="66" t="s">
        <v>154</v>
      </c>
      <c r="Y343" s="65" t="str">
        <f t="shared" si="6"/>
        <v>EMERALD 61BD-40</v>
      </c>
    </row>
    <row r="344">
      <c r="A344" s="121" t="s">
        <v>856</v>
      </c>
      <c r="B344" s="91" t="str">
        <f t="shared" si="63"/>
        <v>BB-61</v>
      </c>
      <c r="C344" s="15" t="s">
        <v>883</v>
      </c>
      <c r="D344" s="18" t="s">
        <v>78</v>
      </c>
      <c r="E344" s="39">
        <v>2460.0</v>
      </c>
      <c r="F344" s="83" t="s">
        <v>202</v>
      </c>
      <c r="G344" s="50" t="str">
        <f t="shared" si="59"/>
        <v/>
      </c>
      <c r="H344" s="28"/>
      <c r="I344" s="55">
        <f t="shared" si="2"/>
        <v>2687.760277</v>
      </c>
      <c r="J344" s="81"/>
      <c r="K344" s="60">
        <f>IFERROR(__xludf.DUMMYFUNCTION("IFERROR(VLOOKUP(C344,IMPORTRANGE(""https://docs.google.com/spreadsheets/d/1HZUHB8NvANAZR0sHDmHYVAm2WE9kNv0pGIQA48Ryim8/edit?gid=1285727875#gid=1285727875"",""Sheet1!A2:G""),7,0))"),650.75)</f>
        <v>650.75</v>
      </c>
      <c r="L344" s="62">
        <f t="shared" si="60"/>
        <v>3.780253554</v>
      </c>
      <c r="M344" s="60">
        <f>IFERROR(__xludf.DUMMYFUNCTION("IFERROR(VLOOKUP(C344,IMPORTRANGE(""https://docs.google.com/spreadsheets/d/1HZUHB8NvANAZR0sHDmHYVAm2WE9kNv0pGIQA48Ryim8/edit?gid=1285727875#gid=1285727875"",""Cost!A2:G""),7,0))"),711.0)</f>
        <v>711</v>
      </c>
      <c r="N344" s="62" t="str">
        <f t="shared" si="4"/>
        <v/>
      </c>
      <c r="O344" s="28"/>
      <c r="P344" s="28"/>
      <c r="Q344" s="28"/>
      <c r="R344" s="28"/>
      <c r="S344" s="28"/>
      <c r="T344" s="28"/>
      <c r="U344" s="65"/>
      <c r="V344" s="28"/>
      <c r="W344" s="65"/>
      <c r="X344" s="66" t="s">
        <v>159</v>
      </c>
      <c r="Y344" s="65" t="str">
        <f t="shared" si="6"/>
        <v>EMERALD 61BB</v>
      </c>
    </row>
    <row r="345">
      <c r="A345" s="121" t="s">
        <v>856</v>
      </c>
      <c r="B345" s="91" t="str">
        <f t="shared" si="63"/>
        <v>6154-S</v>
      </c>
      <c r="C345" s="15" t="s">
        <v>884</v>
      </c>
      <c r="D345" s="18" t="s">
        <v>152</v>
      </c>
      <c r="E345" s="75">
        <f>SUM(E346:E347)</f>
        <v>5740</v>
      </c>
      <c r="F345" s="83" t="s">
        <v>202</v>
      </c>
      <c r="G345" s="50" t="str">
        <f t="shared" si="59"/>
        <v/>
      </c>
      <c r="H345" s="28"/>
      <c r="I345" s="55">
        <f t="shared" si="2"/>
        <v>0</v>
      </c>
      <c r="J345" s="81"/>
      <c r="K345" s="60" t="str">
        <f>IFERROR(__xludf.DUMMYFUNCTION("IFERROR(VLOOKUP(C345,IMPORTRANGE(""https://docs.google.com/spreadsheets/d/1HZUHB8NvANAZR0sHDmHYVAm2WE9kNv0pGIQA48Ryim8/edit?gid=1285727875#gid=1285727875"",""Sheet1!A2:G""),7,0))"),"")</f>
        <v/>
      </c>
      <c r="L345" s="62" t="str">
        <f t="shared" si="60"/>
        <v/>
      </c>
      <c r="M345" s="60" t="str">
        <f>IFERROR(__xludf.DUMMYFUNCTION("IFERROR(VLOOKUP(C345,IMPORTRANGE(""https://docs.google.com/spreadsheets/d/1HZUHB8NvANAZR0sHDmHYVAm2WE9kNv0pGIQA48Ryim8/edit?gid=1285727875#gid=1285727875"",""Cost!A2:G""),7,0))"),"")</f>
        <v/>
      </c>
      <c r="N345" s="62" t="str">
        <f t="shared" si="4"/>
        <v/>
      </c>
      <c r="O345" s="28"/>
      <c r="P345" s="28"/>
      <c r="Q345" s="28"/>
      <c r="R345" s="28"/>
      <c r="S345" s="28"/>
      <c r="T345" s="28"/>
      <c r="U345" s="65"/>
      <c r="V345" s="28"/>
      <c r="W345" s="65"/>
      <c r="X345" s="66" t="s">
        <v>342</v>
      </c>
      <c r="Y345" s="65" t="str">
        <f t="shared" si="6"/>
        <v>EMERALD 6154-S</v>
      </c>
    </row>
    <row r="346">
      <c r="A346" s="121" t="s">
        <v>856</v>
      </c>
      <c r="B346" s="91" t="str">
        <f t="shared" si="63"/>
        <v>BD-40</v>
      </c>
      <c r="C346" s="15" t="s">
        <v>154</v>
      </c>
      <c r="D346" s="18" t="s">
        <v>156</v>
      </c>
      <c r="E346" s="39">
        <v>3680.0</v>
      </c>
      <c r="F346" s="83" t="s">
        <v>202</v>
      </c>
      <c r="G346" s="50" t="str">
        <f t="shared" si="59"/>
        <v/>
      </c>
      <c r="H346" s="28"/>
      <c r="I346" s="55">
        <f t="shared" si="2"/>
        <v>4075.59981</v>
      </c>
      <c r="J346" s="81"/>
      <c r="K346" s="60">
        <f>IFERROR(__xludf.DUMMYFUNCTION("IFERROR(VLOOKUP(C346,IMPORTRANGE(""https://docs.google.com/spreadsheets/d/1HZUHB8NvANAZR0sHDmHYVAm2WE9kNv0pGIQA48Ryim8/edit?gid=1285727875#gid=1285727875"",""Sheet1!A2:G""),7,0))"),966.14)</f>
        <v>966.14</v>
      </c>
      <c r="L346" s="62">
        <f t="shared" si="60"/>
        <v>3.808971785</v>
      </c>
      <c r="M346" s="60">
        <f>IFERROR(__xludf.DUMMYFUNCTION("IFERROR(VLOOKUP(C346,IMPORTRANGE(""https://docs.google.com/spreadsheets/d/1HZUHB8NvANAZR0sHDmHYVAm2WE9kNv0pGIQA48Ryim8/edit?gid=1285727875#gid=1285727875"",""Cost!A2:G""),7,0))"),1070.0)</f>
        <v>1070</v>
      </c>
      <c r="N346" s="62" t="str">
        <f t="shared" si="4"/>
        <v/>
      </c>
      <c r="O346" s="28"/>
      <c r="P346" s="28"/>
      <c r="Q346" s="28"/>
      <c r="R346" s="28"/>
      <c r="S346" s="28"/>
      <c r="T346" s="28"/>
      <c r="U346" s="65"/>
      <c r="V346" s="28"/>
      <c r="W346" s="65"/>
      <c r="X346" s="66" t="s">
        <v>154</v>
      </c>
      <c r="Y346" s="65" t="str">
        <f t="shared" si="6"/>
        <v>EMERALD 61BD-40</v>
      </c>
    </row>
    <row r="347">
      <c r="A347" s="121" t="s">
        <v>856</v>
      </c>
      <c r="B347" s="91" t="str">
        <f t="shared" si="63"/>
        <v>BB-61-S</v>
      </c>
      <c r="C347" s="15" t="s">
        <v>887</v>
      </c>
      <c r="D347" s="18" t="s">
        <v>78</v>
      </c>
      <c r="E347" s="39">
        <v>2060.0</v>
      </c>
      <c r="F347" s="83" t="s">
        <v>202</v>
      </c>
      <c r="G347" s="50" t="str">
        <f t="shared" si="59"/>
        <v/>
      </c>
      <c r="H347" s="28"/>
      <c r="I347" s="55">
        <f t="shared" si="2"/>
        <v>0</v>
      </c>
      <c r="J347" s="81"/>
      <c r="K347" s="60" t="str">
        <f>IFERROR(__xludf.DUMMYFUNCTION("IFERROR(VLOOKUP(C347,IMPORTRANGE(""https://docs.google.com/spreadsheets/d/1HZUHB8NvANAZR0sHDmHYVAm2WE9kNv0pGIQA48Ryim8/edit?gid=1285727875#gid=1285727875"",""Sheet1!A2:G""),7,0))"),"")</f>
        <v/>
      </c>
      <c r="L347" s="62" t="str">
        <f t="shared" si="60"/>
        <v/>
      </c>
      <c r="M347" s="60" t="str">
        <f>IFERROR(__xludf.DUMMYFUNCTION("IFERROR(VLOOKUP(C347,IMPORTRANGE(""https://docs.google.com/spreadsheets/d/1HZUHB8NvANAZR0sHDmHYVAm2WE9kNv0pGIQA48Ryim8/edit?gid=1285727875#gid=1285727875"",""Cost!A2:G""),7,0))"),"")</f>
        <v/>
      </c>
      <c r="N347" s="62" t="str">
        <f t="shared" si="4"/>
        <v/>
      </c>
      <c r="O347" s="28"/>
      <c r="P347" s="28"/>
      <c r="Q347" s="28"/>
      <c r="R347" s="28"/>
      <c r="S347" s="28"/>
      <c r="T347" s="28"/>
      <c r="U347" s="65"/>
      <c r="V347" s="28"/>
      <c r="W347" s="65"/>
      <c r="X347" s="66" t="s">
        <v>159</v>
      </c>
      <c r="Y347" s="65" t="str">
        <f t="shared" si="6"/>
        <v>EMERALD 61BB</v>
      </c>
    </row>
    <row r="348">
      <c r="A348" s="121" t="s">
        <v>856</v>
      </c>
      <c r="B348" s="91">
        <f t="shared" si="63"/>
        <v>6155</v>
      </c>
      <c r="C348" s="15">
        <v>6155.0</v>
      </c>
      <c r="D348" s="18" t="s">
        <v>164</v>
      </c>
      <c r="E348" s="39">
        <v>3980.0</v>
      </c>
      <c r="F348" s="83" t="s">
        <v>202</v>
      </c>
      <c r="G348" s="50" t="str">
        <f t="shared" si="59"/>
        <v/>
      </c>
      <c r="H348" s="28"/>
      <c r="I348" s="55">
        <f t="shared" si="2"/>
        <v>4397.110978</v>
      </c>
      <c r="J348" s="81"/>
      <c r="K348" s="60">
        <f>IFERROR(__xludf.DUMMYFUNCTION("IFERROR(VLOOKUP(C348,IMPORTRANGE(""https://docs.google.com/spreadsheets/d/1HZUHB8NvANAZR0sHDmHYVAm2WE9kNv0pGIQA48Ryim8/edit?gid=1285727875#gid=1285727875"",""Sheet1!A2:G""),7,0))"),1003.8)</f>
        <v>1003.8</v>
      </c>
      <c r="L348" s="62">
        <f t="shared" si="60"/>
        <v>3.964933254</v>
      </c>
      <c r="M348" s="60">
        <f>IFERROR(__xludf.DUMMYFUNCTION("IFERROR(VLOOKUP(C348,IMPORTRANGE(""https://docs.google.com/spreadsheets/d/1HZUHB8NvANAZR0sHDmHYVAm2WE9kNv0pGIQA48Ryim8/edit?gid=1285727875#gid=1285727875"",""Cost!A2:G""),7,0))"),1109.0)</f>
        <v>1109</v>
      </c>
      <c r="N348" s="62" t="str">
        <f t="shared" si="4"/>
        <v/>
      </c>
      <c r="O348" s="28"/>
      <c r="P348" s="28"/>
      <c r="Q348" s="28"/>
      <c r="R348" s="28"/>
      <c r="S348" s="28"/>
      <c r="T348" s="28"/>
      <c r="U348" s="65"/>
      <c r="V348" s="28"/>
      <c r="W348" s="65"/>
      <c r="X348" s="66" t="s">
        <v>162</v>
      </c>
      <c r="Y348" s="65" t="str">
        <f t="shared" si="6"/>
        <v>EMERALD 6155</v>
      </c>
    </row>
    <row r="349">
      <c r="A349" s="121" t="s">
        <v>856</v>
      </c>
      <c r="B349" s="91">
        <f t="shared" si="63"/>
        <v>6170</v>
      </c>
      <c r="C349" s="15">
        <v>6170.0</v>
      </c>
      <c r="D349" s="18" t="s">
        <v>186</v>
      </c>
      <c r="E349" s="39">
        <v>5980.0</v>
      </c>
      <c r="F349" s="83" t="s">
        <v>202</v>
      </c>
      <c r="G349" s="50" t="str">
        <f t="shared" si="59"/>
        <v/>
      </c>
      <c r="H349" s="28"/>
      <c r="I349" s="55">
        <f t="shared" si="2"/>
        <v>6662.516441</v>
      </c>
      <c r="J349" s="81"/>
      <c r="K349" s="60">
        <f>IFERROR(__xludf.DUMMYFUNCTION("IFERROR(VLOOKUP(C349,IMPORTRANGE(""https://docs.google.com/spreadsheets/d/1HZUHB8NvANAZR0sHDmHYVAm2WE9kNv0pGIQA48Ryim8/edit?gid=1285727875#gid=1285727875"",""Sheet1!A2:G""),7,0))"),1680.23)</f>
        <v>1680.23</v>
      </c>
      <c r="L349" s="62">
        <f t="shared" si="60"/>
        <v>3.55903656</v>
      </c>
      <c r="M349" s="60">
        <f>IFERROR(__xludf.DUMMYFUNCTION("IFERROR(VLOOKUP(C349,IMPORTRANGE(""https://docs.google.com/spreadsheets/d/1HZUHB8NvANAZR0sHDmHYVAm2WE9kNv0pGIQA48Ryim8/edit?gid=1285727875#gid=1285727875"",""Cost!A2:G""),7,0))"),1872.0)</f>
        <v>1872</v>
      </c>
      <c r="N349" s="62" t="str">
        <f t="shared" si="4"/>
        <v/>
      </c>
      <c r="O349" s="28"/>
      <c r="P349" s="28"/>
      <c r="Q349" s="28"/>
      <c r="R349" s="28"/>
      <c r="S349" s="28"/>
      <c r="T349" s="28"/>
      <c r="U349" s="65"/>
      <c r="V349" s="28"/>
      <c r="W349" s="65"/>
      <c r="X349" s="66" t="s">
        <v>184</v>
      </c>
      <c r="Y349" s="65" t="str">
        <f t="shared" si="6"/>
        <v>EMERALD 6170</v>
      </c>
    </row>
    <row r="350">
      <c r="A350" s="121" t="s">
        <v>856</v>
      </c>
      <c r="B350" s="91">
        <f t="shared" si="63"/>
        <v>6175</v>
      </c>
      <c r="C350" s="15">
        <v>6175.0</v>
      </c>
      <c r="D350" s="18" t="s">
        <v>196</v>
      </c>
      <c r="E350" s="39">
        <v>5980.0</v>
      </c>
      <c r="F350" s="83" t="s">
        <v>202</v>
      </c>
      <c r="G350" s="50" t="str">
        <f t="shared" si="59"/>
        <v/>
      </c>
      <c r="H350" s="28"/>
      <c r="I350" s="55">
        <f t="shared" si="2"/>
        <v>6651.500349</v>
      </c>
      <c r="J350" s="81"/>
      <c r="K350" s="60">
        <f>IFERROR(__xludf.DUMMYFUNCTION("IFERROR(VLOOKUP(C350,IMPORTRANGE(""https://docs.google.com/spreadsheets/d/1HZUHB8NvANAZR0sHDmHYVAm2WE9kNv0pGIQA48Ryim8/edit?gid=1285727875#gid=1285727875"",""Sheet1!A2:G""),7,0))"),1647.95)</f>
        <v>1647.95</v>
      </c>
      <c r="L350" s="62">
        <f t="shared" si="60"/>
        <v>3.628750872</v>
      </c>
      <c r="M350" s="60">
        <f>IFERROR(__xludf.DUMMYFUNCTION("IFERROR(VLOOKUP(C350,IMPORTRANGE(""https://docs.google.com/spreadsheets/d/1HZUHB8NvANAZR0sHDmHYVAm2WE9kNv0pGIQA48Ryim8/edit?gid=1285727875#gid=1285727875"",""Cost!A2:G""),7,0))"),1833.0)</f>
        <v>1833</v>
      </c>
      <c r="N350" s="62" t="str">
        <f t="shared" si="4"/>
        <v/>
      </c>
      <c r="O350" s="28"/>
      <c r="P350" s="28"/>
      <c r="Q350" s="28"/>
      <c r="R350" s="28"/>
      <c r="S350" s="28"/>
      <c r="T350" s="28"/>
      <c r="U350" s="65"/>
      <c r="V350" s="28"/>
      <c r="W350" s="65"/>
      <c r="X350" s="66" t="s">
        <v>194</v>
      </c>
      <c r="Y350" s="65" t="str">
        <f t="shared" si="6"/>
        <v>EMERALD 6175</v>
      </c>
    </row>
    <row r="351">
      <c r="A351" s="121" t="s">
        <v>856</v>
      </c>
      <c r="B351" s="91">
        <f t="shared" si="63"/>
        <v>6180</v>
      </c>
      <c r="C351" s="15">
        <v>6180.0</v>
      </c>
      <c r="D351" s="18" t="s">
        <v>205</v>
      </c>
      <c r="E351" s="39">
        <v>6880.0</v>
      </c>
      <c r="F351" s="83" t="s">
        <v>202</v>
      </c>
      <c r="G351" s="50" t="str">
        <f t="shared" si="59"/>
        <v/>
      </c>
      <c r="H351" s="28"/>
      <c r="I351" s="55">
        <f t="shared" si="2"/>
        <v>7642.857923</v>
      </c>
      <c r="J351" s="81"/>
      <c r="K351" s="60">
        <f>IFERROR(__xludf.DUMMYFUNCTION("IFERROR(VLOOKUP(C351,IMPORTRANGE(""https://docs.google.com/spreadsheets/d/1HZUHB8NvANAZR0sHDmHYVAm2WE9kNv0pGIQA48Ryim8/edit?gid=1285727875#gid=1285727875"",""Sheet1!A2:G""),7,0))"),1830.98)</f>
        <v>1830.98</v>
      </c>
      <c r="L351" s="62">
        <f t="shared" si="60"/>
        <v>3.757550601</v>
      </c>
      <c r="M351" s="60">
        <f>IFERROR(__xludf.DUMMYFUNCTION("IFERROR(VLOOKUP(C351,IMPORTRANGE(""https://docs.google.com/spreadsheets/d/1HZUHB8NvANAZR0sHDmHYVAm2WE9kNv0pGIQA48Ryim8/edit?gid=1285727875#gid=1285727875"",""Cost!A2:G""),7,0))"),2034.0)</f>
        <v>2034</v>
      </c>
      <c r="N351" s="62" t="str">
        <f t="shared" si="4"/>
        <v/>
      </c>
      <c r="O351" s="28"/>
      <c r="P351" s="28"/>
      <c r="Q351" s="28"/>
      <c r="R351" s="28"/>
      <c r="S351" s="28"/>
      <c r="T351" s="28"/>
      <c r="U351" s="65"/>
      <c r="V351" s="28"/>
      <c r="W351" s="65"/>
      <c r="X351" s="66" t="s">
        <v>203</v>
      </c>
      <c r="Y351" s="65" t="str">
        <f t="shared" si="6"/>
        <v>EMERALD 6180</v>
      </c>
    </row>
    <row r="352">
      <c r="A352" s="121" t="s">
        <v>856</v>
      </c>
      <c r="B352" s="91" t="str">
        <f t="shared" si="63"/>
        <v>6191-N</v>
      </c>
      <c r="C352" s="15" t="s">
        <v>894</v>
      </c>
      <c r="D352" s="18" t="s">
        <v>210</v>
      </c>
      <c r="E352" s="75">
        <f>SUM(E353:E354)</f>
        <v>6020</v>
      </c>
      <c r="F352" s="83" t="s">
        <v>202</v>
      </c>
      <c r="G352" s="50" t="str">
        <f t="shared" si="59"/>
        <v/>
      </c>
      <c r="H352" s="28"/>
      <c r="I352" s="55">
        <f t="shared" si="2"/>
        <v>6620.96324</v>
      </c>
      <c r="J352" s="81"/>
      <c r="K352" s="60">
        <f>IFERROR(__xludf.DUMMYFUNCTION("IFERROR(VLOOKUP(C352,IMPORTRANGE(""https://docs.google.com/spreadsheets/d/1HZUHB8NvANAZR0sHDmHYVAm2WE9kNv0pGIQA48Ryim8/edit?gid=1285727875#gid=1285727875"",""Sheet1!A2:G""),7,0))"),1683.9)</f>
        <v>1683.9</v>
      </c>
      <c r="L352" s="62">
        <f t="shared" si="60"/>
        <v>3.575034147</v>
      </c>
      <c r="M352" s="60">
        <f>IFERROR(__xludf.DUMMYFUNCTION("IFERROR(VLOOKUP(C352,IMPORTRANGE(""https://docs.google.com/spreadsheets/d/1HZUHB8NvANAZR0sHDmHYVAm2WE9kNv0pGIQA48Ryim8/edit?gid=1285727875#gid=1285727875"",""Cost!A2:G""),7,0))"),1852.0)</f>
        <v>1852</v>
      </c>
      <c r="N352" s="62" t="str">
        <f t="shared" si="4"/>
        <v/>
      </c>
      <c r="O352" s="28"/>
      <c r="P352" s="28"/>
      <c r="Q352" s="28"/>
      <c r="R352" s="28"/>
      <c r="S352" s="28"/>
      <c r="T352" s="28"/>
      <c r="U352" s="65"/>
      <c r="V352" s="28"/>
      <c r="W352" s="65"/>
      <c r="X352" s="66" t="s">
        <v>209</v>
      </c>
      <c r="Y352" s="65" t="str">
        <f t="shared" si="6"/>
        <v>EMERALD 6191</v>
      </c>
    </row>
    <row r="353">
      <c r="A353" s="121" t="s">
        <v>856</v>
      </c>
      <c r="B353" s="91" t="str">
        <f t="shared" si="63"/>
        <v>PD-40-N</v>
      </c>
      <c r="C353" s="15" t="s">
        <v>212</v>
      </c>
      <c r="D353" s="18" t="s">
        <v>214</v>
      </c>
      <c r="E353" s="39">
        <v>4240.0</v>
      </c>
      <c r="F353" s="83" t="s">
        <v>202</v>
      </c>
      <c r="G353" s="50" t="str">
        <f t="shared" si="59"/>
        <v/>
      </c>
      <c r="H353" s="28"/>
      <c r="I353" s="55">
        <f t="shared" si="2"/>
        <v>4549.622554</v>
      </c>
      <c r="J353" s="81"/>
      <c r="K353" s="60">
        <f>IFERROR(__xludf.DUMMYFUNCTION("IFERROR(VLOOKUP(C353,IMPORTRANGE(""https://docs.google.com/spreadsheets/d/1HZUHB8NvANAZR0sHDmHYVAm2WE9kNv0pGIQA48Ryim8/edit?gid=1285727875#gid=1285727875"",""Sheet1!A2:G""),7,0))"),1298.2)</f>
        <v>1298.2</v>
      </c>
      <c r="L353" s="62">
        <f t="shared" si="60"/>
        <v>3.266060699</v>
      </c>
      <c r="M353" s="60">
        <f>IFERROR(__xludf.DUMMYFUNCTION("IFERROR(VLOOKUP(C353,IMPORTRANGE(""https://docs.google.com/spreadsheets/d/1HZUHB8NvANAZR0sHDmHYVAm2WE9kNv0pGIQA48Ryim8/edit?gid=1285727875#gid=1285727875"",""Cost!A2:G""),7,0))"),1393.0)</f>
        <v>1393</v>
      </c>
      <c r="N353" s="62" t="str">
        <f t="shared" si="4"/>
        <v/>
      </c>
      <c r="O353" s="28"/>
      <c r="P353" s="28"/>
      <c r="Q353" s="28"/>
      <c r="R353" s="28"/>
      <c r="S353" s="28"/>
      <c r="T353" s="28"/>
      <c r="U353" s="65"/>
      <c r="V353" s="28"/>
      <c r="W353" s="65"/>
      <c r="X353" s="66" t="s">
        <v>212</v>
      </c>
      <c r="Y353" s="65" t="str">
        <f t="shared" si="6"/>
        <v>EMERALD 61PD-40-N</v>
      </c>
    </row>
    <row r="354">
      <c r="A354" s="121" t="s">
        <v>856</v>
      </c>
      <c r="B354" s="91" t="str">
        <f t="shared" si="63"/>
        <v>DB-61-N</v>
      </c>
      <c r="C354" s="15" t="s">
        <v>897</v>
      </c>
      <c r="D354" s="18" t="s">
        <v>217</v>
      </c>
      <c r="E354" s="39">
        <v>1780.0</v>
      </c>
      <c r="F354" s="83" t="s">
        <v>202</v>
      </c>
      <c r="G354" s="50" t="str">
        <f t="shared" si="59"/>
        <v/>
      </c>
      <c r="H354" s="28"/>
      <c r="I354" s="55">
        <f t="shared" si="2"/>
        <v>2121.151936</v>
      </c>
      <c r="J354" s="81"/>
      <c r="K354" s="60">
        <f>IFERROR(__xludf.DUMMYFUNCTION("IFERROR(VLOOKUP(C354,IMPORTRANGE(""https://docs.google.com/spreadsheets/d/1HZUHB8NvANAZR0sHDmHYVAm2WE9kNv0pGIQA48Ryim8/edit?gid=1285727875#gid=1285727875"",""Sheet1!A2:G""),7,0))"),382.66)</f>
        <v>382.66</v>
      </c>
      <c r="L354" s="62">
        <f t="shared" si="60"/>
        <v>4.651648983</v>
      </c>
      <c r="M354" s="60">
        <f>IFERROR(__xludf.DUMMYFUNCTION("IFERROR(VLOOKUP(C354,IMPORTRANGE(""https://docs.google.com/spreadsheets/d/1HZUHB8NvANAZR0sHDmHYVAm2WE9kNv0pGIQA48Ryim8/edit?gid=1285727875#gid=1285727875"",""Cost!A2:G""),7,0))"),456.0)</f>
        <v>456</v>
      </c>
      <c r="N354" s="62" t="str">
        <f t="shared" si="4"/>
        <v/>
      </c>
      <c r="O354" s="28"/>
      <c r="P354" s="28"/>
      <c r="Q354" s="28"/>
      <c r="R354" s="28"/>
      <c r="S354" s="28"/>
      <c r="T354" s="28"/>
      <c r="U354" s="65"/>
      <c r="V354" s="28"/>
      <c r="W354" s="65"/>
      <c r="X354" s="66" t="s">
        <v>358</v>
      </c>
      <c r="Y354" s="65" t="str">
        <f t="shared" si="6"/>
        <v>EMERALD 61DB</v>
      </c>
    </row>
    <row r="355">
      <c r="A355" s="121" t="s">
        <v>856</v>
      </c>
      <c r="B355" s="91" t="str">
        <f t="shared" si="63"/>
        <v>6192-N</v>
      </c>
      <c r="C355" s="15" t="s">
        <v>900</v>
      </c>
      <c r="D355" s="18" t="s">
        <v>220</v>
      </c>
      <c r="E355" s="75">
        <f>SUM(E356:E357)</f>
        <v>6760</v>
      </c>
      <c r="F355" s="83" t="s">
        <v>202</v>
      </c>
      <c r="G355" s="50" t="str">
        <f t="shared" si="59"/>
        <v/>
      </c>
      <c r="H355" s="28"/>
      <c r="I355" s="55">
        <f t="shared" si="2"/>
        <v>7599.058402</v>
      </c>
      <c r="J355" s="81"/>
      <c r="K355" s="60">
        <f>IFERROR(__xludf.DUMMYFUNCTION("IFERROR(VLOOKUP(C355,IMPORTRANGE(""https://docs.google.com/spreadsheets/d/1HZUHB8NvANAZR0sHDmHYVAm2WE9kNv0pGIQA48Ryim8/edit?gid=1285727875#gid=1285727875"",""Sheet1!A2:G""),7,0))"),1966.87)</f>
        <v>1966.87</v>
      </c>
      <c r="L355" s="62">
        <f t="shared" si="60"/>
        <v>3.436932792</v>
      </c>
      <c r="M355" s="60">
        <f>IFERROR(__xludf.DUMMYFUNCTION("IFERROR(VLOOKUP(C355,IMPORTRANGE(""https://docs.google.com/spreadsheets/d/1HZUHB8NvANAZR0sHDmHYVAm2WE9kNv0pGIQA48Ryim8/edit?gid=1285727875#gid=1285727875"",""Cost!A2:G""),7,0))"),2211.0)</f>
        <v>2211</v>
      </c>
      <c r="N355" s="62" t="str">
        <f t="shared" si="4"/>
        <v/>
      </c>
      <c r="O355" s="28"/>
      <c r="P355" s="28"/>
      <c r="Q355" s="28"/>
      <c r="R355" s="28"/>
      <c r="S355" s="28"/>
      <c r="T355" s="28"/>
      <c r="U355" s="65"/>
      <c r="V355" s="28"/>
      <c r="W355" s="65"/>
      <c r="X355" s="66" t="s">
        <v>219</v>
      </c>
      <c r="Y355" s="65" t="str">
        <f t="shared" si="6"/>
        <v>EMERALD 6192</v>
      </c>
    </row>
    <row r="356">
      <c r="A356" s="121" t="s">
        <v>856</v>
      </c>
      <c r="B356" s="91" t="str">
        <f t="shared" si="63"/>
        <v>PD-46-H-N</v>
      </c>
      <c r="C356" s="15" t="s">
        <v>223</v>
      </c>
      <c r="D356" s="18" t="s">
        <v>224</v>
      </c>
      <c r="E356" s="39">
        <v>4980.0</v>
      </c>
      <c r="F356" s="83" t="s">
        <v>202</v>
      </c>
      <c r="G356" s="50" t="str">
        <f t="shared" si="59"/>
        <v/>
      </c>
      <c r="H356" s="28"/>
      <c r="I356" s="55">
        <f t="shared" si="2"/>
        <v>5513.426362</v>
      </c>
      <c r="J356" s="81"/>
      <c r="K356" s="60">
        <f>IFERROR(__xludf.DUMMYFUNCTION("IFERROR(VLOOKUP(C356,IMPORTRANGE(""https://docs.google.com/spreadsheets/d/1HZUHB8NvANAZR0sHDmHYVAm2WE9kNv0pGIQA48Ryim8/edit?gid=1285727875#gid=1285727875"",""Sheet1!A2:G""),7,0))"),1581.59)</f>
        <v>1581.59</v>
      </c>
      <c r="L356" s="62">
        <f t="shared" si="60"/>
        <v>3.148730075</v>
      </c>
      <c r="M356" s="60">
        <f>IFERROR(__xludf.DUMMYFUNCTION("IFERROR(VLOOKUP(C356,IMPORTRANGE(""https://docs.google.com/spreadsheets/d/1HZUHB8NvANAZR0sHDmHYVAm2WE9kNv0pGIQA48Ryim8/edit?gid=1285727875#gid=1285727875"",""Cost!A2:G""),7,0))"),1751.0)</f>
        <v>1751</v>
      </c>
      <c r="N356" s="62" t="str">
        <f t="shared" si="4"/>
        <v/>
      </c>
      <c r="O356" s="28"/>
      <c r="P356" s="28"/>
      <c r="Q356" s="28"/>
      <c r="R356" s="28"/>
      <c r="S356" s="28"/>
      <c r="T356" s="28"/>
      <c r="U356" s="65"/>
      <c r="V356" s="28"/>
      <c r="W356" s="65"/>
      <c r="X356" s="66" t="s">
        <v>223</v>
      </c>
      <c r="Y356" s="65" t="str">
        <f t="shared" si="6"/>
        <v>EMERALD 61PD-46-H-N</v>
      </c>
    </row>
    <row r="357">
      <c r="A357" s="121" t="s">
        <v>856</v>
      </c>
      <c r="B357" s="91" t="str">
        <f t="shared" si="63"/>
        <v>DB-61-H-N</v>
      </c>
      <c r="C357" s="15" t="s">
        <v>903</v>
      </c>
      <c r="D357" s="18" t="s">
        <v>217</v>
      </c>
      <c r="E357" s="39">
        <v>1780.0</v>
      </c>
      <c r="F357" s="83" t="s">
        <v>202</v>
      </c>
      <c r="G357" s="50" t="str">
        <f t="shared" si="59"/>
        <v/>
      </c>
      <c r="H357" s="28"/>
      <c r="I357" s="55">
        <f t="shared" si="2"/>
        <v>2123.158391</v>
      </c>
      <c r="J357" s="81"/>
      <c r="K357" s="60">
        <f>IFERROR(__xludf.DUMMYFUNCTION("IFERROR(VLOOKUP(C357,IMPORTRANGE(""https://docs.google.com/spreadsheets/d/1HZUHB8NvANAZR0sHDmHYVAm2WE9kNv0pGIQA48Ryim8/edit?gid=1285727875#gid=1285727875"",""Sheet1!A2:G""),7,0))"),381.46)</f>
        <v>381.46</v>
      </c>
      <c r="L357" s="62">
        <f t="shared" si="60"/>
        <v>4.666282179</v>
      </c>
      <c r="M357" s="60">
        <f>IFERROR(__xludf.DUMMYFUNCTION("IFERROR(VLOOKUP(C357,IMPORTRANGE(""https://docs.google.com/spreadsheets/d/1HZUHB8NvANAZR0sHDmHYVAm2WE9kNv0pGIQA48Ryim8/edit?gid=1285727875#gid=1285727875"",""Cost!A2:G""),7,0))"),455.0)</f>
        <v>455</v>
      </c>
      <c r="N357" s="62" t="str">
        <f t="shared" si="4"/>
        <v/>
      </c>
      <c r="O357" s="28"/>
      <c r="P357" s="28"/>
      <c r="Q357" s="28"/>
      <c r="R357" s="28"/>
      <c r="S357" s="28"/>
      <c r="T357" s="28"/>
      <c r="U357" s="65"/>
      <c r="V357" s="28"/>
      <c r="W357" s="65"/>
      <c r="X357" s="66" t="s">
        <v>358</v>
      </c>
      <c r="Y357" s="65" t="str">
        <f t="shared" si="6"/>
        <v>EMERALD 61DB</v>
      </c>
    </row>
    <row r="358">
      <c r="A358" s="121" t="s">
        <v>856</v>
      </c>
      <c r="B358" s="91" t="str">
        <f t="shared" si="63"/>
        <v>6192-ON-OFF-N</v>
      </c>
      <c r="C358" s="15" t="s">
        <v>906</v>
      </c>
      <c r="D358" s="18" t="s">
        <v>229</v>
      </c>
      <c r="E358" s="75">
        <f>SUM(E359:E360)</f>
        <v>6760</v>
      </c>
      <c r="F358" s="83" t="s">
        <v>202</v>
      </c>
      <c r="G358" s="50" t="str">
        <f t="shared" si="59"/>
        <v/>
      </c>
      <c r="H358" s="28"/>
      <c r="I358" s="55">
        <f t="shared" si="2"/>
        <v>7677.83045</v>
      </c>
      <c r="J358" s="81"/>
      <c r="K358" s="60">
        <f>IFERROR(__xludf.DUMMYFUNCTION("IFERROR(VLOOKUP(C358,IMPORTRANGE(""https://docs.google.com/spreadsheets/d/1HZUHB8NvANAZR0sHDmHYVAm2WE9kNv0pGIQA48Ryim8/edit?gid=1285727875#gid=1285727875"",""Sheet1!A2:G""),7,0))"),1752.99)</f>
        <v>1752.99</v>
      </c>
      <c r="L358" s="62">
        <f t="shared" si="60"/>
        <v>3.856268433</v>
      </c>
      <c r="M358" s="60">
        <f>IFERROR(__xludf.DUMMYFUNCTION("IFERROR(VLOOKUP(C358,IMPORTRANGE(""https://docs.google.com/spreadsheets/d/1HZUHB8NvANAZR0sHDmHYVAm2WE9kNv0pGIQA48Ryim8/edit?gid=1285727875#gid=1285727875"",""Cost!A2:G""),7,0))"),1991.0)</f>
        <v>1991</v>
      </c>
      <c r="N358" s="62" t="str">
        <f t="shared" si="4"/>
        <v/>
      </c>
      <c r="O358" s="28"/>
      <c r="P358" s="28"/>
      <c r="Q358" s="28"/>
      <c r="R358" s="28"/>
      <c r="S358" s="28"/>
      <c r="T358" s="28"/>
      <c r="U358" s="65"/>
      <c r="V358" s="28"/>
      <c r="W358" s="65"/>
      <c r="X358" s="66" t="s">
        <v>368</v>
      </c>
      <c r="Y358" s="65" t="str">
        <f t="shared" si="6"/>
        <v>EMERALD 6192-ON-OFF</v>
      </c>
    </row>
    <row r="359">
      <c r="A359" s="121" t="s">
        <v>856</v>
      </c>
      <c r="B359" s="91" t="str">
        <f t="shared" si="63"/>
        <v>PD-46-H-ON-OFF-N</v>
      </c>
      <c r="C359" s="15" t="s">
        <v>234</v>
      </c>
      <c r="D359" s="18" t="s">
        <v>235</v>
      </c>
      <c r="E359" s="39">
        <f>E356-240</f>
        <v>4740</v>
      </c>
      <c r="F359" s="83" t="s">
        <v>202</v>
      </c>
      <c r="G359" s="50" t="str">
        <f t="shared" si="59"/>
        <v/>
      </c>
      <c r="H359" s="28"/>
      <c r="I359" s="55">
        <f t="shared" si="2"/>
        <v>5306.797906</v>
      </c>
      <c r="J359" s="81"/>
      <c r="K359" s="60">
        <f>IFERROR(__xludf.DUMMYFUNCTION("IFERROR(VLOOKUP(C359,IMPORTRANGE(""https://docs.google.com/spreadsheets/d/1HZUHB8NvANAZR0sHDmHYVAm2WE9kNv0pGIQA48Ryim8/edit?gid=1285727875#gid=1285727875"",""Sheet1!A2:G""),7,0))"),1367.48)</f>
        <v>1367.48</v>
      </c>
      <c r="L359" s="62">
        <f t="shared" si="60"/>
        <v>3.466229853</v>
      </c>
      <c r="M359" s="60">
        <f>IFERROR(__xludf.DUMMYFUNCTION("IFERROR(VLOOKUP(C359,IMPORTRANGE(""https://docs.google.com/spreadsheets/d/1HZUHB8NvANAZR0sHDmHYVAm2WE9kNv0pGIQA48Ryim8/edit?gid=1285727875#gid=1285727875"",""Cost!A2:G""),7,0))"),1531.0)</f>
        <v>1531</v>
      </c>
      <c r="N359" s="62" t="str">
        <f t="shared" si="4"/>
        <v/>
      </c>
      <c r="O359" s="28"/>
      <c r="P359" s="28"/>
      <c r="Q359" s="28"/>
      <c r="R359" s="28"/>
      <c r="S359" s="28"/>
      <c r="T359" s="28"/>
      <c r="U359" s="65"/>
      <c r="V359" s="28"/>
      <c r="W359" s="65"/>
      <c r="X359" s="66" t="s">
        <v>371</v>
      </c>
      <c r="Y359" s="65" t="str">
        <f t="shared" si="6"/>
        <v>EMERALD 61PD-ON-OFF</v>
      </c>
    </row>
    <row r="360">
      <c r="A360" s="121" t="s">
        <v>856</v>
      </c>
      <c r="B360" s="91" t="str">
        <f t="shared" si="63"/>
        <v>DB-61-H-ON-OFF-N</v>
      </c>
      <c r="C360" s="15" t="s">
        <v>909</v>
      </c>
      <c r="D360" s="18" t="s">
        <v>217</v>
      </c>
      <c r="E360" s="75">
        <f>E357+240</f>
        <v>2020</v>
      </c>
      <c r="F360" s="83" t="s">
        <v>202</v>
      </c>
      <c r="G360" s="50" t="str">
        <f t="shared" si="59"/>
        <v/>
      </c>
      <c r="H360" s="28"/>
      <c r="I360" s="55">
        <f t="shared" si="2"/>
        <v>2410.058737</v>
      </c>
      <c r="J360" s="81"/>
      <c r="K360" s="60">
        <f>IFERROR(__xludf.DUMMYFUNCTION("IFERROR(VLOOKUP(C360,IMPORTRANGE(""https://docs.google.com/spreadsheets/d/1HZUHB8NvANAZR0sHDmHYVAm2WE9kNv0pGIQA48Ryim8/edit?gid=1285727875#gid=1285727875"",""Sheet1!A2:G""),7,0))"),381.36)</f>
        <v>381.36</v>
      </c>
      <c r="L360" s="62">
        <f t="shared" si="60"/>
        <v>5.296832389</v>
      </c>
      <c r="M360" s="60">
        <f>IFERROR(__xludf.DUMMYFUNCTION("IFERROR(VLOOKUP(C360,IMPORTRANGE(""https://docs.google.com/spreadsheets/d/1HZUHB8NvANAZR0sHDmHYVAm2WE9kNv0pGIQA48Ryim8/edit?gid=1285727875#gid=1285727875"",""Cost!A2:G""),7,0))"),455.0)</f>
        <v>455</v>
      </c>
      <c r="N360" s="62" t="str">
        <f t="shared" si="4"/>
        <v/>
      </c>
      <c r="O360" s="28"/>
      <c r="P360" s="28"/>
      <c r="Q360" s="28"/>
      <c r="R360" s="28"/>
      <c r="S360" s="28"/>
      <c r="T360" s="28"/>
      <c r="U360" s="65"/>
      <c r="V360" s="28"/>
      <c r="W360" s="65"/>
      <c r="X360" s="66" t="s">
        <v>375</v>
      </c>
      <c r="Y360" s="65" t="str">
        <f t="shared" si="6"/>
        <v>EMERALD 61DB-ON-OFF</v>
      </c>
    </row>
    <row r="361">
      <c r="A361" s="121" t="s">
        <v>856</v>
      </c>
      <c r="B361" s="91" t="str">
        <f t="shared" si="63"/>
        <v>6193-N</v>
      </c>
      <c r="C361" s="15" t="s">
        <v>911</v>
      </c>
      <c r="D361" s="18" t="s">
        <v>241</v>
      </c>
      <c r="E361" s="75">
        <f>SUM(E362:E363)</f>
        <v>6760</v>
      </c>
      <c r="F361" s="83" t="s">
        <v>202</v>
      </c>
      <c r="G361" s="50" t="str">
        <f t="shared" si="59"/>
        <v/>
      </c>
      <c r="H361" s="28"/>
      <c r="I361" s="55">
        <f t="shared" si="2"/>
        <v>7471.458664</v>
      </c>
      <c r="J361" s="81"/>
      <c r="K361" s="60">
        <f>IFERROR(__xludf.DUMMYFUNCTION("IFERROR(VLOOKUP(C361,IMPORTRANGE(""https://docs.google.com/spreadsheets/d/1HZUHB8NvANAZR0sHDmHYVAm2WE9kNv0pGIQA48Ryim8/edit?gid=1285727875#gid=1285727875"",""Sheet1!A2:G""),7,0))"),1922.65)</f>
        <v>1922.65</v>
      </c>
      <c r="L361" s="62">
        <f t="shared" si="60"/>
        <v>3.515980548</v>
      </c>
      <c r="M361" s="60">
        <f>IFERROR(__xludf.DUMMYFUNCTION("IFERROR(VLOOKUP(C361,IMPORTRANGE(""https://docs.google.com/spreadsheets/d/1HZUHB8NvANAZR0sHDmHYVAm2WE9kNv0pGIQA48Ryim8/edit?gid=1285727875#gid=1285727875"",""Cost!A2:G""),7,0))"),2125.0)</f>
        <v>2125</v>
      </c>
      <c r="N361" s="62" t="str">
        <f t="shared" si="4"/>
        <v/>
      </c>
      <c r="O361" s="28"/>
      <c r="P361" s="28"/>
      <c r="Q361" s="28"/>
      <c r="R361" s="28"/>
      <c r="S361" s="28"/>
      <c r="T361" s="28"/>
      <c r="U361" s="65"/>
      <c r="V361" s="28"/>
      <c r="W361" s="65"/>
      <c r="X361" s="66" t="s">
        <v>239</v>
      </c>
      <c r="Y361" s="65" t="str">
        <f t="shared" si="6"/>
        <v>EMERALD 6193</v>
      </c>
    </row>
    <row r="362">
      <c r="A362" s="121" t="s">
        <v>856</v>
      </c>
      <c r="B362" s="91" t="str">
        <f t="shared" si="63"/>
        <v>PD-3 IN-N</v>
      </c>
      <c r="C362" s="15" t="s">
        <v>243</v>
      </c>
      <c r="D362" s="18" t="s">
        <v>244</v>
      </c>
      <c r="E362" s="39">
        <v>4980.0</v>
      </c>
      <c r="F362" s="83" t="s">
        <v>202</v>
      </c>
      <c r="G362" s="50" t="str">
        <f t="shared" si="59"/>
        <v/>
      </c>
      <c r="H362" s="28"/>
      <c r="I362" s="55">
        <f t="shared" si="2"/>
        <v>5395.785272</v>
      </c>
      <c r="J362" s="81"/>
      <c r="K362" s="60">
        <f>IFERROR(__xludf.DUMMYFUNCTION("IFERROR(VLOOKUP(C362,IMPORTRANGE(""https://docs.google.com/spreadsheets/d/1HZUHB8NvANAZR0sHDmHYVAm2WE9kNv0pGIQA48Ryim8/edit?gid=1285727875#gid=1285727875"",""Sheet1!A2:G""),7,0))"),1543.16)</f>
        <v>1543.16</v>
      </c>
      <c r="L362" s="62">
        <f t="shared" si="60"/>
        <v>3.227144301</v>
      </c>
      <c r="M362" s="60">
        <f>IFERROR(__xludf.DUMMYFUNCTION("IFERROR(VLOOKUP(C362,IMPORTRANGE(""https://docs.google.com/spreadsheets/d/1HZUHB8NvANAZR0sHDmHYVAm2WE9kNv0pGIQA48Ryim8/edit?gid=1285727875#gid=1285727875"",""Cost!A2:G""),7,0))"),1672.0)</f>
        <v>1672</v>
      </c>
      <c r="N362" s="62" t="str">
        <f t="shared" si="4"/>
        <v/>
      </c>
      <c r="O362" s="28"/>
      <c r="P362" s="28"/>
      <c r="Q362" s="28"/>
      <c r="R362" s="28"/>
      <c r="S362" s="28"/>
      <c r="T362" s="28"/>
      <c r="U362" s="65"/>
      <c r="V362" s="28"/>
      <c r="W362" s="65"/>
      <c r="X362" s="66" t="s">
        <v>243</v>
      </c>
      <c r="Y362" s="65" t="str">
        <f t="shared" si="6"/>
        <v>EMERALD 61PD-3 IN-N</v>
      </c>
    </row>
    <row r="363">
      <c r="A363" s="121" t="s">
        <v>856</v>
      </c>
      <c r="B363" s="91" t="str">
        <f t="shared" si="63"/>
        <v>DB-61-3 IN-N</v>
      </c>
      <c r="C363" s="15" t="s">
        <v>916</v>
      </c>
      <c r="D363" s="18" t="s">
        <v>217</v>
      </c>
      <c r="E363" s="39">
        <v>1780.0</v>
      </c>
      <c r="F363" s="83" t="s">
        <v>202</v>
      </c>
      <c r="G363" s="50" t="str">
        <f t="shared" si="59"/>
        <v/>
      </c>
      <c r="H363" s="28"/>
      <c r="I363" s="55">
        <f t="shared" si="2"/>
        <v>2123.485592</v>
      </c>
      <c r="J363" s="81"/>
      <c r="K363" s="60">
        <f>IFERROR(__xludf.DUMMYFUNCTION("IFERROR(VLOOKUP(C363,IMPORTRANGE(""https://docs.google.com/spreadsheets/d/1HZUHB8NvANAZR0sHDmHYVAm2WE9kNv0pGIQA48Ryim8/edit?gid=1285727875#gid=1285727875"",""Sheet1!A2:G""),7,0))"),377.21)</f>
        <v>377.21</v>
      </c>
      <c r="L363" s="62">
        <f t="shared" si="60"/>
        <v>4.71885687</v>
      </c>
      <c r="M363" s="60">
        <f>IFERROR(__xludf.DUMMYFUNCTION("IFERROR(VLOOKUP(C363,IMPORTRANGE(""https://docs.google.com/spreadsheets/d/1HZUHB8NvANAZR0sHDmHYVAm2WE9kNv0pGIQA48Ryim8/edit?gid=1285727875#gid=1285727875"",""Cost!A2:G""),7,0))"),450.0)</f>
        <v>450</v>
      </c>
      <c r="N363" s="62" t="str">
        <f t="shared" si="4"/>
        <v/>
      </c>
      <c r="O363" s="28"/>
      <c r="P363" s="28"/>
      <c r="Q363" s="28"/>
      <c r="R363" s="28"/>
      <c r="S363" s="28"/>
      <c r="T363" s="28"/>
      <c r="U363" s="65"/>
      <c r="V363" s="28"/>
      <c r="W363" s="65"/>
      <c r="X363" s="66" t="s">
        <v>358</v>
      </c>
      <c r="Y363" s="65" t="str">
        <f t="shared" si="6"/>
        <v>EMERALD 61DB</v>
      </c>
    </row>
    <row r="364">
      <c r="A364" s="121" t="s">
        <v>856</v>
      </c>
      <c r="B364" s="91" t="str">
        <f t="shared" si="63"/>
        <v>6193-ON-OFF-N</v>
      </c>
      <c r="C364" s="15" t="s">
        <v>919</v>
      </c>
      <c r="D364" s="18" t="s">
        <v>250</v>
      </c>
      <c r="E364" s="75">
        <f>SUM(E365:E366)</f>
        <v>6760</v>
      </c>
      <c r="F364" s="83" t="s">
        <v>202</v>
      </c>
      <c r="G364" s="50" t="str">
        <f t="shared" si="59"/>
        <v/>
      </c>
      <c r="H364" s="28"/>
      <c r="I364" s="55">
        <f t="shared" si="2"/>
        <v>7566.50398</v>
      </c>
      <c r="J364" s="81"/>
      <c r="K364" s="60">
        <f>IFERROR(__xludf.DUMMYFUNCTION("IFERROR(VLOOKUP(C364,IMPORTRANGE(""https://docs.google.com/spreadsheets/d/1HZUHB8NvANAZR0sHDmHYVAm2WE9kNv0pGIQA48Ryim8/edit?gid=1285727875#gid=1285727875"",""Sheet1!A2:G""),7,0))"),1948.53)</f>
        <v>1948.53</v>
      </c>
      <c r="L364" s="62">
        <f t="shared" si="60"/>
        <v>3.469281972</v>
      </c>
      <c r="M364" s="60">
        <f>IFERROR(__xludf.DUMMYFUNCTION("IFERROR(VLOOKUP(C364,IMPORTRANGE(""https://docs.google.com/spreadsheets/d/1HZUHB8NvANAZR0sHDmHYVAm2WE9kNv0pGIQA48Ryim8/edit?gid=1285727875#gid=1285727875"",""Cost!A2:G""),7,0))"),2181.0)</f>
        <v>2181</v>
      </c>
      <c r="N364" s="62" t="str">
        <f t="shared" si="4"/>
        <v/>
      </c>
      <c r="O364" s="28"/>
      <c r="P364" s="28"/>
      <c r="Q364" s="28"/>
      <c r="R364" s="28"/>
      <c r="S364" s="28"/>
      <c r="T364" s="28"/>
      <c r="U364" s="65"/>
      <c r="V364" s="28"/>
      <c r="W364" s="65"/>
      <c r="X364" s="66" t="s">
        <v>410</v>
      </c>
      <c r="Y364" s="65" t="str">
        <f t="shared" si="6"/>
        <v>EMERALD 6193-ON-OFF</v>
      </c>
    </row>
    <row r="365">
      <c r="A365" s="121" t="s">
        <v>856</v>
      </c>
      <c r="B365" s="91" t="str">
        <f t="shared" si="63"/>
        <v>PD-3 IN-ON-OFF-N</v>
      </c>
      <c r="C365" s="15" t="s">
        <v>253</v>
      </c>
      <c r="D365" s="18" t="s">
        <v>256</v>
      </c>
      <c r="E365" s="39">
        <f>E362-240</f>
        <v>4740</v>
      </c>
      <c r="F365" s="83" t="s">
        <v>202</v>
      </c>
      <c r="G365" s="50" t="str">
        <f t="shared" si="59"/>
        <v/>
      </c>
      <c r="H365" s="28"/>
      <c r="I365" s="55">
        <f t="shared" si="2"/>
        <v>5217.019108</v>
      </c>
      <c r="J365" s="81"/>
      <c r="K365" s="60">
        <f>IFERROR(__xludf.DUMMYFUNCTION("IFERROR(VLOOKUP(C365,IMPORTRANGE(""https://docs.google.com/spreadsheets/d/1HZUHB8NvANAZR0sHDmHYVAm2WE9kNv0pGIQA48Ryim8/edit?gid=1285727875#gid=1285727875"",""Sheet1!A2:G""),7,0))"),1570.0)</f>
        <v>1570</v>
      </c>
      <c r="L365" s="62">
        <f t="shared" si="60"/>
        <v>3.01910828</v>
      </c>
      <c r="M365" s="60">
        <f>IFERROR(__xludf.DUMMYFUNCTION("IFERROR(VLOOKUP(C365,IMPORTRANGE(""https://docs.google.com/spreadsheets/d/1HZUHB8NvANAZR0sHDmHYVAm2WE9kNv0pGIQA48Ryim8/edit?gid=1285727875#gid=1285727875"",""Cost!A2:G""),7,0))"),1728.0)</f>
        <v>1728</v>
      </c>
      <c r="N365" s="62" t="str">
        <f t="shared" si="4"/>
        <v/>
      </c>
      <c r="O365" s="28"/>
      <c r="P365" s="28"/>
      <c r="Q365" s="28"/>
      <c r="R365" s="28"/>
      <c r="S365" s="28"/>
      <c r="T365" s="28"/>
      <c r="U365" s="65"/>
      <c r="V365" s="28"/>
      <c r="W365" s="65"/>
      <c r="X365" s="66" t="s">
        <v>371</v>
      </c>
      <c r="Y365" s="65" t="str">
        <f t="shared" si="6"/>
        <v>EMERALD 61PD-ON-OFF</v>
      </c>
    </row>
    <row r="366">
      <c r="A366" s="121" t="s">
        <v>856</v>
      </c>
      <c r="B366" s="91" t="str">
        <f t="shared" si="63"/>
        <v>DB-61-3 IN-ON-OFF-N</v>
      </c>
      <c r="C366" s="15" t="s">
        <v>922</v>
      </c>
      <c r="D366" s="18" t="s">
        <v>217</v>
      </c>
      <c r="E366" s="75">
        <f>E363+240</f>
        <v>2020</v>
      </c>
      <c r="F366" s="83" t="s">
        <v>202</v>
      </c>
      <c r="G366" s="50" t="str">
        <f t="shared" si="59"/>
        <v/>
      </c>
      <c r="H366" s="28"/>
      <c r="I366" s="55">
        <f t="shared" si="2"/>
        <v>2409.798256</v>
      </c>
      <c r="J366" s="81"/>
      <c r="K366" s="60">
        <f>IFERROR(__xludf.DUMMYFUNCTION("IFERROR(VLOOKUP(C366,IMPORTRANGE(""https://docs.google.com/spreadsheets/d/1HZUHB8NvANAZR0sHDmHYVAm2WE9kNv0pGIQA48Ryim8/edit?gid=1285727875#gid=1285727875"",""Sheet1!A2:G""),7,0))"),377.21)</f>
        <v>377.21</v>
      </c>
      <c r="L366" s="62">
        <f t="shared" si="60"/>
        <v>5.355107235</v>
      </c>
      <c r="M366" s="60">
        <f>IFERROR(__xludf.DUMMYFUNCTION("IFERROR(VLOOKUP(C366,IMPORTRANGE(""https://docs.google.com/spreadsheets/d/1HZUHB8NvANAZR0sHDmHYVAm2WE9kNv0pGIQA48Ryim8/edit?gid=1285727875#gid=1285727875"",""Cost!A2:G""),7,0))"),450.0)</f>
        <v>450</v>
      </c>
      <c r="N366" s="62" t="str">
        <f t="shared" si="4"/>
        <v/>
      </c>
      <c r="O366" s="28"/>
      <c r="P366" s="28"/>
      <c r="Q366" s="28"/>
      <c r="R366" s="28"/>
      <c r="S366" s="28"/>
      <c r="T366" s="28"/>
      <c r="U366" s="65"/>
      <c r="V366" s="28"/>
      <c r="W366" s="65"/>
      <c r="X366" s="66" t="s">
        <v>375</v>
      </c>
      <c r="Y366" s="65" t="str">
        <f t="shared" si="6"/>
        <v>EMERALD 61DB-ON-OFF</v>
      </c>
    </row>
    <row r="367">
      <c r="A367" s="121" t="s">
        <v>856</v>
      </c>
      <c r="B367" s="91">
        <f t="shared" si="63"/>
        <v>6194</v>
      </c>
      <c r="C367" s="15">
        <v>6194.0</v>
      </c>
      <c r="D367" s="18" t="s">
        <v>263</v>
      </c>
      <c r="E367" s="75">
        <v>9050.0</v>
      </c>
      <c r="F367" s="83" t="s">
        <v>202</v>
      </c>
      <c r="G367" s="50" t="str">
        <f t="shared" si="59"/>
        <v/>
      </c>
      <c r="H367" s="28"/>
      <c r="I367" s="55">
        <f t="shared" si="2"/>
        <v>9879.406817</v>
      </c>
      <c r="J367" s="81"/>
      <c r="K367" s="60">
        <f>IFERROR(__xludf.DUMMYFUNCTION("IFERROR(VLOOKUP(C367,IMPORTRANGE(""https://docs.google.com/spreadsheets/d/1HZUHB8NvANAZR0sHDmHYVAm2WE9kNv0pGIQA48Ryim8/edit?gid=1285727875#gid=1285727875"",""Sheet1!A2:G""),7,0))"),2734.4)</f>
        <v>2734.4</v>
      </c>
      <c r="L367" s="62">
        <f t="shared" si="60"/>
        <v>3.309684026</v>
      </c>
      <c r="M367" s="60">
        <f>IFERROR(__xludf.DUMMYFUNCTION("IFERROR(VLOOKUP(C367,IMPORTRANGE(""https://docs.google.com/spreadsheets/d/1HZUHB8NvANAZR0sHDmHYVAm2WE9kNv0pGIQA48Ryim8/edit?gid=1285727875#gid=1285727875"",""Cost!A2:G""),7,0))"),2985.0)</f>
        <v>2985</v>
      </c>
      <c r="N367" s="62" t="str">
        <f t="shared" si="4"/>
        <v/>
      </c>
      <c r="O367" s="28"/>
      <c r="P367" s="28"/>
      <c r="Q367" s="28"/>
      <c r="R367" s="28"/>
      <c r="S367" s="28"/>
      <c r="T367" s="28"/>
      <c r="U367" s="65"/>
      <c r="V367" s="28"/>
      <c r="W367" s="65"/>
      <c r="X367" s="66" t="s">
        <v>260</v>
      </c>
      <c r="Y367" s="65" t="str">
        <f t="shared" si="6"/>
        <v>EMERALD 6194</v>
      </c>
    </row>
    <row r="368">
      <c r="A368" s="121" t="s">
        <v>856</v>
      </c>
      <c r="B368" s="91">
        <f t="shared" si="63"/>
        <v>6195</v>
      </c>
      <c r="C368" s="15">
        <v>6195.0</v>
      </c>
      <c r="D368" s="18" t="s">
        <v>265</v>
      </c>
      <c r="E368" s="75">
        <v>1380.0</v>
      </c>
      <c r="F368" s="83" t="s">
        <v>202</v>
      </c>
      <c r="G368" s="50" t="str">
        <f t="shared" si="59"/>
        <v/>
      </c>
      <c r="H368" s="28"/>
      <c r="I368" s="55">
        <f t="shared" si="2"/>
        <v>1526.429882</v>
      </c>
      <c r="J368" s="81"/>
      <c r="K368" s="60">
        <f>IFERROR(__xludf.DUMMYFUNCTION("IFERROR(VLOOKUP(C368,IMPORTRANGE(""https://docs.google.com/spreadsheets/d/1HZUHB8NvANAZR0sHDmHYVAm2WE9kNv0pGIQA48Ryim8/edit?gid=1285727875#gid=1285727875"",""Sheet1!A2:G""),7,0))"),359.82)</f>
        <v>359.82</v>
      </c>
      <c r="L368" s="62">
        <f t="shared" si="60"/>
        <v>3.835250959</v>
      </c>
      <c r="M368" s="60">
        <f>IFERROR(__xludf.DUMMYFUNCTION("IFERROR(VLOOKUP(C368,IMPORTRANGE(""https://docs.google.com/spreadsheets/d/1HZUHB8NvANAZR0sHDmHYVAm2WE9kNv0pGIQA48Ryim8/edit?gid=1285727875#gid=1285727875"",""Cost!A2:G""),7,0))"),398.0)</f>
        <v>398</v>
      </c>
      <c r="N368" s="62" t="str">
        <f t="shared" si="4"/>
        <v/>
      </c>
      <c r="O368" s="28"/>
      <c r="P368" s="28"/>
      <c r="Q368" s="28"/>
      <c r="R368" s="28"/>
      <c r="S368" s="28"/>
      <c r="T368" s="28"/>
      <c r="U368" s="65"/>
      <c r="V368" s="28"/>
      <c r="W368" s="65"/>
      <c r="X368" s="66" t="s">
        <v>264</v>
      </c>
      <c r="Y368" s="65" t="str">
        <f t="shared" si="6"/>
        <v>EMERALD 6195</v>
      </c>
    </row>
    <row r="369">
      <c r="A369" s="121" t="s">
        <v>856</v>
      </c>
      <c r="B369" s="91">
        <f t="shared" si="63"/>
        <v>6196</v>
      </c>
      <c r="C369" s="15">
        <v>6196.0</v>
      </c>
      <c r="D369" s="18" t="s">
        <v>268</v>
      </c>
      <c r="E369" s="75">
        <v>2030.0</v>
      </c>
      <c r="F369" s="83" t="s">
        <v>202</v>
      </c>
      <c r="G369" s="50" t="str">
        <f t="shared" si="59"/>
        <v/>
      </c>
      <c r="H369" s="28"/>
      <c r="I369" s="55">
        <f t="shared" si="2"/>
        <v>2237.78345</v>
      </c>
      <c r="J369" s="81"/>
      <c r="K369" s="60">
        <f>IFERROR(__xludf.DUMMYFUNCTION("IFERROR(VLOOKUP(C369,IMPORTRANGE(""https://docs.google.com/spreadsheets/d/1HZUHB8NvANAZR0sHDmHYVAm2WE9kNv0pGIQA48Ryim8/edit?gid=1285727875#gid=1285727875"",""Sheet1!A2:G""),7,0))"),540.66)</f>
        <v>540.66</v>
      </c>
      <c r="L369" s="62">
        <f t="shared" si="60"/>
        <v>3.754670218</v>
      </c>
      <c r="M369" s="60">
        <f>IFERROR(__xludf.DUMMYFUNCTION("IFERROR(VLOOKUP(C369,IMPORTRANGE(""https://docs.google.com/spreadsheets/d/1HZUHB8NvANAZR0sHDmHYVAm2WE9kNv0pGIQA48Ryim8/edit?gid=1285727875#gid=1285727875"",""Cost!A2:G""),7,0))"),596.0)</f>
        <v>596</v>
      </c>
      <c r="N369" s="62" t="str">
        <f t="shared" si="4"/>
        <v/>
      </c>
      <c r="O369" s="28"/>
      <c r="P369" s="28"/>
      <c r="Q369" s="28"/>
      <c r="R369" s="28"/>
      <c r="S369" s="28"/>
      <c r="T369" s="28"/>
      <c r="U369" s="65"/>
      <c r="V369" s="28"/>
      <c r="W369" s="65"/>
      <c r="X369" s="66" t="s">
        <v>267</v>
      </c>
      <c r="Y369" s="65" t="str">
        <f t="shared" si="6"/>
        <v>EMERALD 6196</v>
      </c>
    </row>
    <row r="370">
      <c r="A370" s="121" t="s">
        <v>856</v>
      </c>
      <c r="B370" s="91">
        <f t="shared" si="63"/>
        <v>6198</v>
      </c>
      <c r="C370" s="15">
        <v>6198.0</v>
      </c>
      <c r="D370" s="18" t="s">
        <v>272</v>
      </c>
      <c r="E370" s="75">
        <v>2370.0</v>
      </c>
      <c r="F370" s="83" t="s">
        <v>202</v>
      </c>
      <c r="G370" s="50" t="str">
        <f t="shared" si="59"/>
        <v/>
      </c>
      <c r="H370" s="28"/>
      <c r="I370" s="55">
        <f t="shared" si="2"/>
        <v>2621.408953</v>
      </c>
      <c r="J370" s="81"/>
      <c r="K370" s="60">
        <f>IFERROR(__xludf.DUMMYFUNCTION("IFERROR(VLOOKUP(C370,IMPORTRANGE(""https://docs.google.com/spreadsheets/d/1HZUHB8NvANAZR0sHDmHYVAm2WE9kNv0pGIQA48Ryim8/edit?gid=1285727875#gid=1285727875"",""Sheet1!A2:G""),7,0))"),673.55)</f>
        <v>673.55</v>
      </c>
      <c r="L370" s="62">
        <f t="shared" si="60"/>
        <v>3.518669735</v>
      </c>
      <c r="M370" s="60">
        <f>IFERROR(__xludf.DUMMYFUNCTION("IFERROR(VLOOKUP(C370,IMPORTRANGE(""https://docs.google.com/spreadsheets/d/1HZUHB8NvANAZR0sHDmHYVAm2WE9kNv0pGIQA48Ryim8/edit?gid=1285727875#gid=1285727875"",""Cost!A2:G""),7,0))"),745.0)</f>
        <v>745</v>
      </c>
      <c r="N370" s="62" t="str">
        <f t="shared" si="4"/>
        <v/>
      </c>
      <c r="O370" s="28"/>
      <c r="P370" s="28"/>
      <c r="Q370" s="28"/>
      <c r="R370" s="28"/>
      <c r="S370" s="28"/>
      <c r="T370" s="28"/>
      <c r="U370" s="65"/>
      <c r="V370" s="28"/>
      <c r="W370" s="65"/>
      <c r="X370" s="66" t="s">
        <v>271</v>
      </c>
      <c r="Y370" s="65" t="str">
        <f t="shared" si="6"/>
        <v>EMERALD 6198</v>
      </c>
    </row>
    <row r="371">
      <c r="A371" s="18" t="s">
        <v>929</v>
      </c>
      <c r="B371" s="91" t="str">
        <f t="shared" si="63"/>
        <v>P6602</v>
      </c>
      <c r="C371" s="15" t="s">
        <v>930</v>
      </c>
      <c r="D371" s="18" t="s">
        <v>15</v>
      </c>
      <c r="E371" s="39">
        <v>1490.0</v>
      </c>
      <c r="F371" s="39">
        <v>1640.0</v>
      </c>
      <c r="G371" s="50">
        <f t="shared" si="59"/>
        <v>0.1006711409</v>
      </c>
      <c r="H371" s="28"/>
      <c r="I371" s="55">
        <f t="shared" si="2"/>
        <v>1646.239152</v>
      </c>
      <c r="J371" s="81"/>
      <c r="K371" s="60">
        <f>IFERROR(__xludf.DUMMYFUNCTION("IFERROR(VLOOKUP(C371,IMPORTRANGE(""https://docs.google.com/spreadsheets/d/1HZUHB8NvANAZR0sHDmHYVAm2WE9kNv0pGIQA48Ryim8/edit?gid=1285727875#gid=1285727875"",""Sheet1!A2:G""),7,0))"),485.13)</f>
        <v>485.13</v>
      </c>
      <c r="L371" s="62">
        <f t="shared" si="60"/>
        <v>3.071341702</v>
      </c>
      <c r="M371" s="60">
        <f>IFERROR(__xludf.DUMMYFUNCTION("IFERROR(VLOOKUP(C371,IMPORTRANGE(""https://docs.google.com/spreadsheets/d/1HZUHB8NvANAZR0sHDmHYVAm2WE9kNv0pGIQA48Ryim8/edit?gid=1285727875#gid=1285727875"",""Cost!A2:G""),7,0))"),536.0)</f>
        <v>536</v>
      </c>
      <c r="N371" s="62">
        <f t="shared" si="4"/>
        <v>3.059701493</v>
      </c>
      <c r="O371" s="28"/>
      <c r="P371" s="28"/>
      <c r="Q371" s="28"/>
      <c r="R371" s="28"/>
      <c r="S371" s="28"/>
      <c r="T371" s="28"/>
      <c r="U371" s="65"/>
      <c r="V371" s="28"/>
      <c r="W371" s="65"/>
      <c r="X371" s="66" t="s">
        <v>303</v>
      </c>
      <c r="Y371" s="65" t="str">
        <f t="shared" si="6"/>
        <v>VIRGO P6602</v>
      </c>
    </row>
    <row r="372">
      <c r="A372" s="18" t="s">
        <v>929</v>
      </c>
      <c r="B372" s="91" t="str">
        <f t="shared" si="63"/>
        <v>P6603</v>
      </c>
      <c r="C372" s="15" t="s">
        <v>932</v>
      </c>
      <c r="D372" s="18" t="s">
        <v>30</v>
      </c>
      <c r="E372" s="39">
        <v>3690.0</v>
      </c>
      <c r="F372" s="39">
        <v>4110.0</v>
      </c>
      <c r="G372" s="50">
        <f t="shared" si="59"/>
        <v>0.1138211382</v>
      </c>
      <c r="H372" s="28"/>
      <c r="I372" s="55">
        <f t="shared" si="2"/>
        <v>4112.473979</v>
      </c>
      <c r="J372" s="81"/>
      <c r="K372" s="60">
        <f>IFERROR(__xludf.DUMMYFUNCTION("IFERROR(VLOOKUP(C372,IMPORTRANGE(""https://docs.google.com/spreadsheets/d/1HZUHB8NvANAZR0sHDmHYVAm2WE9kNv0pGIQA48Ryim8/edit?gid=1285727875#gid=1285727875"",""Sheet1!A2:G""),7,0))"),1249.0)</f>
        <v>1249</v>
      </c>
      <c r="L372" s="62">
        <f t="shared" si="60"/>
        <v>2.954363491</v>
      </c>
      <c r="M372" s="60">
        <f>IFERROR(__xludf.DUMMYFUNCTION("IFERROR(VLOOKUP(C372,IMPORTRANGE(""https://docs.google.com/spreadsheets/d/1HZUHB8NvANAZR0sHDmHYVAm2WE9kNv0pGIQA48Ryim8/edit?gid=1285727875#gid=1285727875"",""Cost!A2:G""),7,0))"),1392.0)</f>
        <v>1392</v>
      </c>
      <c r="N372" s="62">
        <f t="shared" si="4"/>
        <v>2.952586207</v>
      </c>
      <c r="O372" s="28"/>
      <c r="P372" s="28"/>
      <c r="Q372" s="28"/>
      <c r="R372" s="28"/>
      <c r="S372" s="28"/>
      <c r="T372" s="28"/>
      <c r="U372" s="65"/>
      <c r="V372" s="28"/>
      <c r="W372" s="65"/>
      <c r="X372" s="66" t="s">
        <v>306</v>
      </c>
      <c r="Y372" s="65" t="str">
        <f t="shared" si="6"/>
        <v>VIRGO P6603</v>
      </c>
    </row>
    <row r="373">
      <c r="A373" s="18" t="s">
        <v>929</v>
      </c>
      <c r="B373" s="91" t="str">
        <f t="shared" si="63"/>
        <v>P6605</v>
      </c>
      <c r="C373" s="15" t="s">
        <v>934</v>
      </c>
      <c r="D373" s="18" t="s">
        <v>59</v>
      </c>
      <c r="E373" s="75">
        <v>1290.0</v>
      </c>
      <c r="F373" s="39">
        <v>1430.0</v>
      </c>
      <c r="G373" s="50">
        <f t="shared" si="59"/>
        <v>0.1085271318</v>
      </c>
      <c r="H373" s="28"/>
      <c r="I373" s="55">
        <f t="shared" si="2"/>
        <v>1432.541436</v>
      </c>
      <c r="J373" s="81"/>
      <c r="K373" s="60">
        <f>IFERROR(__xludf.DUMMYFUNCTION("IFERROR(VLOOKUP(C373,IMPORTRANGE(""https://docs.google.com/spreadsheets/d/1HZUHB8NvANAZR0sHDmHYVAm2WE9kNv0pGIQA48Ryim8/edit?gid=1285727875#gid=1285727875"",""Sheet1!A2:G""),7,0))"),362.0)</f>
        <v>362</v>
      </c>
      <c r="L373" s="62">
        <f t="shared" si="60"/>
        <v>3.563535912</v>
      </c>
      <c r="M373" s="60">
        <f>IFERROR(__xludf.DUMMYFUNCTION("IFERROR(VLOOKUP(C373,IMPORTRANGE(""https://docs.google.com/spreadsheets/d/1HZUHB8NvANAZR0sHDmHYVAm2WE9kNv0pGIQA48Ryim8/edit?gid=1285727875#gid=1285727875"",""Cost!A2:G""),7,0))"),402.0)</f>
        <v>402</v>
      </c>
      <c r="N373" s="62">
        <f t="shared" si="4"/>
        <v>3.55721393</v>
      </c>
      <c r="O373" s="28"/>
      <c r="P373" s="28"/>
      <c r="Q373" s="28"/>
      <c r="R373" s="28"/>
      <c r="S373" s="28"/>
      <c r="T373" s="28"/>
      <c r="U373" s="65"/>
      <c r="V373" s="28"/>
      <c r="W373" s="65"/>
      <c r="X373" s="66" t="s">
        <v>663</v>
      </c>
      <c r="Y373" s="65" t="str">
        <f t="shared" si="6"/>
        <v>VIRGO P6605</v>
      </c>
    </row>
    <row r="374">
      <c r="A374" s="18" t="s">
        <v>929</v>
      </c>
      <c r="B374" s="91" t="str">
        <f t="shared" si="63"/>
        <v>P6606</v>
      </c>
      <c r="C374" s="15" t="s">
        <v>935</v>
      </c>
      <c r="D374" s="18" t="s">
        <v>67</v>
      </c>
      <c r="E374" s="39">
        <v>1290.0</v>
      </c>
      <c r="F374" s="39">
        <v>1410.0</v>
      </c>
      <c r="G374" s="50">
        <f t="shared" si="59"/>
        <v>0.09302325581</v>
      </c>
      <c r="H374" s="28"/>
      <c r="I374" s="55">
        <f t="shared" si="2"/>
        <v>1416.490788</v>
      </c>
      <c r="J374" s="81"/>
      <c r="K374" s="60">
        <f>IFERROR(__xludf.DUMMYFUNCTION("IFERROR(VLOOKUP(C374,IMPORTRANGE(""https://docs.google.com/spreadsheets/d/1HZUHB8NvANAZR0sHDmHYVAm2WE9kNv0pGIQA48Ryim8/edit?gid=1285727875#gid=1285727875"",""Sheet1!A2:G""),7,0))"),350.62)</f>
        <v>350.62</v>
      </c>
      <c r="L374" s="62">
        <f t="shared" si="60"/>
        <v>3.679196851</v>
      </c>
      <c r="M374" s="60">
        <f>IFERROR(__xludf.DUMMYFUNCTION("IFERROR(VLOOKUP(C374,IMPORTRANGE(""https://docs.google.com/spreadsheets/d/1HZUHB8NvANAZR0sHDmHYVAm2WE9kNv0pGIQA48Ryim8/edit?gid=1285727875#gid=1285727875"",""Cost!A2:G""),7,0))"),385.0)</f>
        <v>385</v>
      </c>
      <c r="N374" s="62">
        <f t="shared" si="4"/>
        <v>3.662337662</v>
      </c>
      <c r="O374" s="28"/>
      <c r="P374" s="28"/>
      <c r="Q374" s="28"/>
      <c r="R374" s="28"/>
      <c r="S374" s="28"/>
      <c r="T374" s="28"/>
      <c r="U374" s="65"/>
      <c r="V374" s="28"/>
      <c r="W374" s="65"/>
      <c r="X374" s="66" t="s">
        <v>311</v>
      </c>
      <c r="Y374" s="65" t="str">
        <f t="shared" si="6"/>
        <v>VIRGO P6606</v>
      </c>
    </row>
    <row r="375">
      <c r="A375" s="18" t="s">
        <v>929</v>
      </c>
      <c r="B375" s="15" t="s">
        <v>937</v>
      </c>
      <c r="C375" s="15" t="s">
        <v>937</v>
      </c>
      <c r="D375" s="18" t="s">
        <v>71</v>
      </c>
      <c r="E375" s="75">
        <f t="shared" ref="E375:F375" si="64">SUM(E376:E377)</f>
        <v>2730</v>
      </c>
      <c r="F375" s="75">
        <f t="shared" si="64"/>
        <v>2880</v>
      </c>
      <c r="G375" s="50">
        <f t="shared" si="59"/>
        <v>0.05494505495</v>
      </c>
      <c r="H375" s="28"/>
      <c r="I375" s="55">
        <f t="shared" si="2"/>
        <v>2947.38821</v>
      </c>
      <c r="J375" s="81"/>
      <c r="K375" s="60">
        <f>IFERROR(__xludf.DUMMYFUNCTION("IFERROR(VLOOKUP(C375,IMPORTRANGE(""https://docs.google.com/spreadsheets/d/1HZUHB8NvANAZR0sHDmHYVAm2WE9kNv0pGIQA48Ryim8/edit?gid=1285727875#gid=1285727875"",""Sheet1!A2:G""),7,0))"),744.7)</f>
        <v>744.7</v>
      </c>
      <c r="L375" s="62">
        <f t="shared" si="60"/>
        <v>3.665905734</v>
      </c>
      <c r="M375" s="60">
        <f>IFERROR(__xludf.DUMMYFUNCTION("IFERROR(VLOOKUP(C375,IMPORTRANGE(""https://docs.google.com/spreadsheets/d/1HZUHB8NvANAZR0sHDmHYVAm2WE9kNv0pGIQA48Ryim8/edit?gid=1285727875#gid=1285727875"",""Cost!A2:G""),7,0))"),804.0)</f>
        <v>804</v>
      </c>
      <c r="N375" s="62">
        <f t="shared" si="4"/>
        <v>3.582089552</v>
      </c>
      <c r="O375" s="28"/>
      <c r="P375" s="28"/>
      <c r="Q375" s="28"/>
      <c r="R375" s="28"/>
      <c r="S375" s="28"/>
      <c r="T375" s="28"/>
      <c r="U375" s="65"/>
      <c r="V375" s="28"/>
      <c r="W375" s="65"/>
      <c r="X375" s="66" t="s">
        <v>315</v>
      </c>
      <c r="Y375" s="65" t="str">
        <f t="shared" si="6"/>
        <v>VIRGO P6607</v>
      </c>
    </row>
    <row r="376">
      <c r="A376" s="18" t="s">
        <v>929</v>
      </c>
      <c r="B376" s="15" t="s">
        <v>73</v>
      </c>
      <c r="C376" s="15" t="s">
        <v>73</v>
      </c>
      <c r="D376" s="18" t="s">
        <v>74</v>
      </c>
      <c r="E376" s="93">
        <v>1390.0</v>
      </c>
      <c r="F376" s="39">
        <v>1490.0</v>
      </c>
      <c r="G376" s="50">
        <f t="shared" si="59"/>
        <v>0.07194244604</v>
      </c>
      <c r="H376" s="28"/>
      <c r="I376" s="55">
        <f t="shared" si="2"/>
        <v>1515.459624</v>
      </c>
      <c r="J376" s="81"/>
      <c r="K376" s="60">
        <f>IFERROR(__xludf.DUMMYFUNCTION("IFERROR(VLOOKUP(C376,IMPORTRANGE(""https://docs.google.com/spreadsheets/d/1HZUHB8NvANAZR0sHDmHYVAm2WE9kNv0pGIQA48Ryim8/edit?gid=1285727875#gid=1285727875"",""Sheet1!A2:G""),7,0))"),408.16)</f>
        <v>408.16</v>
      </c>
      <c r="L376" s="62">
        <f t="shared" si="60"/>
        <v>3.405527244</v>
      </c>
      <c r="M376" s="60">
        <f>IFERROR(__xludf.DUMMYFUNCTION("IFERROR(VLOOKUP(C376,IMPORTRANGE(""https://docs.google.com/spreadsheets/d/1HZUHB8NvANAZR0sHDmHYVAm2WE9kNv0pGIQA48Ryim8/edit?gid=1285727875#gid=1285727875"",""Cost!A2:G""),7,0))"),445.0)</f>
        <v>445</v>
      </c>
      <c r="N376" s="62">
        <f t="shared" si="4"/>
        <v>3.348314607</v>
      </c>
      <c r="O376" s="28"/>
      <c r="P376" s="28"/>
      <c r="Q376" s="28"/>
      <c r="R376" s="28"/>
      <c r="S376" s="28"/>
      <c r="T376" s="28"/>
      <c r="U376" s="65"/>
      <c r="V376" s="28"/>
      <c r="W376" s="65"/>
      <c r="X376" s="66" t="s">
        <v>73</v>
      </c>
      <c r="Y376" s="65" t="str">
        <f t="shared" si="6"/>
        <v>VIRGO P66CP-07</v>
      </c>
    </row>
    <row r="377">
      <c r="A377" s="18" t="s">
        <v>929</v>
      </c>
      <c r="B377" s="15" t="s">
        <v>939</v>
      </c>
      <c r="C377" s="15" t="s">
        <v>939</v>
      </c>
      <c r="D377" s="18" t="s">
        <v>78</v>
      </c>
      <c r="E377" s="93">
        <v>1340.0</v>
      </c>
      <c r="F377" s="39">
        <v>1390.0</v>
      </c>
      <c r="G377" s="50">
        <f t="shared" si="59"/>
        <v>0.03731343284</v>
      </c>
      <c r="H377" s="28"/>
      <c r="I377" s="55">
        <f t="shared" si="2"/>
        <v>1353.317796</v>
      </c>
      <c r="J377" s="81"/>
      <c r="K377" s="60">
        <f>IFERROR(__xludf.DUMMYFUNCTION("IFERROR(VLOOKUP(C377,IMPORTRANGE(""https://docs.google.com/spreadsheets/d/1HZUHB8NvANAZR0sHDmHYVAm2WE9kNv0pGIQA48Ryim8/edit?gid=1285727875#gid=1285727875"",""Sheet1!A2:G""),7,0))"),373.29)</f>
        <v>373.29</v>
      </c>
      <c r="L377" s="62">
        <f t="shared" si="60"/>
        <v>3.589702376</v>
      </c>
      <c r="M377" s="60">
        <f>IFERROR(__xludf.DUMMYFUNCTION("IFERROR(VLOOKUP(C377,IMPORTRANGE(""https://docs.google.com/spreadsheets/d/1HZUHB8NvANAZR0sHDmHYVAm2WE9kNv0pGIQA48Ryim8/edit?gid=1285727875#gid=1285727875"",""Cost!A2:G""),7,0))"),377.0)</f>
        <v>377</v>
      </c>
      <c r="N377" s="62">
        <f t="shared" si="4"/>
        <v>3.687002653</v>
      </c>
      <c r="O377" s="28"/>
      <c r="P377" s="28"/>
      <c r="Q377" s="28"/>
      <c r="R377" s="28"/>
      <c r="S377" s="28"/>
      <c r="T377" s="28"/>
      <c r="U377" s="65"/>
      <c r="V377" s="28"/>
      <c r="W377" s="65"/>
      <c r="X377" s="66" t="s">
        <v>77</v>
      </c>
      <c r="Y377" s="65" t="str">
        <f t="shared" si="6"/>
        <v>VIRGO P66CP</v>
      </c>
    </row>
    <row r="378">
      <c r="A378" s="18" t="s">
        <v>929</v>
      </c>
      <c r="B378" s="91" t="str">
        <f t="shared" ref="B378:B423" si="65">C378</f>
        <v>P6608</v>
      </c>
      <c r="C378" s="15" t="s">
        <v>941</v>
      </c>
      <c r="D378" s="18" t="s">
        <v>81</v>
      </c>
      <c r="E378" s="39">
        <v>1440.0</v>
      </c>
      <c r="F378" s="39">
        <v>1510.0</v>
      </c>
      <c r="G378" s="50">
        <f t="shared" si="59"/>
        <v>0.04861111111</v>
      </c>
      <c r="H378" s="28"/>
      <c r="I378" s="55">
        <f t="shared" si="2"/>
        <v>1429.920802</v>
      </c>
      <c r="J378" s="81"/>
      <c r="K378" s="60">
        <f>IFERROR(__xludf.DUMMYFUNCTION("IFERROR(VLOOKUP(C378,IMPORTRANGE(""https://docs.google.com/spreadsheets/d/1HZUHB8NvANAZR0sHDmHYVAm2WE9kNv0pGIQA48Ryim8/edit?gid=1285727875#gid=1285727875"",""Sheet1!A2:G""),7,0))"),412.89)</f>
        <v>412.89</v>
      </c>
      <c r="L378" s="62">
        <f t="shared" si="60"/>
        <v>3.487611713</v>
      </c>
      <c r="M378" s="60">
        <f>IFERROR(__xludf.DUMMYFUNCTION("IFERROR(VLOOKUP(C378,IMPORTRANGE(""https://docs.google.com/spreadsheets/d/1HZUHB8NvANAZR0sHDmHYVAm2WE9kNv0pGIQA48Ryim8/edit?gid=1285727875#gid=1285727875"",""Cost!A2:G""),7,0))"),410.0)</f>
        <v>410</v>
      </c>
      <c r="N378" s="62">
        <f t="shared" si="4"/>
        <v>3.682926829</v>
      </c>
      <c r="O378" s="28"/>
      <c r="P378" s="28"/>
      <c r="Q378" s="28"/>
      <c r="R378" s="28"/>
      <c r="S378" s="28"/>
      <c r="T378" s="28"/>
      <c r="U378" s="65"/>
      <c r="V378" s="28"/>
      <c r="W378" s="65"/>
      <c r="X378" s="66" t="s">
        <v>321</v>
      </c>
      <c r="Y378" s="65" t="str">
        <f t="shared" si="6"/>
        <v>VIRGO P6608</v>
      </c>
    </row>
    <row r="379">
      <c r="A379" s="18" t="s">
        <v>929</v>
      </c>
      <c r="B379" s="91" t="str">
        <f t="shared" si="65"/>
        <v>P6609</v>
      </c>
      <c r="C379" s="15" t="s">
        <v>943</v>
      </c>
      <c r="D379" s="18" t="s">
        <v>86</v>
      </c>
      <c r="E379" s="39">
        <v>1590.0</v>
      </c>
      <c r="F379" s="39">
        <v>1750.0</v>
      </c>
      <c r="G379" s="50">
        <f t="shared" si="59"/>
        <v>0.1006289308</v>
      </c>
      <c r="H379" s="28"/>
      <c r="I379" s="55">
        <f t="shared" si="2"/>
        <v>1752.608923</v>
      </c>
      <c r="J379" s="81"/>
      <c r="K379" s="60">
        <f>IFERROR(__xludf.DUMMYFUNCTION("IFERROR(VLOOKUP(C379,IMPORTRANGE(""https://docs.google.com/spreadsheets/d/1HZUHB8NvANAZR0sHDmHYVAm2WE9kNv0pGIQA48Ryim8/edit?gid=1285727875#gid=1285727875"",""Sheet1!A2:G""),7,0))"),459.96)</f>
        <v>459.96</v>
      </c>
      <c r="L379" s="62">
        <f t="shared" si="60"/>
        <v>3.456822332</v>
      </c>
      <c r="M379" s="60">
        <f>IFERROR(__xludf.DUMMYFUNCTION("IFERROR(VLOOKUP(C379,IMPORTRANGE(""https://docs.google.com/spreadsheets/d/1HZUHB8NvANAZR0sHDmHYVAm2WE9kNv0pGIQA48Ryim8/edit?gid=1285727875#gid=1285727875"",""Cost!A2:G""),7,0))"),507.0)</f>
        <v>507</v>
      </c>
      <c r="N379" s="62">
        <f t="shared" si="4"/>
        <v>3.451676529</v>
      </c>
      <c r="O379" s="28"/>
      <c r="P379" s="28"/>
      <c r="Q379" s="28"/>
      <c r="R379" s="28"/>
      <c r="S379" s="28"/>
      <c r="T379" s="28"/>
      <c r="U379" s="65"/>
      <c r="V379" s="28"/>
      <c r="W379" s="65"/>
      <c r="X379" s="66" t="s">
        <v>665</v>
      </c>
      <c r="Y379" s="65" t="str">
        <f t="shared" si="6"/>
        <v>VIRGO P6609</v>
      </c>
    </row>
    <row r="380">
      <c r="A380" s="18" t="s">
        <v>929</v>
      </c>
      <c r="B380" s="91" t="str">
        <f t="shared" si="65"/>
        <v>P6610</v>
      </c>
      <c r="C380" s="15" t="s">
        <v>944</v>
      </c>
      <c r="D380" s="18" t="s">
        <v>89</v>
      </c>
      <c r="E380" s="39">
        <v>990.0</v>
      </c>
      <c r="F380" s="39">
        <v>1090.0</v>
      </c>
      <c r="G380" s="50">
        <f t="shared" si="59"/>
        <v>0.101010101</v>
      </c>
      <c r="H380" s="28"/>
      <c r="I380" s="55">
        <f t="shared" si="2"/>
        <v>1114.803625</v>
      </c>
      <c r="J380" s="81"/>
      <c r="K380" s="60">
        <f>IFERROR(__xludf.DUMMYFUNCTION("IFERROR(VLOOKUP(C380,IMPORTRANGE(""https://docs.google.com/spreadsheets/d/1HZUHB8NvANAZR0sHDmHYVAm2WE9kNv0pGIQA48Ryim8/edit?gid=1285727875#gid=1285727875"",""Sheet1!A2:G""),7,0))"),218.46)</f>
        <v>218.46</v>
      </c>
      <c r="L380" s="62">
        <f t="shared" si="60"/>
        <v>4.531722054</v>
      </c>
      <c r="M380" s="60">
        <f>IFERROR(__xludf.DUMMYFUNCTION("IFERROR(VLOOKUP(C380,IMPORTRANGE(""https://docs.google.com/spreadsheets/d/1HZUHB8NvANAZR0sHDmHYVAm2WE9kNv0pGIQA48Ryim8/edit?gid=1285727875#gid=1285727875"",""Cost!A2:G""),7,0))"),246.0)</f>
        <v>246</v>
      </c>
      <c r="N380" s="62">
        <f t="shared" si="4"/>
        <v>4.430894309</v>
      </c>
      <c r="O380" s="28"/>
      <c r="P380" s="28"/>
      <c r="Q380" s="28"/>
      <c r="R380" s="28"/>
      <c r="S380" s="28"/>
      <c r="T380" s="28"/>
      <c r="U380" s="65"/>
      <c r="V380" s="28"/>
      <c r="W380" s="65"/>
      <c r="X380" s="66" t="s">
        <v>87</v>
      </c>
      <c r="Y380" s="65" t="str">
        <f t="shared" si="6"/>
        <v>VIRGO P6610</v>
      </c>
    </row>
    <row r="381">
      <c r="A381" s="18" t="s">
        <v>929</v>
      </c>
      <c r="B381" s="91" t="str">
        <f t="shared" si="65"/>
        <v>P6611</v>
      </c>
      <c r="C381" s="15" t="s">
        <v>947</v>
      </c>
      <c r="D381" s="18" t="s">
        <v>94</v>
      </c>
      <c r="E381" s="39">
        <v>1640.0</v>
      </c>
      <c r="F381" s="39">
        <v>1790.0</v>
      </c>
      <c r="G381" s="50">
        <f t="shared" si="59"/>
        <v>0.09146341463</v>
      </c>
      <c r="H381" s="28"/>
      <c r="I381" s="55">
        <f t="shared" si="2"/>
        <v>1832.343962</v>
      </c>
      <c r="J381" s="81"/>
      <c r="K381" s="60">
        <f>IFERROR(__xludf.DUMMYFUNCTION("IFERROR(VLOOKUP(C381,IMPORTRANGE(""https://docs.google.com/spreadsheets/d/1HZUHB8NvANAZR0sHDmHYVAm2WE9kNv0pGIQA48Ryim8/edit?gid=1285727875#gid=1285727875"",""Sheet1!A2:G""),7,0))"),471.68)</f>
        <v>471.68</v>
      </c>
      <c r="L381" s="62">
        <f t="shared" si="60"/>
        <v>3.476933514</v>
      </c>
      <c r="M381" s="60">
        <f>IFERROR(__xludf.DUMMYFUNCTION("IFERROR(VLOOKUP(C381,IMPORTRANGE(""https://docs.google.com/spreadsheets/d/1HZUHB8NvANAZR0sHDmHYVAm2WE9kNv0pGIQA48Ryim8/edit?gid=1285727875#gid=1285727875"",""Cost!A2:G""),7,0))"),527.0)</f>
        <v>527</v>
      </c>
      <c r="N381" s="62">
        <f t="shared" si="4"/>
        <v>3.39658444</v>
      </c>
      <c r="O381" s="28"/>
      <c r="P381" s="28"/>
      <c r="Q381" s="28"/>
      <c r="R381" s="28"/>
      <c r="S381" s="28"/>
      <c r="T381" s="28"/>
      <c r="U381" s="65"/>
      <c r="V381" s="28"/>
      <c r="W381" s="65"/>
      <c r="X381" s="66" t="s">
        <v>91</v>
      </c>
      <c r="Y381" s="65" t="str">
        <f t="shared" si="6"/>
        <v>VIRGO P6611</v>
      </c>
    </row>
    <row r="382">
      <c r="A382" s="18" t="s">
        <v>929</v>
      </c>
      <c r="B382" s="91" t="str">
        <f t="shared" si="65"/>
        <v>P6612</v>
      </c>
      <c r="C382" s="15" t="s">
        <v>950</v>
      </c>
      <c r="D382" s="18" t="s">
        <v>97</v>
      </c>
      <c r="E382" s="39">
        <v>1990.0</v>
      </c>
      <c r="F382" s="39">
        <v>2180.0</v>
      </c>
      <c r="G382" s="50">
        <f t="shared" si="59"/>
        <v>0.09547738693</v>
      </c>
      <c r="H382" s="28"/>
      <c r="I382" s="55">
        <f t="shared" si="2"/>
        <v>2219.355818</v>
      </c>
      <c r="J382" s="81"/>
      <c r="K382" s="60">
        <f>IFERROR(__xludf.DUMMYFUNCTION("IFERROR(VLOOKUP(C382,IMPORTRANGE(""https://docs.google.com/spreadsheets/d/1HZUHB8NvANAZR0sHDmHYVAm2WE9kNv0pGIQA48Ryim8/edit?gid=1285727875#gid=1285727875"",""Sheet1!A2:G""),7,0))"),592.69)</f>
        <v>592.69</v>
      </c>
      <c r="L382" s="62">
        <f t="shared" si="60"/>
        <v>3.357573099</v>
      </c>
      <c r="M382" s="60">
        <f>IFERROR(__xludf.DUMMYFUNCTION("IFERROR(VLOOKUP(C382,IMPORTRANGE(""https://docs.google.com/spreadsheets/d/1HZUHB8NvANAZR0sHDmHYVAm2WE9kNv0pGIQA48Ryim8/edit?gid=1285727875#gid=1285727875"",""Cost!A2:G""),7,0))"),661.0)</f>
        <v>661</v>
      </c>
      <c r="N382" s="62">
        <f t="shared" si="4"/>
        <v>3.298033283</v>
      </c>
      <c r="O382" s="28"/>
      <c r="P382" s="28"/>
      <c r="Q382" s="28"/>
      <c r="R382" s="28"/>
      <c r="S382" s="28"/>
      <c r="T382" s="28"/>
      <c r="U382" s="65"/>
      <c r="V382" s="28"/>
      <c r="W382" s="65"/>
      <c r="X382" s="66" t="s">
        <v>95</v>
      </c>
      <c r="Y382" s="65" t="str">
        <f t="shared" si="6"/>
        <v>VIRGO P6612</v>
      </c>
    </row>
    <row r="383">
      <c r="A383" s="18" t="s">
        <v>929</v>
      </c>
      <c r="B383" s="91" t="str">
        <f t="shared" si="65"/>
        <v>P6614</v>
      </c>
      <c r="C383" s="15" t="s">
        <v>951</v>
      </c>
      <c r="D383" s="18" t="s">
        <v>106</v>
      </c>
      <c r="E383" s="39">
        <v>1890.0</v>
      </c>
      <c r="F383" s="39">
        <v>2080.0</v>
      </c>
      <c r="G383" s="50">
        <f t="shared" si="59"/>
        <v>0.1005291005</v>
      </c>
      <c r="H383" s="28"/>
      <c r="I383" s="55">
        <f t="shared" si="2"/>
        <v>2078.503748</v>
      </c>
      <c r="J383" s="81"/>
      <c r="K383" s="60">
        <f>IFERROR(__xludf.DUMMYFUNCTION("IFERROR(VLOOKUP(C383,IMPORTRANGE(""https://docs.google.com/spreadsheets/d/1HZUHB8NvANAZR0sHDmHYVAm2WE9kNv0pGIQA48Ryim8/edit?gid=1285727875#gid=1285727875"",""Sheet1!A2:G""),7,0))"),525.58)</f>
        <v>525.58</v>
      </c>
      <c r="L383" s="62">
        <f t="shared" si="60"/>
        <v>3.596027246</v>
      </c>
      <c r="M383" s="60">
        <f>IFERROR(__xludf.DUMMYFUNCTION("IFERROR(VLOOKUP(C383,IMPORTRANGE(""https://docs.google.com/spreadsheets/d/1HZUHB8NvANAZR0sHDmHYVAm2WE9kNv0pGIQA48Ryim8/edit?gid=1285727875#gid=1285727875"",""Cost!A2:G""),7,0))"),578.0)</f>
        <v>578</v>
      </c>
      <c r="N383" s="62">
        <f t="shared" si="4"/>
        <v>3.598615917</v>
      </c>
      <c r="O383" s="28"/>
      <c r="P383" s="28"/>
      <c r="Q383" s="28"/>
      <c r="R383" s="28"/>
      <c r="S383" s="28"/>
      <c r="T383" s="28"/>
      <c r="U383" s="65"/>
      <c r="V383" s="28"/>
      <c r="W383" s="65"/>
      <c r="X383" s="66" t="s">
        <v>104</v>
      </c>
      <c r="Y383" s="65" t="str">
        <f t="shared" si="6"/>
        <v>VIRGO P6614</v>
      </c>
    </row>
    <row r="384">
      <c r="A384" s="18" t="s">
        <v>929</v>
      </c>
      <c r="B384" s="91" t="str">
        <f t="shared" si="65"/>
        <v>P6616</v>
      </c>
      <c r="C384" s="15" t="s">
        <v>954</v>
      </c>
      <c r="D384" s="18" t="s">
        <v>112</v>
      </c>
      <c r="E384" s="39">
        <v>1780.0</v>
      </c>
      <c r="F384" s="39">
        <v>1960.0</v>
      </c>
      <c r="G384" s="50">
        <f t="shared" si="59"/>
        <v>0.1011235955</v>
      </c>
      <c r="H384" s="28"/>
      <c r="I384" s="55">
        <f t="shared" si="2"/>
        <v>1956.944889</v>
      </c>
      <c r="J384" s="81"/>
      <c r="K384" s="60">
        <f>IFERROR(__xludf.DUMMYFUNCTION("IFERROR(VLOOKUP(C384,IMPORTRANGE(""https://docs.google.com/spreadsheets/d/1HZUHB8NvANAZR0sHDmHYVAm2WE9kNv0pGIQA48Ryim8/edit?gid=1285727875#gid=1285727875"",""Sheet1!A2:G""),7,0))"),499.36)</f>
        <v>499.36</v>
      </c>
      <c r="L384" s="62">
        <f t="shared" si="60"/>
        <v>3.56456264</v>
      </c>
      <c r="M384" s="60">
        <f>IFERROR(__xludf.DUMMYFUNCTION("IFERROR(VLOOKUP(C384,IMPORTRANGE(""https://docs.google.com/spreadsheets/d/1HZUHB8NvANAZR0sHDmHYVAm2WE9kNv0pGIQA48Ryim8/edit?gid=1285727875#gid=1285727875"",""Cost!A2:G""),7,0))"),549.0)</f>
        <v>549</v>
      </c>
      <c r="N384" s="62">
        <f t="shared" si="4"/>
        <v>3.570127505</v>
      </c>
      <c r="O384" s="28"/>
      <c r="P384" s="28"/>
      <c r="Q384" s="28"/>
      <c r="R384" s="28"/>
      <c r="S384" s="28"/>
      <c r="T384" s="28"/>
      <c r="U384" s="65"/>
      <c r="V384" s="28"/>
      <c r="W384" s="65"/>
      <c r="X384" s="66" t="s">
        <v>110</v>
      </c>
      <c r="Y384" s="65" t="str">
        <f t="shared" si="6"/>
        <v>VIRGO P6616</v>
      </c>
    </row>
    <row r="385">
      <c r="A385" s="18" t="s">
        <v>929</v>
      </c>
      <c r="B385" s="91" t="str">
        <f t="shared" si="65"/>
        <v>P6618</v>
      </c>
      <c r="C385" s="15" t="s">
        <v>955</v>
      </c>
      <c r="D385" s="18" t="s">
        <v>119</v>
      </c>
      <c r="E385" s="39">
        <v>1180.0</v>
      </c>
      <c r="F385" s="39">
        <v>1390.0</v>
      </c>
      <c r="G385" s="50">
        <f t="shared" si="59"/>
        <v>0.1779661017</v>
      </c>
      <c r="H385" s="28"/>
      <c r="I385" s="55">
        <f t="shared" si="2"/>
        <v>1330.493611</v>
      </c>
      <c r="J385" s="81"/>
      <c r="K385" s="60">
        <f>IFERROR(__xludf.DUMMYFUNCTION("IFERROR(VLOOKUP(C385,IMPORTRANGE(""https://docs.google.com/spreadsheets/d/1HZUHB8NvANAZR0sHDmHYVAm2WE9kNv0pGIQA48Ryim8/edit?gid=1285727875#gid=1285727875"",""Sheet1!A2:G""),7,0))"),359.19)</f>
        <v>359.19</v>
      </c>
      <c r="L385" s="62">
        <f t="shared" si="60"/>
        <v>3.285169409</v>
      </c>
      <c r="M385" s="60">
        <f>IFERROR(__xludf.DUMMYFUNCTION("IFERROR(VLOOKUP(C385,IMPORTRANGE(""https://docs.google.com/spreadsheets/d/1HZUHB8NvANAZR0sHDmHYVAm2WE9kNv0pGIQA48Ryim8/edit?gid=1285727875#gid=1285727875"",""Cost!A2:G""),7,0))"),405.0)</f>
        <v>405</v>
      </c>
      <c r="N385" s="62">
        <f t="shared" si="4"/>
        <v>3.432098765</v>
      </c>
      <c r="O385" s="28"/>
      <c r="P385" s="28"/>
      <c r="Q385" s="28"/>
      <c r="R385" s="28"/>
      <c r="S385" s="28"/>
      <c r="T385" s="28"/>
      <c r="U385" s="65"/>
      <c r="V385" s="28"/>
      <c r="W385" s="65"/>
      <c r="X385" s="66" t="s">
        <v>117</v>
      </c>
      <c r="Y385" s="65" t="str">
        <f t="shared" si="6"/>
        <v>VIRGO P6618</v>
      </c>
    </row>
    <row r="386">
      <c r="A386" s="18" t="s">
        <v>929</v>
      </c>
      <c r="B386" s="91" t="str">
        <f t="shared" si="65"/>
        <v>P6620</v>
      </c>
      <c r="C386" s="15" t="s">
        <v>958</v>
      </c>
      <c r="D386" s="18" t="s">
        <v>122</v>
      </c>
      <c r="E386" s="39">
        <v>1220.0</v>
      </c>
      <c r="F386" s="39">
        <v>1430.0</v>
      </c>
      <c r="G386" s="50">
        <f t="shared" si="59"/>
        <v>0.1721311475</v>
      </c>
      <c r="H386" s="28"/>
      <c r="I386" s="55">
        <f t="shared" si="2"/>
        <v>1384.598716</v>
      </c>
      <c r="J386" s="81"/>
      <c r="K386" s="60">
        <f>IFERROR(__xludf.DUMMYFUNCTION("IFERROR(VLOOKUP(C386,IMPORTRANGE(""https://docs.google.com/spreadsheets/d/1HZUHB8NvANAZR0sHDmHYVAm2WE9kNv0pGIQA48Ryim8/edit?gid=1285727875#gid=1285727875"",""Sheet1!A2:G""),7,0))"),369.19)</f>
        <v>369.19</v>
      </c>
      <c r="L386" s="62">
        <f t="shared" si="60"/>
        <v>3.304531542</v>
      </c>
      <c r="M386" s="60">
        <f>IFERROR(__xludf.DUMMYFUNCTION("IFERROR(VLOOKUP(C386,IMPORTRANGE(""https://docs.google.com/spreadsheets/d/1HZUHB8NvANAZR0sHDmHYVAm2WE9kNv0pGIQA48Ryim8/edit?gid=1285727875#gid=1285727875"",""Cost!A2:G""),7,0))"),419.0)</f>
        <v>419</v>
      </c>
      <c r="N386" s="62">
        <f t="shared" si="4"/>
        <v>3.412887828</v>
      </c>
      <c r="O386" s="28"/>
      <c r="P386" s="28"/>
      <c r="Q386" s="28"/>
      <c r="R386" s="28"/>
      <c r="S386" s="28"/>
      <c r="T386" s="28"/>
      <c r="U386" s="65"/>
      <c r="V386" s="28"/>
      <c r="W386" s="65"/>
      <c r="X386" s="66" t="s">
        <v>120</v>
      </c>
      <c r="Y386" s="65" t="str">
        <f t="shared" si="6"/>
        <v>VIRGO P6620</v>
      </c>
    </row>
    <row r="387">
      <c r="A387" s="18" t="s">
        <v>929</v>
      </c>
      <c r="B387" s="91" t="str">
        <f t="shared" si="65"/>
        <v>P6650</v>
      </c>
      <c r="C387" s="15" t="s">
        <v>959</v>
      </c>
      <c r="D387" s="18" t="s">
        <v>136</v>
      </c>
      <c r="E387" s="39">
        <v>3480.0</v>
      </c>
      <c r="F387" s="39">
        <v>3740.0</v>
      </c>
      <c r="G387" s="50">
        <f t="shared" si="59"/>
        <v>0.07471264368</v>
      </c>
      <c r="H387" s="28"/>
      <c r="I387" s="55">
        <f t="shared" si="2"/>
        <v>3859.48918</v>
      </c>
      <c r="J387" s="81"/>
      <c r="K387" s="60">
        <f>IFERROR(__xludf.DUMMYFUNCTION("IFERROR(VLOOKUP(C387,IMPORTRANGE(""https://docs.google.com/spreadsheets/d/1HZUHB8NvANAZR0sHDmHYVAm2WE9kNv0pGIQA48Ryim8/edit?gid=1285727875#gid=1285727875"",""Sheet1!A2:G""),7,0))"),851.18)</f>
        <v>851.18</v>
      </c>
      <c r="L387" s="62">
        <f t="shared" si="60"/>
        <v>4.088441928</v>
      </c>
      <c r="M387" s="60">
        <f>IFERROR(__xludf.DUMMYFUNCTION("IFERROR(VLOOKUP(C387,IMPORTRANGE(""https://docs.google.com/spreadsheets/d/1HZUHB8NvANAZR0sHDmHYVAm2WE9kNv0pGIQA48Ryim8/edit?gid=1285727875#gid=1285727875"",""Cost!A2:G""),7,0))"),944.0)</f>
        <v>944</v>
      </c>
      <c r="N387" s="62">
        <f t="shared" si="4"/>
        <v>3.961864407</v>
      </c>
      <c r="O387" s="28"/>
      <c r="P387" s="28"/>
      <c r="Q387" s="28"/>
      <c r="R387" s="28"/>
      <c r="S387" s="28"/>
      <c r="T387" s="28"/>
      <c r="U387" s="65"/>
      <c r="V387" s="28"/>
      <c r="W387" s="65"/>
      <c r="X387" s="66" t="s">
        <v>134</v>
      </c>
      <c r="Y387" s="65" t="str">
        <f t="shared" si="6"/>
        <v>VIRGO P6650</v>
      </c>
    </row>
    <row r="388">
      <c r="A388" s="18" t="s">
        <v>929</v>
      </c>
      <c r="B388" s="91" t="str">
        <f t="shared" si="65"/>
        <v>P6651</v>
      </c>
      <c r="C388" s="15" t="s">
        <v>962</v>
      </c>
      <c r="D388" s="18" t="s">
        <v>141</v>
      </c>
      <c r="E388" s="39">
        <v>3580.0</v>
      </c>
      <c r="F388" s="39">
        <v>3880.0</v>
      </c>
      <c r="G388" s="50">
        <f t="shared" si="59"/>
        <v>0.08379888268</v>
      </c>
      <c r="H388" s="28"/>
      <c r="I388" s="55">
        <f t="shared" si="2"/>
        <v>4003.048543</v>
      </c>
      <c r="J388" s="81"/>
      <c r="K388" s="60">
        <f>IFERROR(__xludf.DUMMYFUNCTION("IFERROR(VLOOKUP(C388,IMPORTRANGE(""https://docs.google.com/spreadsheets/d/1HZUHB8NvANAZR0sHDmHYVAm2WE9kNv0pGIQA48Ryim8/edit?gid=1285727875#gid=1285727875"",""Sheet1!A2:G""),7,0))"),898.79)</f>
        <v>898.79</v>
      </c>
      <c r="L388" s="62">
        <f t="shared" si="60"/>
        <v>3.983132879</v>
      </c>
      <c r="M388" s="60">
        <f>IFERROR(__xludf.DUMMYFUNCTION("IFERROR(VLOOKUP(C388,IMPORTRANGE(""https://docs.google.com/spreadsheets/d/1HZUHB8NvANAZR0sHDmHYVAm2WE9kNv0pGIQA48Ryim8/edit?gid=1285727875#gid=1285727875"",""Cost!A2:G""),7,0))"),1005.0)</f>
        <v>1005</v>
      </c>
      <c r="N388" s="62">
        <f t="shared" si="4"/>
        <v>3.860696517</v>
      </c>
      <c r="O388" s="28"/>
      <c r="P388" s="28"/>
      <c r="Q388" s="28"/>
      <c r="R388" s="28"/>
      <c r="S388" s="28"/>
      <c r="T388" s="28"/>
      <c r="U388" s="65"/>
      <c r="V388" s="28"/>
      <c r="W388" s="65"/>
      <c r="X388" s="66" t="s">
        <v>139</v>
      </c>
      <c r="Y388" s="65" t="str">
        <f t="shared" si="6"/>
        <v>VIRGO P6651</v>
      </c>
    </row>
    <row r="389">
      <c r="A389" s="18" t="s">
        <v>929</v>
      </c>
      <c r="B389" s="91" t="str">
        <f t="shared" si="65"/>
        <v>P6652</v>
      </c>
      <c r="C389" s="15" t="s">
        <v>965</v>
      </c>
      <c r="D389" s="18" t="s">
        <v>147</v>
      </c>
      <c r="E389" s="39">
        <v>5680.0</v>
      </c>
      <c r="F389" s="39">
        <v>6480.0</v>
      </c>
      <c r="G389" s="50">
        <f t="shared" si="59"/>
        <v>0.1408450704</v>
      </c>
      <c r="H389" s="28"/>
      <c r="I389" s="55">
        <f t="shared" si="2"/>
        <v>7539.041548</v>
      </c>
      <c r="J389" s="81"/>
      <c r="K389" s="60">
        <f>IFERROR(__xludf.DUMMYFUNCTION("IFERROR(VLOOKUP(C389,IMPORTRANGE(""https://docs.google.com/spreadsheets/d/1HZUHB8NvANAZR0sHDmHYVAm2WE9kNv0pGIQA48Ryim8/edit?gid=1285727875#gid=1285727875"",""Sheet1!A2:G""),7,0))"),1543.74)</f>
        <v>1543.74</v>
      </c>
      <c r="L389" s="62">
        <f t="shared" si="60"/>
        <v>3.679376061</v>
      </c>
      <c r="M389" s="60">
        <f>IFERROR(__xludf.DUMMYFUNCTION("IFERROR(VLOOKUP(C389,IMPORTRANGE(""https://docs.google.com/spreadsheets/d/1HZUHB8NvANAZR0sHDmHYVAm2WE9kNv0pGIQA48Ryim8/edit?gid=1285727875#gid=1285727875"",""Cost!A2:G""),7,0))"),2049.0)</f>
        <v>2049</v>
      </c>
      <c r="N389" s="62">
        <f t="shared" si="4"/>
        <v>3.162518302</v>
      </c>
      <c r="O389" s="28"/>
      <c r="P389" s="28"/>
      <c r="Q389" s="28"/>
      <c r="R389" s="28"/>
      <c r="S389" s="28"/>
      <c r="T389" s="28"/>
      <c r="U389" s="65"/>
      <c r="V389" s="28"/>
      <c r="W389" s="65"/>
      <c r="X389" s="66" t="s">
        <v>144</v>
      </c>
      <c r="Y389" s="65" t="str">
        <f t="shared" si="6"/>
        <v>VIRGO P6652</v>
      </c>
    </row>
    <row r="390">
      <c r="A390" s="18" t="s">
        <v>929</v>
      </c>
      <c r="B390" s="91" t="str">
        <f t="shared" si="65"/>
        <v>P6654</v>
      </c>
      <c r="C390" s="15" t="s">
        <v>968</v>
      </c>
      <c r="D390" s="18" t="s">
        <v>152</v>
      </c>
      <c r="E390" s="75">
        <f t="shared" ref="E390:F390" si="66">SUM(E391:E392)</f>
        <v>5940</v>
      </c>
      <c r="F390" s="75">
        <f t="shared" si="66"/>
        <v>6360</v>
      </c>
      <c r="G390" s="50">
        <f t="shared" si="59"/>
        <v>0.07070707071</v>
      </c>
      <c r="H390" s="28"/>
      <c r="I390" s="55">
        <f t="shared" si="2"/>
        <v>6442.026093</v>
      </c>
      <c r="J390" s="81"/>
      <c r="K390" s="60">
        <f>IFERROR(__xludf.DUMMYFUNCTION("IFERROR(VLOOKUP(C390,IMPORTRANGE(""https://docs.google.com/spreadsheets/d/1HZUHB8NvANAZR0sHDmHYVAm2WE9kNv0pGIQA48Ryim8/edit?gid=1285727875#gid=1285727875"",""Sheet1!A2:G""),7,0))"),1603.48)</f>
        <v>1603.48</v>
      </c>
      <c r="L390" s="62">
        <f t="shared" si="60"/>
        <v>3.704442837</v>
      </c>
      <c r="M390" s="60">
        <f>IFERROR(__xludf.DUMMYFUNCTION("IFERROR(VLOOKUP(C390,IMPORTRANGE(""https://docs.google.com/spreadsheets/d/1HZUHB8NvANAZR0sHDmHYVAm2WE9kNv0pGIQA48Ryim8/edit?gid=1285727875#gid=1285727875"",""Cost!A2:G""),7,0))"),1739.0)</f>
        <v>1739</v>
      </c>
      <c r="N390" s="62">
        <f t="shared" si="4"/>
        <v>3.657274296</v>
      </c>
      <c r="O390" s="28"/>
      <c r="P390" s="28"/>
      <c r="Q390" s="28"/>
      <c r="R390" s="28"/>
      <c r="S390" s="28"/>
      <c r="T390" s="28"/>
      <c r="U390" s="65"/>
      <c r="V390" s="28"/>
      <c r="W390" s="65"/>
      <c r="X390" s="66" t="s">
        <v>150</v>
      </c>
      <c r="Y390" s="65" t="str">
        <f t="shared" si="6"/>
        <v>VIRGO P6654</v>
      </c>
    </row>
    <row r="391">
      <c r="A391" s="18" t="s">
        <v>929</v>
      </c>
      <c r="B391" s="91" t="str">
        <f t="shared" si="65"/>
        <v>BD-40</v>
      </c>
      <c r="C391" s="15" t="s">
        <v>154</v>
      </c>
      <c r="D391" s="18" t="s">
        <v>156</v>
      </c>
      <c r="E391" s="39">
        <v>3680.0</v>
      </c>
      <c r="F391" s="39">
        <v>3990.0</v>
      </c>
      <c r="G391" s="50">
        <f t="shared" si="59"/>
        <v>0.08423913043</v>
      </c>
      <c r="H391" s="28"/>
      <c r="I391" s="55">
        <f t="shared" si="2"/>
        <v>4075.59981</v>
      </c>
      <c r="J391" s="81"/>
      <c r="K391" s="60">
        <f>IFERROR(__xludf.DUMMYFUNCTION("IFERROR(VLOOKUP(C391,IMPORTRANGE(""https://docs.google.com/spreadsheets/d/1HZUHB8NvANAZR0sHDmHYVAm2WE9kNv0pGIQA48Ryim8/edit?gid=1285727875#gid=1285727875"",""Sheet1!A2:G""),7,0))"),966.14)</f>
        <v>966.14</v>
      </c>
      <c r="L391" s="62">
        <f t="shared" si="60"/>
        <v>3.808971785</v>
      </c>
      <c r="M391" s="60">
        <f>IFERROR(__xludf.DUMMYFUNCTION("IFERROR(VLOOKUP(C391,IMPORTRANGE(""https://docs.google.com/spreadsheets/d/1HZUHB8NvANAZR0sHDmHYVAm2WE9kNv0pGIQA48Ryim8/edit?gid=1285727875#gid=1285727875"",""Cost!A2:G""),7,0))"),1070.0)</f>
        <v>1070</v>
      </c>
      <c r="N391" s="62">
        <f t="shared" si="4"/>
        <v>3.728971963</v>
      </c>
      <c r="O391" s="28"/>
      <c r="P391" s="28"/>
      <c r="Q391" s="28"/>
      <c r="R391" s="28"/>
      <c r="S391" s="28"/>
      <c r="T391" s="28"/>
      <c r="U391" s="65"/>
      <c r="V391" s="28"/>
      <c r="W391" s="65"/>
      <c r="X391" s="66" t="s">
        <v>154</v>
      </c>
      <c r="Y391" s="65" t="str">
        <f t="shared" si="6"/>
        <v>VIRGO P66BD-40</v>
      </c>
    </row>
    <row r="392">
      <c r="A392" s="18" t="s">
        <v>929</v>
      </c>
      <c r="B392" s="91" t="str">
        <f t="shared" si="65"/>
        <v>BB-P66</v>
      </c>
      <c r="C392" s="15" t="s">
        <v>971</v>
      </c>
      <c r="D392" s="18" t="s">
        <v>78</v>
      </c>
      <c r="E392" s="39">
        <v>2260.0</v>
      </c>
      <c r="F392" s="39">
        <v>2370.0</v>
      </c>
      <c r="G392" s="50">
        <f t="shared" si="59"/>
        <v>0.04867256637</v>
      </c>
      <c r="H392" s="28"/>
      <c r="I392" s="55">
        <f t="shared" si="2"/>
        <v>0</v>
      </c>
      <c r="J392" s="81"/>
      <c r="K392" s="60" t="str">
        <f>IFERROR(__xludf.DUMMYFUNCTION("IFERROR(VLOOKUP(C392,IMPORTRANGE(""https://docs.google.com/spreadsheets/d/1HZUHB8NvANAZR0sHDmHYVAm2WE9kNv0pGIQA48Ryim8/edit?gid=1285727875#gid=1285727875"",""Sheet1!A2:G""),7,0))"),"")</f>
        <v/>
      </c>
      <c r="L392" s="62" t="str">
        <f t="shared" si="60"/>
        <v/>
      </c>
      <c r="M392" s="60" t="str">
        <f>IFERROR(__xludf.DUMMYFUNCTION("IFERROR(VLOOKUP(C392,IMPORTRANGE(""https://docs.google.com/spreadsheets/d/1HZUHB8NvANAZR0sHDmHYVAm2WE9kNv0pGIQA48Ryim8/edit?gid=1285727875#gid=1285727875"",""Cost!A2:G""),7,0))"),"")</f>
        <v/>
      </c>
      <c r="N392" s="62" t="str">
        <f t="shared" si="4"/>
        <v/>
      </c>
      <c r="O392" s="28"/>
      <c r="P392" s="28"/>
      <c r="Q392" s="28"/>
      <c r="R392" s="28"/>
      <c r="S392" s="28"/>
      <c r="T392" s="28"/>
      <c r="U392" s="65"/>
      <c r="V392" s="28"/>
      <c r="W392" s="65"/>
      <c r="X392" s="66" t="s">
        <v>159</v>
      </c>
      <c r="Y392" s="65" t="str">
        <f t="shared" si="6"/>
        <v>VIRGO P66BB</v>
      </c>
    </row>
    <row r="393">
      <c r="A393" s="18" t="s">
        <v>929</v>
      </c>
      <c r="B393" s="91" t="str">
        <f t="shared" si="65"/>
        <v>P6654-S</v>
      </c>
      <c r="C393" s="82" t="s">
        <v>974</v>
      </c>
      <c r="D393" s="18" t="s">
        <v>152</v>
      </c>
      <c r="E393" s="75">
        <f>SUM(E394:E395)</f>
        <v>5540</v>
      </c>
      <c r="F393" s="83" t="s">
        <v>202</v>
      </c>
      <c r="G393" s="50" t="str">
        <f t="shared" si="59"/>
        <v/>
      </c>
      <c r="H393" s="28"/>
      <c r="I393" s="55">
        <f t="shared" si="2"/>
        <v>0</v>
      </c>
      <c r="J393" s="81"/>
      <c r="K393" s="60" t="str">
        <f>IFERROR(__xludf.DUMMYFUNCTION("IFERROR(VLOOKUP(C393,IMPORTRANGE(""https://docs.google.com/spreadsheets/d/1HZUHB8NvANAZR0sHDmHYVAm2WE9kNv0pGIQA48Ryim8/edit?gid=1285727875#gid=1285727875"",""Sheet1!A2:G""),7,0))"),"")</f>
        <v/>
      </c>
      <c r="L393" s="62" t="str">
        <f t="shared" si="60"/>
        <v/>
      </c>
      <c r="M393" s="60" t="str">
        <f>IFERROR(__xludf.DUMMYFUNCTION("IFERROR(VLOOKUP(C393,IMPORTRANGE(""https://docs.google.com/spreadsheets/d/1HZUHB8NvANAZR0sHDmHYVAm2WE9kNv0pGIQA48Ryim8/edit?gid=1285727875#gid=1285727875"",""Cost!A2:G""),7,0))"),"")</f>
        <v/>
      </c>
      <c r="N393" s="62" t="str">
        <f t="shared" si="4"/>
        <v/>
      </c>
      <c r="O393" s="28"/>
      <c r="P393" s="28"/>
      <c r="Q393" s="28"/>
      <c r="R393" s="28"/>
      <c r="S393" s="28"/>
      <c r="T393" s="28"/>
      <c r="U393" s="65"/>
      <c r="V393" s="28"/>
      <c r="W393" s="65"/>
      <c r="X393" s="66" t="s">
        <v>342</v>
      </c>
      <c r="Y393" s="65" t="str">
        <f t="shared" si="6"/>
        <v>VIRGO P6654-S</v>
      </c>
    </row>
    <row r="394">
      <c r="A394" s="18" t="s">
        <v>929</v>
      </c>
      <c r="B394" s="91" t="str">
        <f t="shared" si="65"/>
        <v>BD-40</v>
      </c>
      <c r="C394" s="82" t="s">
        <v>154</v>
      </c>
      <c r="D394" s="18" t="s">
        <v>156</v>
      </c>
      <c r="E394" s="39">
        <v>3680.0</v>
      </c>
      <c r="F394" s="83" t="s">
        <v>202</v>
      </c>
      <c r="G394" s="50" t="str">
        <f t="shared" si="59"/>
        <v/>
      </c>
      <c r="H394" s="28"/>
      <c r="I394" s="55">
        <f t="shared" si="2"/>
        <v>4075.59981</v>
      </c>
      <c r="J394" s="81"/>
      <c r="K394" s="60">
        <f>IFERROR(__xludf.DUMMYFUNCTION("IFERROR(VLOOKUP(C394,IMPORTRANGE(""https://docs.google.com/spreadsheets/d/1HZUHB8NvANAZR0sHDmHYVAm2WE9kNv0pGIQA48Ryim8/edit?gid=1285727875#gid=1285727875"",""Sheet1!A2:G""),7,0))"),966.14)</f>
        <v>966.14</v>
      </c>
      <c r="L394" s="62">
        <f t="shared" si="60"/>
        <v>3.808971785</v>
      </c>
      <c r="M394" s="60">
        <f>IFERROR(__xludf.DUMMYFUNCTION("IFERROR(VLOOKUP(C394,IMPORTRANGE(""https://docs.google.com/spreadsheets/d/1HZUHB8NvANAZR0sHDmHYVAm2WE9kNv0pGIQA48Ryim8/edit?gid=1285727875#gid=1285727875"",""Cost!A2:G""),7,0))"),1070.0)</f>
        <v>1070</v>
      </c>
      <c r="N394" s="62" t="str">
        <f t="shared" si="4"/>
        <v/>
      </c>
      <c r="O394" s="28"/>
      <c r="P394" s="28"/>
      <c r="Q394" s="28"/>
      <c r="R394" s="28"/>
      <c r="S394" s="28"/>
      <c r="T394" s="28"/>
      <c r="U394" s="65"/>
      <c r="V394" s="28"/>
      <c r="W394" s="65"/>
      <c r="X394" s="66" t="s">
        <v>154</v>
      </c>
      <c r="Y394" s="65" t="str">
        <f t="shared" si="6"/>
        <v>VIRGO P66BD-40</v>
      </c>
    </row>
    <row r="395">
      <c r="A395" s="18" t="s">
        <v>929</v>
      </c>
      <c r="B395" s="91" t="str">
        <f t="shared" si="65"/>
        <v>BB-P66-S</v>
      </c>
      <c r="C395" s="82" t="s">
        <v>977</v>
      </c>
      <c r="D395" s="18" t="s">
        <v>78</v>
      </c>
      <c r="E395" s="39">
        <v>1860.0</v>
      </c>
      <c r="F395" s="83" t="s">
        <v>202</v>
      </c>
      <c r="G395" s="50" t="str">
        <f t="shared" si="59"/>
        <v/>
      </c>
      <c r="H395" s="28"/>
      <c r="I395" s="55">
        <f t="shared" si="2"/>
        <v>0</v>
      </c>
      <c r="J395" s="81"/>
      <c r="K395" s="60" t="str">
        <f>IFERROR(__xludf.DUMMYFUNCTION("IFERROR(VLOOKUP(C395,IMPORTRANGE(""https://docs.google.com/spreadsheets/d/1HZUHB8NvANAZR0sHDmHYVAm2WE9kNv0pGIQA48Ryim8/edit?gid=1285727875#gid=1285727875"",""Sheet1!A2:G""),7,0))"),"")</f>
        <v/>
      </c>
      <c r="L395" s="62" t="str">
        <f t="shared" si="60"/>
        <v/>
      </c>
      <c r="M395" s="60" t="str">
        <f>IFERROR(__xludf.DUMMYFUNCTION("IFERROR(VLOOKUP(C395,IMPORTRANGE(""https://docs.google.com/spreadsheets/d/1HZUHB8NvANAZR0sHDmHYVAm2WE9kNv0pGIQA48Ryim8/edit?gid=1285727875#gid=1285727875"",""Cost!A2:G""),7,0))"),"")</f>
        <v/>
      </c>
      <c r="N395" s="62" t="str">
        <f t="shared" si="4"/>
        <v/>
      </c>
      <c r="O395" s="28"/>
      <c r="P395" s="28"/>
      <c r="Q395" s="28"/>
      <c r="R395" s="28"/>
      <c r="S395" s="28"/>
      <c r="T395" s="28"/>
      <c r="U395" s="65"/>
      <c r="V395" s="28"/>
      <c r="W395" s="65"/>
      <c r="X395" s="66" t="s">
        <v>159</v>
      </c>
      <c r="Y395" s="65" t="str">
        <f t="shared" si="6"/>
        <v>VIRGO P66BB</v>
      </c>
    </row>
    <row r="396">
      <c r="A396" s="18" t="s">
        <v>929</v>
      </c>
      <c r="B396" s="91" t="str">
        <f t="shared" si="65"/>
        <v>P6655</v>
      </c>
      <c r="C396" s="15" t="s">
        <v>978</v>
      </c>
      <c r="D396" s="18" t="s">
        <v>164</v>
      </c>
      <c r="E396" s="39">
        <v>3780.0</v>
      </c>
      <c r="F396" s="39">
        <v>4160.0</v>
      </c>
      <c r="G396" s="50">
        <f t="shared" si="59"/>
        <v>0.1005291005</v>
      </c>
      <c r="H396" s="28"/>
      <c r="I396" s="55">
        <f t="shared" si="2"/>
        <v>4162.848817</v>
      </c>
      <c r="J396" s="81"/>
      <c r="K396" s="60">
        <f>IFERROR(__xludf.DUMMYFUNCTION("IFERROR(VLOOKUP(C396,IMPORTRANGE(""https://docs.google.com/spreadsheets/d/1HZUHB8NvANAZR0sHDmHYVAm2WE9kNv0pGIQA48Ryim8/edit?gid=1285727875#gid=1285727875"",""Sheet1!A2:G""),7,0))"),964.33)</f>
        <v>964.33</v>
      </c>
      <c r="L396" s="62">
        <f t="shared" si="60"/>
        <v>3.919819979</v>
      </c>
      <c r="M396" s="60">
        <f>IFERROR(__xludf.DUMMYFUNCTION("IFERROR(VLOOKUP(C396,IMPORTRANGE(""https://docs.google.com/spreadsheets/d/1HZUHB8NvANAZR0sHDmHYVAm2WE9kNv0pGIQA48Ryim8/edit?gid=1285727875#gid=1285727875"",""Cost!A2:G""),7,0))"),1062.0)</f>
        <v>1062</v>
      </c>
      <c r="N396" s="62">
        <f t="shared" si="4"/>
        <v>3.917137476</v>
      </c>
      <c r="O396" s="28"/>
      <c r="P396" s="28"/>
      <c r="Q396" s="28"/>
      <c r="R396" s="28"/>
      <c r="S396" s="28"/>
      <c r="T396" s="28"/>
      <c r="U396" s="65"/>
      <c r="V396" s="28"/>
      <c r="W396" s="65"/>
      <c r="X396" s="66" t="s">
        <v>162</v>
      </c>
      <c r="Y396" s="65" t="str">
        <f t="shared" si="6"/>
        <v>VIRGO P6655</v>
      </c>
    </row>
    <row r="397">
      <c r="A397" s="18" t="s">
        <v>929</v>
      </c>
      <c r="B397" s="91" t="str">
        <f t="shared" si="65"/>
        <v>P6670</v>
      </c>
      <c r="C397" s="15" t="s">
        <v>981</v>
      </c>
      <c r="D397" s="18" t="s">
        <v>186</v>
      </c>
      <c r="E397" s="75">
        <v>5390.0</v>
      </c>
      <c r="F397" s="39">
        <v>5940.0</v>
      </c>
      <c r="G397" s="50">
        <f t="shared" si="59"/>
        <v>0.1020408163</v>
      </c>
      <c r="H397" s="28"/>
      <c r="I397" s="55">
        <f t="shared" si="2"/>
        <v>5999.309058</v>
      </c>
      <c r="J397" s="81"/>
      <c r="K397" s="60">
        <f>IFERROR(__xludf.DUMMYFUNCTION("IFERROR(VLOOKUP(C397,IMPORTRANGE(""https://docs.google.com/spreadsheets/d/1HZUHB8NvANAZR0sHDmHYVAm2WE9kNv0pGIQA48Ryim8/edit?gid=1285727875#gid=1285727875"",""Sheet1!A2:G""),7,0))"),1592.03)</f>
        <v>1592.03</v>
      </c>
      <c r="L397" s="62">
        <f t="shared" si="60"/>
        <v>3.385614593</v>
      </c>
      <c r="M397" s="60">
        <f>IFERROR(__xludf.DUMMYFUNCTION("IFERROR(VLOOKUP(C397,IMPORTRANGE(""https://docs.google.com/spreadsheets/d/1HZUHB8NvANAZR0sHDmHYVAm2WE9kNv0pGIQA48Ryim8/edit?gid=1285727875#gid=1285727875"",""Cost!A2:G""),7,0))"),1772.0)</f>
        <v>1772</v>
      </c>
      <c r="N397" s="62">
        <f t="shared" si="4"/>
        <v>3.35214447</v>
      </c>
      <c r="O397" s="28"/>
      <c r="P397" s="28"/>
      <c r="Q397" s="28"/>
      <c r="R397" s="28"/>
      <c r="S397" s="28"/>
      <c r="T397" s="28"/>
      <c r="U397" s="65"/>
      <c r="V397" s="28"/>
      <c r="W397" s="65"/>
      <c r="X397" s="66" t="s">
        <v>184</v>
      </c>
      <c r="Y397" s="65" t="str">
        <f t="shared" si="6"/>
        <v>VIRGO P6670</v>
      </c>
    </row>
    <row r="398">
      <c r="A398" s="18" t="s">
        <v>929</v>
      </c>
      <c r="B398" s="91" t="str">
        <f t="shared" si="65"/>
        <v>P6675</v>
      </c>
      <c r="C398" s="15" t="s">
        <v>984</v>
      </c>
      <c r="D398" s="18" t="s">
        <v>196</v>
      </c>
      <c r="E398" s="75">
        <v>5390.0</v>
      </c>
      <c r="F398" s="39">
        <v>5940.0</v>
      </c>
      <c r="G398" s="50">
        <f t="shared" si="59"/>
        <v>0.1020408163</v>
      </c>
      <c r="H398" s="28"/>
      <c r="I398" s="55">
        <f t="shared" si="2"/>
        <v>5989.081105</v>
      </c>
      <c r="J398" s="81"/>
      <c r="K398" s="60">
        <f>IFERROR(__xludf.DUMMYFUNCTION("IFERROR(VLOOKUP(C398,IMPORTRANGE(""https://docs.google.com/spreadsheets/d/1HZUHB8NvANAZR0sHDmHYVAm2WE9kNv0pGIQA48Ryim8/edit?gid=1285727875#gid=1285727875"",""Sheet1!A2:G""),7,0))"),1557.85)</f>
        <v>1557.85</v>
      </c>
      <c r="L398" s="62">
        <f t="shared" si="60"/>
        <v>3.459896652</v>
      </c>
      <c r="M398" s="60">
        <f>IFERROR(__xludf.DUMMYFUNCTION("IFERROR(VLOOKUP(C398,IMPORTRANGE(""https://docs.google.com/spreadsheets/d/1HZUHB8NvANAZR0sHDmHYVAm2WE9kNv0pGIQA48Ryim8/edit?gid=1285727875#gid=1285727875"",""Cost!A2:G""),7,0))"),1731.0)</f>
        <v>1731</v>
      </c>
      <c r="N398" s="62">
        <f t="shared" si="4"/>
        <v>3.431542461</v>
      </c>
      <c r="O398" s="28"/>
      <c r="P398" s="28"/>
      <c r="Q398" s="28"/>
      <c r="R398" s="28"/>
      <c r="S398" s="28"/>
      <c r="T398" s="28"/>
      <c r="U398" s="65"/>
      <c r="V398" s="28"/>
      <c r="W398" s="65"/>
      <c r="X398" s="66" t="s">
        <v>194</v>
      </c>
      <c r="Y398" s="65" t="str">
        <f t="shared" si="6"/>
        <v>VIRGO P6675</v>
      </c>
    </row>
    <row r="399">
      <c r="A399" s="18" t="s">
        <v>929</v>
      </c>
      <c r="B399" s="91" t="str">
        <f t="shared" si="65"/>
        <v>P6680</v>
      </c>
      <c r="C399" s="15" t="s">
        <v>986</v>
      </c>
      <c r="D399" s="18" t="s">
        <v>205</v>
      </c>
      <c r="E399" s="75">
        <v>6240.0</v>
      </c>
      <c r="F399" s="39">
        <v>6930.0</v>
      </c>
      <c r="G399" s="50">
        <f t="shared" si="59"/>
        <v>0.1105769231</v>
      </c>
      <c r="H399" s="28"/>
      <c r="I399" s="55">
        <f t="shared" si="2"/>
        <v>6927.270249</v>
      </c>
      <c r="J399" s="81"/>
      <c r="K399" s="60">
        <f>IFERROR(__xludf.DUMMYFUNCTION("IFERROR(VLOOKUP(C399,IMPORTRANGE(""https://docs.google.com/spreadsheets/d/1HZUHB8NvANAZR0sHDmHYVAm2WE9kNv0pGIQA48Ryim8/edit?gid=1285727875#gid=1285727875"",""Sheet1!A2:G""),7,0))"),1761.04)</f>
        <v>1761.04</v>
      </c>
      <c r="L399" s="62">
        <f t="shared" si="60"/>
        <v>3.543360741</v>
      </c>
      <c r="M399" s="60">
        <f>IFERROR(__xludf.DUMMYFUNCTION("IFERROR(VLOOKUP(C399,IMPORTRANGE(""https://docs.google.com/spreadsheets/d/1HZUHB8NvANAZR0sHDmHYVAm2WE9kNv0pGIQA48Ryim8/edit?gid=1285727875#gid=1285727875"",""Cost!A2:G""),7,0))"),1955.0)</f>
        <v>1955</v>
      </c>
      <c r="N399" s="62">
        <f t="shared" si="4"/>
        <v>3.544757033</v>
      </c>
      <c r="O399" s="28"/>
      <c r="P399" s="28"/>
      <c r="Q399" s="28"/>
      <c r="R399" s="28"/>
      <c r="S399" s="28"/>
      <c r="T399" s="28"/>
      <c r="U399" s="65"/>
      <c r="V399" s="28"/>
      <c r="W399" s="65"/>
      <c r="X399" s="66" t="s">
        <v>203</v>
      </c>
      <c r="Y399" s="65" t="str">
        <f t="shared" si="6"/>
        <v>VIRGO P6680</v>
      </c>
    </row>
    <row r="400">
      <c r="A400" s="18" t="s">
        <v>929</v>
      </c>
      <c r="B400" s="91" t="str">
        <f t="shared" si="65"/>
        <v>P6691-N</v>
      </c>
      <c r="C400" s="15" t="s">
        <v>988</v>
      </c>
      <c r="D400" s="18" t="s">
        <v>210</v>
      </c>
      <c r="E400" s="75">
        <f t="shared" ref="E400:F400" si="67">SUM(E401:E402)</f>
        <v>6020</v>
      </c>
      <c r="F400" s="75">
        <f t="shared" si="67"/>
        <v>6560</v>
      </c>
      <c r="G400" s="50">
        <f t="shared" si="59"/>
        <v>0.08970099668</v>
      </c>
      <c r="H400" s="28"/>
      <c r="I400" s="55">
        <f t="shared" si="2"/>
        <v>6622.618735</v>
      </c>
      <c r="J400" s="81"/>
      <c r="K400" s="60">
        <f>IFERROR(__xludf.DUMMYFUNCTION("IFERROR(VLOOKUP(C400,IMPORTRANGE(""https://docs.google.com/spreadsheets/d/1HZUHB8NvANAZR0sHDmHYVAm2WE9kNv0pGIQA48Ryim8/edit?gid=1285727875#gid=1285727875"",""Sheet1!A2:G""),7,0))"),1673.48)</f>
        <v>1673.48</v>
      </c>
      <c r="L400" s="62">
        <f t="shared" si="60"/>
        <v>3.597294261</v>
      </c>
      <c r="M400" s="60">
        <f>IFERROR(__xludf.DUMMYFUNCTION("IFERROR(VLOOKUP(C400,IMPORTRANGE(""https://docs.google.com/spreadsheets/d/1HZUHB8NvANAZR0sHDmHYVAm2WE9kNv0pGIQA48Ryim8/edit?gid=1285727875#gid=1285727875"",""Cost!A2:G""),7,0))"),1841.0)</f>
        <v>1841</v>
      </c>
      <c r="N400" s="62">
        <f t="shared" si="4"/>
        <v>3.563280826</v>
      </c>
      <c r="O400" s="28"/>
      <c r="P400" s="28"/>
      <c r="Q400" s="28"/>
      <c r="R400" s="28"/>
      <c r="S400" s="28"/>
      <c r="T400" s="28"/>
      <c r="U400" s="65"/>
      <c r="V400" s="28"/>
      <c r="W400" s="65"/>
      <c r="X400" s="66" t="s">
        <v>209</v>
      </c>
      <c r="Y400" s="65" t="str">
        <f t="shared" si="6"/>
        <v>VIRGO P6691</v>
      </c>
    </row>
    <row r="401">
      <c r="A401" s="18" t="s">
        <v>929</v>
      </c>
      <c r="B401" s="91" t="str">
        <f t="shared" si="65"/>
        <v>PD-40-N</v>
      </c>
      <c r="C401" s="15" t="s">
        <v>212</v>
      </c>
      <c r="D401" s="18" t="s">
        <v>214</v>
      </c>
      <c r="E401" s="39">
        <v>4240.0</v>
      </c>
      <c r="F401" s="39">
        <v>4580.0</v>
      </c>
      <c r="G401" s="50">
        <f t="shared" si="59"/>
        <v>0.08018867925</v>
      </c>
      <c r="H401" s="28"/>
      <c r="I401" s="55">
        <f t="shared" si="2"/>
        <v>4549.622554</v>
      </c>
      <c r="J401" s="81"/>
      <c r="K401" s="60">
        <f>IFERROR(__xludf.DUMMYFUNCTION("IFERROR(VLOOKUP(C401,IMPORTRANGE(""https://docs.google.com/spreadsheets/d/1HZUHB8NvANAZR0sHDmHYVAm2WE9kNv0pGIQA48Ryim8/edit?gid=1285727875#gid=1285727875"",""Sheet1!A2:G""),7,0))"),1298.2)</f>
        <v>1298.2</v>
      </c>
      <c r="L401" s="62">
        <f t="shared" si="60"/>
        <v>3.266060699</v>
      </c>
      <c r="M401" s="60">
        <f>IFERROR(__xludf.DUMMYFUNCTION("IFERROR(VLOOKUP(C401,IMPORTRANGE(""https://docs.google.com/spreadsheets/d/1HZUHB8NvANAZR0sHDmHYVAm2WE9kNv0pGIQA48Ryim8/edit?gid=1285727875#gid=1285727875"",""Cost!A2:G""),7,0))"),1393.0)</f>
        <v>1393</v>
      </c>
      <c r="N401" s="62">
        <f t="shared" si="4"/>
        <v>3.287867911</v>
      </c>
      <c r="O401" s="28"/>
      <c r="P401" s="28"/>
      <c r="Q401" s="28"/>
      <c r="R401" s="28"/>
      <c r="S401" s="28"/>
      <c r="T401" s="28"/>
      <c r="U401" s="65"/>
      <c r="V401" s="28"/>
      <c r="W401" s="65"/>
      <c r="X401" s="66" t="s">
        <v>212</v>
      </c>
      <c r="Y401" s="65" t="str">
        <f t="shared" si="6"/>
        <v>VIRGO P66PD-40-N</v>
      </c>
    </row>
    <row r="402">
      <c r="A402" s="18" t="s">
        <v>929</v>
      </c>
      <c r="B402" s="91" t="str">
        <f t="shared" si="65"/>
        <v>DB-P66-N</v>
      </c>
      <c r="C402" s="15" t="s">
        <v>990</v>
      </c>
      <c r="D402" s="18" t="s">
        <v>217</v>
      </c>
      <c r="E402" s="39">
        <v>1780.0</v>
      </c>
      <c r="F402" s="39">
        <v>1980.0</v>
      </c>
      <c r="G402" s="50">
        <f t="shared" si="59"/>
        <v>0.1123595506</v>
      </c>
      <c r="H402" s="28"/>
      <c r="I402" s="55">
        <f t="shared" si="2"/>
        <v>2123.041301</v>
      </c>
      <c r="J402" s="81"/>
      <c r="K402" s="60">
        <f>IFERROR(__xludf.DUMMYFUNCTION("IFERROR(VLOOKUP(C402,IMPORTRANGE(""https://docs.google.com/spreadsheets/d/1HZUHB8NvANAZR0sHDmHYVAm2WE9kNv0pGIQA48Ryim8/edit?gid=1285727875#gid=1285727875"",""Sheet1!A2:G""),7,0))"),371.42)</f>
        <v>371.42</v>
      </c>
      <c r="L402" s="62">
        <f t="shared" si="60"/>
        <v>4.792418287</v>
      </c>
      <c r="M402" s="60">
        <f>IFERROR(__xludf.DUMMYFUNCTION("IFERROR(VLOOKUP(C402,IMPORTRANGE(""https://docs.google.com/spreadsheets/d/1HZUHB8NvANAZR0sHDmHYVAm2WE9kNv0pGIQA48Ryim8/edit?gid=1285727875#gid=1285727875"",""Cost!A2:G""),7,0))"),443.0)</f>
        <v>443</v>
      </c>
      <c r="N402" s="62">
        <f t="shared" si="4"/>
        <v>4.469525959</v>
      </c>
      <c r="O402" s="28"/>
      <c r="P402" s="28"/>
      <c r="Q402" s="28"/>
      <c r="R402" s="28"/>
      <c r="S402" s="28"/>
      <c r="T402" s="28"/>
      <c r="U402" s="65"/>
      <c r="V402" s="28"/>
      <c r="W402" s="65"/>
      <c r="X402" s="66" t="s">
        <v>358</v>
      </c>
      <c r="Y402" s="65" t="str">
        <f t="shared" si="6"/>
        <v>VIRGO P66DB</v>
      </c>
    </row>
    <row r="403">
      <c r="A403" s="18" t="s">
        <v>929</v>
      </c>
      <c r="B403" s="91" t="str">
        <f t="shared" si="65"/>
        <v>P6692-N</v>
      </c>
      <c r="C403" s="15" t="s">
        <v>992</v>
      </c>
      <c r="D403" s="18" t="s">
        <v>220</v>
      </c>
      <c r="E403" s="75">
        <f t="shared" ref="E403:F403" si="68">SUM(E404:E405)</f>
        <v>6760</v>
      </c>
      <c r="F403" s="75">
        <f t="shared" si="68"/>
        <v>7470</v>
      </c>
      <c r="G403" s="50">
        <f t="shared" si="59"/>
        <v>0.1050295858</v>
      </c>
      <c r="H403" s="28"/>
      <c r="I403" s="55">
        <f t="shared" si="2"/>
        <v>7599.815951</v>
      </c>
      <c r="J403" s="81"/>
      <c r="K403" s="60">
        <f>IFERROR(__xludf.DUMMYFUNCTION("IFERROR(VLOOKUP(C403,IMPORTRANGE(""https://docs.google.com/spreadsheets/d/1HZUHB8NvANAZR0sHDmHYVAm2WE9kNv0pGIQA48Ryim8/edit?gid=1285727875#gid=1285727875"",""Sheet1!A2:G""),7,0))"),1956.0)</f>
        <v>1956</v>
      </c>
      <c r="L403" s="62">
        <f t="shared" si="60"/>
        <v>3.45603272</v>
      </c>
      <c r="M403" s="60">
        <f>IFERROR(__xludf.DUMMYFUNCTION("IFERROR(VLOOKUP(C403,IMPORTRANGE(""https://docs.google.com/spreadsheets/d/1HZUHB8NvANAZR0sHDmHYVAm2WE9kNv0pGIQA48Ryim8/edit?gid=1285727875#gid=1285727875"",""Cost!A2:G""),7,0))"),2199.0)</f>
        <v>2199</v>
      </c>
      <c r="N403" s="62">
        <f t="shared" si="4"/>
        <v>3.396998636</v>
      </c>
      <c r="O403" s="28"/>
      <c r="P403" s="28"/>
      <c r="Q403" s="28"/>
      <c r="R403" s="28"/>
      <c r="S403" s="28"/>
      <c r="T403" s="28"/>
      <c r="U403" s="65"/>
      <c r="V403" s="28"/>
      <c r="W403" s="65"/>
      <c r="X403" s="66" t="s">
        <v>219</v>
      </c>
      <c r="Y403" s="65" t="str">
        <f t="shared" si="6"/>
        <v>VIRGO P6692</v>
      </c>
    </row>
    <row r="404">
      <c r="A404" s="18" t="s">
        <v>929</v>
      </c>
      <c r="B404" s="91" t="str">
        <f t="shared" si="65"/>
        <v>PD-46-H-N</v>
      </c>
      <c r="C404" s="15" t="s">
        <v>223</v>
      </c>
      <c r="D404" s="18" t="s">
        <v>224</v>
      </c>
      <c r="E404" s="39">
        <v>4980.0</v>
      </c>
      <c r="F404" s="39">
        <v>5490.0</v>
      </c>
      <c r="G404" s="50">
        <f t="shared" si="59"/>
        <v>0.1024096386</v>
      </c>
      <c r="H404" s="28"/>
      <c r="I404" s="55">
        <f t="shared" si="2"/>
        <v>5513.426362</v>
      </c>
      <c r="J404" s="81"/>
      <c r="K404" s="60">
        <f>IFERROR(__xludf.DUMMYFUNCTION("IFERROR(VLOOKUP(C404,IMPORTRANGE(""https://docs.google.com/spreadsheets/d/1HZUHB8NvANAZR0sHDmHYVAm2WE9kNv0pGIQA48Ryim8/edit?gid=1285727875#gid=1285727875"",""Sheet1!A2:G""),7,0))"),1581.59)</f>
        <v>1581.59</v>
      </c>
      <c r="L404" s="62">
        <f t="shared" si="60"/>
        <v>3.148730075</v>
      </c>
      <c r="M404" s="60">
        <f>IFERROR(__xludf.DUMMYFUNCTION("IFERROR(VLOOKUP(C404,IMPORTRANGE(""https://docs.google.com/spreadsheets/d/1HZUHB8NvANAZR0sHDmHYVAm2WE9kNv0pGIQA48Ryim8/edit?gid=1285727875#gid=1285727875"",""Cost!A2:G""),7,0))"),1751.0)</f>
        <v>1751</v>
      </c>
      <c r="N404" s="62">
        <f t="shared" si="4"/>
        <v>3.135351228</v>
      </c>
      <c r="O404" s="28"/>
      <c r="P404" s="28"/>
      <c r="Q404" s="28"/>
      <c r="R404" s="28"/>
      <c r="S404" s="28"/>
      <c r="T404" s="28"/>
      <c r="U404" s="65"/>
      <c r="V404" s="28"/>
      <c r="W404" s="65"/>
      <c r="X404" s="66" t="s">
        <v>223</v>
      </c>
      <c r="Y404" s="65" t="str">
        <f t="shared" si="6"/>
        <v>VIRGO P66PD-46-H-N</v>
      </c>
    </row>
    <row r="405">
      <c r="A405" s="18" t="s">
        <v>929</v>
      </c>
      <c r="B405" s="91" t="str">
        <f t="shared" si="65"/>
        <v>DB-P66-H-N</v>
      </c>
      <c r="C405" s="15" t="s">
        <v>994</v>
      </c>
      <c r="D405" s="18" t="s">
        <v>217</v>
      </c>
      <c r="E405" s="39">
        <v>1780.0</v>
      </c>
      <c r="F405" s="39">
        <f>F402</f>
        <v>1980</v>
      </c>
      <c r="G405" s="50">
        <f t="shared" si="59"/>
        <v>0.1123595506</v>
      </c>
      <c r="H405" s="28"/>
      <c r="I405" s="55">
        <f t="shared" si="2"/>
        <v>2129.922749</v>
      </c>
      <c r="J405" s="81"/>
      <c r="K405" s="60">
        <f>IFERROR(__xludf.DUMMYFUNCTION("IFERROR(VLOOKUP(C405,IMPORTRANGE(""https://docs.google.com/spreadsheets/d/1HZUHB8NvANAZR0sHDmHYVAm2WE9kNv0pGIQA48Ryim8/edit?gid=1285727875#gid=1285727875"",""Sheet1!A2:G""),7,0))"),370.22)</f>
        <v>370.22</v>
      </c>
      <c r="L405" s="62">
        <f t="shared" si="60"/>
        <v>4.807952029</v>
      </c>
      <c r="M405" s="60">
        <f>IFERROR(__xludf.DUMMYFUNCTION("IFERROR(VLOOKUP(C405,IMPORTRANGE(""https://docs.google.com/spreadsheets/d/1HZUHB8NvANAZR0sHDmHYVAm2WE9kNv0pGIQA48Ryim8/edit?gid=1285727875#gid=1285727875"",""Cost!A2:G""),7,0))"),443.0)</f>
        <v>443</v>
      </c>
      <c r="N405" s="62">
        <f t="shared" si="4"/>
        <v>4.469525959</v>
      </c>
      <c r="O405" s="28"/>
      <c r="P405" s="28"/>
      <c r="Q405" s="28"/>
      <c r="R405" s="28"/>
      <c r="S405" s="28"/>
      <c r="T405" s="28"/>
      <c r="U405" s="65"/>
      <c r="V405" s="28"/>
      <c r="W405" s="65"/>
      <c r="X405" s="66" t="s">
        <v>358</v>
      </c>
      <c r="Y405" s="65" t="str">
        <f t="shared" si="6"/>
        <v>VIRGO P66DB</v>
      </c>
    </row>
    <row r="406">
      <c r="A406" s="18" t="s">
        <v>929</v>
      </c>
      <c r="B406" s="91" t="str">
        <f t="shared" si="65"/>
        <v>P6692-ON-OFF-N</v>
      </c>
      <c r="C406" s="15" t="s">
        <v>996</v>
      </c>
      <c r="D406" s="18" t="s">
        <v>229</v>
      </c>
      <c r="E406" s="75">
        <f t="shared" ref="E406:F406" si="69">SUM(E407:E408)</f>
        <v>6760</v>
      </c>
      <c r="F406" s="75">
        <f t="shared" si="69"/>
        <v>7470</v>
      </c>
      <c r="G406" s="50">
        <f t="shared" si="59"/>
        <v>0.1050295858</v>
      </c>
      <c r="H406" s="28"/>
      <c r="I406" s="55">
        <f t="shared" si="2"/>
        <v>7680.627401</v>
      </c>
      <c r="J406" s="81"/>
      <c r="K406" s="60">
        <f>IFERROR(__xludf.DUMMYFUNCTION("IFERROR(VLOOKUP(C406,IMPORTRANGE(""https://docs.google.com/spreadsheets/d/1HZUHB8NvANAZR0sHDmHYVAm2WE9kNv0pGIQA48Ryim8/edit?gid=1285727875#gid=1285727875"",""Sheet1!A2:G""),7,0))"),1741.79)</f>
        <v>1741.79</v>
      </c>
      <c r="L406" s="62">
        <f t="shared" si="60"/>
        <v>3.881064882</v>
      </c>
      <c r="M406" s="60">
        <f>IFERROR(__xludf.DUMMYFUNCTION("IFERROR(VLOOKUP(C406,IMPORTRANGE(""https://docs.google.com/spreadsheets/d/1HZUHB8NvANAZR0sHDmHYVAm2WE9kNv0pGIQA48Ryim8/edit?gid=1285727875#gid=1285727875"",""Cost!A2:G""),7,0))"),1979.0)</f>
        <v>1979</v>
      </c>
      <c r="N406" s="62">
        <f t="shared" si="4"/>
        <v>3.774633653</v>
      </c>
      <c r="O406" s="28"/>
      <c r="P406" s="28"/>
      <c r="Q406" s="28"/>
      <c r="R406" s="28"/>
      <c r="S406" s="28"/>
      <c r="T406" s="28"/>
      <c r="U406" s="65"/>
      <c r="V406" s="28"/>
      <c r="W406" s="65"/>
      <c r="X406" s="66" t="s">
        <v>368</v>
      </c>
      <c r="Y406" s="65" t="str">
        <f t="shared" si="6"/>
        <v>VIRGO P6692-ON-OFF</v>
      </c>
    </row>
    <row r="407">
      <c r="A407" s="18" t="s">
        <v>929</v>
      </c>
      <c r="B407" s="91" t="str">
        <f t="shared" si="65"/>
        <v>PD-46-H-ON-OFF-N</v>
      </c>
      <c r="C407" s="15" t="s">
        <v>234</v>
      </c>
      <c r="D407" s="18" t="s">
        <v>235</v>
      </c>
      <c r="E407" s="39">
        <f>E404-240</f>
        <v>4740</v>
      </c>
      <c r="F407" s="75">
        <f>F404-$X$1</f>
        <v>5250</v>
      </c>
      <c r="G407" s="50">
        <f t="shared" si="59"/>
        <v>0.1075949367</v>
      </c>
      <c r="H407" s="28"/>
      <c r="I407" s="55">
        <f t="shared" si="2"/>
        <v>5306.797906</v>
      </c>
      <c r="J407" s="81"/>
      <c r="K407" s="60">
        <f>IFERROR(__xludf.DUMMYFUNCTION("IFERROR(VLOOKUP(C407,IMPORTRANGE(""https://docs.google.com/spreadsheets/d/1HZUHB8NvANAZR0sHDmHYVAm2WE9kNv0pGIQA48Ryim8/edit?gid=1285727875#gid=1285727875"",""Sheet1!A2:G""),7,0))"),1367.48)</f>
        <v>1367.48</v>
      </c>
      <c r="L407" s="62">
        <f t="shared" si="60"/>
        <v>3.466229853</v>
      </c>
      <c r="M407" s="60">
        <f>IFERROR(__xludf.DUMMYFUNCTION("IFERROR(VLOOKUP(C407,IMPORTRANGE(""https://docs.google.com/spreadsheets/d/1HZUHB8NvANAZR0sHDmHYVAm2WE9kNv0pGIQA48Ryim8/edit?gid=1285727875#gid=1285727875"",""Cost!A2:G""),7,0))"),1531.0)</f>
        <v>1531</v>
      </c>
      <c r="N407" s="62">
        <f t="shared" si="4"/>
        <v>3.429131287</v>
      </c>
      <c r="O407" s="28"/>
      <c r="P407" s="28"/>
      <c r="Q407" s="28"/>
      <c r="R407" s="28"/>
      <c r="S407" s="28"/>
      <c r="T407" s="28"/>
      <c r="U407" s="65"/>
      <c r="V407" s="28"/>
      <c r="W407" s="65"/>
      <c r="X407" s="66" t="s">
        <v>371</v>
      </c>
      <c r="Y407" s="65" t="str">
        <f t="shared" si="6"/>
        <v>VIRGO P66PD-ON-OFF</v>
      </c>
    </row>
    <row r="408">
      <c r="A408" s="18" t="s">
        <v>929</v>
      </c>
      <c r="B408" s="91" t="str">
        <f t="shared" si="65"/>
        <v>DB-P66-H-ON-OFF-N</v>
      </c>
      <c r="C408" s="15" t="s">
        <v>999</v>
      </c>
      <c r="D408" s="18" t="s">
        <v>217</v>
      </c>
      <c r="E408" s="75">
        <f>E405+240</f>
        <v>2020</v>
      </c>
      <c r="F408" s="75">
        <f>F405+$X$1</f>
        <v>2220</v>
      </c>
      <c r="G408" s="50">
        <f t="shared" si="59"/>
        <v>0.09900990099</v>
      </c>
      <c r="H408" s="28"/>
      <c r="I408" s="55">
        <f t="shared" si="2"/>
        <v>2417.756403</v>
      </c>
      <c r="J408" s="81"/>
      <c r="K408" s="60">
        <f>IFERROR(__xludf.DUMMYFUNCTION("IFERROR(VLOOKUP(C408,IMPORTRANGE(""https://docs.google.com/spreadsheets/d/1HZUHB8NvANAZR0sHDmHYVAm2WE9kNv0pGIQA48Ryim8/edit?gid=1285727875#gid=1285727875"",""Sheet1!A2:G""),7,0))"),370.12)</f>
        <v>370.12</v>
      </c>
      <c r="L408" s="62">
        <f t="shared" si="60"/>
        <v>5.457689398</v>
      </c>
      <c r="M408" s="60">
        <f>IFERROR(__xludf.DUMMYFUNCTION("IFERROR(VLOOKUP(C408,IMPORTRANGE(""https://docs.google.com/spreadsheets/d/1HZUHB8NvANAZR0sHDmHYVAm2WE9kNv0pGIQA48Ryim8/edit?gid=1285727875#gid=1285727875"",""Cost!A2:G""),7,0))"),443.0)</f>
        <v>443</v>
      </c>
      <c r="N408" s="62">
        <f t="shared" si="4"/>
        <v>5.011286682</v>
      </c>
      <c r="O408" s="28"/>
      <c r="P408" s="28"/>
      <c r="Q408" s="28"/>
      <c r="R408" s="28"/>
      <c r="S408" s="28"/>
      <c r="T408" s="28"/>
      <c r="U408" s="65"/>
      <c r="V408" s="28"/>
      <c r="W408" s="65"/>
      <c r="X408" s="66" t="s">
        <v>375</v>
      </c>
      <c r="Y408" s="65" t="str">
        <f t="shared" si="6"/>
        <v>VIRGO P66DB-ON-OFF</v>
      </c>
    </row>
    <row r="409">
      <c r="A409" s="18" t="s">
        <v>929</v>
      </c>
      <c r="B409" s="91" t="str">
        <f t="shared" si="65"/>
        <v>P6693-N</v>
      </c>
      <c r="C409" s="15" t="s">
        <v>1000</v>
      </c>
      <c r="D409" s="18" t="s">
        <v>241</v>
      </c>
      <c r="E409" s="75">
        <f t="shared" ref="E409:F409" si="70">SUM(E410:E411)</f>
        <v>6760</v>
      </c>
      <c r="F409" s="75">
        <f t="shared" si="70"/>
        <v>7470</v>
      </c>
      <c r="G409" s="50">
        <f t="shared" si="59"/>
        <v>0.1050295858</v>
      </c>
      <c r="H409" s="28"/>
      <c r="I409" s="55">
        <f t="shared" si="2"/>
        <v>7474.344947</v>
      </c>
      <c r="J409" s="81"/>
      <c r="K409" s="60">
        <f>IFERROR(__xludf.DUMMYFUNCTION("IFERROR(VLOOKUP(C409,IMPORTRANGE(""https://docs.google.com/spreadsheets/d/1HZUHB8NvANAZR0sHDmHYVAm2WE9kNv0pGIQA48Ryim8/edit?gid=1285727875#gid=1285727875"",""Sheet1!A2:G""),7,0))"),1910.15)</f>
        <v>1910.15</v>
      </c>
      <c r="L409" s="62">
        <f t="shared" si="60"/>
        <v>3.538989085</v>
      </c>
      <c r="M409" s="60">
        <f>IFERROR(__xludf.DUMMYFUNCTION("IFERROR(VLOOKUP(C409,IMPORTRANGE(""https://docs.google.com/spreadsheets/d/1HZUHB8NvANAZR0sHDmHYVAm2WE9kNv0pGIQA48Ryim8/edit?gid=1285727875#gid=1285727875"",""Cost!A2:G""),7,0))"),2112.0)</f>
        <v>2112</v>
      </c>
      <c r="N409" s="62">
        <f t="shared" si="4"/>
        <v>3.536931818</v>
      </c>
      <c r="O409" s="28"/>
      <c r="P409" s="28"/>
      <c r="Q409" s="28"/>
      <c r="R409" s="28"/>
      <c r="S409" s="28"/>
      <c r="T409" s="28"/>
      <c r="U409" s="65"/>
      <c r="V409" s="28"/>
      <c r="W409" s="65"/>
      <c r="X409" s="66" t="s">
        <v>239</v>
      </c>
      <c r="Y409" s="65" t="str">
        <f t="shared" si="6"/>
        <v>VIRGO P6693</v>
      </c>
    </row>
    <row r="410">
      <c r="A410" s="18" t="s">
        <v>929</v>
      </c>
      <c r="B410" s="91" t="str">
        <f t="shared" si="65"/>
        <v>PD-3 IN-N</v>
      </c>
      <c r="C410" s="15" t="s">
        <v>243</v>
      </c>
      <c r="D410" s="18" t="s">
        <v>244</v>
      </c>
      <c r="E410" s="39">
        <v>4980.0</v>
      </c>
      <c r="F410" s="39">
        <v>5490.0</v>
      </c>
      <c r="G410" s="50">
        <f t="shared" si="59"/>
        <v>0.1024096386</v>
      </c>
      <c r="H410" s="28"/>
      <c r="I410" s="55">
        <f t="shared" si="2"/>
        <v>5395.785272</v>
      </c>
      <c r="J410" s="81"/>
      <c r="K410" s="60">
        <f>IFERROR(__xludf.DUMMYFUNCTION("IFERROR(VLOOKUP(C410,IMPORTRANGE(""https://docs.google.com/spreadsheets/d/1HZUHB8NvANAZR0sHDmHYVAm2WE9kNv0pGIQA48Ryim8/edit?gid=1285727875#gid=1285727875"",""Sheet1!A2:G""),7,0))"),1543.16)</f>
        <v>1543.16</v>
      </c>
      <c r="L410" s="62">
        <f t="shared" si="60"/>
        <v>3.227144301</v>
      </c>
      <c r="M410" s="60">
        <f>IFERROR(__xludf.DUMMYFUNCTION("IFERROR(VLOOKUP(C410,IMPORTRANGE(""https://docs.google.com/spreadsheets/d/1HZUHB8NvANAZR0sHDmHYVAm2WE9kNv0pGIQA48Ryim8/edit?gid=1285727875#gid=1285727875"",""Cost!A2:G""),7,0))"),1672.0)</f>
        <v>1672</v>
      </c>
      <c r="N410" s="62">
        <f t="shared" si="4"/>
        <v>3.283492823</v>
      </c>
      <c r="O410" s="28"/>
      <c r="P410" s="28"/>
      <c r="Q410" s="28"/>
      <c r="R410" s="28"/>
      <c r="S410" s="28"/>
      <c r="T410" s="28"/>
      <c r="U410" s="65"/>
      <c r="V410" s="28"/>
      <c r="W410" s="65"/>
      <c r="X410" s="66" t="s">
        <v>243</v>
      </c>
      <c r="Y410" s="65" t="str">
        <f t="shared" si="6"/>
        <v>VIRGO P66PD-3 IN-N</v>
      </c>
    </row>
    <row r="411">
      <c r="A411" s="18" t="s">
        <v>929</v>
      </c>
      <c r="B411" s="91" t="str">
        <f t="shared" si="65"/>
        <v>DB-P66-3 IN-N</v>
      </c>
      <c r="C411" s="15" t="s">
        <v>1001</v>
      </c>
      <c r="D411" s="18" t="s">
        <v>217</v>
      </c>
      <c r="E411" s="39">
        <v>1780.0</v>
      </c>
      <c r="F411" s="39">
        <f>F402</f>
        <v>1980</v>
      </c>
      <c r="G411" s="50">
        <f t="shared" si="59"/>
        <v>0.1123595506</v>
      </c>
      <c r="H411" s="28"/>
      <c r="I411" s="55">
        <f t="shared" si="2"/>
        <v>2131.189189</v>
      </c>
      <c r="J411" s="81"/>
      <c r="K411" s="60">
        <f>IFERROR(__xludf.DUMMYFUNCTION("IFERROR(VLOOKUP(C411,IMPORTRANGE(""https://docs.google.com/spreadsheets/d/1HZUHB8NvANAZR0sHDmHYVAm2WE9kNv0pGIQA48Ryim8/edit?gid=1285727875#gid=1285727875"",""Sheet1!A2:G""),7,0))"),370.0)</f>
        <v>370</v>
      </c>
      <c r="L411" s="62">
        <f t="shared" si="60"/>
        <v>4.810810811</v>
      </c>
      <c r="M411" s="60">
        <f>IFERROR(__xludf.DUMMYFUNCTION("IFERROR(VLOOKUP(C411,IMPORTRANGE(""https://docs.google.com/spreadsheets/d/1HZUHB8NvANAZR0sHDmHYVAm2WE9kNv0pGIQA48Ryim8/edit?gid=1285727875#gid=1285727875"",""Cost!A2:G""),7,0))"),443.0)</f>
        <v>443</v>
      </c>
      <c r="N411" s="62">
        <f t="shared" si="4"/>
        <v>4.469525959</v>
      </c>
      <c r="O411" s="28"/>
      <c r="P411" s="28"/>
      <c r="Q411" s="28"/>
      <c r="R411" s="28"/>
      <c r="S411" s="28"/>
      <c r="T411" s="28"/>
      <c r="U411" s="65"/>
      <c r="V411" s="28"/>
      <c r="W411" s="65"/>
      <c r="X411" s="66" t="s">
        <v>358</v>
      </c>
      <c r="Y411" s="65" t="str">
        <f t="shared" si="6"/>
        <v>VIRGO P66DB</v>
      </c>
    </row>
    <row r="412">
      <c r="A412" s="18" t="s">
        <v>929</v>
      </c>
      <c r="B412" s="91" t="str">
        <f t="shared" si="65"/>
        <v>P6693-ON-OFF-N</v>
      </c>
      <c r="C412" s="15" t="s">
        <v>1002</v>
      </c>
      <c r="D412" s="18" t="s">
        <v>250</v>
      </c>
      <c r="E412" s="75">
        <f t="shared" ref="E412:F412" si="71">SUM(E413:E414)</f>
        <v>6760</v>
      </c>
      <c r="F412" s="75">
        <f t="shared" si="71"/>
        <v>7470</v>
      </c>
      <c r="G412" s="50">
        <f t="shared" si="59"/>
        <v>0.1050295858</v>
      </c>
      <c r="H412" s="28"/>
      <c r="I412" s="55">
        <f t="shared" si="2"/>
        <v>7567.28183</v>
      </c>
      <c r="J412" s="81"/>
      <c r="K412" s="60">
        <f>IFERROR(__xludf.DUMMYFUNCTION("IFERROR(VLOOKUP(C412,IMPORTRANGE(""https://docs.google.com/spreadsheets/d/1HZUHB8NvANAZR0sHDmHYVAm2WE9kNv0pGIQA48Ryim8/edit?gid=1285727875#gid=1285727875"",""Sheet1!A2:G""),7,0))"),1929.57)</f>
        <v>1929.57</v>
      </c>
      <c r="L412" s="62">
        <f t="shared" si="60"/>
        <v>3.503371217</v>
      </c>
      <c r="M412" s="60">
        <f>IFERROR(__xludf.DUMMYFUNCTION("IFERROR(VLOOKUP(C412,IMPORTRANGE(""https://docs.google.com/spreadsheets/d/1HZUHB8NvANAZR0sHDmHYVAm2WE9kNv0pGIQA48Ryim8/edit?gid=1285727875#gid=1285727875"",""Cost!A2:G""),7,0))"),2160.0)</f>
        <v>2160</v>
      </c>
      <c r="N412" s="62">
        <f t="shared" si="4"/>
        <v>3.458333333</v>
      </c>
      <c r="O412" s="28"/>
      <c r="P412" s="28"/>
      <c r="Q412" s="28"/>
      <c r="R412" s="28"/>
      <c r="S412" s="28"/>
      <c r="T412" s="28"/>
      <c r="U412" s="65"/>
      <c r="V412" s="28"/>
      <c r="W412" s="65"/>
      <c r="X412" s="66" t="s">
        <v>410</v>
      </c>
      <c r="Y412" s="65" t="str">
        <f t="shared" si="6"/>
        <v>VIRGO P6693-ON-OFF</v>
      </c>
    </row>
    <row r="413">
      <c r="A413" s="18" t="s">
        <v>929</v>
      </c>
      <c r="B413" s="91" t="str">
        <f t="shared" si="65"/>
        <v>PD-3 IN-ON-OFF-N</v>
      </c>
      <c r="C413" s="15" t="s">
        <v>253</v>
      </c>
      <c r="D413" s="18" t="s">
        <v>256</v>
      </c>
      <c r="E413" s="39">
        <f>E410-240</f>
        <v>4740</v>
      </c>
      <c r="F413" s="39">
        <f>F410-$X$1</f>
        <v>5250</v>
      </c>
      <c r="G413" s="50">
        <f t="shared" si="59"/>
        <v>0.1075949367</v>
      </c>
      <c r="H413" s="28"/>
      <c r="I413" s="55">
        <f t="shared" si="2"/>
        <v>5217.019108</v>
      </c>
      <c r="J413" s="81"/>
      <c r="K413" s="60">
        <f>IFERROR(__xludf.DUMMYFUNCTION("IFERROR(VLOOKUP(C413,IMPORTRANGE(""https://docs.google.com/spreadsheets/d/1HZUHB8NvANAZR0sHDmHYVAm2WE9kNv0pGIQA48Ryim8/edit?gid=1285727875#gid=1285727875"",""Sheet1!A2:G""),7,0))"),1570.0)</f>
        <v>1570</v>
      </c>
      <c r="L413" s="62">
        <f t="shared" si="60"/>
        <v>3.01910828</v>
      </c>
      <c r="M413" s="60">
        <f>IFERROR(__xludf.DUMMYFUNCTION("IFERROR(VLOOKUP(C413,IMPORTRANGE(""https://docs.google.com/spreadsheets/d/1HZUHB8NvANAZR0sHDmHYVAm2WE9kNv0pGIQA48Ryim8/edit?gid=1285727875#gid=1285727875"",""Cost!A2:G""),7,0))"),1728.0)</f>
        <v>1728</v>
      </c>
      <c r="N413" s="62">
        <f t="shared" si="4"/>
        <v>3.038194444</v>
      </c>
      <c r="O413" s="28"/>
      <c r="P413" s="28"/>
      <c r="Q413" s="28"/>
      <c r="R413" s="28"/>
      <c r="S413" s="28"/>
      <c r="T413" s="28"/>
      <c r="U413" s="65"/>
      <c r="V413" s="28"/>
      <c r="W413" s="65"/>
      <c r="X413" s="66" t="s">
        <v>371</v>
      </c>
      <c r="Y413" s="65" t="str">
        <f t="shared" si="6"/>
        <v>VIRGO P66PD-ON-OFF</v>
      </c>
    </row>
    <row r="414">
      <c r="A414" s="18" t="s">
        <v>929</v>
      </c>
      <c r="B414" s="91" t="str">
        <f t="shared" si="65"/>
        <v>DB-P66-3 IN-ON-OFF-N</v>
      </c>
      <c r="C414" s="15" t="s">
        <v>1004</v>
      </c>
      <c r="D414" s="18" t="s">
        <v>217</v>
      </c>
      <c r="E414" s="75">
        <f>E411+240</f>
        <v>2020</v>
      </c>
      <c r="F414" s="75">
        <f>F411+$X$1</f>
        <v>2220</v>
      </c>
      <c r="G414" s="50">
        <f t="shared" si="59"/>
        <v>0.09900990099</v>
      </c>
      <c r="H414" s="28"/>
      <c r="I414" s="55">
        <f t="shared" si="2"/>
        <v>2417.756403</v>
      </c>
      <c r="J414" s="81"/>
      <c r="K414" s="60">
        <f>IFERROR(__xludf.DUMMYFUNCTION("IFERROR(VLOOKUP(C414,IMPORTRANGE(""https://docs.google.com/spreadsheets/d/1HZUHB8NvANAZR0sHDmHYVAm2WE9kNv0pGIQA48Ryim8/edit?gid=1285727875#gid=1285727875"",""Sheet1!A2:G""),7,0))"),370.12)</f>
        <v>370.12</v>
      </c>
      <c r="L414" s="62">
        <f t="shared" si="60"/>
        <v>5.457689398</v>
      </c>
      <c r="M414" s="60">
        <f>IFERROR(__xludf.DUMMYFUNCTION("IFERROR(VLOOKUP(C414,IMPORTRANGE(""https://docs.google.com/spreadsheets/d/1HZUHB8NvANAZR0sHDmHYVAm2WE9kNv0pGIQA48Ryim8/edit?gid=1285727875#gid=1285727875"",""Cost!A2:G""),7,0))"),443.0)</f>
        <v>443</v>
      </c>
      <c r="N414" s="62">
        <f t="shared" si="4"/>
        <v>5.011286682</v>
      </c>
      <c r="O414" s="28"/>
      <c r="P414" s="28"/>
      <c r="Q414" s="28"/>
      <c r="R414" s="28"/>
      <c r="S414" s="28"/>
      <c r="T414" s="28"/>
      <c r="U414" s="65"/>
      <c r="V414" s="28"/>
      <c r="W414" s="65"/>
      <c r="X414" s="66" t="s">
        <v>375</v>
      </c>
      <c r="Y414" s="65" t="str">
        <f t="shared" si="6"/>
        <v>VIRGO P66DB-ON-OFF</v>
      </c>
    </row>
    <row r="415">
      <c r="A415" s="18" t="s">
        <v>929</v>
      </c>
      <c r="B415" s="91" t="str">
        <f t="shared" si="65"/>
        <v>P6695</v>
      </c>
      <c r="C415" s="15" t="s">
        <v>1006</v>
      </c>
      <c r="D415" s="18" t="s">
        <v>265</v>
      </c>
      <c r="E415" s="75">
        <v>1180.0</v>
      </c>
      <c r="F415" s="39">
        <v>1290.0</v>
      </c>
      <c r="G415" s="50">
        <f t="shared" si="59"/>
        <v>0.09322033898</v>
      </c>
      <c r="H415" s="28"/>
      <c r="I415" s="55">
        <f t="shared" si="2"/>
        <v>1307.17156</v>
      </c>
      <c r="J415" s="81"/>
      <c r="K415" s="60">
        <f>IFERROR(__xludf.DUMMYFUNCTION("IFERROR(VLOOKUP(C415,IMPORTRANGE(""https://docs.google.com/spreadsheets/d/1HZUHB8NvANAZR0sHDmHYVAm2WE9kNv0pGIQA48Ryim8/edit?gid=1285727875#gid=1285727875"",""Sheet1!A2:G""),7,0))"),276.23)</f>
        <v>276.23</v>
      </c>
      <c r="L415" s="62">
        <f t="shared" si="60"/>
        <v>4.271802483</v>
      </c>
      <c r="M415" s="60">
        <f>IFERROR(__xludf.DUMMYFUNCTION("IFERROR(VLOOKUP(C415,IMPORTRANGE(""https://docs.google.com/spreadsheets/d/1HZUHB8NvANAZR0sHDmHYVAm2WE9kNv0pGIQA48Ryim8/edit?gid=1285727875#gid=1285727875"",""Cost!A2:G""),7,0))"),306.0)</f>
        <v>306</v>
      </c>
      <c r="N415" s="62">
        <f t="shared" si="4"/>
        <v>4.215686275</v>
      </c>
      <c r="O415" s="28"/>
      <c r="P415" s="28"/>
      <c r="Q415" s="28"/>
      <c r="R415" s="28"/>
      <c r="S415" s="28"/>
      <c r="T415" s="28"/>
      <c r="U415" s="65"/>
      <c r="V415" s="28"/>
      <c r="W415" s="65"/>
      <c r="X415" s="66" t="s">
        <v>264</v>
      </c>
      <c r="Y415" s="65" t="str">
        <f t="shared" si="6"/>
        <v>VIRGO P6695</v>
      </c>
    </row>
    <row r="416">
      <c r="A416" s="18" t="s">
        <v>929</v>
      </c>
      <c r="B416" s="91" t="str">
        <f t="shared" si="65"/>
        <v>P6696</v>
      </c>
      <c r="C416" s="15" t="s">
        <v>1007</v>
      </c>
      <c r="D416" s="18" t="s">
        <v>268</v>
      </c>
      <c r="E416" s="75">
        <v>1880.0</v>
      </c>
      <c r="F416" s="39">
        <v>2080.0</v>
      </c>
      <c r="G416" s="50">
        <f t="shared" si="59"/>
        <v>0.1063829787</v>
      </c>
      <c r="H416" s="28"/>
      <c r="I416" s="55">
        <f t="shared" si="2"/>
        <v>2075.155952</v>
      </c>
      <c r="J416" s="81"/>
      <c r="K416" s="60">
        <f>IFERROR(__xludf.DUMMYFUNCTION("IFERROR(VLOOKUP(C416,IMPORTRANGE(""https://docs.google.com/spreadsheets/d/1HZUHB8NvANAZR0sHDmHYVAm2WE9kNv0pGIQA48Ryim8/edit?gid=1285727875#gid=1285727875"",""Sheet1!A2:G""),7,0))"),535.42)</f>
        <v>535.42</v>
      </c>
      <c r="L416" s="62">
        <f t="shared" si="60"/>
        <v>3.511262187</v>
      </c>
      <c r="M416" s="60">
        <f>IFERROR(__xludf.DUMMYFUNCTION("IFERROR(VLOOKUP(C416,IMPORTRANGE(""https://docs.google.com/spreadsheets/d/1HZUHB8NvANAZR0sHDmHYVAm2WE9kNv0pGIQA48Ryim8/edit?gid=1285727875#gid=1285727875"",""Cost!A2:G""),7,0))"),591.0)</f>
        <v>591</v>
      </c>
      <c r="N416" s="62">
        <f t="shared" si="4"/>
        <v>3.519458545</v>
      </c>
      <c r="O416" s="28"/>
      <c r="P416" s="28"/>
      <c r="Q416" s="28"/>
      <c r="R416" s="28"/>
      <c r="S416" s="28"/>
      <c r="T416" s="28"/>
      <c r="U416" s="65"/>
      <c r="V416" s="28"/>
      <c r="W416" s="65"/>
      <c r="X416" s="66" t="s">
        <v>267</v>
      </c>
      <c r="Y416" s="65" t="str">
        <f t="shared" si="6"/>
        <v>VIRGO P6696</v>
      </c>
    </row>
    <row r="417">
      <c r="A417" s="18" t="s">
        <v>929</v>
      </c>
      <c r="B417" s="91" t="str">
        <f t="shared" si="65"/>
        <v>P6698</v>
      </c>
      <c r="C417" s="15" t="s">
        <v>1008</v>
      </c>
      <c r="D417" s="18" t="s">
        <v>272</v>
      </c>
      <c r="E417" s="75">
        <v>2240.0</v>
      </c>
      <c r="F417" s="39">
        <v>2490.0</v>
      </c>
      <c r="G417" s="50">
        <f t="shared" si="59"/>
        <v>0.1116071429</v>
      </c>
      <c r="H417" s="28"/>
      <c r="I417" s="55">
        <f t="shared" si="2"/>
        <v>2488.147707</v>
      </c>
      <c r="J417" s="81"/>
      <c r="K417" s="60">
        <f>IFERROR(__xludf.DUMMYFUNCTION("IFERROR(VLOOKUP(C417,IMPORTRANGE(""https://docs.google.com/spreadsheets/d/1HZUHB8NvANAZR0sHDmHYVAm2WE9kNv0pGIQA48Ryim8/edit?gid=1285727875#gid=1285727875"",""Sheet1!A2:G""),7,0))"),671.6)</f>
        <v>671.6</v>
      </c>
      <c r="L417" s="62">
        <f t="shared" si="60"/>
        <v>3.335318642</v>
      </c>
      <c r="M417" s="60">
        <f>IFERROR(__xludf.DUMMYFUNCTION("IFERROR(VLOOKUP(C417,IMPORTRANGE(""https://docs.google.com/spreadsheets/d/1HZUHB8NvANAZR0sHDmHYVAm2WE9kNv0pGIQA48Ryim8/edit?gid=1285727875#gid=1285727875"",""Cost!A2:G""),7,0))"),746.0)</f>
        <v>746</v>
      </c>
      <c r="N417" s="62">
        <f t="shared" si="4"/>
        <v>3.337801609</v>
      </c>
      <c r="O417" s="28"/>
      <c r="P417" s="28"/>
      <c r="Q417" s="28"/>
      <c r="R417" s="28"/>
      <c r="S417" s="28"/>
      <c r="T417" s="28"/>
      <c r="U417" s="65"/>
      <c r="V417" s="28"/>
      <c r="W417" s="65"/>
      <c r="X417" s="66" t="s">
        <v>271</v>
      </c>
      <c r="Y417" s="65" t="str">
        <f t="shared" si="6"/>
        <v>VIRGO P6698</v>
      </c>
    </row>
    <row r="418">
      <c r="A418" s="18" t="s">
        <v>1011</v>
      </c>
      <c r="B418" s="91">
        <f t="shared" si="65"/>
        <v>6602</v>
      </c>
      <c r="C418" s="15">
        <v>6602.0</v>
      </c>
      <c r="D418" s="18" t="s">
        <v>15</v>
      </c>
      <c r="E418" s="75">
        <v>1770.0</v>
      </c>
      <c r="F418" s="39">
        <v>1960.0</v>
      </c>
      <c r="G418" s="50">
        <f t="shared" si="59"/>
        <v>0.1073446328</v>
      </c>
      <c r="H418" s="28"/>
      <c r="I418" s="55">
        <f t="shared" si="2"/>
        <v>1966.561108</v>
      </c>
      <c r="J418" s="81"/>
      <c r="K418" s="60">
        <f>IFERROR(__xludf.DUMMYFUNCTION("IFERROR(VLOOKUP(C418,IMPORTRANGE(""https://docs.google.com/spreadsheets/d/1HZUHB8NvANAZR0sHDmHYVAm2WE9kNv0pGIQA48Ryim8/edit?gid=1285727875#gid=1285727875"",""Sheet1!A2:G""),7,0))"),558.93)</f>
        <v>558.93</v>
      </c>
      <c r="L418" s="62">
        <f t="shared" si="60"/>
        <v>3.166765069</v>
      </c>
      <c r="M418" s="60">
        <f>IFERROR(__xludf.DUMMYFUNCTION("IFERROR(VLOOKUP(C418,IMPORTRANGE(""https://docs.google.com/spreadsheets/d/1HZUHB8NvANAZR0sHDmHYVAm2WE9kNv0pGIQA48Ryim8/edit?gid=1285727875#gid=1285727875"",""Cost!A2:G""),7,0))"),621.0)</f>
        <v>621</v>
      </c>
      <c r="N418" s="62">
        <f t="shared" si="4"/>
        <v>3.156199678</v>
      </c>
      <c r="O418" s="28"/>
      <c r="P418" s="28"/>
      <c r="Q418" s="28"/>
      <c r="R418" s="28"/>
      <c r="S418" s="28"/>
      <c r="T418" s="28"/>
      <c r="U418" s="65"/>
      <c r="V418" s="28"/>
      <c r="W418" s="65"/>
      <c r="X418" s="66" t="s">
        <v>303</v>
      </c>
      <c r="Y418" s="65" t="str">
        <f t="shared" si="6"/>
        <v>VINCENT 6602</v>
      </c>
    </row>
    <row r="419">
      <c r="A419" s="18" t="s">
        <v>1011</v>
      </c>
      <c r="B419" s="94" t="str">
        <f t="shared" si="65"/>
        <v>6603</v>
      </c>
      <c r="C419" s="95" t="s">
        <v>1014</v>
      </c>
      <c r="D419" s="18" t="s">
        <v>30</v>
      </c>
      <c r="E419" s="75">
        <v>3760.0</v>
      </c>
      <c r="F419" s="39">
        <v>3930.0</v>
      </c>
      <c r="G419" s="50">
        <f t="shared" si="59"/>
        <v>0.04521276596</v>
      </c>
      <c r="H419" s="28"/>
      <c r="I419" s="55">
        <f t="shared" si="2"/>
        <v>0</v>
      </c>
      <c r="J419" s="81"/>
      <c r="K419" s="60" t="str">
        <f>IFERROR(__xludf.DUMMYFUNCTION("IFERROR(VLOOKUP(C419,IMPORTRANGE(""https://docs.google.com/spreadsheets/d/1HZUHB8NvANAZR0sHDmHYVAm2WE9kNv0pGIQA48Ryim8/edit?gid=1285727875#gid=1285727875"",""Sheet1!A2:G""),7,0))"),"")</f>
        <v/>
      </c>
      <c r="L419" s="62" t="str">
        <f t="shared" si="60"/>
        <v/>
      </c>
      <c r="M419" s="60" t="str">
        <f>IFERROR(__xludf.DUMMYFUNCTION("IFERROR(VLOOKUP(C419,IMPORTRANGE(""https://docs.google.com/spreadsheets/d/1HZUHB8NvANAZR0sHDmHYVAm2WE9kNv0pGIQA48Ryim8/edit?gid=1285727875#gid=1285727875"",""Cost!A2:G""),7,0))"),"")</f>
        <v/>
      </c>
      <c r="N419" s="62" t="str">
        <f t="shared" si="4"/>
        <v/>
      </c>
      <c r="O419" s="28"/>
      <c r="P419" s="28"/>
      <c r="Q419" s="28"/>
      <c r="R419" s="28"/>
      <c r="S419" s="28"/>
      <c r="T419" s="28"/>
      <c r="U419" s="65"/>
      <c r="V419" s="28"/>
      <c r="W419" s="65"/>
      <c r="X419" s="66" t="s">
        <v>306</v>
      </c>
      <c r="Y419" s="65" t="str">
        <f t="shared" si="6"/>
        <v>VINCENT 6603</v>
      </c>
    </row>
    <row r="420">
      <c r="A420" s="18" t="s">
        <v>1011</v>
      </c>
      <c r="B420" s="91" t="str">
        <f t="shared" si="65"/>
        <v>6603-S</v>
      </c>
      <c r="C420" s="15" t="s">
        <v>1016</v>
      </c>
      <c r="D420" s="18" t="s">
        <v>39</v>
      </c>
      <c r="E420" s="75">
        <v>3550.0</v>
      </c>
      <c r="F420" s="39">
        <v>3940.0</v>
      </c>
      <c r="G420" s="50">
        <f t="shared" si="59"/>
        <v>0.1098591549</v>
      </c>
      <c r="H420" s="28"/>
      <c r="I420" s="55">
        <f t="shared" si="2"/>
        <v>3952.858362</v>
      </c>
      <c r="J420" s="81"/>
      <c r="K420" s="60">
        <f>IFERROR(__xludf.DUMMYFUNCTION("IFERROR(VLOOKUP(C420,IMPORTRANGE(""https://docs.google.com/spreadsheets/d/1HZUHB8NvANAZR0sHDmHYVAm2WE9kNv0pGIQA48Ryim8/edit?gid=1285727875#gid=1285727875"",""Sheet1!A2:G""),7,0))"),1172.0)</f>
        <v>1172</v>
      </c>
      <c r="L420" s="62">
        <f t="shared" si="60"/>
        <v>3.029010239</v>
      </c>
      <c r="M420" s="60">
        <f>IFERROR(__xludf.DUMMYFUNCTION("IFERROR(VLOOKUP(C420,IMPORTRANGE(""https://docs.google.com/spreadsheets/d/1HZUHB8NvANAZR0sHDmHYVAm2WE9kNv0pGIQA48Ryim8/edit?gid=1285727875#gid=1285727875"",""Cost!A2:G""),7,0))"),1305.0)</f>
        <v>1305</v>
      </c>
      <c r="N420" s="62">
        <f t="shared" si="4"/>
        <v>3.019157088</v>
      </c>
      <c r="O420" s="28"/>
      <c r="P420" s="28"/>
      <c r="Q420" s="28"/>
      <c r="R420" s="28"/>
      <c r="S420" s="28"/>
      <c r="T420" s="28"/>
      <c r="U420" s="65"/>
      <c r="V420" s="28"/>
      <c r="W420" s="65"/>
      <c r="X420" s="66" t="s">
        <v>662</v>
      </c>
      <c r="Y420" s="65" t="str">
        <f t="shared" si="6"/>
        <v>VINCENT 6603-S</v>
      </c>
    </row>
    <row r="421">
      <c r="A421" s="18" t="s">
        <v>1011</v>
      </c>
      <c r="B421" s="91">
        <f t="shared" si="65"/>
        <v>6604</v>
      </c>
      <c r="C421" s="15">
        <v>6604.0</v>
      </c>
      <c r="D421" s="18" t="s">
        <v>46</v>
      </c>
      <c r="E421" s="75">
        <v>2370.0</v>
      </c>
      <c r="F421" s="39">
        <v>2640.0</v>
      </c>
      <c r="G421" s="50">
        <f t="shared" si="59"/>
        <v>0.1139240506</v>
      </c>
      <c r="H421" s="28"/>
      <c r="I421" s="55">
        <f t="shared" si="2"/>
        <v>2960.459583</v>
      </c>
      <c r="J421" s="81"/>
      <c r="K421" s="60">
        <f>IFERROR(__xludf.DUMMYFUNCTION("IFERROR(VLOOKUP(C421,IMPORTRANGE(""https://docs.google.com/spreadsheets/d/1HZUHB8NvANAZR0sHDmHYVAm2WE9kNv0pGIQA48Ryim8/edit?gid=1285727875#gid=1285727875"",""Sheet1!A2:G""),7,0))"),638.84)</f>
        <v>638.84</v>
      </c>
      <c r="L421" s="62">
        <f t="shared" si="60"/>
        <v>3.709849101</v>
      </c>
      <c r="M421" s="60">
        <f>IFERROR(__xludf.DUMMYFUNCTION("IFERROR(VLOOKUP(C421,IMPORTRANGE(""https://docs.google.com/spreadsheets/d/1HZUHB8NvANAZR0sHDmHYVAm2WE9kNv0pGIQA48Ryim8/edit?gid=1285727875#gid=1285727875"",""Cost!A2:G""),7,0))"),798.0)</f>
        <v>798</v>
      </c>
      <c r="N421" s="62">
        <f t="shared" si="4"/>
        <v>3.308270677</v>
      </c>
      <c r="O421" s="28"/>
      <c r="P421" s="28"/>
      <c r="Q421" s="28"/>
      <c r="R421" s="28"/>
      <c r="S421" s="28"/>
      <c r="T421" s="28"/>
      <c r="U421" s="65"/>
      <c r="V421" s="28"/>
      <c r="W421" s="65"/>
      <c r="X421" s="66" t="s">
        <v>309</v>
      </c>
      <c r="Y421" s="65" t="str">
        <f t="shared" si="6"/>
        <v>VINCENT 6604</v>
      </c>
    </row>
    <row r="422">
      <c r="A422" s="18" t="s">
        <v>1011</v>
      </c>
      <c r="B422" s="91">
        <f t="shared" si="65"/>
        <v>6605</v>
      </c>
      <c r="C422" s="15">
        <v>6605.0</v>
      </c>
      <c r="D422" s="18" t="s">
        <v>59</v>
      </c>
      <c r="E422" s="75">
        <v>1270.0</v>
      </c>
      <c r="F422" s="39">
        <v>1390.0</v>
      </c>
      <c r="G422" s="50">
        <f t="shared" si="59"/>
        <v>0.09448818898</v>
      </c>
      <c r="H422" s="28"/>
      <c r="I422" s="55">
        <f t="shared" si="2"/>
        <v>1408.386207</v>
      </c>
      <c r="J422" s="81"/>
      <c r="K422" s="60">
        <f>IFERROR(__xludf.DUMMYFUNCTION("IFERROR(VLOOKUP(C422,IMPORTRANGE(""https://docs.google.com/spreadsheets/d/1HZUHB8NvANAZR0sHDmHYVAm2WE9kNv0pGIQA48Ryim8/edit?gid=1285727875#gid=1285727875"",""Sheet1!A2:G""),7,0))"),362.5)</f>
        <v>362.5</v>
      </c>
      <c r="L422" s="62">
        <f t="shared" si="60"/>
        <v>3.503448276</v>
      </c>
      <c r="M422" s="60">
        <f>IFERROR(__xludf.DUMMYFUNCTION("IFERROR(VLOOKUP(C422,IMPORTRANGE(""https://docs.google.com/spreadsheets/d/1HZUHB8NvANAZR0sHDmHYVAm2WE9kNv0pGIQA48Ryim8/edit?gid=1285727875#gid=1285727875"",""Cost!A2:G""),7,0))"),402.0)</f>
        <v>402</v>
      </c>
      <c r="N422" s="62">
        <f t="shared" si="4"/>
        <v>3.457711443</v>
      </c>
      <c r="O422" s="28"/>
      <c r="P422" s="28"/>
      <c r="Q422" s="28"/>
      <c r="R422" s="28"/>
      <c r="S422" s="28"/>
      <c r="T422" s="28"/>
      <c r="U422" s="65"/>
      <c r="V422" s="28"/>
      <c r="W422" s="65"/>
      <c r="X422" s="66" t="s">
        <v>663</v>
      </c>
      <c r="Y422" s="65" t="str">
        <f t="shared" si="6"/>
        <v>VINCENT 6605</v>
      </c>
    </row>
    <row r="423">
      <c r="A423" s="18" t="s">
        <v>1011</v>
      </c>
      <c r="B423" s="91">
        <f t="shared" si="65"/>
        <v>6606</v>
      </c>
      <c r="C423" s="15">
        <v>6606.0</v>
      </c>
      <c r="D423" s="18" t="s">
        <v>67</v>
      </c>
      <c r="E423" s="75">
        <v>1490.0</v>
      </c>
      <c r="F423" s="39">
        <v>1640.0</v>
      </c>
      <c r="G423" s="50">
        <f t="shared" si="59"/>
        <v>0.1006711409</v>
      </c>
      <c r="H423" s="28"/>
      <c r="I423" s="55">
        <f t="shared" si="2"/>
        <v>1654.382235</v>
      </c>
      <c r="J423" s="81"/>
      <c r="K423" s="60">
        <f>IFERROR(__xludf.DUMMYFUNCTION("IFERROR(VLOOKUP(C423,IMPORTRANGE(""https://docs.google.com/spreadsheets/d/1HZUHB8NvANAZR0sHDmHYVAm2WE9kNv0pGIQA48Ryim8/edit?gid=1285727875#gid=1285727875"",""Sheet1!A2:G""),7,0))"),423.3)</f>
        <v>423.3</v>
      </c>
      <c r="L423" s="62">
        <f t="shared" si="60"/>
        <v>3.519962202</v>
      </c>
      <c r="M423" s="60">
        <f>IFERROR(__xludf.DUMMYFUNCTION("IFERROR(VLOOKUP(C423,IMPORTRANGE(""https://docs.google.com/spreadsheets/d/1HZUHB8NvANAZR0sHDmHYVAm2WE9kNv0pGIQA48Ryim8/edit?gid=1285727875#gid=1285727875"",""Cost!A2:G""),7,0))"),470.0)</f>
        <v>470</v>
      </c>
      <c r="N423" s="62">
        <f t="shared" si="4"/>
        <v>3.489361702</v>
      </c>
      <c r="O423" s="28"/>
      <c r="P423" s="28"/>
      <c r="Q423" s="28"/>
      <c r="R423" s="28"/>
      <c r="S423" s="28"/>
      <c r="T423" s="28"/>
      <c r="U423" s="65"/>
      <c r="V423" s="28"/>
      <c r="W423" s="65"/>
      <c r="X423" s="66" t="s">
        <v>311</v>
      </c>
      <c r="Y423" s="65" t="str">
        <f t="shared" si="6"/>
        <v>VINCENT 6606</v>
      </c>
    </row>
    <row r="424">
      <c r="A424" s="18" t="s">
        <v>1011</v>
      </c>
      <c r="B424" s="15">
        <v>6607.0</v>
      </c>
      <c r="C424" s="15">
        <v>6607.0</v>
      </c>
      <c r="D424" s="18" t="s">
        <v>71</v>
      </c>
      <c r="E424" s="75">
        <f t="shared" ref="E424:F424" si="72">SUM(E425:E426)</f>
        <v>2730</v>
      </c>
      <c r="F424" s="75">
        <f t="shared" si="72"/>
        <v>2880</v>
      </c>
      <c r="G424" s="50">
        <f t="shared" si="59"/>
        <v>0.05494505495</v>
      </c>
      <c r="H424" s="28"/>
      <c r="I424" s="55">
        <f t="shared" si="2"/>
        <v>2947.38821</v>
      </c>
      <c r="J424" s="81"/>
      <c r="K424" s="60">
        <f>IFERROR(__xludf.DUMMYFUNCTION("IFERROR(VLOOKUP(C424,IMPORTRANGE(""https://docs.google.com/spreadsheets/d/1HZUHB8NvANAZR0sHDmHYVAm2WE9kNv0pGIQA48Ryim8/edit?gid=1285727875#gid=1285727875"",""Sheet1!A2:G""),7,0))"),744.7)</f>
        <v>744.7</v>
      </c>
      <c r="L424" s="62">
        <f t="shared" si="60"/>
        <v>3.665905734</v>
      </c>
      <c r="M424" s="60">
        <f>IFERROR(__xludf.DUMMYFUNCTION("IFERROR(VLOOKUP(C424,IMPORTRANGE(""https://docs.google.com/spreadsheets/d/1HZUHB8NvANAZR0sHDmHYVAm2WE9kNv0pGIQA48Ryim8/edit?gid=1285727875#gid=1285727875"",""Cost!A2:G""),7,0))"),804.0)</f>
        <v>804</v>
      </c>
      <c r="N424" s="62">
        <f t="shared" si="4"/>
        <v>3.582089552</v>
      </c>
      <c r="O424" s="28"/>
      <c r="P424" s="28"/>
      <c r="Q424" s="28"/>
      <c r="R424" s="28"/>
      <c r="S424" s="28"/>
      <c r="T424" s="28"/>
      <c r="U424" s="65"/>
      <c r="V424" s="28"/>
      <c r="W424" s="65"/>
      <c r="X424" s="66" t="s">
        <v>315</v>
      </c>
      <c r="Y424" s="65" t="str">
        <f t="shared" si="6"/>
        <v>VINCENT 6607</v>
      </c>
    </row>
    <row r="425">
      <c r="A425" s="18" t="s">
        <v>1011</v>
      </c>
      <c r="B425" s="15" t="s">
        <v>73</v>
      </c>
      <c r="C425" s="15" t="s">
        <v>73</v>
      </c>
      <c r="D425" s="18" t="s">
        <v>74</v>
      </c>
      <c r="E425" s="93">
        <v>1390.0</v>
      </c>
      <c r="F425" s="39">
        <v>1490.0</v>
      </c>
      <c r="G425" s="50">
        <f t="shared" si="59"/>
        <v>0.07194244604</v>
      </c>
      <c r="H425" s="28"/>
      <c r="I425" s="55">
        <f t="shared" si="2"/>
        <v>1515.459624</v>
      </c>
      <c r="J425" s="81"/>
      <c r="K425" s="60">
        <f>IFERROR(__xludf.DUMMYFUNCTION("IFERROR(VLOOKUP(C425,IMPORTRANGE(""https://docs.google.com/spreadsheets/d/1HZUHB8NvANAZR0sHDmHYVAm2WE9kNv0pGIQA48Ryim8/edit?gid=1285727875#gid=1285727875"",""Sheet1!A2:G""),7,0))"),408.16)</f>
        <v>408.16</v>
      </c>
      <c r="L425" s="62">
        <f t="shared" si="60"/>
        <v>3.405527244</v>
      </c>
      <c r="M425" s="60">
        <f>IFERROR(__xludf.DUMMYFUNCTION("IFERROR(VLOOKUP(C425,IMPORTRANGE(""https://docs.google.com/spreadsheets/d/1HZUHB8NvANAZR0sHDmHYVAm2WE9kNv0pGIQA48Ryim8/edit?gid=1285727875#gid=1285727875"",""Cost!A2:G""),7,0))"),445.0)</f>
        <v>445</v>
      </c>
      <c r="N425" s="62">
        <f t="shared" si="4"/>
        <v>3.348314607</v>
      </c>
      <c r="O425" s="28"/>
      <c r="P425" s="28"/>
      <c r="Q425" s="28"/>
      <c r="R425" s="28"/>
      <c r="S425" s="28"/>
      <c r="T425" s="28"/>
      <c r="U425" s="65"/>
      <c r="V425" s="28"/>
      <c r="W425" s="65"/>
      <c r="X425" s="66" t="s">
        <v>73</v>
      </c>
      <c r="Y425" s="65" t="str">
        <f t="shared" si="6"/>
        <v>VINCENT 66CP-07</v>
      </c>
    </row>
    <row r="426">
      <c r="A426" s="18" t="s">
        <v>1011</v>
      </c>
      <c r="B426" s="15" t="s">
        <v>1018</v>
      </c>
      <c r="C426" s="15" t="s">
        <v>1018</v>
      </c>
      <c r="D426" s="18" t="s">
        <v>78</v>
      </c>
      <c r="E426" s="93">
        <v>1340.0</v>
      </c>
      <c r="F426" s="39">
        <v>1390.0</v>
      </c>
      <c r="G426" s="50">
        <f t="shared" si="59"/>
        <v>0.03731343284</v>
      </c>
      <c r="H426" s="28"/>
      <c r="I426" s="55">
        <f t="shared" si="2"/>
        <v>1353.317796</v>
      </c>
      <c r="J426" s="81"/>
      <c r="K426" s="60">
        <f>IFERROR(__xludf.DUMMYFUNCTION("IFERROR(VLOOKUP(C426,IMPORTRANGE(""https://docs.google.com/spreadsheets/d/1HZUHB8NvANAZR0sHDmHYVAm2WE9kNv0pGIQA48Ryim8/edit?gid=1285727875#gid=1285727875"",""Sheet1!A2:G""),7,0))"),373.29)</f>
        <v>373.29</v>
      </c>
      <c r="L426" s="62">
        <f t="shared" si="60"/>
        <v>3.589702376</v>
      </c>
      <c r="M426" s="60">
        <f>IFERROR(__xludf.DUMMYFUNCTION("IFERROR(VLOOKUP(C426,IMPORTRANGE(""https://docs.google.com/spreadsheets/d/1HZUHB8NvANAZR0sHDmHYVAm2WE9kNv0pGIQA48Ryim8/edit?gid=1285727875#gid=1285727875"",""Cost!A2:G""),7,0))"),377.0)</f>
        <v>377</v>
      </c>
      <c r="N426" s="62">
        <f t="shared" si="4"/>
        <v>3.687002653</v>
      </c>
      <c r="O426" s="28"/>
      <c r="P426" s="28"/>
      <c r="Q426" s="28"/>
      <c r="R426" s="28"/>
      <c r="S426" s="28"/>
      <c r="T426" s="28"/>
      <c r="U426" s="65"/>
      <c r="V426" s="28"/>
      <c r="W426" s="65"/>
      <c r="X426" s="66" t="s">
        <v>77</v>
      </c>
      <c r="Y426" s="65" t="str">
        <f t="shared" si="6"/>
        <v>VINCENT 66CP</v>
      </c>
    </row>
    <row r="427">
      <c r="A427" s="18" t="s">
        <v>1011</v>
      </c>
      <c r="B427" s="91">
        <f t="shared" ref="B427:B473" si="73">C427</f>
        <v>6608</v>
      </c>
      <c r="C427" s="15">
        <v>6608.0</v>
      </c>
      <c r="D427" s="18" t="s">
        <v>81</v>
      </c>
      <c r="E427" s="39">
        <v>1590.0</v>
      </c>
      <c r="F427" s="39">
        <v>1720.0</v>
      </c>
      <c r="G427" s="50">
        <f t="shared" si="59"/>
        <v>0.08176100629</v>
      </c>
      <c r="H427" s="28"/>
      <c r="I427" s="55">
        <f t="shared" si="2"/>
        <v>1765.323194</v>
      </c>
      <c r="J427" s="81"/>
      <c r="K427" s="60">
        <f>IFERROR(__xludf.DUMMYFUNCTION("IFERROR(VLOOKUP(C427,IMPORTRANGE(""https://docs.google.com/spreadsheets/d/1HZUHB8NvANAZR0sHDmHYVAm2WE9kNv0pGIQA48Ryim8/edit?gid=1285727875#gid=1285727875"",""Sheet1!A2:G""),7,0))"),460.25)</f>
        <v>460.25</v>
      </c>
      <c r="L427" s="62">
        <f t="shared" si="60"/>
        <v>3.454644215</v>
      </c>
      <c r="M427" s="60">
        <f>IFERROR(__xludf.DUMMYFUNCTION("IFERROR(VLOOKUP(C427,IMPORTRANGE(""https://docs.google.com/spreadsheets/d/1HZUHB8NvANAZR0sHDmHYVAm2WE9kNv0pGIQA48Ryim8/edit?gid=1285727875#gid=1285727875"",""Cost!A2:G""),7,0))"),511.0)</f>
        <v>511</v>
      </c>
      <c r="N427" s="62">
        <f t="shared" si="4"/>
        <v>3.365949119</v>
      </c>
      <c r="O427" s="28"/>
      <c r="P427" s="28"/>
      <c r="Q427" s="28"/>
      <c r="R427" s="28"/>
      <c r="S427" s="28"/>
      <c r="T427" s="28"/>
      <c r="U427" s="65"/>
      <c r="V427" s="28"/>
      <c r="W427" s="65"/>
      <c r="X427" s="66" t="s">
        <v>321</v>
      </c>
      <c r="Y427" s="65" t="str">
        <f t="shared" si="6"/>
        <v>VINCENT 6608</v>
      </c>
    </row>
    <row r="428">
      <c r="A428" s="18" t="s">
        <v>1011</v>
      </c>
      <c r="B428" s="91">
        <f t="shared" si="73"/>
        <v>6610</v>
      </c>
      <c r="C428" s="15">
        <v>6610.0</v>
      </c>
      <c r="D428" s="18" t="s">
        <v>89</v>
      </c>
      <c r="E428" s="75">
        <v>1020.0</v>
      </c>
      <c r="F428" s="39">
        <v>1090.0</v>
      </c>
      <c r="G428" s="50">
        <f t="shared" si="59"/>
        <v>0.06862745098</v>
      </c>
      <c r="H428" s="28"/>
      <c r="I428" s="55">
        <f t="shared" si="2"/>
        <v>1164.629763</v>
      </c>
      <c r="J428" s="81"/>
      <c r="K428" s="60">
        <f>IFERROR(__xludf.DUMMYFUNCTION("IFERROR(VLOOKUP(C428,IMPORTRANGE(""https://docs.google.com/spreadsheets/d/1HZUHB8NvANAZR0sHDmHYVAm2WE9kNv0pGIQA48Ryim8/edit?gid=1285727875#gid=1285727875"",""Sheet1!A2:G""),7,0))"),236.47)</f>
        <v>236.47</v>
      </c>
      <c r="L428" s="62">
        <f t="shared" si="60"/>
        <v>4.313443566</v>
      </c>
      <c r="M428" s="60">
        <f>IFERROR(__xludf.DUMMYFUNCTION("IFERROR(VLOOKUP(C428,IMPORTRANGE(""https://docs.google.com/spreadsheets/d/1HZUHB8NvANAZR0sHDmHYVAm2WE9kNv0pGIQA48Ryim8/edit?gid=1285727875#gid=1285727875"",""Cost!A2:G""),7,0))"),270.0)</f>
        <v>270</v>
      </c>
      <c r="N428" s="62">
        <f t="shared" si="4"/>
        <v>4.037037037</v>
      </c>
      <c r="O428" s="28"/>
      <c r="P428" s="28"/>
      <c r="Q428" s="28"/>
      <c r="R428" s="28"/>
      <c r="S428" s="28"/>
      <c r="T428" s="28"/>
      <c r="U428" s="65"/>
      <c r="V428" s="28"/>
      <c r="W428" s="65"/>
      <c r="X428" s="66" t="s">
        <v>87</v>
      </c>
      <c r="Y428" s="65" t="str">
        <f t="shared" si="6"/>
        <v>VINCENT 6610</v>
      </c>
    </row>
    <row r="429">
      <c r="A429" s="18" t="s">
        <v>1011</v>
      </c>
      <c r="B429" s="91">
        <f t="shared" si="73"/>
        <v>6611</v>
      </c>
      <c r="C429" s="15">
        <v>6611.0</v>
      </c>
      <c r="D429" s="18" t="s">
        <v>94</v>
      </c>
      <c r="E429" s="75">
        <v>1770.0</v>
      </c>
      <c r="F429" s="39">
        <v>1890.0</v>
      </c>
      <c r="G429" s="50">
        <f t="shared" si="59"/>
        <v>0.06779661017</v>
      </c>
      <c r="H429" s="28"/>
      <c r="I429" s="55">
        <f t="shared" si="2"/>
        <v>2011.125577</v>
      </c>
      <c r="J429" s="81"/>
      <c r="K429" s="60">
        <f>IFERROR(__xludf.DUMMYFUNCTION("IFERROR(VLOOKUP(C429,IMPORTRANGE(""https://docs.google.com/spreadsheets/d/1HZUHB8NvANAZR0sHDmHYVAm2WE9kNv0pGIQA48Ryim8/edit?gid=1285727875#gid=1285727875"",""Sheet1!A2:G""),7,0))"),506.94)</f>
        <v>506.94</v>
      </c>
      <c r="L429" s="62">
        <f t="shared" si="60"/>
        <v>3.49153746</v>
      </c>
      <c r="M429" s="60">
        <f>IFERROR(__xludf.DUMMYFUNCTION("IFERROR(VLOOKUP(C429,IMPORTRANGE(""https://docs.google.com/spreadsheets/d/1HZUHB8NvANAZR0sHDmHYVAm2WE9kNv0pGIQA48Ryim8/edit?gid=1285727875#gid=1285727875"",""Cost!A2:G""),7,0))"),576.0)</f>
        <v>576</v>
      </c>
      <c r="N429" s="62">
        <f t="shared" si="4"/>
        <v>3.28125</v>
      </c>
      <c r="O429" s="28"/>
      <c r="P429" s="28"/>
      <c r="Q429" s="28"/>
      <c r="R429" s="28"/>
      <c r="S429" s="28"/>
      <c r="T429" s="28"/>
      <c r="U429" s="65"/>
      <c r="V429" s="28"/>
      <c r="W429" s="65"/>
      <c r="X429" s="66" t="s">
        <v>91</v>
      </c>
      <c r="Y429" s="65" t="str">
        <f t="shared" si="6"/>
        <v>VINCENT 6611</v>
      </c>
    </row>
    <row r="430">
      <c r="A430" s="18" t="s">
        <v>1011</v>
      </c>
      <c r="B430" s="91">
        <f t="shared" si="73"/>
        <v>6612</v>
      </c>
      <c r="C430" s="15">
        <v>6612.0</v>
      </c>
      <c r="D430" s="18" t="s">
        <v>97</v>
      </c>
      <c r="E430" s="39">
        <v>2390.0</v>
      </c>
      <c r="F430" s="39">
        <v>2580.0</v>
      </c>
      <c r="G430" s="50">
        <f t="shared" si="59"/>
        <v>0.07949790795</v>
      </c>
      <c r="H430" s="28"/>
      <c r="I430" s="55">
        <f t="shared" si="2"/>
        <v>2692.929824</v>
      </c>
      <c r="J430" s="81"/>
      <c r="K430" s="60">
        <f>IFERROR(__xludf.DUMMYFUNCTION("IFERROR(VLOOKUP(C430,IMPORTRANGE(""https://docs.google.com/spreadsheets/d/1HZUHB8NvANAZR0sHDmHYVAm2WE9kNv0pGIQA48Ryim8/edit?gid=1285727875#gid=1285727875"",""Sheet1!A2:G""),7,0))"),723.32)</f>
        <v>723.32</v>
      </c>
      <c r="L430" s="62">
        <f t="shared" si="60"/>
        <v>3.304208373</v>
      </c>
      <c r="M430" s="60">
        <f>IFERROR(__xludf.DUMMYFUNCTION("IFERROR(VLOOKUP(C430,IMPORTRANGE(""https://docs.google.com/spreadsheets/d/1HZUHB8NvANAZR0sHDmHYVAm2WE9kNv0pGIQA48Ryim8/edit?gid=1285727875#gid=1285727875"",""Cost!A2:G""),7,0))"),815.0)</f>
        <v>815</v>
      </c>
      <c r="N430" s="62">
        <f t="shared" si="4"/>
        <v>3.165644172</v>
      </c>
      <c r="O430" s="28"/>
      <c r="P430" s="28"/>
      <c r="Q430" s="28"/>
      <c r="R430" s="28"/>
      <c r="S430" s="28"/>
      <c r="T430" s="28"/>
      <c r="U430" s="65"/>
      <c r="V430" s="28"/>
      <c r="W430" s="65"/>
      <c r="X430" s="66" t="s">
        <v>95</v>
      </c>
      <c r="Y430" s="65" t="str">
        <f t="shared" si="6"/>
        <v>VINCENT 6612</v>
      </c>
    </row>
    <row r="431">
      <c r="A431" s="18" t="s">
        <v>1011</v>
      </c>
      <c r="B431" s="91">
        <f t="shared" si="73"/>
        <v>6613</v>
      </c>
      <c r="C431" s="15">
        <v>6613.0</v>
      </c>
      <c r="D431" s="18" t="s">
        <v>101</v>
      </c>
      <c r="E431" s="39">
        <v>2190.0</v>
      </c>
      <c r="F431" s="39">
        <v>2360.0</v>
      </c>
      <c r="G431" s="50">
        <f t="shared" si="59"/>
        <v>0.07762557078</v>
      </c>
      <c r="H431" s="28"/>
      <c r="I431" s="55">
        <f t="shared" si="2"/>
        <v>2465.927702</v>
      </c>
      <c r="J431" s="81"/>
      <c r="K431" s="60">
        <f>IFERROR(__xludf.DUMMYFUNCTION("IFERROR(VLOOKUP(C431,IMPORTRANGE(""https://docs.google.com/spreadsheets/d/1HZUHB8NvANAZR0sHDmHYVAm2WE9kNv0pGIQA48Ryim8/edit?gid=1285727875#gid=1285727875"",""Sheet1!A2:G""),7,0))"),683.84)</f>
        <v>683.84</v>
      </c>
      <c r="L431" s="62">
        <f t="shared" si="60"/>
        <v>3.20250351</v>
      </c>
      <c r="M431" s="60">
        <f>IFERROR(__xludf.DUMMYFUNCTION("IFERROR(VLOOKUP(C431,IMPORTRANGE(""https://docs.google.com/spreadsheets/d/1HZUHB8NvANAZR0sHDmHYVAm2WE9kNv0pGIQA48Ryim8/edit?gid=1285727875#gid=1285727875"",""Cost!A2:G""),7,0))"),770.0)</f>
        <v>770</v>
      </c>
      <c r="N431" s="62">
        <f t="shared" si="4"/>
        <v>3.064935065</v>
      </c>
      <c r="O431" s="28"/>
      <c r="P431" s="28"/>
      <c r="Q431" s="28"/>
      <c r="R431" s="28"/>
      <c r="S431" s="28"/>
      <c r="T431" s="28"/>
      <c r="U431" s="65"/>
      <c r="V431" s="28"/>
      <c r="W431" s="65"/>
      <c r="X431" s="66" t="s">
        <v>100</v>
      </c>
      <c r="Y431" s="65" t="str">
        <f t="shared" si="6"/>
        <v>VINCENT 6613</v>
      </c>
    </row>
    <row r="432">
      <c r="A432" s="18" t="s">
        <v>1011</v>
      </c>
      <c r="B432" s="91">
        <f t="shared" si="73"/>
        <v>6614</v>
      </c>
      <c r="C432" s="15">
        <v>6614.0</v>
      </c>
      <c r="D432" s="18" t="s">
        <v>106</v>
      </c>
      <c r="E432" s="39">
        <v>2090.0</v>
      </c>
      <c r="F432" s="39">
        <v>2180.0</v>
      </c>
      <c r="G432" s="50">
        <f t="shared" si="59"/>
        <v>0.04306220096</v>
      </c>
      <c r="H432" s="28"/>
      <c r="I432" s="55">
        <f t="shared" si="2"/>
        <v>2316.194474</v>
      </c>
      <c r="J432" s="81"/>
      <c r="K432" s="60">
        <f>IFERROR(__xludf.DUMMYFUNCTION("IFERROR(VLOOKUP(C432,IMPORTRANGE(""https://docs.google.com/spreadsheets/d/1HZUHB8NvANAZR0sHDmHYVAm2WE9kNv0pGIQA48Ryim8/edit?gid=1285727875#gid=1285727875"",""Sheet1!A2:G""),7,0))"),543.21)</f>
        <v>543.21</v>
      </c>
      <c r="L432" s="62">
        <f t="shared" si="60"/>
        <v>3.847499126</v>
      </c>
      <c r="M432" s="60">
        <f>IFERROR(__xludf.DUMMYFUNCTION("IFERROR(VLOOKUP(C432,IMPORTRANGE(""https://docs.google.com/spreadsheets/d/1HZUHB8NvANAZR0sHDmHYVAm2WE9kNv0pGIQA48Ryim8/edit?gid=1285727875#gid=1285727875"",""Cost!A2:G""),7,0))"),602.0)</f>
        <v>602</v>
      </c>
      <c r="N432" s="62">
        <f t="shared" si="4"/>
        <v>3.621262458</v>
      </c>
      <c r="O432" s="28"/>
      <c r="P432" s="28"/>
      <c r="Q432" s="28"/>
      <c r="R432" s="28"/>
      <c r="S432" s="28"/>
      <c r="T432" s="28"/>
      <c r="U432" s="65"/>
      <c r="V432" s="28"/>
      <c r="W432" s="65"/>
      <c r="X432" s="66" t="s">
        <v>104</v>
      </c>
      <c r="Y432" s="65" t="str">
        <f t="shared" si="6"/>
        <v>VINCENT 6614</v>
      </c>
    </row>
    <row r="433">
      <c r="A433" s="18" t="s">
        <v>1011</v>
      </c>
      <c r="B433" s="91">
        <f t="shared" si="73"/>
        <v>6616</v>
      </c>
      <c r="C433" s="15">
        <v>6616.0</v>
      </c>
      <c r="D433" s="18" t="s">
        <v>112</v>
      </c>
      <c r="E433" s="39">
        <v>1890.0</v>
      </c>
      <c r="F433" s="39">
        <v>1990.0</v>
      </c>
      <c r="G433" s="50">
        <f t="shared" si="59"/>
        <v>0.05291005291</v>
      </c>
      <c r="H433" s="28"/>
      <c r="I433" s="55">
        <f t="shared" si="2"/>
        <v>2094.760053</v>
      </c>
      <c r="J433" s="81"/>
      <c r="K433" s="60">
        <f>IFERROR(__xludf.DUMMYFUNCTION("IFERROR(VLOOKUP(C433,IMPORTRANGE(""https://docs.google.com/spreadsheets/d/1HZUHB8NvANAZR0sHDmHYVAm2WE9kNv0pGIQA48Ryim8/edit?gid=1285727875#gid=1285727875"",""Sheet1!A2:G""),7,0))"),516.99)</f>
        <v>516.99</v>
      </c>
      <c r="L433" s="62">
        <f t="shared" si="60"/>
        <v>3.655776707</v>
      </c>
      <c r="M433" s="60">
        <f>IFERROR(__xludf.DUMMYFUNCTION("IFERROR(VLOOKUP(C433,IMPORTRANGE(""https://docs.google.com/spreadsheets/d/1HZUHB8NvANAZR0sHDmHYVAm2WE9kNv0pGIQA48Ryim8/edit?gid=1285727875#gid=1285727875"",""Cost!A2:G""),7,0))"),573.0)</f>
        <v>573</v>
      </c>
      <c r="N433" s="62">
        <f t="shared" si="4"/>
        <v>3.472949389</v>
      </c>
      <c r="O433" s="28"/>
      <c r="P433" s="28"/>
      <c r="Q433" s="28"/>
      <c r="R433" s="28"/>
      <c r="S433" s="28"/>
      <c r="T433" s="28"/>
      <c r="U433" s="65"/>
      <c r="V433" s="28"/>
      <c r="W433" s="65"/>
      <c r="X433" s="66" t="s">
        <v>110</v>
      </c>
      <c r="Y433" s="65" t="str">
        <f t="shared" si="6"/>
        <v>VINCENT 6616</v>
      </c>
    </row>
    <row r="434">
      <c r="A434" s="18" t="s">
        <v>1011</v>
      </c>
      <c r="B434" s="91">
        <f t="shared" si="73"/>
        <v>6618</v>
      </c>
      <c r="C434" s="15">
        <v>6618.0</v>
      </c>
      <c r="D434" s="18" t="s">
        <v>119</v>
      </c>
      <c r="E434" s="39">
        <v>1350.0</v>
      </c>
      <c r="F434" s="39">
        <v>1450.0</v>
      </c>
      <c r="G434" s="50">
        <f t="shared" si="59"/>
        <v>0.07407407407</v>
      </c>
      <c r="H434" s="28"/>
      <c r="I434" s="55">
        <f t="shared" si="2"/>
        <v>1522.174894</v>
      </c>
      <c r="J434" s="81"/>
      <c r="K434" s="60">
        <f>IFERROR(__xludf.DUMMYFUNCTION("IFERROR(VLOOKUP(C434,IMPORTRANGE(""https://docs.google.com/spreadsheets/d/1HZUHB8NvANAZR0sHDmHYVAm2WE9kNv0pGIQA48Ryim8/edit?gid=1285727875#gid=1285727875"",""Sheet1!A2:G""),7,0))"),359.19)</f>
        <v>359.19</v>
      </c>
      <c r="L434" s="62">
        <f t="shared" si="60"/>
        <v>3.758456527</v>
      </c>
      <c r="M434" s="60">
        <f>IFERROR(__xludf.DUMMYFUNCTION("IFERROR(VLOOKUP(C434,IMPORTRANGE(""https://docs.google.com/spreadsheets/d/1HZUHB8NvANAZR0sHDmHYVAm2WE9kNv0pGIQA48Ryim8/edit?gid=1285727875#gid=1285727875"",""Cost!A2:G""),7,0))"),405.0)</f>
        <v>405</v>
      </c>
      <c r="N434" s="62">
        <f t="shared" si="4"/>
        <v>3.580246914</v>
      </c>
      <c r="O434" s="28"/>
      <c r="P434" s="28"/>
      <c r="Q434" s="28"/>
      <c r="R434" s="28"/>
      <c r="S434" s="28"/>
      <c r="T434" s="28"/>
      <c r="U434" s="65"/>
      <c r="V434" s="28"/>
      <c r="W434" s="65"/>
      <c r="X434" s="66" t="s">
        <v>117</v>
      </c>
      <c r="Y434" s="65" t="str">
        <f t="shared" si="6"/>
        <v>VINCENT 6618</v>
      </c>
    </row>
    <row r="435">
      <c r="A435" s="18" t="s">
        <v>1011</v>
      </c>
      <c r="B435" s="91">
        <f t="shared" si="73"/>
        <v>6620</v>
      </c>
      <c r="C435" s="15">
        <v>6620.0</v>
      </c>
      <c r="D435" s="18" t="s">
        <v>122</v>
      </c>
      <c r="E435" s="39">
        <v>1390.0</v>
      </c>
      <c r="F435" s="39">
        <v>1490.0</v>
      </c>
      <c r="G435" s="50">
        <f t="shared" si="59"/>
        <v>0.07194244604</v>
      </c>
      <c r="H435" s="28"/>
      <c r="I435" s="55">
        <f t="shared" si="2"/>
        <v>1577.534603</v>
      </c>
      <c r="J435" s="81"/>
      <c r="K435" s="60">
        <f>IFERROR(__xludf.DUMMYFUNCTION("IFERROR(VLOOKUP(C435,IMPORTRANGE(""https://docs.google.com/spreadsheets/d/1HZUHB8NvANAZR0sHDmHYVAm2WE9kNv0pGIQA48Ryim8/edit?gid=1285727875#gid=1285727875"",""Sheet1!A2:G""),7,0))"),369.19)</f>
        <v>369.19</v>
      </c>
      <c r="L435" s="62">
        <f t="shared" si="60"/>
        <v>3.764999052</v>
      </c>
      <c r="M435" s="60">
        <f>IFERROR(__xludf.DUMMYFUNCTION("IFERROR(VLOOKUP(C435,IMPORTRANGE(""https://docs.google.com/spreadsheets/d/1HZUHB8NvANAZR0sHDmHYVAm2WE9kNv0pGIQA48Ryim8/edit?gid=1285727875#gid=1285727875"",""Cost!A2:G""),7,0))"),419.0)</f>
        <v>419</v>
      </c>
      <c r="N435" s="62">
        <f t="shared" si="4"/>
        <v>3.556085919</v>
      </c>
      <c r="O435" s="28"/>
      <c r="P435" s="28"/>
      <c r="Q435" s="28"/>
      <c r="R435" s="28"/>
      <c r="S435" s="28"/>
      <c r="T435" s="28"/>
      <c r="U435" s="65"/>
      <c r="V435" s="28"/>
      <c r="W435" s="65"/>
      <c r="X435" s="66" t="s">
        <v>120</v>
      </c>
      <c r="Y435" s="65" t="str">
        <f t="shared" si="6"/>
        <v>VINCENT 6620</v>
      </c>
    </row>
    <row r="436">
      <c r="A436" s="18" t="s">
        <v>1011</v>
      </c>
      <c r="B436" s="91">
        <f t="shared" si="73"/>
        <v>6650</v>
      </c>
      <c r="C436" s="15">
        <v>6650.0</v>
      </c>
      <c r="D436" s="18" t="s">
        <v>136</v>
      </c>
      <c r="E436" s="39">
        <v>3580.0</v>
      </c>
      <c r="F436" s="39">
        <v>3840.0</v>
      </c>
      <c r="G436" s="50">
        <f t="shared" si="59"/>
        <v>0.07262569832</v>
      </c>
      <c r="H436" s="28"/>
      <c r="I436" s="55">
        <f t="shared" si="2"/>
        <v>4005.233004</v>
      </c>
      <c r="J436" s="81"/>
      <c r="K436" s="60">
        <f>IFERROR(__xludf.DUMMYFUNCTION("IFERROR(VLOOKUP(C436,IMPORTRANGE(""https://docs.google.com/spreadsheets/d/1HZUHB8NvANAZR0sHDmHYVAm2WE9kNv0pGIQA48Ryim8/edit?gid=1285727875#gid=1285727875"",""Sheet1!A2:G""),7,0))"),886.68)</f>
        <v>886.68</v>
      </c>
      <c r="L436" s="62">
        <f t="shared" si="60"/>
        <v>4.03753327</v>
      </c>
      <c r="M436" s="60">
        <f>IFERROR(__xludf.DUMMYFUNCTION("IFERROR(VLOOKUP(C436,IMPORTRANGE(""https://docs.google.com/spreadsheets/d/1HZUHB8NvANAZR0sHDmHYVAm2WE9kNv0pGIQA48Ryim8/edit?gid=1285727875#gid=1285727875"",""Cost!A2:G""),7,0))"),992.0)</f>
        <v>992</v>
      </c>
      <c r="N436" s="62">
        <f t="shared" si="4"/>
        <v>3.870967742</v>
      </c>
      <c r="O436" s="28"/>
      <c r="P436" s="28"/>
      <c r="Q436" s="28"/>
      <c r="R436" s="28"/>
      <c r="S436" s="28"/>
      <c r="T436" s="28"/>
      <c r="U436" s="65"/>
      <c r="V436" s="28"/>
      <c r="W436" s="65"/>
      <c r="X436" s="66" t="s">
        <v>134</v>
      </c>
      <c r="Y436" s="65" t="str">
        <f t="shared" si="6"/>
        <v>VINCENT 6650</v>
      </c>
    </row>
    <row r="437">
      <c r="A437" s="18" t="s">
        <v>1011</v>
      </c>
      <c r="B437" s="91">
        <f t="shared" si="73"/>
        <v>6651</v>
      </c>
      <c r="C437" s="15">
        <v>6651.0</v>
      </c>
      <c r="D437" s="18" t="s">
        <v>141</v>
      </c>
      <c r="E437" s="39">
        <v>3980.0</v>
      </c>
      <c r="F437" s="39">
        <v>4240.0</v>
      </c>
      <c r="G437" s="50">
        <f t="shared" si="59"/>
        <v>0.06532663317</v>
      </c>
      <c r="H437" s="28"/>
      <c r="I437" s="55">
        <f t="shared" si="2"/>
        <v>4446.927374</v>
      </c>
      <c r="J437" s="81"/>
      <c r="K437" s="60">
        <f>IFERROR(__xludf.DUMMYFUNCTION("IFERROR(VLOOKUP(C437,IMPORTRANGE(""https://docs.google.com/spreadsheets/d/1HZUHB8NvANAZR0sHDmHYVAm2WE9kNv0pGIQA48Ryim8/edit?gid=1285727875#gid=1285727875"",""Sheet1!A2:G""),7,0))"),1032.83)</f>
        <v>1032.83</v>
      </c>
      <c r="L437" s="62">
        <f t="shared" si="60"/>
        <v>3.853489926</v>
      </c>
      <c r="M437" s="60">
        <f>IFERROR(__xludf.DUMMYFUNCTION("IFERROR(VLOOKUP(C437,IMPORTRANGE(""https://docs.google.com/spreadsheets/d/1HZUHB8NvANAZR0sHDmHYVAm2WE9kNv0pGIQA48Ryim8/edit?gid=1285727875#gid=1285727875"",""Cost!A2:G""),7,0))"),1154.0)</f>
        <v>1154</v>
      </c>
      <c r="N437" s="62">
        <f t="shared" si="4"/>
        <v>3.674176776</v>
      </c>
      <c r="O437" s="28"/>
      <c r="P437" s="28"/>
      <c r="Q437" s="28"/>
      <c r="R437" s="28"/>
      <c r="S437" s="28"/>
      <c r="T437" s="28"/>
      <c r="U437" s="65"/>
      <c r="V437" s="28"/>
      <c r="W437" s="65"/>
      <c r="X437" s="66" t="s">
        <v>139</v>
      </c>
      <c r="Y437" s="65" t="str">
        <f t="shared" si="6"/>
        <v>VINCENT 6651</v>
      </c>
    </row>
    <row r="438">
      <c r="A438" s="18" t="s">
        <v>1011</v>
      </c>
      <c r="B438" s="91">
        <f t="shared" si="73"/>
        <v>6652</v>
      </c>
      <c r="C438" s="15">
        <v>6652.0</v>
      </c>
      <c r="D438" s="18" t="s">
        <v>147</v>
      </c>
      <c r="E438" s="75">
        <v>6150.0</v>
      </c>
      <c r="F438" s="39">
        <v>6740.0</v>
      </c>
      <c r="G438" s="50">
        <f t="shared" si="59"/>
        <v>0.09593495935</v>
      </c>
      <c r="H438" s="28"/>
      <c r="I438" s="55">
        <f t="shared" si="2"/>
        <v>6853.07336</v>
      </c>
      <c r="J438" s="81"/>
      <c r="K438" s="60">
        <f>IFERROR(__xludf.DUMMYFUNCTION("IFERROR(VLOOKUP(C438,IMPORTRANGE(""https://docs.google.com/spreadsheets/d/1HZUHB8NvANAZR0sHDmHYVAm2WE9kNv0pGIQA48Ryim8/edit?gid=1285727875#gid=1285727875"",""Sheet1!A2:G""),7,0))"),1893.53)</f>
        <v>1893.53</v>
      </c>
      <c r="L438" s="62">
        <f t="shared" si="60"/>
        <v>3.247902067</v>
      </c>
      <c r="M438" s="60">
        <f>IFERROR(__xludf.DUMMYFUNCTION("IFERROR(VLOOKUP(C438,IMPORTRANGE(""https://docs.google.com/spreadsheets/d/1HZUHB8NvANAZR0sHDmHYVAm2WE9kNv0pGIQA48Ryim8/edit?gid=1285727875#gid=1285727875"",""Cost!A2:G""),7,0))"),2110.0)</f>
        <v>2110</v>
      </c>
      <c r="N438" s="62">
        <f t="shared" si="4"/>
        <v>3.194312796</v>
      </c>
      <c r="O438" s="28"/>
      <c r="P438" s="28"/>
      <c r="Q438" s="28"/>
      <c r="R438" s="28"/>
      <c r="S438" s="28"/>
      <c r="T438" s="28"/>
      <c r="U438" s="65"/>
      <c r="V438" s="28"/>
      <c r="W438" s="65"/>
      <c r="X438" s="66" t="s">
        <v>144</v>
      </c>
      <c r="Y438" s="65" t="str">
        <f t="shared" si="6"/>
        <v>VINCENT 6652</v>
      </c>
    </row>
    <row r="439">
      <c r="A439" s="18" t="s">
        <v>1011</v>
      </c>
      <c r="B439" s="91">
        <f t="shared" si="73"/>
        <v>6654</v>
      </c>
      <c r="C439" s="15">
        <v>6654.0</v>
      </c>
      <c r="D439" s="18" t="s">
        <v>152</v>
      </c>
      <c r="E439" s="75">
        <f t="shared" ref="E439:F439" si="74">SUM(E440:E441)</f>
        <v>6140</v>
      </c>
      <c r="F439" s="75">
        <f t="shared" si="74"/>
        <v>6450</v>
      </c>
      <c r="G439" s="50">
        <f t="shared" si="59"/>
        <v>0.05048859935</v>
      </c>
      <c r="H439" s="28"/>
      <c r="I439" s="55">
        <f t="shared" si="2"/>
        <v>6658.929329</v>
      </c>
      <c r="J439" s="81"/>
      <c r="K439" s="60">
        <f>IFERROR(__xludf.DUMMYFUNCTION("IFERROR(VLOOKUP(C439,IMPORTRANGE(""https://docs.google.com/spreadsheets/d/1HZUHB8NvANAZR0sHDmHYVAm2WE9kNv0pGIQA48Ryim8/edit?gid=1285727875#gid=1285727875"",""Sheet1!A2:G""),7,0))"),1603.48)</f>
        <v>1603.48</v>
      </c>
      <c r="L439" s="62">
        <f t="shared" si="60"/>
        <v>3.829171552</v>
      </c>
      <c r="M439" s="60">
        <f>IFERROR(__xludf.DUMMYFUNCTION("IFERROR(VLOOKUP(C439,IMPORTRANGE(""https://docs.google.com/spreadsheets/d/1HZUHB8NvANAZR0sHDmHYVAm2WE9kNv0pGIQA48Ryim8/edit?gid=1285727875#gid=1285727875"",""Cost!A2:G""),7,0))"),1739.0)</f>
        <v>1739</v>
      </c>
      <c r="N439" s="62">
        <f t="shared" si="4"/>
        <v>3.709028177</v>
      </c>
      <c r="O439" s="28"/>
      <c r="P439" s="28"/>
      <c r="Q439" s="28"/>
      <c r="R439" s="28"/>
      <c r="S439" s="28"/>
      <c r="T439" s="28"/>
      <c r="U439" s="65"/>
      <c r="V439" s="28"/>
      <c r="W439" s="65"/>
      <c r="X439" s="66" t="s">
        <v>150</v>
      </c>
      <c r="Y439" s="65" t="str">
        <f t="shared" si="6"/>
        <v>VINCENT 6654</v>
      </c>
    </row>
    <row r="440">
      <c r="A440" s="18" t="s">
        <v>1011</v>
      </c>
      <c r="B440" s="91" t="str">
        <f t="shared" si="73"/>
        <v>BD-40</v>
      </c>
      <c r="C440" s="15" t="s">
        <v>154</v>
      </c>
      <c r="D440" s="18" t="s">
        <v>156</v>
      </c>
      <c r="E440" s="39">
        <v>3680.0</v>
      </c>
      <c r="F440" s="39">
        <v>3990.0</v>
      </c>
      <c r="G440" s="50">
        <f t="shared" si="59"/>
        <v>0.08423913043</v>
      </c>
      <c r="H440" s="28"/>
      <c r="I440" s="55">
        <f t="shared" si="2"/>
        <v>4075.59981</v>
      </c>
      <c r="J440" s="81"/>
      <c r="K440" s="60">
        <f>IFERROR(__xludf.DUMMYFUNCTION("IFERROR(VLOOKUP(C440,IMPORTRANGE(""https://docs.google.com/spreadsheets/d/1HZUHB8NvANAZR0sHDmHYVAm2WE9kNv0pGIQA48Ryim8/edit?gid=1285727875#gid=1285727875"",""Sheet1!A2:G""),7,0))"),966.14)</f>
        <v>966.14</v>
      </c>
      <c r="L440" s="62">
        <f t="shared" si="60"/>
        <v>3.808971785</v>
      </c>
      <c r="M440" s="60">
        <f>IFERROR(__xludf.DUMMYFUNCTION("IFERROR(VLOOKUP(C440,IMPORTRANGE(""https://docs.google.com/spreadsheets/d/1HZUHB8NvANAZR0sHDmHYVAm2WE9kNv0pGIQA48Ryim8/edit?gid=1285727875#gid=1285727875"",""Cost!A2:G""),7,0))"),1070.0)</f>
        <v>1070</v>
      </c>
      <c r="N440" s="62">
        <f t="shared" si="4"/>
        <v>3.728971963</v>
      </c>
      <c r="O440" s="28"/>
      <c r="P440" s="28"/>
      <c r="Q440" s="28"/>
      <c r="R440" s="28"/>
      <c r="S440" s="28"/>
      <c r="T440" s="28"/>
      <c r="U440" s="65"/>
      <c r="V440" s="28"/>
      <c r="W440" s="65"/>
      <c r="X440" s="66" t="s">
        <v>154</v>
      </c>
      <c r="Y440" s="65" t="str">
        <f t="shared" si="6"/>
        <v>VINCENT 66BD-40</v>
      </c>
    </row>
    <row r="441">
      <c r="A441" s="18" t="s">
        <v>1011</v>
      </c>
      <c r="B441" s="91" t="str">
        <f t="shared" si="73"/>
        <v>BB-66</v>
      </c>
      <c r="C441" s="15" t="s">
        <v>1022</v>
      </c>
      <c r="D441" s="18" t="s">
        <v>78</v>
      </c>
      <c r="E441" s="39">
        <v>2460.0</v>
      </c>
      <c r="F441" s="39">
        <v>2460.0</v>
      </c>
      <c r="G441" s="50">
        <f t="shared" si="59"/>
        <v>0</v>
      </c>
      <c r="H441" s="28"/>
      <c r="I441" s="55">
        <f t="shared" si="2"/>
        <v>2682.362187</v>
      </c>
      <c r="J441" s="81"/>
      <c r="K441" s="60">
        <f>IFERROR(__xludf.DUMMYFUNCTION("IFERROR(VLOOKUP(C441,IMPORTRANGE(""https://docs.google.com/spreadsheets/d/1HZUHB8NvANAZR0sHDmHYVAm2WE9kNv0pGIQA48Ryim8/edit?gid=1285727875#gid=1285727875"",""Sheet1!A2:G""),7,0))"),610.79)</f>
        <v>610.79</v>
      </c>
      <c r="L441" s="62">
        <f t="shared" si="60"/>
        <v>4.027570851</v>
      </c>
      <c r="M441" s="60">
        <f>IFERROR(__xludf.DUMMYFUNCTION("IFERROR(VLOOKUP(C441,IMPORTRANGE(""https://docs.google.com/spreadsheets/d/1HZUHB8NvANAZR0sHDmHYVAm2WE9kNv0pGIQA48Ryim8/edit?gid=1285727875#gid=1285727875"",""Cost!A2:G""),7,0))"),666.0)</f>
        <v>666</v>
      </c>
      <c r="N441" s="62">
        <f t="shared" si="4"/>
        <v>3.693693694</v>
      </c>
      <c r="O441" s="28"/>
      <c r="P441" s="28"/>
      <c r="Q441" s="28"/>
      <c r="R441" s="28"/>
      <c r="S441" s="28"/>
      <c r="T441" s="28"/>
      <c r="U441" s="65"/>
      <c r="V441" s="28"/>
      <c r="W441" s="65"/>
      <c r="X441" s="66" t="s">
        <v>159</v>
      </c>
      <c r="Y441" s="65" t="str">
        <f t="shared" si="6"/>
        <v>VINCENT 66BB</v>
      </c>
    </row>
    <row r="442">
      <c r="A442" s="18" t="s">
        <v>1011</v>
      </c>
      <c r="B442" s="91" t="str">
        <f t="shared" si="73"/>
        <v>6654-S</v>
      </c>
      <c r="C442" s="82" t="s">
        <v>1027</v>
      </c>
      <c r="D442" s="18" t="s">
        <v>152</v>
      </c>
      <c r="E442" s="75">
        <f>SUM(E443:E444)</f>
        <v>5740</v>
      </c>
      <c r="F442" s="83" t="s">
        <v>202</v>
      </c>
      <c r="G442" s="50" t="str">
        <f t="shared" si="59"/>
        <v/>
      </c>
      <c r="H442" s="28"/>
      <c r="I442" s="55">
        <f t="shared" si="2"/>
        <v>0</v>
      </c>
      <c r="J442" s="81"/>
      <c r="K442" s="60" t="str">
        <f>IFERROR(__xludf.DUMMYFUNCTION("IFERROR(VLOOKUP(C442,IMPORTRANGE(""https://docs.google.com/spreadsheets/d/1HZUHB8NvANAZR0sHDmHYVAm2WE9kNv0pGIQA48Ryim8/edit?gid=1285727875#gid=1285727875"",""Sheet1!A2:G""),7,0))"),"")</f>
        <v/>
      </c>
      <c r="L442" s="62" t="str">
        <f t="shared" si="60"/>
        <v/>
      </c>
      <c r="M442" s="60" t="str">
        <f>IFERROR(__xludf.DUMMYFUNCTION("IFERROR(VLOOKUP(C442,IMPORTRANGE(""https://docs.google.com/spreadsheets/d/1HZUHB8NvANAZR0sHDmHYVAm2WE9kNv0pGIQA48Ryim8/edit?gid=1285727875#gid=1285727875"",""Cost!A2:G""),7,0))"),"")</f>
        <v/>
      </c>
      <c r="N442" s="62" t="str">
        <f t="shared" si="4"/>
        <v/>
      </c>
      <c r="O442" s="28"/>
      <c r="P442" s="28"/>
      <c r="Q442" s="28"/>
      <c r="R442" s="28"/>
      <c r="S442" s="28"/>
      <c r="T442" s="28"/>
      <c r="U442" s="65"/>
      <c r="V442" s="28"/>
      <c r="W442" s="65"/>
      <c r="X442" s="66" t="s">
        <v>342</v>
      </c>
      <c r="Y442" s="65" t="str">
        <f t="shared" si="6"/>
        <v>VINCENT 6654-S</v>
      </c>
    </row>
    <row r="443">
      <c r="A443" s="18" t="s">
        <v>1011</v>
      </c>
      <c r="B443" s="91" t="str">
        <f t="shared" si="73"/>
        <v>BD-40</v>
      </c>
      <c r="C443" s="82" t="s">
        <v>154</v>
      </c>
      <c r="D443" s="18" t="s">
        <v>156</v>
      </c>
      <c r="E443" s="39">
        <v>3680.0</v>
      </c>
      <c r="F443" s="83" t="s">
        <v>202</v>
      </c>
      <c r="G443" s="50" t="str">
        <f t="shared" si="59"/>
        <v/>
      </c>
      <c r="H443" s="28"/>
      <c r="I443" s="55">
        <f t="shared" si="2"/>
        <v>4075.59981</v>
      </c>
      <c r="J443" s="81"/>
      <c r="K443" s="60">
        <f>IFERROR(__xludf.DUMMYFUNCTION("IFERROR(VLOOKUP(C443,IMPORTRANGE(""https://docs.google.com/spreadsheets/d/1HZUHB8NvANAZR0sHDmHYVAm2WE9kNv0pGIQA48Ryim8/edit?gid=1285727875#gid=1285727875"",""Sheet1!A2:G""),7,0))"),966.14)</f>
        <v>966.14</v>
      </c>
      <c r="L443" s="62">
        <f t="shared" si="60"/>
        <v>3.808971785</v>
      </c>
      <c r="M443" s="60">
        <f>IFERROR(__xludf.DUMMYFUNCTION("IFERROR(VLOOKUP(C443,IMPORTRANGE(""https://docs.google.com/spreadsheets/d/1HZUHB8NvANAZR0sHDmHYVAm2WE9kNv0pGIQA48Ryim8/edit?gid=1285727875#gid=1285727875"",""Cost!A2:G""),7,0))"),1070.0)</f>
        <v>1070</v>
      </c>
      <c r="N443" s="62" t="str">
        <f t="shared" si="4"/>
        <v/>
      </c>
      <c r="O443" s="28"/>
      <c r="P443" s="28"/>
      <c r="Q443" s="28"/>
      <c r="R443" s="28"/>
      <c r="S443" s="28"/>
      <c r="T443" s="28"/>
      <c r="U443" s="65"/>
      <c r="V443" s="28"/>
      <c r="W443" s="65"/>
      <c r="X443" s="66" t="s">
        <v>154</v>
      </c>
      <c r="Y443" s="65" t="str">
        <f t="shared" si="6"/>
        <v>VINCENT 66BD-40</v>
      </c>
    </row>
    <row r="444">
      <c r="A444" s="18" t="s">
        <v>1011</v>
      </c>
      <c r="B444" s="91" t="str">
        <f t="shared" si="73"/>
        <v>BB-66-S</v>
      </c>
      <c r="C444" s="82" t="s">
        <v>1028</v>
      </c>
      <c r="D444" s="18" t="s">
        <v>78</v>
      </c>
      <c r="E444" s="39">
        <v>2060.0</v>
      </c>
      <c r="F444" s="83" t="s">
        <v>202</v>
      </c>
      <c r="G444" s="50" t="str">
        <f t="shared" si="59"/>
        <v/>
      </c>
      <c r="H444" s="28"/>
      <c r="I444" s="55">
        <f t="shared" si="2"/>
        <v>0</v>
      </c>
      <c r="J444" s="81"/>
      <c r="K444" s="60" t="str">
        <f>IFERROR(__xludf.DUMMYFUNCTION("IFERROR(VLOOKUP(C444,IMPORTRANGE(""https://docs.google.com/spreadsheets/d/1HZUHB8NvANAZR0sHDmHYVAm2WE9kNv0pGIQA48Ryim8/edit?gid=1285727875#gid=1285727875"",""Sheet1!A2:G""),7,0))"),"")</f>
        <v/>
      </c>
      <c r="L444" s="62" t="str">
        <f t="shared" si="60"/>
        <v/>
      </c>
      <c r="M444" s="60" t="str">
        <f>IFERROR(__xludf.DUMMYFUNCTION("IFERROR(VLOOKUP(C444,IMPORTRANGE(""https://docs.google.com/spreadsheets/d/1HZUHB8NvANAZR0sHDmHYVAm2WE9kNv0pGIQA48Ryim8/edit?gid=1285727875#gid=1285727875"",""Cost!A2:G""),7,0))"),"")</f>
        <v/>
      </c>
      <c r="N444" s="62" t="str">
        <f t="shared" si="4"/>
        <v/>
      </c>
      <c r="O444" s="28"/>
      <c r="P444" s="28"/>
      <c r="Q444" s="28"/>
      <c r="R444" s="28"/>
      <c r="S444" s="28"/>
      <c r="T444" s="28"/>
      <c r="U444" s="65"/>
      <c r="V444" s="28"/>
      <c r="W444" s="65"/>
      <c r="X444" s="66" t="s">
        <v>159</v>
      </c>
      <c r="Y444" s="65" t="str">
        <f t="shared" si="6"/>
        <v>VINCENT 66BB</v>
      </c>
    </row>
    <row r="445">
      <c r="A445" s="18" t="s">
        <v>1011</v>
      </c>
      <c r="B445" s="91">
        <f t="shared" si="73"/>
        <v>6655</v>
      </c>
      <c r="C445" s="15">
        <v>6655.0</v>
      </c>
      <c r="D445" s="18" t="s">
        <v>164</v>
      </c>
      <c r="E445" s="75">
        <v>3970.0</v>
      </c>
      <c r="F445" s="39">
        <v>4280.0</v>
      </c>
      <c r="G445" s="50">
        <f t="shared" si="59"/>
        <v>0.07808564232</v>
      </c>
      <c r="H445" s="28"/>
      <c r="I445" s="55">
        <f t="shared" si="2"/>
        <v>4408.948564</v>
      </c>
      <c r="J445" s="81"/>
      <c r="K445" s="60">
        <f>IFERROR(__xludf.DUMMYFUNCTION("IFERROR(VLOOKUP(C445,IMPORTRANGE(""https://docs.google.com/spreadsheets/d/1HZUHB8NvANAZR0sHDmHYVAm2WE9kNv0pGIQA48Ryim8/edit?gid=1285727875#gid=1285727875"",""Sheet1!A2:G""),7,0))"),999.49)</f>
        <v>999.49</v>
      </c>
      <c r="L445" s="62">
        <f t="shared" si="60"/>
        <v>3.972025733</v>
      </c>
      <c r="M445" s="60">
        <f>IFERROR(__xludf.DUMMYFUNCTION("IFERROR(VLOOKUP(C445,IMPORTRANGE(""https://docs.google.com/spreadsheets/d/1HZUHB8NvANAZR0sHDmHYVAm2WE9kNv0pGIQA48Ryim8/edit?gid=1285727875#gid=1285727875"",""Cost!A2:G""),7,0))"),1110.0)</f>
        <v>1110</v>
      </c>
      <c r="N445" s="62">
        <f t="shared" si="4"/>
        <v>3.855855856</v>
      </c>
      <c r="O445" s="28"/>
      <c r="P445" s="28"/>
      <c r="Q445" s="28"/>
      <c r="R445" s="28"/>
      <c r="S445" s="28"/>
      <c r="T445" s="28"/>
      <c r="U445" s="65"/>
      <c r="V445" s="28"/>
      <c r="W445" s="65"/>
      <c r="X445" s="66" t="s">
        <v>162</v>
      </c>
      <c r="Y445" s="65" t="str">
        <f t="shared" si="6"/>
        <v>VINCENT 6655</v>
      </c>
    </row>
    <row r="446">
      <c r="A446" s="18" t="s">
        <v>1011</v>
      </c>
      <c r="B446" s="91">
        <f t="shared" si="73"/>
        <v>6665</v>
      </c>
      <c r="C446" s="15">
        <v>6665.0</v>
      </c>
      <c r="D446" s="18" t="s">
        <v>182</v>
      </c>
      <c r="E446" s="75">
        <v>4840.0</v>
      </c>
      <c r="F446" s="39">
        <v>5180.0</v>
      </c>
      <c r="G446" s="50">
        <f t="shared" si="59"/>
        <v>0.07024793388</v>
      </c>
      <c r="H446" s="28"/>
      <c r="I446" s="55">
        <f t="shared" si="2"/>
        <v>5371.50011</v>
      </c>
      <c r="J446" s="81"/>
      <c r="K446" s="60">
        <f>IFERROR(__xludf.DUMMYFUNCTION("IFERROR(VLOOKUP(C446,IMPORTRANGE(""https://docs.google.com/spreadsheets/d/1HZUHB8NvANAZR0sHDmHYVAm2WE9kNv0pGIQA48Ryim8/edit?gid=1285727875#gid=1285727875"",""Sheet1!A2:G""),7,0))"),1182.18)</f>
        <v>1182.18</v>
      </c>
      <c r="L446" s="62">
        <f t="shared" si="60"/>
        <v>4.094131181</v>
      </c>
      <c r="M446" s="60">
        <f>IFERROR(__xludf.DUMMYFUNCTION("IFERROR(VLOOKUP(C446,IMPORTRANGE(""https://docs.google.com/spreadsheets/d/1HZUHB8NvANAZR0sHDmHYVAm2WE9kNv0pGIQA48Ryim8/edit?gid=1285727875#gid=1285727875"",""Cost!A2:G""),7,0))"),1312.0)</f>
        <v>1312</v>
      </c>
      <c r="N446" s="62">
        <f t="shared" si="4"/>
        <v>3.948170732</v>
      </c>
      <c r="O446" s="28"/>
      <c r="P446" s="28"/>
      <c r="Q446" s="28"/>
      <c r="R446" s="28"/>
      <c r="S446" s="28"/>
      <c r="T446" s="28"/>
      <c r="U446" s="65"/>
      <c r="V446" s="28"/>
      <c r="W446" s="65"/>
      <c r="X446" s="66" t="s">
        <v>181</v>
      </c>
      <c r="Y446" s="65" t="str">
        <f t="shared" si="6"/>
        <v>VINCENT 6665</v>
      </c>
    </row>
    <row r="447">
      <c r="A447" s="18" t="s">
        <v>1011</v>
      </c>
      <c r="B447" s="91">
        <f t="shared" si="73"/>
        <v>6670</v>
      </c>
      <c r="C447" s="15">
        <v>6670.0</v>
      </c>
      <c r="D447" s="18" t="s">
        <v>186</v>
      </c>
      <c r="E447" s="39">
        <v>5980.0</v>
      </c>
      <c r="F447" s="39">
        <v>6480.0</v>
      </c>
      <c r="G447" s="50">
        <f t="shared" si="59"/>
        <v>0.08361204013</v>
      </c>
      <c r="H447" s="28"/>
      <c r="I447" s="55">
        <f t="shared" si="2"/>
        <v>6686.183591</v>
      </c>
      <c r="J447" s="81"/>
      <c r="K447" s="60">
        <f>IFERROR(__xludf.DUMMYFUNCTION("IFERROR(VLOOKUP(C447,IMPORTRANGE(""https://docs.google.com/spreadsheets/d/1HZUHB8NvANAZR0sHDmHYVAm2WE9kNv0pGIQA48Ryim8/edit?gid=1285727875#gid=1285727875"",""Sheet1!A2:G""),7,0))"),1677.86)</f>
        <v>1677.86</v>
      </c>
      <c r="L447" s="62">
        <f t="shared" si="60"/>
        <v>3.564063748</v>
      </c>
      <c r="M447" s="60">
        <f>IFERROR(__xludf.DUMMYFUNCTION("IFERROR(VLOOKUP(C447,IMPORTRANGE(""https://docs.google.com/spreadsheets/d/1HZUHB8NvANAZR0sHDmHYVAm2WE9kNv0pGIQA48Ryim8/edit?gid=1285727875#gid=1285727875"",""Cost!A2:G""),7,0))"),1876.0)</f>
        <v>1876</v>
      </c>
      <c r="N447" s="62">
        <f t="shared" si="4"/>
        <v>3.454157783</v>
      </c>
      <c r="O447" s="28"/>
      <c r="P447" s="28"/>
      <c r="Q447" s="28"/>
      <c r="R447" s="28"/>
      <c r="S447" s="28"/>
      <c r="T447" s="28"/>
      <c r="U447" s="65"/>
      <c r="V447" s="28"/>
      <c r="W447" s="65"/>
      <c r="X447" s="66" t="s">
        <v>184</v>
      </c>
      <c r="Y447" s="65" t="str">
        <f t="shared" si="6"/>
        <v>VINCENT 6670</v>
      </c>
    </row>
    <row r="448">
      <c r="A448" s="18" t="s">
        <v>1011</v>
      </c>
      <c r="B448" s="91">
        <f t="shared" si="73"/>
        <v>6675</v>
      </c>
      <c r="C448" s="15">
        <v>6675.0</v>
      </c>
      <c r="D448" s="18" t="s">
        <v>196</v>
      </c>
      <c r="E448" s="39">
        <v>5980.0</v>
      </c>
      <c r="F448" s="39">
        <v>6480.0</v>
      </c>
      <c r="G448" s="50">
        <f t="shared" si="59"/>
        <v>0.08361204013</v>
      </c>
      <c r="H448" s="28"/>
      <c r="I448" s="55">
        <f t="shared" si="2"/>
        <v>6672.417989</v>
      </c>
      <c r="J448" s="81"/>
      <c r="K448" s="60">
        <f>IFERROR(__xludf.DUMMYFUNCTION("IFERROR(VLOOKUP(C448,IMPORTRANGE(""https://docs.google.com/spreadsheets/d/1HZUHB8NvANAZR0sHDmHYVAm2WE9kNv0pGIQA48Ryim8/edit?gid=1285727875#gid=1285727875"",""Sheet1!A2:G""),7,0))"),1643.68)</f>
        <v>1643.68</v>
      </c>
      <c r="L448" s="62">
        <f t="shared" si="60"/>
        <v>3.638177747</v>
      </c>
      <c r="M448" s="60">
        <f>IFERROR(__xludf.DUMMYFUNCTION("IFERROR(VLOOKUP(C448,IMPORTRANGE(""https://docs.google.com/spreadsheets/d/1HZUHB8NvANAZR0sHDmHYVAm2WE9kNv0pGIQA48Ryim8/edit?gid=1285727875#gid=1285727875"",""Cost!A2:G""),7,0))"),1834.0)</f>
        <v>1834</v>
      </c>
      <c r="N448" s="62">
        <f t="shared" si="4"/>
        <v>3.533260632</v>
      </c>
      <c r="O448" s="28"/>
      <c r="P448" s="28"/>
      <c r="Q448" s="28"/>
      <c r="R448" s="28"/>
      <c r="S448" s="28"/>
      <c r="T448" s="28"/>
      <c r="U448" s="65"/>
      <c r="V448" s="28"/>
      <c r="W448" s="65"/>
      <c r="X448" s="66" t="s">
        <v>194</v>
      </c>
      <c r="Y448" s="65" t="str">
        <f t="shared" si="6"/>
        <v>VINCENT 6675</v>
      </c>
    </row>
    <row r="449">
      <c r="A449" s="18" t="s">
        <v>1011</v>
      </c>
      <c r="B449" s="91">
        <f t="shared" si="73"/>
        <v>6680</v>
      </c>
      <c r="C449" s="15">
        <v>6680.0</v>
      </c>
      <c r="D449" s="18" t="s">
        <v>205</v>
      </c>
      <c r="E449" s="39">
        <v>6780.0</v>
      </c>
      <c r="F449" s="39">
        <v>7480.0</v>
      </c>
      <c r="G449" s="50">
        <f t="shared" si="59"/>
        <v>0.1032448378</v>
      </c>
      <c r="H449" s="28"/>
      <c r="I449" s="55">
        <f t="shared" si="2"/>
        <v>7556.798835</v>
      </c>
      <c r="J449" s="81"/>
      <c r="K449" s="60">
        <f>IFERROR(__xludf.DUMMYFUNCTION("IFERROR(VLOOKUP(C449,IMPORTRANGE(""https://docs.google.com/spreadsheets/d/1HZUHB8NvANAZR0sHDmHYVAm2WE9kNv0pGIQA48Ryim8/edit?gid=1285727875#gid=1285727875"",""Sheet1!A2:G""),7,0))"),1826.71)</f>
        <v>1826.71</v>
      </c>
      <c r="L449" s="62">
        <f t="shared" si="60"/>
        <v>3.711590783</v>
      </c>
      <c r="M449" s="60">
        <f>IFERROR(__xludf.DUMMYFUNCTION("IFERROR(VLOOKUP(C449,IMPORTRANGE(""https://docs.google.com/spreadsheets/d/1HZUHB8NvANAZR0sHDmHYVAm2WE9kNv0pGIQA48Ryim8/edit?gid=1285727875#gid=1285727875"",""Cost!A2:G""),7,0))"),2036.0)</f>
        <v>2036</v>
      </c>
      <c r="N449" s="62">
        <f t="shared" si="4"/>
        <v>3.673870334</v>
      </c>
      <c r="O449" s="28"/>
      <c r="P449" s="28"/>
      <c r="Q449" s="28"/>
      <c r="R449" s="28"/>
      <c r="S449" s="28"/>
      <c r="T449" s="28"/>
      <c r="U449" s="65"/>
      <c r="V449" s="28"/>
      <c r="W449" s="65"/>
      <c r="X449" s="66" t="s">
        <v>203</v>
      </c>
      <c r="Y449" s="65" t="str">
        <f t="shared" si="6"/>
        <v>VINCENT 6680</v>
      </c>
    </row>
    <row r="450">
      <c r="A450" s="18" t="s">
        <v>1011</v>
      </c>
      <c r="B450" s="91" t="str">
        <f t="shared" si="73"/>
        <v>6691-N</v>
      </c>
      <c r="C450" s="15" t="s">
        <v>1031</v>
      </c>
      <c r="D450" s="18" t="s">
        <v>210</v>
      </c>
      <c r="E450" s="75">
        <f t="shared" ref="E450:F450" si="75">SUM(E451:E452)</f>
        <v>6020</v>
      </c>
      <c r="F450" s="75">
        <f t="shared" si="75"/>
        <v>6560</v>
      </c>
      <c r="G450" s="50">
        <f t="shared" si="59"/>
        <v>0.08970099668</v>
      </c>
      <c r="H450" s="28"/>
      <c r="I450" s="55">
        <f t="shared" si="2"/>
        <v>6622.618735</v>
      </c>
      <c r="J450" s="81"/>
      <c r="K450" s="60">
        <f>IFERROR(__xludf.DUMMYFUNCTION("IFERROR(VLOOKUP(C450,IMPORTRANGE(""https://docs.google.com/spreadsheets/d/1HZUHB8NvANAZR0sHDmHYVAm2WE9kNv0pGIQA48Ryim8/edit?gid=1285727875#gid=1285727875"",""Sheet1!A2:G""),7,0))"),1673.48)</f>
        <v>1673.48</v>
      </c>
      <c r="L450" s="62">
        <f t="shared" si="60"/>
        <v>3.597294261</v>
      </c>
      <c r="M450" s="60">
        <f>IFERROR(__xludf.DUMMYFUNCTION("IFERROR(VLOOKUP(C450,IMPORTRANGE(""https://docs.google.com/spreadsheets/d/1HZUHB8NvANAZR0sHDmHYVAm2WE9kNv0pGIQA48Ryim8/edit?gid=1285727875#gid=1285727875"",""Cost!A2:G""),7,0))"),1841.0)</f>
        <v>1841</v>
      </c>
      <c r="N450" s="62">
        <f t="shared" si="4"/>
        <v>3.563280826</v>
      </c>
      <c r="O450" s="28"/>
      <c r="P450" s="28"/>
      <c r="Q450" s="28"/>
      <c r="R450" s="28"/>
      <c r="S450" s="28"/>
      <c r="T450" s="28"/>
      <c r="U450" s="65"/>
      <c r="V450" s="28"/>
      <c r="W450" s="65"/>
      <c r="X450" s="66" t="s">
        <v>209</v>
      </c>
      <c r="Y450" s="65" t="str">
        <f t="shared" si="6"/>
        <v>VINCENT 6691</v>
      </c>
    </row>
    <row r="451">
      <c r="A451" s="18" t="s">
        <v>1011</v>
      </c>
      <c r="B451" s="91" t="str">
        <f t="shared" si="73"/>
        <v>PD-40-N</v>
      </c>
      <c r="C451" s="15" t="s">
        <v>212</v>
      </c>
      <c r="D451" s="18" t="s">
        <v>214</v>
      </c>
      <c r="E451" s="39">
        <v>4240.0</v>
      </c>
      <c r="F451" s="39">
        <v>4580.0</v>
      </c>
      <c r="G451" s="50">
        <f t="shared" si="59"/>
        <v>0.08018867925</v>
      </c>
      <c r="H451" s="28"/>
      <c r="I451" s="55">
        <f t="shared" si="2"/>
        <v>4549.622554</v>
      </c>
      <c r="J451" s="81"/>
      <c r="K451" s="60">
        <f>IFERROR(__xludf.DUMMYFUNCTION("IFERROR(VLOOKUP(C451,IMPORTRANGE(""https://docs.google.com/spreadsheets/d/1HZUHB8NvANAZR0sHDmHYVAm2WE9kNv0pGIQA48Ryim8/edit?gid=1285727875#gid=1285727875"",""Sheet1!A2:G""),7,0))"),1298.2)</f>
        <v>1298.2</v>
      </c>
      <c r="L451" s="62">
        <f t="shared" si="60"/>
        <v>3.266060699</v>
      </c>
      <c r="M451" s="60">
        <f>IFERROR(__xludf.DUMMYFUNCTION("IFERROR(VLOOKUP(C451,IMPORTRANGE(""https://docs.google.com/spreadsheets/d/1HZUHB8NvANAZR0sHDmHYVAm2WE9kNv0pGIQA48Ryim8/edit?gid=1285727875#gid=1285727875"",""Cost!A2:G""),7,0))"),1393.0)</f>
        <v>1393</v>
      </c>
      <c r="N451" s="62">
        <f t="shared" si="4"/>
        <v>3.287867911</v>
      </c>
      <c r="O451" s="28"/>
      <c r="P451" s="28"/>
      <c r="Q451" s="28"/>
      <c r="R451" s="28"/>
      <c r="S451" s="28"/>
      <c r="T451" s="28"/>
      <c r="U451" s="65"/>
      <c r="V451" s="28"/>
      <c r="W451" s="65"/>
      <c r="X451" s="66" t="s">
        <v>212</v>
      </c>
      <c r="Y451" s="65" t="str">
        <f t="shared" si="6"/>
        <v>VINCENT 66PD-40-N</v>
      </c>
    </row>
    <row r="452">
      <c r="A452" s="18" t="s">
        <v>1011</v>
      </c>
      <c r="B452" s="91" t="str">
        <f t="shared" si="73"/>
        <v>DB-66-N</v>
      </c>
      <c r="C452" s="15" t="s">
        <v>1032</v>
      </c>
      <c r="D452" s="18" t="s">
        <v>217</v>
      </c>
      <c r="E452" s="39">
        <v>1780.0</v>
      </c>
      <c r="F452" s="39">
        <v>1980.0</v>
      </c>
      <c r="G452" s="50">
        <f t="shared" si="59"/>
        <v>0.1123595506</v>
      </c>
      <c r="H452" s="28"/>
      <c r="I452" s="55">
        <f t="shared" si="2"/>
        <v>2123.041301</v>
      </c>
      <c r="J452" s="81"/>
      <c r="K452" s="60">
        <f>IFERROR(__xludf.DUMMYFUNCTION("IFERROR(VLOOKUP(C452,IMPORTRANGE(""https://docs.google.com/spreadsheets/d/1HZUHB8NvANAZR0sHDmHYVAm2WE9kNv0pGIQA48Ryim8/edit?gid=1285727875#gid=1285727875"",""Sheet1!A2:G""),7,0))"),371.42)</f>
        <v>371.42</v>
      </c>
      <c r="L452" s="62">
        <f t="shared" si="60"/>
        <v>4.792418287</v>
      </c>
      <c r="M452" s="60">
        <f>IFERROR(__xludf.DUMMYFUNCTION("IFERROR(VLOOKUP(C452,IMPORTRANGE(""https://docs.google.com/spreadsheets/d/1HZUHB8NvANAZR0sHDmHYVAm2WE9kNv0pGIQA48Ryim8/edit?gid=1285727875#gid=1285727875"",""Cost!A2:G""),7,0))"),443.0)</f>
        <v>443</v>
      </c>
      <c r="N452" s="62">
        <f t="shared" si="4"/>
        <v>4.469525959</v>
      </c>
      <c r="O452" s="28"/>
      <c r="P452" s="28"/>
      <c r="Q452" s="28"/>
      <c r="R452" s="28"/>
      <c r="S452" s="28"/>
      <c r="T452" s="28"/>
      <c r="U452" s="65"/>
      <c r="V452" s="28"/>
      <c r="W452" s="65"/>
      <c r="X452" s="66" t="s">
        <v>358</v>
      </c>
      <c r="Y452" s="65" t="str">
        <f t="shared" si="6"/>
        <v>VINCENT 66DB</v>
      </c>
    </row>
    <row r="453">
      <c r="A453" s="18" t="s">
        <v>1011</v>
      </c>
      <c r="B453" s="91" t="str">
        <f t="shared" si="73"/>
        <v>6692-N</v>
      </c>
      <c r="C453" s="15" t="s">
        <v>1034</v>
      </c>
      <c r="D453" s="18" t="s">
        <v>220</v>
      </c>
      <c r="E453" s="75">
        <f t="shared" ref="E453:F453" si="76">SUM(E454:E455)</f>
        <v>6760</v>
      </c>
      <c r="F453" s="75">
        <f t="shared" si="76"/>
        <v>7470</v>
      </c>
      <c r="G453" s="50">
        <f t="shared" si="59"/>
        <v>0.1050295858</v>
      </c>
      <c r="H453" s="28"/>
      <c r="I453" s="55">
        <f t="shared" si="2"/>
        <v>7596.454833</v>
      </c>
      <c r="J453" s="81"/>
      <c r="K453" s="60">
        <f>IFERROR(__xludf.DUMMYFUNCTION("IFERROR(VLOOKUP(C453,IMPORTRANGE(""https://docs.google.com/spreadsheets/d/1HZUHB8NvANAZR0sHDmHYVAm2WE9kNv0pGIQA48Ryim8/edit?gid=1285727875#gid=1285727875"",""Sheet1!A2:G""),7,0))"),2000.47)</f>
        <v>2000.47</v>
      </c>
      <c r="L453" s="62">
        <f t="shared" si="60"/>
        <v>3.379205887</v>
      </c>
      <c r="M453" s="60">
        <f>IFERROR(__xludf.DUMMYFUNCTION("IFERROR(VLOOKUP(C453,IMPORTRANGE(""https://docs.google.com/spreadsheets/d/1HZUHB8NvANAZR0sHDmHYVAm2WE9kNv0pGIQA48Ryim8/edit?gid=1285727875#gid=1285727875"",""Cost!A2:G""),7,0))"),2248.0)</f>
        <v>2248</v>
      </c>
      <c r="N453" s="62">
        <f t="shared" si="4"/>
        <v>3.322953737</v>
      </c>
      <c r="O453" s="28"/>
      <c r="P453" s="28"/>
      <c r="Q453" s="28"/>
      <c r="R453" s="28"/>
      <c r="S453" s="28"/>
      <c r="T453" s="28"/>
      <c r="U453" s="65"/>
      <c r="V453" s="28"/>
      <c r="W453" s="65"/>
      <c r="X453" s="66" t="s">
        <v>219</v>
      </c>
      <c r="Y453" s="65" t="str">
        <f t="shared" si="6"/>
        <v>VINCENT 6692</v>
      </c>
    </row>
    <row r="454">
      <c r="A454" s="18" t="s">
        <v>1011</v>
      </c>
      <c r="B454" s="91" t="str">
        <f t="shared" si="73"/>
        <v>PD-46-H-N</v>
      </c>
      <c r="C454" s="15" t="s">
        <v>223</v>
      </c>
      <c r="D454" s="18" t="s">
        <v>224</v>
      </c>
      <c r="E454" s="39">
        <v>4980.0</v>
      </c>
      <c r="F454" s="39">
        <v>5490.0</v>
      </c>
      <c r="G454" s="50">
        <f t="shared" si="59"/>
        <v>0.1024096386</v>
      </c>
      <c r="H454" s="28"/>
      <c r="I454" s="55">
        <f t="shared" si="2"/>
        <v>5513.426362</v>
      </c>
      <c r="J454" s="81"/>
      <c r="K454" s="60">
        <f>IFERROR(__xludf.DUMMYFUNCTION("IFERROR(VLOOKUP(C454,IMPORTRANGE(""https://docs.google.com/spreadsheets/d/1HZUHB8NvANAZR0sHDmHYVAm2WE9kNv0pGIQA48Ryim8/edit?gid=1285727875#gid=1285727875"",""Sheet1!A2:G""),7,0))"),1581.59)</f>
        <v>1581.59</v>
      </c>
      <c r="L454" s="62">
        <f t="shared" si="60"/>
        <v>3.148730075</v>
      </c>
      <c r="M454" s="60">
        <f>IFERROR(__xludf.DUMMYFUNCTION("IFERROR(VLOOKUP(C454,IMPORTRANGE(""https://docs.google.com/spreadsheets/d/1HZUHB8NvANAZR0sHDmHYVAm2WE9kNv0pGIQA48Ryim8/edit?gid=1285727875#gid=1285727875"",""Cost!A2:G""),7,0))"),1751.0)</f>
        <v>1751</v>
      </c>
      <c r="N454" s="62">
        <f t="shared" si="4"/>
        <v>3.135351228</v>
      </c>
      <c r="O454" s="28"/>
      <c r="P454" s="28"/>
      <c r="Q454" s="28"/>
      <c r="R454" s="28"/>
      <c r="S454" s="28"/>
      <c r="T454" s="28"/>
      <c r="U454" s="65"/>
      <c r="V454" s="28"/>
      <c r="W454" s="65"/>
      <c r="X454" s="66" t="s">
        <v>223</v>
      </c>
      <c r="Y454" s="65" t="str">
        <f t="shared" si="6"/>
        <v>VINCENT 66PD-46-H-N</v>
      </c>
    </row>
    <row r="455">
      <c r="A455" s="18" t="s">
        <v>1011</v>
      </c>
      <c r="B455" s="91" t="str">
        <f t="shared" si="73"/>
        <v>DB-66-H-N</v>
      </c>
      <c r="C455" s="15" t="s">
        <v>1036</v>
      </c>
      <c r="D455" s="18" t="s">
        <v>217</v>
      </c>
      <c r="E455" s="39">
        <v>1780.0</v>
      </c>
      <c r="F455" s="39">
        <f>F452</f>
        <v>1980</v>
      </c>
      <c r="G455" s="50">
        <f t="shared" si="59"/>
        <v>0.1123595506</v>
      </c>
      <c r="H455" s="28"/>
      <c r="I455" s="55">
        <f t="shared" si="2"/>
        <v>2129.922749</v>
      </c>
      <c r="J455" s="81"/>
      <c r="K455" s="60">
        <f>IFERROR(__xludf.DUMMYFUNCTION("IFERROR(VLOOKUP(C455,IMPORTRANGE(""https://docs.google.com/spreadsheets/d/1HZUHB8NvANAZR0sHDmHYVAm2WE9kNv0pGIQA48Ryim8/edit?gid=1285727875#gid=1285727875"",""Sheet1!A2:G""),7,0))"),370.22)</f>
        <v>370.22</v>
      </c>
      <c r="L455" s="62">
        <f t="shared" si="60"/>
        <v>4.807952029</v>
      </c>
      <c r="M455" s="60">
        <f>IFERROR(__xludf.DUMMYFUNCTION("IFERROR(VLOOKUP(C455,IMPORTRANGE(""https://docs.google.com/spreadsheets/d/1HZUHB8NvANAZR0sHDmHYVAm2WE9kNv0pGIQA48Ryim8/edit?gid=1285727875#gid=1285727875"",""Cost!A2:G""),7,0))"),443.0)</f>
        <v>443</v>
      </c>
      <c r="N455" s="62">
        <f t="shared" si="4"/>
        <v>4.469525959</v>
      </c>
      <c r="O455" s="28"/>
      <c r="P455" s="28"/>
      <c r="Q455" s="28"/>
      <c r="R455" s="28"/>
      <c r="S455" s="28"/>
      <c r="T455" s="28"/>
      <c r="U455" s="65"/>
      <c r="V455" s="28"/>
      <c r="W455" s="65"/>
      <c r="X455" s="66" t="s">
        <v>358</v>
      </c>
      <c r="Y455" s="65" t="str">
        <f t="shared" si="6"/>
        <v>VINCENT 66DB</v>
      </c>
    </row>
    <row r="456">
      <c r="A456" s="18" t="s">
        <v>1011</v>
      </c>
      <c r="B456" s="91" t="str">
        <f t="shared" si="73"/>
        <v>6692-ON-OFF-N</v>
      </c>
      <c r="C456" s="15" t="s">
        <v>1037</v>
      </c>
      <c r="D456" s="18" t="s">
        <v>229</v>
      </c>
      <c r="E456" s="75">
        <f t="shared" ref="E456:F456" si="77">SUM(E457:E458)</f>
        <v>6760</v>
      </c>
      <c r="F456" s="75">
        <f t="shared" si="77"/>
        <v>7470</v>
      </c>
      <c r="G456" s="50">
        <f t="shared" si="59"/>
        <v>0.1050295858</v>
      </c>
      <c r="H456" s="28"/>
      <c r="I456" s="55">
        <f t="shared" si="2"/>
        <v>7680.627401</v>
      </c>
      <c r="J456" s="81"/>
      <c r="K456" s="60">
        <f>IFERROR(__xludf.DUMMYFUNCTION("IFERROR(VLOOKUP(C456,IMPORTRANGE(""https://docs.google.com/spreadsheets/d/1HZUHB8NvANAZR0sHDmHYVAm2WE9kNv0pGIQA48Ryim8/edit?gid=1285727875#gid=1285727875"",""Sheet1!A2:G""),7,0))"),1741.79)</f>
        <v>1741.79</v>
      </c>
      <c r="L456" s="62">
        <f t="shared" si="60"/>
        <v>3.881064882</v>
      </c>
      <c r="M456" s="60">
        <f>IFERROR(__xludf.DUMMYFUNCTION("IFERROR(VLOOKUP(C456,IMPORTRANGE(""https://docs.google.com/spreadsheets/d/1HZUHB8NvANAZR0sHDmHYVAm2WE9kNv0pGIQA48Ryim8/edit?gid=1285727875#gid=1285727875"",""Cost!A2:G""),7,0))"),1979.0)</f>
        <v>1979</v>
      </c>
      <c r="N456" s="62">
        <f t="shared" si="4"/>
        <v>3.774633653</v>
      </c>
      <c r="O456" s="28"/>
      <c r="P456" s="28"/>
      <c r="Q456" s="28"/>
      <c r="R456" s="28"/>
      <c r="S456" s="28"/>
      <c r="T456" s="28"/>
      <c r="U456" s="65"/>
      <c r="V456" s="28"/>
      <c r="W456" s="65"/>
      <c r="X456" s="66" t="s">
        <v>368</v>
      </c>
      <c r="Y456" s="65" t="str">
        <f t="shared" si="6"/>
        <v>VINCENT 6692-ON-OFF</v>
      </c>
    </row>
    <row r="457">
      <c r="A457" s="18" t="s">
        <v>1011</v>
      </c>
      <c r="B457" s="91" t="str">
        <f t="shared" si="73"/>
        <v>PD-46-H-ON-OFF-N</v>
      </c>
      <c r="C457" s="15" t="s">
        <v>234</v>
      </c>
      <c r="D457" s="18" t="s">
        <v>235</v>
      </c>
      <c r="E457" s="39">
        <f>E454-240</f>
        <v>4740</v>
      </c>
      <c r="F457" s="75">
        <f>F454-$X$1</f>
        <v>5250</v>
      </c>
      <c r="G457" s="50">
        <f t="shared" si="59"/>
        <v>0.1075949367</v>
      </c>
      <c r="H457" s="28"/>
      <c r="I457" s="55">
        <f t="shared" si="2"/>
        <v>5306.797906</v>
      </c>
      <c r="J457" s="81"/>
      <c r="K457" s="60">
        <f>IFERROR(__xludf.DUMMYFUNCTION("IFERROR(VLOOKUP(C457,IMPORTRANGE(""https://docs.google.com/spreadsheets/d/1HZUHB8NvANAZR0sHDmHYVAm2WE9kNv0pGIQA48Ryim8/edit?gid=1285727875#gid=1285727875"",""Sheet1!A2:G""),7,0))"),1367.48)</f>
        <v>1367.48</v>
      </c>
      <c r="L457" s="62">
        <f t="shared" si="60"/>
        <v>3.466229853</v>
      </c>
      <c r="M457" s="60">
        <f>IFERROR(__xludf.DUMMYFUNCTION("IFERROR(VLOOKUP(C457,IMPORTRANGE(""https://docs.google.com/spreadsheets/d/1HZUHB8NvANAZR0sHDmHYVAm2WE9kNv0pGIQA48Ryim8/edit?gid=1285727875#gid=1285727875"",""Cost!A2:G""),7,0))"),1531.0)</f>
        <v>1531</v>
      </c>
      <c r="N457" s="62">
        <f t="shared" si="4"/>
        <v>3.429131287</v>
      </c>
      <c r="O457" s="28"/>
      <c r="P457" s="28"/>
      <c r="Q457" s="28"/>
      <c r="R457" s="28"/>
      <c r="S457" s="28"/>
      <c r="T457" s="28"/>
      <c r="U457" s="65"/>
      <c r="V457" s="28"/>
      <c r="W457" s="65"/>
      <c r="X457" s="66" t="s">
        <v>371</v>
      </c>
      <c r="Y457" s="65" t="str">
        <f t="shared" si="6"/>
        <v>VINCENT 66PD-ON-OFF</v>
      </c>
    </row>
    <row r="458">
      <c r="A458" s="18" t="s">
        <v>1011</v>
      </c>
      <c r="B458" s="91" t="str">
        <f t="shared" si="73"/>
        <v>DB-66-H-ON-OFF-N</v>
      </c>
      <c r="C458" s="15" t="s">
        <v>1039</v>
      </c>
      <c r="D458" s="18" t="s">
        <v>217</v>
      </c>
      <c r="E458" s="75">
        <f>E455+240</f>
        <v>2020</v>
      </c>
      <c r="F458" s="75">
        <f>F455+$X$1</f>
        <v>2220</v>
      </c>
      <c r="G458" s="50">
        <f t="shared" si="59"/>
        <v>0.09900990099</v>
      </c>
      <c r="H458" s="28"/>
      <c r="I458" s="55">
        <f t="shared" si="2"/>
        <v>2417.756403</v>
      </c>
      <c r="J458" s="81"/>
      <c r="K458" s="60">
        <f>IFERROR(__xludf.DUMMYFUNCTION("IFERROR(VLOOKUP(C458,IMPORTRANGE(""https://docs.google.com/spreadsheets/d/1HZUHB8NvANAZR0sHDmHYVAm2WE9kNv0pGIQA48Ryim8/edit?gid=1285727875#gid=1285727875"",""Sheet1!A2:G""),7,0))"),370.12)</f>
        <v>370.12</v>
      </c>
      <c r="L458" s="62">
        <f t="shared" si="60"/>
        <v>5.457689398</v>
      </c>
      <c r="M458" s="60">
        <f>IFERROR(__xludf.DUMMYFUNCTION("IFERROR(VLOOKUP(C458,IMPORTRANGE(""https://docs.google.com/spreadsheets/d/1HZUHB8NvANAZR0sHDmHYVAm2WE9kNv0pGIQA48Ryim8/edit?gid=1285727875#gid=1285727875"",""Cost!A2:G""),7,0))"),443.0)</f>
        <v>443</v>
      </c>
      <c r="N458" s="62">
        <f t="shared" si="4"/>
        <v>5.011286682</v>
      </c>
      <c r="O458" s="28"/>
      <c r="P458" s="28"/>
      <c r="Q458" s="28"/>
      <c r="R458" s="28"/>
      <c r="S458" s="28"/>
      <c r="T458" s="28"/>
      <c r="U458" s="65"/>
      <c r="V458" s="28"/>
      <c r="W458" s="65"/>
      <c r="X458" s="66" t="s">
        <v>375</v>
      </c>
      <c r="Y458" s="65" t="str">
        <f t="shared" si="6"/>
        <v>VINCENT 66DB-ON-OFF</v>
      </c>
    </row>
    <row r="459">
      <c r="A459" s="18" t="s">
        <v>1011</v>
      </c>
      <c r="B459" s="91" t="str">
        <f t="shared" si="73"/>
        <v>6693-N</v>
      </c>
      <c r="C459" s="15" t="s">
        <v>1041</v>
      </c>
      <c r="D459" s="18" t="s">
        <v>241</v>
      </c>
      <c r="E459" s="75">
        <f t="shared" ref="E459:F459" si="78">SUM(E460:E461)</f>
        <v>6760</v>
      </c>
      <c r="F459" s="75">
        <f t="shared" si="78"/>
        <v>7470</v>
      </c>
      <c r="G459" s="50">
        <f t="shared" si="59"/>
        <v>0.1050295858</v>
      </c>
      <c r="H459" s="28"/>
      <c r="I459" s="55">
        <f t="shared" si="2"/>
        <v>7474.344947</v>
      </c>
      <c r="J459" s="81"/>
      <c r="K459" s="60">
        <f>IFERROR(__xludf.DUMMYFUNCTION("IFERROR(VLOOKUP(C459,IMPORTRANGE(""https://docs.google.com/spreadsheets/d/1HZUHB8NvANAZR0sHDmHYVAm2WE9kNv0pGIQA48Ryim8/edit?gid=1285727875#gid=1285727875"",""Sheet1!A2:G""),7,0))"),1910.15)</f>
        <v>1910.15</v>
      </c>
      <c r="L459" s="62">
        <f t="shared" si="60"/>
        <v>3.538989085</v>
      </c>
      <c r="M459" s="60">
        <f>IFERROR(__xludf.DUMMYFUNCTION("IFERROR(VLOOKUP(C459,IMPORTRANGE(""https://docs.google.com/spreadsheets/d/1HZUHB8NvANAZR0sHDmHYVAm2WE9kNv0pGIQA48Ryim8/edit?gid=1285727875#gid=1285727875"",""Cost!A2:G""),7,0))"),2112.0)</f>
        <v>2112</v>
      </c>
      <c r="N459" s="62">
        <f t="shared" si="4"/>
        <v>3.536931818</v>
      </c>
      <c r="O459" s="28"/>
      <c r="P459" s="28"/>
      <c r="Q459" s="28"/>
      <c r="R459" s="28"/>
      <c r="S459" s="28"/>
      <c r="T459" s="28"/>
      <c r="U459" s="65"/>
      <c r="V459" s="28"/>
      <c r="W459" s="65"/>
      <c r="X459" s="66" t="s">
        <v>239</v>
      </c>
      <c r="Y459" s="65" t="str">
        <f t="shared" si="6"/>
        <v>VINCENT 6693</v>
      </c>
    </row>
    <row r="460">
      <c r="A460" s="18" t="s">
        <v>1011</v>
      </c>
      <c r="B460" s="91" t="str">
        <f t="shared" si="73"/>
        <v>PD-3 IN-N</v>
      </c>
      <c r="C460" s="15" t="s">
        <v>243</v>
      </c>
      <c r="D460" s="18" t="s">
        <v>244</v>
      </c>
      <c r="E460" s="39">
        <v>4980.0</v>
      </c>
      <c r="F460" s="39">
        <v>5490.0</v>
      </c>
      <c r="G460" s="50">
        <f t="shared" si="59"/>
        <v>0.1024096386</v>
      </c>
      <c r="H460" s="28"/>
      <c r="I460" s="55">
        <f t="shared" si="2"/>
        <v>5395.785272</v>
      </c>
      <c r="J460" s="81"/>
      <c r="K460" s="60">
        <f>IFERROR(__xludf.DUMMYFUNCTION("IFERROR(VLOOKUP(C460,IMPORTRANGE(""https://docs.google.com/spreadsheets/d/1HZUHB8NvANAZR0sHDmHYVAm2WE9kNv0pGIQA48Ryim8/edit?gid=1285727875#gid=1285727875"",""Sheet1!A2:G""),7,0))"),1543.16)</f>
        <v>1543.16</v>
      </c>
      <c r="L460" s="62">
        <f t="shared" si="60"/>
        <v>3.227144301</v>
      </c>
      <c r="M460" s="60">
        <f>IFERROR(__xludf.DUMMYFUNCTION("IFERROR(VLOOKUP(C460,IMPORTRANGE(""https://docs.google.com/spreadsheets/d/1HZUHB8NvANAZR0sHDmHYVAm2WE9kNv0pGIQA48Ryim8/edit?gid=1285727875#gid=1285727875"",""Cost!A2:G""),7,0))"),1672.0)</f>
        <v>1672</v>
      </c>
      <c r="N460" s="62">
        <f t="shared" si="4"/>
        <v>3.283492823</v>
      </c>
      <c r="O460" s="28"/>
      <c r="P460" s="28"/>
      <c r="Q460" s="28"/>
      <c r="R460" s="28"/>
      <c r="S460" s="28"/>
      <c r="T460" s="28"/>
      <c r="U460" s="65"/>
      <c r="V460" s="28"/>
      <c r="W460" s="65"/>
      <c r="X460" s="66" t="s">
        <v>243</v>
      </c>
      <c r="Y460" s="65" t="str">
        <f t="shared" si="6"/>
        <v>VINCENT 66PD-3 IN-N</v>
      </c>
    </row>
    <row r="461">
      <c r="A461" s="18" t="s">
        <v>1011</v>
      </c>
      <c r="B461" s="91" t="str">
        <f t="shared" si="73"/>
        <v>DB-66-3 IN-N</v>
      </c>
      <c r="C461" s="15" t="s">
        <v>1043</v>
      </c>
      <c r="D461" s="18" t="s">
        <v>217</v>
      </c>
      <c r="E461" s="39">
        <v>1780.0</v>
      </c>
      <c r="F461" s="39">
        <f>F452</f>
        <v>1980</v>
      </c>
      <c r="G461" s="50">
        <f t="shared" si="59"/>
        <v>0.1123595506</v>
      </c>
      <c r="H461" s="28"/>
      <c r="I461" s="55">
        <f t="shared" si="2"/>
        <v>2130.498217</v>
      </c>
      <c r="J461" s="81"/>
      <c r="K461" s="60">
        <f>IFERROR(__xludf.DUMMYFUNCTION("IFERROR(VLOOKUP(C461,IMPORTRANGE(""https://docs.google.com/spreadsheets/d/1HZUHB8NvANAZR0sHDmHYVAm2WE9kNv0pGIQA48Ryim8/edit?gid=1285727875#gid=1285727875"",""Sheet1!A2:G""),7,0))"),370.12)</f>
        <v>370.12</v>
      </c>
      <c r="L461" s="62">
        <f t="shared" si="60"/>
        <v>4.809251054</v>
      </c>
      <c r="M461" s="60">
        <f>IFERROR(__xludf.DUMMYFUNCTION("IFERROR(VLOOKUP(C461,IMPORTRANGE(""https://docs.google.com/spreadsheets/d/1HZUHB8NvANAZR0sHDmHYVAm2WE9kNv0pGIQA48Ryim8/edit?gid=1285727875#gid=1285727875"",""Cost!A2:G""),7,0))"),443.0)</f>
        <v>443</v>
      </c>
      <c r="N461" s="62">
        <f t="shared" si="4"/>
        <v>4.469525959</v>
      </c>
      <c r="O461" s="28"/>
      <c r="P461" s="28"/>
      <c r="Q461" s="28"/>
      <c r="R461" s="28"/>
      <c r="S461" s="28"/>
      <c r="T461" s="28"/>
      <c r="U461" s="65"/>
      <c r="V461" s="28"/>
      <c r="W461" s="65"/>
      <c r="X461" s="66" t="s">
        <v>358</v>
      </c>
      <c r="Y461" s="65" t="str">
        <f t="shared" si="6"/>
        <v>VINCENT 66DB</v>
      </c>
    </row>
    <row r="462">
      <c r="A462" s="18" t="s">
        <v>1011</v>
      </c>
      <c r="B462" s="91" t="str">
        <f t="shared" si="73"/>
        <v>6693-ON-OFF-N</v>
      </c>
      <c r="C462" s="15" t="s">
        <v>1044</v>
      </c>
      <c r="D462" s="18" t="s">
        <v>250</v>
      </c>
      <c r="E462" s="75">
        <f t="shared" ref="E462:F462" si="79">SUM(E463:E464)</f>
        <v>6760</v>
      </c>
      <c r="F462" s="75">
        <f t="shared" si="79"/>
        <v>7470</v>
      </c>
      <c r="G462" s="50">
        <f t="shared" si="59"/>
        <v>0.1050295858</v>
      </c>
      <c r="H462" s="28"/>
      <c r="I462" s="55">
        <f t="shared" si="2"/>
        <v>7567.28183</v>
      </c>
      <c r="J462" s="81"/>
      <c r="K462" s="60">
        <f>IFERROR(__xludf.DUMMYFUNCTION("IFERROR(VLOOKUP(C462,IMPORTRANGE(""https://docs.google.com/spreadsheets/d/1HZUHB8NvANAZR0sHDmHYVAm2WE9kNv0pGIQA48Ryim8/edit?gid=1285727875#gid=1285727875"",""Sheet1!A2:G""),7,0))"),1929.57)</f>
        <v>1929.57</v>
      </c>
      <c r="L462" s="62">
        <f t="shared" si="60"/>
        <v>3.503371217</v>
      </c>
      <c r="M462" s="60">
        <f>IFERROR(__xludf.DUMMYFUNCTION("IFERROR(VLOOKUP(C462,IMPORTRANGE(""https://docs.google.com/spreadsheets/d/1HZUHB8NvANAZR0sHDmHYVAm2WE9kNv0pGIQA48Ryim8/edit?gid=1285727875#gid=1285727875"",""Cost!A2:G""),7,0))"),2160.0)</f>
        <v>2160</v>
      </c>
      <c r="N462" s="62">
        <f t="shared" si="4"/>
        <v>3.458333333</v>
      </c>
      <c r="O462" s="28"/>
      <c r="P462" s="28"/>
      <c r="Q462" s="28"/>
      <c r="R462" s="28"/>
      <c r="S462" s="28"/>
      <c r="T462" s="28"/>
      <c r="U462" s="65"/>
      <c r="V462" s="28"/>
      <c r="W462" s="65"/>
      <c r="X462" s="66" t="s">
        <v>410</v>
      </c>
      <c r="Y462" s="65" t="str">
        <f t="shared" si="6"/>
        <v>VINCENT 6693-ON-OFF</v>
      </c>
    </row>
    <row r="463">
      <c r="A463" s="18" t="s">
        <v>1011</v>
      </c>
      <c r="B463" s="91" t="str">
        <f t="shared" si="73"/>
        <v>PD-3 IN-ON-OFF-N</v>
      </c>
      <c r="C463" s="15" t="s">
        <v>253</v>
      </c>
      <c r="D463" s="18" t="s">
        <v>256</v>
      </c>
      <c r="E463" s="39">
        <f>E460-240</f>
        <v>4740</v>
      </c>
      <c r="F463" s="39">
        <f>F460-$X$1</f>
        <v>5250</v>
      </c>
      <c r="G463" s="50">
        <f t="shared" si="59"/>
        <v>0.1075949367</v>
      </c>
      <c r="H463" s="28"/>
      <c r="I463" s="55">
        <f t="shared" si="2"/>
        <v>5217.019108</v>
      </c>
      <c r="J463" s="81"/>
      <c r="K463" s="60">
        <f>IFERROR(__xludf.DUMMYFUNCTION("IFERROR(VLOOKUP(C463,IMPORTRANGE(""https://docs.google.com/spreadsheets/d/1HZUHB8NvANAZR0sHDmHYVAm2WE9kNv0pGIQA48Ryim8/edit?gid=1285727875#gid=1285727875"",""Sheet1!A2:G""),7,0))"),1570.0)</f>
        <v>1570</v>
      </c>
      <c r="L463" s="62">
        <f t="shared" si="60"/>
        <v>3.01910828</v>
      </c>
      <c r="M463" s="60">
        <f>IFERROR(__xludf.DUMMYFUNCTION("IFERROR(VLOOKUP(C463,IMPORTRANGE(""https://docs.google.com/spreadsheets/d/1HZUHB8NvANAZR0sHDmHYVAm2WE9kNv0pGIQA48Ryim8/edit?gid=1285727875#gid=1285727875"",""Cost!A2:G""),7,0))"),1728.0)</f>
        <v>1728</v>
      </c>
      <c r="N463" s="62">
        <f t="shared" si="4"/>
        <v>3.038194444</v>
      </c>
      <c r="O463" s="28"/>
      <c r="P463" s="28"/>
      <c r="Q463" s="28"/>
      <c r="R463" s="28"/>
      <c r="S463" s="28"/>
      <c r="T463" s="28"/>
      <c r="U463" s="65"/>
      <c r="V463" s="28"/>
      <c r="W463" s="65"/>
      <c r="X463" s="66" t="s">
        <v>371</v>
      </c>
      <c r="Y463" s="65" t="str">
        <f t="shared" si="6"/>
        <v>VINCENT 66PD-ON-OFF</v>
      </c>
    </row>
    <row r="464">
      <c r="A464" s="18" t="s">
        <v>1011</v>
      </c>
      <c r="B464" s="91" t="str">
        <f t="shared" si="73"/>
        <v>DB-66-3 IN-ON-OFF-N</v>
      </c>
      <c r="C464" s="15" t="s">
        <v>1046</v>
      </c>
      <c r="D464" s="18" t="s">
        <v>217</v>
      </c>
      <c r="E464" s="75">
        <f>E461+240</f>
        <v>2020</v>
      </c>
      <c r="F464" s="75">
        <f>F461+$X$1</f>
        <v>2220</v>
      </c>
      <c r="G464" s="50">
        <f t="shared" si="59"/>
        <v>0.09900990099</v>
      </c>
      <c r="H464" s="28"/>
      <c r="I464" s="55">
        <f t="shared" si="2"/>
        <v>2417.756403</v>
      </c>
      <c r="J464" s="81"/>
      <c r="K464" s="60">
        <f>IFERROR(__xludf.DUMMYFUNCTION("IFERROR(VLOOKUP(C464,IMPORTRANGE(""https://docs.google.com/spreadsheets/d/1HZUHB8NvANAZR0sHDmHYVAm2WE9kNv0pGIQA48Ryim8/edit?gid=1285727875#gid=1285727875"",""Sheet1!A2:G""),7,0))"),370.12)</f>
        <v>370.12</v>
      </c>
      <c r="L464" s="62">
        <f t="shared" si="60"/>
        <v>5.457689398</v>
      </c>
      <c r="M464" s="60">
        <f>IFERROR(__xludf.DUMMYFUNCTION("IFERROR(VLOOKUP(C464,IMPORTRANGE(""https://docs.google.com/spreadsheets/d/1HZUHB8NvANAZR0sHDmHYVAm2WE9kNv0pGIQA48Ryim8/edit?gid=1285727875#gid=1285727875"",""Cost!A2:G""),7,0))"),443.0)</f>
        <v>443</v>
      </c>
      <c r="N464" s="62">
        <f t="shared" si="4"/>
        <v>5.011286682</v>
      </c>
      <c r="O464" s="28"/>
      <c r="P464" s="28"/>
      <c r="Q464" s="28"/>
      <c r="R464" s="28"/>
      <c r="S464" s="28"/>
      <c r="T464" s="28"/>
      <c r="U464" s="65"/>
      <c r="V464" s="28"/>
      <c r="W464" s="65"/>
      <c r="X464" s="66" t="s">
        <v>375</v>
      </c>
      <c r="Y464" s="65" t="str">
        <f t="shared" si="6"/>
        <v>VINCENT 66DB-ON-OFF</v>
      </c>
    </row>
    <row r="465">
      <c r="A465" s="18" t="s">
        <v>1011</v>
      </c>
      <c r="B465" s="91">
        <f t="shared" si="73"/>
        <v>6695</v>
      </c>
      <c r="C465" s="15">
        <v>6695.0</v>
      </c>
      <c r="D465" s="18" t="s">
        <v>265</v>
      </c>
      <c r="E465" s="75">
        <v>1290.0</v>
      </c>
      <c r="F465" s="39">
        <v>1390.0</v>
      </c>
      <c r="G465" s="50">
        <f t="shared" si="59"/>
        <v>0.07751937984</v>
      </c>
      <c r="H465" s="28"/>
      <c r="I465" s="55">
        <f t="shared" si="2"/>
        <v>1428.163152</v>
      </c>
      <c r="J465" s="81"/>
      <c r="K465" s="60">
        <f>IFERROR(__xludf.DUMMYFUNCTION("IFERROR(VLOOKUP(C465,IMPORTRANGE(""https://docs.google.com/spreadsheets/d/1HZUHB8NvANAZR0sHDmHYVAm2WE9kNv0pGIQA48Ryim8/edit?gid=1285727875#gid=1285727875"",""Sheet1!A2:G""),7,0))"),360.4)</f>
        <v>360.4</v>
      </c>
      <c r="L465" s="62">
        <f t="shared" si="60"/>
        <v>3.579356271</v>
      </c>
      <c r="M465" s="60">
        <f>IFERROR(__xludf.DUMMYFUNCTION("IFERROR(VLOOKUP(C465,IMPORTRANGE(""https://docs.google.com/spreadsheets/d/1HZUHB8NvANAZR0sHDmHYVAm2WE9kNv0pGIQA48Ryim8/edit?gid=1285727875#gid=1285727875"",""Cost!A2:G""),7,0))"),399.0)</f>
        <v>399</v>
      </c>
      <c r="N465" s="62">
        <f t="shared" si="4"/>
        <v>3.483709273</v>
      </c>
      <c r="O465" s="28"/>
      <c r="P465" s="28"/>
      <c r="Q465" s="28"/>
      <c r="R465" s="28"/>
      <c r="S465" s="28"/>
      <c r="T465" s="28"/>
      <c r="U465" s="65"/>
      <c r="V465" s="28"/>
      <c r="W465" s="65"/>
      <c r="X465" s="66" t="s">
        <v>264</v>
      </c>
      <c r="Y465" s="65" t="str">
        <f t="shared" si="6"/>
        <v>VINCENT 6695</v>
      </c>
    </row>
    <row r="466">
      <c r="A466" s="18" t="s">
        <v>1011</v>
      </c>
      <c r="B466" s="91">
        <f t="shared" si="73"/>
        <v>6696</v>
      </c>
      <c r="C466" s="15">
        <v>6696.0</v>
      </c>
      <c r="D466" s="18" t="s">
        <v>268</v>
      </c>
      <c r="E466" s="75">
        <v>1930.0</v>
      </c>
      <c r="F466" s="39">
        <v>2080.0</v>
      </c>
      <c r="G466" s="50">
        <f t="shared" si="59"/>
        <v>0.07772020725</v>
      </c>
      <c r="H466" s="28"/>
      <c r="I466" s="55">
        <f t="shared" si="2"/>
        <v>2129.03047</v>
      </c>
      <c r="J466" s="81"/>
      <c r="K466" s="60">
        <f>IFERROR(__xludf.DUMMYFUNCTION("IFERROR(VLOOKUP(C466,IMPORTRANGE(""https://docs.google.com/spreadsheets/d/1HZUHB8NvANAZR0sHDmHYVAm2WE9kNv0pGIQA48Ryim8/edit?gid=1285727875#gid=1285727875"",""Sheet1!A2:G""),7,0))"),541.19)</f>
        <v>541.19</v>
      </c>
      <c r="L466" s="62">
        <f t="shared" si="60"/>
        <v>3.566215192</v>
      </c>
      <c r="M466" s="60">
        <f>IFERROR(__xludf.DUMMYFUNCTION("IFERROR(VLOOKUP(C466,IMPORTRANGE(""https://docs.google.com/spreadsheets/d/1HZUHB8NvANAZR0sHDmHYVAm2WE9kNv0pGIQA48Ryim8/edit?gid=1285727875#gid=1285727875"",""Cost!A2:G""),7,0))"),597.0)</f>
        <v>597</v>
      </c>
      <c r="N466" s="62">
        <f t="shared" si="4"/>
        <v>3.484087102</v>
      </c>
      <c r="O466" s="28"/>
      <c r="P466" s="28"/>
      <c r="Q466" s="28"/>
      <c r="R466" s="28"/>
      <c r="S466" s="28"/>
      <c r="T466" s="28"/>
      <c r="U466" s="65"/>
      <c r="V466" s="28"/>
      <c r="W466" s="65"/>
      <c r="X466" s="66" t="s">
        <v>267</v>
      </c>
      <c r="Y466" s="65" t="str">
        <f t="shared" si="6"/>
        <v>VINCENT 6696</v>
      </c>
    </row>
    <row r="467">
      <c r="A467" s="18" t="s">
        <v>1011</v>
      </c>
      <c r="B467" s="91">
        <f t="shared" si="73"/>
        <v>6698</v>
      </c>
      <c r="C467" s="15">
        <v>6698.0</v>
      </c>
      <c r="D467" s="18" t="s">
        <v>272</v>
      </c>
      <c r="E467" s="75">
        <v>2350.0</v>
      </c>
      <c r="F467" s="39">
        <v>2580.0</v>
      </c>
      <c r="G467" s="50">
        <f t="shared" si="59"/>
        <v>0.09787234043</v>
      </c>
      <c r="H467" s="28"/>
      <c r="I467" s="55">
        <f t="shared" si="2"/>
        <v>2610.333532</v>
      </c>
      <c r="J467" s="81"/>
      <c r="K467" s="60">
        <f>IFERROR(__xludf.DUMMYFUNCTION("IFERROR(VLOOKUP(C467,IMPORTRANGE(""https://docs.google.com/spreadsheets/d/1HZUHB8NvANAZR0sHDmHYVAm2WE9kNv0pGIQA48Ryim8/edit?gid=1285727875#gid=1285727875"",""Sheet1!A2:G""),7,0))"),671.6)</f>
        <v>671.6</v>
      </c>
      <c r="L467" s="62">
        <f t="shared" si="60"/>
        <v>3.499106611</v>
      </c>
      <c r="M467" s="60">
        <f>IFERROR(__xludf.DUMMYFUNCTION("IFERROR(VLOOKUP(C467,IMPORTRANGE(""https://docs.google.com/spreadsheets/d/1HZUHB8NvANAZR0sHDmHYVAm2WE9kNv0pGIQA48Ryim8/edit?gid=1285727875#gid=1285727875"",""Cost!A2:G""),7,0))"),746.0)</f>
        <v>746</v>
      </c>
      <c r="N467" s="62">
        <f t="shared" si="4"/>
        <v>3.45844504</v>
      </c>
      <c r="O467" s="28"/>
      <c r="P467" s="28"/>
      <c r="Q467" s="28"/>
      <c r="R467" s="28"/>
      <c r="S467" s="28"/>
      <c r="T467" s="28"/>
      <c r="U467" s="65"/>
      <c r="V467" s="28"/>
      <c r="W467" s="65"/>
      <c r="X467" s="66" t="s">
        <v>271</v>
      </c>
      <c r="Y467" s="65" t="str">
        <f t="shared" si="6"/>
        <v>VINCENT 6698</v>
      </c>
    </row>
    <row r="468">
      <c r="A468" s="18" t="s">
        <v>1049</v>
      </c>
      <c r="B468" s="91">
        <f t="shared" si="73"/>
        <v>6802</v>
      </c>
      <c r="C468" s="15">
        <v>6802.0</v>
      </c>
      <c r="D468" s="18" t="s">
        <v>15</v>
      </c>
      <c r="E468" s="75">
        <v>1770.0</v>
      </c>
      <c r="F468" s="39">
        <v>1920.0</v>
      </c>
      <c r="G468" s="50">
        <f t="shared" si="59"/>
        <v>0.08474576271</v>
      </c>
      <c r="H468" s="28"/>
      <c r="I468" s="55">
        <f t="shared" si="2"/>
        <v>1961.472572</v>
      </c>
      <c r="J468" s="81"/>
      <c r="K468" s="60">
        <f>IFERROR(__xludf.DUMMYFUNCTION("IFERROR(VLOOKUP(C468,IMPORTRANGE(""https://docs.google.com/spreadsheets/d/1HZUHB8NvANAZR0sHDmHYVAm2WE9kNv0pGIQA48Ryim8/edit?gid=1285727875#gid=1285727875"",""Sheet1!A2:G""),7,0))"),560.38)</f>
        <v>560.38</v>
      </c>
      <c r="L468" s="62">
        <f t="shared" si="60"/>
        <v>3.15857097</v>
      </c>
      <c r="M468" s="60">
        <f>IFERROR(__xludf.DUMMYFUNCTION("IFERROR(VLOOKUP(C468,IMPORTRANGE(""https://docs.google.com/spreadsheets/d/1HZUHB8NvANAZR0sHDmHYVAm2WE9kNv0pGIQA48Ryim8/edit?gid=1285727875#gid=1285727875"",""Cost!A2:G""),7,0))"),621.0)</f>
        <v>621</v>
      </c>
      <c r="N468" s="62">
        <f t="shared" si="4"/>
        <v>3.09178744</v>
      </c>
      <c r="O468" s="28"/>
      <c r="P468" s="28"/>
      <c r="Q468" s="28"/>
      <c r="R468" s="28"/>
      <c r="S468" s="28"/>
      <c r="T468" s="28"/>
      <c r="U468" s="65"/>
      <c r="V468" s="28"/>
      <c r="W468" s="65"/>
      <c r="X468" s="66" t="s">
        <v>303</v>
      </c>
      <c r="Y468" s="65" t="str">
        <f t="shared" si="6"/>
        <v>MARCUS 6802</v>
      </c>
    </row>
    <row r="469">
      <c r="A469" s="18" t="s">
        <v>1049</v>
      </c>
      <c r="B469" s="91">
        <f t="shared" si="73"/>
        <v>6803</v>
      </c>
      <c r="C469" s="15">
        <v>6803.0</v>
      </c>
      <c r="D469" s="18" t="s">
        <v>30</v>
      </c>
      <c r="E469" s="39">
        <v>3680.0</v>
      </c>
      <c r="F469" s="39">
        <v>3980.0</v>
      </c>
      <c r="G469" s="50">
        <f t="shared" si="59"/>
        <v>0.08152173913</v>
      </c>
      <c r="H469" s="28"/>
      <c r="I469" s="55">
        <f t="shared" si="2"/>
        <v>4127.803257</v>
      </c>
      <c r="J469" s="81"/>
      <c r="K469" s="60">
        <f>IFERROR(__xludf.DUMMYFUNCTION("IFERROR(VLOOKUP(C469,IMPORTRANGE(""https://docs.google.com/spreadsheets/d/1HZUHB8NvANAZR0sHDmHYVAm2WE9kNv0pGIQA48Ryim8/edit?gid=1285727875#gid=1285727875"",""Sheet1!A2:G""),7,0))"),1306.07)</f>
        <v>1306.07</v>
      </c>
      <c r="L469" s="62">
        <f t="shared" si="60"/>
        <v>2.817613145</v>
      </c>
      <c r="M469" s="60">
        <f>IFERROR(__xludf.DUMMYFUNCTION("IFERROR(VLOOKUP(C469,IMPORTRANGE(""https://docs.google.com/spreadsheets/d/1HZUHB8NvANAZR0sHDmHYVAm2WE9kNv0pGIQA48Ryim8/edit?gid=1285727875#gid=1285727875"",""Cost!A2:G""),7,0))"),1465.0)</f>
        <v>1465</v>
      </c>
      <c r="N469" s="62">
        <f t="shared" si="4"/>
        <v>2.716723549</v>
      </c>
      <c r="O469" s="28"/>
      <c r="P469" s="28"/>
      <c r="Q469" s="28"/>
      <c r="R469" s="28"/>
      <c r="S469" s="28"/>
      <c r="T469" s="28"/>
      <c r="U469" s="65"/>
      <c r="V469" s="28"/>
      <c r="W469" s="65"/>
      <c r="X469" s="66" t="s">
        <v>306</v>
      </c>
      <c r="Y469" s="65" t="str">
        <f t="shared" si="6"/>
        <v>MARCUS 6803</v>
      </c>
    </row>
    <row r="470">
      <c r="A470" s="18" t="s">
        <v>1049</v>
      </c>
      <c r="B470" s="91" t="str">
        <f t="shared" si="73"/>
        <v>6803-S</v>
      </c>
      <c r="C470" s="15" t="s">
        <v>1050</v>
      </c>
      <c r="D470" s="18" t="s">
        <v>39</v>
      </c>
      <c r="E470" s="75">
        <v>3330.0</v>
      </c>
      <c r="F470" s="39">
        <v>3680.0</v>
      </c>
      <c r="G470" s="50">
        <f t="shared" si="59"/>
        <v>0.1051051051</v>
      </c>
      <c r="H470" s="28"/>
      <c r="I470" s="55">
        <f t="shared" si="2"/>
        <v>3714.661894</v>
      </c>
      <c r="J470" s="81"/>
      <c r="K470" s="60">
        <f>IFERROR(__xludf.DUMMYFUNCTION("IFERROR(VLOOKUP(C470,IMPORTRANGE(""https://docs.google.com/spreadsheets/d/1HZUHB8NvANAZR0sHDmHYVAm2WE9kNv0pGIQA48Ryim8/edit?gid=1285727875#gid=1285727875"",""Sheet1!A2:G""),7,0))"),1173.45)</f>
        <v>1173.45</v>
      </c>
      <c r="L470" s="62">
        <f t="shared" si="60"/>
        <v>2.837786016</v>
      </c>
      <c r="M470" s="60">
        <f>IFERROR(__xludf.DUMMYFUNCTION("IFERROR(VLOOKUP(C470,IMPORTRANGE(""https://docs.google.com/spreadsheets/d/1HZUHB8NvANAZR0sHDmHYVAm2WE9kNv0pGIQA48Ryim8/edit?gid=1285727875#gid=1285727875"",""Cost!A2:G""),7,0))"),1309.0)</f>
        <v>1309</v>
      </c>
      <c r="N470" s="62">
        <f t="shared" si="4"/>
        <v>2.811306341</v>
      </c>
      <c r="O470" s="28"/>
      <c r="P470" s="28"/>
      <c r="Q470" s="28"/>
      <c r="R470" s="28"/>
      <c r="S470" s="28"/>
      <c r="T470" s="28"/>
      <c r="U470" s="65"/>
      <c r="V470" s="28"/>
      <c r="W470" s="65"/>
      <c r="X470" s="66" t="s">
        <v>662</v>
      </c>
      <c r="Y470" s="65" t="str">
        <f t="shared" si="6"/>
        <v>MARCUS 6803-S</v>
      </c>
    </row>
    <row r="471">
      <c r="A471" s="18" t="s">
        <v>1049</v>
      </c>
      <c r="B471" s="91">
        <f t="shared" si="73"/>
        <v>6804</v>
      </c>
      <c r="C471" s="15">
        <v>6804.0</v>
      </c>
      <c r="D471" s="18" t="s">
        <v>46</v>
      </c>
      <c r="E471" s="39">
        <v>2190.0</v>
      </c>
      <c r="F471" s="39">
        <v>2440.0</v>
      </c>
      <c r="G471" s="50">
        <f t="shared" si="59"/>
        <v>0.1141552511</v>
      </c>
      <c r="H471" s="28"/>
      <c r="I471" s="55">
        <f t="shared" si="2"/>
        <v>2728.385413</v>
      </c>
      <c r="J471" s="81"/>
      <c r="K471" s="60">
        <f>IFERROR(__xludf.DUMMYFUNCTION("IFERROR(VLOOKUP(C471,IMPORTRANGE(""https://docs.google.com/spreadsheets/d/1HZUHB8NvANAZR0sHDmHYVAm2WE9kNv0pGIQA48Ryim8/edit?gid=1285727875#gid=1285727875"",""Sheet1!A2:G""),7,0))"),639.73)</f>
        <v>639.73</v>
      </c>
      <c r="L471" s="62">
        <f t="shared" si="60"/>
        <v>3.423319213</v>
      </c>
      <c r="M471" s="60">
        <f>IFERROR(__xludf.DUMMYFUNCTION("IFERROR(VLOOKUP(C471,IMPORTRANGE(""https://docs.google.com/spreadsheets/d/1HZUHB8NvANAZR0sHDmHYVAm2WE9kNv0pGIQA48Ryim8/edit?gid=1285727875#gid=1285727875"",""Cost!A2:G""),7,0))"),797.0)</f>
        <v>797</v>
      </c>
      <c r="N471" s="62">
        <f t="shared" si="4"/>
        <v>3.061480552</v>
      </c>
      <c r="O471" s="28"/>
      <c r="P471" s="28"/>
      <c r="Q471" s="28"/>
      <c r="R471" s="28"/>
      <c r="S471" s="28"/>
      <c r="T471" s="28"/>
      <c r="U471" s="65"/>
      <c r="V471" s="28"/>
      <c r="W471" s="65"/>
      <c r="X471" s="66" t="s">
        <v>309</v>
      </c>
      <c r="Y471" s="65" t="str">
        <f t="shared" si="6"/>
        <v>MARCUS 6804</v>
      </c>
    </row>
    <row r="472">
      <c r="A472" s="18" t="s">
        <v>1049</v>
      </c>
      <c r="B472" s="91">
        <f t="shared" si="73"/>
        <v>6805</v>
      </c>
      <c r="C472" s="15">
        <v>6805.0</v>
      </c>
      <c r="D472" s="18" t="s">
        <v>59</v>
      </c>
      <c r="E472" s="39">
        <v>1590.0</v>
      </c>
      <c r="F472" s="39">
        <v>1690.0</v>
      </c>
      <c r="G472" s="50">
        <f t="shared" si="59"/>
        <v>0.06289308176</v>
      </c>
      <c r="H472" s="28"/>
      <c r="I472" s="55">
        <f t="shared" si="2"/>
        <v>1750.737705</v>
      </c>
      <c r="J472" s="81"/>
      <c r="K472" s="60">
        <f>IFERROR(__xludf.DUMMYFUNCTION("IFERROR(VLOOKUP(C472,IMPORTRANGE(""https://docs.google.com/spreadsheets/d/1HZUHB8NvANAZR0sHDmHYVAm2WE9kNv0pGIQA48Ryim8/edit?gid=1285727875#gid=1285727875"",""Sheet1!A2:G""),7,0))"),366.0)</f>
        <v>366</v>
      </c>
      <c r="L472" s="62">
        <f t="shared" si="60"/>
        <v>4.344262295</v>
      </c>
      <c r="M472" s="60">
        <f>IFERROR(__xludf.DUMMYFUNCTION("IFERROR(VLOOKUP(C472,IMPORTRANGE(""https://docs.google.com/spreadsheets/d/1HZUHB8NvANAZR0sHDmHYVAm2WE9kNv0pGIQA48Ryim8/edit?gid=1285727875#gid=1285727875"",""Cost!A2:G""),7,0))"),403.0)</f>
        <v>403</v>
      </c>
      <c r="N472" s="62">
        <f t="shared" si="4"/>
        <v>4.193548387</v>
      </c>
      <c r="O472" s="28"/>
      <c r="P472" s="28"/>
      <c r="Q472" s="28"/>
      <c r="R472" s="28"/>
      <c r="S472" s="28"/>
      <c r="T472" s="28"/>
      <c r="U472" s="65"/>
      <c r="V472" s="28"/>
      <c r="W472" s="65"/>
      <c r="X472" s="66" t="s">
        <v>663</v>
      </c>
      <c r="Y472" s="65" t="str">
        <f t="shared" si="6"/>
        <v>MARCUS 6805</v>
      </c>
    </row>
    <row r="473">
      <c r="A473" s="18" t="s">
        <v>1049</v>
      </c>
      <c r="B473" s="91">
        <f t="shared" si="73"/>
        <v>6806</v>
      </c>
      <c r="C473" s="15">
        <v>6806.0</v>
      </c>
      <c r="D473" s="18" t="s">
        <v>67</v>
      </c>
      <c r="E473" s="75">
        <v>1450.0</v>
      </c>
      <c r="F473" s="39">
        <v>1580.0</v>
      </c>
      <c r="G473" s="50">
        <f t="shared" si="59"/>
        <v>0.08965517241</v>
      </c>
      <c r="H473" s="28"/>
      <c r="I473" s="55">
        <f t="shared" si="2"/>
        <v>1601.851416</v>
      </c>
      <c r="J473" s="81"/>
      <c r="K473" s="60">
        <f>IFERROR(__xludf.DUMMYFUNCTION("IFERROR(VLOOKUP(C473,IMPORTRANGE(""https://docs.google.com/spreadsheets/d/1HZUHB8NvANAZR0sHDmHYVAm2WE9kNv0pGIQA48Ryim8/edit?gid=1285727875#gid=1285727875"",""Sheet1!A2:G""),7,0))"),424.54)</f>
        <v>424.54</v>
      </c>
      <c r="L473" s="62">
        <f t="shared" si="60"/>
        <v>3.415461441</v>
      </c>
      <c r="M473" s="60">
        <f>IFERROR(__xludf.DUMMYFUNCTION("IFERROR(VLOOKUP(C473,IMPORTRANGE(""https://docs.google.com/spreadsheets/d/1HZUHB8NvANAZR0sHDmHYVAm2WE9kNv0pGIQA48Ryim8/edit?gid=1285727875#gid=1285727875"",""Cost!A2:G""),7,0))"),469.0)</f>
        <v>469</v>
      </c>
      <c r="N473" s="62">
        <f t="shared" si="4"/>
        <v>3.368869936</v>
      </c>
      <c r="O473" s="28"/>
      <c r="P473" s="28"/>
      <c r="Q473" s="28"/>
      <c r="R473" s="28"/>
      <c r="S473" s="28"/>
      <c r="T473" s="28"/>
      <c r="U473" s="65"/>
      <c r="V473" s="28"/>
      <c r="W473" s="65"/>
      <c r="X473" s="66" t="s">
        <v>311</v>
      </c>
      <c r="Y473" s="65" t="str">
        <f t="shared" si="6"/>
        <v>MARCUS 6806</v>
      </c>
    </row>
    <row r="474">
      <c r="A474" s="18" t="s">
        <v>1049</v>
      </c>
      <c r="B474" s="15">
        <v>6807.0</v>
      </c>
      <c r="C474" s="15">
        <v>6807.0</v>
      </c>
      <c r="D474" s="18" t="s">
        <v>71</v>
      </c>
      <c r="E474" s="75">
        <f t="shared" ref="E474:F474" si="80">SUM(E475:E476)</f>
        <v>2730</v>
      </c>
      <c r="F474" s="75">
        <f t="shared" si="80"/>
        <v>2880</v>
      </c>
      <c r="G474" s="50">
        <f t="shared" si="59"/>
        <v>0.05494505495</v>
      </c>
      <c r="H474" s="28"/>
      <c r="I474" s="55">
        <f t="shared" si="2"/>
        <v>2941.660524</v>
      </c>
      <c r="J474" s="81"/>
      <c r="K474" s="60">
        <f>IFERROR(__xludf.DUMMYFUNCTION("IFERROR(VLOOKUP(C474,IMPORTRANGE(""https://docs.google.com/spreadsheets/d/1HZUHB8NvANAZR0sHDmHYVAm2WE9kNv0pGIQA48Ryim8/edit?gid=1285727875#gid=1285727875"",""Sheet1!A2:G""),7,0))"),746.15)</f>
        <v>746.15</v>
      </c>
      <c r="L474" s="62">
        <f t="shared" si="60"/>
        <v>3.658781746</v>
      </c>
      <c r="M474" s="60">
        <f>IFERROR(__xludf.DUMMYFUNCTION("IFERROR(VLOOKUP(C474,IMPORTRANGE(""https://docs.google.com/spreadsheets/d/1HZUHB8NvANAZR0sHDmHYVAm2WE9kNv0pGIQA48Ryim8/edit?gid=1285727875#gid=1285727875"",""Cost!A2:G""),7,0))"),804.0)</f>
        <v>804</v>
      </c>
      <c r="N474" s="62">
        <f t="shared" si="4"/>
        <v>3.582089552</v>
      </c>
      <c r="O474" s="28"/>
      <c r="P474" s="28"/>
      <c r="Q474" s="28"/>
      <c r="R474" s="28"/>
      <c r="S474" s="28"/>
      <c r="T474" s="28"/>
      <c r="U474" s="65"/>
      <c r="V474" s="28"/>
      <c r="W474" s="65"/>
      <c r="X474" s="66" t="s">
        <v>315</v>
      </c>
      <c r="Y474" s="65" t="str">
        <f t="shared" si="6"/>
        <v>MARCUS 6807</v>
      </c>
    </row>
    <row r="475">
      <c r="A475" s="18" t="s">
        <v>1049</v>
      </c>
      <c r="B475" s="15" t="s">
        <v>73</v>
      </c>
      <c r="C475" s="15" t="s">
        <v>73</v>
      </c>
      <c r="D475" s="18" t="s">
        <v>74</v>
      </c>
      <c r="E475" s="93">
        <v>1390.0</v>
      </c>
      <c r="F475" s="39">
        <v>1490.0</v>
      </c>
      <c r="G475" s="50">
        <f t="shared" si="59"/>
        <v>0.07194244604</v>
      </c>
      <c r="H475" s="28"/>
      <c r="I475" s="55">
        <f t="shared" si="2"/>
        <v>1515.459624</v>
      </c>
      <c r="J475" s="81"/>
      <c r="K475" s="60">
        <f>IFERROR(__xludf.DUMMYFUNCTION("IFERROR(VLOOKUP(C475,IMPORTRANGE(""https://docs.google.com/spreadsheets/d/1HZUHB8NvANAZR0sHDmHYVAm2WE9kNv0pGIQA48Ryim8/edit?gid=1285727875#gid=1285727875"",""Sheet1!A2:G""),7,0))"),408.16)</f>
        <v>408.16</v>
      </c>
      <c r="L475" s="62">
        <f t="shared" si="60"/>
        <v>3.405527244</v>
      </c>
      <c r="M475" s="60">
        <f>IFERROR(__xludf.DUMMYFUNCTION("IFERROR(VLOOKUP(C475,IMPORTRANGE(""https://docs.google.com/spreadsheets/d/1HZUHB8NvANAZR0sHDmHYVAm2WE9kNv0pGIQA48Ryim8/edit?gid=1285727875#gid=1285727875"",""Cost!A2:G""),7,0))"),445.0)</f>
        <v>445</v>
      </c>
      <c r="N475" s="62">
        <f t="shared" si="4"/>
        <v>3.348314607</v>
      </c>
      <c r="O475" s="28"/>
      <c r="P475" s="28"/>
      <c r="Q475" s="28"/>
      <c r="R475" s="28"/>
      <c r="S475" s="28"/>
      <c r="T475" s="28"/>
      <c r="U475" s="65"/>
      <c r="V475" s="28"/>
      <c r="W475" s="65"/>
      <c r="X475" s="66" t="s">
        <v>73</v>
      </c>
      <c r="Y475" s="65" t="str">
        <f t="shared" si="6"/>
        <v>MARCUS 68CP-07</v>
      </c>
    </row>
    <row r="476">
      <c r="A476" s="18" t="s">
        <v>1049</v>
      </c>
      <c r="B476" s="15" t="s">
        <v>1054</v>
      </c>
      <c r="C476" s="15" t="s">
        <v>1054</v>
      </c>
      <c r="D476" s="18" t="s">
        <v>78</v>
      </c>
      <c r="E476" s="93">
        <v>1340.0</v>
      </c>
      <c r="F476" s="39">
        <v>1390.0</v>
      </c>
      <c r="G476" s="50">
        <f t="shared" si="59"/>
        <v>0.03731343284</v>
      </c>
      <c r="H476" s="28"/>
      <c r="I476" s="55">
        <f t="shared" si="2"/>
        <v>1344.505524</v>
      </c>
      <c r="J476" s="81"/>
      <c r="K476" s="60">
        <f>IFERROR(__xludf.DUMMYFUNCTION("IFERROR(VLOOKUP(C476,IMPORTRANGE(""https://docs.google.com/spreadsheets/d/1HZUHB8NvANAZR0sHDmHYVAm2WE9kNv0pGIQA48Ryim8/edit?gid=1285727875#gid=1285727875"",""Sheet1!A2:G""),7,0))"),374.74)</f>
        <v>374.74</v>
      </c>
      <c r="L476" s="62">
        <f t="shared" si="60"/>
        <v>3.575812563</v>
      </c>
      <c r="M476" s="60">
        <f>IFERROR(__xludf.DUMMYFUNCTION("IFERROR(VLOOKUP(C476,IMPORTRANGE(""https://docs.google.com/spreadsheets/d/1HZUHB8NvANAZR0sHDmHYVAm2WE9kNv0pGIQA48Ryim8/edit?gid=1285727875#gid=1285727875"",""Cost!A2:G""),7,0))"),376.0)</f>
        <v>376</v>
      </c>
      <c r="N476" s="62">
        <f t="shared" si="4"/>
        <v>3.696808511</v>
      </c>
      <c r="O476" s="28"/>
      <c r="P476" s="28"/>
      <c r="Q476" s="28"/>
      <c r="R476" s="28"/>
      <c r="S476" s="28"/>
      <c r="T476" s="28"/>
      <c r="U476" s="65"/>
      <c r="V476" s="28"/>
      <c r="W476" s="65"/>
      <c r="X476" s="66" t="s">
        <v>77</v>
      </c>
      <c r="Y476" s="65" t="str">
        <f t="shared" si="6"/>
        <v>MARCUS 68CP</v>
      </c>
    </row>
    <row r="477">
      <c r="A477" s="18" t="s">
        <v>1049</v>
      </c>
      <c r="B477" s="91">
        <f t="shared" ref="B477:B508" si="81">C477</f>
        <v>6808</v>
      </c>
      <c r="C477" s="15">
        <v>6808.0</v>
      </c>
      <c r="D477" s="18" t="s">
        <v>81</v>
      </c>
      <c r="E477" s="39">
        <v>1590.0</v>
      </c>
      <c r="F477" s="39">
        <v>1740.0</v>
      </c>
      <c r="G477" s="50">
        <f t="shared" si="59"/>
        <v>0.09433962264</v>
      </c>
      <c r="H477" s="28"/>
      <c r="I477" s="55">
        <f t="shared" si="2"/>
        <v>1756.335283</v>
      </c>
      <c r="J477" s="81"/>
      <c r="K477" s="60">
        <f>IFERROR(__xludf.DUMMYFUNCTION("IFERROR(VLOOKUP(C477,IMPORTRANGE(""https://docs.google.com/spreadsheets/d/1HZUHB8NvANAZR0sHDmHYVAm2WE9kNv0pGIQA48Ryim8/edit?gid=1285727875#gid=1285727875"",""Sheet1!A2:G""),7,0))"),461.7)</f>
        <v>461.7</v>
      </c>
      <c r="L477" s="62">
        <f t="shared" si="60"/>
        <v>3.443794672</v>
      </c>
      <c r="M477" s="60">
        <f>IFERROR(__xludf.DUMMYFUNCTION("IFERROR(VLOOKUP(C477,IMPORTRANGE(""https://docs.google.com/spreadsheets/d/1HZUHB8NvANAZR0sHDmHYVAm2WE9kNv0pGIQA48Ryim8/edit?gid=1285727875#gid=1285727875"",""Cost!A2:G""),7,0))"),510.0)</f>
        <v>510</v>
      </c>
      <c r="N477" s="62">
        <f t="shared" si="4"/>
        <v>3.411764706</v>
      </c>
      <c r="O477" s="28"/>
      <c r="P477" s="28"/>
      <c r="Q477" s="28"/>
      <c r="R477" s="28"/>
      <c r="S477" s="28"/>
      <c r="T477" s="28"/>
      <c r="U477" s="65"/>
      <c r="V477" s="28"/>
      <c r="W477" s="65"/>
      <c r="X477" s="66" t="s">
        <v>321</v>
      </c>
      <c r="Y477" s="65" t="str">
        <f t="shared" si="6"/>
        <v>MARCUS 6808</v>
      </c>
    </row>
    <row r="478">
      <c r="A478" s="18" t="s">
        <v>1049</v>
      </c>
      <c r="B478" s="91">
        <f t="shared" si="81"/>
        <v>6810</v>
      </c>
      <c r="C478" s="15">
        <v>6810.0</v>
      </c>
      <c r="D478" s="18" t="s">
        <v>89</v>
      </c>
      <c r="E478" s="75">
        <v>1020.0</v>
      </c>
      <c r="F478" s="39">
        <v>1140.0</v>
      </c>
      <c r="G478" s="50">
        <f t="shared" si="59"/>
        <v>0.1176470588</v>
      </c>
      <c r="H478" s="28"/>
      <c r="I478" s="55">
        <f t="shared" si="2"/>
        <v>1156.268368</v>
      </c>
      <c r="J478" s="81"/>
      <c r="K478" s="60">
        <f>IFERROR(__xludf.DUMMYFUNCTION("IFERROR(VLOOKUP(C478,IMPORTRANGE(""https://docs.google.com/spreadsheets/d/1HZUHB8NvANAZR0sHDmHYVAm2WE9kNv0pGIQA48Ryim8/edit?gid=1285727875#gid=1285727875"",""Sheet1!A2:G""),7,0))"),238.18)</f>
        <v>238.18</v>
      </c>
      <c r="L478" s="62">
        <f t="shared" si="60"/>
        <v>4.282475439</v>
      </c>
      <c r="M478" s="60">
        <f>IFERROR(__xludf.DUMMYFUNCTION("IFERROR(VLOOKUP(C478,IMPORTRANGE(""https://docs.google.com/spreadsheets/d/1HZUHB8NvANAZR0sHDmHYVAm2WE9kNv0pGIQA48Ryim8/edit?gid=1285727875#gid=1285727875"",""Cost!A2:G""),7,0))"),270.0)</f>
        <v>270</v>
      </c>
      <c r="N478" s="62">
        <f t="shared" si="4"/>
        <v>4.222222222</v>
      </c>
      <c r="O478" s="28"/>
      <c r="P478" s="28"/>
      <c r="Q478" s="28"/>
      <c r="R478" s="28"/>
      <c r="S478" s="28"/>
      <c r="T478" s="28"/>
      <c r="U478" s="65"/>
      <c r="V478" s="28"/>
      <c r="W478" s="65"/>
      <c r="X478" s="66" t="s">
        <v>87</v>
      </c>
      <c r="Y478" s="65" t="str">
        <f t="shared" si="6"/>
        <v>MARCUS 6810</v>
      </c>
    </row>
    <row r="479">
      <c r="A479" s="18" t="s">
        <v>1049</v>
      </c>
      <c r="B479" s="91">
        <f t="shared" si="81"/>
        <v>6811</v>
      </c>
      <c r="C479" s="15">
        <v>6811.0</v>
      </c>
      <c r="D479" s="18" t="s">
        <v>94</v>
      </c>
      <c r="E479" s="39">
        <v>1790.0</v>
      </c>
      <c r="F479" s="39">
        <v>1940.0</v>
      </c>
      <c r="G479" s="50">
        <f t="shared" si="59"/>
        <v>0.08379888268</v>
      </c>
      <c r="H479" s="28"/>
      <c r="I479" s="55">
        <f t="shared" si="2"/>
        <v>2018.770595</v>
      </c>
      <c r="J479" s="81"/>
      <c r="K479" s="60">
        <f>IFERROR(__xludf.DUMMYFUNCTION("IFERROR(VLOOKUP(C479,IMPORTRANGE(""https://docs.google.com/spreadsheets/d/1HZUHB8NvANAZR0sHDmHYVAm2WE9kNv0pGIQA48Ryim8/edit?gid=1285727875#gid=1285727875"",""Sheet1!A2:G""),7,0))"),509.84)</f>
        <v>509.84</v>
      </c>
      <c r="L479" s="62">
        <f t="shared" si="60"/>
        <v>3.510905382</v>
      </c>
      <c r="M479" s="60">
        <f>IFERROR(__xludf.DUMMYFUNCTION("IFERROR(VLOOKUP(C479,IMPORTRANGE(""https://docs.google.com/spreadsheets/d/1HZUHB8NvANAZR0sHDmHYVAm2WE9kNv0pGIQA48Ryim8/edit?gid=1285727875#gid=1285727875"",""Cost!A2:G""),7,0))"),575.0)</f>
        <v>575</v>
      </c>
      <c r="N479" s="62">
        <f t="shared" si="4"/>
        <v>3.373913043</v>
      </c>
      <c r="O479" s="28"/>
      <c r="P479" s="28"/>
      <c r="Q479" s="28"/>
      <c r="R479" s="28"/>
      <c r="S479" s="28"/>
      <c r="T479" s="28"/>
      <c r="U479" s="65"/>
      <c r="V479" s="28"/>
      <c r="W479" s="65"/>
      <c r="X479" s="66" t="s">
        <v>91</v>
      </c>
      <c r="Y479" s="65" t="str">
        <f t="shared" si="6"/>
        <v>MARCUS 6811</v>
      </c>
    </row>
    <row r="480">
      <c r="A480" s="18" t="s">
        <v>1049</v>
      </c>
      <c r="B480" s="91">
        <f t="shared" si="81"/>
        <v>6812</v>
      </c>
      <c r="C480" s="15">
        <v>6812.0</v>
      </c>
      <c r="D480" s="18" t="s">
        <v>97</v>
      </c>
      <c r="E480" s="39">
        <v>2390.0</v>
      </c>
      <c r="F480" s="39">
        <v>2590.0</v>
      </c>
      <c r="G480" s="50">
        <f t="shared" si="59"/>
        <v>0.08368200837</v>
      </c>
      <c r="H480" s="28"/>
      <c r="I480" s="55">
        <f t="shared" si="2"/>
        <v>2678.885186</v>
      </c>
      <c r="J480" s="81"/>
      <c r="K480" s="60">
        <f>IFERROR(__xludf.DUMMYFUNCTION("IFERROR(VLOOKUP(C480,IMPORTRANGE(""https://docs.google.com/spreadsheets/d/1HZUHB8NvANAZR0sHDmHYVAm2WE9kNv0pGIQA48Ryim8/edit?gid=1285727875#gid=1285727875"",""Sheet1!A2:G""),7,0))"),726.22)</f>
        <v>726.22</v>
      </c>
      <c r="L480" s="62">
        <f t="shared" si="60"/>
        <v>3.291013742</v>
      </c>
      <c r="M480" s="60">
        <f>IFERROR(__xludf.DUMMYFUNCTION("IFERROR(VLOOKUP(C480,IMPORTRANGE(""https://docs.google.com/spreadsheets/d/1HZUHB8NvANAZR0sHDmHYVAm2WE9kNv0pGIQA48Ryim8/edit?gid=1285727875#gid=1285727875"",""Cost!A2:G""),7,0))"),814.0)</f>
        <v>814</v>
      </c>
      <c r="N480" s="62">
        <f t="shared" si="4"/>
        <v>3.181818182</v>
      </c>
      <c r="O480" s="28"/>
      <c r="P480" s="28"/>
      <c r="Q480" s="28"/>
      <c r="R480" s="28"/>
      <c r="S480" s="28"/>
      <c r="T480" s="28"/>
      <c r="U480" s="65"/>
      <c r="V480" s="28"/>
      <c r="W480" s="65"/>
      <c r="X480" s="66" t="s">
        <v>95</v>
      </c>
      <c r="Y480" s="65" t="str">
        <f t="shared" si="6"/>
        <v>MARCUS 6812</v>
      </c>
    </row>
    <row r="481">
      <c r="A481" s="18" t="s">
        <v>1049</v>
      </c>
      <c r="B481" s="91">
        <f t="shared" si="81"/>
        <v>6813</v>
      </c>
      <c r="C481" s="15">
        <v>6813.0</v>
      </c>
      <c r="D481" s="18" t="s">
        <v>101</v>
      </c>
      <c r="E481" s="39">
        <v>2090.0</v>
      </c>
      <c r="F481" s="39">
        <v>2340.0</v>
      </c>
      <c r="G481" s="50">
        <f t="shared" si="59"/>
        <v>0.1196172249</v>
      </c>
      <c r="H481" s="28"/>
      <c r="I481" s="55">
        <f t="shared" si="2"/>
        <v>2356.478134</v>
      </c>
      <c r="J481" s="81"/>
      <c r="K481" s="60">
        <f>IFERROR(__xludf.DUMMYFUNCTION("IFERROR(VLOOKUP(C481,IMPORTRANGE(""https://docs.google.com/spreadsheets/d/1HZUHB8NvANAZR0sHDmHYVAm2WE9kNv0pGIQA48Ryim8/edit?gid=1285727875#gid=1285727875"",""Sheet1!A2:G""),7,0))"),650.11)</f>
        <v>650.11</v>
      </c>
      <c r="L481" s="62">
        <f t="shared" si="60"/>
        <v>3.214840565</v>
      </c>
      <c r="M481" s="60">
        <f>IFERROR(__xludf.DUMMYFUNCTION("IFERROR(VLOOKUP(C481,IMPORTRANGE(""https://docs.google.com/spreadsheets/d/1HZUHB8NvANAZR0sHDmHYVAm2WE9kNv0pGIQA48Ryim8/edit?gid=1285727875#gid=1285727875"",""Cost!A2:G""),7,0))"),733.0)</f>
        <v>733</v>
      </c>
      <c r="N481" s="62">
        <f t="shared" si="4"/>
        <v>3.192360164</v>
      </c>
      <c r="O481" s="28"/>
      <c r="P481" s="28"/>
      <c r="Q481" s="28"/>
      <c r="R481" s="28"/>
      <c r="S481" s="28"/>
      <c r="T481" s="28"/>
      <c r="U481" s="65"/>
      <c r="V481" s="28"/>
      <c r="W481" s="65"/>
      <c r="X481" s="66" t="s">
        <v>100</v>
      </c>
      <c r="Y481" s="65" t="str">
        <f t="shared" si="6"/>
        <v>MARCUS 6813</v>
      </c>
    </row>
    <row r="482">
      <c r="A482" s="18" t="s">
        <v>1049</v>
      </c>
      <c r="B482" s="91">
        <f t="shared" si="81"/>
        <v>6814</v>
      </c>
      <c r="C482" s="15">
        <v>6814.0</v>
      </c>
      <c r="D482" s="18" t="s">
        <v>106</v>
      </c>
      <c r="E482" s="39">
        <v>1980.0</v>
      </c>
      <c r="F482" s="39">
        <v>2180.0</v>
      </c>
      <c r="G482" s="50">
        <f t="shared" si="59"/>
        <v>0.101010101</v>
      </c>
      <c r="H482" s="28"/>
      <c r="I482" s="55">
        <f t="shared" si="2"/>
        <v>2184.812544</v>
      </c>
      <c r="J482" s="81"/>
      <c r="K482" s="60">
        <f>IFERROR(__xludf.DUMMYFUNCTION("IFERROR(VLOOKUP(C482,IMPORTRANGE(""https://docs.google.com/spreadsheets/d/1HZUHB8NvANAZR0sHDmHYVAm2WE9kNv0pGIQA48Ryim8/edit?gid=1285727875#gid=1285727875"",""Sheet1!A2:G""),7,0))"),544.66)</f>
        <v>544.66</v>
      </c>
      <c r="L482" s="62">
        <f t="shared" si="60"/>
        <v>3.635295414</v>
      </c>
      <c r="M482" s="60">
        <f>IFERROR(__xludf.DUMMYFUNCTION("IFERROR(VLOOKUP(C482,IMPORTRANGE(""https://docs.google.com/spreadsheets/d/1HZUHB8NvANAZR0sHDmHYVAm2WE9kNv0pGIQA48Ryim8/edit?gid=1285727875#gid=1285727875"",""Cost!A2:G""),7,0))"),601.0)</f>
        <v>601</v>
      </c>
      <c r="N482" s="62">
        <f t="shared" si="4"/>
        <v>3.627287854</v>
      </c>
      <c r="O482" s="28"/>
      <c r="P482" s="28"/>
      <c r="Q482" s="28"/>
      <c r="R482" s="28"/>
      <c r="S482" s="28"/>
      <c r="T482" s="28"/>
      <c r="U482" s="65"/>
      <c r="V482" s="28"/>
      <c r="W482" s="65"/>
      <c r="X482" s="66" t="s">
        <v>104</v>
      </c>
      <c r="Y482" s="65" t="str">
        <f t="shared" si="6"/>
        <v>MARCUS 6814</v>
      </c>
    </row>
    <row r="483">
      <c r="A483" s="18" t="s">
        <v>1049</v>
      </c>
      <c r="B483" s="91">
        <f t="shared" si="81"/>
        <v>6816</v>
      </c>
      <c r="C483" s="15">
        <v>6816.0</v>
      </c>
      <c r="D483" s="18" t="s">
        <v>112</v>
      </c>
      <c r="E483" s="39">
        <v>1880.0</v>
      </c>
      <c r="F483" s="39">
        <v>1980.0</v>
      </c>
      <c r="G483" s="50">
        <f t="shared" si="59"/>
        <v>0.05319148936</v>
      </c>
      <c r="H483" s="28"/>
      <c r="I483" s="55">
        <f t="shared" si="2"/>
        <v>2077.848931</v>
      </c>
      <c r="J483" s="81"/>
      <c r="K483" s="60">
        <f>IFERROR(__xludf.DUMMYFUNCTION("IFERROR(VLOOKUP(C483,IMPORTRANGE(""https://docs.google.com/spreadsheets/d/1HZUHB8NvANAZR0sHDmHYVAm2WE9kNv0pGIQA48Ryim8/edit?gid=1285727875#gid=1285727875"",""Sheet1!A2:G""),7,0))"),518.44)</f>
        <v>518.44</v>
      </c>
      <c r="L483" s="62">
        <f t="shared" si="60"/>
        <v>3.626263406</v>
      </c>
      <c r="M483" s="60">
        <f>IFERROR(__xludf.DUMMYFUNCTION("IFERROR(VLOOKUP(C483,IMPORTRANGE(""https://docs.google.com/spreadsheets/d/1HZUHB8NvANAZR0sHDmHYVAm2WE9kNv0pGIQA48Ryim8/edit?gid=1285727875#gid=1285727875"",""Cost!A2:G""),7,0))"),573.0)</f>
        <v>573</v>
      </c>
      <c r="N483" s="62">
        <f t="shared" si="4"/>
        <v>3.455497382</v>
      </c>
      <c r="O483" s="28"/>
      <c r="P483" s="28"/>
      <c r="Q483" s="28"/>
      <c r="R483" s="28"/>
      <c r="S483" s="28"/>
      <c r="T483" s="28"/>
      <c r="U483" s="65"/>
      <c r="V483" s="28"/>
      <c r="W483" s="65"/>
      <c r="X483" s="66" t="s">
        <v>110</v>
      </c>
      <c r="Y483" s="65" t="str">
        <f t="shared" si="6"/>
        <v>MARCUS 6816</v>
      </c>
    </row>
    <row r="484">
      <c r="A484" s="18" t="s">
        <v>1049</v>
      </c>
      <c r="B484" s="91">
        <f t="shared" si="81"/>
        <v>6818</v>
      </c>
      <c r="C484" s="15">
        <v>6818.0</v>
      </c>
      <c r="D484" s="18" t="s">
        <v>119</v>
      </c>
      <c r="E484" s="39">
        <v>1340.0</v>
      </c>
      <c r="F484" s="39">
        <v>1450.0</v>
      </c>
      <c r="G484" s="50">
        <f t="shared" si="59"/>
        <v>0.08208955224</v>
      </c>
      <c r="H484" s="28"/>
      <c r="I484" s="55">
        <f t="shared" si="2"/>
        <v>1501.109139</v>
      </c>
      <c r="J484" s="81"/>
      <c r="K484" s="60">
        <f>IFERROR(__xludf.DUMMYFUNCTION("IFERROR(VLOOKUP(C484,IMPORTRANGE(""https://docs.google.com/spreadsheets/d/1HZUHB8NvANAZR0sHDmHYVAm2WE9kNv0pGIQA48Ryim8/edit?gid=1285727875#gid=1285727875"",""Sheet1!A2:G""),7,0))"),360.64)</f>
        <v>360.64</v>
      </c>
      <c r="L484" s="62">
        <f t="shared" si="60"/>
        <v>3.715616681</v>
      </c>
      <c r="M484" s="60">
        <f>IFERROR(__xludf.DUMMYFUNCTION("IFERROR(VLOOKUP(C484,IMPORTRANGE(""https://docs.google.com/spreadsheets/d/1HZUHB8NvANAZR0sHDmHYVAm2WE9kNv0pGIQA48Ryim8/edit?gid=1285727875#gid=1285727875"",""Cost!A2:G""),7,0))"),404.0)</f>
        <v>404</v>
      </c>
      <c r="N484" s="62">
        <f t="shared" si="4"/>
        <v>3.589108911</v>
      </c>
      <c r="O484" s="28"/>
      <c r="P484" s="28"/>
      <c r="Q484" s="28"/>
      <c r="R484" s="28"/>
      <c r="S484" s="28"/>
      <c r="T484" s="28"/>
      <c r="U484" s="65"/>
      <c r="V484" s="28"/>
      <c r="W484" s="65"/>
      <c r="X484" s="66" t="s">
        <v>117</v>
      </c>
      <c r="Y484" s="65" t="str">
        <f t="shared" si="6"/>
        <v>MARCUS 6818</v>
      </c>
    </row>
    <row r="485">
      <c r="A485" s="18" t="s">
        <v>1049</v>
      </c>
      <c r="B485" s="91">
        <f t="shared" si="81"/>
        <v>6820</v>
      </c>
      <c r="C485" s="15">
        <v>6820.0</v>
      </c>
      <c r="D485" s="18" t="s">
        <v>122</v>
      </c>
      <c r="E485" s="39">
        <v>1380.0</v>
      </c>
      <c r="F485" s="39">
        <v>1490.0</v>
      </c>
      <c r="G485" s="50">
        <f t="shared" si="59"/>
        <v>0.07971014493</v>
      </c>
      <c r="H485" s="28"/>
      <c r="I485" s="55">
        <f t="shared" si="2"/>
        <v>1548.888409</v>
      </c>
      <c r="J485" s="81"/>
      <c r="K485" s="60">
        <f>IFERROR(__xludf.DUMMYFUNCTION("IFERROR(VLOOKUP(C485,IMPORTRANGE(""https://docs.google.com/spreadsheets/d/1HZUHB8NvANAZR0sHDmHYVAm2WE9kNv0pGIQA48Ryim8/edit?gid=1285727875#gid=1285727875"",""Sheet1!A2:G""),7,0))"),370.64)</f>
        <v>370.64</v>
      </c>
      <c r="L485" s="62">
        <f t="shared" si="60"/>
        <v>3.723289445</v>
      </c>
      <c r="M485" s="60">
        <f>IFERROR(__xludf.DUMMYFUNCTION("IFERROR(VLOOKUP(C485,IMPORTRANGE(""https://docs.google.com/spreadsheets/d/1HZUHB8NvANAZR0sHDmHYVAm2WE9kNv0pGIQA48Ryim8/edit?gid=1285727875#gid=1285727875"",""Cost!A2:G""),7,0))"),416.0)</f>
        <v>416</v>
      </c>
      <c r="N485" s="62">
        <f t="shared" si="4"/>
        <v>3.581730769</v>
      </c>
      <c r="O485" s="28"/>
      <c r="P485" s="28"/>
      <c r="Q485" s="28"/>
      <c r="R485" s="28"/>
      <c r="S485" s="28"/>
      <c r="T485" s="28"/>
      <c r="U485" s="65"/>
      <c r="V485" s="28"/>
      <c r="W485" s="65"/>
      <c r="X485" s="66" t="s">
        <v>120</v>
      </c>
      <c r="Y485" s="65" t="str">
        <f t="shared" si="6"/>
        <v>MARCUS 6820</v>
      </c>
    </row>
    <row r="486">
      <c r="A486" s="18" t="s">
        <v>1049</v>
      </c>
      <c r="B486" s="91">
        <f t="shared" si="81"/>
        <v>6850</v>
      </c>
      <c r="C486" s="15">
        <v>6850.0</v>
      </c>
      <c r="D486" s="18" t="s">
        <v>136</v>
      </c>
      <c r="E486" s="39">
        <v>3580.0</v>
      </c>
      <c r="F486" s="39">
        <v>3880.0</v>
      </c>
      <c r="G486" s="50">
        <f t="shared" si="59"/>
        <v>0.08379888268</v>
      </c>
      <c r="H486" s="28"/>
      <c r="I486" s="55">
        <f t="shared" si="2"/>
        <v>3988.151712</v>
      </c>
      <c r="J486" s="81"/>
      <c r="K486" s="60">
        <f>IFERROR(__xludf.DUMMYFUNCTION("IFERROR(VLOOKUP(C486,IMPORTRANGE(""https://docs.google.com/spreadsheets/d/1HZUHB8NvANAZR0sHDmHYVAm2WE9kNv0pGIQA48Ryim8/edit?gid=1285727875#gid=1285727875"",""Sheet1!A2:G""),7,0))"),889.58)</f>
        <v>889.58</v>
      </c>
      <c r="L486" s="62">
        <f t="shared" si="60"/>
        <v>4.024371052</v>
      </c>
      <c r="M486" s="60">
        <f>IFERROR(__xludf.DUMMYFUNCTION("IFERROR(VLOOKUP(C486,IMPORTRANGE(""https://docs.google.com/spreadsheets/d/1HZUHB8NvANAZR0sHDmHYVAm2WE9kNv0pGIQA48Ryim8/edit?gid=1285727875#gid=1285727875"",""Cost!A2:G""),7,0))"),991.0)</f>
        <v>991</v>
      </c>
      <c r="N486" s="62">
        <f t="shared" si="4"/>
        <v>3.915237134</v>
      </c>
      <c r="O486" s="28"/>
      <c r="P486" s="28"/>
      <c r="Q486" s="28"/>
      <c r="R486" s="28"/>
      <c r="S486" s="28"/>
      <c r="T486" s="28"/>
      <c r="U486" s="65"/>
      <c r="V486" s="28"/>
      <c r="W486" s="65"/>
      <c r="X486" s="66" t="s">
        <v>134</v>
      </c>
      <c r="Y486" s="65" t="str">
        <f t="shared" si="6"/>
        <v>MARCUS 6850</v>
      </c>
    </row>
    <row r="487">
      <c r="A487" s="18" t="s">
        <v>1049</v>
      </c>
      <c r="B487" s="91">
        <f t="shared" si="81"/>
        <v>6851</v>
      </c>
      <c r="C487" s="15">
        <v>6851.0</v>
      </c>
      <c r="D487" s="18" t="s">
        <v>141</v>
      </c>
      <c r="E487" s="75">
        <v>3950.0</v>
      </c>
      <c r="F487" s="39">
        <v>4180.0</v>
      </c>
      <c r="G487" s="50">
        <f t="shared" si="59"/>
        <v>0.0582278481</v>
      </c>
      <c r="H487" s="28"/>
      <c r="I487" s="55">
        <f t="shared" si="2"/>
        <v>4356.218368</v>
      </c>
      <c r="J487" s="81"/>
      <c r="K487" s="60">
        <f>IFERROR(__xludf.DUMMYFUNCTION("IFERROR(VLOOKUP(C487,IMPORTRANGE(""https://docs.google.com/spreadsheets/d/1HZUHB8NvANAZR0sHDmHYVAm2WE9kNv0pGIQA48Ryim8/edit?gid=1285727875#gid=1285727875"",""Sheet1!A2:G""),7,0))"),982.01)</f>
        <v>982.01</v>
      </c>
      <c r="L487" s="62">
        <f t="shared" si="60"/>
        <v>4.022362298</v>
      </c>
      <c r="M487" s="60">
        <f>IFERROR(__xludf.DUMMYFUNCTION("IFERROR(VLOOKUP(C487,IMPORTRANGE(""https://docs.google.com/spreadsheets/d/1HZUHB8NvANAZR0sHDmHYVAm2WE9kNv0pGIQA48Ryim8/edit?gid=1285727875#gid=1285727875"",""Cost!A2:G""),7,0))"),1083.0)</f>
        <v>1083</v>
      </c>
      <c r="N487" s="62">
        <f t="shared" si="4"/>
        <v>3.859649123</v>
      </c>
      <c r="O487" s="28"/>
      <c r="P487" s="28"/>
      <c r="Q487" s="28"/>
      <c r="R487" s="28"/>
      <c r="S487" s="28"/>
      <c r="T487" s="28"/>
      <c r="U487" s="65"/>
      <c r="V487" s="28"/>
      <c r="W487" s="65"/>
      <c r="X487" s="66" t="s">
        <v>139</v>
      </c>
      <c r="Y487" s="65" t="str">
        <f t="shared" si="6"/>
        <v>MARCUS 6851</v>
      </c>
    </row>
    <row r="488">
      <c r="A488" s="18" t="s">
        <v>1049</v>
      </c>
      <c r="B488" s="91">
        <f t="shared" si="81"/>
        <v>6852</v>
      </c>
      <c r="C488" s="15">
        <v>6852.0</v>
      </c>
      <c r="D488" s="18" t="s">
        <v>147</v>
      </c>
      <c r="E488" s="39">
        <v>6190.0</v>
      </c>
      <c r="F488" s="39">
        <v>6640.0</v>
      </c>
      <c r="G488" s="50">
        <f t="shared" si="59"/>
        <v>0.07269789984</v>
      </c>
      <c r="H488" s="28"/>
      <c r="I488" s="55">
        <f t="shared" si="2"/>
        <v>6844.730905</v>
      </c>
      <c r="J488" s="81"/>
      <c r="K488" s="60">
        <f>IFERROR(__xludf.DUMMYFUNCTION("IFERROR(VLOOKUP(C488,IMPORTRANGE(""https://docs.google.com/spreadsheets/d/1HZUHB8NvANAZR0sHDmHYVAm2WE9kNv0pGIQA48Ryim8/edit?gid=1285727875#gid=1285727875"",""Sheet1!A2:G""),7,0))"),1843.96)</f>
        <v>1843.96</v>
      </c>
      <c r="L488" s="62">
        <f t="shared" si="60"/>
        <v>3.35690579</v>
      </c>
      <c r="M488" s="60">
        <f>IFERROR(__xludf.DUMMYFUNCTION("IFERROR(VLOOKUP(C488,IMPORTRANGE(""https://docs.google.com/spreadsheets/d/1HZUHB8NvANAZR0sHDmHYVAm2WE9kNv0pGIQA48Ryim8/edit?gid=1285727875#gid=1285727875"",""Cost!A2:G""),7,0))"),2039.0)</f>
        <v>2039</v>
      </c>
      <c r="N488" s="62">
        <f t="shared" si="4"/>
        <v>3.256498283</v>
      </c>
      <c r="O488" s="28"/>
      <c r="P488" s="28"/>
      <c r="Q488" s="28"/>
      <c r="R488" s="28"/>
      <c r="S488" s="28"/>
      <c r="T488" s="28"/>
      <c r="U488" s="65"/>
      <c r="V488" s="28"/>
      <c r="W488" s="65"/>
      <c r="X488" s="66" t="s">
        <v>144</v>
      </c>
      <c r="Y488" s="65" t="str">
        <f t="shared" si="6"/>
        <v>MARCUS 6852</v>
      </c>
    </row>
    <row r="489">
      <c r="A489" s="18" t="s">
        <v>1049</v>
      </c>
      <c r="B489" s="91">
        <f t="shared" si="81"/>
        <v>6854</v>
      </c>
      <c r="C489" s="15">
        <v>6854.0</v>
      </c>
      <c r="D489" s="18" t="s">
        <v>152</v>
      </c>
      <c r="E489" s="75">
        <f t="shared" ref="E489:F489" si="82">SUM(E490:E491)</f>
        <v>6140</v>
      </c>
      <c r="F489" s="75">
        <f t="shared" si="82"/>
        <v>6450</v>
      </c>
      <c r="G489" s="50">
        <f t="shared" si="59"/>
        <v>0.05048859935</v>
      </c>
      <c r="H489" s="28"/>
      <c r="I489" s="55">
        <f t="shared" si="2"/>
        <v>6598.832489</v>
      </c>
      <c r="J489" s="81"/>
      <c r="K489" s="60">
        <f>IFERROR(__xludf.DUMMYFUNCTION("IFERROR(VLOOKUP(C489,IMPORTRANGE(""https://docs.google.com/spreadsheets/d/1HZUHB8NvANAZR0sHDmHYVAm2WE9kNv0pGIQA48Ryim8/edit?gid=1285727875#gid=1285727875"",""Sheet1!A2:G""),7,0))"),1552.02)</f>
        <v>1552.02</v>
      </c>
      <c r="L489" s="62">
        <f t="shared" si="60"/>
        <v>3.956134586</v>
      </c>
      <c r="M489" s="60">
        <f>IFERROR(__xludf.DUMMYFUNCTION("IFERROR(VLOOKUP(C489,IMPORTRANGE(""https://docs.google.com/spreadsheets/d/1HZUHB8NvANAZR0sHDmHYVAm2WE9kNv0pGIQA48Ryim8/edit?gid=1285727875#gid=1285727875"",""Cost!A2:G""),7,0))"),1668.0)</f>
        <v>1668</v>
      </c>
      <c r="N489" s="62">
        <f t="shared" si="4"/>
        <v>3.866906475</v>
      </c>
      <c r="O489" s="28"/>
      <c r="P489" s="28"/>
      <c r="Q489" s="28"/>
      <c r="R489" s="28"/>
      <c r="S489" s="28"/>
      <c r="T489" s="28"/>
      <c r="U489" s="65"/>
      <c r="V489" s="28"/>
      <c r="W489" s="65"/>
      <c r="X489" s="66" t="s">
        <v>150</v>
      </c>
      <c r="Y489" s="65" t="str">
        <f t="shared" si="6"/>
        <v>MARCUS 6854</v>
      </c>
    </row>
    <row r="490">
      <c r="A490" s="18" t="s">
        <v>1049</v>
      </c>
      <c r="B490" s="91" t="str">
        <f t="shared" si="81"/>
        <v>BD-40</v>
      </c>
      <c r="C490" s="15" t="s">
        <v>154</v>
      </c>
      <c r="D490" s="18" t="s">
        <v>156</v>
      </c>
      <c r="E490" s="39">
        <v>3680.0</v>
      </c>
      <c r="F490" s="39">
        <v>3990.0</v>
      </c>
      <c r="G490" s="50">
        <f t="shared" si="59"/>
        <v>0.08423913043</v>
      </c>
      <c r="H490" s="28"/>
      <c r="I490" s="55">
        <f t="shared" si="2"/>
        <v>4075.59981</v>
      </c>
      <c r="J490" s="81"/>
      <c r="K490" s="60">
        <f>IFERROR(__xludf.DUMMYFUNCTION("IFERROR(VLOOKUP(C490,IMPORTRANGE(""https://docs.google.com/spreadsheets/d/1HZUHB8NvANAZR0sHDmHYVAm2WE9kNv0pGIQA48Ryim8/edit?gid=1285727875#gid=1285727875"",""Sheet1!A2:G""),7,0))"),966.14)</f>
        <v>966.14</v>
      </c>
      <c r="L490" s="62">
        <f t="shared" si="60"/>
        <v>3.808971785</v>
      </c>
      <c r="M490" s="60">
        <f>IFERROR(__xludf.DUMMYFUNCTION("IFERROR(VLOOKUP(C490,IMPORTRANGE(""https://docs.google.com/spreadsheets/d/1HZUHB8NvANAZR0sHDmHYVAm2WE9kNv0pGIQA48Ryim8/edit?gid=1285727875#gid=1285727875"",""Cost!A2:G""),7,0))"),1070.0)</f>
        <v>1070</v>
      </c>
      <c r="N490" s="62">
        <f t="shared" si="4"/>
        <v>3.728971963</v>
      </c>
      <c r="O490" s="28"/>
      <c r="P490" s="28"/>
      <c r="Q490" s="28"/>
      <c r="R490" s="28"/>
      <c r="S490" s="28"/>
      <c r="T490" s="28"/>
      <c r="U490" s="65"/>
      <c r="V490" s="28"/>
      <c r="W490" s="65"/>
      <c r="X490" s="66" t="s">
        <v>154</v>
      </c>
      <c r="Y490" s="65" t="str">
        <f t="shared" si="6"/>
        <v>MARCUS 68BD-40</v>
      </c>
    </row>
    <row r="491">
      <c r="A491" s="18" t="s">
        <v>1049</v>
      </c>
      <c r="B491" s="91" t="str">
        <f t="shared" si="81"/>
        <v>BB-68</v>
      </c>
      <c r="C491" s="15" t="s">
        <v>1063</v>
      </c>
      <c r="D491" s="18" t="s">
        <v>78</v>
      </c>
      <c r="E491" s="39">
        <v>2460.0</v>
      </c>
      <c r="F491" s="39">
        <v>2460.0</v>
      </c>
      <c r="G491" s="50">
        <f t="shared" si="59"/>
        <v>0</v>
      </c>
      <c r="H491" s="28"/>
      <c r="I491" s="55">
        <f t="shared" si="2"/>
        <v>2617.722152</v>
      </c>
      <c r="J491" s="81"/>
      <c r="K491" s="60">
        <f>IFERROR(__xludf.DUMMYFUNCTION("IFERROR(VLOOKUP(C491,IMPORTRANGE(""https://docs.google.com/spreadsheets/d/1HZUHB8NvANAZR0sHDmHYVAm2WE9kNv0pGIQA48Ryim8/edit?gid=1285727875#gid=1285727875"",""Sheet1!A2:G""),7,0))"),560.09)</f>
        <v>560.09</v>
      </c>
      <c r="L491" s="62">
        <f t="shared" si="60"/>
        <v>4.392151261</v>
      </c>
      <c r="M491" s="60">
        <f>IFERROR(__xludf.DUMMYFUNCTION("IFERROR(VLOOKUP(C491,IMPORTRANGE(""https://docs.google.com/spreadsheets/d/1HZUHB8NvANAZR0sHDmHYVAm2WE9kNv0pGIQA48Ryim8/edit?gid=1285727875#gid=1285727875"",""Cost!A2:G""),7,0))"),596.0)</f>
        <v>596</v>
      </c>
      <c r="N491" s="62">
        <f t="shared" si="4"/>
        <v>4.127516779</v>
      </c>
      <c r="O491" s="28"/>
      <c r="P491" s="28"/>
      <c r="Q491" s="28"/>
      <c r="R491" s="28"/>
      <c r="S491" s="28"/>
      <c r="T491" s="28"/>
      <c r="U491" s="65"/>
      <c r="V491" s="28"/>
      <c r="W491" s="65"/>
      <c r="X491" s="66" t="s">
        <v>159</v>
      </c>
      <c r="Y491" s="65" t="str">
        <f t="shared" si="6"/>
        <v>MARCUS 68BB</v>
      </c>
    </row>
    <row r="492">
      <c r="A492" s="18" t="s">
        <v>1049</v>
      </c>
      <c r="B492" s="91" t="str">
        <f t="shared" si="81"/>
        <v>6854-S</v>
      </c>
      <c r="C492" s="82" t="s">
        <v>1065</v>
      </c>
      <c r="D492" s="18" t="s">
        <v>152</v>
      </c>
      <c r="E492" s="75">
        <f>SUM(E493:E494)</f>
        <v>5740</v>
      </c>
      <c r="F492" s="83" t="s">
        <v>202</v>
      </c>
      <c r="G492" s="50" t="str">
        <f t="shared" si="59"/>
        <v/>
      </c>
      <c r="H492" s="28"/>
      <c r="I492" s="55">
        <f t="shared" si="2"/>
        <v>0</v>
      </c>
      <c r="J492" s="81"/>
      <c r="K492" s="60" t="str">
        <f>IFERROR(__xludf.DUMMYFUNCTION("IFERROR(VLOOKUP(C492,IMPORTRANGE(""https://docs.google.com/spreadsheets/d/1HZUHB8NvANAZR0sHDmHYVAm2WE9kNv0pGIQA48Ryim8/edit?gid=1285727875#gid=1285727875"",""Sheet1!A2:G""),7,0))"),"")</f>
        <v/>
      </c>
      <c r="L492" s="62" t="str">
        <f t="shared" si="60"/>
        <v/>
      </c>
      <c r="M492" s="60" t="str">
        <f>IFERROR(__xludf.DUMMYFUNCTION("IFERROR(VLOOKUP(C492,IMPORTRANGE(""https://docs.google.com/spreadsheets/d/1HZUHB8NvANAZR0sHDmHYVAm2WE9kNv0pGIQA48Ryim8/edit?gid=1285727875#gid=1285727875"",""Cost!A2:G""),7,0))"),"")</f>
        <v/>
      </c>
      <c r="N492" s="62" t="str">
        <f t="shared" si="4"/>
        <v/>
      </c>
      <c r="O492" s="28"/>
      <c r="P492" s="28"/>
      <c r="Q492" s="28"/>
      <c r="R492" s="28"/>
      <c r="S492" s="28"/>
      <c r="T492" s="28"/>
      <c r="U492" s="65"/>
      <c r="V492" s="28"/>
      <c r="W492" s="65"/>
      <c r="X492" s="66" t="s">
        <v>342</v>
      </c>
      <c r="Y492" s="65" t="str">
        <f t="shared" si="6"/>
        <v>MARCUS 6854-S</v>
      </c>
    </row>
    <row r="493">
      <c r="A493" s="18" t="s">
        <v>1049</v>
      </c>
      <c r="B493" s="91" t="str">
        <f t="shared" si="81"/>
        <v>BD-40</v>
      </c>
      <c r="C493" s="82" t="s">
        <v>154</v>
      </c>
      <c r="D493" s="18" t="s">
        <v>156</v>
      </c>
      <c r="E493" s="39">
        <v>3680.0</v>
      </c>
      <c r="F493" s="83" t="s">
        <v>202</v>
      </c>
      <c r="G493" s="50" t="str">
        <f t="shared" si="59"/>
        <v/>
      </c>
      <c r="H493" s="28"/>
      <c r="I493" s="55">
        <f t="shared" si="2"/>
        <v>4075.59981</v>
      </c>
      <c r="J493" s="81"/>
      <c r="K493" s="60">
        <f>IFERROR(__xludf.DUMMYFUNCTION("IFERROR(VLOOKUP(C493,IMPORTRANGE(""https://docs.google.com/spreadsheets/d/1HZUHB8NvANAZR0sHDmHYVAm2WE9kNv0pGIQA48Ryim8/edit?gid=1285727875#gid=1285727875"",""Sheet1!A2:G""),7,0))"),966.14)</f>
        <v>966.14</v>
      </c>
      <c r="L493" s="62">
        <f t="shared" si="60"/>
        <v>3.808971785</v>
      </c>
      <c r="M493" s="60">
        <f>IFERROR(__xludf.DUMMYFUNCTION("IFERROR(VLOOKUP(C493,IMPORTRANGE(""https://docs.google.com/spreadsheets/d/1HZUHB8NvANAZR0sHDmHYVAm2WE9kNv0pGIQA48Ryim8/edit?gid=1285727875#gid=1285727875"",""Cost!A2:G""),7,0))"),1070.0)</f>
        <v>1070</v>
      </c>
      <c r="N493" s="62" t="str">
        <f t="shared" si="4"/>
        <v/>
      </c>
      <c r="O493" s="28"/>
      <c r="P493" s="28"/>
      <c r="Q493" s="28"/>
      <c r="R493" s="28"/>
      <c r="S493" s="28"/>
      <c r="T493" s="28"/>
      <c r="U493" s="65"/>
      <c r="V493" s="28"/>
      <c r="W493" s="65"/>
      <c r="X493" s="66" t="s">
        <v>154</v>
      </c>
      <c r="Y493" s="65" t="str">
        <f t="shared" si="6"/>
        <v>MARCUS 68BD-40</v>
      </c>
    </row>
    <row r="494">
      <c r="A494" s="18" t="s">
        <v>1049</v>
      </c>
      <c r="B494" s="91" t="str">
        <f t="shared" si="81"/>
        <v>BB-68-S</v>
      </c>
      <c r="C494" s="82" t="s">
        <v>1067</v>
      </c>
      <c r="D494" s="18" t="s">
        <v>78</v>
      </c>
      <c r="E494" s="39">
        <v>2060.0</v>
      </c>
      <c r="F494" s="83" t="s">
        <v>202</v>
      </c>
      <c r="G494" s="50" t="str">
        <f t="shared" si="59"/>
        <v/>
      </c>
      <c r="H494" s="28"/>
      <c r="I494" s="55">
        <f t="shared" si="2"/>
        <v>0</v>
      </c>
      <c r="J494" s="81"/>
      <c r="K494" s="60" t="str">
        <f>IFERROR(__xludf.DUMMYFUNCTION("IFERROR(VLOOKUP(C494,IMPORTRANGE(""https://docs.google.com/spreadsheets/d/1HZUHB8NvANAZR0sHDmHYVAm2WE9kNv0pGIQA48Ryim8/edit?gid=1285727875#gid=1285727875"",""Sheet1!A2:G""),7,0))"),"")</f>
        <v/>
      </c>
      <c r="L494" s="62" t="str">
        <f t="shared" si="60"/>
        <v/>
      </c>
      <c r="M494" s="60" t="str">
        <f>IFERROR(__xludf.DUMMYFUNCTION("IFERROR(VLOOKUP(C494,IMPORTRANGE(""https://docs.google.com/spreadsheets/d/1HZUHB8NvANAZR0sHDmHYVAm2WE9kNv0pGIQA48Ryim8/edit?gid=1285727875#gid=1285727875"",""Cost!A2:G""),7,0))"),"")</f>
        <v/>
      </c>
      <c r="N494" s="62" t="str">
        <f t="shared" si="4"/>
        <v/>
      </c>
      <c r="O494" s="28"/>
      <c r="P494" s="28"/>
      <c r="Q494" s="28"/>
      <c r="R494" s="28"/>
      <c r="S494" s="28"/>
      <c r="T494" s="28"/>
      <c r="U494" s="65"/>
      <c r="V494" s="28"/>
      <c r="W494" s="65"/>
      <c r="X494" s="66" t="s">
        <v>159</v>
      </c>
      <c r="Y494" s="65" t="str">
        <f t="shared" si="6"/>
        <v>MARCUS 68BB</v>
      </c>
    </row>
    <row r="495">
      <c r="A495" s="18" t="s">
        <v>1049</v>
      </c>
      <c r="B495" s="91">
        <f t="shared" si="81"/>
        <v>6855</v>
      </c>
      <c r="C495" s="15">
        <v>6855.0</v>
      </c>
      <c r="D495" s="18" t="s">
        <v>164</v>
      </c>
      <c r="E495" s="75">
        <v>3950.0</v>
      </c>
      <c r="F495" s="39">
        <v>4240.0</v>
      </c>
      <c r="G495" s="50">
        <f t="shared" si="59"/>
        <v>0.07341772152</v>
      </c>
      <c r="H495" s="28"/>
      <c r="I495" s="55">
        <f t="shared" si="2"/>
        <v>4374.04603</v>
      </c>
      <c r="J495" s="81"/>
      <c r="K495" s="60">
        <f>IFERROR(__xludf.DUMMYFUNCTION("IFERROR(VLOOKUP(C495,IMPORTRANGE(""https://docs.google.com/spreadsheets/d/1HZUHB8NvANAZR0sHDmHYVAm2WE9kNv0pGIQA48Ryim8/edit?gid=1285727875#gid=1285727875"",""Sheet1!A2:G""),7,0))"),1002.39)</f>
        <v>1002.39</v>
      </c>
      <c r="L495" s="62">
        <f t="shared" si="60"/>
        <v>3.940582009</v>
      </c>
      <c r="M495" s="60">
        <f>IFERROR(__xludf.DUMMYFUNCTION("IFERROR(VLOOKUP(C495,IMPORTRANGE(""https://docs.google.com/spreadsheets/d/1HZUHB8NvANAZR0sHDmHYVAm2WE9kNv0pGIQA48Ryim8/edit?gid=1285727875#gid=1285727875"",""Cost!A2:G""),7,0))"),1110.0)</f>
        <v>1110</v>
      </c>
      <c r="N495" s="62">
        <f t="shared" si="4"/>
        <v>3.81981982</v>
      </c>
      <c r="O495" s="28"/>
      <c r="P495" s="28"/>
      <c r="Q495" s="28"/>
      <c r="R495" s="28"/>
      <c r="S495" s="28"/>
      <c r="T495" s="28"/>
      <c r="U495" s="65"/>
      <c r="V495" s="28"/>
      <c r="W495" s="65"/>
      <c r="X495" s="66" t="s">
        <v>162</v>
      </c>
      <c r="Y495" s="65" t="str">
        <f t="shared" si="6"/>
        <v>MARCUS 6855</v>
      </c>
    </row>
    <row r="496">
      <c r="A496" s="18" t="s">
        <v>1049</v>
      </c>
      <c r="B496" s="91">
        <f t="shared" si="81"/>
        <v>6865</v>
      </c>
      <c r="C496" s="15">
        <v>6865.0</v>
      </c>
      <c r="D496" s="18" t="s">
        <v>182</v>
      </c>
      <c r="E496" s="75">
        <v>4190.0</v>
      </c>
      <c r="F496" s="39">
        <v>4580.0</v>
      </c>
      <c r="G496" s="50">
        <f t="shared" si="59"/>
        <v>0.09307875895</v>
      </c>
      <c r="H496" s="28"/>
      <c r="I496" s="55">
        <f t="shared" si="2"/>
        <v>4584.617206</v>
      </c>
      <c r="J496" s="81"/>
      <c r="K496" s="60">
        <f>IFERROR(__xludf.DUMMYFUNCTION("IFERROR(VLOOKUP(C496,IMPORTRANGE(""https://docs.google.com/spreadsheets/d/1HZUHB8NvANAZR0sHDmHYVAm2WE9kNv0pGIQA48Ryim8/edit?gid=1285727875#gid=1285727875"",""Sheet1!A2:G""),7,0))"),1182.62)</f>
        <v>1182.62</v>
      </c>
      <c r="L496" s="62">
        <f t="shared" si="60"/>
        <v>3.542980839</v>
      </c>
      <c r="M496" s="60">
        <f>IFERROR(__xludf.DUMMYFUNCTION("IFERROR(VLOOKUP(C496,IMPORTRANGE(""https://docs.google.com/spreadsheets/d/1HZUHB8NvANAZR0sHDmHYVAm2WE9kNv0pGIQA48Ryim8/edit?gid=1285727875#gid=1285727875"",""Cost!A2:G""),7,0))"),1294.0)</f>
        <v>1294</v>
      </c>
      <c r="N496" s="62">
        <f t="shared" si="4"/>
        <v>3.539412674</v>
      </c>
      <c r="O496" s="28"/>
      <c r="P496" s="28"/>
      <c r="Q496" s="28"/>
      <c r="R496" s="28"/>
      <c r="S496" s="28"/>
      <c r="T496" s="28"/>
      <c r="U496" s="65"/>
      <c r="V496" s="28"/>
      <c r="W496" s="65"/>
      <c r="X496" s="66" t="s">
        <v>181</v>
      </c>
      <c r="Y496" s="65" t="str">
        <f t="shared" si="6"/>
        <v>MARCUS 6865</v>
      </c>
    </row>
    <row r="497">
      <c r="A497" s="18" t="s">
        <v>1049</v>
      </c>
      <c r="B497" s="91">
        <f t="shared" si="81"/>
        <v>6870</v>
      </c>
      <c r="C497" s="15">
        <v>6870.0</v>
      </c>
      <c r="D497" s="18" t="s">
        <v>186</v>
      </c>
      <c r="E497" s="39">
        <v>5980.0</v>
      </c>
      <c r="F497" s="39">
        <v>6440.0</v>
      </c>
      <c r="G497" s="50">
        <f t="shared" si="59"/>
        <v>0.07692307692</v>
      </c>
      <c r="H497" s="28"/>
      <c r="I497" s="55">
        <f t="shared" si="2"/>
        <v>6671.515195</v>
      </c>
      <c r="J497" s="81"/>
      <c r="K497" s="60">
        <f>IFERROR(__xludf.DUMMYFUNCTION("IFERROR(VLOOKUP(C497,IMPORTRANGE(""https://docs.google.com/spreadsheets/d/1HZUHB8NvANAZR0sHDmHYVAm2WE9kNv0pGIQA48Ryim8/edit?gid=1285727875#gid=1285727875"",""Sheet1!A2:G""),7,0))"),1678.86)</f>
        <v>1678.86</v>
      </c>
      <c r="L497" s="62">
        <f t="shared" si="60"/>
        <v>3.561940841</v>
      </c>
      <c r="M497" s="60">
        <f>IFERROR(__xludf.DUMMYFUNCTION("IFERROR(VLOOKUP(C497,IMPORTRANGE(""https://docs.google.com/spreadsheets/d/1HZUHB8NvANAZR0sHDmHYVAm2WE9kNv0pGIQA48Ryim8/edit?gid=1285727875#gid=1285727875"",""Cost!A2:G""),7,0))"),1873.0)</f>
        <v>1873</v>
      </c>
      <c r="N497" s="62">
        <f t="shared" si="4"/>
        <v>3.438334223</v>
      </c>
      <c r="O497" s="28"/>
      <c r="P497" s="28"/>
      <c r="Q497" s="28"/>
      <c r="R497" s="28"/>
      <c r="S497" s="28"/>
      <c r="T497" s="28"/>
      <c r="U497" s="65"/>
      <c r="V497" s="28"/>
      <c r="W497" s="65"/>
      <c r="X497" s="66" t="s">
        <v>184</v>
      </c>
      <c r="Y497" s="65" t="str">
        <f t="shared" si="6"/>
        <v>MARCUS 6870</v>
      </c>
    </row>
    <row r="498">
      <c r="A498" s="18" t="s">
        <v>1049</v>
      </c>
      <c r="B498" s="91">
        <f t="shared" si="81"/>
        <v>6875</v>
      </c>
      <c r="C498" s="15">
        <v>6875.0</v>
      </c>
      <c r="D498" s="18" t="s">
        <v>196</v>
      </c>
      <c r="E498" s="39">
        <v>5980.0</v>
      </c>
      <c r="F498" s="39">
        <v>6440.0</v>
      </c>
      <c r="G498" s="50">
        <f t="shared" si="59"/>
        <v>0.07692307692</v>
      </c>
      <c r="H498" s="28"/>
      <c r="I498" s="55">
        <f t="shared" si="2"/>
        <v>6660.666351</v>
      </c>
      <c r="J498" s="81"/>
      <c r="K498" s="60">
        <f>IFERROR(__xludf.DUMMYFUNCTION("IFERROR(VLOOKUP(C498,IMPORTRANGE(""https://docs.google.com/spreadsheets/d/1HZUHB8NvANAZR0sHDmHYVAm2WE9kNv0pGIQA48Ryim8/edit?gid=1285727875#gid=1285727875"",""Sheet1!A2:G""),7,0))"),1646.58)</f>
        <v>1646.58</v>
      </c>
      <c r="L498" s="62">
        <f t="shared" si="60"/>
        <v>3.631770093</v>
      </c>
      <c r="M498" s="60">
        <f>IFERROR(__xludf.DUMMYFUNCTION("IFERROR(VLOOKUP(C498,IMPORTRANGE(""https://docs.google.com/spreadsheets/d/1HZUHB8NvANAZR0sHDmHYVAm2WE9kNv0pGIQA48Ryim8/edit?gid=1285727875#gid=1285727875"",""Cost!A2:G""),7,0))"),1834.0)</f>
        <v>1834</v>
      </c>
      <c r="N498" s="62">
        <f t="shared" si="4"/>
        <v>3.511450382</v>
      </c>
      <c r="O498" s="28"/>
      <c r="P498" s="28"/>
      <c r="Q498" s="28"/>
      <c r="R498" s="28"/>
      <c r="S498" s="28"/>
      <c r="T498" s="28"/>
      <c r="U498" s="65"/>
      <c r="V498" s="28"/>
      <c r="W498" s="65"/>
      <c r="X498" s="66" t="s">
        <v>194</v>
      </c>
      <c r="Y498" s="65" t="str">
        <f t="shared" si="6"/>
        <v>MARCUS 6875</v>
      </c>
    </row>
    <row r="499">
      <c r="A499" s="18" t="s">
        <v>1049</v>
      </c>
      <c r="B499" s="91">
        <f t="shared" si="81"/>
        <v>6880</v>
      </c>
      <c r="C499" s="15">
        <v>6880.0</v>
      </c>
      <c r="D499" s="18" t="s">
        <v>205</v>
      </c>
      <c r="E499" s="39">
        <v>6760.0</v>
      </c>
      <c r="F499" s="39">
        <v>7440.0</v>
      </c>
      <c r="G499" s="50">
        <f t="shared" si="59"/>
        <v>0.100591716</v>
      </c>
      <c r="H499" s="28"/>
      <c r="I499" s="55">
        <f t="shared" si="2"/>
        <v>7518.870142</v>
      </c>
      <c r="J499" s="81"/>
      <c r="K499" s="60">
        <f>IFERROR(__xludf.DUMMYFUNCTION("IFERROR(VLOOKUP(C499,IMPORTRANGE(""https://docs.google.com/spreadsheets/d/1HZUHB8NvANAZR0sHDmHYVAm2WE9kNv0pGIQA48Ryim8/edit?gid=1285727875#gid=1285727875"",""Sheet1!A2:G""),7,0))"),1829.61)</f>
        <v>1829.61</v>
      </c>
      <c r="L499" s="62">
        <f t="shared" si="60"/>
        <v>3.694776482</v>
      </c>
      <c r="M499" s="60">
        <f>IFERROR(__xludf.DUMMYFUNCTION("IFERROR(VLOOKUP(C499,IMPORTRANGE(""https://docs.google.com/spreadsheets/d/1HZUHB8NvANAZR0sHDmHYVAm2WE9kNv0pGIQA48Ryim8/edit?gid=1285727875#gid=1285727875"",""Cost!A2:G""),7,0))"),2035.0)</f>
        <v>2035</v>
      </c>
      <c r="N499" s="62">
        <f t="shared" si="4"/>
        <v>3.656019656</v>
      </c>
      <c r="O499" s="28"/>
      <c r="P499" s="28"/>
      <c r="Q499" s="28"/>
      <c r="R499" s="28"/>
      <c r="S499" s="28"/>
      <c r="T499" s="28"/>
      <c r="U499" s="65"/>
      <c r="V499" s="28"/>
      <c r="W499" s="65"/>
      <c r="X499" s="66" t="s">
        <v>203</v>
      </c>
      <c r="Y499" s="65" t="str">
        <f t="shared" si="6"/>
        <v>MARCUS 6880</v>
      </c>
    </row>
    <row r="500">
      <c r="A500" s="18" t="s">
        <v>1049</v>
      </c>
      <c r="B500" s="91" t="str">
        <f t="shared" si="81"/>
        <v>6891-N</v>
      </c>
      <c r="C500" s="15" t="s">
        <v>1070</v>
      </c>
      <c r="D500" s="18" t="s">
        <v>210</v>
      </c>
      <c r="E500" s="75">
        <f t="shared" ref="E500:F500" si="83">SUM(E501:E502)</f>
        <v>6020</v>
      </c>
      <c r="F500" s="75">
        <f t="shared" si="83"/>
        <v>6360</v>
      </c>
      <c r="G500" s="50">
        <f t="shared" si="59"/>
        <v>0.05647840532</v>
      </c>
      <c r="H500" s="28"/>
      <c r="I500" s="55">
        <f t="shared" si="2"/>
        <v>6551.772705</v>
      </c>
      <c r="J500" s="81"/>
      <c r="K500" s="60">
        <f>IFERROR(__xludf.DUMMYFUNCTION("IFERROR(VLOOKUP(C500,IMPORTRANGE(""https://docs.google.com/spreadsheets/d/1HZUHB8NvANAZR0sHDmHYVAm2WE9kNv0pGIQA48Ryim8/edit?gid=1285727875#gid=1285727875"",""Sheet1!A2:G""),7,0))"),1562.02)</f>
        <v>1562.02</v>
      </c>
      <c r="L500" s="62">
        <f t="shared" si="60"/>
        <v>3.853983944</v>
      </c>
      <c r="M500" s="60">
        <f>IFERROR(__xludf.DUMMYFUNCTION("IFERROR(VLOOKUP(C500,IMPORTRANGE(""https://docs.google.com/spreadsheets/d/1HZUHB8NvANAZR0sHDmHYVAm2WE9kNv0pGIQA48Ryim8/edit?gid=1285727875#gid=1285727875"",""Cost!A2:G""),7,0))"),1700.0)</f>
        <v>1700</v>
      </c>
      <c r="N500" s="62">
        <f t="shared" si="4"/>
        <v>3.741176471</v>
      </c>
      <c r="O500" s="28"/>
      <c r="P500" s="28"/>
      <c r="Q500" s="28"/>
      <c r="R500" s="28"/>
      <c r="S500" s="28"/>
      <c r="T500" s="28"/>
      <c r="U500" s="65"/>
      <c r="V500" s="28"/>
      <c r="W500" s="65"/>
      <c r="X500" s="66" t="s">
        <v>209</v>
      </c>
      <c r="Y500" s="65" t="str">
        <f t="shared" si="6"/>
        <v>MARCUS 6891</v>
      </c>
    </row>
    <row r="501">
      <c r="A501" s="18" t="s">
        <v>1049</v>
      </c>
      <c r="B501" s="91" t="str">
        <f t="shared" si="81"/>
        <v>PD-40-N</v>
      </c>
      <c r="C501" s="15" t="s">
        <v>212</v>
      </c>
      <c r="D501" s="18" t="s">
        <v>214</v>
      </c>
      <c r="E501" s="39">
        <v>4240.0</v>
      </c>
      <c r="F501" s="39">
        <v>4580.0</v>
      </c>
      <c r="G501" s="50">
        <f t="shared" si="59"/>
        <v>0.08018867925</v>
      </c>
      <c r="H501" s="28"/>
      <c r="I501" s="55">
        <f t="shared" si="2"/>
        <v>4549.622554</v>
      </c>
      <c r="J501" s="81"/>
      <c r="K501" s="60">
        <f>IFERROR(__xludf.DUMMYFUNCTION("IFERROR(VLOOKUP(C501,IMPORTRANGE(""https://docs.google.com/spreadsheets/d/1HZUHB8NvANAZR0sHDmHYVAm2WE9kNv0pGIQA48Ryim8/edit?gid=1285727875#gid=1285727875"",""Sheet1!A2:G""),7,0))"),1298.2)</f>
        <v>1298.2</v>
      </c>
      <c r="L501" s="62">
        <f t="shared" si="60"/>
        <v>3.266060699</v>
      </c>
      <c r="M501" s="60">
        <f>IFERROR(__xludf.DUMMYFUNCTION("IFERROR(VLOOKUP(C501,IMPORTRANGE(""https://docs.google.com/spreadsheets/d/1HZUHB8NvANAZR0sHDmHYVAm2WE9kNv0pGIQA48Ryim8/edit?gid=1285727875#gid=1285727875"",""Cost!A2:G""),7,0))"),1393.0)</f>
        <v>1393</v>
      </c>
      <c r="N501" s="62">
        <f t="shared" si="4"/>
        <v>3.287867911</v>
      </c>
      <c r="O501" s="28"/>
      <c r="P501" s="28"/>
      <c r="Q501" s="28"/>
      <c r="R501" s="28"/>
      <c r="S501" s="28"/>
      <c r="T501" s="28"/>
      <c r="U501" s="65"/>
      <c r="V501" s="28"/>
      <c r="W501" s="65"/>
      <c r="X501" s="66" t="s">
        <v>212</v>
      </c>
      <c r="Y501" s="65" t="str">
        <f t="shared" si="6"/>
        <v>MARCUS 68PD-40-N</v>
      </c>
    </row>
    <row r="502">
      <c r="A502" s="18" t="s">
        <v>1049</v>
      </c>
      <c r="B502" s="91" t="str">
        <f t="shared" si="81"/>
        <v>DB-68-N</v>
      </c>
      <c r="C502" s="15" t="s">
        <v>1072</v>
      </c>
      <c r="D502" s="18" t="s">
        <v>217</v>
      </c>
      <c r="E502" s="39">
        <v>1780.0</v>
      </c>
      <c r="F502" s="39">
        <v>1780.0</v>
      </c>
      <c r="G502" s="50">
        <f t="shared" si="59"/>
        <v>0</v>
      </c>
      <c r="H502" s="28"/>
      <c r="I502" s="55">
        <f t="shared" si="2"/>
        <v>2075.005752</v>
      </c>
      <c r="J502" s="81"/>
      <c r="K502" s="60">
        <f>IFERROR(__xludf.DUMMYFUNCTION("IFERROR(VLOOKUP(C502,IMPORTRANGE(""https://docs.google.com/spreadsheets/d/1HZUHB8NvANAZR0sHDmHYVAm2WE9kNv0pGIQA48Ryim8/edit?gid=1285727875#gid=1285727875"",""Sheet1!A2:G""),7,0))"),260.78)</f>
        <v>260.78</v>
      </c>
      <c r="L502" s="62">
        <f t="shared" si="60"/>
        <v>6.825676816</v>
      </c>
      <c r="M502" s="60">
        <f>IFERROR(__xludf.DUMMYFUNCTION("IFERROR(VLOOKUP(C502,IMPORTRANGE(""https://docs.google.com/spreadsheets/d/1HZUHB8NvANAZR0sHDmHYVAm2WE9kNv0pGIQA48Ryim8/edit?gid=1285727875#gid=1285727875"",""Cost!A2:G""),7,0))"),304.0)</f>
        <v>304</v>
      </c>
      <c r="N502" s="62">
        <f t="shared" si="4"/>
        <v>5.855263158</v>
      </c>
      <c r="O502" s="28"/>
      <c r="P502" s="28"/>
      <c r="Q502" s="28"/>
      <c r="R502" s="28"/>
      <c r="S502" s="28"/>
      <c r="T502" s="28"/>
      <c r="U502" s="65"/>
      <c r="V502" s="28"/>
      <c r="W502" s="65"/>
      <c r="X502" s="66" t="s">
        <v>358</v>
      </c>
      <c r="Y502" s="65" t="str">
        <f t="shared" si="6"/>
        <v>MARCUS 68DB</v>
      </c>
    </row>
    <row r="503">
      <c r="A503" s="18" t="s">
        <v>1049</v>
      </c>
      <c r="B503" s="91" t="str">
        <f t="shared" si="81"/>
        <v>6892-N</v>
      </c>
      <c r="C503" s="15" t="s">
        <v>1073</v>
      </c>
      <c r="D503" s="18" t="s">
        <v>220</v>
      </c>
      <c r="E503" s="75">
        <f t="shared" ref="E503:F503" si="84">SUM(E504:E505)</f>
        <v>6760</v>
      </c>
      <c r="F503" s="75">
        <f t="shared" si="84"/>
        <v>7270</v>
      </c>
      <c r="G503" s="50">
        <f t="shared" si="59"/>
        <v>0.07544378698</v>
      </c>
      <c r="H503" s="28"/>
      <c r="I503" s="55">
        <f t="shared" si="2"/>
        <v>7596.454833</v>
      </c>
      <c r="J503" s="81"/>
      <c r="K503" s="60">
        <f>IFERROR(__xludf.DUMMYFUNCTION("IFERROR(VLOOKUP(C503,IMPORTRANGE(""https://docs.google.com/spreadsheets/d/1HZUHB8NvANAZR0sHDmHYVAm2WE9kNv0pGIQA48Ryim8/edit?gid=1285727875#gid=1285727875"",""Sheet1!A2:G""),7,0))"),2000.47)</f>
        <v>2000.47</v>
      </c>
      <c r="L503" s="62">
        <f t="shared" si="60"/>
        <v>3.379205887</v>
      </c>
      <c r="M503" s="60">
        <f>IFERROR(__xludf.DUMMYFUNCTION("IFERROR(VLOOKUP(C503,IMPORTRANGE(""https://docs.google.com/spreadsheets/d/1HZUHB8NvANAZR0sHDmHYVAm2WE9kNv0pGIQA48Ryim8/edit?gid=1285727875#gid=1285727875"",""Cost!A2:G""),7,0))"),2248.0)</f>
        <v>2248</v>
      </c>
      <c r="N503" s="62">
        <f t="shared" si="4"/>
        <v>3.233985765</v>
      </c>
      <c r="O503" s="28"/>
      <c r="P503" s="28"/>
      <c r="Q503" s="28"/>
      <c r="R503" s="28"/>
      <c r="S503" s="28"/>
      <c r="T503" s="28"/>
      <c r="U503" s="65"/>
      <c r="V503" s="28"/>
      <c r="W503" s="65"/>
      <c r="X503" s="66" t="s">
        <v>219</v>
      </c>
      <c r="Y503" s="65" t="str">
        <f t="shared" si="6"/>
        <v>MARCUS 6892</v>
      </c>
    </row>
    <row r="504">
      <c r="A504" s="18" t="s">
        <v>1049</v>
      </c>
      <c r="B504" s="91" t="str">
        <f t="shared" si="81"/>
        <v>PD-46-H-N</v>
      </c>
      <c r="C504" s="15" t="s">
        <v>223</v>
      </c>
      <c r="D504" s="18" t="s">
        <v>224</v>
      </c>
      <c r="E504" s="39">
        <v>4980.0</v>
      </c>
      <c r="F504" s="39">
        <v>5490.0</v>
      </c>
      <c r="G504" s="50">
        <f t="shared" si="59"/>
        <v>0.1024096386</v>
      </c>
      <c r="H504" s="28"/>
      <c r="I504" s="55">
        <f t="shared" si="2"/>
        <v>5513.426362</v>
      </c>
      <c r="J504" s="81"/>
      <c r="K504" s="60">
        <f>IFERROR(__xludf.DUMMYFUNCTION("IFERROR(VLOOKUP(C504,IMPORTRANGE(""https://docs.google.com/spreadsheets/d/1HZUHB8NvANAZR0sHDmHYVAm2WE9kNv0pGIQA48Ryim8/edit?gid=1285727875#gid=1285727875"",""Sheet1!A2:G""),7,0))"),1581.59)</f>
        <v>1581.59</v>
      </c>
      <c r="L504" s="62">
        <f t="shared" si="60"/>
        <v>3.148730075</v>
      </c>
      <c r="M504" s="60">
        <f>IFERROR(__xludf.DUMMYFUNCTION("IFERROR(VLOOKUP(C504,IMPORTRANGE(""https://docs.google.com/spreadsheets/d/1HZUHB8NvANAZR0sHDmHYVAm2WE9kNv0pGIQA48Ryim8/edit?gid=1285727875#gid=1285727875"",""Cost!A2:G""),7,0))"),1751.0)</f>
        <v>1751</v>
      </c>
      <c r="N504" s="62">
        <f t="shared" si="4"/>
        <v>3.135351228</v>
      </c>
      <c r="O504" s="28"/>
      <c r="P504" s="28"/>
      <c r="Q504" s="28"/>
      <c r="R504" s="28"/>
      <c r="S504" s="28"/>
      <c r="T504" s="28"/>
      <c r="U504" s="65"/>
      <c r="V504" s="28"/>
      <c r="W504" s="65"/>
      <c r="X504" s="66" t="s">
        <v>223</v>
      </c>
      <c r="Y504" s="65" t="str">
        <f t="shared" si="6"/>
        <v>MARCUS 68PD-46-H-N</v>
      </c>
    </row>
    <row r="505">
      <c r="A505" s="18" t="s">
        <v>1049</v>
      </c>
      <c r="B505" s="91" t="str">
        <f t="shared" si="81"/>
        <v>DB-68-H-N</v>
      </c>
      <c r="C505" s="15" t="s">
        <v>1074</v>
      </c>
      <c r="D505" s="18" t="s">
        <v>217</v>
      </c>
      <c r="E505" s="39">
        <v>1780.0</v>
      </c>
      <c r="F505" s="39">
        <f>F502</f>
        <v>1780</v>
      </c>
      <c r="G505" s="50">
        <f t="shared" si="59"/>
        <v>0</v>
      </c>
      <c r="H505" s="28"/>
      <c r="I505" s="55">
        <f t="shared" si="2"/>
        <v>2114.452316</v>
      </c>
      <c r="J505" s="81"/>
      <c r="K505" s="60">
        <f>IFERROR(__xludf.DUMMYFUNCTION("IFERROR(VLOOKUP(C505,IMPORTRANGE(""https://docs.google.com/spreadsheets/d/1HZUHB8NvANAZR0sHDmHYVAm2WE9kNv0pGIQA48Ryim8/edit?gid=1285727875#gid=1285727875"",""Sheet1!A2:G""),7,0))"),415.02)</f>
        <v>415.02</v>
      </c>
      <c r="L505" s="62">
        <f t="shared" si="60"/>
        <v>4.28894993</v>
      </c>
      <c r="M505" s="60">
        <f>IFERROR(__xludf.DUMMYFUNCTION("IFERROR(VLOOKUP(C505,IMPORTRANGE(""https://docs.google.com/spreadsheets/d/1HZUHB8NvANAZR0sHDmHYVAm2WE9kNv0pGIQA48Ryim8/edit?gid=1285727875#gid=1285727875"",""Cost!A2:G""),7,0))"),493.0)</f>
        <v>493</v>
      </c>
      <c r="N505" s="62">
        <f t="shared" si="4"/>
        <v>3.610547667</v>
      </c>
      <c r="O505" s="28"/>
      <c r="P505" s="28"/>
      <c r="Q505" s="28"/>
      <c r="R505" s="28"/>
      <c r="S505" s="28"/>
      <c r="T505" s="28"/>
      <c r="U505" s="65"/>
      <c r="V505" s="28"/>
      <c r="W505" s="65"/>
      <c r="X505" s="66" t="s">
        <v>358</v>
      </c>
      <c r="Y505" s="65" t="str">
        <f t="shared" si="6"/>
        <v>MARCUS 68DB</v>
      </c>
    </row>
    <row r="506">
      <c r="A506" s="18" t="s">
        <v>1049</v>
      </c>
      <c r="B506" s="91" t="str">
        <f t="shared" si="81"/>
        <v>6892-ON-OFF-N</v>
      </c>
      <c r="C506" s="15" t="s">
        <v>1075</v>
      </c>
      <c r="D506" s="18" t="s">
        <v>229</v>
      </c>
      <c r="E506" s="75">
        <f t="shared" ref="E506:F506" si="85">SUM(E507:E508)</f>
        <v>6760</v>
      </c>
      <c r="F506" s="75">
        <f t="shared" si="85"/>
        <v>7270</v>
      </c>
      <c r="G506" s="50">
        <f t="shared" si="59"/>
        <v>0.07544378698</v>
      </c>
      <c r="H506" s="28"/>
      <c r="I506" s="55">
        <f t="shared" si="2"/>
        <v>7677.217493</v>
      </c>
      <c r="J506" s="81"/>
      <c r="K506" s="60">
        <f>IFERROR(__xludf.DUMMYFUNCTION("IFERROR(VLOOKUP(C506,IMPORTRANGE(""https://docs.google.com/spreadsheets/d/1HZUHB8NvANAZR0sHDmHYVAm2WE9kNv0pGIQA48Ryim8/edit?gid=1285727875#gid=1285727875"",""Sheet1!A2:G""),7,0))"),1786.59)</f>
        <v>1786.59</v>
      </c>
      <c r="L506" s="62">
        <f t="shared" si="60"/>
        <v>3.783744452</v>
      </c>
      <c r="M506" s="60">
        <f>IFERROR(__xludf.DUMMYFUNCTION("IFERROR(VLOOKUP(C506,IMPORTRANGE(""https://docs.google.com/spreadsheets/d/1HZUHB8NvANAZR0sHDmHYVAm2WE9kNv0pGIQA48Ryim8/edit?gid=1285727875#gid=1285727875"",""Cost!A2:G""),7,0))"),2029.0)</f>
        <v>2029</v>
      </c>
      <c r="N506" s="62">
        <f t="shared" si="4"/>
        <v>3.583045835</v>
      </c>
      <c r="O506" s="28"/>
      <c r="P506" s="28"/>
      <c r="Q506" s="28"/>
      <c r="R506" s="28"/>
      <c r="S506" s="28"/>
      <c r="T506" s="28"/>
      <c r="U506" s="65"/>
      <c r="V506" s="28"/>
      <c r="W506" s="65"/>
      <c r="X506" s="66" t="s">
        <v>368</v>
      </c>
      <c r="Y506" s="65" t="str">
        <f t="shared" si="6"/>
        <v>MARCUS 6892-ON-OFF</v>
      </c>
    </row>
    <row r="507">
      <c r="A507" s="18" t="s">
        <v>1049</v>
      </c>
      <c r="B507" s="91" t="str">
        <f t="shared" si="81"/>
        <v>PD-46-H-ON-OFF-N</v>
      </c>
      <c r="C507" s="15" t="s">
        <v>234</v>
      </c>
      <c r="D507" s="18" t="s">
        <v>235</v>
      </c>
      <c r="E507" s="39">
        <f>E504-240</f>
        <v>4740</v>
      </c>
      <c r="F507" s="75">
        <f>F504-$X$1</f>
        <v>5250</v>
      </c>
      <c r="G507" s="50">
        <f t="shared" si="59"/>
        <v>0.1075949367</v>
      </c>
      <c r="H507" s="28"/>
      <c r="I507" s="55">
        <f t="shared" si="2"/>
        <v>5306.797906</v>
      </c>
      <c r="J507" s="81"/>
      <c r="K507" s="60">
        <f>IFERROR(__xludf.DUMMYFUNCTION("IFERROR(VLOOKUP(C507,IMPORTRANGE(""https://docs.google.com/spreadsheets/d/1HZUHB8NvANAZR0sHDmHYVAm2WE9kNv0pGIQA48Ryim8/edit?gid=1285727875#gid=1285727875"",""Sheet1!A2:G""),7,0))"),1367.48)</f>
        <v>1367.48</v>
      </c>
      <c r="L507" s="62">
        <f t="shared" si="60"/>
        <v>3.466229853</v>
      </c>
      <c r="M507" s="60">
        <f>IFERROR(__xludf.DUMMYFUNCTION("IFERROR(VLOOKUP(C507,IMPORTRANGE(""https://docs.google.com/spreadsheets/d/1HZUHB8NvANAZR0sHDmHYVAm2WE9kNv0pGIQA48Ryim8/edit?gid=1285727875#gid=1285727875"",""Cost!A2:G""),7,0))"),1531.0)</f>
        <v>1531</v>
      </c>
      <c r="N507" s="62">
        <f t="shared" si="4"/>
        <v>3.429131287</v>
      </c>
      <c r="O507" s="28"/>
      <c r="P507" s="28"/>
      <c r="Q507" s="28"/>
      <c r="R507" s="28"/>
      <c r="S507" s="28"/>
      <c r="T507" s="28"/>
      <c r="U507" s="65"/>
      <c r="V507" s="28"/>
      <c r="W507" s="65"/>
      <c r="X507" s="66" t="s">
        <v>371</v>
      </c>
      <c r="Y507" s="65" t="str">
        <f t="shared" si="6"/>
        <v>MARCUS 68PD-ON-OFF</v>
      </c>
    </row>
    <row r="508">
      <c r="A508" s="18" t="s">
        <v>1049</v>
      </c>
      <c r="B508" s="91" t="str">
        <f t="shared" si="81"/>
        <v>DB-68-H-ON-OFF-N</v>
      </c>
      <c r="C508" s="15" t="s">
        <v>1079</v>
      </c>
      <c r="D508" s="18" t="s">
        <v>217</v>
      </c>
      <c r="E508" s="75">
        <f>E505+240</f>
        <v>2020</v>
      </c>
      <c r="F508" s="75">
        <f>F505+$X$1</f>
        <v>2020</v>
      </c>
      <c r="G508" s="50">
        <f t="shared" si="59"/>
        <v>0</v>
      </c>
      <c r="H508" s="28"/>
      <c r="I508" s="55">
        <f t="shared" si="2"/>
        <v>2400.125325</v>
      </c>
      <c r="J508" s="81"/>
      <c r="K508" s="60">
        <f>IFERROR(__xludf.DUMMYFUNCTION("IFERROR(VLOOKUP(C508,IMPORTRANGE(""https://docs.google.com/spreadsheets/d/1HZUHB8NvANAZR0sHDmHYVAm2WE9kNv0pGIQA48Ryim8/edit?gid=1285727875#gid=1285727875"",""Sheet1!A2:G""),7,0))"),414.92)</f>
        <v>414.92</v>
      </c>
      <c r="L508" s="62">
        <f t="shared" si="60"/>
        <v>4.868408368</v>
      </c>
      <c r="M508" s="60">
        <f>IFERROR(__xludf.DUMMYFUNCTION("IFERROR(VLOOKUP(C508,IMPORTRANGE(""https://docs.google.com/spreadsheets/d/1HZUHB8NvANAZR0sHDmHYVAm2WE9kNv0pGIQA48Ryim8/edit?gid=1285727875#gid=1285727875"",""Cost!A2:G""),7,0))"),493.0)</f>
        <v>493</v>
      </c>
      <c r="N508" s="62">
        <f t="shared" si="4"/>
        <v>4.097363083</v>
      </c>
      <c r="O508" s="28"/>
      <c r="P508" s="28"/>
      <c r="Q508" s="28"/>
      <c r="R508" s="28"/>
      <c r="S508" s="28"/>
      <c r="T508" s="28"/>
      <c r="U508" s="65"/>
      <c r="V508" s="28"/>
      <c r="W508" s="65"/>
      <c r="X508" s="66" t="s">
        <v>375</v>
      </c>
      <c r="Y508" s="65" t="str">
        <f t="shared" si="6"/>
        <v>MARCUS 68DB-ON-OFF</v>
      </c>
    </row>
    <row r="509">
      <c r="A509" s="18" t="s">
        <v>1049</v>
      </c>
      <c r="B509" s="91"/>
      <c r="C509" s="15" t="s">
        <v>1083</v>
      </c>
      <c r="D509" s="18" t="s">
        <v>220</v>
      </c>
      <c r="E509" s="97" t="s">
        <v>377</v>
      </c>
      <c r="F509" s="75">
        <f>SUM(F510:F511)</f>
        <v>7270</v>
      </c>
      <c r="G509" s="50"/>
      <c r="H509" s="28"/>
      <c r="I509" s="55">
        <f t="shared" si="2"/>
        <v>0</v>
      </c>
      <c r="J509" s="81"/>
      <c r="K509" s="60"/>
      <c r="L509" s="62"/>
      <c r="M509" s="60">
        <f>SUM(M510:M511)</f>
        <v>2201.69</v>
      </c>
      <c r="N509" s="62">
        <f t="shared" si="4"/>
        <v>3.302008911</v>
      </c>
      <c r="O509" s="28"/>
      <c r="P509" s="28"/>
      <c r="Q509" s="28"/>
      <c r="R509" s="28"/>
      <c r="S509" s="28"/>
      <c r="T509" s="28"/>
      <c r="U509" s="65"/>
      <c r="V509" s="28"/>
      <c r="W509" s="65"/>
      <c r="X509" s="66" t="s">
        <v>380</v>
      </c>
      <c r="Y509" s="65" t="str">
        <f t="shared" si="6"/>
        <v>MARCUS 6892-P</v>
      </c>
    </row>
    <row r="510">
      <c r="A510" s="18" t="s">
        <v>1049</v>
      </c>
      <c r="B510" s="91"/>
      <c r="C510" s="15" t="s">
        <v>381</v>
      </c>
      <c r="D510" s="18" t="s">
        <v>382</v>
      </c>
      <c r="E510" s="97" t="s">
        <v>377</v>
      </c>
      <c r="F510" s="39">
        <f>F504-$Y$1</f>
        <v>4990</v>
      </c>
      <c r="G510" s="50"/>
      <c r="H510" s="28"/>
      <c r="I510" s="55">
        <f t="shared" si="2"/>
        <v>0</v>
      </c>
      <c r="J510" s="81"/>
      <c r="K510" s="60"/>
      <c r="L510" s="62"/>
      <c r="M510" s="60">
        <f>IFERROR(__xludf.DUMMYFUNCTION("IFERROR(VLOOKUP(C510,IMPORTRANGE(""https://docs.google.com/spreadsheets/d/1HZUHB8NvANAZR0sHDmHYVAm2WE9kNv0pGIQA48Ryim8/edit?gid=1285727875#gid=1285727875"",""Diverter &amp; Upper!A2:B""),2,0))"),1585.45)</f>
        <v>1585.45</v>
      </c>
      <c r="N510" s="62">
        <f t="shared" si="4"/>
        <v>3.147371409</v>
      </c>
      <c r="O510" s="28"/>
      <c r="P510" s="28"/>
      <c r="Q510" s="28"/>
      <c r="R510" s="28"/>
      <c r="S510" s="28"/>
      <c r="T510" s="28"/>
      <c r="U510" s="65"/>
      <c r="V510" s="28"/>
      <c r="W510" s="65"/>
      <c r="X510" s="66" t="s">
        <v>381</v>
      </c>
      <c r="Y510" s="65" t="str">
        <f t="shared" si="6"/>
        <v>MARCUS 68PD-46-H-P</v>
      </c>
    </row>
    <row r="511">
      <c r="A511" s="18" t="s">
        <v>1049</v>
      </c>
      <c r="B511" s="91"/>
      <c r="C511" s="15" t="s">
        <v>1086</v>
      </c>
      <c r="D511" s="18" t="s">
        <v>386</v>
      </c>
      <c r="E511" s="97" t="s">
        <v>377</v>
      </c>
      <c r="F511" s="39">
        <f>F505+$Y$1</f>
        <v>2280</v>
      </c>
      <c r="G511" s="50"/>
      <c r="H511" s="28"/>
      <c r="I511" s="55">
        <f t="shared" si="2"/>
        <v>0</v>
      </c>
      <c r="J511" s="81"/>
      <c r="K511" s="60"/>
      <c r="L511" s="62"/>
      <c r="M511" s="60">
        <f>IFERROR(__xludf.DUMMYFUNCTION("IFERROR(VLOOKUP(C511,IMPORTRANGE(""https://docs.google.com/spreadsheets/d/1HZUHB8NvANAZR0sHDmHYVAm2WE9kNv0pGIQA48Ryim8/edit?gid=1285727875#gid=1285727875"",""Diverter &amp; Upper!A2:B""),2,0))"),616.24)</f>
        <v>616.24</v>
      </c>
      <c r="N511" s="62">
        <f t="shared" si="4"/>
        <v>3.699857198</v>
      </c>
      <c r="O511" s="28"/>
      <c r="P511" s="28"/>
      <c r="Q511" s="28"/>
      <c r="R511" s="28"/>
      <c r="S511" s="28"/>
      <c r="T511" s="28"/>
      <c r="U511" s="65"/>
      <c r="V511" s="28"/>
      <c r="W511" s="65"/>
      <c r="X511" s="66" t="s">
        <v>387</v>
      </c>
      <c r="Y511" s="65" t="str">
        <f t="shared" si="6"/>
        <v>MARCUS 68DB-P</v>
      </c>
    </row>
    <row r="512">
      <c r="A512" s="18" t="s">
        <v>1049</v>
      </c>
      <c r="B512" s="91"/>
      <c r="C512" s="15" t="s">
        <v>1087</v>
      </c>
      <c r="D512" s="18" t="s">
        <v>229</v>
      </c>
      <c r="E512" s="97" t="s">
        <v>377</v>
      </c>
      <c r="F512" s="75">
        <f>SUM(F513:F514)</f>
        <v>7270</v>
      </c>
      <c r="G512" s="50"/>
      <c r="H512" s="28"/>
      <c r="I512" s="55">
        <f t="shared" si="2"/>
        <v>0</v>
      </c>
      <c r="J512" s="81"/>
      <c r="K512" s="60"/>
      <c r="L512" s="62"/>
      <c r="M512" s="60">
        <f>SUM(M513:M514)</f>
        <v>1985.23</v>
      </c>
      <c r="N512" s="62">
        <f t="shared" si="4"/>
        <v>3.662044196</v>
      </c>
      <c r="O512" s="28"/>
      <c r="P512" s="28"/>
      <c r="Q512" s="28"/>
      <c r="R512" s="28"/>
      <c r="S512" s="28"/>
      <c r="T512" s="28"/>
      <c r="U512" s="65"/>
      <c r="V512" s="28"/>
      <c r="W512" s="65"/>
      <c r="X512" s="66" t="s">
        <v>391</v>
      </c>
      <c r="Y512" s="65" t="str">
        <f t="shared" si="6"/>
        <v>MARCUS 6892-ON-OFF-P</v>
      </c>
    </row>
    <row r="513">
      <c r="A513" s="18" t="s">
        <v>1049</v>
      </c>
      <c r="B513" s="91"/>
      <c r="C513" s="15" t="s">
        <v>392</v>
      </c>
      <c r="D513" s="18" t="s">
        <v>393</v>
      </c>
      <c r="E513" s="97" t="s">
        <v>377</v>
      </c>
      <c r="F513" s="39">
        <f>F510-$X$1</f>
        <v>4750</v>
      </c>
      <c r="G513" s="50" t="str">
        <f>IFERROR((F513-E513)/E513,"")</f>
        <v/>
      </c>
      <c r="H513" s="28"/>
      <c r="I513" s="55">
        <f t="shared" si="2"/>
        <v>0</v>
      </c>
      <c r="J513" s="81"/>
      <c r="K513" s="60"/>
      <c r="L513" s="62"/>
      <c r="M513" s="60">
        <f>IFERROR(__xludf.DUMMYFUNCTION("IFERROR(VLOOKUP(C513,IMPORTRANGE(""https://docs.google.com/spreadsheets/d/1HZUHB8NvANAZR0sHDmHYVAm2WE9kNv0pGIQA48Ryim8/edit?gid=1285727875#gid=1285727875"",""Diverter &amp; Upper!A2:B""),2,0))"),1357.68)</f>
        <v>1357.68</v>
      </c>
      <c r="N513" s="62">
        <f t="shared" si="4"/>
        <v>3.498615285</v>
      </c>
      <c r="O513" s="28"/>
      <c r="P513" s="28"/>
      <c r="Q513" s="28"/>
      <c r="R513" s="28"/>
      <c r="S513" s="28"/>
      <c r="T513" s="28"/>
      <c r="U513" s="65"/>
      <c r="V513" s="28"/>
      <c r="W513" s="65"/>
      <c r="X513" s="66" t="s">
        <v>396</v>
      </c>
      <c r="Y513" s="65" t="str">
        <f t="shared" si="6"/>
        <v>MARCUS 68PD-ON-OFF-P</v>
      </c>
    </row>
    <row r="514">
      <c r="A514" s="18" t="s">
        <v>1049</v>
      </c>
      <c r="B514" s="91"/>
      <c r="C514" s="15" t="s">
        <v>1090</v>
      </c>
      <c r="D514" s="18" t="s">
        <v>386</v>
      </c>
      <c r="E514" s="97" t="s">
        <v>377</v>
      </c>
      <c r="F514" s="39">
        <f>F511+$X$1</f>
        <v>2520</v>
      </c>
      <c r="G514" s="50"/>
      <c r="H514" s="28"/>
      <c r="I514" s="55">
        <f t="shared" si="2"/>
        <v>0</v>
      </c>
      <c r="J514" s="81"/>
      <c r="K514" s="60"/>
      <c r="L514" s="62"/>
      <c r="M514" s="60">
        <f>IFERROR(__xludf.DUMMYFUNCTION("IFERROR(VLOOKUP(C514,IMPORTRANGE(""https://docs.google.com/spreadsheets/d/1HZUHB8NvANAZR0sHDmHYVAm2WE9kNv0pGIQA48Ryim8/edit?gid=1285727875#gid=1285727875"",""Diverter &amp; Upper!A2:B""),2,0))"),627.55)</f>
        <v>627.55</v>
      </c>
      <c r="N514" s="62">
        <f t="shared" si="4"/>
        <v>4.015616286</v>
      </c>
      <c r="O514" s="28"/>
      <c r="P514" s="28"/>
      <c r="Q514" s="28"/>
      <c r="R514" s="28"/>
      <c r="S514" s="28"/>
      <c r="T514" s="28"/>
      <c r="U514" s="65"/>
      <c r="V514" s="28"/>
      <c r="W514" s="65"/>
      <c r="X514" s="66" t="s">
        <v>400</v>
      </c>
      <c r="Y514" s="65" t="str">
        <f t="shared" si="6"/>
        <v>MARCUS 68DB-ON-OFF-P</v>
      </c>
    </row>
    <row r="515">
      <c r="A515" s="18" t="s">
        <v>1049</v>
      </c>
      <c r="B515" s="91" t="str">
        <f t="shared" ref="B515:B580" si="87">C515</f>
        <v>6893-N</v>
      </c>
      <c r="C515" s="15" t="s">
        <v>1095</v>
      </c>
      <c r="D515" s="18" t="s">
        <v>241</v>
      </c>
      <c r="E515" s="75">
        <f t="shared" ref="E515:F515" si="86">SUM(E516:E517)</f>
        <v>6760</v>
      </c>
      <c r="F515" s="75">
        <f t="shared" si="86"/>
        <v>7270</v>
      </c>
      <c r="G515" s="50">
        <f t="shared" ref="G515:G580" si="88">IFERROR((F515-E515)/E515,"")</f>
        <v>0.07544378698</v>
      </c>
      <c r="H515" s="28"/>
      <c r="I515" s="55">
        <f t="shared" si="2"/>
        <v>7475.955907</v>
      </c>
      <c r="J515" s="81"/>
      <c r="K515" s="60">
        <f>IFERROR(__xludf.DUMMYFUNCTION("IFERROR(VLOOKUP(C515,IMPORTRANGE(""https://docs.google.com/spreadsheets/d/1HZUHB8NvANAZR0sHDmHYVAm2WE9kNv0pGIQA48Ryim8/edit?gid=1285727875#gid=1285727875"",""Sheet1!A2:G""),7,0))"),1954.95)</f>
        <v>1954.95</v>
      </c>
      <c r="L515" s="62">
        <f t="shared" ref="L515:L580" si="89">IFERROR(E515/$K515,"")</f>
        <v>3.457888949</v>
      </c>
      <c r="M515" s="60">
        <f>IFERROR(__xludf.DUMMYFUNCTION("IFERROR(VLOOKUP(C515,IMPORTRANGE(""https://docs.google.com/spreadsheets/d/1HZUHB8NvANAZR0sHDmHYVAm2WE9kNv0pGIQA48Ryim8/edit?gid=1285727875#gid=1285727875"",""Cost!A2:G""),7,0))"),2162.0)</f>
        <v>2162</v>
      </c>
      <c r="N515" s="62">
        <f t="shared" si="4"/>
        <v>3.362627197</v>
      </c>
      <c r="O515" s="28"/>
      <c r="P515" s="28"/>
      <c r="Q515" s="28"/>
      <c r="R515" s="28"/>
      <c r="S515" s="28"/>
      <c r="T515" s="28"/>
      <c r="U515" s="65"/>
      <c r="V515" s="28"/>
      <c r="W515" s="65"/>
      <c r="X515" s="66" t="s">
        <v>239</v>
      </c>
      <c r="Y515" s="65" t="str">
        <f t="shared" si="6"/>
        <v>MARCUS 6893</v>
      </c>
    </row>
    <row r="516">
      <c r="A516" s="18" t="s">
        <v>1049</v>
      </c>
      <c r="B516" s="91" t="str">
        <f t="shared" si="87"/>
        <v>PD-3 IN-N</v>
      </c>
      <c r="C516" s="15" t="s">
        <v>243</v>
      </c>
      <c r="D516" s="18" t="s">
        <v>244</v>
      </c>
      <c r="E516" s="39">
        <v>4980.0</v>
      </c>
      <c r="F516" s="39">
        <v>5490.0</v>
      </c>
      <c r="G516" s="50">
        <f t="shared" si="88"/>
        <v>0.1024096386</v>
      </c>
      <c r="H516" s="28"/>
      <c r="I516" s="55">
        <f t="shared" si="2"/>
        <v>5395.785272</v>
      </c>
      <c r="J516" s="81"/>
      <c r="K516" s="60">
        <f>IFERROR(__xludf.DUMMYFUNCTION("IFERROR(VLOOKUP(C516,IMPORTRANGE(""https://docs.google.com/spreadsheets/d/1HZUHB8NvANAZR0sHDmHYVAm2WE9kNv0pGIQA48Ryim8/edit?gid=1285727875#gid=1285727875"",""Sheet1!A2:G""),7,0))"),1543.16)</f>
        <v>1543.16</v>
      </c>
      <c r="L516" s="62">
        <f t="shared" si="89"/>
        <v>3.227144301</v>
      </c>
      <c r="M516" s="60">
        <f>IFERROR(__xludf.DUMMYFUNCTION("IFERROR(VLOOKUP(C516,IMPORTRANGE(""https://docs.google.com/spreadsheets/d/1HZUHB8NvANAZR0sHDmHYVAm2WE9kNv0pGIQA48Ryim8/edit?gid=1285727875#gid=1285727875"",""Cost!A2:G""),7,0))"),1672.0)</f>
        <v>1672</v>
      </c>
      <c r="N516" s="62">
        <f t="shared" si="4"/>
        <v>3.283492823</v>
      </c>
      <c r="O516" s="28"/>
      <c r="P516" s="28"/>
      <c r="Q516" s="28"/>
      <c r="R516" s="28"/>
      <c r="S516" s="28"/>
      <c r="T516" s="28"/>
      <c r="U516" s="65"/>
      <c r="V516" s="28"/>
      <c r="W516" s="65"/>
      <c r="X516" s="66" t="s">
        <v>243</v>
      </c>
      <c r="Y516" s="65" t="str">
        <f t="shared" si="6"/>
        <v>MARCUS 68PD-3 IN-N</v>
      </c>
    </row>
    <row r="517">
      <c r="A517" s="18" t="s">
        <v>1049</v>
      </c>
      <c r="B517" s="91" t="str">
        <f t="shared" si="87"/>
        <v>DB-68-3 IN-N</v>
      </c>
      <c r="C517" s="15" t="s">
        <v>1102</v>
      </c>
      <c r="D517" s="18" t="s">
        <v>217</v>
      </c>
      <c r="E517" s="39">
        <v>1780.0</v>
      </c>
      <c r="F517" s="39">
        <f>F502</f>
        <v>1780</v>
      </c>
      <c r="G517" s="50">
        <f t="shared" si="88"/>
        <v>0</v>
      </c>
      <c r="H517" s="28"/>
      <c r="I517" s="55">
        <f t="shared" si="2"/>
        <v>2117.029331</v>
      </c>
      <c r="J517" s="81"/>
      <c r="K517" s="60">
        <f>IFERROR(__xludf.DUMMYFUNCTION("IFERROR(VLOOKUP(C517,IMPORTRANGE(""https://docs.google.com/spreadsheets/d/1HZUHB8NvANAZR0sHDmHYVAm2WE9kNv0pGIQA48Ryim8/edit?gid=1285727875#gid=1285727875"",""Sheet1!A2:G""),7,0))"),409.47)</f>
        <v>409.47</v>
      </c>
      <c r="L517" s="62">
        <f t="shared" si="89"/>
        <v>4.347082814</v>
      </c>
      <c r="M517" s="60">
        <f>IFERROR(__xludf.DUMMYFUNCTION("IFERROR(VLOOKUP(C517,IMPORTRANGE(""https://docs.google.com/spreadsheets/d/1HZUHB8NvANAZR0sHDmHYVAm2WE9kNv0pGIQA48Ryim8/edit?gid=1285727875#gid=1285727875"",""Cost!A2:G""),7,0))"),487.0)</f>
        <v>487</v>
      </c>
      <c r="N517" s="62">
        <f t="shared" si="4"/>
        <v>3.655030801</v>
      </c>
      <c r="O517" s="28"/>
      <c r="P517" s="28"/>
      <c r="Q517" s="28"/>
      <c r="R517" s="28"/>
      <c r="S517" s="28"/>
      <c r="T517" s="28"/>
      <c r="U517" s="65"/>
      <c r="V517" s="28"/>
      <c r="W517" s="65"/>
      <c r="X517" s="66" t="s">
        <v>358</v>
      </c>
      <c r="Y517" s="65" t="str">
        <f t="shared" si="6"/>
        <v>MARCUS 68DB</v>
      </c>
    </row>
    <row r="518">
      <c r="A518" s="18" t="s">
        <v>1049</v>
      </c>
      <c r="B518" s="91" t="str">
        <f t="shared" si="87"/>
        <v>6893-ON-OFF-N</v>
      </c>
      <c r="C518" s="15" t="s">
        <v>1108</v>
      </c>
      <c r="D518" s="18" t="s">
        <v>250</v>
      </c>
      <c r="E518" s="75">
        <f t="shared" ref="E518:F518" si="90">SUM(E519:E520)</f>
        <v>6760</v>
      </c>
      <c r="F518" s="75">
        <f t="shared" si="90"/>
        <v>7270</v>
      </c>
      <c r="G518" s="50">
        <f t="shared" si="88"/>
        <v>0.07544378698</v>
      </c>
      <c r="H518" s="28"/>
      <c r="I518" s="55">
        <f t="shared" si="2"/>
        <v>7565.028028</v>
      </c>
      <c r="J518" s="81"/>
      <c r="K518" s="60">
        <f>IFERROR(__xludf.DUMMYFUNCTION("IFERROR(VLOOKUP(C518,IMPORTRANGE(""https://docs.google.com/spreadsheets/d/1HZUHB8NvANAZR0sHDmHYVAm2WE9kNv0pGIQA48Ryim8/edit?gid=1285727875#gid=1285727875"",""Sheet1!A2:G""),7,0))"),1983.76)</f>
        <v>1983.76</v>
      </c>
      <c r="L518" s="62">
        <f t="shared" si="89"/>
        <v>3.407670283</v>
      </c>
      <c r="M518" s="60">
        <f>IFERROR(__xludf.DUMMYFUNCTION("IFERROR(VLOOKUP(C518,IMPORTRANGE(""https://docs.google.com/spreadsheets/d/1HZUHB8NvANAZR0sHDmHYVAm2WE9kNv0pGIQA48Ryim8/edit?gid=1285727875#gid=1285727875"",""Cost!A2:G""),7,0))"),2220.0)</f>
        <v>2220</v>
      </c>
      <c r="N518" s="62">
        <f t="shared" si="4"/>
        <v>3.274774775</v>
      </c>
      <c r="O518" s="28"/>
      <c r="P518" s="28"/>
      <c r="Q518" s="28"/>
      <c r="R518" s="28"/>
      <c r="S518" s="28"/>
      <c r="T518" s="28"/>
      <c r="U518" s="65"/>
      <c r="V518" s="28"/>
      <c r="W518" s="65"/>
      <c r="X518" s="66" t="s">
        <v>410</v>
      </c>
      <c r="Y518" s="65" t="str">
        <f t="shared" si="6"/>
        <v>MARCUS 6893-ON-OFF</v>
      </c>
    </row>
    <row r="519">
      <c r="A519" s="18" t="s">
        <v>1049</v>
      </c>
      <c r="B519" s="91" t="str">
        <f t="shared" si="87"/>
        <v>PD-3 IN-ON-OFF-N</v>
      </c>
      <c r="C519" s="15" t="s">
        <v>253</v>
      </c>
      <c r="D519" s="18" t="s">
        <v>256</v>
      </c>
      <c r="E519" s="39">
        <f>E516-240</f>
        <v>4740</v>
      </c>
      <c r="F519" s="39">
        <f>F516-$X$1</f>
        <v>5250</v>
      </c>
      <c r="G519" s="50">
        <f t="shared" si="88"/>
        <v>0.1075949367</v>
      </c>
      <c r="H519" s="28"/>
      <c r="I519" s="55">
        <f t="shared" si="2"/>
        <v>5217.019108</v>
      </c>
      <c r="J519" s="81"/>
      <c r="K519" s="60">
        <f>IFERROR(__xludf.DUMMYFUNCTION("IFERROR(VLOOKUP(C519,IMPORTRANGE(""https://docs.google.com/spreadsheets/d/1HZUHB8NvANAZR0sHDmHYVAm2WE9kNv0pGIQA48Ryim8/edit?gid=1285727875#gid=1285727875"",""Sheet1!A2:G""),7,0))"),1570.0)</f>
        <v>1570</v>
      </c>
      <c r="L519" s="62">
        <f t="shared" si="89"/>
        <v>3.01910828</v>
      </c>
      <c r="M519" s="60">
        <f>IFERROR(__xludf.DUMMYFUNCTION("IFERROR(VLOOKUP(C519,IMPORTRANGE(""https://docs.google.com/spreadsheets/d/1HZUHB8NvANAZR0sHDmHYVAm2WE9kNv0pGIQA48Ryim8/edit?gid=1285727875#gid=1285727875"",""Cost!A2:G""),7,0))"),1728.0)</f>
        <v>1728</v>
      </c>
      <c r="N519" s="62">
        <f t="shared" si="4"/>
        <v>3.038194444</v>
      </c>
      <c r="O519" s="28"/>
      <c r="P519" s="28"/>
      <c r="Q519" s="28"/>
      <c r="R519" s="28"/>
      <c r="S519" s="28"/>
      <c r="T519" s="28"/>
      <c r="U519" s="65"/>
      <c r="V519" s="28"/>
      <c r="W519" s="65"/>
      <c r="X519" s="66" t="s">
        <v>371</v>
      </c>
      <c r="Y519" s="65" t="str">
        <f t="shared" si="6"/>
        <v>MARCUS 68PD-ON-OFF</v>
      </c>
    </row>
    <row r="520">
      <c r="A520" s="18" t="s">
        <v>1049</v>
      </c>
      <c r="B520" s="91" t="str">
        <f t="shared" si="87"/>
        <v>DB-68-3 IN-ON-OFF-N</v>
      </c>
      <c r="C520" s="15" t="s">
        <v>1112</v>
      </c>
      <c r="D520" s="18" t="s">
        <v>217</v>
      </c>
      <c r="E520" s="75">
        <f>E517+240</f>
        <v>2020</v>
      </c>
      <c r="F520" s="75">
        <f>F517+$X$1</f>
        <v>2020</v>
      </c>
      <c r="G520" s="50">
        <f t="shared" si="88"/>
        <v>0</v>
      </c>
      <c r="H520" s="28"/>
      <c r="I520" s="55">
        <f t="shared" si="2"/>
        <v>2402.471488</v>
      </c>
      <c r="J520" s="81"/>
      <c r="K520" s="60">
        <f>IFERROR(__xludf.DUMMYFUNCTION("IFERROR(VLOOKUP(C520,IMPORTRANGE(""https://docs.google.com/spreadsheets/d/1HZUHB8NvANAZR0sHDmHYVAm2WE9kNv0pGIQA48Ryim8/edit?gid=1285727875#gid=1285727875"",""Sheet1!A2:G""),7,0))"),409.47)</f>
        <v>409.47</v>
      </c>
      <c r="L520" s="62">
        <f t="shared" si="89"/>
        <v>4.93320634</v>
      </c>
      <c r="M520" s="60">
        <f>IFERROR(__xludf.DUMMYFUNCTION("IFERROR(VLOOKUP(C520,IMPORTRANGE(""https://docs.google.com/spreadsheets/d/1HZUHB8NvANAZR0sHDmHYVAm2WE9kNv0pGIQA48Ryim8/edit?gid=1285727875#gid=1285727875"",""Cost!A2:G""),7,0))"),487.0)</f>
        <v>487</v>
      </c>
      <c r="N520" s="62">
        <f t="shared" si="4"/>
        <v>4.147843943</v>
      </c>
      <c r="O520" s="28"/>
      <c r="P520" s="28"/>
      <c r="Q520" s="28"/>
      <c r="R520" s="28"/>
      <c r="S520" s="28"/>
      <c r="T520" s="28"/>
      <c r="U520" s="65"/>
      <c r="V520" s="28"/>
      <c r="W520" s="65"/>
      <c r="X520" s="66" t="s">
        <v>375</v>
      </c>
      <c r="Y520" s="65" t="str">
        <f t="shared" si="6"/>
        <v>MARCUS 68DB-ON-OFF</v>
      </c>
    </row>
    <row r="521">
      <c r="A521" s="18" t="s">
        <v>1049</v>
      </c>
      <c r="B521" s="91">
        <f t="shared" si="87"/>
        <v>6895</v>
      </c>
      <c r="C521" s="15">
        <v>6895.0</v>
      </c>
      <c r="D521" s="18" t="s">
        <v>265</v>
      </c>
      <c r="E521" s="75">
        <v>1320.0</v>
      </c>
      <c r="F521" s="39">
        <v>1390.0</v>
      </c>
      <c r="G521" s="50">
        <f t="shared" si="88"/>
        <v>0.05303030303</v>
      </c>
      <c r="H521" s="28"/>
      <c r="I521" s="55">
        <f t="shared" si="2"/>
        <v>1461.376249</v>
      </c>
      <c r="J521" s="81"/>
      <c r="K521" s="60">
        <f>IFERROR(__xludf.DUMMYFUNCTION("IFERROR(VLOOKUP(C521,IMPORTRANGE(""https://docs.google.com/spreadsheets/d/1HZUHB8NvANAZR0sHDmHYVAm2WE9kNv0pGIQA48Ryim8/edit?gid=1285727875#gid=1285727875"",""Sheet1!A2:G""),7,0))"),360.4)</f>
        <v>360.4</v>
      </c>
      <c r="L521" s="62">
        <f t="shared" si="89"/>
        <v>3.662597114</v>
      </c>
      <c r="M521" s="60">
        <f>IFERROR(__xludf.DUMMYFUNCTION("IFERROR(VLOOKUP(C521,IMPORTRANGE(""https://docs.google.com/spreadsheets/d/1HZUHB8NvANAZR0sHDmHYVAm2WE9kNv0pGIQA48Ryim8/edit?gid=1285727875#gid=1285727875"",""Cost!A2:G""),7,0))"),399.0)</f>
        <v>399</v>
      </c>
      <c r="N521" s="62">
        <f t="shared" si="4"/>
        <v>3.483709273</v>
      </c>
      <c r="O521" s="28"/>
      <c r="P521" s="28"/>
      <c r="Q521" s="28"/>
      <c r="R521" s="28"/>
      <c r="S521" s="28"/>
      <c r="T521" s="28"/>
      <c r="U521" s="65"/>
      <c r="V521" s="28"/>
      <c r="W521" s="65"/>
      <c r="X521" s="66" t="s">
        <v>264</v>
      </c>
      <c r="Y521" s="65" t="str">
        <f t="shared" si="6"/>
        <v>MARCUS 6895</v>
      </c>
    </row>
    <row r="522">
      <c r="A522" s="18" t="s">
        <v>1049</v>
      </c>
      <c r="B522" s="91">
        <f t="shared" si="87"/>
        <v>6896</v>
      </c>
      <c r="C522" s="15">
        <v>6896.0</v>
      </c>
      <c r="D522" s="18" t="s">
        <v>268</v>
      </c>
      <c r="E522" s="75">
        <v>2030.0</v>
      </c>
      <c r="F522" s="39">
        <v>2140.0</v>
      </c>
      <c r="G522" s="50">
        <f t="shared" si="88"/>
        <v>0.05418719212</v>
      </c>
      <c r="H522" s="28"/>
      <c r="I522" s="55">
        <f t="shared" si="2"/>
        <v>2239.342929</v>
      </c>
      <c r="J522" s="81"/>
      <c r="K522" s="60">
        <f>IFERROR(__xludf.DUMMYFUNCTION("IFERROR(VLOOKUP(C522,IMPORTRANGE(""https://docs.google.com/spreadsheets/d/1HZUHB8NvANAZR0sHDmHYVAm2WE9kNv0pGIQA48Ryim8/edit?gid=1285727875#gid=1285727875"",""Sheet1!A2:G""),7,0))"),541.19)</f>
        <v>541.19</v>
      </c>
      <c r="L522" s="62">
        <f t="shared" si="89"/>
        <v>3.750993182</v>
      </c>
      <c r="M522" s="60">
        <f>IFERROR(__xludf.DUMMYFUNCTION("IFERROR(VLOOKUP(C522,IMPORTRANGE(""https://docs.google.com/spreadsheets/d/1HZUHB8NvANAZR0sHDmHYVAm2WE9kNv0pGIQA48Ryim8/edit?gid=1285727875#gid=1285727875"",""Cost!A2:G""),7,0))"),597.0)</f>
        <v>597</v>
      </c>
      <c r="N522" s="62">
        <f t="shared" si="4"/>
        <v>3.584589615</v>
      </c>
      <c r="O522" s="28"/>
      <c r="P522" s="28"/>
      <c r="Q522" s="28"/>
      <c r="R522" s="28"/>
      <c r="S522" s="28"/>
      <c r="T522" s="28"/>
      <c r="U522" s="65"/>
      <c r="V522" s="28"/>
      <c r="W522" s="65"/>
      <c r="X522" s="66" t="s">
        <v>267</v>
      </c>
      <c r="Y522" s="65" t="str">
        <f t="shared" si="6"/>
        <v>MARCUS 6896</v>
      </c>
    </row>
    <row r="523">
      <c r="A523" s="18" t="s">
        <v>1049</v>
      </c>
      <c r="B523" s="91">
        <f t="shared" si="87"/>
        <v>6898</v>
      </c>
      <c r="C523" s="15">
        <v>6898.0</v>
      </c>
      <c r="D523" s="18" t="s">
        <v>272</v>
      </c>
      <c r="E523" s="75">
        <v>2310.0</v>
      </c>
      <c r="F523" s="39">
        <v>2490.0</v>
      </c>
      <c r="G523" s="50">
        <f t="shared" si="88"/>
        <v>0.07792207792</v>
      </c>
      <c r="H523" s="28"/>
      <c r="I523" s="55">
        <f t="shared" si="2"/>
        <v>2560.374415</v>
      </c>
      <c r="J523" s="81"/>
      <c r="K523" s="60">
        <f>IFERROR(__xludf.DUMMYFUNCTION("IFERROR(VLOOKUP(C523,IMPORTRANGE(""https://docs.google.com/spreadsheets/d/1HZUHB8NvANAZR0sHDmHYVAm2WE9kNv0pGIQA48Ryim8/edit?gid=1285727875#gid=1285727875"",""Sheet1!A2:G""),7,0))"),673.05)</f>
        <v>673.05</v>
      </c>
      <c r="L523" s="62">
        <f t="shared" si="89"/>
        <v>3.432137285</v>
      </c>
      <c r="M523" s="60">
        <f>IFERROR(__xludf.DUMMYFUNCTION("IFERROR(VLOOKUP(C523,IMPORTRANGE(""https://docs.google.com/spreadsheets/d/1HZUHB8NvANAZR0sHDmHYVAm2WE9kNv0pGIQA48Ryim8/edit?gid=1285727875#gid=1285727875"",""Cost!A2:G""),7,0))"),746.0)</f>
        <v>746</v>
      </c>
      <c r="N523" s="62">
        <f t="shared" si="4"/>
        <v>3.337801609</v>
      </c>
      <c r="O523" s="28"/>
      <c r="P523" s="28"/>
      <c r="Q523" s="28"/>
      <c r="R523" s="28"/>
      <c r="S523" s="28"/>
      <c r="T523" s="28"/>
      <c r="U523" s="65"/>
      <c r="V523" s="28"/>
      <c r="W523" s="65"/>
      <c r="X523" s="66" t="s">
        <v>271</v>
      </c>
      <c r="Y523" s="65" t="str">
        <f t="shared" si="6"/>
        <v>MARCUS 6898</v>
      </c>
    </row>
    <row r="524">
      <c r="A524" s="18" t="s">
        <v>1121</v>
      </c>
      <c r="B524" s="91">
        <f t="shared" si="87"/>
        <v>7402</v>
      </c>
      <c r="C524" s="15">
        <v>7402.0</v>
      </c>
      <c r="D524" s="18" t="s">
        <v>15</v>
      </c>
      <c r="E524" s="39">
        <v>1790.0</v>
      </c>
      <c r="F524" s="39">
        <v>1990.0</v>
      </c>
      <c r="G524" s="50">
        <f t="shared" si="88"/>
        <v>0.1117318436</v>
      </c>
      <c r="H524" s="28"/>
      <c r="I524" s="55">
        <f t="shared" si="2"/>
        <v>2010.697246</v>
      </c>
      <c r="J524" s="81"/>
      <c r="K524" s="60">
        <f>IFERROR(__xludf.DUMMYFUNCTION("IFERROR(VLOOKUP(C524,IMPORTRANGE(""https://docs.google.com/spreadsheets/d/1HZUHB8NvANAZR0sHDmHYVAm2WE9kNv0pGIQA48Ryim8/edit?gid=1285727875#gid=1285727875"",""Sheet1!A2:G""),7,0))"),597.35)</f>
        <v>597.35</v>
      </c>
      <c r="L524" s="62">
        <f t="shared" si="89"/>
        <v>2.996568176</v>
      </c>
      <c r="M524" s="60">
        <f>IFERROR(__xludf.DUMMYFUNCTION("IFERROR(VLOOKUP(C524,IMPORTRANGE(""https://docs.google.com/spreadsheets/d/1HZUHB8NvANAZR0sHDmHYVAm2WE9kNv0pGIQA48Ryim8/edit?gid=1285727875#gid=1285727875"",""Cost!A2:G""),7,0))"),671.0)</f>
        <v>671</v>
      </c>
      <c r="N524" s="62">
        <f t="shared" si="4"/>
        <v>2.965722802</v>
      </c>
      <c r="O524" s="28"/>
      <c r="P524" s="28"/>
      <c r="Q524" s="28"/>
      <c r="R524" s="28"/>
      <c r="S524" s="28"/>
      <c r="T524" s="28"/>
      <c r="U524" s="65"/>
      <c r="V524" s="28"/>
      <c r="W524" s="65"/>
      <c r="X524" s="66" t="s">
        <v>303</v>
      </c>
      <c r="Y524" s="65" t="str">
        <f t="shared" si="6"/>
        <v>GRACIA 7402</v>
      </c>
    </row>
    <row r="525">
      <c r="A525" s="18" t="s">
        <v>1121</v>
      </c>
      <c r="B525" s="91">
        <f t="shared" si="87"/>
        <v>7403</v>
      </c>
      <c r="C525" s="15">
        <v>7403.0</v>
      </c>
      <c r="D525" s="18" t="s">
        <v>30</v>
      </c>
      <c r="E525" s="75">
        <v>3770.0</v>
      </c>
      <c r="F525" s="39">
        <v>3990.0</v>
      </c>
      <c r="G525" s="50">
        <f t="shared" si="88"/>
        <v>0.05835543767</v>
      </c>
      <c r="H525" s="28"/>
      <c r="I525" s="55">
        <f t="shared" si="2"/>
        <v>4230.569375</v>
      </c>
      <c r="J525" s="81"/>
      <c r="K525" s="60">
        <f>IFERROR(__xludf.DUMMYFUNCTION("IFERROR(VLOOKUP(C525,IMPORTRANGE(""https://docs.google.com/spreadsheets/d/1HZUHB8NvANAZR0sHDmHYVAm2WE9kNv0pGIQA48Ryim8/edit?gid=1285727875#gid=1285727875"",""Sheet1!A2:G""),7,0))"),1266.3)</f>
        <v>1266.3</v>
      </c>
      <c r="L525" s="62">
        <f t="shared" si="89"/>
        <v>2.977177604</v>
      </c>
      <c r="M525" s="60">
        <f>IFERROR(__xludf.DUMMYFUNCTION("IFERROR(VLOOKUP(C525,IMPORTRANGE(""https://docs.google.com/spreadsheets/d/1HZUHB8NvANAZR0sHDmHYVAm2WE9kNv0pGIQA48Ryim8/edit?gid=1285727875#gid=1285727875"",""Cost!A2:G""),7,0))"),1421.0)</f>
        <v>1421</v>
      </c>
      <c r="N525" s="62">
        <f t="shared" si="4"/>
        <v>2.807881773</v>
      </c>
      <c r="O525" s="28"/>
      <c r="P525" s="28"/>
      <c r="Q525" s="28"/>
      <c r="R525" s="28"/>
      <c r="S525" s="28"/>
      <c r="T525" s="28"/>
      <c r="U525" s="65"/>
      <c r="V525" s="28"/>
      <c r="W525" s="65"/>
      <c r="X525" s="66" t="s">
        <v>306</v>
      </c>
      <c r="Y525" s="65" t="str">
        <f t="shared" si="6"/>
        <v>GRACIA 7403</v>
      </c>
    </row>
    <row r="526">
      <c r="A526" s="18" t="s">
        <v>1121</v>
      </c>
      <c r="B526" s="91">
        <f t="shared" si="87"/>
        <v>7404</v>
      </c>
      <c r="C526" s="15">
        <v>7404.0</v>
      </c>
      <c r="D526" s="18" t="s">
        <v>46</v>
      </c>
      <c r="E526" s="39">
        <v>2390.0</v>
      </c>
      <c r="F526" s="39">
        <v>2690.0</v>
      </c>
      <c r="G526" s="50">
        <f t="shared" si="88"/>
        <v>0.1255230126</v>
      </c>
      <c r="H526" s="28"/>
      <c r="I526" s="55">
        <f t="shared" si="2"/>
        <v>2685.715811</v>
      </c>
      <c r="J526" s="81"/>
      <c r="K526" s="60">
        <f>IFERROR(__xludf.DUMMYFUNCTION("IFERROR(VLOOKUP(C526,IMPORTRANGE(""https://docs.google.com/spreadsheets/d/1HZUHB8NvANAZR0sHDmHYVAm2WE9kNv0pGIQA48Ryim8/edit?gid=1285727875#gid=1285727875"",""Sheet1!A2:G""),7,0))"),749.29)</f>
        <v>749.29</v>
      </c>
      <c r="L526" s="62">
        <f t="shared" si="89"/>
        <v>3.189686236</v>
      </c>
      <c r="M526" s="60">
        <f>IFERROR(__xludf.DUMMYFUNCTION("IFERROR(VLOOKUP(C526,IMPORTRANGE(""https://docs.google.com/spreadsheets/d/1HZUHB8NvANAZR0sHDmHYVAm2WE9kNv0pGIQA48Ryim8/edit?gid=1285727875#gid=1285727875"",""Cost!A2:G""),7,0))"),842.0)</f>
        <v>842</v>
      </c>
      <c r="N526" s="62">
        <f t="shared" si="4"/>
        <v>3.194774347</v>
      </c>
      <c r="O526" s="28"/>
      <c r="P526" s="28"/>
      <c r="Q526" s="28"/>
      <c r="R526" s="28"/>
      <c r="S526" s="28"/>
      <c r="T526" s="28"/>
      <c r="U526" s="65"/>
      <c r="V526" s="28"/>
      <c r="W526" s="65"/>
      <c r="X526" s="66" t="s">
        <v>309</v>
      </c>
      <c r="Y526" s="65" t="str">
        <f t="shared" si="6"/>
        <v>GRACIA 7404</v>
      </c>
    </row>
    <row r="527">
      <c r="A527" s="18" t="s">
        <v>1121</v>
      </c>
      <c r="B527" s="91">
        <f t="shared" si="87"/>
        <v>7406</v>
      </c>
      <c r="C527" s="15">
        <v>7406.0</v>
      </c>
      <c r="D527" s="18" t="s">
        <v>67</v>
      </c>
      <c r="E527" s="39">
        <v>1590.0</v>
      </c>
      <c r="F527" s="39">
        <v>1740.0</v>
      </c>
      <c r="G527" s="50">
        <f t="shared" si="88"/>
        <v>0.09433962264</v>
      </c>
      <c r="H527" s="28"/>
      <c r="I527" s="55">
        <f t="shared" si="2"/>
        <v>1780.674945</v>
      </c>
      <c r="J527" s="81"/>
      <c r="K527" s="60">
        <f>IFERROR(__xludf.DUMMYFUNCTION("IFERROR(VLOOKUP(C527,IMPORTRANGE(""https://docs.google.com/spreadsheets/d/1HZUHB8NvANAZR0sHDmHYVAm2WE9kNv0pGIQA48Ryim8/edit?gid=1285727875#gid=1285727875"",""Sheet1!A2:G""),7,0))"),467.89)</f>
        <v>467.89</v>
      </c>
      <c r="L527" s="62">
        <f t="shared" si="89"/>
        <v>3.398234628</v>
      </c>
      <c r="M527" s="60">
        <f>IFERROR(__xludf.DUMMYFUNCTION("IFERROR(VLOOKUP(C527,IMPORTRANGE(""https://docs.google.com/spreadsheets/d/1HZUHB8NvANAZR0sHDmHYVAm2WE9kNv0pGIQA48Ryim8/edit?gid=1285727875#gid=1285727875"",""Cost!A2:G""),7,0))"),524.0)</f>
        <v>524</v>
      </c>
      <c r="N527" s="62">
        <f t="shared" si="4"/>
        <v>3.320610687</v>
      </c>
      <c r="O527" s="28"/>
      <c r="P527" s="28"/>
      <c r="Q527" s="28"/>
      <c r="R527" s="28"/>
      <c r="S527" s="28"/>
      <c r="T527" s="28"/>
      <c r="U527" s="65"/>
      <c r="V527" s="28"/>
      <c r="W527" s="65"/>
      <c r="X527" s="66" t="s">
        <v>311</v>
      </c>
      <c r="Y527" s="65" t="str">
        <f t="shared" si="6"/>
        <v>GRACIA 7406</v>
      </c>
    </row>
    <row r="528">
      <c r="A528" s="18" t="s">
        <v>1121</v>
      </c>
      <c r="B528" s="91">
        <f t="shared" si="87"/>
        <v>7407</v>
      </c>
      <c r="C528" s="15">
        <v>7407.0</v>
      </c>
      <c r="D528" s="18" t="s">
        <v>71</v>
      </c>
      <c r="E528" s="75">
        <f t="shared" ref="E528:F528" si="91">SUM(E529:E530)</f>
        <v>2680</v>
      </c>
      <c r="F528" s="75">
        <f t="shared" si="91"/>
        <v>2880</v>
      </c>
      <c r="G528" s="50">
        <f t="shared" si="88"/>
        <v>0.07462686567</v>
      </c>
      <c r="H528" s="28"/>
      <c r="I528" s="55">
        <f t="shared" si="2"/>
        <v>2894.022209</v>
      </c>
      <c r="J528" s="81"/>
      <c r="K528" s="60">
        <f>IFERROR(__xludf.DUMMYFUNCTION("IFERROR(VLOOKUP(C528,IMPORTRANGE(""https://docs.google.com/spreadsheets/d/1HZUHB8NvANAZR0sHDmHYVAm2WE9kNv0pGIQA48Ryim8/edit?gid=1285727875#gid=1285727875"",""Sheet1!A2:G""),7,0))"),751.95)</f>
        <v>751.95</v>
      </c>
      <c r="L528" s="62">
        <f t="shared" si="89"/>
        <v>3.56406676</v>
      </c>
      <c r="M528" s="60">
        <f>IFERROR(__xludf.DUMMYFUNCTION("IFERROR(VLOOKUP(C528,IMPORTRANGE(""https://docs.google.com/spreadsheets/d/1HZUHB8NvANAZR0sHDmHYVAm2WE9kNv0pGIQA48Ryim8/edit?gid=1285727875#gid=1285727875"",""Cost!A2:G""),7,0))"),812.0)</f>
        <v>812</v>
      </c>
      <c r="N528" s="62">
        <f t="shared" si="4"/>
        <v>3.54679803</v>
      </c>
      <c r="O528" s="28"/>
      <c r="P528" s="28"/>
      <c r="Q528" s="28"/>
      <c r="R528" s="28"/>
      <c r="S528" s="28"/>
      <c r="T528" s="28"/>
      <c r="U528" s="65"/>
      <c r="V528" s="28"/>
      <c r="W528" s="65"/>
      <c r="X528" s="66" t="s">
        <v>315</v>
      </c>
      <c r="Y528" s="65" t="str">
        <f t="shared" si="6"/>
        <v>GRACIA 7407</v>
      </c>
    </row>
    <row r="529">
      <c r="A529" s="18" t="s">
        <v>1121</v>
      </c>
      <c r="B529" s="91" t="str">
        <f t="shared" si="87"/>
        <v>CP-07</v>
      </c>
      <c r="C529" s="15" t="s">
        <v>73</v>
      </c>
      <c r="D529" s="18" t="s">
        <v>74</v>
      </c>
      <c r="E529" s="93">
        <v>1390.0</v>
      </c>
      <c r="F529" s="39">
        <v>1490.0</v>
      </c>
      <c r="G529" s="50">
        <f t="shared" si="88"/>
        <v>0.07194244604</v>
      </c>
      <c r="H529" s="28"/>
      <c r="I529" s="55">
        <f t="shared" si="2"/>
        <v>1515.459624</v>
      </c>
      <c r="J529" s="81"/>
      <c r="K529" s="60">
        <f>IFERROR(__xludf.DUMMYFUNCTION("IFERROR(VLOOKUP(C529,IMPORTRANGE(""https://docs.google.com/spreadsheets/d/1HZUHB8NvANAZR0sHDmHYVAm2WE9kNv0pGIQA48Ryim8/edit?gid=1285727875#gid=1285727875"",""Sheet1!A2:G""),7,0))"),408.16)</f>
        <v>408.16</v>
      </c>
      <c r="L529" s="62">
        <f t="shared" si="89"/>
        <v>3.405527244</v>
      </c>
      <c r="M529" s="60">
        <f>IFERROR(__xludf.DUMMYFUNCTION("IFERROR(VLOOKUP(C529,IMPORTRANGE(""https://docs.google.com/spreadsheets/d/1HZUHB8NvANAZR0sHDmHYVAm2WE9kNv0pGIQA48Ryim8/edit?gid=1285727875#gid=1285727875"",""Cost!A2:G""),7,0))"),445.0)</f>
        <v>445</v>
      </c>
      <c r="N529" s="62">
        <f t="shared" si="4"/>
        <v>3.348314607</v>
      </c>
      <c r="O529" s="28"/>
      <c r="P529" s="28"/>
      <c r="Q529" s="28"/>
      <c r="R529" s="28"/>
      <c r="S529" s="28"/>
      <c r="T529" s="28"/>
      <c r="U529" s="65"/>
      <c r="V529" s="28"/>
      <c r="W529" s="65"/>
      <c r="X529" s="66" t="s">
        <v>73</v>
      </c>
      <c r="Y529" s="65" t="str">
        <f t="shared" si="6"/>
        <v>GRACIA 74CP-07</v>
      </c>
    </row>
    <row r="530">
      <c r="A530" s="18" t="s">
        <v>1121</v>
      </c>
      <c r="B530" s="91" t="str">
        <f t="shared" si="87"/>
        <v>CP-74</v>
      </c>
      <c r="C530" s="15" t="s">
        <v>1122</v>
      </c>
      <c r="D530" s="18" t="s">
        <v>78</v>
      </c>
      <c r="E530" s="172">
        <v>1290.0</v>
      </c>
      <c r="F530" s="39">
        <v>1390.0</v>
      </c>
      <c r="G530" s="50">
        <f t="shared" si="88"/>
        <v>0.07751937984</v>
      </c>
      <c r="H530" s="28"/>
      <c r="I530" s="55">
        <f t="shared" si="2"/>
        <v>1305.119041</v>
      </c>
      <c r="J530" s="81"/>
      <c r="K530" s="60">
        <f>IFERROR(__xludf.DUMMYFUNCTION("IFERROR(VLOOKUP(C530,IMPORTRANGE(""https://docs.google.com/spreadsheets/d/1HZUHB8NvANAZR0sHDmHYVAm2WE9kNv0pGIQA48Ryim8/edit?gid=1285727875#gid=1285727875"",""Sheet1!A2:G""),7,0))"),380.54)</f>
        <v>380.54</v>
      </c>
      <c r="L530" s="62">
        <f t="shared" si="89"/>
        <v>3.389919588</v>
      </c>
      <c r="M530" s="60">
        <f>IFERROR(__xludf.DUMMYFUNCTION("IFERROR(VLOOKUP(C530,IMPORTRANGE(""https://docs.google.com/spreadsheets/d/1HZUHB8NvANAZR0sHDmHYVAm2WE9kNv0pGIQA48Ryim8/edit?gid=1285727875#gid=1285727875"",""Cost!A2:G""),7,0))"),385.0)</f>
        <v>385</v>
      </c>
      <c r="N530" s="62">
        <f t="shared" si="4"/>
        <v>3.61038961</v>
      </c>
      <c r="O530" s="28"/>
      <c r="P530" s="28"/>
      <c r="Q530" s="28"/>
      <c r="R530" s="28"/>
      <c r="S530" s="28"/>
      <c r="T530" s="28"/>
      <c r="U530" s="65"/>
      <c r="V530" s="28"/>
      <c r="W530" s="65"/>
      <c r="X530" s="66" t="s">
        <v>77</v>
      </c>
      <c r="Y530" s="65" t="str">
        <f t="shared" si="6"/>
        <v>GRACIA 74CP</v>
      </c>
    </row>
    <row r="531">
      <c r="A531" s="18" t="s">
        <v>1121</v>
      </c>
      <c r="B531" s="91">
        <f t="shared" si="87"/>
        <v>7408</v>
      </c>
      <c r="C531" s="15">
        <v>7408.0</v>
      </c>
      <c r="D531" s="18" t="s">
        <v>81</v>
      </c>
      <c r="E531" s="75">
        <v>1930.0</v>
      </c>
      <c r="F531" s="39">
        <v>2080.0</v>
      </c>
      <c r="G531" s="50">
        <f t="shared" si="88"/>
        <v>0.07772020725</v>
      </c>
      <c r="H531" s="28"/>
      <c r="I531" s="55">
        <f t="shared" si="2"/>
        <v>2160.638097</v>
      </c>
      <c r="J531" s="81"/>
      <c r="K531" s="60">
        <f>IFERROR(__xludf.DUMMYFUNCTION("IFERROR(VLOOKUP(C531,IMPORTRANGE(""https://docs.google.com/spreadsheets/d/1HZUHB8NvANAZR0sHDmHYVAm2WE9kNv0pGIQA48Ryim8/edit?gid=1285727875#gid=1285727875"",""Sheet1!A2:G""),7,0))"),529.7)</f>
        <v>529.7</v>
      </c>
      <c r="L531" s="62">
        <f t="shared" si="89"/>
        <v>3.643571833</v>
      </c>
      <c r="M531" s="60">
        <f>IFERROR(__xludf.DUMMYFUNCTION("IFERROR(VLOOKUP(C531,IMPORTRANGE(""https://docs.google.com/spreadsheets/d/1HZUHB8NvANAZR0sHDmHYVAm2WE9kNv0pGIQA48Ryim8/edit?gid=1285727875#gid=1285727875"",""Cost!A2:G""),7,0))"),593.0)</f>
        <v>593</v>
      </c>
      <c r="N531" s="62">
        <f t="shared" si="4"/>
        <v>3.507588533</v>
      </c>
      <c r="O531" s="28"/>
      <c r="P531" s="28"/>
      <c r="Q531" s="28"/>
      <c r="R531" s="28"/>
      <c r="S531" s="28"/>
      <c r="T531" s="28"/>
      <c r="U531" s="65"/>
      <c r="V531" s="28"/>
      <c r="W531" s="65"/>
      <c r="X531" s="66" t="s">
        <v>321</v>
      </c>
      <c r="Y531" s="65" t="str">
        <f t="shared" si="6"/>
        <v>GRACIA 7408</v>
      </c>
    </row>
    <row r="532">
      <c r="A532" s="18" t="s">
        <v>1121</v>
      </c>
      <c r="B532" s="91">
        <f t="shared" si="87"/>
        <v>7410</v>
      </c>
      <c r="C532" s="15">
        <v>7410.0</v>
      </c>
      <c r="D532" s="18" t="s">
        <v>89</v>
      </c>
      <c r="E532" s="75">
        <v>1360.0</v>
      </c>
      <c r="F532" s="39">
        <v>1460.0</v>
      </c>
      <c r="G532" s="50">
        <f t="shared" si="88"/>
        <v>0.07352941176</v>
      </c>
      <c r="H532" s="28"/>
      <c r="I532" s="55">
        <f t="shared" si="2"/>
        <v>1520.961665</v>
      </c>
      <c r="J532" s="81"/>
      <c r="K532" s="60">
        <f>IFERROR(__xludf.DUMMYFUNCTION("IFERROR(VLOOKUP(C532,IMPORTRANGE(""https://docs.google.com/spreadsheets/d/1HZUHB8NvANAZR0sHDmHYVAm2WE9kNv0pGIQA48Ryim8/edit?gid=1285727875#gid=1285727875"",""Sheet1!A2:G""),7,0))"),334.42)</f>
        <v>334.42</v>
      </c>
      <c r="L532" s="62">
        <f t="shared" si="89"/>
        <v>4.06674242</v>
      </c>
      <c r="M532" s="60">
        <f>IFERROR(__xludf.DUMMYFUNCTION("IFERROR(VLOOKUP(C532,IMPORTRANGE(""https://docs.google.com/spreadsheets/d/1HZUHB8NvANAZR0sHDmHYVAm2WE9kNv0pGIQA48Ryim8/edit?gid=1285727875#gid=1285727875"",""Cost!A2:G""),7,0))"),374.0)</f>
        <v>374</v>
      </c>
      <c r="N532" s="62">
        <f t="shared" si="4"/>
        <v>3.903743316</v>
      </c>
      <c r="O532" s="28"/>
      <c r="P532" s="28"/>
      <c r="Q532" s="28"/>
      <c r="R532" s="28"/>
      <c r="S532" s="28"/>
      <c r="T532" s="28"/>
      <c r="U532" s="65"/>
      <c r="V532" s="28"/>
      <c r="W532" s="65"/>
      <c r="X532" s="66" t="s">
        <v>87</v>
      </c>
      <c r="Y532" s="65" t="str">
        <f t="shared" si="6"/>
        <v>GRACIA 7410</v>
      </c>
    </row>
    <row r="533">
      <c r="A533" s="18" t="s">
        <v>1121</v>
      </c>
      <c r="B533" s="91">
        <f t="shared" si="87"/>
        <v>7411</v>
      </c>
      <c r="C533" s="15">
        <v>7411.0</v>
      </c>
      <c r="D533" s="18" t="s">
        <v>94</v>
      </c>
      <c r="E533" s="39">
        <v>2290.0</v>
      </c>
      <c r="F533" s="39">
        <v>2620.0</v>
      </c>
      <c r="G533" s="50">
        <f t="shared" si="88"/>
        <v>0.1441048035</v>
      </c>
      <c r="H533" s="28"/>
      <c r="I533" s="55">
        <f t="shared" si="2"/>
        <v>2615.127767</v>
      </c>
      <c r="J533" s="81"/>
      <c r="K533" s="60">
        <f>IFERROR(__xludf.DUMMYFUNCTION("IFERROR(VLOOKUP(C533,IMPORTRANGE(""https://docs.google.com/spreadsheets/d/1HZUHB8NvANAZR0sHDmHYVAm2WE9kNv0pGIQA48Ryim8/edit?gid=1285727875#gid=1285727875"",""Sheet1!A2:G""),7,0))"),655.88)</f>
        <v>655.88</v>
      </c>
      <c r="L533" s="62">
        <f t="shared" si="89"/>
        <v>3.491492346</v>
      </c>
      <c r="M533" s="60">
        <f>IFERROR(__xludf.DUMMYFUNCTION("IFERROR(VLOOKUP(C533,IMPORTRANGE(""https://docs.google.com/spreadsheets/d/1HZUHB8NvANAZR0sHDmHYVAm2WE9kNv0pGIQA48Ryim8/edit?gid=1285727875#gid=1285727875"",""Cost!A2:G""),7,0))"),749.0)</f>
        <v>749</v>
      </c>
      <c r="N533" s="62">
        <f t="shared" si="4"/>
        <v>3.49799733</v>
      </c>
      <c r="O533" s="28"/>
      <c r="P533" s="28"/>
      <c r="Q533" s="28"/>
      <c r="R533" s="28"/>
      <c r="S533" s="28"/>
      <c r="T533" s="28"/>
      <c r="U533" s="65"/>
      <c r="V533" s="28"/>
      <c r="W533" s="65"/>
      <c r="X533" s="66" t="s">
        <v>91</v>
      </c>
      <c r="Y533" s="65" t="str">
        <f t="shared" si="6"/>
        <v>GRACIA 7411</v>
      </c>
    </row>
    <row r="534">
      <c r="A534" s="18" t="s">
        <v>1121</v>
      </c>
      <c r="B534" s="91">
        <f t="shared" si="87"/>
        <v>7412</v>
      </c>
      <c r="C534" s="15">
        <v>7412.0</v>
      </c>
      <c r="D534" s="18" t="s">
        <v>97</v>
      </c>
      <c r="E534" s="39">
        <v>2490.0</v>
      </c>
      <c r="F534" s="39">
        <v>2830.0</v>
      </c>
      <c r="G534" s="50">
        <f t="shared" si="88"/>
        <v>0.1365461847</v>
      </c>
      <c r="H534" s="28"/>
      <c r="I534" s="55">
        <f t="shared" si="2"/>
        <v>2830.374018</v>
      </c>
      <c r="J534" s="81"/>
      <c r="K534" s="60">
        <f>IFERROR(__xludf.DUMMYFUNCTION("IFERROR(VLOOKUP(C534,IMPORTRANGE(""https://docs.google.com/spreadsheets/d/1HZUHB8NvANAZR0sHDmHYVAm2WE9kNv0pGIQA48Ryim8/edit?gid=1285727875#gid=1285727875"",""Sheet1!A2:G""),7,0))"),751.3)</f>
        <v>751.3</v>
      </c>
      <c r="L534" s="62">
        <f t="shared" si="89"/>
        <v>3.314255291</v>
      </c>
      <c r="M534" s="60">
        <f>IFERROR(__xludf.DUMMYFUNCTION("IFERROR(VLOOKUP(C534,IMPORTRANGE(""https://docs.google.com/spreadsheets/d/1HZUHB8NvANAZR0sHDmHYVAm2WE9kNv0pGIQA48Ryim8/edit?gid=1285727875#gid=1285727875"",""Cost!A2:G""),7,0))"),854.0)</f>
        <v>854</v>
      </c>
      <c r="N534" s="62">
        <f t="shared" si="4"/>
        <v>3.31381733</v>
      </c>
      <c r="O534" s="28"/>
      <c r="P534" s="28"/>
      <c r="Q534" s="28"/>
      <c r="R534" s="28"/>
      <c r="S534" s="28"/>
      <c r="T534" s="28"/>
      <c r="U534" s="65"/>
      <c r="V534" s="28"/>
      <c r="W534" s="65"/>
      <c r="X534" s="66" t="s">
        <v>95</v>
      </c>
      <c r="Y534" s="65" t="str">
        <f t="shared" si="6"/>
        <v>GRACIA 7412</v>
      </c>
    </row>
    <row r="535">
      <c r="A535" s="18" t="s">
        <v>1121</v>
      </c>
      <c r="B535" s="91">
        <f t="shared" si="87"/>
        <v>7414</v>
      </c>
      <c r="C535" s="15">
        <v>7414.0</v>
      </c>
      <c r="D535" s="18" t="s">
        <v>106</v>
      </c>
      <c r="E535" s="39">
        <v>2690.0</v>
      </c>
      <c r="F535" s="39">
        <v>2950.0</v>
      </c>
      <c r="G535" s="50">
        <f t="shared" si="88"/>
        <v>0.09665427509</v>
      </c>
      <c r="H535" s="28"/>
      <c r="I535" s="55">
        <f t="shared" si="2"/>
        <v>2947.617215</v>
      </c>
      <c r="J535" s="81"/>
      <c r="K535" s="60">
        <f>IFERROR(__xludf.DUMMYFUNCTION("IFERROR(VLOOKUP(C535,IMPORTRANGE(""https://docs.google.com/spreadsheets/d/1HZUHB8NvANAZR0sHDmHYVAm2WE9kNv0pGIQA48Ryim8/edit?gid=1285727875#gid=1285727875"",""Sheet1!A2:G""),7,0))"),831.38)</f>
        <v>831.38</v>
      </c>
      <c r="L535" s="62">
        <f t="shared" si="89"/>
        <v>3.235584209</v>
      </c>
      <c r="M535" s="60">
        <f>IFERROR(__xludf.DUMMYFUNCTION("IFERROR(VLOOKUP(C535,IMPORTRANGE(""https://docs.google.com/spreadsheets/d/1HZUHB8NvANAZR0sHDmHYVAm2WE9kNv0pGIQA48Ryim8/edit?gid=1285727875#gid=1285727875"",""Cost!A2:G""),7,0))"),911.0)</f>
        <v>911</v>
      </c>
      <c r="N535" s="62">
        <f t="shared" si="4"/>
        <v>3.23819978</v>
      </c>
      <c r="O535" s="28"/>
      <c r="P535" s="28"/>
      <c r="Q535" s="28"/>
      <c r="R535" s="28"/>
      <c r="S535" s="28"/>
      <c r="T535" s="28"/>
      <c r="U535" s="65"/>
      <c r="V535" s="28"/>
      <c r="W535" s="65"/>
      <c r="X535" s="66" t="s">
        <v>104</v>
      </c>
      <c r="Y535" s="65" t="str">
        <f t="shared" si="6"/>
        <v>GRACIA 7414</v>
      </c>
    </row>
    <row r="536">
      <c r="A536" s="18" t="s">
        <v>1121</v>
      </c>
      <c r="B536" s="91">
        <f t="shared" si="87"/>
        <v>7416</v>
      </c>
      <c r="C536" s="15">
        <v>7416.0</v>
      </c>
      <c r="D536" s="18" t="s">
        <v>112</v>
      </c>
      <c r="E536" s="39">
        <v>2390.0</v>
      </c>
      <c r="F536" s="39">
        <v>2580.0</v>
      </c>
      <c r="G536" s="50">
        <f t="shared" si="88"/>
        <v>0.07949790795</v>
      </c>
      <c r="H536" s="28"/>
      <c r="I536" s="55">
        <f t="shared" si="2"/>
        <v>2613.89601</v>
      </c>
      <c r="J536" s="81"/>
      <c r="K536" s="60">
        <f>IFERROR(__xludf.DUMMYFUNCTION("IFERROR(VLOOKUP(C536,IMPORTRANGE(""https://docs.google.com/spreadsheets/d/1HZUHB8NvANAZR0sHDmHYVAm2WE9kNv0pGIQA48Ryim8/edit?gid=1285727875#gid=1285727875"",""Sheet1!A2:G""),7,0))"),717.76)</f>
        <v>717.76</v>
      </c>
      <c r="L536" s="62">
        <f t="shared" si="89"/>
        <v>3.329803834</v>
      </c>
      <c r="M536" s="60">
        <f>IFERROR(__xludf.DUMMYFUNCTION("IFERROR(VLOOKUP(C536,IMPORTRANGE(""https://docs.google.com/spreadsheets/d/1HZUHB8NvANAZR0sHDmHYVAm2WE9kNv0pGIQA48Ryim8/edit?gid=1285727875#gid=1285727875"",""Cost!A2:G""),7,0))"),785.0)</f>
        <v>785</v>
      </c>
      <c r="N536" s="62">
        <f t="shared" si="4"/>
        <v>3.286624204</v>
      </c>
      <c r="O536" s="28"/>
      <c r="P536" s="28"/>
      <c r="Q536" s="28"/>
      <c r="R536" s="28"/>
      <c r="S536" s="28"/>
      <c r="T536" s="28"/>
      <c r="U536" s="65"/>
      <c r="V536" s="28"/>
      <c r="W536" s="65"/>
      <c r="X536" s="66" t="s">
        <v>110</v>
      </c>
      <c r="Y536" s="65" t="str">
        <f t="shared" si="6"/>
        <v>GRACIA 7416</v>
      </c>
    </row>
    <row r="537">
      <c r="A537" s="18" t="s">
        <v>1121</v>
      </c>
      <c r="B537" s="91">
        <f t="shared" si="87"/>
        <v>7418</v>
      </c>
      <c r="C537" s="15">
        <v>7418.0</v>
      </c>
      <c r="D537" s="18" t="s">
        <v>119</v>
      </c>
      <c r="E537" s="39">
        <v>1640.0</v>
      </c>
      <c r="F537" s="39">
        <v>1780.0</v>
      </c>
      <c r="G537" s="50">
        <f t="shared" si="88"/>
        <v>0.08536585366</v>
      </c>
      <c r="H537" s="28"/>
      <c r="I537" s="55">
        <f t="shared" si="2"/>
        <v>1862.520318</v>
      </c>
      <c r="J537" s="81"/>
      <c r="K537" s="60">
        <f>IFERROR(__xludf.DUMMYFUNCTION("IFERROR(VLOOKUP(C537,IMPORTRANGE(""https://docs.google.com/spreadsheets/d/1HZUHB8NvANAZR0sHDmHYVAm2WE9kNv0pGIQA48Ryim8/edit?gid=1285727875#gid=1285727875"",""Sheet1!A2:G""),7,0))"),467.56)</f>
        <v>467.56</v>
      </c>
      <c r="L537" s="62">
        <f t="shared" si="89"/>
        <v>3.507571221</v>
      </c>
      <c r="M537" s="60">
        <f>IFERROR(__xludf.DUMMYFUNCTION("IFERROR(VLOOKUP(C537,IMPORTRANGE(""https://docs.google.com/spreadsheets/d/1HZUHB8NvANAZR0sHDmHYVAm2WE9kNv0pGIQA48Ryim8/edit?gid=1285727875#gid=1285727875"",""Cost!A2:G""),7,0))"),531.0)</f>
        <v>531</v>
      </c>
      <c r="N537" s="62">
        <f t="shared" si="4"/>
        <v>3.352165725</v>
      </c>
      <c r="O537" s="28"/>
      <c r="P537" s="28"/>
      <c r="Q537" s="28"/>
      <c r="R537" s="28"/>
      <c r="S537" s="28"/>
      <c r="T537" s="28"/>
      <c r="U537" s="65"/>
      <c r="V537" s="28"/>
      <c r="W537" s="65"/>
      <c r="X537" s="66" t="s">
        <v>117</v>
      </c>
      <c r="Y537" s="65" t="str">
        <f t="shared" si="6"/>
        <v>GRACIA 7418</v>
      </c>
    </row>
    <row r="538">
      <c r="A538" s="18" t="s">
        <v>1121</v>
      </c>
      <c r="B538" s="91">
        <f t="shared" si="87"/>
        <v>7420</v>
      </c>
      <c r="C538" s="15">
        <v>7420.0</v>
      </c>
      <c r="D538" s="18" t="s">
        <v>122</v>
      </c>
      <c r="E538" s="39">
        <v>1690.0</v>
      </c>
      <c r="F538" s="39">
        <v>1830.0</v>
      </c>
      <c r="G538" s="50">
        <f t="shared" si="88"/>
        <v>0.08284023669</v>
      </c>
      <c r="H538" s="28"/>
      <c r="I538" s="55">
        <f t="shared" si="2"/>
        <v>1917.959233</v>
      </c>
      <c r="J538" s="81"/>
      <c r="K538" s="60">
        <f>IFERROR(__xludf.DUMMYFUNCTION("IFERROR(VLOOKUP(C538,IMPORTRANGE(""https://docs.google.com/spreadsheets/d/1HZUHB8NvANAZR0sHDmHYVAm2WE9kNv0pGIQA48Ryim8/edit?gid=1285727875#gid=1285727875"",""Sheet1!A2:G""),7,0))"),492.56)</f>
        <v>492.56</v>
      </c>
      <c r="L538" s="62">
        <f t="shared" si="89"/>
        <v>3.431054085</v>
      </c>
      <c r="M538" s="60">
        <f>IFERROR(__xludf.DUMMYFUNCTION("IFERROR(VLOOKUP(C538,IMPORTRANGE(""https://docs.google.com/spreadsheets/d/1HZUHB8NvANAZR0sHDmHYVAm2WE9kNv0pGIQA48Ryim8/edit?gid=1285727875#gid=1285727875"",""Cost!A2:G""),7,0))"),559.0)</f>
        <v>559</v>
      </c>
      <c r="N538" s="62">
        <f t="shared" si="4"/>
        <v>3.273703041</v>
      </c>
      <c r="O538" s="28"/>
      <c r="P538" s="28"/>
      <c r="Q538" s="28"/>
      <c r="R538" s="28"/>
      <c r="S538" s="28"/>
      <c r="T538" s="28"/>
      <c r="U538" s="65"/>
      <c r="V538" s="28"/>
      <c r="W538" s="65"/>
      <c r="X538" s="66" t="s">
        <v>120</v>
      </c>
      <c r="Y538" s="65" t="str">
        <f t="shared" si="6"/>
        <v>GRACIA 7420</v>
      </c>
    </row>
    <row r="539">
      <c r="A539" s="18" t="s">
        <v>1121</v>
      </c>
      <c r="B539" s="91">
        <f t="shared" si="87"/>
        <v>7450</v>
      </c>
      <c r="C539" s="15">
        <v>7450.0</v>
      </c>
      <c r="D539" s="18" t="s">
        <v>136</v>
      </c>
      <c r="E539" s="39">
        <v>4980.0</v>
      </c>
      <c r="F539" s="39">
        <v>5480.0</v>
      </c>
      <c r="G539" s="50">
        <f t="shared" si="88"/>
        <v>0.1004016064</v>
      </c>
      <c r="H539" s="28"/>
      <c r="I539" s="55">
        <f t="shared" si="2"/>
        <v>5542.215498</v>
      </c>
      <c r="J539" s="81"/>
      <c r="K539" s="60">
        <f>IFERROR(__xludf.DUMMYFUNCTION("IFERROR(VLOOKUP(C539,IMPORTRANGE(""https://docs.google.com/spreadsheets/d/1HZUHB8NvANAZR0sHDmHYVAm2WE9kNv0pGIQA48Ryim8/edit?gid=1285727875#gid=1285727875"",""Sheet1!A2:G""),7,0))"),1302.01)</f>
        <v>1302.01</v>
      </c>
      <c r="L539" s="62">
        <f t="shared" si="89"/>
        <v>3.824855416</v>
      </c>
      <c r="M539" s="60">
        <f>IFERROR(__xludf.DUMMYFUNCTION("IFERROR(VLOOKUP(C539,IMPORTRANGE(""https://docs.google.com/spreadsheets/d/1HZUHB8NvANAZR0sHDmHYVAm2WE9kNv0pGIQA48Ryim8/edit?gid=1285727875#gid=1285727875"",""Cost!A2:G""),7,0))"),1449.0)</f>
        <v>1449</v>
      </c>
      <c r="N539" s="62">
        <f t="shared" si="4"/>
        <v>3.781918565</v>
      </c>
      <c r="O539" s="28"/>
      <c r="P539" s="28"/>
      <c r="Q539" s="28"/>
      <c r="R539" s="28"/>
      <c r="S539" s="28"/>
      <c r="T539" s="28"/>
      <c r="U539" s="65"/>
      <c r="V539" s="28"/>
      <c r="W539" s="65"/>
      <c r="X539" s="66" t="s">
        <v>134</v>
      </c>
      <c r="Y539" s="65" t="str">
        <f t="shared" si="6"/>
        <v>GRACIA 7450</v>
      </c>
    </row>
    <row r="540">
      <c r="A540" s="18" t="s">
        <v>1121</v>
      </c>
      <c r="B540" s="91">
        <f t="shared" si="87"/>
        <v>7455</v>
      </c>
      <c r="C540" s="15">
        <v>7455.0</v>
      </c>
      <c r="D540" s="18" t="s">
        <v>164</v>
      </c>
      <c r="E540" s="39">
        <v>5490.0</v>
      </c>
      <c r="F540" s="39">
        <v>5990.0</v>
      </c>
      <c r="G540" s="50">
        <f t="shared" si="88"/>
        <v>0.09107468124</v>
      </c>
      <c r="H540" s="28"/>
      <c r="I540" s="55">
        <f t="shared" si="2"/>
        <v>6376.270973</v>
      </c>
      <c r="J540" s="81"/>
      <c r="K540" s="60">
        <f>IFERROR(__xludf.DUMMYFUNCTION("IFERROR(VLOOKUP(C540,IMPORTRANGE(""https://docs.google.com/spreadsheets/d/1HZUHB8NvANAZR0sHDmHYVAm2WE9kNv0pGIQA48Ryim8/edit?gid=1285727875#gid=1285727875"",""Sheet1!A2:G""),7,0))"),1430.99)</f>
        <v>1430.99</v>
      </c>
      <c r="L540" s="62">
        <f t="shared" si="89"/>
        <v>3.836504797</v>
      </c>
      <c r="M540" s="60">
        <f>IFERROR(__xludf.DUMMYFUNCTION("IFERROR(VLOOKUP(C540,IMPORTRANGE(""https://docs.google.com/spreadsheets/d/1HZUHB8NvANAZR0sHDmHYVAm2WE9kNv0pGIQA48Ryim8/edit?gid=1285727875#gid=1285727875"",""Cost!A2:G""),7,0))"),1662.0)</f>
        <v>1662</v>
      </c>
      <c r="N540" s="62">
        <f t="shared" si="4"/>
        <v>3.604091456</v>
      </c>
      <c r="O540" s="28"/>
      <c r="P540" s="28"/>
      <c r="Q540" s="28"/>
      <c r="R540" s="28"/>
      <c r="S540" s="28"/>
      <c r="T540" s="28"/>
      <c r="U540" s="65"/>
      <c r="V540" s="28"/>
      <c r="W540" s="65"/>
      <c r="X540" s="66" t="s">
        <v>162</v>
      </c>
      <c r="Y540" s="65" t="str">
        <f t="shared" si="6"/>
        <v>GRACIA 7455</v>
      </c>
    </row>
    <row r="541">
      <c r="A541" s="18" t="s">
        <v>1121</v>
      </c>
      <c r="B541" s="91">
        <f t="shared" si="87"/>
        <v>7470</v>
      </c>
      <c r="C541" s="15">
        <v>7470.0</v>
      </c>
      <c r="D541" s="18" t="s">
        <v>186</v>
      </c>
      <c r="E541" s="39">
        <v>6980.0</v>
      </c>
      <c r="F541" s="39">
        <v>7680.0</v>
      </c>
      <c r="G541" s="50">
        <f t="shared" si="88"/>
        <v>0.100286533</v>
      </c>
      <c r="H541" s="28"/>
      <c r="I541" s="55">
        <f t="shared" si="2"/>
        <v>8054.675962</v>
      </c>
      <c r="J541" s="81"/>
      <c r="K541" s="60">
        <f>IFERROR(__xludf.DUMMYFUNCTION("IFERROR(VLOOKUP(C541,IMPORTRANGE(""https://docs.google.com/spreadsheets/d/1HZUHB8NvANAZR0sHDmHYVAm2WE9kNv0pGIQA48Ryim8/edit?gid=1285727875#gid=1285727875"",""Sheet1!A2:G""),7,0))"),2038.19)</f>
        <v>2038.19</v>
      </c>
      <c r="L541" s="62">
        <f t="shared" si="89"/>
        <v>3.424607127</v>
      </c>
      <c r="M541" s="60">
        <f>IFERROR(__xludf.DUMMYFUNCTION("IFERROR(VLOOKUP(C541,IMPORTRANGE(""https://docs.google.com/spreadsheets/d/1HZUHB8NvANAZR0sHDmHYVAm2WE9kNv0pGIQA48Ryim8/edit?gid=1285727875#gid=1285727875"",""Cost!A2:G""),7,0))"),2352.0)</f>
        <v>2352</v>
      </c>
      <c r="N541" s="62">
        <f t="shared" si="4"/>
        <v>3.265306122</v>
      </c>
      <c r="O541" s="28"/>
      <c r="P541" s="28"/>
      <c r="Q541" s="28"/>
      <c r="R541" s="28"/>
      <c r="S541" s="28"/>
      <c r="T541" s="28"/>
      <c r="U541" s="65"/>
      <c r="V541" s="28"/>
      <c r="W541" s="65"/>
      <c r="X541" s="66" t="s">
        <v>184</v>
      </c>
      <c r="Y541" s="65" t="str">
        <f t="shared" si="6"/>
        <v>GRACIA 7470</v>
      </c>
    </row>
    <row r="542">
      <c r="A542" s="18" t="s">
        <v>1121</v>
      </c>
      <c r="B542" s="91">
        <f t="shared" si="87"/>
        <v>7475</v>
      </c>
      <c r="C542" s="15">
        <v>7475.0</v>
      </c>
      <c r="D542" s="18" t="s">
        <v>196</v>
      </c>
      <c r="E542" s="39">
        <v>6980.0</v>
      </c>
      <c r="F542" s="39">
        <v>7680.0</v>
      </c>
      <c r="G542" s="50">
        <f t="shared" si="88"/>
        <v>0.100286533</v>
      </c>
      <c r="H542" s="28"/>
      <c r="I542" s="55">
        <f t="shared" si="2"/>
        <v>8043.600808</v>
      </c>
      <c r="J542" s="81"/>
      <c r="K542" s="60">
        <f>IFERROR(__xludf.DUMMYFUNCTION("IFERROR(VLOOKUP(C542,IMPORTRANGE(""https://docs.google.com/spreadsheets/d/1HZUHB8NvANAZR0sHDmHYVAm2WE9kNv0pGIQA48Ryim8/edit?gid=1285727875#gid=1285727875"",""Sheet1!A2:G""),7,0))"),2004.55)</f>
        <v>2004.55</v>
      </c>
      <c r="L542" s="62">
        <f t="shared" si="89"/>
        <v>3.482078272</v>
      </c>
      <c r="M542" s="60">
        <f>IFERROR(__xludf.DUMMYFUNCTION("IFERROR(VLOOKUP(C542,IMPORTRANGE(""https://docs.google.com/spreadsheets/d/1HZUHB8NvANAZR0sHDmHYVAm2WE9kNv0pGIQA48Ryim8/edit?gid=1285727875#gid=1285727875"",""Cost!A2:G""),7,0))"),2310.0)</f>
        <v>2310</v>
      </c>
      <c r="N542" s="62">
        <f t="shared" si="4"/>
        <v>3.324675325</v>
      </c>
      <c r="O542" s="28"/>
      <c r="P542" s="28"/>
      <c r="Q542" s="28"/>
      <c r="R542" s="28"/>
      <c r="S542" s="28"/>
      <c r="T542" s="28"/>
      <c r="U542" s="65"/>
      <c r="V542" s="28"/>
      <c r="W542" s="65"/>
      <c r="X542" s="66" t="s">
        <v>194</v>
      </c>
      <c r="Y542" s="65" t="str">
        <f t="shared" si="6"/>
        <v>GRACIA 7475</v>
      </c>
    </row>
    <row r="543">
      <c r="A543" s="18" t="s">
        <v>1121</v>
      </c>
      <c r="B543" s="91">
        <f t="shared" si="87"/>
        <v>7480</v>
      </c>
      <c r="C543" s="15">
        <v>7480.0</v>
      </c>
      <c r="D543" s="18" t="s">
        <v>205</v>
      </c>
      <c r="E543" s="39">
        <v>7790.0</v>
      </c>
      <c r="F543" s="39">
        <v>8540.0</v>
      </c>
      <c r="G543" s="50">
        <f t="shared" si="88"/>
        <v>0.09627727856</v>
      </c>
      <c r="H543" s="28"/>
      <c r="I543" s="55">
        <f t="shared" si="2"/>
        <v>8944.245443</v>
      </c>
      <c r="J543" s="81"/>
      <c r="K543" s="60">
        <f>IFERROR(__xludf.DUMMYFUNCTION("IFERROR(VLOOKUP(C543,IMPORTRANGE(""https://docs.google.com/spreadsheets/d/1HZUHB8NvANAZR0sHDmHYVAm2WE9kNv0pGIQA48Ryim8/edit?gid=1285727875#gid=1285727875"",""Sheet1!A2:G""),7,0))"),2188.7)</f>
        <v>2188.7</v>
      </c>
      <c r="L543" s="62">
        <f t="shared" si="89"/>
        <v>3.559190387</v>
      </c>
      <c r="M543" s="60">
        <f>IFERROR(__xludf.DUMMYFUNCTION("IFERROR(VLOOKUP(C543,IMPORTRANGE(""https://docs.google.com/spreadsheets/d/1HZUHB8NvANAZR0sHDmHYVAm2WE9kNv0pGIQA48Ryim8/edit?gid=1285727875#gid=1285727875"",""Cost!A2:G""),7,0))"),2513.0)</f>
        <v>2513</v>
      </c>
      <c r="N543" s="62">
        <f t="shared" si="4"/>
        <v>3.398328691</v>
      </c>
      <c r="O543" s="28"/>
      <c r="P543" s="28"/>
      <c r="Q543" s="28"/>
      <c r="R543" s="28"/>
      <c r="S543" s="28"/>
      <c r="T543" s="28"/>
      <c r="U543" s="65"/>
      <c r="V543" s="28"/>
      <c r="W543" s="65"/>
      <c r="X543" s="66" t="s">
        <v>203</v>
      </c>
      <c r="Y543" s="65" t="str">
        <f t="shared" si="6"/>
        <v>GRACIA 7480</v>
      </c>
    </row>
    <row r="544">
      <c r="A544" s="18" t="s">
        <v>1121</v>
      </c>
      <c r="B544" s="91">
        <f t="shared" si="87"/>
        <v>7498</v>
      </c>
      <c r="C544" s="15">
        <v>7498.0</v>
      </c>
      <c r="D544" s="18" t="s">
        <v>272</v>
      </c>
      <c r="E544" s="39">
        <v>2180.0</v>
      </c>
      <c r="F544" s="39">
        <v>2380.0</v>
      </c>
      <c r="G544" s="50">
        <f t="shared" si="88"/>
        <v>0.09174311927</v>
      </c>
      <c r="H544" s="28"/>
      <c r="I544" s="55">
        <f t="shared" si="2"/>
        <v>2422.008075</v>
      </c>
      <c r="J544" s="81"/>
      <c r="K544" s="60">
        <f>IFERROR(__xludf.DUMMYFUNCTION("IFERROR(VLOOKUP(C544,IMPORTRANGE(""https://docs.google.com/spreadsheets/d/1HZUHB8NvANAZR0sHDmHYVAm2WE9kNv0pGIQA48Ryim8/edit?gid=1285727875#gid=1285727875"",""Sheet1!A2:G""),7,0))"),678.66)</f>
        <v>678.66</v>
      </c>
      <c r="L544" s="62">
        <f t="shared" si="89"/>
        <v>3.212212301</v>
      </c>
      <c r="M544" s="60">
        <f>IFERROR(__xludf.DUMMYFUNCTION("IFERROR(VLOOKUP(C544,IMPORTRANGE(""https://docs.google.com/spreadsheets/d/1HZUHB8NvANAZR0sHDmHYVAm2WE9kNv0pGIQA48Ryim8/edit?gid=1285727875#gid=1285727875"",""Cost!A2:G""),7,0))"),754.0)</f>
        <v>754</v>
      </c>
      <c r="N544" s="62">
        <f t="shared" si="4"/>
        <v>3.156498674</v>
      </c>
      <c r="O544" s="28"/>
      <c r="P544" s="28"/>
      <c r="Q544" s="28"/>
      <c r="R544" s="28"/>
      <c r="S544" s="28"/>
      <c r="T544" s="28"/>
      <c r="U544" s="65"/>
      <c r="V544" s="28"/>
      <c r="W544" s="65"/>
      <c r="X544" s="66" t="s">
        <v>271</v>
      </c>
      <c r="Y544" s="65" t="str">
        <f t="shared" si="6"/>
        <v>GRACIA 7498</v>
      </c>
    </row>
    <row r="545">
      <c r="A545" s="18" t="s">
        <v>1129</v>
      </c>
      <c r="B545" s="91">
        <f t="shared" si="87"/>
        <v>7602</v>
      </c>
      <c r="C545" s="15">
        <v>7602.0</v>
      </c>
      <c r="D545" s="18" t="s">
        <v>15</v>
      </c>
      <c r="E545" s="39">
        <v>1690.0</v>
      </c>
      <c r="F545" s="39">
        <v>1880.0</v>
      </c>
      <c r="G545" s="50">
        <f t="shared" si="88"/>
        <v>0.1124260355</v>
      </c>
      <c r="H545" s="28"/>
      <c r="I545" s="55">
        <f t="shared" si="2"/>
        <v>1887.241217</v>
      </c>
      <c r="J545" s="81"/>
      <c r="K545" s="60">
        <f>IFERROR(__xludf.DUMMYFUNCTION("IFERROR(VLOOKUP(C545,IMPORTRANGE(""https://docs.google.com/spreadsheets/d/1HZUHB8NvANAZR0sHDmHYVAm2WE9kNv0pGIQA48Ryim8/edit?gid=1285727875#gid=1285727875"",""Sheet1!A2:G""),7,0))"),551.62)</f>
        <v>551.62</v>
      </c>
      <c r="L545" s="62">
        <f t="shared" si="89"/>
        <v>3.063703274</v>
      </c>
      <c r="M545" s="60">
        <f>IFERROR(__xludf.DUMMYFUNCTION("IFERROR(VLOOKUP(C545,IMPORTRANGE(""https://docs.google.com/spreadsheets/d/1HZUHB8NvANAZR0sHDmHYVAm2WE9kNv0pGIQA48Ryim8/edit?gid=1285727875#gid=1285727875"",""Cost!A2:G""),7,0))"),616.0)</f>
        <v>616</v>
      </c>
      <c r="N545" s="62">
        <f t="shared" si="4"/>
        <v>3.051948052</v>
      </c>
      <c r="O545" s="28"/>
      <c r="P545" s="28"/>
      <c r="Q545" s="28"/>
      <c r="R545" s="28"/>
      <c r="S545" s="28"/>
      <c r="T545" s="28"/>
      <c r="U545" s="65"/>
      <c r="V545" s="28"/>
      <c r="W545" s="65"/>
      <c r="X545" s="66" t="s">
        <v>303</v>
      </c>
      <c r="Y545" s="65" t="str">
        <f t="shared" si="6"/>
        <v>MACASA 7602</v>
      </c>
    </row>
    <row r="546">
      <c r="A546" s="18" t="s">
        <v>1129</v>
      </c>
      <c r="B546" s="91">
        <f t="shared" si="87"/>
        <v>7603</v>
      </c>
      <c r="C546" s="15">
        <v>7603.0</v>
      </c>
      <c r="D546" s="18" t="s">
        <v>30</v>
      </c>
      <c r="E546" s="39">
        <v>3490.0</v>
      </c>
      <c r="F546" s="39">
        <v>3880.0</v>
      </c>
      <c r="G546" s="50">
        <f t="shared" si="88"/>
        <v>0.111747851</v>
      </c>
      <c r="H546" s="28"/>
      <c r="I546" s="55">
        <f t="shared" si="2"/>
        <v>3881.507922</v>
      </c>
      <c r="J546" s="81"/>
      <c r="K546" s="60">
        <f>IFERROR(__xludf.DUMMYFUNCTION("IFERROR(VLOOKUP(C546,IMPORTRANGE(""https://docs.google.com/spreadsheets/d/1HZUHB8NvANAZR0sHDmHYVAm2WE9kNv0pGIQA48Ryim8/edit?gid=1285727875#gid=1285727875"",""Sheet1!A2:G""),7,0))"),1257.89)</f>
        <v>1257.89</v>
      </c>
      <c r="L546" s="62">
        <f t="shared" si="89"/>
        <v>2.774487435</v>
      </c>
      <c r="M546" s="60">
        <f>IFERROR(__xludf.DUMMYFUNCTION("IFERROR(VLOOKUP(C546,IMPORTRANGE(""https://docs.google.com/spreadsheets/d/1HZUHB8NvANAZR0sHDmHYVAm2WE9kNv0pGIQA48Ryim8/edit?gid=1285727875#gid=1285727875"",""Cost!A2:G""),7,0))"),1399.0)</f>
        <v>1399</v>
      </c>
      <c r="N546" s="62">
        <f t="shared" si="4"/>
        <v>2.773409578</v>
      </c>
      <c r="O546" s="28"/>
      <c r="P546" s="28"/>
      <c r="Q546" s="28"/>
      <c r="R546" s="28"/>
      <c r="S546" s="28"/>
      <c r="T546" s="28"/>
      <c r="U546" s="65"/>
      <c r="V546" s="28"/>
      <c r="W546" s="65"/>
      <c r="X546" s="66" t="s">
        <v>306</v>
      </c>
      <c r="Y546" s="65" t="str">
        <f t="shared" si="6"/>
        <v>MACASA 7603</v>
      </c>
    </row>
    <row r="547">
      <c r="A547" s="18" t="s">
        <v>1129</v>
      </c>
      <c r="B547" s="91">
        <f t="shared" si="87"/>
        <v>7604</v>
      </c>
      <c r="C547" s="15">
        <v>7604.0</v>
      </c>
      <c r="D547" s="18" t="s">
        <v>46</v>
      </c>
      <c r="E547" s="39">
        <v>2280.0</v>
      </c>
      <c r="F547" s="39">
        <v>2490.0</v>
      </c>
      <c r="G547" s="50">
        <f t="shared" si="88"/>
        <v>0.09210526316</v>
      </c>
      <c r="H547" s="28"/>
      <c r="I547" s="55">
        <f t="shared" si="2"/>
        <v>2551.8027</v>
      </c>
      <c r="J547" s="81"/>
      <c r="K547" s="60">
        <f>IFERROR(__xludf.DUMMYFUNCTION("IFERROR(VLOOKUP(C547,IMPORTRANGE(""https://docs.google.com/spreadsheets/d/1HZUHB8NvANAZR0sHDmHYVAm2WE9kNv0pGIQA48Ryim8/edit?gid=1285727875#gid=1285727875"",""Sheet1!A2:G""),7,0))"),702.28)</f>
        <v>702.28</v>
      </c>
      <c r="L547" s="62">
        <f t="shared" si="89"/>
        <v>3.24656832</v>
      </c>
      <c r="M547" s="60">
        <f>IFERROR(__xludf.DUMMYFUNCTION("IFERROR(VLOOKUP(C547,IMPORTRANGE(""https://docs.google.com/spreadsheets/d/1HZUHB8NvANAZR0sHDmHYVAm2WE9kNv0pGIQA48Ryim8/edit?gid=1285727875#gid=1285727875"",""Cost!A2:G""),7,0))"),786.0)</f>
        <v>786</v>
      </c>
      <c r="N547" s="62">
        <f t="shared" si="4"/>
        <v>3.167938931</v>
      </c>
      <c r="O547" s="28"/>
      <c r="P547" s="28"/>
      <c r="Q547" s="28"/>
      <c r="R547" s="28"/>
      <c r="S547" s="28"/>
      <c r="T547" s="28"/>
      <c r="U547" s="65"/>
      <c r="V547" s="28"/>
      <c r="W547" s="65"/>
      <c r="X547" s="66" t="s">
        <v>309</v>
      </c>
      <c r="Y547" s="65" t="str">
        <f t="shared" si="6"/>
        <v>MACASA 7604</v>
      </c>
    </row>
    <row r="548">
      <c r="A548" s="18" t="s">
        <v>1129</v>
      </c>
      <c r="B548" s="91">
        <f t="shared" si="87"/>
        <v>7606</v>
      </c>
      <c r="C548" s="15">
        <v>7606.0</v>
      </c>
      <c r="D548" s="18" t="s">
        <v>67</v>
      </c>
      <c r="E548" s="75">
        <v>1390.0</v>
      </c>
      <c r="F548" s="39">
        <v>1490.0</v>
      </c>
      <c r="G548" s="50">
        <f t="shared" si="88"/>
        <v>0.07194244604</v>
      </c>
      <c r="H548" s="28"/>
      <c r="I548" s="55">
        <f t="shared" si="2"/>
        <v>1537.529629</v>
      </c>
      <c r="J548" s="81"/>
      <c r="K548" s="60">
        <f>IFERROR(__xludf.DUMMYFUNCTION("IFERROR(VLOOKUP(C548,IMPORTRANGE(""https://docs.google.com/spreadsheets/d/1HZUHB8NvANAZR0sHDmHYVAm2WE9kNv0pGIQA48Ryim8/edit?gid=1285727875#gid=1285727875"",""Sheet1!A2:G""),7,0))"),417.67)</f>
        <v>417.67</v>
      </c>
      <c r="L548" s="62">
        <f t="shared" si="89"/>
        <v>3.327986209</v>
      </c>
      <c r="M548" s="60">
        <f>IFERROR(__xludf.DUMMYFUNCTION("IFERROR(VLOOKUP(C548,IMPORTRANGE(""https://docs.google.com/spreadsheets/d/1HZUHB8NvANAZR0sHDmHYVAm2WE9kNv0pGIQA48Ryim8/edit?gid=1285727875#gid=1285727875"",""Cost!A2:G""),7,0))"),462.0)</f>
        <v>462</v>
      </c>
      <c r="N548" s="62">
        <f t="shared" si="4"/>
        <v>3.225108225</v>
      </c>
      <c r="O548" s="28"/>
      <c r="P548" s="28"/>
      <c r="Q548" s="28"/>
      <c r="R548" s="28"/>
      <c r="S548" s="28"/>
      <c r="T548" s="28"/>
      <c r="U548" s="65"/>
      <c r="V548" s="28"/>
      <c r="W548" s="65"/>
      <c r="X548" s="66" t="s">
        <v>311</v>
      </c>
      <c r="Y548" s="65" t="str">
        <f t="shared" si="6"/>
        <v>MACASA 7606</v>
      </c>
    </row>
    <row r="549">
      <c r="A549" s="18" t="s">
        <v>1129</v>
      </c>
      <c r="B549" s="91">
        <f t="shared" si="87"/>
        <v>7607</v>
      </c>
      <c r="C549" s="15">
        <v>7607.0</v>
      </c>
      <c r="D549" s="173" t="s">
        <v>71</v>
      </c>
      <c r="E549" s="75">
        <f>SUM(E550:E551)</f>
        <v>2680</v>
      </c>
      <c r="F549" s="39">
        <v>2880.0</v>
      </c>
      <c r="G549" s="50">
        <f t="shared" si="88"/>
        <v>0.07462686567</v>
      </c>
      <c r="H549" s="28"/>
      <c r="I549" s="55">
        <f t="shared" si="2"/>
        <v>2889.74422</v>
      </c>
      <c r="J549" s="81"/>
      <c r="K549" s="60">
        <f>IFERROR(__xludf.DUMMYFUNCTION("IFERROR(VLOOKUP(C549,IMPORTRANGE(""https://docs.google.com/spreadsheets/d/1HZUHB8NvANAZR0sHDmHYVAm2WE9kNv0pGIQA48Ryim8/edit?gid=1285727875#gid=1285727875"",""Sheet1!A2:G""),7,0))"),732.66)</f>
        <v>732.66</v>
      </c>
      <c r="L549" s="62">
        <f t="shared" si="89"/>
        <v>3.657904076</v>
      </c>
      <c r="M549" s="60">
        <f>IFERROR(__xludf.DUMMYFUNCTION("IFERROR(VLOOKUP(C549,IMPORTRANGE(""https://docs.google.com/spreadsheets/d/1HZUHB8NvANAZR0sHDmHYVAm2WE9kNv0pGIQA48Ryim8/edit?gid=1285727875#gid=1285727875"",""Cost!A2:G""),7,0))"),790.0)</f>
        <v>790</v>
      </c>
      <c r="N549" s="62">
        <f t="shared" si="4"/>
        <v>3.64556962</v>
      </c>
      <c r="O549" s="28"/>
      <c r="P549" s="28"/>
      <c r="Q549" s="28"/>
      <c r="R549" s="28"/>
      <c r="S549" s="28"/>
      <c r="T549" s="28"/>
      <c r="U549" s="65"/>
      <c r="V549" s="28"/>
      <c r="W549" s="65"/>
      <c r="X549" s="66" t="s">
        <v>315</v>
      </c>
      <c r="Y549" s="65" t="str">
        <f t="shared" si="6"/>
        <v>MACASA 7607</v>
      </c>
    </row>
    <row r="550">
      <c r="A550" s="18" t="s">
        <v>1129</v>
      </c>
      <c r="B550" s="91" t="str">
        <f t="shared" si="87"/>
        <v>CP-07</v>
      </c>
      <c r="C550" s="91" t="s">
        <v>73</v>
      </c>
      <c r="D550" s="173" t="s">
        <v>74</v>
      </c>
      <c r="E550" s="93">
        <v>1390.0</v>
      </c>
      <c r="F550" s="39">
        <v>1490.0</v>
      </c>
      <c r="G550" s="50">
        <f t="shared" si="88"/>
        <v>0.07194244604</v>
      </c>
      <c r="H550" s="28"/>
      <c r="I550" s="55">
        <f t="shared" si="2"/>
        <v>1515.459624</v>
      </c>
      <c r="J550" s="81"/>
      <c r="K550" s="60">
        <f>IFERROR(__xludf.DUMMYFUNCTION("IFERROR(VLOOKUP(C550,IMPORTRANGE(""https://docs.google.com/spreadsheets/d/1HZUHB8NvANAZR0sHDmHYVAm2WE9kNv0pGIQA48Ryim8/edit?gid=1285727875#gid=1285727875"",""Sheet1!A2:G""),7,0))"),408.16)</f>
        <v>408.16</v>
      </c>
      <c r="L550" s="62">
        <f t="shared" si="89"/>
        <v>3.405527244</v>
      </c>
      <c r="M550" s="60">
        <f>IFERROR(__xludf.DUMMYFUNCTION("IFERROR(VLOOKUP(C550,IMPORTRANGE(""https://docs.google.com/spreadsheets/d/1HZUHB8NvANAZR0sHDmHYVAm2WE9kNv0pGIQA48Ryim8/edit?gid=1285727875#gid=1285727875"",""Cost!A2:G""),7,0))"),445.0)</f>
        <v>445</v>
      </c>
      <c r="N550" s="62">
        <f t="shared" si="4"/>
        <v>3.348314607</v>
      </c>
      <c r="O550" s="28"/>
      <c r="P550" s="28"/>
      <c r="Q550" s="28"/>
      <c r="R550" s="28"/>
      <c r="S550" s="28"/>
      <c r="T550" s="28"/>
      <c r="U550" s="65"/>
      <c r="V550" s="28"/>
      <c r="W550" s="65"/>
      <c r="X550" s="66" t="s">
        <v>73</v>
      </c>
      <c r="Y550" s="65" t="str">
        <f t="shared" si="6"/>
        <v>MACASA 76CP-07</v>
      </c>
    </row>
    <row r="551">
      <c r="A551" s="18" t="s">
        <v>1129</v>
      </c>
      <c r="B551" s="91" t="str">
        <f t="shared" si="87"/>
        <v>CP-76</v>
      </c>
      <c r="C551" s="15" t="s">
        <v>1130</v>
      </c>
      <c r="D551" s="173" t="s">
        <v>78</v>
      </c>
      <c r="E551" s="172">
        <v>1290.0</v>
      </c>
      <c r="F551" s="39">
        <v>1390.0</v>
      </c>
      <c r="G551" s="50">
        <f t="shared" si="88"/>
        <v>0.07751937984</v>
      </c>
      <c r="H551" s="28"/>
      <c r="I551" s="55">
        <f t="shared" si="2"/>
        <v>1296.249135</v>
      </c>
      <c r="J551" s="81"/>
      <c r="K551" s="60">
        <f>IFERROR(__xludf.DUMMYFUNCTION("IFERROR(VLOOKUP(C551,IMPORTRANGE(""https://docs.google.com/spreadsheets/d/1HZUHB8NvANAZR0sHDmHYVAm2WE9kNv0pGIQA48Ryim8/edit?gid=1285727875#gid=1285727875"",""Sheet1!A2:G""),7,0))"),361.25)</f>
        <v>361.25</v>
      </c>
      <c r="L551" s="62">
        <f t="shared" si="89"/>
        <v>3.570934256</v>
      </c>
      <c r="M551" s="60">
        <f>IFERROR(__xludf.DUMMYFUNCTION("IFERROR(VLOOKUP(C551,IMPORTRANGE(""https://docs.google.com/spreadsheets/d/1HZUHB8NvANAZR0sHDmHYVAm2WE9kNv0pGIQA48Ryim8/edit?gid=1285727875#gid=1285727875"",""Cost!A2:G""),7,0))"),363.0)</f>
        <v>363</v>
      </c>
      <c r="N551" s="62">
        <f t="shared" si="4"/>
        <v>3.829201102</v>
      </c>
      <c r="O551" s="28"/>
      <c r="P551" s="28"/>
      <c r="Q551" s="28"/>
      <c r="R551" s="28"/>
      <c r="S551" s="28"/>
      <c r="T551" s="28"/>
      <c r="U551" s="65"/>
      <c r="V551" s="28"/>
      <c r="W551" s="65"/>
      <c r="X551" s="66" t="s">
        <v>77</v>
      </c>
      <c r="Y551" s="65" t="str">
        <f t="shared" si="6"/>
        <v>MACASA 76CP</v>
      </c>
    </row>
    <row r="552">
      <c r="A552" s="18" t="s">
        <v>1129</v>
      </c>
      <c r="B552" s="91">
        <f t="shared" si="87"/>
        <v>7608</v>
      </c>
      <c r="C552" s="15">
        <v>7608.0</v>
      </c>
      <c r="D552" s="18" t="s">
        <v>81</v>
      </c>
      <c r="E552" s="39">
        <v>1640.0</v>
      </c>
      <c r="F552" s="39">
        <v>1790.0</v>
      </c>
      <c r="G552" s="50">
        <f t="shared" si="88"/>
        <v>0.09146341463</v>
      </c>
      <c r="H552" s="28"/>
      <c r="I552" s="55">
        <f t="shared" si="2"/>
        <v>1818.023292</v>
      </c>
      <c r="J552" s="81"/>
      <c r="K552" s="60">
        <f>IFERROR(__xludf.DUMMYFUNCTION("IFERROR(VLOOKUP(C552,IMPORTRANGE(""https://docs.google.com/spreadsheets/d/1HZUHB8NvANAZR0sHDmHYVAm2WE9kNv0pGIQA48Ryim8/edit?gid=1285727875#gid=1285727875"",""Sheet1!A2:G""),7,0))"),481.71)</f>
        <v>481.71</v>
      </c>
      <c r="L552" s="62">
        <f t="shared" si="89"/>
        <v>3.404538</v>
      </c>
      <c r="M552" s="60">
        <f>IFERROR(__xludf.DUMMYFUNCTION("IFERROR(VLOOKUP(C552,IMPORTRANGE(""https://docs.google.com/spreadsheets/d/1HZUHB8NvANAZR0sHDmHYVAm2WE9kNv0pGIQA48Ryim8/edit?gid=1285727875#gid=1285727875"",""Cost!A2:G""),7,0))"),534.0)</f>
        <v>534</v>
      </c>
      <c r="N552" s="62">
        <f t="shared" si="4"/>
        <v>3.352059925</v>
      </c>
      <c r="O552" s="28"/>
      <c r="P552" s="28"/>
      <c r="Q552" s="28"/>
      <c r="R552" s="28"/>
      <c r="S552" s="28"/>
      <c r="T552" s="28"/>
      <c r="U552" s="65"/>
      <c r="V552" s="28"/>
      <c r="W552" s="65"/>
      <c r="X552" s="66" t="s">
        <v>321</v>
      </c>
      <c r="Y552" s="65" t="str">
        <f t="shared" si="6"/>
        <v>MACASA 7608</v>
      </c>
    </row>
    <row r="553">
      <c r="A553" s="18" t="s">
        <v>1129</v>
      </c>
      <c r="B553" s="91">
        <f t="shared" si="87"/>
        <v>7610</v>
      </c>
      <c r="C553" s="15">
        <v>7610.0</v>
      </c>
      <c r="D553" s="18" t="s">
        <v>89</v>
      </c>
      <c r="E553" s="39">
        <v>1190.0</v>
      </c>
      <c r="F553" s="39">
        <v>1290.0</v>
      </c>
      <c r="G553" s="50">
        <f t="shared" si="88"/>
        <v>0.08403361345</v>
      </c>
      <c r="H553" s="28"/>
      <c r="I553" s="55">
        <f t="shared" si="2"/>
        <v>1310.817832</v>
      </c>
      <c r="J553" s="81"/>
      <c r="K553" s="60">
        <f>IFERROR(__xludf.DUMMYFUNCTION("IFERROR(VLOOKUP(C553,IMPORTRANGE(""https://docs.google.com/spreadsheets/d/1HZUHB8NvANAZR0sHDmHYVAm2WE9kNv0pGIQA48Ryim8/edit?gid=1285727875#gid=1285727875"",""Sheet1!A2:G""),7,0))"),288.69)</f>
        <v>288.69</v>
      </c>
      <c r="L553" s="62">
        <f t="shared" si="89"/>
        <v>4.122068655</v>
      </c>
      <c r="M553" s="60">
        <f>IFERROR(__xludf.DUMMYFUNCTION("IFERROR(VLOOKUP(C553,IMPORTRANGE(""https://docs.google.com/spreadsheets/d/1HZUHB8NvANAZR0sHDmHYVAm2WE9kNv0pGIQA48Ryim8/edit?gid=1285727875#gid=1285727875"",""Cost!A2:G""),7,0))"),318.0)</f>
        <v>318</v>
      </c>
      <c r="N553" s="62">
        <f t="shared" si="4"/>
        <v>4.056603774</v>
      </c>
      <c r="O553" s="28"/>
      <c r="P553" s="28"/>
      <c r="Q553" s="28"/>
      <c r="R553" s="28"/>
      <c r="S553" s="28"/>
      <c r="T553" s="28"/>
      <c r="U553" s="65"/>
      <c r="V553" s="28"/>
      <c r="W553" s="65"/>
      <c r="X553" s="66" t="s">
        <v>87</v>
      </c>
      <c r="Y553" s="65" t="str">
        <f t="shared" si="6"/>
        <v>MACASA 7610</v>
      </c>
    </row>
    <row r="554">
      <c r="A554" s="18" t="s">
        <v>1129</v>
      </c>
      <c r="B554" s="91">
        <f t="shared" si="87"/>
        <v>7611</v>
      </c>
      <c r="C554" s="15">
        <v>7611.0</v>
      </c>
      <c r="D554" s="18" t="s">
        <v>94</v>
      </c>
      <c r="E554" s="39">
        <v>1880.0</v>
      </c>
      <c r="F554" s="39">
        <v>2080.0</v>
      </c>
      <c r="G554" s="50">
        <f t="shared" si="88"/>
        <v>0.1063829787</v>
      </c>
      <c r="H554" s="28"/>
      <c r="I554" s="55">
        <f t="shared" si="2"/>
        <v>2125.084157</v>
      </c>
      <c r="J554" s="81"/>
      <c r="K554" s="60">
        <f>IFERROR(__xludf.DUMMYFUNCTION("IFERROR(VLOOKUP(C554,IMPORTRANGE(""https://docs.google.com/spreadsheets/d/1HZUHB8NvANAZR0sHDmHYVAm2WE9kNv0pGIQA48Ryim8/edit?gid=1285727875#gid=1285727875"",""Sheet1!A2:G""),7,0))"),564.42)</f>
        <v>564.42</v>
      </c>
      <c r="L554" s="62">
        <f t="shared" si="89"/>
        <v>3.330852911</v>
      </c>
      <c r="M554" s="60">
        <f>IFERROR(__xludf.DUMMYFUNCTION("IFERROR(VLOOKUP(C554,IMPORTRANGE(""https://docs.google.com/spreadsheets/d/1HZUHB8NvANAZR0sHDmHYVAm2WE9kNv0pGIQA48Ryim8/edit?gid=1285727875#gid=1285727875"",""Cost!A2:G""),7,0))"),638.0)</f>
        <v>638</v>
      </c>
      <c r="N554" s="62">
        <f t="shared" si="4"/>
        <v>3.260188088</v>
      </c>
      <c r="O554" s="28"/>
      <c r="P554" s="28"/>
      <c r="Q554" s="28"/>
      <c r="R554" s="28"/>
      <c r="S554" s="28"/>
      <c r="T554" s="28"/>
      <c r="U554" s="65"/>
      <c r="V554" s="28"/>
      <c r="W554" s="65"/>
      <c r="X554" s="66" t="s">
        <v>91</v>
      </c>
      <c r="Y554" s="65" t="str">
        <f t="shared" si="6"/>
        <v>MACASA 7611</v>
      </c>
    </row>
    <row r="555">
      <c r="A555" s="18" t="s">
        <v>1129</v>
      </c>
      <c r="B555" s="91">
        <f t="shared" si="87"/>
        <v>7612</v>
      </c>
      <c r="C555" s="15">
        <v>7612.0</v>
      </c>
      <c r="D555" s="18" t="s">
        <v>97</v>
      </c>
      <c r="E555" s="39">
        <v>2280.0</v>
      </c>
      <c r="F555" s="39">
        <v>2490.0</v>
      </c>
      <c r="G555" s="50">
        <f t="shared" si="88"/>
        <v>0.09210526316</v>
      </c>
      <c r="H555" s="28"/>
      <c r="I555" s="55">
        <f t="shared" si="2"/>
        <v>2543.161979</v>
      </c>
      <c r="J555" s="81"/>
      <c r="K555" s="60">
        <f>IFERROR(__xludf.DUMMYFUNCTION("IFERROR(VLOOKUP(C555,IMPORTRANGE(""https://docs.google.com/spreadsheets/d/1HZUHB8NvANAZR0sHDmHYVAm2WE9kNv0pGIQA48Ryim8/edit?gid=1285727875#gid=1285727875"",""Sheet1!A2:G""),7,0))"),659.84)</f>
        <v>659.84</v>
      </c>
      <c r="L555" s="62">
        <f t="shared" si="89"/>
        <v>3.455383123</v>
      </c>
      <c r="M555" s="60">
        <f>IFERROR(__xludf.DUMMYFUNCTION("IFERROR(VLOOKUP(C555,IMPORTRANGE(""https://docs.google.com/spreadsheets/d/1HZUHB8NvANAZR0sHDmHYVAm2WE9kNv0pGIQA48Ryim8/edit?gid=1285727875#gid=1285727875"",""Cost!A2:G""),7,0))"),736.0)</f>
        <v>736</v>
      </c>
      <c r="N555" s="62">
        <f t="shared" si="4"/>
        <v>3.383152174</v>
      </c>
      <c r="O555" s="28"/>
      <c r="P555" s="28"/>
      <c r="Q555" s="28"/>
      <c r="R555" s="28"/>
      <c r="S555" s="28"/>
      <c r="T555" s="28"/>
      <c r="U555" s="65"/>
      <c r="V555" s="28"/>
      <c r="W555" s="65"/>
      <c r="X555" s="66" t="s">
        <v>95</v>
      </c>
      <c r="Y555" s="65" t="str">
        <f t="shared" si="6"/>
        <v>MACASA 7612</v>
      </c>
    </row>
    <row r="556">
      <c r="A556" s="18" t="s">
        <v>1129</v>
      </c>
      <c r="B556" s="91">
        <f t="shared" si="87"/>
        <v>7614</v>
      </c>
      <c r="C556" s="15">
        <v>7614.0</v>
      </c>
      <c r="D556" s="18" t="s">
        <v>106</v>
      </c>
      <c r="E556" s="39">
        <v>2490.0</v>
      </c>
      <c r="F556" s="39">
        <v>2710.0</v>
      </c>
      <c r="G556" s="50">
        <f t="shared" si="88"/>
        <v>0.08835341365</v>
      </c>
      <c r="H556" s="28"/>
      <c r="I556" s="55">
        <f t="shared" si="2"/>
        <v>2709.14471</v>
      </c>
      <c r="J556" s="81"/>
      <c r="K556" s="60">
        <f>IFERROR(__xludf.DUMMYFUNCTION("IFERROR(VLOOKUP(C556,IMPORTRANGE(""https://docs.google.com/spreadsheets/d/1HZUHB8NvANAZR0sHDmHYVAm2WE9kNv0pGIQA48Ryim8/edit?gid=1285727875#gid=1285727875"",""Sheet1!A2:G""),7,0))"),773.89)</f>
        <v>773.89</v>
      </c>
      <c r="L556" s="62">
        <f t="shared" si="89"/>
        <v>3.217511533</v>
      </c>
      <c r="M556" s="60">
        <f>IFERROR(__xludf.DUMMYFUNCTION("IFERROR(VLOOKUP(C556,IMPORTRANGE(""https://docs.google.com/spreadsheets/d/1HZUHB8NvANAZR0sHDmHYVAm2WE9kNv0pGIQA48Ryim8/edit?gid=1285727875#gid=1285727875"",""Cost!A2:G""),7,0))"),842.0)</f>
        <v>842</v>
      </c>
      <c r="N556" s="62">
        <f t="shared" si="4"/>
        <v>3.218527316</v>
      </c>
      <c r="O556" s="28"/>
      <c r="P556" s="28"/>
      <c r="Q556" s="28"/>
      <c r="R556" s="28"/>
      <c r="S556" s="28"/>
      <c r="T556" s="28"/>
      <c r="U556" s="65"/>
      <c r="V556" s="28"/>
      <c r="W556" s="65"/>
      <c r="X556" s="66" t="s">
        <v>104</v>
      </c>
      <c r="Y556" s="65" t="str">
        <f t="shared" si="6"/>
        <v>MACASA 7614</v>
      </c>
    </row>
    <row r="557">
      <c r="A557" s="18" t="s">
        <v>1129</v>
      </c>
      <c r="B557" s="91">
        <f t="shared" si="87"/>
        <v>7616</v>
      </c>
      <c r="C557" s="15">
        <v>7616.0</v>
      </c>
      <c r="D557" s="18" t="s">
        <v>112</v>
      </c>
      <c r="E557" s="39">
        <v>2280.0</v>
      </c>
      <c r="F557" s="39">
        <v>2490.0</v>
      </c>
      <c r="G557" s="50">
        <f t="shared" si="88"/>
        <v>0.09210526316</v>
      </c>
      <c r="H557" s="28"/>
      <c r="I557" s="55">
        <f t="shared" si="2"/>
        <v>2489.84361</v>
      </c>
      <c r="J557" s="81"/>
      <c r="K557" s="60">
        <f>IFERROR(__xludf.DUMMYFUNCTION("IFERROR(VLOOKUP(C557,IMPORTRANGE(""https://docs.google.com/spreadsheets/d/1HZUHB8NvANAZR0sHDmHYVAm2WE9kNv0pGIQA48Ryim8/edit?gid=1285727875#gid=1285727875"",""Sheet1!A2:G""),7,0))"),667.56)</f>
        <v>667.56</v>
      </c>
      <c r="L557" s="62">
        <f t="shared" si="89"/>
        <v>3.415423333</v>
      </c>
      <c r="M557" s="60">
        <f>IFERROR(__xludf.DUMMYFUNCTION("IFERROR(VLOOKUP(C557,IMPORTRANGE(""https://docs.google.com/spreadsheets/d/1HZUHB8NvANAZR0sHDmHYVAm2WE9kNv0pGIQA48Ryim8/edit?gid=1285727875#gid=1285727875"",""Cost!A2:G""),7,0))"),729.0)</f>
        <v>729</v>
      </c>
      <c r="N557" s="62">
        <f t="shared" si="4"/>
        <v>3.41563786</v>
      </c>
      <c r="O557" s="28"/>
      <c r="P557" s="28"/>
      <c r="Q557" s="28"/>
      <c r="R557" s="28"/>
      <c r="S557" s="28"/>
      <c r="T557" s="28"/>
      <c r="U557" s="65"/>
      <c r="V557" s="28"/>
      <c r="W557" s="65"/>
      <c r="X557" s="66" t="s">
        <v>110</v>
      </c>
      <c r="Y557" s="65" t="str">
        <f t="shared" si="6"/>
        <v>MACASA 7616</v>
      </c>
    </row>
    <row r="558">
      <c r="A558" s="18" t="s">
        <v>1129</v>
      </c>
      <c r="B558" s="91">
        <f t="shared" si="87"/>
        <v>7618</v>
      </c>
      <c r="C558" s="15">
        <v>7618.0</v>
      </c>
      <c r="D558" s="18" t="s">
        <v>119</v>
      </c>
      <c r="E558" s="39">
        <v>1580.0</v>
      </c>
      <c r="F558" s="39">
        <v>1740.0</v>
      </c>
      <c r="G558" s="50">
        <f t="shared" si="88"/>
        <v>0.1012658228</v>
      </c>
      <c r="H558" s="28"/>
      <c r="I558" s="55">
        <f t="shared" si="2"/>
        <v>1784.712921</v>
      </c>
      <c r="J558" s="81"/>
      <c r="K558" s="60">
        <f>IFERROR(__xludf.DUMMYFUNCTION("IFERROR(VLOOKUP(C558,IMPORTRANGE(""https://docs.google.com/spreadsheets/d/1HZUHB8NvANAZR0sHDmHYVAm2WE9kNv0pGIQA48Ryim8/edit?gid=1285727875#gid=1285727875"",""Sheet1!A2:G""),7,0))"),447.96)</f>
        <v>447.96</v>
      </c>
      <c r="L558" s="62">
        <f t="shared" si="89"/>
        <v>3.527100634</v>
      </c>
      <c r="M558" s="60">
        <f>IFERROR(__xludf.DUMMYFUNCTION("IFERROR(VLOOKUP(C558,IMPORTRANGE(""https://docs.google.com/spreadsheets/d/1HZUHB8NvANAZR0sHDmHYVAm2WE9kNv0pGIQA48Ryim8/edit?gid=1285727875#gid=1285727875"",""Cost!A2:G""),7,0))"),506.0)</f>
        <v>506</v>
      </c>
      <c r="N558" s="62">
        <f t="shared" si="4"/>
        <v>3.438735178</v>
      </c>
      <c r="O558" s="28"/>
      <c r="P558" s="28"/>
      <c r="Q558" s="28"/>
      <c r="R558" s="28"/>
      <c r="S558" s="28"/>
      <c r="T558" s="28"/>
      <c r="U558" s="65"/>
      <c r="V558" s="28"/>
      <c r="W558" s="65"/>
      <c r="X558" s="66" t="s">
        <v>117</v>
      </c>
      <c r="Y558" s="65" t="str">
        <f t="shared" si="6"/>
        <v>MACASA 7618</v>
      </c>
    </row>
    <row r="559">
      <c r="A559" s="18" t="s">
        <v>1129</v>
      </c>
      <c r="B559" s="91">
        <f t="shared" si="87"/>
        <v>7620</v>
      </c>
      <c r="C559" s="15">
        <v>7620.0</v>
      </c>
      <c r="D559" s="18" t="s">
        <v>122</v>
      </c>
      <c r="E559" s="39">
        <v>1630.0</v>
      </c>
      <c r="F559" s="39">
        <v>1790.0</v>
      </c>
      <c r="G559" s="50">
        <f t="shared" si="88"/>
        <v>0.0981595092</v>
      </c>
      <c r="H559" s="28"/>
      <c r="I559" s="55">
        <f t="shared" si="2"/>
        <v>1843.81343</v>
      </c>
      <c r="J559" s="81"/>
      <c r="K559" s="60">
        <f>IFERROR(__xludf.DUMMYFUNCTION("IFERROR(VLOOKUP(C559,IMPORTRANGE(""https://docs.google.com/spreadsheets/d/1HZUHB8NvANAZR0sHDmHYVAm2WE9kNv0pGIQA48Ryim8/edit?gid=1285727875#gid=1285727875"",""Sheet1!A2:G""),7,0))"),472.96)</f>
        <v>472.96</v>
      </c>
      <c r="L559" s="62">
        <f t="shared" si="89"/>
        <v>3.446380244</v>
      </c>
      <c r="M559" s="60">
        <f>IFERROR(__xludf.DUMMYFUNCTION("IFERROR(VLOOKUP(C559,IMPORTRANGE(""https://docs.google.com/spreadsheets/d/1HZUHB8NvANAZR0sHDmHYVAm2WE9kNv0pGIQA48Ryim8/edit?gid=1285727875#gid=1285727875"",""Cost!A2:G""),7,0))"),535.0)</f>
        <v>535</v>
      </c>
      <c r="N559" s="62">
        <f t="shared" si="4"/>
        <v>3.345794393</v>
      </c>
      <c r="O559" s="28"/>
      <c r="P559" s="28"/>
      <c r="Q559" s="28"/>
      <c r="R559" s="28"/>
      <c r="S559" s="28"/>
      <c r="T559" s="28"/>
      <c r="U559" s="65"/>
      <c r="V559" s="28"/>
      <c r="W559" s="65"/>
      <c r="X559" s="66" t="s">
        <v>120</v>
      </c>
      <c r="Y559" s="65" t="str">
        <f t="shared" si="6"/>
        <v>MACASA 7620</v>
      </c>
    </row>
    <row r="560">
      <c r="A560" s="18" t="s">
        <v>1129</v>
      </c>
      <c r="B560" s="91">
        <f t="shared" si="87"/>
        <v>7650</v>
      </c>
      <c r="C560" s="15">
        <v>7650.0</v>
      </c>
      <c r="D560" s="18" t="s">
        <v>136</v>
      </c>
      <c r="E560" s="39">
        <v>4790.0</v>
      </c>
      <c r="F560" s="39">
        <v>4990.0</v>
      </c>
      <c r="G560" s="50">
        <f t="shared" si="88"/>
        <v>0.04175365344</v>
      </c>
      <c r="H560" s="28"/>
      <c r="I560" s="55">
        <f t="shared" si="2"/>
        <v>5287.01943</v>
      </c>
      <c r="J560" s="81"/>
      <c r="K560" s="60">
        <f>IFERROR(__xludf.DUMMYFUNCTION("IFERROR(VLOOKUP(C560,IMPORTRANGE(""https://docs.google.com/spreadsheets/d/1HZUHB8NvANAZR0sHDmHYVAm2WE9kNv0pGIQA48Ryim8/edit?gid=1285727875#gid=1285727875"",""Sheet1!A2:G""),7,0))"),1209.5)</f>
        <v>1209.5</v>
      </c>
      <c r="L560" s="62">
        <f t="shared" si="89"/>
        <v>3.960314179</v>
      </c>
      <c r="M560" s="60">
        <f>IFERROR(__xludf.DUMMYFUNCTION("IFERROR(VLOOKUP(C560,IMPORTRANGE(""https://docs.google.com/spreadsheets/d/1HZUHB8NvANAZR0sHDmHYVAm2WE9kNv0pGIQA48Ryim8/edit?gid=1285727875#gid=1285727875"",""Cost!A2:G""),7,0))"),1335.0)</f>
        <v>1335</v>
      </c>
      <c r="N560" s="62">
        <f t="shared" si="4"/>
        <v>3.737827715</v>
      </c>
      <c r="O560" s="28"/>
      <c r="P560" s="28"/>
      <c r="Q560" s="28"/>
      <c r="R560" s="28"/>
      <c r="S560" s="28"/>
      <c r="T560" s="28"/>
      <c r="U560" s="65"/>
      <c r="V560" s="28"/>
      <c r="W560" s="65"/>
      <c r="X560" s="66" t="s">
        <v>134</v>
      </c>
      <c r="Y560" s="65" t="str">
        <f t="shared" si="6"/>
        <v>MACASA 7650</v>
      </c>
    </row>
    <row r="561">
      <c r="A561" s="18" t="s">
        <v>1129</v>
      </c>
      <c r="B561" s="91">
        <f t="shared" si="87"/>
        <v>7651</v>
      </c>
      <c r="C561" s="15">
        <v>7651.0</v>
      </c>
      <c r="D561" s="18" t="s">
        <v>141</v>
      </c>
      <c r="E561" s="39">
        <v>4290.0</v>
      </c>
      <c r="F561" s="39">
        <v>4680.0</v>
      </c>
      <c r="G561" s="50">
        <f t="shared" si="88"/>
        <v>0.09090909091</v>
      </c>
      <c r="H561" s="28"/>
      <c r="I561" s="55">
        <f t="shared" si="2"/>
        <v>4816.593247</v>
      </c>
      <c r="J561" s="81"/>
      <c r="K561" s="60">
        <f>IFERROR(__xludf.DUMMYFUNCTION("IFERROR(VLOOKUP(C561,IMPORTRANGE(""https://docs.google.com/spreadsheets/d/1HZUHB8NvANAZR0sHDmHYVAm2WE9kNv0pGIQA48Ryim8/edit?gid=1285727875#gid=1285727875"",""Sheet1!A2:G""),7,0))"),955.69)</f>
        <v>955.69</v>
      </c>
      <c r="L561" s="62">
        <f t="shared" si="89"/>
        <v>4.488903305</v>
      </c>
      <c r="M561" s="60">
        <f>IFERROR(__xludf.DUMMYFUNCTION("IFERROR(VLOOKUP(C561,IMPORTRANGE(""https://docs.google.com/spreadsheets/d/1HZUHB8NvANAZR0sHDmHYVAm2WE9kNv0pGIQA48Ryim8/edit?gid=1285727875#gid=1285727875"",""Cost!A2:G""),7,0))"),1073.0)</f>
        <v>1073</v>
      </c>
      <c r="N561" s="62">
        <f t="shared" si="4"/>
        <v>4.361602982</v>
      </c>
      <c r="O561" s="28"/>
      <c r="P561" s="28"/>
      <c r="Q561" s="28"/>
      <c r="R561" s="28"/>
      <c r="S561" s="28"/>
      <c r="T561" s="28"/>
      <c r="U561" s="65"/>
      <c r="V561" s="28"/>
      <c r="W561" s="65"/>
      <c r="X561" s="66" t="s">
        <v>139</v>
      </c>
      <c r="Y561" s="65" t="str">
        <f t="shared" si="6"/>
        <v>MACASA 7651</v>
      </c>
    </row>
    <row r="562">
      <c r="A562" s="18" t="s">
        <v>1129</v>
      </c>
      <c r="B562" s="91">
        <f t="shared" si="87"/>
        <v>7652</v>
      </c>
      <c r="C562" s="15">
        <v>7652.0</v>
      </c>
      <c r="D562" s="18" t="s">
        <v>147</v>
      </c>
      <c r="E562" s="39">
        <v>5990.0</v>
      </c>
      <c r="F562" s="39">
        <v>6680.0</v>
      </c>
      <c r="G562" s="50">
        <f t="shared" si="88"/>
        <v>0.1151919866</v>
      </c>
      <c r="H562" s="28"/>
      <c r="I562" s="55">
        <f t="shared" si="2"/>
        <v>6679.834426</v>
      </c>
      <c r="J562" s="81"/>
      <c r="K562" s="60">
        <f>IFERROR(__xludf.DUMMYFUNCTION("IFERROR(VLOOKUP(C562,IMPORTRANGE(""https://docs.google.com/spreadsheets/d/1HZUHB8NvANAZR0sHDmHYVAm2WE9kNv0pGIQA48Ryim8/edit?gid=1285727875#gid=1285727875"",""Sheet1!A2:G""),7,0))"),1587.21)</f>
        <v>1587.21</v>
      </c>
      <c r="L562" s="62">
        <f t="shared" si="89"/>
        <v>3.773917755</v>
      </c>
      <c r="M562" s="60">
        <f>IFERROR(__xludf.DUMMYFUNCTION("IFERROR(VLOOKUP(C562,IMPORTRANGE(""https://docs.google.com/spreadsheets/d/1HZUHB8NvANAZR0sHDmHYVAm2WE9kNv0pGIQA48Ryim8/edit?gid=1285727875#gid=1285727875"",""Cost!A2:G""),7,0))"),1770.0)</f>
        <v>1770</v>
      </c>
      <c r="N562" s="62">
        <f t="shared" si="4"/>
        <v>3.774011299</v>
      </c>
      <c r="O562" s="28"/>
      <c r="P562" s="28"/>
      <c r="Q562" s="28"/>
      <c r="R562" s="28"/>
      <c r="S562" s="28"/>
      <c r="T562" s="28"/>
      <c r="U562" s="65"/>
      <c r="V562" s="28"/>
      <c r="W562" s="65"/>
      <c r="X562" s="66" t="s">
        <v>144</v>
      </c>
      <c r="Y562" s="65" t="str">
        <f t="shared" si="6"/>
        <v>MACASA 7652</v>
      </c>
    </row>
    <row r="563">
      <c r="A563" s="18" t="s">
        <v>1129</v>
      </c>
      <c r="B563" s="91">
        <f t="shared" si="87"/>
        <v>7654</v>
      </c>
      <c r="C563" s="15">
        <v>7654.0</v>
      </c>
      <c r="D563" s="18" t="s">
        <v>152</v>
      </c>
      <c r="E563" s="75">
        <f t="shared" ref="E563:F563" si="92">SUM(E564:E565)</f>
        <v>6140</v>
      </c>
      <c r="F563" s="75">
        <f t="shared" si="92"/>
        <v>6680</v>
      </c>
      <c r="G563" s="50">
        <f t="shared" si="88"/>
        <v>0.08794788274</v>
      </c>
      <c r="H563" s="28"/>
      <c r="I563" s="55">
        <f t="shared" si="2"/>
        <v>6667.084846</v>
      </c>
      <c r="J563" s="81"/>
      <c r="K563" s="60">
        <f>IFERROR(__xludf.DUMMYFUNCTION("IFERROR(VLOOKUP(C563,IMPORTRANGE(""https://docs.google.com/spreadsheets/d/1HZUHB8NvANAZR0sHDmHYVAm2WE9kNv0pGIQA48Ryim8/edit?gid=1285727875#gid=1285727875"",""Sheet1!A2:G""),7,0))"),1642.04)</f>
        <v>1642.04</v>
      </c>
      <c r="L563" s="62">
        <f t="shared" si="89"/>
        <v>3.739251175</v>
      </c>
      <c r="M563" s="60">
        <f>IFERROR(__xludf.DUMMYFUNCTION("IFERROR(VLOOKUP(C563,IMPORTRANGE(""https://docs.google.com/spreadsheets/d/1HZUHB8NvANAZR0sHDmHYVAm2WE9kNv0pGIQA48Ryim8/edit?gid=1285727875#gid=1285727875"",""Cost!A2:G""),7,0))"),1783.0)</f>
        <v>1783</v>
      </c>
      <c r="N563" s="62">
        <f t="shared" si="4"/>
        <v>3.746494672</v>
      </c>
      <c r="O563" s="28"/>
      <c r="P563" s="28"/>
      <c r="Q563" s="28"/>
      <c r="R563" s="28"/>
      <c r="S563" s="28"/>
      <c r="T563" s="28"/>
      <c r="U563" s="65"/>
      <c r="V563" s="28"/>
      <c r="W563" s="65"/>
      <c r="X563" s="66" t="s">
        <v>150</v>
      </c>
      <c r="Y563" s="65" t="str">
        <f t="shared" si="6"/>
        <v>MACASA 7654</v>
      </c>
    </row>
    <row r="564">
      <c r="A564" s="18" t="s">
        <v>1129</v>
      </c>
      <c r="B564" s="91" t="str">
        <f t="shared" si="87"/>
        <v>BD-40</v>
      </c>
      <c r="C564" s="15" t="s">
        <v>154</v>
      </c>
      <c r="D564" s="18" t="s">
        <v>156</v>
      </c>
      <c r="E564" s="39">
        <v>3680.0</v>
      </c>
      <c r="F564" s="39">
        <v>3990.0</v>
      </c>
      <c r="G564" s="50">
        <f t="shared" si="88"/>
        <v>0.08423913043</v>
      </c>
      <c r="H564" s="28"/>
      <c r="I564" s="55">
        <f t="shared" si="2"/>
        <v>4075.59981</v>
      </c>
      <c r="J564" s="81"/>
      <c r="K564" s="60">
        <f>IFERROR(__xludf.DUMMYFUNCTION("IFERROR(VLOOKUP(C564,IMPORTRANGE(""https://docs.google.com/spreadsheets/d/1HZUHB8NvANAZR0sHDmHYVAm2WE9kNv0pGIQA48Ryim8/edit?gid=1285727875#gid=1285727875"",""Sheet1!A2:G""),7,0))"),966.14)</f>
        <v>966.14</v>
      </c>
      <c r="L564" s="62">
        <f t="shared" si="89"/>
        <v>3.808971785</v>
      </c>
      <c r="M564" s="60">
        <f>IFERROR(__xludf.DUMMYFUNCTION("IFERROR(VLOOKUP(C564,IMPORTRANGE(""https://docs.google.com/spreadsheets/d/1HZUHB8NvANAZR0sHDmHYVAm2WE9kNv0pGIQA48Ryim8/edit?gid=1285727875#gid=1285727875"",""Cost!A2:G""),7,0))"),1070.0)</f>
        <v>1070</v>
      </c>
      <c r="N564" s="62">
        <f t="shared" si="4"/>
        <v>3.728971963</v>
      </c>
      <c r="O564" s="28"/>
      <c r="P564" s="28"/>
      <c r="Q564" s="28"/>
      <c r="R564" s="28"/>
      <c r="S564" s="28"/>
      <c r="T564" s="28"/>
      <c r="U564" s="65"/>
      <c r="V564" s="28"/>
      <c r="W564" s="65"/>
      <c r="X564" s="66" t="s">
        <v>154</v>
      </c>
      <c r="Y564" s="65" t="str">
        <f t="shared" si="6"/>
        <v>MACASA 76BD-40</v>
      </c>
    </row>
    <row r="565">
      <c r="A565" s="18" t="s">
        <v>1129</v>
      </c>
      <c r="B565" s="91" t="str">
        <f t="shared" si="87"/>
        <v>BB-76</v>
      </c>
      <c r="C565" s="15" t="s">
        <v>1140</v>
      </c>
      <c r="D565" s="18" t="s">
        <v>78</v>
      </c>
      <c r="E565" s="39">
        <v>2460.0</v>
      </c>
      <c r="F565" s="39">
        <v>2690.0</v>
      </c>
      <c r="G565" s="50">
        <f t="shared" si="88"/>
        <v>0.09349593496</v>
      </c>
      <c r="H565" s="28"/>
      <c r="I565" s="55">
        <f t="shared" si="2"/>
        <v>2685.477258</v>
      </c>
      <c r="J565" s="81"/>
      <c r="K565" s="60">
        <f>IFERROR(__xludf.DUMMYFUNCTION("IFERROR(VLOOKUP(C565,IMPORTRANGE(""https://docs.google.com/spreadsheets/d/1HZUHB8NvANAZR0sHDmHYVAm2WE9kNv0pGIQA48Ryim8/edit?gid=1285727875#gid=1285727875"",""Sheet1!A2:G""),7,0))"),621.99)</f>
        <v>621.99</v>
      </c>
      <c r="L565" s="62">
        <f t="shared" si="89"/>
        <v>3.955047509</v>
      </c>
      <c r="M565" s="60">
        <f>IFERROR(__xludf.DUMMYFUNCTION("IFERROR(VLOOKUP(C565,IMPORTRANGE(""https://docs.google.com/spreadsheets/d/1HZUHB8NvANAZR0sHDmHYVAm2WE9kNv0pGIQA48Ryim8/edit?gid=1285727875#gid=1285727875"",""Cost!A2:G""),7,0))"),679.0)</f>
        <v>679</v>
      </c>
      <c r="N565" s="62">
        <f t="shared" si="4"/>
        <v>3.961708395</v>
      </c>
      <c r="O565" s="28"/>
      <c r="P565" s="28"/>
      <c r="Q565" s="28"/>
      <c r="R565" s="28"/>
      <c r="S565" s="28"/>
      <c r="T565" s="28"/>
      <c r="U565" s="65"/>
      <c r="V565" s="28"/>
      <c r="W565" s="65"/>
      <c r="X565" s="66" t="s">
        <v>159</v>
      </c>
      <c r="Y565" s="65" t="str">
        <f t="shared" si="6"/>
        <v>MACASA 76BB</v>
      </c>
    </row>
    <row r="566">
      <c r="A566" s="18" t="s">
        <v>1129</v>
      </c>
      <c r="B566" s="91">
        <f t="shared" si="87"/>
        <v>7655</v>
      </c>
      <c r="C566" s="15">
        <v>7655.0</v>
      </c>
      <c r="D566" s="18" t="s">
        <v>164</v>
      </c>
      <c r="E566" s="39">
        <v>4980.0</v>
      </c>
      <c r="F566" s="39">
        <v>5480.0</v>
      </c>
      <c r="G566" s="50">
        <f t="shared" si="88"/>
        <v>0.1004016064</v>
      </c>
      <c r="H566" s="28"/>
      <c r="I566" s="55">
        <f t="shared" si="2"/>
        <v>5766.186648</v>
      </c>
      <c r="J566" s="81"/>
      <c r="K566" s="60">
        <f>IFERROR(__xludf.DUMMYFUNCTION("IFERROR(VLOOKUP(C566,IMPORTRANGE(""https://docs.google.com/spreadsheets/d/1HZUHB8NvANAZR0sHDmHYVAm2WE9kNv0pGIQA48Ryim8/edit?gid=1285727875#gid=1285727875"",""Sheet1!A2:G""),7,0))"),1339.53)</f>
        <v>1339.53</v>
      </c>
      <c r="L566" s="62">
        <f t="shared" si="89"/>
        <v>3.717721888</v>
      </c>
      <c r="M566" s="60">
        <f>IFERROR(__xludf.DUMMYFUNCTION("IFERROR(VLOOKUP(C566,IMPORTRANGE(""https://docs.google.com/spreadsheets/d/1HZUHB8NvANAZR0sHDmHYVAm2WE9kNv0pGIQA48Ryim8/edit?gid=1285727875#gid=1285727875"",""Cost!A2:G""),7,0))"),1551.0)</f>
        <v>1551</v>
      </c>
      <c r="N566" s="62">
        <f t="shared" si="4"/>
        <v>3.533204384</v>
      </c>
      <c r="O566" s="28"/>
      <c r="P566" s="28"/>
      <c r="Q566" s="28"/>
      <c r="R566" s="28"/>
      <c r="S566" s="28"/>
      <c r="T566" s="28"/>
      <c r="U566" s="65"/>
      <c r="V566" s="28"/>
      <c r="W566" s="65"/>
      <c r="X566" s="66" t="s">
        <v>162</v>
      </c>
      <c r="Y566" s="65" t="str">
        <f t="shared" si="6"/>
        <v>MACASA 7655</v>
      </c>
    </row>
    <row r="567">
      <c r="A567" s="18" t="s">
        <v>1129</v>
      </c>
      <c r="B567" s="91">
        <f t="shared" si="87"/>
        <v>7670</v>
      </c>
      <c r="C567" s="15">
        <v>7670.0</v>
      </c>
      <c r="D567" s="18" t="s">
        <v>186</v>
      </c>
      <c r="E567" s="39">
        <v>6680.0</v>
      </c>
      <c r="F567" s="39">
        <v>7380.0</v>
      </c>
      <c r="G567" s="50">
        <f t="shared" si="88"/>
        <v>0.1047904192</v>
      </c>
      <c r="H567" s="28"/>
      <c r="I567" s="55">
        <f t="shared" si="2"/>
        <v>7763.00312</v>
      </c>
      <c r="J567" s="81"/>
      <c r="K567" s="60">
        <f>IFERROR(__xludf.DUMMYFUNCTION("IFERROR(VLOOKUP(C567,IMPORTRANGE(""https://docs.google.com/spreadsheets/d/1HZUHB8NvANAZR0sHDmHYVAm2WE9kNv0pGIQA48Ryim8/edit?gid=1285727875#gid=1285727875"",""Sheet1!A2:G""),7,0))"),1977.41)</f>
        <v>1977.41</v>
      </c>
      <c r="L567" s="62">
        <f t="shared" si="89"/>
        <v>3.378156275</v>
      </c>
      <c r="M567" s="60">
        <f>IFERROR(__xludf.DUMMYFUNCTION("IFERROR(VLOOKUP(C567,IMPORTRANGE(""https://docs.google.com/spreadsheets/d/1HZUHB8NvANAZR0sHDmHYVAm2WE9kNv0pGIQA48Ryim8/edit?gid=1285727875#gid=1285727875"",""Cost!A2:G""),7,0))"),2298.0)</f>
        <v>2298</v>
      </c>
      <c r="N567" s="62">
        <f t="shared" si="4"/>
        <v>3.211488251</v>
      </c>
      <c r="O567" s="28"/>
      <c r="P567" s="28"/>
      <c r="Q567" s="28"/>
      <c r="R567" s="28"/>
      <c r="S567" s="28"/>
      <c r="T567" s="28"/>
      <c r="U567" s="65"/>
      <c r="V567" s="28"/>
      <c r="W567" s="65"/>
      <c r="X567" s="66" t="s">
        <v>184</v>
      </c>
      <c r="Y567" s="65" t="str">
        <f t="shared" si="6"/>
        <v>MACASA 7670</v>
      </c>
    </row>
    <row r="568">
      <c r="A568" s="18" t="s">
        <v>1129</v>
      </c>
      <c r="B568" s="91">
        <f t="shared" si="87"/>
        <v>7671</v>
      </c>
      <c r="C568" s="15">
        <v>7671.0</v>
      </c>
      <c r="D568" s="18" t="s">
        <v>192</v>
      </c>
      <c r="E568" s="39">
        <v>5980.0</v>
      </c>
      <c r="F568" s="39">
        <v>6840.0</v>
      </c>
      <c r="G568" s="50">
        <f t="shared" si="88"/>
        <v>0.143812709</v>
      </c>
      <c r="H568" s="28"/>
      <c r="I568" s="55">
        <f t="shared" si="2"/>
        <v>6840.466012</v>
      </c>
      <c r="J568" s="81"/>
      <c r="K568" s="60">
        <f>IFERROR(__xludf.DUMMYFUNCTION("IFERROR(VLOOKUP(C568,IMPORTRANGE(""https://docs.google.com/spreadsheets/d/1HZUHB8NvANAZR0sHDmHYVAm2WE9kNv0pGIQA48Ryim8/edit?gid=1285727875#gid=1285727875"",""Sheet1!A2:G""),7,0))"),1702.96)</f>
        <v>1702.96</v>
      </c>
      <c r="L568" s="62">
        <f t="shared" si="89"/>
        <v>3.51153286</v>
      </c>
      <c r="M568" s="60">
        <f>IFERROR(__xludf.DUMMYFUNCTION("IFERROR(VLOOKUP(C568,IMPORTRANGE(""https://docs.google.com/spreadsheets/d/1HZUHB8NvANAZR0sHDmHYVAm2WE9kNv0pGIQA48Ryim8/edit?gid=1285727875#gid=1285727875"",""Cost!A2:G""),7,0))"),1948.0)</f>
        <v>1948</v>
      </c>
      <c r="N568" s="62">
        <f t="shared" si="4"/>
        <v>3.511293634</v>
      </c>
      <c r="O568" s="28"/>
      <c r="P568" s="28"/>
      <c r="Q568" s="28"/>
      <c r="R568" s="28"/>
      <c r="S568" s="28"/>
      <c r="T568" s="28"/>
      <c r="U568" s="65"/>
      <c r="V568" s="28"/>
      <c r="W568" s="65"/>
      <c r="X568" s="66" t="s">
        <v>190</v>
      </c>
      <c r="Y568" s="65" t="str">
        <f t="shared" si="6"/>
        <v>MACASA 7671</v>
      </c>
    </row>
    <row r="569">
      <c r="A569" s="18" t="s">
        <v>1129</v>
      </c>
      <c r="B569" s="91">
        <f t="shared" si="87"/>
        <v>7675</v>
      </c>
      <c r="C569" s="15">
        <v>7675.0</v>
      </c>
      <c r="D569" s="18" t="s">
        <v>196</v>
      </c>
      <c r="E569" s="39">
        <v>6680.0</v>
      </c>
      <c r="F569" s="39">
        <v>7380.0</v>
      </c>
      <c r="G569" s="50">
        <f t="shared" si="88"/>
        <v>0.1047904192</v>
      </c>
      <c r="H569" s="28"/>
      <c r="I569" s="55">
        <f t="shared" si="2"/>
        <v>7755.170515</v>
      </c>
      <c r="J569" s="81"/>
      <c r="K569" s="60">
        <f>IFERROR(__xludf.DUMMYFUNCTION("IFERROR(VLOOKUP(C569,IMPORTRANGE(""https://docs.google.com/spreadsheets/d/1HZUHB8NvANAZR0sHDmHYVAm2WE9kNv0pGIQA48Ryim8/edit?gid=1285727875#gid=1285727875"",""Sheet1!A2:G""),7,0))"),1943.23)</f>
        <v>1943.23</v>
      </c>
      <c r="L569" s="62">
        <f t="shared" si="89"/>
        <v>3.437575583</v>
      </c>
      <c r="M569" s="60">
        <f>IFERROR(__xludf.DUMMYFUNCTION("IFERROR(VLOOKUP(C569,IMPORTRANGE(""https://docs.google.com/spreadsheets/d/1HZUHB8NvANAZR0sHDmHYVAm2WE9kNv0pGIQA48Ryim8/edit?gid=1285727875#gid=1285727875"",""Cost!A2:G""),7,0))"),2256.0)</f>
        <v>2256</v>
      </c>
      <c r="N569" s="62">
        <f t="shared" si="4"/>
        <v>3.271276596</v>
      </c>
      <c r="O569" s="28"/>
      <c r="P569" s="28"/>
      <c r="Q569" s="28"/>
      <c r="R569" s="28"/>
      <c r="S569" s="28"/>
      <c r="T569" s="28"/>
      <c r="U569" s="65"/>
      <c r="V569" s="28"/>
      <c r="W569" s="65"/>
      <c r="X569" s="66" t="s">
        <v>194</v>
      </c>
      <c r="Y569" s="65" t="str">
        <f t="shared" si="6"/>
        <v>MACASA 7675</v>
      </c>
    </row>
    <row r="570">
      <c r="A570" s="18" t="s">
        <v>1129</v>
      </c>
      <c r="B570" s="91">
        <f t="shared" si="87"/>
        <v>7676</v>
      </c>
      <c r="C570" s="15">
        <v>7676.0</v>
      </c>
      <c r="D570" s="18" t="s">
        <v>200</v>
      </c>
      <c r="E570" s="39">
        <v>9480.0</v>
      </c>
      <c r="F570" s="39">
        <v>10980.0</v>
      </c>
      <c r="G570" s="50">
        <f t="shared" si="88"/>
        <v>0.1582278481</v>
      </c>
      <c r="H570" s="28"/>
      <c r="I570" s="55">
        <f t="shared" si="2"/>
        <v>10673.10625</v>
      </c>
      <c r="J570" s="81"/>
      <c r="K570" s="60">
        <f>IFERROR(__xludf.DUMMYFUNCTION("IFERROR(VLOOKUP(C570,IMPORTRANGE(""https://docs.google.com/spreadsheets/d/1HZUHB8NvANAZR0sHDmHYVAm2WE9kNv0pGIQA48Ryim8/edit?gid=1285727875#gid=1285727875"",""Sheet1!A2:G""),7,0))"),3107.86)</f>
        <v>3107.86</v>
      </c>
      <c r="L570" s="62">
        <f t="shared" si="89"/>
        <v>3.050330452</v>
      </c>
      <c r="M570" s="60">
        <f>IFERROR(__xludf.DUMMYFUNCTION("IFERROR(VLOOKUP(C570,IMPORTRANGE(""https://docs.google.com/spreadsheets/d/1HZUHB8NvANAZR0sHDmHYVAm2WE9kNv0pGIQA48Ryim8/edit?gid=1285727875#gid=1285727875"",""Cost!A2:G""),7,0))"),3499.0)</f>
        <v>3499</v>
      </c>
      <c r="N570" s="62">
        <f t="shared" si="4"/>
        <v>3.13803944</v>
      </c>
      <c r="O570" s="28"/>
      <c r="P570" s="28"/>
      <c r="Q570" s="28"/>
      <c r="R570" s="28"/>
      <c r="S570" s="28"/>
      <c r="T570" s="28"/>
      <c r="U570" s="65"/>
      <c r="V570" s="28"/>
      <c r="W570" s="65"/>
      <c r="X570" s="66" t="s">
        <v>198</v>
      </c>
      <c r="Y570" s="65" t="str">
        <f t="shared" si="6"/>
        <v>MACASA 7676</v>
      </c>
    </row>
    <row r="571">
      <c r="A571" s="18" t="s">
        <v>1129</v>
      </c>
      <c r="B571" s="91">
        <f t="shared" si="87"/>
        <v>7680</v>
      </c>
      <c r="C571" s="15">
        <v>7680.0</v>
      </c>
      <c r="D571" s="18" t="s">
        <v>205</v>
      </c>
      <c r="E571" s="39">
        <v>7440.0</v>
      </c>
      <c r="F571" s="39">
        <v>8260.0</v>
      </c>
      <c r="G571" s="50">
        <f t="shared" si="88"/>
        <v>0.1102150538</v>
      </c>
      <c r="H571" s="28"/>
      <c r="I571" s="55">
        <f t="shared" si="2"/>
        <v>8600.792001</v>
      </c>
      <c r="J571" s="81"/>
      <c r="K571" s="60">
        <f>IFERROR(__xludf.DUMMYFUNCTION("IFERROR(VLOOKUP(C571,IMPORTRANGE(""https://docs.google.com/spreadsheets/d/1HZUHB8NvANAZR0sHDmHYVAm2WE9kNv0pGIQA48Ryim8/edit?gid=1285727875#gid=1285727875"",""Sheet1!A2:G""),7,0))"),2126.26)</f>
        <v>2126.26</v>
      </c>
      <c r="L571" s="62">
        <f t="shared" si="89"/>
        <v>3.499101709</v>
      </c>
      <c r="M571" s="60">
        <f>IFERROR(__xludf.DUMMYFUNCTION("IFERROR(VLOOKUP(C571,IMPORTRANGE(""https://docs.google.com/spreadsheets/d/1HZUHB8NvANAZR0sHDmHYVAm2WE9kNv0pGIQA48Ryim8/edit?gid=1285727875#gid=1285727875"",""Cost!A2:G""),7,0))"),2458.0)</f>
        <v>2458</v>
      </c>
      <c r="N571" s="62">
        <f t="shared" si="4"/>
        <v>3.360455655</v>
      </c>
      <c r="O571" s="28"/>
      <c r="P571" s="28"/>
      <c r="Q571" s="28"/>
      <c r="R571" s="28"/>
      <c r="S571" s="28"/>
      <c r="T571" s="28"/>
      <c r="U571" s="65"/>
      <c r="V571" s="28"/>
      <c r="W571" s="65"/>
      <c r="X571" s="66" t="s">
        <v>203</v>
      </c>
      <c r="Y571" s="65" t="str">
        <f t="shared" si="6"/>
        <v>MACASA 7680</v>
      </c>
    </row>
    <row r="572">
      <c r="A572" s="18" t="s">
        <v>1129</v>
      </c>
      <c r="B572" s="91" t="str">
        <f t="shared" si="87"/>
        <v>7691-N</v>
      </c>
      <c r="C572" s="15" t="s">
        <v>1143</v>
      </c>
      <c r="D572" s="18" t="s">
        <v>210</v>
      </c>
      <c r="E572" s="75">
        <f t="shared" ref="E572:F572" si="93">SUM(E573:E574)</f>
        <v>6280</v>
      </c>
      <c r="F572" s="75">
        <f t="shared" si="93"/>
        <v>6620</v>
      </c>
      <c r="G572" s="50">
        <f t="shared" si="88"/>
        <v>0.05414012739</v>
      </c>
      <c r="H572" s="28"/>
      <c r="I572" s="55">
        <f t="shared" si="2"/>
        <v>6402.436199</v>
      </c>
      <c r="J572" s="81"/>
      <c r="K572" s="60">
        <f>IFERROR(__xludf.DUMMYFUNCTION("IFERROR(VLOOKUP(C572,IMPORTRANGE(""https://docs.google.com/spreadsheets/d/1HZUHB8NvANAZR0sHDmHYVAm2WE9kNv0pGIQA48Ryim8/edit?gid=1285727875#gid=1285727875"",""Sheet1!A2:G""),7,0))"),1812.66)</f>
        <v>1812.66</v>
      </c>
      <c r="L572" s="62">
        <f t="shared" si="89"/>
        <v>3.464521753</v>
      </c>
      <c r="M572" s="60">
        <f>IFERROR(__xludf.DUMMYFUNCTION("IFERROR(VLOOKUP(C572,IMPORTRANGE(""https://docs.google.com/spreadsheets/d/1HZUHB8NvANAZR0sHDmHYVAm2WE9kNv0pGIQA48Ryim8/edit?gid=1285727875#gid=1285727875"",""Cost!A2:G""),7,0))"),1848.0)</f>
        <v>1848</v>
      </c>
      <c r="N572" s="62">
        <f t="shared" si="4"/>
        <v>3.582251082</v>
      </c>
      <c r="O572" s="28"/>
      <c r="P572" s="28"/>
      <c r="Q572" s="28"/>
      <c r="R572" s="28"/>
      <c r="S572" s="28"/>
      <c r="T572" s="28"/>
      <c r="U572" s="65"/>
      <c r="V572" s="28"/>
      <c r="W572" s="65"/>
      <c r="X572" s="66" t="s">
        <v>209</v>
      </c>
      <c r="Y572" s="65" t="str">
        <f t="shared" si="6"/>
        <v>MACASA 7691</v>
      </c>
    </row>
    <row r="573">
      <c r="A573" s="18" t="s">
        <v>1129</v>
      </c>
      <c r="B573" s="91" t="str">
        <f t="shared" si="87"/>
        <v>PD-40-N</v>
      </c>
      <c r="C573" s="15" t="s">
        <v>212</v>
      </c>
      <c r="D573" s="18" t="s">
        <v>214</v>
      </c>
      <c r="E573" s="39">
        <v>4240.0</v>
      </c>
      <c r="F573" s="39">
        <v>4580.0</v>
      </c>
      <c r="G573" s="50">
        <f t="shared" si="88"/>
        <v>0.08018867925</v>
      </c>
      <c r="H573" s="28"/>
      <c r="I573" s="55">
        <f t="shared" si="2"/>
        <v>4549.622554</v>
      </c>
      <c r="J573" s="81"/>
      <c r="K573" s="60">
        <f>IFERROR(__xludf.DUMMYFUNCTION("IFERROR(VLOOKUP(C573,IMPORTRANGE(""https://docs.google.com/spreadsheets/d/1HZUHB8NvANAZR0sHDmHYVAm2WE9kNv0pGIQA48Ryim8/edit?gid=1285727875#gid=1285727875"",""Sheet1!A2:G""),7,0))"),1298.2)</f>
        <v>1298.2</v>
      </c>
      <c r="L573" s="62">
        <f t="shared" si="89"/>
        <v>3.266060699</v>
      </c>
      <c r="M573" s="60">
        <f>IFERROR(__xludf.DUMMYFUNCTION("IFERROR(VLOOKUP(C573,IMPORTRANGE(""https://docs.google.com/spreadsheets/d/1HZUHB8NvANAZR0sHDmHYVAm2WE9kNv0pGIQA48Ryim8/edit?gid=1285727875#gid=1285727875"",""Cost!A2:G""),7,0))"),1393.0)</f>
        <v>1393</v>
      </c>
      <c r="N573" s="62">
        <f t="shared" si="4"/>
        <v>3.287867911</v>
      </c>
      <c r="O573" s="28"/>
      <c r="P573" s="28"/>
      <c r="Q573" s="28"/>
      <c r="R573" s="28"/>
      <c r="S573" s="28"/>
      <c r="T573" s="28"/>
      <c r="U573" s="65"/>
      <c r="V573" s="28"/>
      <c r="W573" s="65"/>
      <c r="X573" s="66" t="s">
        <v>212</v>
      </c>
      <c r="Y573" s="65" t="str">
        <f t="shared" si="6"/>
        <v>MACASA 76PD-40-N</v>
      </c>
    </row>
    <row r="574">
      <c r="A574" s="18" t="s">
        <v>1129</v>
      </c>
      <c r="B574" s="91" t="str">
        <f t="shared" si="87"/>
        <v>DB-76-N</v>
      </c>
      <c r="C574" s="15" t="s">
        <v>1145</v>
      </c>
      <c r="D574" s="18" t="s">
        <v>217</v>
      </c>
      <c r="E574" s="39">
        <v>2040.0</v>
      </c>
      <c r="F574" s="39">
        <v>2040.0</v>
      </c>
      <c r="G574" s="50">
        <f t="shared" si="88"/>
        <v>0</v>
      </c>
      <c r="H574" s="28"/>
      <c r="I574" s="55">
        <f t="shared" si="2"/>
        <v>1810.006407</v>
      </c>
      <c r="J574" s="81"/>
      <c r="K574" s="60">
        <f>IFERROR(__xludf.DUMMYFUNCTION("IFERROR(VLOOKUP(C574,IMPORTRANGE(""https://docs.google.com/spreadsheets/d/1HZUHB8NvANAZR0sHDmHYVAm2WE9kNv0pGIQA48Ryim8/edit?gid=1285727875#gid=1285727875"",""Sheet1!A2:G""),7,0))"),515.07)</f>
        <v>515.07</v>
      </c>
      <c r="L574" s="62">
        <f t="shared" si="89"/>
        <v>3.960626711</v>
      </c>
      <c r="M574" s="60">
        <f>IFERROR(__xludf.DUMMYFUNCTION("IFERROR(VLOOKUP(C574,IMPORTRANGE(""https://docs.google.com/spreadsheets/d/1HZUHB8NvANAZR0sHDmHYVAm2WE9kNv0pGIQA48Ryim8/edit?gid=1285727875#gid=1285727875"",""Cost!A2:G""),7,0))"),457.0)</f>
        <v>457</v>
      </c>
      <c r="N574" s="62">
        <f t="shared" si="4"/>
        <v>4.463894967</v>
      </c>
      <c r="O574" s="28"/>
      <c r="P574" s="28"/>
      <c r="Q574" s="28"/>
      <c r="R574" s="28"/>
      <c r="S574" s="28"/>
      <c r="T574" s="28"/>
      <c r="U574" s="65"/>
      <c r="V574" s="28"/>
      <c r="W574" s="65"/>
      <c r="X574" s="66" t="s">
        <v>358</v>
      </c>
      <c r="Y574" s="65" t="str">
        <f t="shared" si="6"/>
        <v>MACASA 76DB</v>
      </c>
    </row>
    <row r="575">
      <c r="A575" s="18" t="s">
        <v>1129</v>
      </c>
      <c r="B575" s="91" t="str">
        <f t="shared" si="87"/>
        <v>7692-N</v>
      </c>
      <c r="C575" s="15" t="s">
        <v>1146</v>
      </c>
      <c r="D575" s="18" t="s">
        <v>220</v>
      </c>
      <c r="E575" s="75">
        <f t="shared" ref="E575:F575" si="94">SUM(E576:E577)</f>
        <v>7020</v>
      </c>
      <c r="F575" s="75">
        <f t="shared" si="94"/>
        <v>7530</v>
      </c>
      <c r="G575" s="50">
        <f t="shared" si="88"/>
        <v>0.07264957265</v>
      </c>
      <c r="H575" s="28"/>
      <c r="I575" s="55">
        <f t="shared" si="2"/>
        <v>7393.070342</v>
      </c>
      <c r="J575" s="81"/>
      <c r="K575" s="60">
        <f>IFERROR(__xludf.DUMMYFUNCTION("IFERROR(VLOOKUP(C575,IMPORTRANGE(""https://docs.google.com/spreadsheets/d/1HZUHB8NvANAZR0sHDmHYVAm2WE9kNv0pGIQA48Ryim8/edit?gid=1285727875#gid=1285727875"",""Sheet1!A2:G""),7,0))"),2095.63)</f>
        <v>2095.63</v>
      </c>
      <c r="L575" s="62">
        <f t="shared" si="89"/>
        <v>3.349827975</v>
      </c>
      <c r="M575" s="60">
        <f>IFERROR(__xludf.DUMMYFUNCTION("IFERROR(VLOOKUP(C575,IMPORTRANGE(""https://docs.google.com/spreadsheets/d/1HZUHB8NvANAZR0sHDmHYVAm2WE9kNv0pGIQA48Ryim8/edit?gid=1285727875#gid=1285727875"",""Cost!A2:G""),7,0))"),2207.0)</f>
        <v>2207</v>
      </c>
      <c r="N575" s="62">
        <f t="shared" si="4"/>
        <v>3.411871319</v>
      </c>
      <c r="O575" s="28"/>
      <c r="P575" s="28"/>
      <c r="Q575" s="28"/>
      <c r="R575" s="28"/>
      <c r="S575" s="28"/>
      <c r="T575" s="28"/>
      <c r="U575" s="65"/>
      <c r="V575" s="28"/>
      <c r="W575" s="65"/>
      <c r="X575" s="66" t="s">
        <v>219</v>
      </c>
      <c r="Y575" s="65" t="str">
        <f t="shared" si="6"/>
        <v>MACASA 7692</v>
      </c>
    </row>
    <row r="576">
      <c r="A576" s="18" t="s">
        <v>1129</v>
      </c>
      <c r="B576" s="91" t="str">
        <f t="shared" si="87"/>
        <v>PD-46-H-N</v>
      </c>
      <c r="C576" s="15" t="s">
        <v>223</v>
      </c>
      <c r="D576" s="18" t="s">
        <v>224</v>
      </c>
      <c r="E576" s="39">
        <v>4980.0</v>
      </c>
      <c r="F576" s="39">
        <v>5490.0</v>
      </c>
      <c r="G576" s="50">
        <f t="shared" si="88"/>
        <v>0.1024096386</v>
      </c>
      <c r="H576" s="28"/>
      <c r="I576" s="55">
        <f t="shared" si="2"/>
        <v>5513.426362</v>
      </c>
      <c r="J576" s="81"/>
      <c r="K576" s="60">
        <f>IFERROR(__xludf.DUMMYFUNCTION("IFERROR(VLOOKUP(C576,IMPORTRANGE(""https://docs.google.com/spreadsheets/d/1HZUHB8NvANAZR0sHDmHYVAm2WE9kNv0pGIQA48Ryim8/edit?gid=1285727875#gid=1285727875"",""Sheet1!A2:G""),7,0))"),1581.59)</f>
        <v>1581.59</v>
      </c>
      <c r="L576" s="62">
        <f t="shared" si="89"/>
        <v>3.148730075</v>
      </c>
      <c r="M576" s="60">
        <f>IFERROR(__xludf.DUMMYFUNCTION("IFERROR(VLOOKUP(C576,IMPORTRANGE(""https://docs.google.com/spreadsheets/d/1HZUHB8NvANAZR0sHDmHYVAm2WE9kNv0pGIQA48Ryim8/edit?gid=1285727875#gid=1285727875"",""Cost!A2:G""),7,0))"),1751.0)</f>
        <v>1751</v>
      </c>
      <c r="N576" s="62">
        <f t="shared" si="4"/>
        <v>3.135351228</v>
      </c>
      <c r="O576" s="28"/>
      <c r="P576" s="28"/>
      <c r="Q576" s="28"/>
      <c r="R576" s="28"/>
      <c r="S576" s="28"/>
      <c r="T576" s="28"/>
      <c r="U576" s="65"/>
      <c r="V576" s="28"/>
      <c r="W576" s="65"/>
      <c r="X576" s="66" t="s">
        <v>223</v>
      </c>
      <c r="Y576" s="65" t="str">
        <f t="shared" si="6"/>
        <v>MACASA 76PD-46-H-N</v>
      </c>
    </row>
    <row r="577">
      <c r="A577" s="18" t="s">
        <v>1129</v>
      </c>
      <c r="B577" s="91" t="str">
        <f t="shared" si="87"/>
        <v>DB-76-H-N</v>
      </c>
      <c r="C577" s="15" t="s">
        <v>1147</v>
      </c>
      <c r="D577" s="18" t="s">
        <v>217</v>
      </c>
      <c r="E577" s="39">
        <v>2040.0</v>
      </c>
      <c r="F577" s="39">
        <f>F574</f>
        <v>2040</v>
      </c>
      <c r="G577" s="50">
        <f t="shared" si="88"/>
        <v>0</v>
      </c>
      <c r="H577" s="28"/>
      <c r="I577" s="55">
        <f t="shared" si="2"/>
        <v>1810.263296</v>
      </c>
      <c r="J577" s="81"/>
      <c r="K577" s="60">
        <f>IFERROR(__xludf.DUMMYFUNCTION("IFERROR(VLOOKUP(C577,IMPORTRANGE(""https://docs.google.com/spreadsheets/d/1HZUHB8NvANAZR0sHDmHYVAm2WE9kNv0pGIQA48Ryim8/edit?gid=1285727875#gid=1285727875"",""Sheet1!A2:G""),7,0))"),513.87)</f>
        <v>513.87</v>
      </c>
      <c r="L577" s="62">
        <f t="shared" si="89"/>
        <v>3.969875649</v>
      </c>
      <c r="M577" s="60">
        <f>IFERROR(__xludf.DUMMYFUNCTION("IFERROR(VLOOKUP(C577,IMPORTRANGE(""https://docs.google.com/spreadsheets/d/1HZUHB8NvANAZR0sHDmHYVAm2WE9kNv0pGIQA48Ryim8/edit?gid=1285727875#gid=1285727875"",""Cost!A2:G""),7,0))"),456.0)</f>
        <v>456</v>
      </c>
      <c r="N577" s="62">
        <f t="shared" si="4"/>
        <v>4.473684211</v>
      </c>
      <c r="O577" s="28"/>
      <c r="P577" s="28"/>
      <c r="Q577" s="28"/>
      <c r="R577" s="28"/>
      <c r="S577" s="28"/>
      <c r="T577" s="28"/>
      <c r="U577" s="65"/>
      <c r="V577" s="28"/>
      <c r="W577" s="65"/>
      <c r="X577" s="66" t="s">
        <v>358</v>
      </c>
      <c r="Y577" s="65" t="str">
        <f t="shared" si="6"/>
        <v>MACASA 76DB</v>
      </c>
    </row>
    <row r="578">
      <c r="A578" s="18" t="s">
        <v>1129</v>
      </c>
      <c r="B578" s="91" t="str">
        <f t="shared" si="87"/>
        <v>7692-ON-OFF-N</v>
      </c>
      <c r="C578" s="15" t="s">
        <v>1150</v>
      </c>
      <c r="D578" s="18" t="s">
        <v>229</v>
      </c>
      <c r="E578" s="75">
        <f t="shared" ref="E578:F578" si="95">SUM(E579:E580)</f>
        <v>7020</v>
      </c>
      <c r="F578" s="75">
        <f t="shared" si="95"/>
        <v>7530</v>
      </c>
      <c r="G578" s="50">
        <f t="shared" si="88"/>
        <v>0.07264957265</v>
      </c>
      <c r="H578" s="28"/>
      <c r="I578" s="55">
        <f t="shared" si="2"/>
        <v>7411.928693</v>
      </c>
      <c r="J578" s="81"/>
      <c r="K578" s="60">
        <f>IFERROR(__xludf.DUMMYFUNCTION("IFERROR(VLOOKUP(C578,IMPORTRANGE(""https://docs.google.com/spreadsheets/d/1HZUHB8NvANAZR0sHDmHYVAm2WE9kNv0pGIQA48Ryim8/edit?gid=1285727875#gid=1285727875"",""Sheet1!A2:G""),7,0))"),1872.46)</f>
        <v>1872.46</v>
      </c>
      <c r="L578" s="62">
        <f t="shared" si="89"/>
        <v>3.749078752</v>
      </c>
      <c r="M578" s="60">
        <f>IFERROR(__xludf.DUMMYFUNCTION("IFERROR(VLOOKUP(C578,IMPORTRANGE(""https://docs.google.com/spreadsheets/d/1HZUHB8NvANAZR0sHDmHYVAm2WE9kNv0pGIQA48Ryim8/edit?gid=1285727875#gid=1285727875"",""Cost!A2:G""),7,0))"),1977.0)</f>
        <v>1977</v>
      </c>
      <c r="N578" s="62">
        <f t="shared" si="4"/>
        <v>3.808801214</v>
      </c>
      <c r="O578" s="28"/>
      <c r="P578" s="28"/>
      <c r="Q578" s="28"/>
      <c r="R578" s="28"/>
      <c r="S578" s="28"/>
      <c r="T578" s="28"/>
      <c r="U578" s="65"/>
      <c r="V578" s="28"/>
      <c r="W578" s="65"/>
      <c r="X578" s="66" t="s">
        <v>368</v>
      </c>
      <c r="Y578" s="65" t="str">
        <f t="shared" si="6"/>
        <v>MACASA 7692-ON-OFF</v>
      </c>
    </row>
    <row r="579">
      <c r="A579" s="18" t="s">
        <v>1129</v>
      </c>
      <c r="B579" s="91" t="str">
        <f t="shared" si="87"/>
        <v>PD-46-H-ON-OFF-N</v>
      </c>
      <c r="C579" s="15" t="s">
        <v>234</v>
      </c>
      <c r="D579" s="18" t="s">
        <v>235</v>
      </c>
      <c r="E579" s="75">
        <f>E576-240</f>
        <v>4740</v>
      </c>
      <c r="F579" s="75">
        <f>F576-$X$1</f>
        <v>5250</v>
      </c>
      <c r="G579" s="50">
        <f t="shared" si="88"/>
        <v>0.1075949367</v>
      </c>
      <c r="H579" s="28"/>
      <c r="I579" s="55">
        <f t="shared" si="2"/>
        <v>5306.797906</v>
      </c>
      <c r="J579" s="81"/>
      <c r="K579" s="60">
        <f>IFERROR(__xludf.DUMMYFUNCTION("IFERROR(VLOOKUP(C579,IMPORTRANGE(""https://docs.google.com/spreadsheets/d/1HZUHB8NvANAZR0sHDmHYVAm2WE9kNv0pGIQA48Ryim8/edit?gid=1285727875#gid=1285727875"",""Sheet1!A2:G""),7,0))"),1367.48)</f>
        <v>1367.48</v>
      </c>
      <c r="L579" s="62">
        <f t="shared" si="89"/>
        <v>3.466229853</v>
      </c>
      <c r="M579" s="60">
        <f>IFERROR(__xludf.DUMMYFUNCTION("IFERROR(VLOOKUP(C579,IMPORTRANGE(""https://docs.google.com/spreadsheets/d/1HZUHB8NvANAZR0sHDmHYVAm2WE9kNv0pGIQA48Ryim8/edit?gid=1285727875#gid=1285727875"",""Cost!A2:G""),7,0))"),1531.0)</f>
        <v>1531</v>
      </c>
      <c r="N579" s="62">
        <f t="shared" si="4"/>
        <v>3.429131287</v>
      </c>
      <c r="O579" s="28"/>
      <c r="P579" s="28"/>
      <c r="Q579" s="28"/>
      <c r="R579" s="28"/>
      <c r="S579" s="28"/>
      <c r="T579" s="28"/>
      <c r="U579" s="65"/>
      <c r="V579" s="28"/>
      <c r="W579" s="65"/>
      <c r="X579" s="66" t="s">
        <v>371</v>
      </c>
      <c r="Y579" s="65" t="str">
        <f t="shared" si="6"/>
        <v>MACASA 76PD-ON-OFF</v>
      </c>
    </row>
    <row r="580">
      <c r="A580" s="18" t="s">
        <v>1129</v>
      </c>
      <c r="B580" s="91" t="str">
        <f t="shared" si="87"/>
        <v>DB-76-H-ON-OFF-N</v>
      </c>
      <c r="C580" s="15" t="s">
        <v>1151</v>
      </c>
      <c r="D580" s="18" t="s">
        <v>217</v>
      </c>
      <c r="E580" s="75">
        <f>E577+240</f>
        <v>2280</v>
      </c>
      <c r="F580" s="75">
        <f>F577+$X$1</f>
        <v>2280</v>
      </c>
      <c r="G580" s="50">
        <f t="shared" si="88"/>
        <v>0</v>
      </c>
      <c r="H580" s="28"/>
      <c r="I580" s="55">
        <f t="shared" si="2"/>
        <v>2023.62925</v>
      </c>
      <c r="J580" s="81"/>
      <c r="K580" s="60">
        <f>IFERROR(__xludf.DUMMYFUNCTION("IFERROR(VLOOKUP(C580,IMPORTRANGE(""https://docs.google.com/spreadsheets/d/1HZUHB8NvANAZR0sHDmHYVAm2WE9kNv0pGIQA48Ryim8/edit?gid=1285727875#gid=1285727875"",""Sheet1!A2:G""),7,0))"),513.77)</f>
        <v>513.77</v>
      </c>
      <c r="L580" s="62">
        <f t="shared" si="89"/>
        <v>4.437783444</v>
      </c>
      <c r="M580" s="60">
        <f>IFERROR(__xludf.DUMMYFUNCTION("IFERROR(VLOOKUP(C580,IMPORTRANGE(""https://docs.google.com/spreadsheets/d/1HZUHB8NvANAZR0sHDmHYVAm2WE9kNv0pGIQA48Ryim8/edit?gid=1285727875#gid=1285727875"",""Cost!A2:G""),7,0))"),456.0)</f>
        <v>456</v>
      </c>
      <c r="N580" s="62">
        <f t="shared" si="4"/>
        <v>5</v>
      </c>
      <c r="O580" s="28"/>
      <c r="P580" s="28"/>
      <c r="Q580" s="28"/>
      <c r="R580" s="28"/>
      <c r="S580" s="28"/>
      <c r="T580" s="28"/>
      <c r="U580" s="65"/>
      <c r="V580" s="28"/>
      <c r="W580" s="65"/>
      <c r="X580" s="66" t="s">
        <v>375</v>
      </c>
      <c r="Y580" s="65" t="str">
        <f t="shared" si="6"/>
        <v>MACASA 76DB-ON-OFF</v>
      </c>
    </row>
    <row r="581">
      <c r="A581" s="18" t="s">
        <v>1129</v>
      </c>
      <c r="B581" s="91"/>
      <c r="C581" s="15" t="s">
        <v>1152</v>
      </c>
      <c r="D581" s="18" t="s">
        <v>220</v>
      </c>
      <c r="E581" s="97" t="s">
        <v>377</v>
      </c>
      <c r="F581" s="75">
        <f>SUM(F582:F583)</f>
        <v>7530</v>
      </c>
      <c r="G581" s="50"/>
      <c r="H581" s="28"/>
      <c r="I581" s="55">
        <f t="shared" si="2"/>
        <v>0</v>
      </c>
      <c r="J581" s="81"/>
      <c r="K581" s="60"/>
      <c r="L581" s="62"/>
      <c r="M581" s="60">
        <f>SUM(M582:M583)</f>
        <v>2189.39</v>
      </c>
      <c r="N581" s="62">
        <f t="shared" si="4"/>
        <v>3.439314147</v>
      </c>
      <c r="O581" s="28"/>
      <c r="P581" s="28"/>
      <c r="Q581" s="28"/>
      <c r="R581" s="28"/>
      <c r="S581" s="28"/>
      <c r="T581" s="28"/>
      <c r="U581" s="65"/>
      <c r="V581" s="28"/>
      <c r="W581" s="65"/>
      <c r="X581" s="66" t="s">
        <v>380</v>
      </c>
      <c r="Y581" s="65" t="str">
        <f t="shared" si="6"/>
        <v>MACASA 7692-P</v>
      </c>
    </row>
    <row r="582">
      <c r="A582" s="18" t="s">
        <v>1129</v>
      </c>
      <c r="B582" s="91"/>
      <c r="C582" s="15" t="s">
        <v>381</v>
      </c>
      <c r="D582" s="18" t="s">
        <v>382</v>
      </c>
      <c r="E582" s="97" t="s">
        <v>377</v>
      </c>
      <c r="F582" s="39">
        <f>F576-$Y$1</f>
        <v>4990</v>
      </c>
      <c r="G582" s="50"/>
      <c r="H582" s="28"/>
      <c r="I582" s="55">
        <f t="shared" si="2"/>
        <v>0</v>
      </c>
      <c r="J582" s="81"/>
      <c r="K582" s="60"/>
      <c r="L582" s="62"/>
      <c r="M582" s="60">
        <f>IFERROR(__xludf.DUMMYFUNCTION("IFERROR(VLOOKUP(C582,IMPORTRANGE(""https://docs.google.com/spreadsheets/d/1HZUHB8NvANAZR0sHDmHYVAm2WE9kNv0pGIQA48Ryim8/edit?gid=1285727875#gid=1285727875"",""Diverter &amp; Upper!A2:B""),2,0))"),1585.45)</f>
        <v>1585.45</v>
      </c>
      <c r="N582" s="62">
        <f t="shared" si="4"/>
        <v>3.147371409</v>
      </c>
      <c r="O582" s="28"/>
      <c r="P582" s="28"/>
      <c r="Q582" s="28"/>
      <c r="R582" s="28"/>
      <c r="S582" s="28"/>
      <c r="T582" s="28"/>
      <c r="U582" s="65"/>
      <c r="V582" s="28"/>
      <c r="W582" s="65"/>
      <c r="X582" s="66" t="s">
        <v>381</v>
      </c>
      <c r="Y582" s="65" t="str">
        <f t="shared" si="6"/>
        <v>MACASA 76PD-46-H-P</v>
      </c>
    </row>
    <row r="583">
      <c r="A583" s="18" t="s">
        <v>1129</v>
      </c>
      <c r="B583" s="91"/>
      <c r="C583" s="15" t="s">
        <v>1153</v>
      </c>
      <c r="D583" s="18" t="s">
        <v>386</v>
      </c>
      <c r="E583" s="97" t="s">
        <v>377</v>
      </c>
      <c r="F583" s="39">
        <f>F577+$Y$1</f>
        <v>2540</v>
      </c>
      <c r="G583" s="50"/>
      <c r="H583" s="28"/>
      <c r="I583" s="55">
        <f t="shared" si="2"/>
        <v>0</v>
      </c>
      <c r="J583" s="81"/>
      <c r="K583" s="60"/>
      <c r="L583" s="62"/>
      <c r="M583" s="60">
        <f>IFERROR(__xludf.DUMMYFUNCTION("IFERROR(VLOOKUP(C583,IMPORTRANGE(""https://docs.google.com/spreadsheets/d/1HZUHB8NvANAZR0sHDmHYVAm2WE9kNv0pGIQA48Ryim8/edit?gid=1285727875#gid=1285727875"",""Diverter &amp; Upper!A2:B""),2,0))"),603.94)</f>
        <v>603.94</v>
      </c>
      <c r="N583" s="62">
        <f t="shared" si="4"/>
        <v>4.2057158</v>
      </c>
      <c r="O583" s="28"/>
      <c r="P583" s="28"/>
      <c r="Q583" s="28"/>
      <c r="R583" s="28"/>
      <c r="S583" s="28"/>
      <c r="T583" s="28"/>
      <c r="U583" s="65"/>
      <c r="V583" s="28"/>
      <c r="W583" s="65"/>
      <c r="X583" s="66" t="s">
        <v>387</v>
      </c>
      <c r="Y583" s="65" t="str">
        <f t="shared" si="6"/>
        <v>MACASA 76DB-P</v>
      </c>
    </row>
    <row r="584">
      <c r="A584" s="18" t="s">
        <v>1129</v>
      </c>
      <c r="B584" s="91"/>
      <c r="C584" s="15" t="s">
        <v>1154</v>
      </c>
      <c r="D584" s="18" t="s">
        <v>229</v>
      </c>
      <c r="E584" s="97" t="s">
        <v>377</v>
      </c>
      <c r="F584" s="75">
        <f>SUM(F585:F586)</f>
        <v>7530</v>
      </c>
      <c r="G584" s="50"/>
      <c r="H584" s="28"/>
      <c r="I584" s="55">
        <f t="shared" si="2"/>
        <v>0</v>
      </c>
      <c r="J584" s="81"/>
      <c r="K584" s="60"/>
      <c r="L584" s="62"/>
      <c r="M584" s="60">
        <f>SUM(M585:M586)</f>
        <v>1972.93</v>
      </c>
      <c r="N584" s="62">
        <f t="shared" si="4"/>
        <v>3.816658472</v>
      </c>
      <c r="O584" s="28"/>
      <c r="P584" s="28"/>
      <c r="Q584" s="28"/>
      <c r="R584" s="28"/>
      <c r="S584" s="28"/>
      <c r="T584" s="28"/>
      <c r="U584" s="65"/>
      <c r="V584" s="28"/>
      <c r="W584" s="65"/>
      <c r="X584" s="66" t="s">
        <v>391</v>
      </c>
      <c r="Y584" s="65" t="str">
        <f t="shared" si="6"/>
        <v>MACASA 7692-ON-OFF-P</v>
      </c>
    </row>
    <row r="585">
      <c r="A585" s="18" t="s">
        <v>1129</v>
      </c>
      <c r="B585" s="91"/>
      <c r="C585" s="15" t="s">
        <v>392</v>
      </c>
      <c r="D585" s="18" t="s">
        <v>393</v>
      </c>
      <c r="E585" s="97" t="s">
        <v>377</v>
      </c>
      <c r="F585" s="39">
        <f>F582-$X$1</f>
        <v>4750</v>
      </c>
      <c r="G585" s="50" t="str">
        <f>IFERROR((F585-E585)/E585,"")</f>
        <v/>
      </c>
      <c r="H585" s="28"/>
      <c r="I585" s="55">
        <f t="shared" si="2"/>
        <v>0</v>
      </c>
      <c r="J585" s="81"/>
      <c r="K585" s="60"/>
      <c r="L585" s="62"/>
      <c r="M585" s="60">
        <f>IFERROR(__xludf.DUMMYFUNCTION("IFERROR(VLOOKUP(C585,IMPORTRANGE(""https://docs.google.com/spreadsheets/d/1HZUHB8NvANAZR0sHDmHYVAm2WE9kNv0pGIQA48Ryim8/edit?gid=1285727875#gid=1285727875"",""Diverter &amp; Upper!A2:B""),2,0))"),1357.68)</f>
        <v>1357.68</v>
      </c>
      <c r="N585" s="62">
        <f t="shared" si="4"/>
        <v>3.498615285</v>
      </c>
      <c r="O585" s="28"/>
      <c r="P585" s="28"/>
      <c r="Q585" s="28"/>
      <c r="R585" s="28"/>
      <c r="S585" s="28"/>
      <c r="T585" s="28"/>
      <c r="U585" s="65"/>
      <c r="V585" s="28"/>
      <c r="W585" s="65"/>
      <c r="X585" s="66" t="s">
        <v>396</v>
      </c>
      <c r="Y585" s="65" t="str">
        <f t="shared" si="6"/>
        <v>MACASA 76PD-ON-OFF-P</v>
      </c>
    </row>
    <row r="586">
      <c r="A586" s="18" t="s">
        <v>1129</v>
      </c>
      <c r="B586" s="91"/>
      <c r="C586" s="15" t="s">
        <v>1155</v>
      </c>
      <c r="D586" s="18" t="s">
        <v>386</v>
      </c>
      <c r="E586" s="97" t="s">
        <v>377</v>
      </c>
      <c r="F586" s="39">
        <f>F583+$X$1</f>
        <v>2780</v>
      </c>
      <c r="G586" s="50"/>
      <c r="H586" s="28"/>
      <c r="I586" s="55">
        <f t="shared" si="2"/>
        <v>0</v>
      </c>
      <c r="J586" s="81"/>
      <c r="K586" s="60"/>
      <c r="L586" s="62"/>
      <c r="M586" s="60">
        <f>IFERROR(__xludf.DUMMYFUNCTION("IFERROR(VLOOKUP(C586,IMPORTRANGE(""https://docs.google.com/spreadsheets/d/1HZUHB8NvANAZR0sHDmHYVAm2WE9kNv0pGIQA48Ryim8/edit?gid=1285727875#gid=1285727875"",""Diverter &amp; Upper!A2:B""),2,0))"),615.25)</f>
        <v>615.25</v>
      </c>
      <c r="N586" s="62">
        <f t="shared" si="4"/>
        <v>4.518488419</v>
      </c>
      <c r="O586" s="28"/>
      <c r="P586" s="28"/>
      <c r="Q586" s="28"/>
      <c r="R586" s="28"/>
      <c r="S586" s="28"/>
      <c r="T586" s="28"/>
      <c r="U586" s="65"/>
      <c r="V586" s="28"/>
      <c r="W586" s="65"/>
      <c r="X586" s="66" t="s">
        <v>400</v>
      </c>
      <c r="Y586" s="65" t="str">
        <f t="shared" si="6"/>
        <v>MACASA 76DB-ON-OFF-P</v>
      </c>
    </row>
    <row r="587">
      <c r="A587" s="18" t="s">
        <v>1129</v>
      </c>
      <c r="B587" s="91" t="str">
        <f t="shared" ref="B587:B662" si="97">C587</f>
        <v>7693-N</v>
      </c>
      <c r="C587" s="15" t="s">
        <v>1156</v>
      </c>
      <c r="D587" s="18" t="s">
        <v>241</v>
      </c>
      <c r="E587" s="75">
        <f t="shared" ref="E587:F587" si="96">SUM(E588:E589)</f>
        <v>7020</v>
      </c>
      <c r="F587" s="75">
        <f t="shared" si="96"/>
        <v>7530</v>
      </c>
      <c r="G587" s="50">
        <f t="shared" ref="G587:G898" si="98">IFERROR((F587-E587)/E587,"")</f>
        <v>0.07264957265</v>
      </c>
      <c r="H587" s="28"/>
      <c r="I587" s="55">
        <f t="shared" si="2"/>
        <v>7263.467617</v>
      </c>
      <c r="J587" s="81"/>
      <c r="K587" s="60">
        <f>IFERROR(__xludf.DUMMYFUNCTION("IFERROR(VLOOKUP(C587,IMPORTRANGE(""https://docs.google.com/spreadsheets/d/1HZUHB8NvANAZR0sHDmHYVAm2WE9kNv0pGIQA48Ryim8/edit?gid=1285727875#gid=1285727875"",""Sheet1!A2:G""),7,0))"),2059.57)</f>
        <v>2059.57</v>
      </c>
      <c r="L587" s="62">
        <f t="shared" ref="L587:L898" si="99">IFERROR(E587/$K587,"")</f>
        <v>3.408478469</v>
      </c>
      <c r="M587" s="60">
        <f>IFERROR(__xludf.DUMMYFUNCTION("IFERROR(VLOOKUP(C587,IMPORTRANGE(""https://docs.google.com/spreadsheets/d/1HZUHB8NvANAZR0sHDmHYVAm2WE9kNv0pGIQA48Ryim8/edit?gid=1285727875#gid=1285727875"",""Cost!A2:G""),7,0))"),2131.0)</f>
        <v>2131</v>
      </c>
      <c r="N587" s="62">
        <f t="shared" si="4"/>
        <v>3.533552323</v>
      </c>
      <c r="O587" s="28"/>
      <c r="P587" s="28"/>
      <c r="Q587" s="28"/>
      <c r="R587" s="28"/>
      <c r="S587" s="28"/>
      <c r="T587" s="28"/>
      <c r="U587" s="65"/>
      <c r="V587" s="28"/>
      <c r="W587" s="65"/>
      <c r="X587" s="66" t="s">
        <v>239</v>
      </c>
      <c r="Y587" s="65" t="str">
        <f t="shared" si="6"/>
        <v>MACASA 7693</v>
      </c>
    </row>
    <row r="588">
      <c r="A588" s="18" t="s">
        <v>1129</v>
      </c>
      <c r="B588" s="91" t="str">
        <f t="shared" si="97"/>
        <v>PD-3 IN-N</v>
      </c>
      <c r="C588" s="15" t="s">
        <v>243</v>
      </c>
      <c r="D588" s="18" t="s">
        <v>244</v>
      </c>
      <c r="E588" s="39">
        <v>4980.0</v>
      </c>
      <c r="F588" s="39">
        <v>5490.0</v>
      </c>
      <c r="G588" s="50">
        <f t="shared" si="98"/>
        <v>0.1024096386</v>
      </c>
      <c r="H588" s="28"/>
      <c r="I588" s="55">
        <f t="shared" si="2"/>
        <v>5395.785272</v>
      </c>
      <c r="J588" s="81"/>
      <c r="K588" s="60">
        <f>IFERROR(__xludf.DUMMYFUNCTION("IFERROR(VLOOKUP(C588,IMPORTRANGE(""https://docs.google.com/spreadsheets/d/1HZUHB8NvANAZR0sHDmHYVAm2WE9kNv0pGIQA48Ryim8/edit?gid=1285727875#gid=1285727875"",""Sheet1!A2:G""),7,0))"),1543.16)</f>
        <v>1543.16</v>
      </c>
      <c r="L588" s="62">
        <f t="shared" si="99"/>
        <v>3.227144301</v>
      </c>
      <c r="M588" s="60">
        <f>IFERROR(__xludf.DUMMYFUNCTION("IFERROR(VLOOKUP(C588,IMPORTRANGE(""https://docs.google.com/spreadsheets/d/1HZUHB8NvANAZR0sHDmHYVAm2WE9kNv0pGIQA48Ryim8/edit?gid=1285727875#gid=1285727875"",""Cost!A2:G""),7,0))"),1672.0)</f>
        <v>1672</v>
      </c>
      <c r="N588" s="62">
        <f t="shared" si="4"/>
        <v>3.283492823</v>
      </c>
      <c r="O588" s="28"/>
      <c r="P588" s="28"/>
      <c r="Q588" s="28"/>
      <c r="R588" s="28"/>
      <c r="S588" s="28"/>
      <c r="T588" s="28"/>
      <c r="U588" s="65"/>
      <c r="V588" s="28"/>
      <c r="W588" s="65"/>
      <c r="X588" s="66" t="s">
        <v>243</v>
      </c>
      <c r="Y588" s="65" t="str">
        <f t="shared" si="6"/>
        <v>MACASA 76PD-3 IN-N</v>
      </c>
    </row>
    <row r="589">
      <c r="A589" s="18" t="s">
        <v>1129</v>
      </c>
      <c r="B589" s="91" t="str">
        <f t="shared" si="97"/>
        <v>DB-76-3 IN-N</v>
      </c>
      <c r="C589" s="15" t="s">
        <v>1161</v>
      </c>
      <c r="D589" s="18" t="s">
        <v>217</v>
      </c>
      <c r="E589" s="39">
        <v>2040.0</v>
      </c>
      <c r="F589" s="39">
        <f>F574</f>
        <v>2040</v>
      </c>
      <c r="G589" s="50">
        <f t="shared" si="98"/>
        <v>0</v>
      </c>
      <c r="H589" s="28"/>
      <c r="I589" s="55">
        <f t="shared" si="2"/>
        <v>1810.615645</v>
      </c>
      <c r="J589" s="81"/>
      <c r="K589" s="60">
        <f>IFERROR(__xludf.DUMMYFUNCTION("IFERROR(VLOOKUP(C589,IMPORTRANGE(""https://docs.google.com/spreadsheets/d/1HZUHB8NvANAZR0sHDmHYVAm2WE9kNv0pGIQA48Ryim8/edit?gid=1285727875#gid=1285727875"",""Sheet1!A2:G""),7,0))"),513.77)</f>
        <v>513.77</v>
      </c>
      <c r="L589" s="62">
        <f t="shared" si="99"/>
        <v>3.970648345</v>
      </c>
      <c r="M589" s="60">
        <f>IFERROR(__xludf.DUMMYFUNCTION("IFERROR(VLOOKUP(C589,IMPORTRANGE(""https://docs.google.com/spreadsheets/d/1HZUHB8NvANAZR0sHDmHYVAm2WE9kNv0pGIQA48Ryim8/edit?gid=1285727875#gid=1285727875"",""Cost!A2:G""),7,0))"),456.0)</f>
        <v>456</v>
      </c>
      <c r="N589" s="62">
        <f t="shared" si="4"/>
        <v>4.473684211</v>
      </c>
      <c r="O589" s="28"/>
      <c r="P589" s="28"/>
      <c r="Q589" s="28"/>
      <c r="R589" s="28"/>
      <c r="S589" s="28"/>
      <c r="T589" s="28"/>
      <c r="U589" s="65"/>
      <c r="V589" s="28"/>
      <c r="W589" s="65"/>
      <c r="X589" s="66" t="s">
        <v>358</v>
      </c>
      <c r="Y589" s="65" t="str">
        <f t="shared" si="6"/>
        <v>MACASA 76DB</v>
      </c>
    </row>
    <row r="590">
      <c r="A590" s="18" t="s">
        <v>1129</v>
      </c>
      <c r="B590" s="91" t="str">
        <f t="shared" si="97"/>
        <v>7693-ON-OFF-N</v>
      </c>
      <c r="C590" s="15" t="s">
        <v>1164</v>
      </c>
      <c r="D590" s="18" t="s">
        <v>250</v>
      </c>
      <c r="E590" s="75">
        <f t="shared" ref="E590:F590" si="100">SUM(E591:E592)</f>
        <v>7020</v>
      </c>
      <c r="F590" s="75">
        <f t="shared" si="100"/>
        <v>7530</v>
      </c>
      <c r="G590" s="50">
        <f t="shared" si="98"/>
        <v>0.07264957265</v>
      </c>
      <c r="H590" s="28"/>
      <c r="I590" s="55">
        <f t="shared" si="2"/>
        <v>7360.084336</v>
      </c>
      <c r="J590" s="81"/>
      <c r="K590" s="60">
        <f>IFERROR(__xludf.DUMMYFUNCTION("IFERROR(VLOOKUP(C590,IMPORTRANGE(""https://docs.google.com/spreadsheets/d/1HZUHB8NvANAZR0sHDmHYVAm2WE9kNv0pGIQA48Ryim8/edit?gid=1285727875#gid=1285727875"",""Sheet1!A2:G""),7,0))"),2086.9)</f>
        <v>2086.9</v>
      </c>
      <c r="L590" s="62">
        <f t="shared" si="99"/>
        <v>3.363841104</v>
      </c>
      <c r="M590" s="60">
        <f>IFERROR(__xludf.DUMMYFUNCTION("IFERROR(VLOOKUP(C590,IMPORTRANGE(""https://docs.google.com/spreadsheets/d/1HZUHB8NvANAZR0sHDmHYVAm2WE9kNv0pGIQA48Ryim8/edit?gid=1285727875#gid=1285727875"",""Cost!A2:G""),7,0))"),2188.0)</f>
        <v>2188</v>
      </c>
      <c r="N590" s="62">
        <f t="shared" si="4"/>
        <v>3.441499086</v>
      </c>
      <c r="O590" s="28"/>
      <c r="P590" s="28"/>
      <c r="Q590" s="28"/>
      <c r="R590" s="28"/>
      <c r="S590" s="28"/>
      <c r="T590" s="28"/>
      <c r="U590" s="65"/>
      <c r="V590" s="28"/>
      <c r="W590" s="65"/>
      <c r="X590" s="66" t="s">
        <v>410</v>
      </c>
      <c r="Y590" s="65" t="str">
        <f t="shared" si="6"/>
        <v>MACASA 7693-ON-OFF</v>
      </c>
    </row>
    <row r="591">
      <c r="A591" s="18" t="s">
        <v>1129</v>
      </c>
      <c r="B591" s="91" t="str">
        <f t="shared" si="97"/>
        <v>PD-3 IN-ON-OFF-N</v>
      </c>
      <c r="C591" s="15" t="s">
        <v>253</v>
      </c>
      <c r="D591" s="18" t="s">
        <v>256</v>
      </c>
      <c r="E591" s="75">
        <f>E588-240</f>
        <v>4740</v>
      </c>
      <c r="F591" s="39">
        <f>F588-$X$1</f>
        <v>5250</v>
      </c>
      <c r="G591" s="50">
        <f t="shared" si="98"/>
        <v>0.1075949367</v>
      </c>
      <c r="H591" s="28"/>
      <c r="I591" s="55">
        <f t="shared" si="2"/>
        <v>5217.019108</v>
      </c>
      <c r="J591" s="81"/>
      <c r="K591" s="60">
        <f>IFERROR(__xludf.DUMMYFUNCTION("IFERROR(VLOOKUP(C591,IMPORTRANGE(""https://docs.google.com/spreadsheets/d/1HZUHB8NvANAZR0sHDmHYVAm2WE9kNv0pGIQA48Ryim8/edit?gid=1285727875#gid=1285727875"",""Sheet1!A2:G""),7,0))"),1570.0)</f>
        <v>1570</v>
      </c>
      <c r="L591" s="62">
        <f t="shared" si="99"/>
        <v>3.01910828</v>
      </c>
      <c r="M591" s="60">
        <f>IFERROR(__xludf.DUMMYFUNCTION("IFERROR(VLOOKUP(C591,IMPORTRANGE(""https://docs.google.com/spreadsheets/d/1HZUHB8NvANAZR0sHDmHYVAm2WE9kNv0pGIQA48Ryim8/edit?gid=1285727875#gid=1285727875"",""Cost!A2:G""),7,0))"),1728.0)</f>
        <v>1728</v>
      </c>
      <c r="N591" s="62">
        <f t="shared" si="4"/>
        <v>3.038194444</v>
      </c>
      <c r="O591" s="28"/>
      <c r="P591" s="28"/>
      <c r="Q591" s="28"/>
      <c r="R591" s="28"/>
      <c r="S591" s="28"/>
      <c r="T591" s="28"/>
      <c r="U591" s="65"/>
      <c r="V591" s="28"/>
      <c r="W591" s="65"/>
      <c r="X591" s="66" t="s">
        <v>371</v>
      </c>
      <c r="Y591" s="65" t="str">
        <f t="shared" si="6"/>
        <v>MACASA 76PD-ON-OFF</v>
      </c>
    </row>
    <row r="592">
      <c r="A592" s="18" t="s">
        <v>1129</v>
      </c>
      <c r="B592" s="91" t="str">
        <f t="shared" si="97"/>
        <v>DB-76-3 IN-ON-OFF-N</v>
      </c>
      <c r="C592" s="15" t="s">
        <v>1165</v>
      </c>
      <c r="D592" s="18" t="s">
        <v>217</v>
      </c>
      <c r="E592" s="75">
        <f>E589+240</f>
        <v>2280</v>
      </c>
      <c r="F592" s="75">
        <f>F589+$X$1</f>
        <v>2280</v>
      </c>
      <c r="G592" s="50">
        <f t="shared" si="98"/>
        <v>0</v>
      </c>
      <c r="H592" s="28"/>
      <c r="I592" s="55">
        <f t="shared" si="2"/>
        <v>2023.62925</v>
      </c>
      <c r="J592" s="81"/>
      <c r="K592" s="60">
        <f>IFERROR(__xludf.DUMMYFUNCTION("IFERROR(VLOOKUP(C592,IMPORTRANGE(""https://docs.google.com/spreadsheets/d/1HZUHB8NvANAZR0sHDmHYVAm2WE9kNv0pGIQA48Ryim8/edit?gid=1285727875#gid=1285727875"",""Sheet1!A2:G""),7,0))"),513.77)</f>
        <v>513.77</v>
      </c>
      <c r="L592" s="62">
        <f t="shared" si="99"/>
        <v>4.437783444</v>
      </c>
      <c r="M592" s="60">
        <f>IFERROR(__xludf.DUMMYFUNCTION("IFERROR(VLOOKUP(C592,IMPORTRANGE(""https://docs.google.com/spreadsheets/d/1HZUHB8NvANAZR0sHDmHYVAm2WE9kNv0pGIQA48Ryim8/edit?gid=1285727875#gid=1285727875"",""Cost!A2:G""),7,0))"),456.0)</f>
        <v>456</v>
      </c>
      <c r="N592" s="62">
        <f t="shared" si="4"/>
        <v>5</v>
      </c>
      <c r="O592" s="28"/>
      <c r="P592" s="28"/>
      <c r="Q592" s="28"/>
      <c r="R592" s="28"/>
      <c r="S592" s="28"/>
      <c r="T592" s="28"/>
      <c r="U592" s="65"/>
      <c r="V592" s="28"/>
      <c r="W592" s="65"/>
      <c r="X592" s="66" t="s">
        <v>375</v>
      </c>
      <c r="Y592" s="65" t="str">
        <f t="shared" si="6"/>
        <v>MACASA 76DB-ON-OFF</v>
      </c>
    </row>
    <row r="593">
      <c r="A593" s="18" t="s">
        <v>1129</v>
      </c>
      <c r="B593" s="91">
        <f t="shared" si="97"/>
        <v>7694</v>
      </c>
      <c r="C593" s="15">
        <v>7694.0</v>
      </c>
      <c r="D593" s="18" t="s">
        <v>263</v>
      </c>
      <c r="E593" s="39">
        <v>8880.0</v>
      </c>
      <c r="F593" s="39">
        <v>9690.0</v>
      </c>
      <c r="G593" s="50">
        <f t="shared" si="98"/>
        <v>0.09121621622</v>
      </c>
      <c r="H593" s="28"/>
      <c r="I593" s="55">
        <f t="shared" si="2"/>
        <v>9708.560867</v>
      </c>
      <c r="J593" s="81"/>
      <c r="K593" s="60">
        <f>IFERROR(__xludf.DUMMYFUNCTION("IFERROR(VLOOKUP(C593,IMPORTRANGE(""https://docs.google.com/spreadsheets/d/1HZUHB8NvANAZR0sHDmHYVAm2WE9kNv0pGIQA48Ryim8/edit?gid=1285727875#gid=1285727875"",""Sheet1!A2:G""),7,0))"),2624.15)</f>
        <v>2624.15</v>
      </c>
      <c r="L593" s="62">
        <f t="shared" si="99"/>
        <v>3.383952899</v>
      </c>
      <c r="M593" s="60">
        <f>IFERROR(__xludf.DUMMYFUNCTION("IFERROR(VLOOKUP(C593,IMPORTRANGE(""https://docs.google.com/spreadsheets/d/1HZUHB8NvANAZR0sHDmHYVAm2WE9kNv0pGIQA48Ryim8/edit?gid=1285727875#gid=1285727875"",""Cost!A2:G""),7,0))"),2869.0)</f>
        <v>2869</v>
      </c>
      <c r="N593" s="62">
        <f t="shared" si="4"/>
        <v>3.377483444</v>
      </c>
      <c r="O593" s="28"/>
      <c r="P593" s="28"/>
      <c r="Q593" s="28"/>
      <c r="R593" s="28"/>
      <c r="S593" s="28"/>
      <c r="T593" s="28"/>
      <c r="U593" s="65"/>
      <c r="V593" s="28"/>
      <c r="W593" s="65"/>
      <c r="X593" s="66" t="s">
        <v>260</v>
      </c>
      <c r="Y593" s="65" t="str">
        <f t="shared" si="6"/>
        <v>MACASA 7694</v>
      </c>
    </row>
    <row r="594">
      <c r="A594" s="18" t="s">
        <v>1129</v>
      </c>
      <c r="B594" s="91">
        <f t="shared" si="97"/>
        <v>7695</v>
      </c>
      <c r="C594" s="15">
        <v>7695.0</v>
      </c>
      <c r="D594" s="18" t="s">
        <v>265</v>
      </c>
      <c r="E594" s="75">
        <v>1290.0</v>
      </c>
      <c r="F594" s="39">
        <v>1390.0</v>
      </c>
      <c r="G594" s="50">
        <f t="shared" si="98"/>
        <v>0.07751937984</v>
      </c>
      <c r="H594" s="28"/>
      <c r="I594" s="55">
        <f t="shared" si="2"/>
        <v>1426.280531</v>
      </c>
      <c r="J594" s="81"/>
      <c r="K594" s="60">
        <f>IFERROR(__xludf.DUMMYFUNCTION("IFERROR(VLOOKUP(C594,IMPORTRANGE(""https://docs.google.com/spreadsheets/d/1HZUHB8NvANAZR0sHDmHYVAm2WE9kNv0pGIQA48Ryim8/edit?gid=1285727875#gid=1285727875"",""Sheet1!A2:G""),7,0))"),337.36)</f>
        <v>337.36</v>
      </c>
      <c r="L594" s="62">
        <f t="shared" si="99"/>
        <v>3.823808395</v>
      </c>
      <c r="M594" s="60">
        <f>IFERROR(__xludf.DUMMYFUNCTION("IFERROR(VLOOKUP(C594,IMPORTRANGE(""https://docs.google.com/spreadsheets/d/1HZUHB8NvANAZR0sHDmHYVAm2WE9kNv0pGIQA48Ryim8/edit?gid=1285727875#gid=1285727875"",""Cost!A2:G""),7,0))"),373.0)</f>
        <v>373</v>
      </c>
      <c r="N594" s="62">
        <f t="shared" si="4"/>
        <v>3.726541555</v>
      </c>
      <c r="O594" s="28"/>
      <c r="P594" s="28"/>
      <c r="Q594" s="28"/>
      <c r="R594" s="28"/>
      <c r="S594" s="28"/>
      <c r="T594" s="28"/>
      <c r="U594" s="65"/>
      <c r="V594" s="28"/>
      <c r="W594" s="65"/>
      <c r="X594" s="66" t="s">
        <v>264</v>
      </c>
      <c r="Y594" s="65" t="str">
        <f t="shared" si="6"/>
        <v>MACASA 7695</v>
      </c>
    </row>
    <row r="595">
      <c r="A595" s="18" t="s">
        <v>1129</v>
      </c>
      <c r="B595" s="91">
        <f t="shared" si="97"/>
        <v>7696</v>
      </c>
      <c r="C595" s="15">
        <v>7696.0</v>
      </c>
      <c r="D595" s="18" t="s">
        <v>268</v>
      </c>
      <c r="E595" s="75">
        <v>2140.0</v>
      </c>
      <c r="F595" s="39">
        <v>2290.0</v>
      </c>
      <c r="G595" s="50">
        <f t="shared" si="98"/>
        <v>0.07009345794</v>
      </c>
      <c r="H595" s="28"/>
      <c r="I595" s="55">
        <f t="shared" si="2"/>
        <v>2372.871625</v>
      </c>
      <c r="J595" s="81"/>
      <c r="K595" s="60">
        <f>IFERROR(__xludf.DUMMYFUNCTION("IFERROR(VLOOKUP(C595,IMPORTRANGE(""https://docs.google.com/spreadsheets/d/1HZUHB8NvANAZR0sHDmHYVAm2WE9kNv0pGIQA48Ryim8/edit?gid=1285727875#gid=1285727875"",""Sheet1!A2:G""),7,0))"),557.35)</f>
        <v>557.35</v>
      </c>
      <c r="L595" s="62">
        <f t="shared" si="99"/>
        <v>3.839598098</v>
      </c>
      <c r="M595" s="60">
        <f>IFERROR(__xludf.DUMMYFUNCTION("IFERROR(VLOOKUP(C595,IMPORTRANGE(""https://docs.google.com/spreadsheets/d/1HZUHB8NvANAZR0sHDmHYVAm2WE9kNv0pGIQA48Ryim8/edit?gid=1285727875#gid=1285727875"",""Cost!A2:G""),7,0))"),618.0)</f>
        <v>618</v>
      </c>
      <c r="N595" s="62">
        <f t="shared" si="4"/>
        <v>3.705501618</v>
      </c>
      <c r="O595" s="28"/>
      <c r="P595" s="28"/>
      <c r="Q595" s="28"/>
      <c r="R595" s="28"/>
      <c r="S595" s="28"/>
      <c r="T595" s="28"/>
      <c r="U595" s="65"/>
      <c r="V595" s="28"/>
      <c r="W595" s="65"/>
      <c r="X595" s="66" t="s">
        <v>267</v>
      </c>
      <c r="Y595" s="65" t="str">
        <f t="shared" si="6"/>
        <v>MACASA 7696</v>
      </c>
    </row>
    <row r="596">
      <c r="A596" s="18" t="s">
        <v>1129</v>
      </c>
      <c r="B596" s="91">
        <f t="shared" si="97"/>
        <v>7698</v>
      </c>
      <c r="C596" s="15">
        <v>7698.0</v>
      </c>
      <c r="D596" s="18" t="s">
        <v>272</v>
      </c>
      <c r="E596" s="75">
        <v>2120.0</v>
      </c>
      <c r="F596" s="39">
        <v>2350.0</v>
      </c>
      <c r="G596" s="50">
        <f t="shared" si="98"/>
        <v>0.108490566</v>
      </c>
      <c r="H596" s="28"/>
      <c r="I596" s="55">
        <f t="shared" si="2"/>
        <v>2352.805616</v>
      </c>
      <c r="J596" s="81"/>
      <c r="K596" s="60">
        <f>IFERROR(__xludf.DUMMYFUNCTION("IFERROR(VLOOKUP(C596,IMPORTRANGE(""https://docs.google.com/spreadsheets/d/1HZUHB8NvANAZR0sHDmHYVAm2WE9kNv0pGIQA48Ryim8/edit?gid=1285727875#gid=1285727875"",""Sheet1!A2:G""),7,0))"),659.57)</f>
        <v>659.57</v>
      </c>
      <c r="L596" s="62">
        <f t="shared" si="99"/>
        <v>3.214215322</v>
      </c>
      <c r="M596" s="60">
        <f>IFERROR(__xludf.DUMMYFUNCTION("IFERROR(VLOOKUP(C596,IMPORTRANGE(""https://docs.google.com/spreadsheets/d/1HZUHB8NvANAZR0sHDmHYVAm2WE9kNv0pGIQA48Ryim8/edit?gid=1285727875#gid=1285727875"",""Cost!A2:G""),7,0))"),732.0)</f>
        <v>732</v>
      </c>
      <c r="N596" s="62">
        <f t="shared" si="4"/>
        <v>3.210382514</v>
      </c>
      <c r="O596" s="28"/>
      <c r="P596" s="28"/>
      <c r="Q596" s="28"/>
      <c r="R596" s="28"/>
      <c r="S596" s="28"/>
      <c r="T596" s="28"/>
      <c r="U596" s="65"/>
      <c r="V596" s="28"/>
      <c r="W596" s="65"/>
      <c r="X596" s="66" t="s">
        <v>271</v>
      </c>
      <c r="Y596" s="65" t="str">
        <f t="shared" si="6"/>
        <v>MACASA 7698</v>
      </c>
    </row>
    <row r="597">
      <c r="A597" s="18" t="s">
        <v>1166</v>
      </c>
      <c r="B597" s="91">
        <f t="shared" si="97"/>
        <v>7202</v>
      </c>
      <c r="C597" s="15">
        <v>7202.0</v>
      </c>
      <c r="D597" s="18" t="s">
        <v>15</v>
      </c>
      <c r="E597" s="39">
        <v>1490.0</v>
      </c>
      <c r="F597" s="39">
        <v>1640.0</v>
      </c>
      <c r="G597" s="50">
        <f t="shared" si="98"/>
        <v>0.1006711409</v>
      </c>
      <c r="H597" s="28"/>
      <c r="I597" s="55">
        <f t="shared" si="2"/>
        <v>1634.550891</v>
      </c>
      <c r="J597" s="81"/>
      <c r="K597" s="60">
        <f>IFERROR(__xludf.DUMMYFUNCTION("IFERROR(VLOOKUP(C597,IMPORTRANGE(""https://docs.google.com/spreadsheets/d/1HZUHB8NvANAZR0sHDmHYVAm2WE9kNv0pGIQA48Ryim8/edit?gid=1285727875#gid=1285727875"",""Sheet1!A2:G""),7,0))"),494.98)</f>
        <v>494.98</v>
      </c>
      <c r="L597" s="62">
        <f t="shared" si="99"/>
        <v>3.010222635</v>
      </c>
      <c r="M597" s="60">
        <f>IFERROR(__xludf.DUMMYFUNCTION("IFERROR(VLOOKUP(C597,IMPORTRANGE(""https://docs.google.com/spreadsheets/d/1HZUHB8NvANAZR0sHDmHYVAm2WE9kNv0pGIQA48Ryim8/edit?gid=1285727875#gid=1285727875"",""Cost!A2:G""),7,0))"),543.0)</f>
        <v>543</v>
      </c>
      <c r="N597" s="62">
        <f t="shared" si="4"/>
        <v>3.020257827</v>
      </c>
      <c r="O597" s="28"/>
      <c r="P597" s="28"/>
      <c r="Q597" s="28"/>
      <c r="R597" s="28"/>
      <c r="S597" s="28"/>
      <c r="T597" s="28"/>
      <c r="U597" s="65"/>
      <c r="V597" s="28"/>
      <c r="W597" s="65"/>
      <c r="X597" s="66" t="s">
        <v>303</v>
      </c>
      <c r="Y597" s="65" t="str">
        <f t="shared" si="6"/>
        <v>VIVA 7202</v>
      </c>
    </row>
    <row r="598">
      <c r="A598" s="18" t="s">
        <v>1166</v>
      </c>
      <c r="B598" s="91">
        <f t="shared" si="97"/>
        <v>7205</v>
      </c>
      <c r="C598" s="15">
        <v>7205.0</v>
      </c>
      <c r="D598" s="18" t="s">
        <v>59</v>
      </c>
      <c r="E598" s="75">
        <v>1390.0</v>
      </c>
      <c r="F598" s="39">
        <v>1490.0</v>
      </c>
      <c r="G598" s="50">
        <f t="shared" si="98"/>
        <v>0.07194244604</v>
      </c>
      <c r="H598" s="28"/>
      <c r="I598" s="55">
        <f t="shared" si="2"/>
        <v>1507.730589</v>
      </c>
      <c r="J598" s="81"/>
      <c r="K598" s="60">
        <f>IFERROR(__xludf.DUMMYFUNCTION("IFERROR(VLOOKUP(C598,IMPORTRANGE(""https://docs.google.com/spreadsheets/d/1HZUHB8NvANAZR0sHDmHYVAm2WE9kNv0pGIQA48Ryim8/edit?gid=1285727875#gid=1285727875"",""Sheet1!A2:G""),7,0))"),413.94)</f>
        <v>413.94</v>
      </c>
      <c r="L598" s="62">
        <f t="shared" si="99"/>
        <v>3.357974586</v>
      </c>
      <c r="M598" s="60">
        <f>IFERROR(__xludf.DUMMYFUNCTION("IFERROR(VLOOKUP(C598,IMPORTRANGE(""https://docs.google.com/spreadsheets/d/1HZUHB8NvANAZR0sHDmHYVAm2WE9kNv0pGIQA48Ryim8/edit?gid=1285727875#gid=1285727875"",""Cost!A2:G""),7,0))"),449.0)</f>
        <v>449</v>
      </c>
      <c r="N598" s="62">
        <f t="shared" si="4"/>
        <v>3.318485523</v>
      </c>
      <c r="O598" s="28"/>
      <c r="P598" s="28"/>
      <c r="Q598" s="28"/>
      <c r="R598" s="28"/>
      <c r="S598" s="28"/>
      <c r="T598" s="28"/>
      <c r="U598" s="65"/>
      <c r="V598" s="28"/>
      <c r="W598" s="65"/>
      <c r="X598" s="66" t="s">
        <v>663</v>
      </c>
      <c r="Y598" s="65" t="str">
        <f t="shared" si="6"/>
        <v>VIVA 7205</v>
      </c>
    </row>
    <row r="599">
      <c r="A599" s="18" t="s">
        <v>1166</v>
      </c>
      <c r="B599" s="91">
        <f t="shared" si="97"/>
        <v>7206</v>
      </c>
      <c r="C599" s="15">
        <v>7206.0</v>
      </c>
      <c r="D599" s="18" t="s">
        <v>67</v>
      </c>
      <c r="E599" s="75">
        <v>1390.0</v>
      </c>
      <c r="F599" s="39">
        <v>1490.0</v>
      </c>
      <c r="G599" s="50">
        <f t="shared" si="98"/>
        <v>0.07194244604</v>
      </c>
      <c r="H599" s="28"/>
      <c r="I599" s="55">
        <f t="shared" si="2"/>
        <v>1505.463047</v>
      </c>
      <c r="J599" s="81"/>
      <c r="K599" s="60">
        <f>IFERROR(__xludf.DUMMYFUNCTION("IFERROR(VLOOKUP(C599,IMPORTRANGE(""https://docs.google.com/spreadsheets/d/1HZUHB8NvANAZR0sHDmHYVAm2WE9kNv0pGIQA48Ryim8/edit?gid=1285727875#gid=1285727875"",""Sheet1!A2:G""),7,0))"),419.18)</f>
        <v>419.18</v>
      </c>
      <c r="L599" s="62">
        <f t="shared" si="99"/>
        <v>3.315997901</v>
      </c>
      <c r="M599" s="60">
        <f>IFERROR(__xludf.DUMMYFUNCTION("IFERROR(VLOOKUP(C599,IMPORTRANGE(""https://docs.google.com/spreadsheets/d/1HZUHB8NvANAZR0sHDmHYVAm2WE9kNv0pGIQA48Ryim8/edit?gid=1285727875#gid=1285727875"",""Cost!A2:G""),7,0))"),454.0)</f>
        <v>454</v>
      </c>
      <c r="N599" s="62">
        <f t="shared" si="4"/>
        <v>3.281938326</v>
      </c>
      <c r="O599" s="28"/>
      <c r="P599" s="28"/>
      <c r="Q599" s="28"/>
      <c r="R599" s="28"/>
      <c r="S599" s="28"/>
      <c r="T599" s="28"/>
      <c r="U599" s="65"/>
      <c r="V599" s="28"/>
      <c r="W599" s="65"/>
      <c r="X599" s="66" t="s">
        <v>311</v>
      </c>
      <c r="Y599" s="65" t="str">
        <f t="shared" si="6"/>
        <v>VIVA 7206</v>
      </c>
    </row>
    <row r="600">
      <c r="A600" s="18" t="s">
        <v>1166</v>
      </c>
      <c r="B600" s="91">
        <f t="shared" si="97"/>
        <v>7208</v>
      </c>
      <c r="C600" s="15">
        <v>7208.0</v>
      </c>
      <c r="D600" s="18" t="s">
        <v>81</v>
      </c>
      <c r="E600" s="39">
        <v>1640.0</v>
      </c>
      <c r="F600" s="39">
        <v>1780.0</v>
      </c>
      <c r="G600" s="50">
        <f t="shared" si="98"/>
        <v>0.08536585366</v>
      </c>
      <c r="H600" s="28"/>
      <c r="I600" s="55">
        <f t="shared" si="2"/>
        <v>1778.646991</v>
      </c>
      <c r="J600" s="81"/>
      <c r="K600" s="60">
        <f>IFERROR(__xludf.DUMMYFUNCTION("IFERROR(VLOOKUP(C600,IMPORTRANGE(""https://docs.google.com/spreadsheets/d/1HZUHB8NvANAZR0sHDmHYVAm2WE9kNv0pGIQA48Ryim8/edit?gid=1285727875#gid=1285727875"",""Sheet1!A2:G""),7,0))"),449.96)</f>
        <v>449.96</v>
      </c>
      <c r="L600" s="62">
        <f t="shared" si="99"/>
        <v>3.644768424</v>
      </c>
      <c r="M600" s="60">
        <f>IFERROR(__xludf.DUMMYFUNCTION("IFERROR(VLOOKUP(C600,IMPORTRANGE(""https://docs.google.com/spreadsheets/d/1HZUHB8NvANAZR0sHDmHYVAm2WE9kNv0pGIQA48Ryim8/edit?gid=1285727875#gid=1285727875"",""Cost!A2:G""),7,0))"),488.0)</f>
        <v>488</v>
      </c>
      <c r="N600" s="62">
        <f t="shared" si="4"/>
        <v>3.647540984</v>
      </c>
      <c r="O600" s="28"/>
      <c r="P600" s="28"/>
      <c r="Q600" s="28"/>
      <c r="R600" s="28"/>
      <c r="S600" s="28"/>
      <c r="T600" s="28"/>
      <c r="U600" s="65"/>
      <c r="V600" s="28"/>
      <c r="W600" s="65"/>
      <c r="X600" s="66" t="s">
        <v>321</v>
      </c>
      <c r="Y600" s="65" t="str">
        <f t="shared" si="6"/>
        <v>VIVA 7208</v>
      </c>
    </row>
    <row r="601">
      <c r="A601" s="18" t="s">
        <v>1166</v>
      </c>
      <c r="B601" s="91">
        <f t="shared" si="97"/>
        <v>7209</v>
      </c>
      <c r="C601" s="15">
        <v>7209.0</v>
      </c>
      <c r="D601" s="18" t="s">
        <v>86</v>
      </c>
      <c r="E601" s="39">
        <v>1740.0</v>
      </c>
      <c r="F601" s="39">
        <v>1890.0</v>
      </c>
      <c r="G601" s="50">
        <f t="shared" si="98"/>
        <v>0.08620689655</v>
      </c>
      <c r="H601" s="28"/>
      <c r="I601" s="55">
        <f t="shared" si="2"/>
        <v>1895.537465</v>
      </c>
      <c r="J601" s="81"/>
      <c r="K601" s="60">
        <f>IFERROR(__xludf.DUMMYFUNCTION("IFERROR(VLOOKUP(C601,IMPORTRANGE(""https://docs.google.com/spreadsheets/d/1HZUHB8NvANAZR0sHDmHYVAm2WE9kNv0pGIQA48Ryim8/edit?gid=1285727875#gid=1285727875"",""Sheet1!A2:G""),7,0))"),504.87)</f>
        <v>504.87</v>
      </c>
      <c r="L601" s="62">
        <f t="shared" si="99"/>
        <v>3.446431755</v>
      </c>
      <c r="M601" s="60">
        <f>IFERROR(__xludf.DUMMYFUNCTION("IFERROR(VLOOKUP(C601,IMPORTRANGE(""https://docs.google.com/spreadsheets/d/1HZUHB8NvANAZR0sHDmHYVAm2WE9kNv0pGIQA48Ryim8/edit?gid=1285727875#gid=1285727875"",""Cost!A2:G""),7,0))"),550.0)</f>
        <v>550</v>
      </c>
      <c r="N601" s="62">
        <f t="shared" si="4"/>
        <v>3.436363636</v>
      </c>
      <c r="O601" s="28"/>
      <c r="P601" s="28"/>
      <c r="Q601" s="28"/>
      <c r="R601" s="28"/>
      <c r="S601" s="28"/>
      <c r="T601" s="28"/>
      <c r="U601" s="65"/>
      <c r="V601" s="28"/>
      <c r="W601" s="65"/>
      <c r="X601" s="66" t="s">
        <v>665</v>
      </c>
      <c r="Y601" s="65" t="str">
        <f t="shared" si="6"/>
        <v>VIVA 7209</v>
      </c>
    </row>
    <row r="602">
      <c r="A602" s="18" t="s">
        <v>1166</v>
      </c>
      <c r="B602" s="91">
        <f t="shared" si="97"/>
        <v>7210</v>
      </c>
      <c r="C602" s="15">
        <v>7210.0</v>
      </c>
      <c r="D602" s="18" t="s">
        <v>89</v>
      </c>
      <c r="E602" s="75">
        <v>1180.0</v>
      </c>
      <c r="F602" s="39">
        <v>1260.0</v>
      </c>
      <c r="G602" s="50">
        <f t="shared" si="98"/>
        <v>0.06779661017</v>
      </c>
      <c r="H602" s="28"/>
      <c r="I602" s="55">
        <f t="shared" si="2"/>
        <v>1263.098592</v>
      </c>
      <c r="J602" s="81"/>
      <c r="K602" s="60">
        <f>IFERROR(__xludf.DUMMYFUNCTION("IFERROR(VLOOKUP(C602,IMPORTRANGE(""https://docs.google.com/spreadsheets/d/1HZUHB8NvANAZR0sHDmHYVAm2WE9kNv0pGIQA48Ryim8/edit?gid=1285727875#gid=1285727875"",""Sheet1!A2:G""),7,0))"),301.75)</f>
        <v>301.75</v>
      </c>
      <c r="L602" s="62">
        <f t="shared" si="99"/>
        <v>3.910521955</v>
      </c>
      <c r="M602" s="60">
        <f>IFERROR(__xludf.DUMMYFUNCTION("IFERROR(VLOOKUP(C602,IMPORTRANGE(""https://docs.google.com/spreadsheets/d/1HZUHB8NvANAZR0sHDmHYVAm2WE9kNv0pGIQA48Ryim8/edit?gid=1285727875#gid=1285727875"",""Cost!A2:G""),7,0))"),323.0)</f>
        <v>323</v>
      </c>
      <c r="N602" s="62">
        <f t="shared" si="4"/>
        <v>3.900928793</v>
      </c>
      <c r="O602" s="28"/>
      <c r="P602" s="28"/>
      <c r="Q602" s="28"/>
      <c r="R602" s="28"/>
      <c r="S602" s="28"/>
      <c r="T602" s="28"/>
      <c r="U602" s="65"/>
      <c r="V602" s="28"/>
      <c r="W602" s="65"/>
      <c r="X602" s="66" t="s">
        <v>87</v>
      </c>
      <c r="Y602" s="65" t="str">
        <f t="shared" si="6"/>
        <v>VIVA 7210</v>
      </c>
    </row>
    <row r="603">
      <c r="A603" s="18" t="s">
        <v>1166</v>
      </c>
      <c r="B603" s="91">
        <f t="shared" si="97"/>
        <v>7211</v>
      </c>
      <c r="C603" s="15">
        <v>7211.0</v>
      </c>
      <c r="D603" s="18" t="s">
        <v>94</v>
      </c>
      <c r="E603" s="39">
        <v>2190.0</v>
      </c>
      <c r="F603" s="39">
        <v>2390.0</v>
      </c>
      <c r="G603" s="50">
        <f t="shared" si="98"/>
        <v>0.09132420091</v>
      </c>
      <c r="H603" s="28"/>
      <c r="I603" s="55">
        <f t="shared" si="2"/>
        <v>2403.936751</v>
      </c>
      <c r="J603" s="81"/>
      <c r="K603" s="60">
        <f>IFERROR(__xludf.DUMMYFUNCTION("IFERROR(VLOOKUP(C603,IMPORTRANGE(""https://docs.google.com/spreadsheets/d/1HZUHB8NvANAZR0sHDmHYVAm2WE9kNv0pGIQA48Ryim8/edit?gid=1285727875#gid=1285727875"",""Sheet1!A2:G""),7,0))"),643.17)</f>
        <v>643.17</v>
      </c>
      <c r="L603" s="62">
        <f t="shared" si="99"/>
        <v>3.405009562</v>
      </c>
      <c r="M603" s="60">
        <f>IFERROR(__xludf.DUMMYFUNCTION("IFERROR(VLOOKUP(C603,IMPORTRANGE(""https://docs.google.com/spreadsheets/d/1HZUHB8NvANAZR0sHDmHYVAm2WE9kNv0pGIQA48Ryim8/edit?gid=1285727875#gid=1285727875"",""Cost!A2:G""),7,0))"),706.0)</f>
        <v>706</v>
      </c>
      <c r="N603" s="62">
        <f t="shared" si="4"/>
        <v>3.385269122</v>
      </c>
      <c r="O603" s="28"/>
      <c r="P603" s="28"/>
      <c r="Q603" s="28"/>
      <c r="R603" s="28"/>
      <c r="S603" s="28"/>
      <c r="T603" s="28"/>
      <c r="U603" s="65"/>
      <c r="V603" s="28"/>
      <c r="W603" s="65"/>
      <c r="X603" s="66" t="s">
        <v>91</v>
      </c>
      <c r="Y603" s="65" t="str">
        <f t="shared" si="6"/>
        <v>VIVA 7211</v>
      </c>
    </row>
    <row r="604">
      <c r="A604" s="18" t="s">
        <v>1166</v>
      </c>
      <c r="B604" s="91">
        <f t="shared" si="97"/>
        <v>7212</v>
      </c>
      <c r="C604" s="15">
        <v>7212.0</v>
      </c>
      <c r="D604" s="18" t="s">
        <v>97</v>
      </c>
      <c r="E604" s="75">
        <v>2420.0</v>
      </c>
      <c r="F604" s="39">
        <v>2660.0</v>
      </c>
      <c r="G604" s="50">
        <f t="shared" si="98"/>
        <v>0.09917355372</v>
      </c>
      <c r="H604" s="28"/>
      <c r="I604" s="55">
        <f t="shared" si="2"/>
        <v>2655.660245</v>
      </c>
      <c r="J604" s="81"/>
      <c r="K604" s="60">
        <f>IFERROR(__xludf.DUMMYFUNCTION("IFERROR(VLOOKUP(C604,IMPORTRANGE(""https://docs.google.com/spreadsheets/d/1HZUHB8NvANAZR0sHDmHYVAm2WE9kNv0pGIQA48Ryim8/edit?gid=1285727875#gid=1285727875"",""Sheet1!A2:G""),7,0))"),715.34)</f>
        <v>715.34</v>
      </c>
      <c r="L604" s="62">
        <f t="shared" si="99"/>
        <v>3.383006682</v>
      </c>
      <c r="M604" s="60">
        <f>IFERROR(__xludf.DUMMYFUNCTION("IFERROR(VLOOKUP(C604,IMPORTRANGE(""https://docs.google.com/spreadsheets/d/1HZUHB8NvANAZR0sHDmHYVAm2WE9kNv0pGIQA48Ryim8/edit?gid=1285727875#gid=1285727875"",""Cost!A2:G""),7,0))"),785.0)</f>
        <v>785</v>
      </c>
      <c r="N604" s="62">
        <f t="shared" si="4"/>
        <v>3.388535032</v>
      </c>
      <c r="O604" s="28"/>
      <c r="P604" s="28"/>
      <c r="Q604" s="28"/>
      <c r="R604" s="28"/>
      <c r="S604" s="28"/>
      <c r="T604" s="28"/>
      <c r="U604" s="65"/>
      <c r="V604" s="28"/>
      <c r="W604" s="65"/>
      <c r="X604" s="66" t="s">
        <v>95</v>
      </c>
      <c r="Y604" s="65" t="str">
        <f t="shared" si="6"/>
        <v>VIVA 7212</v>
      </c>
    </row>
    <row r="605">
      <c r="A605" s="18" t="s">
        <v>1166</v>
      </c>
      <c r="B605" s="91">
        <f t="shared" si="97"/>
        <v>7214</v>
      </c>
      <c r="C605" s="15">
        <v>7214.0</v>
      </c>
      <c r="D605" s="18" t="s">
        <v>106</v>
      </c>
      <c r="E605" s="75">
        <v>2690.0</v>
      </c>
      <c r="F605" s="39">
        <v>2970.0</v>
      </c>
      <c r="G605" s="50">
        <f t="shared" si="98"/>
        <v>0.1040892193</v>
      </c>
      <c r="H605" s="28"/>
      <c r="I605" s="55">
        <f t="shared" si="2"/>
        <v>2970.696505</v>
      </c>
      <c r="J605" s="81"/>
      <c r="K605" s="60">
        <f>IFERROR(__xludf.DUMMYFUNCTION("IFERROR(VLOOKUP(C605,IMPORTRANGE(""https://docs.google.com/spreadsheets/d/1HZUHB8NvANAZR0sHDmHYVAm2WE9kNv0pGIQA48Ryim8/edit?gid=1285727875#gid=1285727875"",""Sheet1!A2:G""),7,0))"),823.11)</f>
        <v>823.11</v>
      </c>
      <c r="L605" s="62">
        <f t="shared" si="99"/>
        <v>3.268092964</v>
      </c>
      <c r="M605" s="60">
        <f>IFERROR(__xludf.DUMMYFUNCTION("IFERROR(VLOOKUP(C605,IMPORTRANGE(""https://docs.google.com/spreadsheets/d/1HZUHB8NvANAZR0sHDmHYVAm2WE9kNv0pGIQA48Ryim8/edit?gid=1285727875#gid=1285727875"",""Cost!A2:G""),7,0))"),909.0)</f>
        <v>909</v>
      </c>
      <c r="N605" s="62">
        <f t="shared" si="4"/>
        <v>3.267326733</v>
      </c>
      <c r="O605" s="28"/>
      <c r="P605" s="28"/>
      <c r="Q605" s="28"/>
      <c r="R605" s="28"/>
      <c r="S605" s="28"/>
      <c r="T605" s="28"/>
      <c r="U605" s="65"/>
      <c r="V605" s="28"/>
      <c r="W605" s="65"/>
      <c r="X605" s="66" t="s">
        <v>104</v>
      </c>
      <c r="Y605" s="65" t="str">
        <f t="shared" si="6"/>
        <v>VIVA 7214</v>
      </c>
    </row>
    <row r="606">
      <c r="A606" s="18" t="s">
        <v>1166</v>
      </c>
      <c r="B606" s="91">
        <f t="shared" si="97"/>
        <v>7216</v>
      </c>
      <c r="C606" s="15">
        <v>7216.0</v>
      </c>
      <c r="D606" s="18" t="s">
        <v>112</v>
      </c>
      <c r="E606" s="39">
        <v>2490.0</v>
      </c>
      <c r="F606" s="39">
        <v>2770.0</v>
      </c>
      <c r="G606" s="50">
        <f t="shared" si="98"/>
        <v>0.1124497992</v>
      </c>
      <c r="H606" s="28"/>
      <c r="I606" s="55">
        <f t="shared" si="2"/>
        <v>2769.845239</v>
      </c>
      <c r="J606" s="81"/>
      <c r="K606" s="60">
        <f>IFERROR(__xludf.DUMMYFUNCTION("IFERROR(VLOOKUP(C606,IMPORTRANGE(""https://docs.google.com/spreadsheets/d/1HZUHB8NvANAZR0sHDmHYVAm2WE9kNv0pGIQA48Ryim8/edit?gid=1285727875#gid=1285727875"",""Sheet1!A2:G""),7,0))"),739.85)</f>
        <v>739.85</v>
      </c>
      <c r="L606" s="62">
        <f t="shared" si="99"/>
        <v>3.36554707</v>
      </c>
      <c r="M606" s="60">
        <f>IFERROR(__xludf.DUMMYFUNCTION("IFERROR(VLOOKUP(C606,IMPORTRANGE(""https://docs.google.com/spreadsheets/d/1HZUHB8NvANAZR0sHDmHYVAm2WE9kNv0pGIQA48Ryim8/edit?gid=1285727875#gid=1285727875"",""Cost!A2:G""),7,0))"),823.0)</f>
        <v>823</v>
      </c>
      <c r="N606" s="62">
        <f t="shared" si="4"/>
        <v>3.365735115</v>
      </c>
      <c r="O606" s="28"/>
      <c r="P606" s="28"/>
      <c r="Q606" s="28"/>
      <c r="R606" s="28"/>
      <c r="S606" s="28"/>
      <c r="T606" s="28"/>
      <c r="U606" s="65"/>
      <c r="V606" s="28"/>
      <c r="W606" s="65"/>
      <c r="X606" s="66" t="s">
        <v>110</v>
      </c>
      <c r="Y606" s="65" t="str">
        <f t="shared" si="6"/>
        <v>VIVA 7216</v>
      </c>
    </row>
    <row r="607">
      <c r="A607" s="18" t="s">
        <v>1166</v>
      </c>
      <c r="B607" s="91">
        <f t="shared" si="97"/>
        <v>7218</v>
      </c>
      <c r="C607" s="15">
        <v>7218.0</v>
      </c>
      <c r="D607" s="18" t="s">
        <v>119</v>
      </c>
      <c r="E607" s="39">
        <v>1640.0</v>
      </c>
      <c r="F607" s="39">
        <v>1770.0</v>
      </c>
      <c r="G607" s="50">
        <f t="shared" si="98"/>
        <v>0.07926829268</v>
      </c>
      <c r="H607" s="28"/>
      <c r="I607" s="55">
        <f t="shared" si="2"/>
        <v>1768.346596</v>
      </c>
      <c r="J607" s="81"/>
      <c r="K607" s="60">
        <f>IFERROR(__xludf.DUMMYFUNCTION("IFERROR(VLOOKUP(C607,IMPORTRANGE(""https://docs.google.com/spreadsheets/d/1HZUHB8NvANAZR0sHDmHYVAm2WE9kNv0pGIQA48Ryim8/edit?gid=1285727875#gid=1285727875"",""Sheet1!A2:G""),7,0))"),463.71)</f>
        <v>463.71</v>
      </c>
      <c r="L607" s="62">
        <f t="shared" si="99"/>
        <v>3.536693192</v>
      </c>
      <c r="M607" s="60">
        <f>IFERROR(__xludf.DUMMYFUNCTION("IFERROR(VLOOKUP(C607,IMPORTRANGE(""https://docs.google.com/spreadsheets/d/1HZUHB8NvANAZR0sHDmHYVAm2WE9kNv0pGIQA48Ryim8/edit?gid=1285727875#gid=1285727875"",""Cost!A2:G""),7,0))"),500.0)</f>
        <v>500</v>
      </c>
      <c r="N607" s="62">
        <f t="shared" si="4"/>
        <v>3.54</v>
      </c>
      <c r="O607" s="28"/>
      <c r="P607" s="28"/>
      <c r="Q607" s="28"/>
      <c r="R607" s="28"/>
      <c r="S607" s="28"/>
      <c r="T607" s="28"/>
      <c r="U607" s="65"/>
      <c r="V607" s="28"/>
      <c r="W607" s="65"/>
      <c r="X607" s="66" t="s">
        <v>117</v>
      </c>
      <c r="Y607" s="65" t="str">
        <f t="shared" si="6"/>
        <v>VIVA 7218</v>
      </c>
    </row>
    <row r="608">
      <c r="A608" s="18" t="s">
        <v>1166</v>
      </c>
      <c r="B608" s="91">
        <f t="shared" si="97"/>
        <v>7220</v>
      </c>
      <c r="C608" s="15">
        <v>7220.0</v>
      </c>
      <c r="D608" s="18" t="s">
        <v>122</v>
      </c>
      <c r="E608" s="39">
        <v>1690.0</v>
      </c>
      <c r="F608" s="39">
        <v>1820.0</v>
      </c>
      <c r="G608" s="50">
        <f t="shared" si="98"/>
        <v>0.07692307692</v>
      </c>
      <c r="H608" s="28"/>
      <c r="I608" s="55">
        <f t="shared" si="2"/>
        <v>1821.449825</v>
      </c>
      <c r="J608" s="81"/>
      <c r="K608" s="60">
        <f>IFERROR(__xludf.DUMMYFUNCTION("IFERROR(VLOOKUP(C608,IMPORTRANGE(""https://docs.google.com/spreadsheets/d/1HZUHB8NvANAZR0sHDmHYVAm2WE9kNv0pGIQA48Ryim8/edit?gid=1285727875#gid=1285727875"",""Sheet1!A2:G""),7,0))"),453.71)</f>
        <v>453.71</v>
      </c>
      <c r="L608" s="62">
        <f t="shared" si="99"/>
        <v>3.724846267</v>
      </c>
      <c r="M608" s="60">
        <f>IFERROR(__xludf.DUMMYFUNCTION("IFERROR(VLOOKUP(C608,IMPORTRANGE(""https://docs.google.com/spreadsheets/d/1HZUHB8NvANAZR0sHDmHYVAm2WE9kNv0pGIQA48Ryim8/edit?gid=1285727875#gid=1285727875"",""Cost!A2:G""),7,0))"),489.0)</f>
        <v>489</v>
      </c>
      <c r="N608" s="62">
        <f t="shared" si="4"/>
        <v>3.721881391</v>
      </c>
      <c r="O608" s="28"/>
      <c r="P608" s="28"/>
      <c r="Q608" s="28"/>
      <c r="R608" s="28"/>
      <c r="S608" s="28"/>
      <c r="T608" s="28"/>
      <c r="U608" s="65"/>
      <c r="V608" s="28"/>
      <c r="W608" s="65"/>
      <c r="X608" s="66" t="s">
        <v>120</v>
      </c>
      <c r="Y608" s="65" t="str">
        <f t="shared" si="6"/>
        <v>VIVA 7220</v>
      </c>
    </row>
    <row r="609">
      <c r="A609" s="18" t="s">
        <v>1166</v>
      </c>
      <c r="B609" s="91">
        <f t="shared" si="97"/>
        <v>7226</v>
      </c>
      <c r="C609" s="15">
        <v>7226.0</v>
      </c>
      <c r="D609" s="18" t="s">
        <v>125</v>
      </c>
      <c r="E609" s="39">
        <v>1240.0</v>
      </c>
      <c r="F609" s="39">
        <v>1390.0</v>
      </c>
      <c r="G609" s="50">
        <f t="shared" si="98"/>
        <v>0.1209677419</v>
      </c>
      <c r="H609" s="28"/>
      <c r="I609" s="55">
        <f t="shared" si="2"/>
        <v>1354.480571</v>
      </c>
      <c r="J609" s="81"/>
      <c r="K609" s="60">
        <f>IFERROR(__xludf.DUMMYFUNCTION("IFERROR(VLOOKUP(C609,IMPORTRANGE(""https://docs.google.com/spreadsheets/d/1HZUHB8NvANAZR0sHDmHYVAm2WE9kNv0pGIQA48Ryim8/edit?gid=1285727875#gid=1285727875"",""Sheet1!A2:G""),7,0))"),390.91)</f>
        <v>390.91</v>
      </c>
      <c r="L609" s="62">
        <f t="shared" si="99"/>
        <v>3.172085646</v>
      </c>
      <c r="M609" s="60">
        <f>IFERROR(__xludf.DUMMYFUNCTION("IFERROR(VLOOKUP(C609,IMPORTRANGE(""https://docs.google.com/spreadsheets/d/1HZUHB8NvANAZR0sHDmHYVAm2WE9kNv0pGIQA48Ryim8/edit?gid=1285727875#gid=1285727875"",""Cost!A2:G""),7,0))"),427.0)</f>
        <v>427</v>
      </c>
      <c r="N609" s="62">
        <f t="shared" si="4"/>
        <v>3.255269321</v>
      </c>
      <c r="O609" s="28"/>
      <c r="P609" s="28"/>
      <c r="Q609" s="28"/>
      <c r="R609" s="28"/>
      <c r="S609" s="28"/>
      <c r="T609" s="28"/>
      <c r="U609" s="65"/>
      <c r="V609" s="28"/>
      <c r="W609" s="65"/>
      <c r="X609" s="66" t="s">
        <v>123</v>
      </c>
      <c r="Y609" s="65" t="str">
        <f t="shared" si="6"/>
        <v>VIVA 7226</v>
      </c>
    </row>
    <row r="610">
      <c r="A610" s="18" t="s">
        <v>1166</v>
      </c>
      <c r="B610" s="91">
        <f t="shared" si="97"/>
        <v>7228</v>
      </c>
      <c r="C610" s="15">
        <v>7228.0</v>
      </c>
      <c r="D610" s="18" t="s">
        <v>132</v>
      </c>
      <c r="E610" s="39">
        <v>1240.0</v>
      </c>
      <c r="F610" s="39">
        <v>1350.0</v>
      </c>
      <c r="G610" s="50">
        <f t="shared" si="98"/>
        <v>0.08870967742</v>
      </c>
      <c r="H610" s="28"/>
      <c r="I610" s="55">
        <f t="shared" si="2"/>
        <v>1346.791391</v>
      </c>
      <c r="J610" s="81"/>
      <c r="K610" s="60">
        <f>IFERROR(__xludf.DUMMYFUNCTION("IFERROR(VLOOKUP(C610,IMPORTRANGE(""https://docs.google.com/spreadsheets/d/1HZUHB8NvANAZR0sHDmHYVAm2WE9kNv0pGIQA48Ryim8/edit?gid=1285727875#gid=1285727875"",""Sheet1!A2:G""),7,0))"),351.71)</f>
        <v>351.71</v>
      </c>
      <c r="L610" s="62">
        <f t="shared" si="99"/>
        <v>3.525631913</v>
      </c>
      <c r="M610" s="60">
        <f>IFERROR(__xludf.DUMMYFUNCTION("IFERROR(VLOOKUP(C610,IMPORTRANGE(""https://docs.google.com/spreadsheets/d/1HZUHB8NvANAZR0sHDmHYVAm2WE9kNv0pGIQA48Ryim8/edit?gid=1285727875#gid=1285727875"",""Cost!A2:G""),7,0))"),382.0)</f>
        <v>382</v>
      </c>
      <c r="N610" s="62">
        <f t="shared" si="4"/>
        <v>3.534031414</v>
      </c>
      <c r="O610" s="28"/>
      <c r="P610" s="28"/>
      <c r="Q610" s="28"/>
      <c r="R610" s="28"/>
      <c r="S610" s="28"/>
      <c r="T610" s="28"/>
      <c r="U610" s="65"/>
      <c r="V610" s="28"/>
      <c r="W610" s="65"/>
      <c r="X610" s="66" t="s">
        <v>130</v>
      </c>
      <c r="Y610" s="65" t="str">
        <f t="shared" si="6"/>
        <v>VIVA 7228</v>
      </c>
    </row>
    <row r="611">
      <c r="A611" s="18" t="s">
        <v>1166</v>
      </c>
      <c r="B611" s="91">
        <f t="shared" si="97"/>
        <v>7250</v>
      </c>
      <c r="C611" s="15">
        <v>7250.0</v>
      </c>
      <c r="D611" s="18" t="s">
        <v>136</v>
      </c>
      <c r="E611" s="39">
        <v>4980.0</v>
      </c>
      <c r="F611" s="39">
        <v>5490.0</v>
      </c>
      <c r="G611" s="50">
        <f t="shared" si="98"/>
        <v>0.1024096386</v>
      </c>
      <c r="H611" s="28"/>
      <c r="I611" s="55">
        <f t="shared" si="2"/>
        <v>5497.571217</v>
      </c>
      <c r="J611" s="81"/>
      <c r="K611" s="60">
        <f>IFERROR(__xludf.DUMMYFUNCTION("IFERROR(VLOOKUP(C611,IMPORTRANGE(""https://docs.google.com/spreadsheets/d/1HZUHB8NvANAZR0sHDmHYVAm2WE9kNv0pGIQA48Ryim8/edit?gid=1285727875#gid=1285727875"",""Sheet1!A2:G""),7,0))"),1457.52)</f>
        <v>1457.52</v>
      </c>
      <c r="L611" s="62">
        <f t="shared" si="99"/>
        <v>3.41676272</v>
      </c>
      <c r="M611" s="60">
        <f>IFERROR(__xludf.DUMMYFUNCTION("IFERROR(VLOOKUP(C611,IMPORTRANGE(""https://docs.google.com/spreadsheets/d/1HZUHB8NvANAZR0sHDmHYVAm2WE9kNv0pGIQA48Ryim8/edit?gid=1285727875#gid=1285727875"",""Cost!A2:G""),7,0))"),1609.0)</f>
        <v>1609</v>
      </c>
      <c r="N611" s="62">
        <f t="shared" si="4"/>
        <v>3.412057178</v>
      </c>
      <c r="O611" s="28"/>
      <c r="P611" s="28"/>
      <c r="Q611" s="28"/>
      <c r="R611" s="28"/>
      <c r="S611" s="28"/>
      <c r="T611" s="28"/>
      <c r="U611" s="65"/>
      <c r="V611" s="28"/>
      <c r="W611" s="65"/>
      <c r="X611" s="66" t="s">
        <v>134</v>
      </c>
      <c r="Y611" s="65" t="str">
        <f t="shared" si="6"/>
        <v>VIVA 7250</v>
      </c>
    </row>
    <row r="612">
      <c r="A612" s="18" t="s">
        <v>1166</v>
      </c>
      <c r="B612" s="91">
        <f t="shared" si="97"/>
        <v>7255</v>
      </c>
      <c r="C612" s="15">
        <v>7255.0</v>
      </c>
      <c r="D612" s="18" t="s">
        <v>164</v>
      </c>
      <c r="E612" s="39">
        <v>5490.0</v>
      </c>
      <c r="F612" s="39">
        <v>5980.0</v>
      </c>
      <c r="G612" s="50">
        <f t="shared" si="98"/>
        <v>0.08925318761</v>
      </c>
      <c r="H612" s="28"/>
      <c r="I612" s="55">
        <f t="shared" si="2"/>
        <v>6299.669819</v>
      </c>
      <c r="J612" s="81"/>
      <c r="K612" s="60">
        <f>IFERROR(__xludf.DUMMYFUNCTION("IFERROR(VLOOKUP(C612,IMPORTRANGE(""https://docs.google.com/spreadsheets/d/1HZUHB8NvANAZR0sHDmHYVAm2WE9kNv0pGIQA48Ryim8/edit?gid=1285727875#gid=1285727875"",""Sheet1!A2:G""),7,0))"),1471.92)</f>
        <v>1471.92</v>
      </c>
      <c r="L612" s="62">
        <f t="shared" si="99"/>
        <v>3.729822273</v>
      </c>
      <c r="M612" s="60">
        <f>IFERROR(__xludf.DUMMYFUNCTION("IFERROR(VLOOKUP(C612,IMPORTRANGE(""https://docs.google.com/spreadsheets/d/1HZUHB8NvANAZR0sHDmHYVAm2WE9kNv0pGIQA48Ryim8/edit?gid=1285727875#gid=1285727875"",""Cost!A2:G""),7,0))"),1689.0)</f>
        <v>1689</v>
      </c>
      <c r="N612" s="62">
        <f t="shared" si="4"/>
        <v>3.540556542</v>
      </c>
      <c r="O612" s="28"/>
      <c r="P612" s="28"/>
      <c r="Q612" s="28"/>
      <c r="R612" s="28"/>
      <c r="S612" s="28"/>
      <c r="T612" s="28"/>
      <c r="U612" s="65"/>
      <c r="V612" s="28"/>
      <c r="W612" s="65"/>
      <c r="X612" s="66" t="s">
        <v>162</v>
      </c>
      <c r="Y612" s="65" t="str">
        <f t="shared" si="6"/>
        <v>VIVA 7255</v>
      </c>
    </row>
    <row r="613">
      <c r="A613" s="18" t="s">
        <v>1166</v>
      </c>
      <c r="B613" s="91">
        <f t="shared" si="97"/>
        <v>7270</v>
      </c>
      <c r="C613" s="15">
        <v>7270.0</v>
      </c>
      <c r="D613" s="18" t="s">
        <v>186</v>
      </c>
      <c r="E613" s="39">
        <v>6980.0</v>
      </c>
      <c r="F613" s="39">
        <v>7680.0</v>
      </c>
      <c r="G613" s="50">
        <f t="shared" si="98"/>
        <v>0.100286533</v>
      </c>
      <c r="H613" s="28"/>
      <c r="I613" s="55">
        <f t="shared" si="2"/>
        <v>7952.132827</v>
      </c>
      <c r="J613" s="81"/>
      <c r="K613" s="60">
        <f>IFERROR(__xludf.DUMMYFUNCTION("IFERROR(VLOOKUP(C613,IMPORTRANGE(""https://docs.google.com/spreadsheets/d/1HZUHB8NvANAZR0sHDmHYVAm2WE9kNv0pGIQA48Ryim8/edit?gid=1285727875#gid=1285727875"",""Sheet1!A2:G""),7,0))"),2038.14)</f>
        <v>2038.14</v>
      </c>
      <c r="L613" s="62">
        <f t="shared" si="99"/>
        <v>3.42469114</v>
      </c>
      <c r="M613" s="60">
        <f>IFERROR(__xludf.DUMMYFUNCTION("IFERROR(VLOOKUP(C613,IMPORTRANGE(""https://docs.google.com/spreadsheets/d/1HZUHB8NvANAZR0sHDmHYVAm2WE9kNv0pGIQA48Ryim8/edit?gid=1285727875#gid=1285727875"",""Cost!A2:G""),7,0))"),2322.0)</f>
        <v>2322</v>
      </c>
      <c r="N613" s="62">
        <f t="shared" si="4"/>
        <v>3.30749354</v>
      </c>
      <c r="O613" s="28"/>
      <c r="P613" s="28"/>
      <c r="Q613" s="28"/>
      <c r="R613" s="28"/>
      <c r="S613" s="28"/>
      <c r="T613" s="28"/>
      <c r="U613" s="65"/>
      <c r="V613" s="28"/>
      <c r="W613" s="65"/>
      <c r="X613" s="66" t="s">
        <v>184</v>
      </c>
      <c r="Y613" s="65" t="str">
        <f t="shared" si="6"/>
        <v>VIVA 7270</v>
      </c>
    </row>
    <row r="614">
      <c r="A614" s="18" t="s">
        <v>1166</v>
      </c>
      <c r="B614" s="91">
        <f t="shared" si="97"/>
        <v>7275</v>
      </c>
      <c r="C614" s="15">
        <v>7275.0</v>
      </c>
      <c r="D614" s="18" t="s">
        <v>196</v>
      </c>
      <c r="E614" s="39">
        <v>6980.0</v>
      </c>
      <c r="F614" s="39">
        <v>7680.0</v>
      </c>
      <c r="G614" s="50">
        <f t="shared" si="98"/>
        <v>0.100286533</v>
      </c>
      <c r="H614" s="28"/>
      <c r="I614" s="55">
        <f t="shared" si="2"/>
        <v>7944.392929</v>
      </c>
      <c r="J614" s="81"/>
      <c r="K614" s="60">
        <f>IFERROR(__xludf.DUMMYFUNCTION("IFERROR(VLOOKUP(C614,IMPORTRANGE(""https://docs.google.com/spreadsheets/d/1HZUHB8NvANAZR0sHDmHYVAm2WE9kNv0pGIQA48Ryim8/edit?gid=1285727875#gid=1285727875"",""Sheet1!A2:G""),7,0))"),2005.86)</f>
        <v>2005.86</v>
      </c>
      <c r="L614" s="62">
        <f t="shared" si="99"/>
        <v>3.479804174</v>
      </c>
      <c r="M614" s="60">
        <f>IFERROR(__xludf.DUMMYFUNCTION("IFERROR(VLOOKUP(C614,IMPORTRANGE(""https://docs.google.com/spreadsheets/d/1HZUHB8NvANAZR0sHDmHYVAm2WE9kNv0pGIQA48Ryim8/edit?gid=1285727875#gid=1285727875"",""Cost!A2:G""),7,0))"),2283.0)</f>
        <v>2283</v>
      </c>
      <c r="N614" s="62">
        <f t="shared" si="4"/>
        <v>3.363994744</v>
      </c>
      <c r="O614" s="28"/>
      <c r="P614" s="28"/>
      <c r="Q614" s="28"/>
      <c r="R614" s="28"/>
      <c r="S614" s="28"/>
      <c r="T614" s="28"/>
      <c r="U614" s="65"/>
      <c r="V614" s="28"/>
      <c r="W614" s="65"/>
      <c r="X614" s="66" t="s">
        <v>194</v>
      </c>
      <c r="Y614" s="65" t="str">
        <f t="shared" si="6"/>
        <v>VIVA 7275</v>
      </c>
    </row>
    <row r="615">
      <c r="A615" s="18" t="s">
        <v>1166</v>
      </c>
      <c r="B615" s="91">
        <f t="shared" si="97"/>
        <v>7280</v>
      </c>
      <c r="C615" s="15">
        <v>7280.0</v>
      </c>
      <c r="D615" s="18" t="s">
        <v>205</v>
      </c>
      <c r="E615" s="39">
        <v>7770.0</v>
      </c>
      <c r="F615" s="39">
        <v>8680.0</v>
      </c>
      <c r="G615" s="50">
        <f t="shared" si="98"/>
        <v>0.1171171171</v>
      </c>
      <c r="H615" s="28"/>
      <c r="I615" s="55">
        <f t="shared" si="2"/>
        <v>8817.565067</v>
      </c>
      <c r="J615" s="81"/>
      <c r="K615" s="60">
        <f>IFERROR(__xludf.DUMMYFUNCTION("IFERROR(VLOOKUP(C615,IMPORTRANGE(""https://docs.google.com/spreadsheets/d/1HZUHB8NvANAZR0sHDmHYVAm2WE9kNv0pGIQA48Ryim8/edit?gid=1285727875#gid=1285727875"",""Sheet1!A2:G""),7,0))"),2188.89)</f>
        <v>2188.89</v>
      </c>
      <c r="L615" s="62">
        <f t="shared" si="99"/>
        <v>3.549744391</v>
      </c>
      <c r="M615" s="60">
        <f>IFERROR(__xludf.DUMMYFUNCTION("IFERROR(VLOOKUP(C615,IMPORTRANGE(""https://docs.google.com/spreadsheets/d/1HZUHB8NvANAZR0sHDmHYVAm2WE9kNv0pGIQA48Ryim8/edit?gid=1285727875#gid=1285727875"",""Cost!A2:G""),7,0))"),2484.0)</f>
        <v>2484</v>
      </c>
      <c r="N615" s="62">
        <f t="shared" si="4"/>
        <v>3.494363929</v>
      </c>
      <c r="O615" s="28"/>
      <c r="P615" s="28"/>
      <c r="Q615" s="28"/>
      <c r="R615" s="28"/>
      <c r="S615" s="28"/>
      <c r="T615" s="28"/>
      <c r="U615" s="65"/>
      <c r="V615" s="28"/>
      <c r="W615" s="65"/>
      <c r="X615" s="66" t="s">
        <v>203</v>
      </c>
      <c r="Y615" s="65" t="str">
        <f t="shared" si="6"/>
        <v>VIVA 7280</v>
      </c>
    </row>
    <row r="616">
      <c r="A616" s="18" t="s">
        <v>1166</v>
      </c>
      <c r="B616" s="91">
        <f t="shared" si="97"/>
        <v>7298</v>
      </c>
      <c r="C616" s="15">
        <v>7298.0</v>
      </c>
      <c r="D616" s="18" t="s">
        <v>272</v>
      </c>
      <c r="E616" s="39">
        <v>2280.0</v>
      </c>
      <c r="F616" s="39">
        <v>2520.0</v>
      </c>
      <c r="G616" s="50">
        <f t="shared" si="98"/>
        <v>0.1052631579</v>
      </c>
      <c r="H616" s="28"/>
      <c r="I616" s="55">
        <f t="shared" si="2"/>
        <v>2515.834159</v>
      </c>
      <c r="J616" s="81"/>
      <c r="K616" s="60">
        <f>IFERROR(__xludf.DUMMYFUNCTION("IFERROR(VLOOKUP(C616,IMPORTRANGE(""https://docs.google.com/spreadsheets/d/1HZUHB8NvANAZR0sHDmHYVAm2WE9kNv0pGIQA48Ryim8/edit?gid=1285727875#gid=1285727875"",""Sheet1!A2:G""),7,0))"),676.07)</f>
        <v>676.07</v>
      </c>
      <c r="L616" s="62">
        <f t="shared" si="99"/>
        <v>3.372431849</v>
      </c>
      <c r="M616" s="60">
        <f>IFERROR(__xludf.DUMMYFUNCTION("IFERROR(VLOOKUP(C616,IMPORTRANGE(""https://docs.google.com/spreadsheets/d/1HZUHB8NvANAZR0sHDmHYVAm2WE9kNv0pGIQA48Ryim8/edit?gid=1285727875#gid=1285727875"",""Cost!A2:G""),7,0))"),746.0)</f>
        <v>746</v>
      </c>
      <c r="N616" s="62">
        <f t="shared" si="4"/>
        <v>3.378016086</v>
      </c>
      <c r="O616" s="28"/>
      <c r="P616" s="28"/>
      <c r="Q616" s="28"/>
      <c r="R616" s="28"/>
      <c r="S616" s="28"/>
      <c r="T616" s="28"/>
      <c r="U616" s="65"/>
      <c r="V616" s="28"/>
      <c r="W616" s="65"/>
      <c r="X616" s="66" t="s">
        <v>271</v>
      </c>
      <c r="Y616" s="65" t="str">
        <f t="shared" si="6"/>
        <v>VIVA 7298</v>
      </c>
    </row>
    <row r="617">
      <c r="A617" s="18" t="s">
        <v>1169</v>
      </c>
      <c r="B617" s="91">
        <f t="shared" si="97"/>
        <v>7302</v>
      </c>
      <c r="C617" s="15">
        <v>7302.0</v>
      </c>
      <c r="D617" s="18" t="s">
        <v>15</v>
      </c>
      <c r="E617" s="39">
        <v>1490.0</v>
      </c>
      <c r="F617" s="39">
        <v>1670.0</v>
      </c>
      <c r="G617" s="50">
        <f t="shared" si="98"/>
        <v>0.1208053691</v>
      </c>
      <c r="H617" s="28"/>
      <c r="I617" s="55">
        <f t="shared" si="2"/>
        <v>1669.337172</v>
      </c>
      <c r="J617" s="81"/>
      <c r="K617" s="60">
        <f>IFERROR(__xludf.DUMMYFUNCTION("IFERROR(VLOOKUP(C617,IMPORTRANGE(""https://docs.google.com/spreadsheets/d/1HZUHB8NvANAZR0sHDmHYVAm2WE9kNv0pGIQA48Ryim8/edit?gid=1285727875#gid=1285727875"",""Sheet1!A2:G""),7,0))"),479.31)</f>
        <v>479.31</v>
      </c>
      <c r="L617" s="62">
        <f t="shared" si="99"/>
        <v>3.10863533</v>
      </c>
      <c r="M617" s="60">
        <f>IFERROR(__xludf.DUMMYFUNCTION("IFERROR(VLOOKUP(C617,IMPORTRANGE(""https://docs.google.com/spreadsheets/d/1HZUHB8NvANAZR0sHDmHYVAm2WE9kNv0pGIQA48Ryim8/edit?gid=1285727875#gid=1285727875"",""Cost!A2:G""),7,0))"),537.0)</f>
        <v>537</v>
      </c>
      <c r="N617" s="62">
        <f t="shared" si="4"/>
        <v>3.109869646</v>
      </c>
      <c r="O617" s="28"/>
      <c r="P617" s="28"/>
      <c r="Q617" s="28"/>
      <c r="R617" s="28"/>
      <c r="S617" s="28"/>
      <c r="T617" s="28"/>
      <c r="U617" s="65"/>
      <c r="V617" s="28"/>
      <c r="W617" s="65"/>
      <c r="X617" s="66" t="s">
        <v>303</v>
      </c>
      <c r="Y617" s="65" t="str">
        <f t="shared" si="6"/>
        <v>TRANQUIL 7302</v>
      </c>
    </row>
    <row r="618">
      <c r="A618" s="18" t="s">
        <v>1169</v>
      </c>
      <c r="B618" s="91">
        <f t="shared" si="97"/>
        <v>7305</v>
      </c>
      <c r="C618" s="15">
        <v>7305.0</v>
      </c>
      <c r="D618" s="18" t="s">
        <v>59</v>
      </c>
      <c r="E618" s="39">
        <v>1390.0</v>
      </c>
      <c r="F618" s="39">
        <v>1550.0</v>
      </c>
      <c r="G618" s="50">
        <f t="shared" si="98"/>
        <v>0.1151079137</v>
      </c>
      <c r="H618" s="28"/>
      <c r="I618" s="55">
        <f t="shared" si="2"/>
        <v>1546.966461</v>
      </c>
      <c r="J618" s="81"/>
      <c r="K618" s="60">
        <f>IFERROR(__xludf.DUMMYFUNCTION("IFERROR(VLOOKUP(C618,IMPORTRANGE(""https://docs.google.com/spreadsheets/d/1HZUHB8NvANAZR0sHDmHYVAm2WE9kNv0pGIQA48Ryim8/edit?gid=1285727875#gid=1285727875"",""Sheet1!A2:G""),7,0))"),398.05)</f>
        <v>398.05</v>
      </c>
      <c r="L618" s="62">
        <f t="shared" si="99"/>
        <v>3.492023615</v>
      </c>
      <c r="M618" s="60">
        <f>IFERROR(__xludf.DUMMYFUNCTION("IFERROR(VLOOKUP(C618,IMPORTRANGE(""https://docs.google.com/spreadsheets/d/1HZUHB8NvANAZR0sHDmHYVAm2WE9kNv0pGIQA48Ryim8/edit?gid=1285727875#gid=1285727875"",""Cost!A2:G""),7,0))"),443.0)</f>
        <v>443</v>
      </c>
      <c r="N618" s="62">
        <f t="shared" si="4"/>
        <v>3.498871332</v>
      </c>
      <c r="O618" s="28"/>
      <c r="P618" s="28"/>
      <c r="Q618" s="28"/>
      <c r="R618" s="28"/>
      <c r="S618" s="28"/>
      <c r="T618" s="28"/>
      <c r="U618" s="65"/>
      <c r="V618" s="28"/>
      <c r="W618" s="65"/>
      <c r="X618" s="66" t="s">
        <v>663</v>
      </c>
      <c r="Y618" s="65" t="str">
        <f t="shared" si="6"/>
        <v>TRANQUIL 7305</v>
      </c>
    </row>
    <row r="619">
      <c r="A619" s="18" t="s">
        <v>1169</v>
      </c>
      <c r="B619" s="91">
        <f t="shared" si="97"/>
        <v>7306</v>
      </c>
      <c r="C619" s="15">
        <v>7306.0</v>
      </c>
      <c r="D619" s="18" t="s">
        <v>67</v>
      </c>
      <c r="E619" s="75">
        <v>1390.0</v>
      </c>
      <c r="F619" s="39">
        <v>1540.0</v>
      </c>
      <c r="G619" s="50">
        <f t="shared" si="98"/>
        <v>0.1079136691</v>
      </c>
      <c r="H619" s="28"/>
      <c r="I619" s="55">
        <f t="shared" si="2"/>
        <v>1544.099779</v>
      </c>
      <c r="J619" s="81"/>
      <c r="K619" s="60">
        <f>IFERROR(__xludf.DUMMYFUNCTION("IFERROR(VLOOKUP(C619,IMPORTRANGE(""https://docs.google.com/spreadsheets/d/1HZUHB8NvANAZR0sHDmHYVAm2WE9kNv0pGIQA48Ryim8/edit?gid=1285727875#gid=1285727875"",""Sheet1!A2:G""),7,0))"),403.29)</f>
        <v>403.29</v>
      </c>
      <c r="L619" s="62">
        <f t="shared" si="99"/>
        <v>3.446651293</v>
      </c>
      <c r="M619" s="60">
        <f>IFERROR(__xludf.DUMMYFUNCTION("IFERROR(VLOOKUP(C619,IMPORTRANGE(""https://docs.google.com/spreadsheets/d/1HZUHB8NvANAZR0sHDmHYVAm2WE9kNv0pGIQA48Ryim8/edit?gid=1285727875#gid=1285727875"",""Cost!A2:G""),7,0))"),448.0)</f>
        <v>448</v>
      </c>
      <c r="N619" s="62">
        <f t="shared" si="4"/>
        <v>3.4375</v>
      </c>
      <c r="O619" s="28"/>
      <c r="P619" s="28"/>
      <c r="Q619" s="28"/>
      <c r="R619" s="28"/>
      <c r="S619" s="28"/>
      <c r="T619" s="28"/>
      <c r="U619" s="65"/>
      <c r="V619" s="28"/>
      <c r="W619" s="65"/>
      <c r="X619" s="66" t="s">
        <v>311</v>
      </c>
      <c r="Y619" s="65" t="str">
        <f t="shared" si="6"/>
        <v>TRANQUIL 7306</v>
      </c>
    </row>
    <row r="620">
      <c r="A620" s="18" t="s">
        <v>1169</v>
      </c>
      <c r="B620" s="91">
        <f t="shared" si="97"/>
        <v>7308</v>
      </c>
      <c r="C620" s="15">
        <v>7308.0</v>
      </c>
      <c r="D620" s="18" t="s">
        <v>81</v>
      </c>
      <c r="E620" s="39">
        <v>1590.0</v>
      </c>
      <c r="F620" s="39">
        <v>1770.0</v>
      </c>
      <c r="G620" s="50">
        <f t="shared" si="98"/>
        <v>0.1132075472</v>
      </c>
      <c r="H620" s="28"/>
      <c r="I620" s="55">
        <f t="shared" si="2"/>
        <v>1764.714009</v>
      </c>
      <c r="J620" s="81"/>
      <c r="K620" s="60">
        <f>IFERROR(__xludf.DUMMYFUNCTION("IFERROR(VLOOKUP(C620,IMPORTRANGE(""https://docs.google.com/spreadsheets/d/1HZUHB8NvANAZR0sHDmHYVAm2WE9kNv0pGIQA48Ryim8/edit?gid=1285727875#gid=1285727875"",""Sheet1!A2:G""),7,0))"),434.28)</f>
        <v>434.28</v>
      </c>
      <c r="L620" s="62">
        <f t="shared" si="99"/>
        <v>3.661232385</v>
      </c>
      <c r="M620" s="60">
        <f>IFERROR(__xludf.DUMMYFUNCTION("IFERROR(VLOOKUP(C620,IMPORTRANGE(""https://docs.google.com/spreadsheets/d/1HZUHB8NvANAZR0sHDmHYVAm2WE9kNv0pGIQA48Ryim8/edit?gid=1285727875#gid=1285727875"",""Cost!A2:G""),7,0))"),482.0)</f>
        <v>482</v>
      </c>
      <c r="N620" s="62">
        <f t="shared" si="4"/>
        <v>3.67219917</v>
      </c>
      <c r="O620" s="28"/>
      <c r="P620" s="28"/>
      <c r="Q620" s="28"/>
      <c r="R620" s="28"/>
      <c r="S620" s="28"/>
      <c r="T620" s="28"/>
      <c r="U620" s="65"/>
      <c r="V620" s="28"/>
      <c r="W620" s="65"/>
      <c r="X620" s="66" t="s">
        <v>321</v>
      </c>
      <c r="Y620" s="65" t="str">
        <f t="shared" si="6"/>
        <v>TRANQUIL 7308</v>
      </c>
    </row>
    <row r="621">
      <c r="A621" s="18" t="s">
        <v>1169</v>
      </c>
      <c r="B621" s="91">
        <f t="shared" si="97"/>
        <v>7309</v>
      </c>
      <c r="C621" s="15">
        <v>7309.0</v>
      </c>
      <c r="D621" s="18" t="s">
        <v>86</v>
      </c>
      <c r="E621" s="39">
        <v>1740.0</v>
      </c>
      <c r="F621" s="39">
        <v>1940.0</v>
      </c>
      <c r="G621" s="50">
        <f t="shared" si="98"/>
        <v>0.1149425287</v>
      </c>
      <c r="H621" s="28"/>
      <c r="I621" s="55">
        <f t="shared" si="2"/>
        <v>1934.953699</v>
      </c>
      <c r="J621" s="81"/>
      <c r="K621" s="60">
        <f>IFERROR(__xludf.DUMMYFUNCTION("IFERROR(VLOOKUP(C621,IMPORTRANGE(""https://docs.google.com/spreadsheets/d/1HZUHB8NvANAZR0sHDmHYVAm2WE9kNv0pGIQA48Ryim8/edit?gid=1285727875#gid=1285727875"",""Sheet1!A2:G""),7,0))"),489.19)</f>
        <v>489.19</v>
      </c>
      <c r="L621" s="62">
        <f t="shared" si="99"/>
        <v>3.556900182</v>
      </c>
      <c r="M621" s="60">
        <f>IFERROR(__xludf.DUMMYFUNCTION("IFERROR(VLOOKUP(C621,IMPORTRANGE(""https://docs.google.com/spreadsheets/d/1HZUHB8NvANAZR0sHDmHYVAm2WE9kNv0pGIQA48Ryim8/edit?gid=1285727875#gid=1285727875"",""Cost!A2:G""),7,0))"),544.0)</f>
        <v>544</v>
      </c>
      <c r="N621" s="62">
        <f t="shared" si="4"/>
        <v>3.566176471</v>
      </c>
      <c r="O621" s="28"/>
      <c r="P621" s="28"/>
      <c r="Q621" s="28"/>
      <c r="R621" s="28"/>
      <c r="S621" s="28"/>
      <c r="T621" s="28"/>
      <c r="U621" s="65"/>
      <c r="V621" s="28"/>
      <c r="W621" s="65"/>
      <c r="X621" s="66" t="s">
        <v>665</v>
      </c>
      <c r="Y621" s="65" t="str">
        <f t="shared" si="6"/>
        <v>TRANQUIL 7309</v>
      </c>
    </row>
    <row r="622">
      <c r="A622" s="18" t="s">
        <v>1169</v>
      </c>
      <c r="B622" s="91">
        <f t="shared" si="97"/>
        <v>7310</v>
      </c>
      <c r="C622" s="15">
        <v>7310.0</v>
      </c>
      <c r="D622" s="18" t="s">
        <v>89</v>
      </c>
      <c r="E622" s="75">
        <v>1180.0</v>
      </c>
      <c r="F622" s="39">
        <v>1290.0</v>
      </c>
      <c r="G622" s="50">
        <f t="shared" si="98"/>
        <v>0.09322033898</v>
      </c>
      <c r="H622" s="28"/>
      <c r="I622" s="55">
        <f t="shared" si="2"/>
        <v>1307.58206</v>
      </c>
      <c r="J622" s="81"/>
      <c r="K622" s="60">
        <f>IFERROR(__xludf.DUMMYFUNCTION("IFERROR(VLOOKUP(C622,IMPORTRANGE(""https://docs.google.com/spreadsheets/d/1HZUHB8NvANAZR0sHDmHYVAm2WE9kNv0pGIQA48Ryim8/edit?gid=1285727875#gid=1285727875"",""Sheet1!A2:G""),7,0))"),286.07)</f>
        <v>286.07</v>
      </c>
      <c r="L622" s="62">
        <f t="shared" si="99"/>
        <v>4.124864544</v>
      </c>
      <c r="M622" s="60">
        <f>IFERROR(__xludf.DUMMYFUNCTION("IFERROR(VLOOKUP(C622,IMPORTRANGE(""https://docs.google.com/spreadsheets/d/1HZUHB8NvANAZR0sHDmHYVAm2WE9kNv0pGIQA48Ryim8/edit?gid=1285727875#gid=1285727875"",""Cost!A2:G""),7,0))"),317.0)</f>
        <v>317</v>
      </c>
      <c r="N622" s="62">
        <f t="shared" si="4"/>
        <v>4.069400631</v>
      </c>
      <c r="O622" s="28"/>
      <c r="P622" s="28"/>
      <c r="Q622" s="28"/>
      <c r="R622" s="28"/>
      <c r="S622" s="28"/>
      <c r="T622" s="28"/>
      <c r="U622" s="65"/>
      <c r="V622" s="28"/>
      <c r="W622" s="65"/>
      <c r="X622" s="66" t="s">
        <v>87</v>
      </c>
      <c r="Y622" s="65" t="str">
        <f t="shared" si="6"/>
        <v>TRANQUIL 7310</v>
      </c>
    </row>
    <row r="623">
      <c r="A623" s="18" t="s">
        <v>1169</v>
      </c>
      <c r="B623" s="91">
        <f t="shared" si="97"/>
        <v>7311</v>
      </c>
      <c r="C623" s="15">
        <v>7311.0</v>
      </c>
      <c r="D623" s="18" t="s">
        <v>94</v>
      </c>
      <c r="E623" s="39">
        <v>2080.0</v>
      </c>
      <c r="F623" s="39">
        <v>2360.0</v>
      </c>
      <c r="G623" s="50">
        <f t="shared" si="98"/>
        <v>0.1346153846</v>
      </c>
      <c r="H623" s="28"/>
      <c r="I623" s="55">
        <f t="shared" si="2"/>
        <v>2359.386748</v>
      </c>
      <c r="J623" s="81"/>
      <c r="K623" s="60">
        <f>IFERROR(__xludf.DUMMYFUNCTION("IFERROR(VLOOKUP(C623,IMPORTRANGE(""https://docs.google.com/spreadsheets/d/1HZUHB8NvANAZR0sHDmHYVAm2WE9kNv0pGIQA48Ryim8/edit?gid=1285727875#gid=1285727875"",""Sheet1!A2:G""),7,0))"),611.82)</f>
        <v>611.82</v>
      </c>
      <c r="L623" s="62">
        <f t="shared" si="99"/>
        <v>3.39969272</v>
      </c>
      <c r="M623" s="60">
        <f>IFERROR(__xludf.DUMMYFUNCTION("IFERROR(VLOOKUP(C623,IMPORTRANGE(""https://docs.google.com/spreadsheets/d/1HZUHB8NvANAZR0sHDmHYVAm2WE9kNv0pGIQA48Ryim8/edit?gid=1285727875#gid=1285727875"",""Cost!A2:G""),7,0))"),694.0)</f>
        <v>694</v>
      </c>
      <c r="N623" s="62">
        <f t="shared" si="4"/>
        <v>3.400576369</v>
      </c>
      <c r="O623" s="28"/>
      <c r="P623" s="28"/>
      <c r="Q623" s="28"/>
      <c r="R623" s="28"/>
      <c r="S623" s="28"/>
      <c r="T623" s="28"/>
      <c r="U623" s="65"/>
      <c r="V623" s="28"/>
      <c r="W623" s="65"/>
      <c r="X623" s="66" t="s">
        <v>91</v>
      </c>
      <c r="Y623" s="65" t="str">
        <f t="shared" si="6"/>
        <v>TRANQUIL 7311</v>
      </c>
    </row>
    <row r="624">
      <c r="A624" s="18" t="s">
        <v>1169</v>
      </c>
      <c r="B624" s="91">
        <f t="shared" si="97"/>
        <v>7312</v>
      </c>
      <c r="C624" s="15">
        <v>7312.0</v>
      </c>
      <c r="D624" s="18" t="s">
        <v>97</v>
      </c>
      <c r="E624" s="39">
        <v>2380.0</v>
      </c>
      <c r="F624" s="39">
        <v>2680.0</v>
      </c>
      <c r="G624" s="50">
        <f t="shared" si="98"/>
        <v>0.1260504202</v>
      </c>
      <c r="H624" s="28"/>
      <c r="I624" s="55">
        <f t="shared" si="2"/>
        <v>2679.621083</v>
      </c>
      <c r="J624" s="81"/>
      <c r="K624" s="60">
        <f>IFERROR(__xludf.DUMMYFUNCTION("IFERROR(VLOOKUP(C624,IMPORTRANGE(""https://docs.google.com/spreadsheets/d/1HZUHB8NvANAZR0sHDmHYVAm2WE9kNv0pGIQA48Ryim8/edit?gid=1285727875#gid=1285727875"",""Sheet1!A2:G""),7,0))"),699.89)</f>
        <v>699.89</v>
      </c>
      <c r="L624" s="62">
        <f t="shared" si="99"/>
        <v>3.40053437</v>
      </c>
      <c r="M624" s="60">
        <f>IFERROR(__xludf.DUMMYFUNCTION("IFERROR(VLOOKUP(C624,IMPORTRANGE(""https://docs.google.com/spreadsheets/d/1HZUHB8NvANAZR0sHDmHYVAm2WE9kNv0pGIQA48Ryim8/edit?gid=1285727875#gid=1285727875"",""Cost!A2:G""),7,0))"),788.0)</f>
        <v>788</v>
      </c>
      <c r="N624" s="62">
        <f t="shared" si="4"/>
        <v>3.401015228</v>
      </c>
      <c r="O624" s="28"/>
      <c r="P624" s="28"/>
      <c r="Q624" s="28"/>
      <c r="R624" s="28"/>
      <c r="S624" s="28"/>
      <c r="T624" s="28"/>
      <c r="U624" s="65"/>
      <c r="V624" s="28"/>
      <c r="W624" s="65"/>
      <c r="X624" s="66" t="s">
        <v>95</v>
      </c>
      <c r="Y624" s="65" t="str">
        <f t="shared" si="6"/>
        <v>TRANQUIL 7312</v>
      </c>
    </row>
    <row r="625">
      <c r="A625" s="18" t="s">
        <v>1169</v>
      </c>
      <c r="B625" s="91">
        <f t="shared" si="97"/>
        <v>7314</v>
      </c>
      <c r="C625" s="15">
        <v>7314.0</v>
      </c>
      <c r="D625" s="18" t="s">
        <v>106</v>
      </c>
      <c r="E625" s="39">
        <v>2790.0</v>
      </c>
      <c r="F625" s="39">
        <v>3120.0</v>
      </c>
      <c r="G625" s="50">
        <f t="shared" si="98"/>
        <v>0.1182795699</v>
      </c>
      <c r="H625" s="28"/>
      <c r="I625" s="55">
        <f t="shared" si="2"/>
        <v>3120.194689</v>
      </c>
      <c r="J625" s="81"/>
      <c r="K625" s="60">
        <f>IFERROR(__xludf.DUMMYFUNCTION("IFERROR(VLOOKUP(C625,IMPORTRANGE(""https://docs.google.com/spreadsheets/d/1HZUHB8NvANAZR0sHDmHYVAm2WE9kNv0pGIQA48Ryim8/edit?gid=1285727875#gid=1285727875"",""Sheet1!A2:G""),7,0))"),807.44)</f>
        <v>807.44</v>
      </c>
      <c r="L625" s="62">
        <f t="shared" si="99"/>
        <v>3.455365105</v>
      </c>
      <c r="M625" s="60">
        <f>IFERROR(__xludf.DUMMYFUNCTION("IFERROR(VLOOKUP(C625,IMPORTRANGE(""https://docs.google.com/spreadsheets/d/1HZUHB8NvANAZR0sHDmHYVAm2WE9kNv0pGIQA48Ryim8/edit?gid=1285727875#gid=1285727875"",""Cost!A2:G""),7,0))"),903.0)</f>
        <v>903</v>
      </c>
      <c r="N625" s="62">
        <f t="shared" si="4"/>
        <v>3.455149502</v>
      </c>
      <c r="O625" s="28"/>
      <c r="P625" s="28"/>
      <c r="Q625" s="28"/>
      <c r="R625" s="28"/>
      <c r="S625" s="28"/>
      <c r="T625" s="28"/>
      <c r="U625" s="65"/>
      <c r="V625" s="28"/>
      <c r="W625" s="65"/>
      <c r="X625" s="66" t="s">
        <v>104</v>
      </c>
      <c r="Y625" s="65" t="str">
        <f t="shared" si="6"/>
        <v>TRANQUIL 7314</v>
      </c>
    </row>
    <row r="626">
      <c r="A626" s="18" t="s">
        <v>1169</v>
      </c>
      <c r="B626" s="91">
        <f t="shared" si="97"/>
        <v>7316</v>
      </c>
      <c r="C626" s="15">
        <v>7316.0</v>
      </c>
      <c r="D626" s="18" t="s">
        <v>112</v>
      </c>
      <c r="E626" s="39">
        <v>2480.0</v>
      </c>
      <c r="F626" s="39">
        <v>2790.0</v>
      </c>
      <c r="G626" s="50">
        <f t="shared" si="98"/>
        <v>0.125</v>
      </c>
      <c r="H626" s="28"/>
      <c r="I626" s="55">
        <f t="shared" si="2"/>
        <v>2796.783182</v>
      </c>
      <c r="J626" s="81"/>
      <c r="K626" s="60">
        <f>IFERROR(__xludf.DUMMYFUNCTION("IFERROR(VLOOKUP(C626,IMPORTRANGE(""https://docs.google.com/spreadsheets/d/1HZUHB8NvANAZR0sHDmHYVAm2WE9kNv0pGIQA48Ryim8/edit?gid=1285727875#gid=1285727875"",""Sheet1!A2:G""),7,0))"),757.27)</f>
        <v>757.27</v>
      </c>
      <c r="L626" s="62">
        <f t="shared" si="99"/>
        <v>3.274921758</v>
      </c>
      <c r="M626" s="60">
        <f>IFERROR(__xludf.DUMMYFUNCTION("IFERROR(VLOOKUP(C626,IMPORTRANGE(""https://docs.google.com/spreadsheets/d/1HZUHB8NvANAZR0sHDmHYVAm2WE9kNv0pGIQA48Ryim8/edit?gid=1285727875#gid=1285727875"",""Cost!A2:G""),7,0))"),854.0)</f>
        <v>854</v>
      </c>
      <c r="N626" s="62">
        <f t="shared" si="4"/>
        <v>3.266978923</v>
      </c>
      <c r="O626" s="28"/>
      <c r="P626" s="28"/>
      <c r="Q626" s="28"/>
      <c r="R626" s="28"/>
      <c r="S626" s="28"/>
      <c r="T626" s="28"/>
      <c r="U626" s="65"/>
      <c r="V626" s="28"/>
      <c r="W626" s="65"/>
      <c r="X626" s="66" t="s">
        <v>110</v>
      </c>
      <c r="Y626" s="65" t="str">
        <f t="shared" si="6"/>
        <v>TRANQUIL 7316</v>
      </c>
    </row>
    <row r="627">
      <c r="A627" s="18" t="s">
        <v>1169</v>
      </c>
      <c r="B627" s="91">
        <f t="shared" si="97"/>
        <v>7318</v>
      </c>
      <c r="C627" s="15">
        <v>7318.0</v>
      </c>
      <c r="D627" s="18" t="s">
        <v>119</v>
      </c>
      <c r="E627" s="75">
        <v>1640.0</v>
      </c>
      <c r="F627" s="39">
        <v>1840.0</v>
      </c>
      <c r="G627" s="50">
        <f t="shared" si="98"/>
        <v>0.1219512195</v>
      </c>
      <c r="H627" s="28"/>
      <c r="I627" s="55">
        <f t="shared" si="2"/>
        <v>1863.441018</v>
      </c>
      <c r="J627" s="81"/>
      <c r="K627" s="60">
        <f>IFERROR(__xludf.DUMMYFUNCTION("IFERROR(VLOOKUP(C627,IMPORTRANGE(""https://docs.google.com/spreadsheets/d/1HZUHB8NvANAZR0sHDmHYVAm2WE9kNv0pGIQA48Ryim8/edit?gid=1285727875#gid=1285727875"",""Sheet1!A2:G""),7,0))"),477.01)</f>
        <v>477.01</v>
      </c>
      <c r="L627" s="62">
        <f t="shared" si="99"/>
        <v>3.438083059</v>
      </c>
      <c r="M627" s="60">
        <f>IFERROR(__xludf.DUMMYFUNCTION("IFERROR(VLOOKUP(C627,IMPORTRANGE(""https://docs.google.com/spreadsheets/d/1HZUHB8NvANAZR0sHDmHYVAm2WE9kNv0pGIQA48Ryim8/edit?gid=1285727875#gid=1285727875"",""Cost!A2:G""),7,0))"),542.0)</f>
        <v>542</v>
      </c>
      <c r="N627" s="62">
        <f t="shared" si="4"/>
        <v>3.394833948</v>
      </c>
      <c r="O627" s="28"/>
      <c r="P627" s="28"/>
      <c r="Q627" s="28"/>
      <c r="R627" s="28"/>
      <c r="S627" s="28"/>
      <c r="T627" s="28"/>
      <c r="U627" s="65"/>
      <c r="V627" s="28"/>
      <c r="W627" s="65"/>
      <c r="X627" s="66" t="s">
        <v>117</v>
      </c>
      <c r="Y627" s="65" t="str">
        <f t="shared" si="6"/>
        <v>TRANQUIL 7318</v>
      </c>
    </row>
    <row r="628">
      <c r="A628" s="18" t="s">
        <v>1169</v>
      </c>
      <c r="B628" s="91">
        <f t="shared" si="97"/>
        <v>7320</v>
      </c>
      <c r="C628" s="15">
        <v>7320.0</v>
      </c>
      <c r="D628" s="18" t="s">
        <v>122</v>
      </c>
      <c r="E628" s="39">
        <v>1690.0</v>
      </c>
      <c r="F628" s="39">
        <v>1890.0</v>
      </c>
      <c r="G628" s="50">
        <f t="shared" si="98"/>
        <v>0.1183431953</v>
      </c>
      <c r="H628" s="28"/>
      <c r="I628" s="55">
        <f t="shared" si="2"/>
        <v>1918.198291</v>
      </c>
      <c r="J628" s="81"/>
      <c r="K628" s="60">
        <f>IFERROR(__xludf.DUMMYFUNCTION("IFERROR(VLOOKUP(C628,IMPORTRANGE(""https://docs.google.com/spreadsheets/d/1HZUHB8NvANAZR0sHDmHYVAm2WE9kNv0pGIQA48Ryim8/edit?gid=1285727875#gid=1285727875"",""Sheet1!A2:G""),7,0))"),502.19)</f>
        <v>502.19</v>
      </c>
      <c r="L628" s="62">
        <f t="shared" si="99"/>
        <v>3.36526016</v>
      </c>
      <c r="M628" s="60">
        <f>IFERROR(__xludf.DUMMYFUNCTION("IFERROR(VLOOKUP(C628,IMPORTRANGE(""https://docs.google.com/spreadsheets/d/1HZUHB8NvANAZR0sHDmHYVAm2WE9kNv0pGIQA48Ryim8/edit?gid=1285727875#gid=1285727875"",""Cost!A2:G""),7,0))"),570.0)</f>
        <v>570</v>
      </c>
      <c r="N628" s="62">
        <f t="shared" si="4"/>
        <v>3.315789474</v>
      </c>
      <c r="O628" s="28"/>
      <c r="P628" s="28"/>
      <c r="Q628" s="28"/>
      <c r="R628" s="28"/>
      <c r="S628" s="28"/>
      <c r="T628" s="28"/>
      <c r="U628" s="65"/>
      <c r="V628" s="28"/>
      <c r="W628" s="65"/>
      <c r="X628" s="66" t="s">
        <v>120</v>
      </c>
      <c r="Y628" s="65" t="str">
        <f t="shared" si="6"/>
        <v>TRANQUIL 7320</v>
      </c>
    </row>
    <row r="629">
      <c r="A629" s="18" t="s">
        <v>1169</v>
      </c>
      <c r="B629" s="91">
        <f t="shared" si="97"/>
        <v>7326</v>
      </c>
      <c r="C629" s="15">
        <v>7326.0</v>
      </c>
      <c r="D629" s="18" t="s">
        <v>125</v>
      </c>
      <c r="E629" s="75">
        <v>1270.0</v>
      </c>
      <c r="F629" s="39">
        <v>1380.0</v>
      </c>
      <c r="G629" s="50">
        <f t="shared" si="98"/>
        <v>0.08661417323</v>
      </c>
      <c r="H629" s="28"/>
      <c r="I629" s="55">
        <f t="shared" si="2"/>
        <v>1426.20502</v>
      </c>
      <c r="J629" s="81"/>
      <c r="K629" s="60">
        <f>IFERROR(__xludf.DUMMYFUNCTION("IFERROR(VLOOKUP(C629,IMPORTRANGE(""https://docs.google.com/spreadsheets/d/1HZUHB8NvANAZR0sHDmHYVAm2WE9kNv0pGIQA48Ryim8/edit?gid=1285727875#gid=1285727875"",""Sheet1!A2:G""),7,0))"),374.89)</f>
        <v>374.89</v>
      </c>
      <c r="L629" s="62">
        <f t="shared" si="99"/>
        <v>3.38766038</v>
      </c>
      <c r="M629" s="60">
        <f>IFERROR(__xludf.DUMMYFUNCTION("IFERROR(VLOOKUP(C629,IMPORTRANGE(""https://docs.google.com/spreadsheets/d/1HZUHB8NvANAZR0sHDmHYVAm2WE9kNv0pGIQA48Ryim8/edit?gid=1285727875#gid=1285727875"",""Cost!A2:G""),7,0))"),421.0)</f>
        <v>421</v>
      </c>
      <c r="N629" s="62">
        <f t="shared" si="4"/>
        <v>3.277909739</v>
      </c>
      <c r="O629" s="28"/>
      <c r="P629" s="28"/>
      <c r="Q629" s="28"/>
      <c r="R629" s="28"/>
      <c r="S629" s="28"/>
      <c r="T629" s="28"/>
      <c r="U629" s="65"/>
      <c r="V629" s="28"/>
      <c r="W629" s="65"/>
      <c r="X629" s="66" t="s">
        <v>123</v>
      </c>
      <c r="Y629" s="65" t="str">
        <f t="shared" si="6"/>
        <v>TRANQUIL 7326</v>
      </c>
    </row>
    <row r="630">
      <c r="A630" s="18" t="s">
        <v>1169</v>
      </c>
      <c r="B630" s="91">
        <f t="shared" si="97"/>
        <v>7328</v>
      </c>
      <c r="C630" s="15">
        <v>7328.0</v>
      </c>
      <c r="D630" s="18" t="s">
        <v>132</v>
      </c>
      <c r="E630" s="75">
        <v>1270.0</v>
      </c>
      <c r="F630" s="39">
        <v>1360.0</v>
      </c>
      <c r="G630" s="50">
        <f t="shared" si="98"/>
        <v>0.07086614173</v>
      </c>
      <c r="H630" s="28"/>
      <c r="I630" s="55">
        <f t="shared" si="2"/>
        <v>1422.502904</v>
      </c>
      <c r="J630" s="81"/>
      <c r="K630" s="60">
        <f>IFERROR(__xludf.DUMMYFUNCTION("IFERROR(VLOOKUP(C630,IMPORTRANGE(""https://docs.google.com/spreadsheets/d/1HZUHB8NvANAZR0sHDmHYVAm2WE9kNv0pGIQA48Ryim8/edit?gid=1285727875#gid=1285727875"",""Sheet1!A2:G""),7,0))"),335.69)</f>
        <v>335.69</v>
      </c>
      <c r="L630" s="62">
        <f t="shared" si="99"/>
        <v>3.783252405</v>
      </c>
      <c r="M630" s="60">
        <f>IFERROR(__xludf.DUMMYFUNCTION("IFERROR(VLOOKUP(C630,IMPORTRANGE(""https://docs.google.com/spreadsheets/d/1HZUHB8NvANAZR0sHDmHYVAm2WE9kNv0pGIQA48Ryim8/edit?gid=1285727875#gid=1285727875"",""Cost!A2:G""),7,0))"),376.0)</f>
        <v>376</v>
      </c>
      <c r="N630" s="62">
        <f t="shared" si="4"/>
        <v>3.617021277</v>
      </c>
      <c r="O630" s="28"/>
      <c r="P630" s="28"/>
      <c r="Q630" s="28"/>
      <c r="R630" s="28"/>
      <c r="S630" s="28"/>
      <c r="T630" s="28"/>
      <c r="U630" s="65"/>
      <c r="V630" s="28"/>
      <c r="W630" s="65"/>
      <c r="X630" s="66" t="s">
        <v>130</v>
      </c>
      <c r="Y630" s="65" t="str">
        <f t="shared" si="6"/>
        <v>TRANQUIL 7328</v>
      </c>
    </row>
    <row r="631">
      <c r="A631" s="18" t="s">
        <v>1169</v>
      </c>
      <c r="B631" s="91">
        <f t="shared" si="97"/>
        <v>7350</v>
      </c>
      <c r="C631" s="15">
        <v>7350.0</v>
      </c>
      <c r="D631" s="18" t="s">
        <v>136</v>
      </c>
      <c r="E631" s="39">
        <v>4980.0</v>
      </c>
      <c r="F631" s="39">
        <v>5480.0</v>
      </c>
      <c r="G631" s="50">
        <f t="shared" si="98"/>
        <v>0.1004016064</v>
      </c>
      <c r="H631" s="28"/>
      <c r="I631" s="55">
        <f t="shared" si="2"/>
        <v>5576.516124</v>
      </c>
      <c r="J631" s="81"/>
      <c r="K631" s="60">
        <f>IFERROR(__xludf.DUMMYFUNCTION("IFERROR(VLOOKUP(C631,IMPORTRANGE(""https://docs.google.com/spreadsheets/d/1HZUHB8NvANAZR0sHDmHYVAm2WE9kNv0pGIQA48Ryim8/edit?gid=1285727875#gid=1285727875"",""Sheet1!A2:G""),7,0))"),1426.17)</f>
        <v>1426.17</v>
      </c>
      <c r="L631" s="62">
        <f t="shared" si="99"/>
        <v>3.491869833</v>
      </c>
      <c r="M631" s="60">
        <f>IFERROR(__xludf.DUMMYFUNCTION("IFERROR(VLOOKUP(C631,IMPORTRANGE(""https://docs.google.com/spreadsheets/d/1HZUHB8NvANAZR0sHDmHYVAm2WE9kNv0pGIQA48Ryim8/edit?gid=1285727875#gid=1285727875"",""Cost!A2:G""),7,0))"),1597.0)</f>
        <v>1597</v>
      </c>
      <c r="N631" s="62">
        <f t="shared" si="4"/>
        <v>3.431433939</v>
      </c>
      <c r="O631" s="28"/>
      <c r="P631" s="28"/>
      <c r="Q631" s="28"/>
      <c r="R631" s="28"/>
      <c r="S631" s="28"/>
      <c r="T631" s="28"/>
      <c r="U631" s="65"/>
      <c r="V631" s="28"/>
      <c r="W631" s="65"/>
      <c r="X631" s="66" t="s">
        <v>134</v>
      </c>
      <c r="Y631" s="65" t="str">
        <f t="shared" si="6"/>
        <v>TRANQUIL 7350</v>
      </c>
    </row>
    <row r="632">
      <c r="A632" s="18" t="s">
        <v>1169</v>
      </c>
      <c r="B632" s="91">
        <f t="shared" si="97"/>
        <v>7355</v>
      </c>
      <c r="C632" s="15">
        <v>7355.0</v>
      </c>
      <c r="D632" s="18" t="s">
        <v>164</v>
      </c>
      <c r="E632" s="39">
        <v>5440.0</v>
      </c>
      <c r="F632" s="39">
        <v>5890.0</v>
      </c>
      <c r="G632" s="50">
        <f t="shared" si="98"/>
        <v>0.08272058824</v>
      </c>
      <c r="H632" s="28"/>
      <c r="I632" s="55">
        <f t="shared" si="2"/>
        <v>6383.282504</v>
      </c>
      <c r="J632" s="81"/>
      <c r="K632" s="60">
        <f>IFERROR(__xludf.DUMMYFUNCTION("IFERROR(VLOOKUP(C632,IMPORTRANGE(""https://docs.google.com/spreadsheets/d/1HZUHB8NvANAZR0sHDmHYVAm2WE9kNv0pGIQA48Ryim8/edit?gid=1285727875#gid=1285727875"",""Sheet1!A2:G""),7,0))"),1462.42)</f>
        <v>1462.42</v>
      </c>
      <c r="L632" s="62">
        <f t="shared" si="99"/>
        <v>3.719861599</v>
      </c>
      <c r="M632" s="60">
        <f>IFERROR(__xludf.DUMMYFUNCTION("IFERROR(VLOOKUP(C632,IMPORTRANGE(""https://docs.google.com/spreadsheets/d/1HZUHB8NvANAZR0sHDmHYVAm2WE9kNv0pGIQA48Ryim8/edit?gid=1285727875#gid=1285727875"",""Cost!A2:G""),7,0))"),1716.0)</f>
        <v>1716</v>
      </c>
      <c r="N632" s="62">
        <f t="shared" si="4"/>
        <v>3.432400932</v>
      </c>
      <c r="O632" s="28"/>
      <c r="P632" s="28"/>
      <c r="Q632" s="28"/>
      <c r="R632" s="28"/>
      <c r="S632" s="28"/>
      <c r="T632" s="28"/>
      <c r="U632" s="65"/>
      <c r="V632" s="28"/>
      <c r="W632" s="65"/>
      <c r="X632" s="66" t="s">
        <v>162</v>
      </c>
      <c r="Y632" s="65" t="str">
        <f t="shared" si="6"/>
        <v>TRANQUIL 7355</v>
      </c>
    </row>
    <row r="633">
      <c r="A633" s="18" t="s">
        <v>1169</v>
      </c>
      <c r="B633" s="91">
        <f t="shared" si="97"/>
        <v>7370</v>
      </c>
      <c r="C633" s="15">
        <v>7370.0</v>
      </c>
      <c r="D633" s="18" t="s">
        <v>186</v>
      </c>
      <c r="E633" s="39">
        <v>6980.0</v>
      </c>
      <c r="F633" s="39">
        <v>7680.0</v>
      </c>
      <c r="G633" s="50">
        <f t="shared" si="98"/>
        <v>0.100286533</v>
      </c>
      <c r="H633" s="28"/>
      <c r="I633" s="55">
        <f t="shared" si="2"/>
        <v>8037.447292</v>
      </c>
      <c r="J633" s="81"/>
      <c r="K633" s="60">
        <f>IFERROR(__xludf.DUMMYFUNCTION("IFERROR(VLOOKUP(C633,IMPORTRANGE(""https://docs.google.com/spreadsheets/d/1HZUHB8NvANAZR0sHDmHYVAm2WE9kNv0pGIQA48Ryim8/edit?gid=1285727875#gid=1285727875"",""Sheet1!A2:G""),7,0))"),2008.69)</f>
        <v>2008.69</v>
      </c>
      <c r="L633" s="62">
        <f t="shared" si="99"/>
        <v>3.474901553</v>
      </c>
      <c r="M633" s="60">
        <f>IFERROR(__xludf.DUMMYFUNCTION("IFERROR(VLOOKUP(C633,IMPORTRANGE(""https://docs.google.com/spreadsheets/d/1HZUHB8NvANAZR0sHDmHYVAm2WE9kNv0pGIQA48Ryim8/edit?gid=1285727875#gid=1285727875"",""Cost!A2:G""),7,0))"),2313.0)</f>
        <v>2313</v>
      </c>
      <c r="N633" s="62">
        <f t="shared" si="4"/>
        <v>3.320363165</v>
      </c>
      <c r="O633" s="28"/>
      <c r="P633" s="28"/>
      <c r="Q633" s="28"/>
      <c r="R633" s="28"/>
      <c r="S633" s="28"/>
      <c r="T633" s="28"/>
      <c r="U633" s="65"/>
      <c r="V633" s="28"/>
      <c r="W633" s="65"/>
      <c r="X633" s="66" t="s">
        <v>184</v>
      </c>
      <c r="Y633" s="65" t="str">
        <f t="shared" si="6"/>
        <v>TRANQUIL 7370</v>
      </c>
    </row>
    <row r="634">
      <c r="A634" s="18" t="s">
        <v>1169</v>
      </c>
      <c r="B634" s="91">
        <f t="shared" si="97"/>
        <v>7375</v>
      </c>
      <c r="C634" s="15">
        <v>7375.0</v>
      </c>
      <c r="D634" s="18" t="s">
        <v>196</v>
      </c>
      <c r="E634" s="39">
        <v>6980.0</v>
      </c>
      <c r="F634" s="39">
        <v>7680.0</v>
      </c>
      <c r="G634" s="50">
        <f t="shared" si="98"/>
        <v>0.100286533</v>
      </c>
      <c r="H634" s="28"/>
      <c r="I634" s="55">
        <f t="shared" si="2"/>
        <v>8027.453818</v>
      </c>
      <c r="J634" s="81"/>
      <c r="K634" s="60">
        <f>IFERROR(__xludf.DUMMYFUNCTION("IFERROR(VLOOKUP(C634,IMPORTRANGE(""https://docs.google.com/spreadsheets/d/1HZUHB8NvANAZR0sHDmHYVAm2WE9kNv0pGIQA48Ryim8/edit?gid=1285727875#gid=1285727875"",""Sheet1!A2:G""),7,0))"),1976.41)</f>
        <v>1976.41</v>
      </c>
      <c r="L634" s="62">
        <f t="shared" si="99"/>
        <v>3.531655881</v>
      </c>
      <c r="M634" s="60">
        <f>IFERROR(__xludf.DUMMYFUNCTION("IFERROR(VLOOKUP(C634,IMPORTRANGE(""https://docs.google.com/spreadsheets/d/1HZUHB8NvANAZR0sHDmHYVAm2WE9kNv0pGIQA48Ryim8/edit?gid=1285727875#gid=1285727875"",""Cost!A2:G""),7,0))"),2273.0)</f>
        <v>2273</v>
      </c>
      <c r="N634" s="62">
        <f t="shared" si="4"/>
        <v>3.378794545</v>
      </c>
      <c r="O634" s="28"/>
      <c r="P634" s="28"/>
      <c r="Q634" s="28"/>
      <c r="R634" s="28"/>
      <c r="S634" s="28"/>
      <c r="T634" s="28"/>
      <c r="U634" s="65"/>
      <c r="V634" s="28"/>
      <c r="W634" s="65"/>
      <c r="X634" s="66" t="s">
        <v>194</v>
      </c>
      <c r="Y634" s="65" t="str">
        <f t="shared" si="6"/>
        <v>TRANQUIL 7375</v>
      </c>
    </row>
    <row r="635">
      <c r="A635" s="18" t="s">
        <v>1169</v>
      </c>
      <c r="B635" s="91">
        <f t="shared" si="97"/>
        <v>7380</v>
      </c>
      <c r="C635" s="15">
        <v>7380.0</v>
      </c>
      <c r="D635" s="18" t="s">
        <v>205</v>
      </c>
      <c r="E635" s="39">
        <v>7740.0</v>
      </c>
      <c r="F635" s="39">
        <v>8680.0</v>
      </c>
      <c r="G635" s="50">
        <f t="shared" si="98"/>
        <v>0.1214470284</v>
      </c>
      <c r="H635" s="28"/>
      <c r="I635" s="55">
        <f t="shared" si="2"/>
        <v>8871.049902</v>
      </c>
      <c r="J635" s="81"/>
      <c r="K635" s="60">
        <f>IFERROR(__xludf.DUMMYFUNCTION("IFERROR(VLOOKUP(C635,IMPORTRANGE(""https://docs.google.com/spreadsheets/d/1HZUHB8NvANAZR0sHDmHYVAm2WE9kNv0pGIQA48Ryim8/edit?gid=1285727875#gid=1285727875"",""Sheet1!A2:G""),7,0))"),2159.44)</f>
        <v>2159.44</v>
      </c>
      <c r="L635" s="62">
        <f t="shared" si="99"/>
        <v>3.584262587</v>
      </c>
      <c r="M635" s="60">
        <f>IFERROR(__xludf.DUMMYFUNCTION("IFERROR(VLOOKUP(C635,IMPORTRANGE(""https://docs.google.com/spreadsheets/d/1HZUHB8NvANAZR0sHDmHYVAm2WE9kNv0pGIQA48Ryim8/edit?gid=1285727875#gid=1285727875"",""Cost!A2:G""),7,0))"),2475.0)</f>
        <v>2475</v>
      </c>
      <c r="N635" s="62">
        <f t="shared" si="4"/>
        <v>3.507070707</v>
      </c>
      <c r="O635" s="28"/>
      <c r="P635" s="28"/>
      <c r="Q635" s="28"/>
      <c r="R635" s="28"/>
      <c r="S635" s="28"/>
      <c r="T635" s="28"/>
      <c r="U635" s="65"/>
      <c r="V635" s="28"/>
      <c r="W635" s="65"/>
      <c r="X635" s="66" t="s">
        <v>203</v>
      </c>
      <c r="Y635" s="65" t="str">
        <f t="shared" si="6"/>
        <v>TRANQUIL 7380</v>
      </c>
    </row>
    <row r="636">
      <c r="A636" s="18" t="s">
        <v>1169</v>
      </c>
      <c r="B636" s="91">
        <f t="shared" si="97"/>
        <v>7398</v>
      </c>
      <c r="C636" s="15">
        <v>7398.0</v>
      </c>
      <c r="D636" s="18" t="s">
        <v>272</v>
      </c>
      <c r="E636" s="39">
        <v>2380.0</v>
      </c>
      <c r="F636" s="39">
        <v>2580.0</v>
      </c>
      <c r="G636" s="50">
        <f t="shared" si="98"/>
        <v>0.08403361345</v>
      </c>
      <c r="H636" s="28"/>
      <c r="I636" s="55">
        <f t="shared" si="2"/>
        <v>2625.838901</v>
      </c>
      <c r="J636" s="81"/>
      <c r="K636" s="60">
        <f>IFERROR(__xludf.DUMMYFUNCTION("IFERROR(VLOOKUP(C636,IMPORTRANGE(""https://docs.google.com/spreadsheets/d/1HZUHB8NvANAZR0sHDmHYVAm2WE9kNv0pGIQA48Ryim8/edit?gid=1285727875#gid=1285727875"",""Sheet1!A2:G""),7,0))"),677.97)</f>
        <v>677.97</v>
      </c>
      <c r="L636" s="62">
        <f t="shared" si="99"/>
        <v>3.510479815</v>
      </c>
      <c r="M636" s="60">
        <f>IFERROR(__xludf.DUMMYFUNCTION("IFERROR(VLOOKUP(C636,IMPORTRANGE(""https://docs.google.com/spreadsheets/d/1HZUHB8NvANAZR0sHDmHYVAm2WE9kNv0pGIQA48Ryim8/edit?gid=1285727875#gid=1285727875"",""Cost!A2:G""),7,0))"),748.0)</f>
        <v>748</v>
      </c>
      <c r="N636" s="62">
        <f t="shared" si="4"/>
        <v>3.449197861</v>
      </c>
      <c r="O636" s="28"/>
      <c r="P636" s="28"/>
      <c r="Q636" s="28"/>
      <c r="R636" s="28"/>
      <c r="S636" s="28"/>
      <c r="T636" s="28"/>
      <c r="U636" s="65"/>
      <c r="V636" s="28"/>
      <c r="W636" s="65"/>
      <c r="X636" s="66" t="s">
        <v>271</v>
      </c>
      <c r="Y636" s="65" t="str">
        <f t="shared" si="6"/>
        <v>TRANQUIL 7398</v>
      </c>
    </row>
    <row r="637">
      <c r="A637" s="18" t="s">
        <v>1183</v>
      </c>
      <c r="B637" s="91">
        <f t="shared" si="97"/>
        <v>7702</v>
      </c>
      <c r="C637" s="15">
        <v>7702.0</v>
      </c>
      <c r="D637" s="18" t="s">
        <v>15</v>
      </c>
      <c r="E637" s="39">
        <v>1790.0</v>
      </c>
      <c r="F637" s="39">
        <v>1980.0</v>
      </c>
      <c r="G637" s="50">
        <f t="shared" si="98"/>
        <v>0.1061452514</v>
      </c>
      <c r="H637" s="28"/>
      <c r="I637" s="55">
        <f t="shared" si="2"/>
        <v>2022.033669</v>
      </c>
      <c r="J637" s="81"/>
      <c r="K637" s="60">
        <f>IFERROR(__xludf.DUMMYFUNCTION("IFERROR(VLOOKUP(C637,IMPORTRANGE(""https://docs.google.com/spreadsheets/d/1HZUHB8NvANAZR0sHDmHYVAm2WE9kNv0pGIQA48Ryim8/edit?gid=1285727875#gid=1285727875"",""Sheet1!A2:G""),7,0))"),590.46)</f>
        <v>590.46</v>
      </c>
      <c r="L637" s="62">
        <f t="shared" si="99"/>
        <v>3.031534736</v>
      </c>
      <c r="M637" s="60">
        <f>IFERROR(__xludf.DUMMYFUNCTION("IFERROR(VLOOKUP(C637,IMPORTRANGE(""https://docs.google.com/spreadsheets/d/1HZUHB8NvANAZR0sHDmHYVAm2WE9kNv0pGIQA48Ryim8/edit?gid=1285727875#gid=1285727875"",""Cost!A2:G""),7,0))"),667.0)</f>
        <v>667</v>
      </c>
      <c r="N637" s="62">
        <f t="shared" si="4"/>
        <v>2.968515742</v>
      </c>
      <c r="O637" s="28"/>
      <c r="P637" s="28"/>
      <c r="Q637" s="28"/>
      <c r="R637" s="28"/>
      <c r="S637" s="28"/>
      <c r="T637" s="28"/>
      <c r="U637" s="65"/>
      <c r="V637" s="28"/>
      <c r="W637" s="65"/>
      <c r="X637" s="66" t="s">
        <v>303</v>
      </c>
      <c r="Y637" s="65" t="str">
        <f t="shared" si="6"/>
        <v>FROST 7702</v>
      </c>
    </row>
    <row r="638">
      <c r="A638" s="18" t="s">
        <v>1183</v>
      </c>
      <c r="B638" s="91">
        <f t="shared" si="97"/>
        <v>7703</v>
      </c>
      <c r="C638" s="15">
        <v>7703.0</v>
      </c>
      <c r="D638" s="18" t="s">
        <v>30</v>
      </c>
      <c r="E638" s="39">
        <v>3680.0</v>
      </c>
      <c r="F638" s="39">
        <v>3990.0</v>
      </c>
      <c r="G638" s="50">
        <f t="shared" si="98"/>
        <v>0.08423913043</v>
      </c>
      <c r="H638" s="28"/>
      <c r="I638" s="55">
        <f t="shared" si="2"/>
        <v>4130.899645</v>
      </c>
      <c r="J638" s="81"/>
      <c r="K638" s="60">
        <f>IFERROR(__xludf.DUMMYFUNCTION("IFERROR(VLOOKUP(C638,IMPORTRANGE(""https://docs.google.com/spreadsheets/d/1HZUHB8NvANAZR0sHDmHYVAm2WE9kNv0pGIQA48Ryim8/edit?gid=1285727875#gid=1285727875"",""Sheet1!A2:G""),7,0))"),1293.51)</f>
        <v>1293.51</v>
      </c>
      <c r="L638" s="62">
        <f t="shared" si="99"/>
        <v>2.844972207</v>
      </c>
      <c r="M638" s="60">
        <f>IFERROR(__xludf.DUMMYFUNCTION("IFERROR(VLOOKUP(C638,IMPORTRANGE(""https://docs.google.com/spreadsheets/d/1HZUHB8NvANAZR0sHDmHYVAm2WE9kNv0pGIQA48Ryim8/edit?gid=1285727875#gid=1285727875"",""Cost!A2:G""),7,0))"),1452.0)</f>
        <v>1452</v>
      </c>
      <c r="N638" s="62">
        <f t="shared" si="4"/>
        <v>2.747933884</v>
      </c>
      <c r="O638" s="28"/>
      <c r="P638" s="28"/>
      <c r="Q638" s="28"/>
      <c r="R638" s="28"/>
      <c r="S638" s="28"/>
      <c r="T638" s="28"/>
      <c r="U638" s="65"/>
      <c r="V638" s="28"/>
      <c r="W638" s="65"/>
      <c r="X638" s="66" t="s">
        <v>306</v>
      </c>
      <c r="Y638" s="65" t="str">
        <f t="shared" si="6"/>
        <v>FROST 7703</v>
      </c>
    </row>
    <row r="639">
      <c r="A639" s="18" t="s">
        <v>1183</v>
      </c>
      <c r="B639" s="91">
        <f t="shared" si="97"/>
        <v>7704</v>
      </c>
      <c r="C639" s="15">
        <v>7704.0</v>
      </c>
      <c r="D639" s="18" t="s">
        <v>46</v>
      </c>
      <c r="E639" s="39">
        <v>2480.0</v>
      </c>
      <c r="F639" s="39">
        <v>2680.0</v>
      </c>
      <c r="G639" s="50">
        <f t="shared" si="98"/>
        <v>0.08064516129</v>
      </c>
      <c r="H639" s="28"/>
      <c r="I639" s="55">
        <f t="shared" si="2"/>
        <v>2797.890849</v>
      </c>
      <c r="J639" s="81"/>
      <c r="K639" s="60">
        <f>IFERROR(__xludf.DUMMYFUNCTION("IFERROR(VLOOKUP(C639,IMPORTRANGE(""https://docs.google.com/spreadsheets/d/1HZUHB8NvANAZR0sHDmHYVAm2WE9kNv0pGIQA48Ryim8/edit?gid=1285727875#gid=1285727875"",""Sheet1!A2:G""),7,0))"),747.22)</f>
        <v>747.22</v>
      </c>
      <c r="L639" s="62">
        <f t="shared" si="99"/>
        <v>3.318968978</v>
      </c>
      <c r="M639" s="60">
        <f>IFERROR(__xludf.DUMMYFUNCTION("IFERROR(VLOOKUP(C639,IMPORTRANGE(""https://docs.google.com/spreadsheets/d/1HZUHB8NvANAZR0sHDmHYVAm2WE9kNv0pGIQA48Ryim8/edit?gid=1285727875#gid=1285727875"",""Cost!A2:G""),7,0))"),843.0)</f>
        <v>843</v>
      </c>
      <c r="N639" s="62">
        <f t="shared" si="4"/>
        <v>3.179122183</v>
      </c>
      <c r="O639" s="28"/>
      <c r="P639" s="28"/>
      <c r="Q639" s="28"/>
      <c r="R639" s="28"/>
      <c r="S639" s="28"/>
      <c r="T639" s="28"/>
      <c r="U639" s="65"/>
      <c r="V639" s="28"/>
      <c r="W639" s="65"/>
      <c r="X639" s="66" t="s">
        <v>309</v>
      </c>
      <c r="Y639" s="65" t="str">
        <f t="shared" si="6"/>
        <v>FROST 7704</v>
      </c>
    </row>
    <row r="640">
      <c r="A640" s="18" t="s">
        <v>1183</v>
      </c>
      <c r="B640" s="91">
        <f t="shared" si="97"/>
        <v>7706</v>
      </c>
      <c r="C640" s="15">
        <v>7706.0</v>
      </c>
      <c r="D640" s="18" t="s">
        <v>67</v>
      </c>
      <c r="E640" s="39">
        <v>1490.0</v>
      </c>
      <c r="F640" s="39">
        <v>1680.0</v>
      </c>
      <c r="G640" s="50">
        <f t="shared" si="98"/>
        <v>0.1275167785</v>
      </c>
      <c r="H640" s="28"/>
      <c r="I640" s="55">
        <f t="shared" si="2"/>
        <v>1677.08934</v>
      </c>
      <c r="J640" s="81"/>
      <c r="K640" s="60">
        <f>IFERROR(__xludf.DUMMYFUNCTION("IFERROR(VLOOKUP(C640,IMPORTRANGE(""https://docs.google.com/spreadsheets/d/1HZUHB8NvANAZR0sHDmHYVAm2WE9kNv0pGIQA48Ryim8/edit?gid=1285727875#gid=1285727875"",""Sheet1!A2:G""),7,0))"),468.21)</f>
        <v>468.21</v>
      </c>
      <c r="L640" s="62">
        <f t="shared" si="99"/>
        <v>3.182332714</v>
      </c>
      <c r="M640" s="60">
        <f>IFERROR(__xludf.DUMMYFUNCTION("IFERROR(VLOOKUP(C640,IMPORTRANGE(""https://docs.google.com/spreadsheets/d/1HZUHB8NvANAZR0sHDmHYVAm2WE9kNv0pGIQA48Ryim8/edit?gid=1285727875#gid=1285727875"",""Cost!A2:G""),7,0))"),527.0)</f>
        <v>527</v>
      </c>
      <c r="N640" s="62">
        <f t="shared" si="4"/>
        <v>3.187855787</v>
      </c>
      <c r="O640" s="28"/>
      <c r="P640" s="28"/>
      <c r="Q640" s="28"/>
      <c r="R640" s="28"/>
      <c r="S640" s="28"/>
      <c r="T640" s="28"/>
      <c r="U640" s="65"/>
      <c r="V640" s="28"/>
      <c r="W640" s="65"/>
      <c r="X640" s="66" t="s">
        <v>311</v>
      </c>
      <c r="Y640" s="65" t="str">
        <f t="shared" si="6"/>
        <v>FROST 7706</v>
      </c>
    </row>
    <row r="641">
      <c r="A641" s="18" t="s">
        <v>1183</v>
      </c>
      <c r="B641" s="91">
        <f t="shared" si="97"/>
        <v>7707</v>
      </c>
      <c r="C641" s="15">
        <v>7707.0</v>
      </c>
      <c r="D641" s="173" t="s">
        <v>71</v>
      </c>
      <c r="E641" s="75">
        <f t="shared" ref="E641:F641" si="101">SUM(E642:E643)</f>
        <v>2780</v>
      </c>
      <c r="F641" s="75">
        <f t="shared" si="101"/>
        <v>2980</v>
      </c>
      <c r="G641" s="50">
        <f t="shared" si="98"/>
        <v>0.07194244604</v>
      </c>
      <c r="H641" s="28"/>
      <c r="I641" s="55">
        <f t="shared" si="2"/>
        <v>3012.620539</v>
      </c>
      <c r="J641" s="81"/>
      <c r="K641" s="60">
        <f>IFERROR(__xludf.DUMMYFUNCTION("IFERROR(VLOOKUP(C641,IMPORTRANGE(""https://docs.google.com/spreadsheets/d/1HZUHB8NvANAZR0sHDmHYVAm2WE9kNv0pGIQA48Ryim8/edit?gid=1285727875#gid=1285727875"",""Sheet1!A2:G""),7,0))"),745.61)</f>
        <v>745.61</v>
      </c>
      <c r="L641" s="62">
        <f t="shared" si="99"/>
        <v>3.728490766</v>
      </c>
      <c r="M641" s="60">
        <f>IFERROR(__xludf.DUMMYFUNCTION("IFERROR(VLOOKUP(C641,IMPORTRANGE(""https://docs.google.com/spreadsheets/d/1HZUHB8NvANAZR0sHDmHYVAm2WE9kNv0pGIQA48Ryim8/edit?gid=1285727875#gid=1285727875"",""Cost!A2:G""),7,0))"),808.0)</f>
        <v>808</v>
      </c>
      <c r="N641" s="62">
        <f t="shared" si="4"/>
        <v>3.688118812</v>
      </c>
      <c r="O641" s="28"/>
      <c r="P641" s="28"/>
      <c r="Q641" s="28"/>
      <c r="R641" s="28"/>
      <c r="S641" s="28"/>
      <c r="T641" s="28"/>
      <c r="U641" s="65"/>
      <c r="V641" s="28"/>
      <c r="W641" s="65"/>
      <c r="X641" s="66" t="s">
        <v>315</v>
      </c>
      <c r="Y641" s="65" t="str">
        <f t="shared" si="6"/>
        <v>FROST 7707</v>
      </c>
    </row>
    <row r="642">
      <c r="A642" s="18" t="s">
        <v>1183</v>
      </c>
      <c r="B642" s="91" t="str">
        <f t="shared" si="97"/>
        <v>CP-07</v>
      </c>
      <c r="C642" s="91" t="s">
        <v>73</v>
      </c>
      <c r="D642" s="173" t="s">
        <v>74</v>
      </c>
      <c r="E642" s="93">
        <v>1390.0</v>
      </c>
      <c r="F642" s="39">
        <v>1490.0</v>
      </c>
      <c r="G642" s="50">
        <f t="shared" si="98"/>
        <v>0.07194244604</v>
      </c>
      <c r="H642" s="28"/>
      <c r="I642" s="55">
        <f t="shared" si="2"/>
        <v>1515.459624</v>
      </c>
      <c r="J642" s="81"/>
      <c r="K642" s="60">
        <f>IFERROR(__xludf.DUMMYFUNCTION("IFERROR(VLOOKUP(C642,IMPORTRANGE(""https://docs.google.com/spreadsheets/d/1HZUHB8NvANAZR0sHDmHYVAm2WE9kNv0pGIQA48Ryim8/edit?gid=1285727875#gid=1285727875"",""Sheet1!A2:G""),7,0))"),408.16)</f>
        <v>408.16</v>
      </c>
      <c r="L642" s="62">
        <f t="shared" si="99"/>
        <v>3.405527244</v>
      </c>
      <c r="M642" s="60">
        <f>IFERROR(__xludf.DUMMYFUNCTION("IFERROR(VLOOKUP(C642,IMPORTRANGE(""https://docs.google.com/spreadsheets/d/1HZUHB8NvANAZR0sHDmHYVAm2WE9kNv0pGIQA48Ryim8/edit?gid=1285727875#gid=1285727875"",""Cost!A2:G""),7,0))"),445.0)</f>
        <v>445</v>
      </c>
      <c r="N642" s="62">
        <f t="shared" si="4"/>
        <v>3.348314607</v>
      </c>
      <c r="O642" s="28"/>
      <c r="P642" s="28"/>
      <c r="Q642" s="28"/>
      <c r="R642" s="28"/>
      <c r="S642" s="28"/>
      <c r="T642" s="28"/>
      <c r="U642" s="65"/>
      <c r="V642" s="28"/>
      <c r="W642" s="65"/>
      <c r="X642" s="66" t="s">
        <v>73</v>
      </c>
      <c r="Y642" s="65" t="str">
        <f t="shared" si="6"/>
        <v>FROST 77CP-07</v>
      </c>
    </row>
    <row r="643">
      <c r="A643" s="18" t="s">
        <v>1183</v>
      </c>
      <c r="B643" s="91" t="str">
        <f t="shared" si="97"/>
        <v>CP-77</v>
      </c>
      <c r="C643" s="15" t="s">
        <v>1184</v>
      </c>
      <c r="D643" s="173" t="s">
        <v>78</v>
      </c>
      <c r="E643" s="93">
        <v>1390.0</v>
      </c>
      <c r="F643" s="39">
        <v>1490.0</v>
      </c>
      <c r="G643" s="50">
        <f t="shared" si="98"/>
        <v>0.07194244604</v>
      </c>
      <c r="H643" s="28"/>
      <c r="I643" s="55">
        <f t="shared" si="2"/>
        <v>1415.25922</v>
      </c>
      <c r="J643" s="81"/>
      <c r="K643" s="60">
        <f>IFERROR(__xludf.DUMMYFUNCTION("IFERROR(VLOOKUP(C643,IMPORTRANGE(""https://docs.google.com/spreadsheets/d/1HZUHB8NvANAZR0sHDmHYVAm2WE9kNv0pGIQA48Ryim8/edit?gid=1285727875#gid=1285727875"",""Sheet1!A2:G""),7,0))"),374.2)</f>
        <v>374.2</v>
      </c>
      <c r="L643" s="62">
        <f t="shared" si="99"/>
        <v>3.714591128</v>
      </c>
      <c r="M643" s="60">
        <f>IFERROR(__xludf.DUMMYFUNCTION("IFERROR(VLOOKUP(C643,IMPORTRANGE(""https://docs.google.com/spreadsheets/d/1HZUHB8NvANAZR0sHDmHYVAm2WE9kNv0pGIQA48Ryim8/edit?gid=1285727875#gid=1285727875"",""Cost!A2:G""),7,0))"),381.0)</f>
        <v>381</v>
      </c>
      <c r="N643" s="62">
        <f t="shared" si="4"/>
        <v>3.910761155</v>
      </c>
      <c r="O643" s="28"/>
      <c r="P643" s="28"/>
      <c r="Q643" s="28"/>
      <c r="R643" s="28"/>
      <c r="S643" s="28"/>
      <c r="T643" s="28"/>
      <c r="U643" s="65"/>
      <c r="V643" s="28"/>
      <c r="W643" s="65"/>
      <c r="X643" s="66" t="s">
        <v>77</v>
      </c>
      <c r="Y643" s="65" t="str">
        <f t="shared" si="6"/>
        <v>FROST 77CP</v>
      </c>
    </row>
    <row r="644">
      <c r="A644" s="18" t="s">
        <v>1183</v>
      </c>
      <c r="B644" s="91">
        <f t="shared" si="97"/>
        <v>7708</v>
      </c>
      <c r="C644" s="15">
        <v>7708.0</v>
      </c>
      <c r="D644" s="18" t="s">
        <v>81</v>
      </c>
      <c r="E644" s="39">
        <v>1880.0</v>
      </c>
      <c r="F644" s="39">
        <v>1990.0</v>
      </c>
      <c r="G644" s="50">
        <f t="shared" si="98"/>
        <v>0.0585106383</v>
      </c>
      <c r="H644" s="101"/>
      <c r="I644" s="55">
        <f t="shared" si="2"/>
        <v>2109.357988</v>
      </c>
      <c r="J644" s="81"/>
      <c r="K644" s="60">
        <f>IFERROR(__xludf.DUMMYFUNCTION("IFERROR(VLOOKUP(C644,IMPORTRANGE(""https://docs.google.com/spreadsheets/d/1HZUHB8NvANAZR0sHDmHYVAm2WE9kNv0pGIQA48Ryim8/edit?gid=1285727875#gid=1285727875"",""Sheet1!A2:G""),7,0))"),541.89)</f>
        <v>541.89</v>
      </c>
      <c r="L644" s="62">
        <f t="shared" si="99"/>
        <v>3.469338796</v>
      </c>
      <c r="M644" s="60">
        <f>IFERROR(__xludf.DUMMYFUNCTION("IFERROR(VLOOKUP(C644,IMPORTRANGE(""https://docs.google.com/spreadsheets/d/1HZUHB8NvANAZR0sHDmHYVAm2WE9kNv0pGIQA48Ryim8/edit?gid=1285727875#gid=1285727875"",""Cost!A2:G""),7,0))"),608.0)</f>
        <v>608</v>
      </c>
      <c r="N644" s="62">
        <f t="shared" si="4"/>
        <v>3.273026316</v>
      </c>
      <c r="O644" s="28"/>
      <c r="P644" s="28"/>
      <c r="Q644" s="28"/>
      <c r="R644" s="28"/>
      <c r="S644" s="28"/>
      <c r="T644" s="28"/>
      <c r="U644" s="65"/>
      <c r="V644" s="28"/>
      <c r="W644" s="65"/>
      <c r="X644" s="66" t="s">
        <v>321</v>
      </c>
      <c r="Y644" s="65" t="str">
        <f t="shared" si="6"/>
        <v>FROST 7708</v>
      </c>
    </row>
    <row r="645">
      <c r="A645" s="18" t="s">
        <v>1183</v>
      </c>
      <c r="B645" s="91">
        <f t="shared" si="97"/>
        <v>7710</v>
      </c>
      <c r="C645" s="15">
        <v>7710.0</v>
      </c>
      <c r="D645" s="18" t="s">
        <v>89</v>
      </c>
      <c r="E645" s="75">
        <v>1380.0</v>
      </c>
      <c r="F645" s="39">
        <v>1490.0</v>
      </c>
      <c r="G645" s="50">
        <f t="shared" si="98"/>
        <v>0.07971014493</v>
      </c>
      <c r="H645" s="28"/>
      <c r="I645" s="55">
        <f t="shared" si="2"/>
        <v>1558.941166</v>
      </c>
      <c r="J645" s="81"/>
      <c r="K645" s="60">
        <f>IFERROR(__xludf.DUMMYFUNCTION("IFERROR(VLOOKUP(C645,IMPORTRANGE(""https://docs.google.com/spreadsheets/d/1HZUHB8NvANAZR0sHDmHYVAm2WE9kNv0pGIQA48Ryim8/edit?gid=1285727875#gid=1285727875"",""Sheet1!A2:G""),7,0))"),327.53)</f>
        <v>327.53</v>
      </c>
      <c r="L645" s="62">
        <f t="shared" si="99"/>
        <v>4.213354502</v>
      </c>
      <c r="M645" s="60">
        <f>IFERROR(__xludf.DUMMYFUNCTION("IFERROR(VLOOKUP(C645,IMPORTRANGE(""https://docs.google.com/spreadsheets/d/1HZUHB8NvANAZR0sHDmHYVAm2WE9kNv0pGIQA48Ryim8/edit?gid=1285727875#gid=1285727875"",""Cost!A2:G""),7,0))"),370.0)</f>
        <v>370</v>
      </c>
      <c r="N645" s="62">
        <f t="shared" si="4"/>
        <v>4.027027027</v>
      </c>
      <c r="O645" s="28"/>
      <c r="P645" s="28"/>
      <c r="Q645" s="28"/>
      <c r="R645" s="28"/>
      <c r="S645" s="28"/>
      <c r="T645" s="28"/>
      <c r="U645" s="65"/>
      <c r="V645" s="28"/>
      <c r="W645" s="65"/>
      <c r="X645" s="66" t="s">
        <v>87</v>
      </c>
      <c r="Y645" s="65" t="str">
        <f t="shared" si="6"/>
        <v>FROST 7710</v>
      </c>
    </row>
    <row r="646">
      <c r="A646" s="18" t="s">
        <v>1183</v>
      </c>
      <c r="B646" s="91">
        <f t="shared" si="97"/>
        <v>7711</v>
      </c>
      <c r="C646" s="15">
        <v>7711.0</v>
      </c>
      <c r="D646" s="18" t="s">
        <v>94</v>
      </c>
      <c r="E646" s="39">
        <v>2080.0</v>
      </c>
      <c r="F646" s="39">
        <v>2340.0</v>
      </c>
      <c r="G646" s="50">
        <f t="shared" si="98"/>
        <v>0.125</v>
      </c>
      <c r="H646" s="28"/>
      <c r="I646" s="55">
        <f t="shared" si="2"/>
        <v>2398.692709</v>
      </c>
      <c r="J646" s="81"/>
      <c r="K646" s="60">
        <f>IFERROR(__xludf.DUMMYFUNCTION("IFERROR(VLOOKUP(C646,IMPORTRANGE(""https://docs.google.com/spreadsheets/d/1HZUHB8NvANAZR0sHDmHYVAm2WE9kNv0pGIQA48Ryim8/edit?gid=1285727875#gid=1285727875"",""Sheet1!A2:G""),7,0))"),642.55)</f>
        <v>642.55</v>
      </c>
      <c r="L646" s="62">
        <f t="shared" si="99"/>
        <v>3.237102171</v>
      </c>
      <c r="M646" s="60">
        <f>IFERROR(__xludf.DUMMYFUNCTION("IFERROR(VLOOKUP(C646,IMPORTRANGE(""https://docs.google.com/spreadsheets/d/1HZUHB8NvANAZR0sHDmHYVAm2WE9kNv0pGIQA48Ryim8/edit?gid=1285727875#gid=1285727875"",""Cost!A2:G""),7,0))"),741.0)</f>
        <v>741</v>
      </c>
      <c r="N646" s="62">
        <f t="shared" si="4"/>
        <v>3.157894737</v>
      </c>
      <c r="O646" s="28"/>
      <c r="P646" s="28"/>
      <c r="Q646" s="28"/>
      <c r="R646" s="28"/>
      <c r="S646" s="28"/>
      <c r="T646" s="28"/>
      <c r="U646" s="65"/>
      <c r="V646" s="28"/>
      <c r="W646" s="65"/>
      <c r="X646" s="66" t="s">
        <v>91</v>
      </c>
      <c r="Y646" s="65" t="str">
        <f t="shared" si="6"/>
        <v>FROST 7711</v>
      </c>
    </row>
    <row r="647">
      <c r="A647" s="18" t="s">
        <v>1183</v>
      </c>
      <c r="B647" s="91">
        <f t="shared" si="97"/>
        <v>7712</v>
      </c>
      <c r="C647" s="15">
        <v>7712.0</v>
      </c>
      <c r="D647" s="18" t="s">
        <v>97</v>
      </c>
      <c r="E647" s="39">
        <v>2480.0</v>
      </c>
      <c r="F647" s="39">
        <v>2780.0</v>
      </c>
      <c r="G647" s="50">
        <f t="shared" si="98"/>
        <v>0.1209677419</v>
      </c>
      <c r="H647" s="28"/>
      <c r="I647" s="55">
        <f t="shared" si="2"/>
        <v>2835.514903</v>
      </c>
      <c r="J647" s="81"/>
      <c r="K647" s="60">
        <f>IFERROR(__xludf.DUMMYFUNCTION("IFERROR(VLOOKUP(C647,IMPORTRANGE(""https://docs.google.com/spreadsheets/d/1HZUHB8NvANAZR0sHDmHYVAm2WE9kNv0pGIQA48Ryim8/edit?gid=1285727875#gid=1285727875"",""Sheet1!A2:G""),7,0))"),760.92)</f>
        <v>760.92</v>
      </c>
      <c r="L647" s="62">
        <f t="shared" si="99"/>
        <v>3.259212532</v>
      </c>
      <c r="M647" s="60">
        <f>IFERROR(__xludf.DUMMYFUNCTION("IFERROR(VLOOKUP(C647,IMPORTRANGE(""https://docs.google.com/spreadsheets/d/1HZUHB8NvANAZR0sHDmHYVAm2WE9kNv0pGIQA48Ryim8/edit?gid=1285727875#gid=1285727875"",""Cost!A2:G""),7,0))"),870.0)</f>
        <v>870</v>
      </c>
      <c r="N647" s="62">
        <f t="shared" si="4"/>
        <v>3.195402299</v>
      </c>
      <c r="O647" s="28"/>
      <c r="P647" s="28"/>
      <c r="Q647" s="28"/>
      <c r="R647" s="28"/>
      <c r="S647" s="28"/>
      <c r="T647" s="28"/>
      <c r="U647" s="65"/>
      <c r="V647" s="28"/>
      <c r="W647" s="65"/>
      <c r="X647" s="66" t="s">
        <v>95</v>
      </c>
      <c r="Y647" s="65" t="str">
        <f t="shared" si="6"/>
        <v>FROST 7712</v>
      </c>
    </row>
    <row r="648">
      <c r="A648" s="18" t="s">
        <v>1183</v>
      </c>
      <c r="B648" s="91">
        <f t="shared" si="97"/>
        <v>7714</v>
      </c>
      <c r="C648" s="15">
        <v>7714.0</v>
      </c>
      <c r="D648" s="18" t="s">
        <v>106</v>
      </c>
      <c r="E648" s="75">
        <v>2680.0</v>
      </c>
      <c r="F648" s="39">
        <v>2940.0</v>
      </c>
      <c r="G648" s="50">
        <f t="shared" si="98"/>
        <v>0.09701492537</v>
      </c>
      <c r="H648" s="28"/>
      <c r="I648" s="55">
        <f t="shared" si="2"/>
        <v>2942.882087</v>
      </c>
      <c r="J648" s="81"/>
      <c r="K648" s="60">
        <f>IFERROR(__xludf.DUMMYFUNCTION("IFERROR(VLOOKUP(C648,IMPORTRANGE(""https://docs.google.com/spreadsheets/d/1HZUHB8NvANAZR0sHDmHYVAm2WE9kNv0pGIQA48Ryim8/edit?gid=1285727875#gid=1285727875"",""Sheet1!A2:G""),7,0))"),813.23)</f>
        <v>813.23</v>
      </c>
      <c r="L648" s="62">
        <f t="shared" si="99"/>
        <v>3.295500658</v>
      </c>
      <c r="M648" s="60">
        <f>IFERROR(__xludf.DUMMYFUNCTION("IFERROR(VLOOKUP(C648,IMPORTRANGE(""https://docs.google.com/spreadsheets/d/1HZUHB8NvANAZR0sHDmHYVAm2WE9kNv0pGIQA48Ryim8/edit?gid=1285727875#gid=1285727875"",""Cost!A2:G""),7,0))"),893.0)</f>
        <v>893</v>
      </c>
      <c r="N648" s="62">
        <f t="shared" si="4"/>
        <v>3.292273236</v>
      </c>
      <c r="O648" s="28"/>
      <c r="P648" s="28"/>
      <c r="Q648" s="28"/>
      <c r="R648" s="28"/>
      <c r="S648" s="28"/>
      <c r="T648" s="28"/>
      <c r="U648" s="65"/>
      <c r="V648" s="28"/>
      <c r="W648" s="65"/>
      <c r="X648" s="66" t="s">
        <v>104</v>
      </c>
      <c r="Y648" s="65" t="str">
        <f t="shared" si="6"/>
        <v>FROST 7714</v>
      </c>
    </row>
    <row r="649">
      <c r="A649" s="18" t="s">
        <v>1183</v>
      </c>
      <c r="B649" s="91">
        <f t="shared" si="97"/>
        <v>7716</v>
      </c>
      <c r="C649" s="15">
        <v>7716.0</v>
      </c>
      <c r="D649" s="18" t="s">
        <v>112</v>
      </c>
      <c r="E649" s="39">
        <v>2380.0</v>
      </c>
      <c r="F649" s="39">
        <v>2580.0</v>
      </c>
      <c r="G649" s="50">
        <f t="shared" si="98"/>
        <v>0.08403361345</v>
      </c>
      <c r="H649" s="28"/>
      <c r="I649" s="55">
        <f t="shared" si="2"/>
        <v>2628.705697</v>
      </c>
      <c r="J649" s="81"/>
      <c r="K649" s="60">
        <f>IFERROR(__xludf.DUMMYFUNCTION("IFERROR(VLOOKUP(C649,IMPORTRANGE(""https://docs.google.com/spreadsheets/d/1HZUHB8NvANAZR0sHDmHYVAm2WE9kNv0pGIQA48Ryim8/edit?gid=1285727875#gid=1285727875"",""Sheet1!A2:G""),7,0))"),710.73)</f>
        <v>710.73</v>
      </c>
      <c r="L649" s="62">
        <f t="shared" si="99"/>
        <v>3.348669678</v>
      </c>
      <c r="M649" s="60">
        <f>IFERROR(__xludf.DUMMYFUNCTION("IFERROR(VLOOKUP(C649,IMPORTRANGE(""https://docs.google.com/spreadsheets/d/1HZUHB8NvANAZR0sHDmHYVAm2WE9kNv0pGIQA48Ryim8/edit?gid=1285727875#gid=1285727875"",""Cost!A2:G""),7,0))"),785.0)</f>
        <v>785</v>
      </c>
      <c r="N649" s="62">
        <f t="shared" si="4"/>
        <v>3.286624204</v>
      </c>
      <c r="O649" s="28"/>
      <c r="P649" s="28"/>
      <c r="Q649" s="28"/>
      <c r="R649" s="28"/>
      <c r="S649" s="28"/>
      <c r="T649" s="28"/>
      <c r="U649" s="65"/>
      <c r="V649" s="28"/>
      <c r="W649" s="65"/>
      <c r="X649" s="66" t="s">
        <v>110</v>
      </c>
      <c r="Y649" s="65" t="str">
        <f t="shared" si="6"/>
        <v>FROST 7716</v>
      </c>
    </row>
    <row r="650">
      <c r="A650" s="18" t="s">
        <v>1183</v>
      </c>
      <c r="B650" s="91">
        <f t="shared" si="97"/>
        <v>7718</v>
      </c>
      <c r="C650" s="15">
        <v>7718.0</v>
      </c>
      <c r="D650" s="18" t="s">
        <v>119</v>
      </c>
      <c r="E650" s="39">
        <v>1640.0</v>
      </c>
      <c r="F650" s="39">
        <v>1790.0</v>
      </c>
      <c r="G650" s="50">
        <f t="shared" si="98"/>
        <v>0.09146341463</v>
      </c>
      <c r="H650" s="28"/>
      <c r="I650" s="55">
        <f t="shared" si="2"/>
        <v>1865.659329</v>
      </c>
      <c r="J650" s="81"/>
      <c r="K650" s="60">
        <f>IFERROR(__xludf.DUMMYFUNCTION("IFERROR(VLOOKUP(C650,IMPORTRANGE(""https://docs.google.com/spreadsheets/d/1HZUHB8NvANAZR0sHDmHYVAm2WE9kNv0pGIQA48Ryim8/edit?gid=1285727875#gid=1285727875"",""Sheet1!A2:G""),7,0))"),460.62)</f>
        <v>460.62</v>
      </c>
      <c r="L650" s="62">
        <f t="shared" si="99"/>
        <v>3.560418566</v>
      </c>
      <c r="M650" s="60">
        <f>IFERROR(__xludf.DUMMYFUNCTION("IFERROR(VLOOKUP(C650,IMPORTRANGE(""https://docs.google.com/spreadsheets/d/1HZUHB8NvANAZR0sHDmHYVAm2WE9kNv0pGIQA48Ryim8/edit?gid=1285727875#gid=1285727875"",""Cost!A2:G""),7,0))"),524.0)</f>
        <v>524</v>
      </c>
      <c r="N650" s="62">
        <f t="shared" si="4"/>
        <v>3.416030534</v>
      </c>
      <c r="O650" s="28"/>
      <c r="P650" s="28"/>
      <c r="Q650" s="28"/>
      <c r="R650" s="28"/>
      <c r="S650" s="28"/>
      <c r="T650" s="28"/>
      <c r="U650" s="65"/>
      <c r="V650" s="28"/>
      <c r="W650" s="65"/>
      <c r="X650" s="66" t="s">
        <v>117</v>
      </c>
      <c r="Y650" s="65" t="str">
        <f t="shared" si="6"/>
        <v>FROST 7718</v>
      </c>
    </row>
    <row r="651">
      <c r="A651" s="18" t="s">
        <v>1183</v>
      </c>
      <c r="B651" s="91">
        <f t="shared" si="97"/>
        <v>7720</v>
      </c>
      <c r="C651" s="15">
        <v>7720.0</v>
      </c>
      <c r="D651" s="18" t="s">
        <v>122</v>
      </c>
      <c r="E651" s="39">
        <v>1690.0</v>
      </c>
      <c r="F651" s="39">
        <v>1840.0</v>
      </c>
      <c r="G651" s="50">
        <f t="shared" si="98"/>
        <v>0.08875739645</v>
      </c>
      <c r="H651" s="28"/>
      <c r="I651" s="55">
        <f t="shared" si="2"/>
        <v>1924.488283</v>
      </c>
      <c r="J651" s="81"/>
      <c r="K651" s="60">
        <f>IFERROR(__xludf.DUMMYFUNCTION("IFERROR(VLOOKUP(C651,IMPORTRANGE(""https://docs.google.com/spreadsheets/d/1HZUHB8NvANAZR0sHDmHYVAm2WE9kNv0pGIQA48Ryim8/edit?gid=1285727875#gid=1285727875"",""Sheet1!A2:G""),7,0))"),485.62)</f>
        <v>485.62</v>
      </c>
      <c r="L651" s="62">
        <f t="shared" si="99"/>
        <v>3.480087311</v>
      </c>
      <c r="M651" s="60">
        <f>IFERROR(__xludf.DUMMYFUNCTION("IFERROR(VLOOKUP(C651,IMPORTRANGE(""https://docs.google.com/spreadsheets/d/1HZUHB8NvANAZR0sHDmHYVAm2WE9kNv0pGIQA48Ryim8/edit?gid=1285727875#gid=1285727875"",""Cost!A2:G""),7,0))"),553.0)</f>
        <v>553</v>
      </c>
      <c r="N651" s="62">
        <f t="shared" si="4"/>
        <v>3.327305606</v>
      </c>
      <c r="O651" s="28"/>
      <c r="P651" s="28"/>
      <c r="Q651" s="28"/>
      <c r="R651" s="28"/>
      <c r="S651" s="28"/>
      <c r="T651" s="28"/>
      <c r="U651" s="65"/>
      <c r="V651" s="28"/>
      <c r="W651" s="65"/>
      <c r="X651" s="66" t="s">
        <v>120</v>
      </c>
      <c r="Y651" s="65" t="str">
        <f t="shared" si="6"/>
        <v>FROST 7720</v>
      </c>
    </row>
    <row r="652">
      <c r="A652" s="18" t="s">
        <v>1183</v>
      </c>
      <c r="B652" s="91">
        <f t="shared" si="97"/>
        <v>7750</v>
      </c>
      <c r="C652" s="15">
        <v>7750.0</v>
      </c>
      <c r="D652" s="18" t="s">
        <v>136</v>
      </c>
      <c r="E652" s="39">
        <v>4980.0</v>
      </c>
      <c r="F652" s="39">
        <v>5380.0</v>
      </c>
      <c r="G652" s="50">
        <f t="shared" si="98"/>
        <v>0.08032128514</v>
      </c>
      <c r="H652" s="28"/>
      <c r="I652" s="55">
        <f t="shared" si="2"/>
        <v>5559.802455</v>
      </c>
      <c r="J652" s="81"/>
      <c r="K652" s="60">
        <f>IFERROR(__xludf.DUMMYFUNCTION("IFERROR(VLOOKUP(C652,IMPORTRANGE(""https://docs.google.com/spreadsheets/d/1HZUHB8NvANAZR0sHDmHYVAm2WE9kNv0pGIQA48Ryim8/edit?gid=1285727875#gid=1285727875"",""Sheet1!A2:G""),7,0))"),1289.83)</f>
        <v>1289.83</v>
      </c>
      <c r="L652" s="62">
        <f t="shared" si="99"/>
        <v>3.860973927</v>
      </c>
      <c r="M652" s="60">
        <f>IFERROR(__xludf.DUMMYFUNCTION("IFERROR(VLOOKUP(C652,IMPORTRANGE(""https://docs.google.com/spreadsheets/d/1HZUHB8NvANAZR0sHDmHYVAm2WE9kNv0pGIQA48Ryim8/edit?gid=1285727875#gid=1285727875"",""Cost!A2:G""),7,0))"),1440.0)</f>
        <v>1440</v>
      </c>
      <c r="N652" s="62">
        <f t="shared" si="4"/>
        <v>3.736111111</v>
      </c>
      <c r="O652" s="28"/>
      <c r="P652" s="28"/>
      <c r="Q652" s="28"/>
      <c r="R652" s="28"/>
      <c r="S652" s="28"/>
      <c r="T652" s="28"/>
      <c r="U652" s="65"/>
      <c r="V652" s="28"/>
      <c r="W652" s="65"/>
      <c r="X652" s="66" t="s">
        <v>134</v>
      </c>
      <c r="Y652" s="65" t="str">
        <f t="shared" si="6"/>
        <v>FROST 7750</v>
      </c>
    </row>
    <row r="653">
      <c r="A653" s="18" t="s">
        <v>1183</v>
      </c>
      <c r="B653" s="91">
        <f t="shared" si="97"/>
        <v>7755</v>
      </c>
      <c r="C653" s="15">
        <v>7755.0</v>
      </c>
      <c r="D653" s="18" t="s">
        <v>164</v>
      </c>
      <c r="E653" s="75">
        <v>5390.0</v>
      </c>
      <c r="F653" s="39">
        <v>5990.0</v>
      </c>
      <c r="G653" s="50">
        <f t="shared" si="98"/>
        <v>0.1113172542</v>
      </c>
      <c r="H653" s="28"/>
      <c r="I653" s="55">
        <f t="shared" si="2"/>
        <v>6289.935905</v>
      </c>
      <c r="J653" s="81"/>
      <c r="K653" s="60">
        <f>IFERROR(__xludf.DUMMYFUNCTION("IFERROR(VLOOKUP(C653,IMPORTRANGE(""https://docs.google.com/spreadsheets/d/1HZUHB8NvANAZR0sHDmHYVAm2WE9kNv0pGIQA48Ryim8/edit?gid=1285727875#gid=1285727875"",""Sheet1!A2:G""),7,0))"),1418.21)</f>
        <v>1418.21</v>
      </c>
      <c r="L653" s="62">
        <f t="shared" si="99"/>
        <v>3.800565502</v>
      </c>
      <c r="M653" s="60">
        <f>IFERROR(__xludf.DUMMYFUNCTION("IFERROR(VLOOKUP(C653,IMPORTRANGE(""https://docs.google.com/spreadsheets/d/1HZUHB8NvANAZR0sHDmHYVAm2WE9kNv0pGIQA48Ryim8/edit?gid=1285727875#gid=1285727875"",""Cost!A2:G""),7,0))"),1655.0)</f>
        <v>1655</v>
      </c>
      <c r="N653" s="62">
        <f t="shared" si="4"/>
        <v>3.619335347</v>
      </c>
      <c r="O653" s="28"/>
      <c r="P653" s="28"/>
      <c r="Q653" s="28"/>
      <c r="R653" s="28"/>
      <c r="S653" s="28"/>
      <c r="T653" s="28"/>
      <c r="U653" s="65"/>
      <c r="V653" s="28"/>
      <c r="W653" s="65"/>
      <c r="X653" s="66" t="s">
        <v>162</v>
      </c>
      <c r="Y653" s="65" t="str">
        <f t="shared" si="6"/>
        <v>FROST 7755</v>
      </c>
    </row>
    <row r="654">
      <c r="A654" s="18" t="s">
        <v>1183</v>
      </c>
      <c r="B654" s="91">
        <f t="shared" si="97"/>
        <v>7770</v>
      </c>
      <c r="C654" s="15">
        <v>7770.0</v>
      </c>
      <c r="D654" s="18" t="s">
        <v>186</v>
      </c>
      <c r="E654" s="39">
        <v>6990.0</v>
      </c>
      <c r="F654" s="39">
        <v>7480.0</v>
      </c>
      <c r="G654" s="50">
        <f t="shared" si="98"/>
        <v>0.07010014306</v>
      </c>
      <c r="H654" s="28"/>
      <c r="I654" s="55">
        <f t="shared" si="2"/>
        <v>8095.922129</v>
      </c>
      <c r="J654" s="81"/>
      <c r="K654" s="60">
        <f>IFERROR(__xludf.DUMMYFUNCTION("IFERROR(VLOOKUP(C654,IMPORTRANGE(""https://docs.google.com/spreadsheets/d/1HZUHB8NvANAZR0sHDmHYVAm2WE9kNv0pGIQA48Ryim8/edit?gid=1285727875#gid=1285727875"",""Sheet1!A2:G""),7,0))"),1969.41)</f>
        <v>1969.41</v>
      </c>
      <c r="L654" s="62">
        <f t="shared" si="99"/>
        <v>3.549286334</v>
      </c>
      <c r="M654" s="60">
        <f>IFERROR(__xludf.DUMMYFUNCTION("IFERROR(VLOOKUP(C654,IMPORTRANGE(""https://docs.google.com/spreadsheets/d/1HZUHB8NvANAZR0sHDmHYVAm2WE9kNv0pGIQA48Ryim8/edit?gid=1285727875#gid=1285727875"",""Cost!A2:G""),7,0))"),2281.0)</f>
        <v>2281</v>
      </c>
      <c r="N654" s="62">
        <f t="shared" si="4"/>
        <v>3.279263481</v>
      </c>
      <c r="O654" s="28"/>
      <c r="P654" s="28"/>
      <c r="Q654" s="28"/>
      <c r="R654" s="28"/>
      <c r="S654" s="28"/>
      <c r="T654" s="28"/>
      <c r="U654" s="65"/>
      <c r="V654" s="28"/>
      <c r="W654" s="65"/>
      <c r="X654" s="66" t="s">
        <v>184</v>
      </c>
      <c r="Y654" s="65" t="str">
        <f t="shared" si="6"/>
        <v>FROST 7770</v>
      </c>
    </row>
    <row r="655">
      <c r="A655" s="18" t="s">
        <v>1183</v>
      </c>
      <c r="B655" s="91">
        <f t="shared" si="97"/>
        <v>7775</v>
      </c>
      <c r="C655" s="15">
        <v>7775.0</v>
      </c>
      <c r="D655" s="18" t="s">
        <v>196</v>
      </c>
      <c r="E655" s="39">
        <v>6990.0</v>
      </c>
      <c r="F655" s="39">
        <v>7480.0</v>
      </c>
      <c r="G655" s="50">
        <f t="shared" si="98"/>
        <v>0.07010014306</v>
      </c>
      <c r="H655" s="28"/>
      <c r="I655" s="55">
        <f t="shared" si="2"/>
        <v>8086.493937</v>
      </c>
      <c r="J655" s="81"/>
      <c r="K655" s="60">
        <f>IFERROR(__xludf.DUMMYFUNCTION("IFERROR(VLOOKUP(C655,IMPORTRANGE(""https://docs.google.com/spreadsheets/d/1HZUHB8NvANAZR0sHDmHYVAm2WE9kNv0pGIQA48Ryim8/edit?gid=1285727875#gid=1285727875"",""Sheet1!A2:G""),7,0))"),1937.13)</f>
        <v>1937.13</v>
      </c>
      <c r="L655" s="62">
        <f t="shared" si="99"/>
        <v>3.608431029</v>
      </c>
      <c r="M655" s="60">
        <f>IFERROR(__xludf.DUMMYFUNCTION("IFERROR(VLOOKUP(C655,IMPORTRANGE(""https://docs.google.com/spreadsheets/d/1HZUHB8NvANAZR0sHDmHYVAm2WE9kNv0pGIQA48Ryim8/edit?gid=1285727875#gid=1285727875"",""Cost!A2:G""),7,0))"),2241.0)</f>
        <v>2241</v>
      </c>
      <c r="N655" s="62">
        <f t="shared" si="4"/>
        <v>3.337795627</v>
      </c>
      <c r="O655" s="28"/>
      <c r="P655" s="28"/>
      <c r="Q655" s="28"/>
      <c r="R655" s="28"/>
      <c r="S655" s="28"/>
      <c r="T655" s="28"/>
      <c r="U655" s="65"/>
      <c r="V655" s="28"/>
      <c r="W655" s="65"/>
      <c r="X655" s="66" t="s">
        <v>194</v>
      </c>
      <c r="Y655" s="65" t="str">
        <f t="shared" si="6"/>
        <v>FROST 7775</v>
      </c>
    </row>
    <row r="656">
      <c r="A656" s="18" t="s">
        <v>1183</v>
      </c>
      <c r="B656" s="91">
        <f t="shared" si="97"/>
        <v>7780</v>
      </c>
      <c r="C656" s="15">
        <v>7780.0</v>
      </c>
      <c r="D656" s="18" t="s">
        <v>205</v>
      </c>
      <c r="E656" s="39">
        <v>7740.0</v>
      </c>
      <c r="F656" s="39">
        <v>8480.0</v>
      </c>
      <c r="G656" s="50">
        <f t="shared" si="98"/>
        <v>0.09560723514</v>
      </c>
      <c r="H656" s="28"/>
      <c r="I656" s="55">
        <f t="shared" si="2"/>
        <v>8901.469225</v>
      </c>
      <c r="J656" s="81"/>
      <c r="K656" s="60">
        <f>IFERROR(__xludf.DUMMYFUNCTION("IFERROR(VLOOKUP(C656,IMPORTRANGE(""https://docs.google.com/spreadsheets/d/1HZUHB8NvANAZR0sHDmHYVAm2WE9kNv0pGIQA48Ryim8/edit?gid=1285727875#gid=1285727875"",""Sheet1!A2:G""),7,0))"),2243.36)</f>
        <v>2243.36</v>
      </c>
      <c r="L656" s="62">
        <f t="shared" si="99"/>
        <v>3.45018187</v>
      </c>
      <c r="M656" s="60">
        <f>IFERROR(__xludf.DUMMYFUNCTION("IFERROR(VLOOKUP(C656,IMPORTRANGE(""https://docs.google.com/spreadsheets/d/1HZUHB8NvANAZR0sHDmHYVAm2WE9kNv0pGIQA48Ryim8/edit?gid=1285727875#gid=1285727875"",""Cost!A2:G""),7,0))"),2580.0)</f>
        <v>2580</v>
      </c>
      <c r="N656" s="62">
        <f t="shared" si="4"/>
        <v>3.286821705</v>
      </c>
      <c r="O656" s="28"/>
      <c r="P656" s="28"/>
      <c r="Q656" s="28"/>
      <c r="R656" s="28"/>
      <c r="S656" s="28"/>
      <c r="T656" s="28"/>
      <c r="U656" s="65"/>
      <c r="V656" s="28"/>
      <c r="W656" s="65"/>
      <c r="X656" s="66" t="s">
        <v>203</v>
      </c>
      <c r="Y656" s="65" t="str">
        <f t="shared" si="6"/>
        <v>FROST 7780</v>
      </c>
    </row>
    <row r="657">
      <c r="A657" s="18" t="s">
        <v>1183</v>
      </c>
      <c r="B657" s="91">
        <f t="shared" si="97"/>
        <v>7794</v>
      </c>
      <c r="C657" s="15">
        <v>7794.0</v>
      </c>
      <c r="D657" s="18" t="s">
        <v>263</v>
      </c>
      <c r="E657" s="39">
        <v>8890.0</v>
      </c>
      <c r="F657" s="39">
        <v>9790.0</v>
      </c>
      <c r="G657" s="50">
        <f t="shared" si="98"/>
        <v>0.1012373453</v>
      </c>
      <c r="H657" s="28"/>
      <c r="I657" s="55">
        <f t="shared" si="2"/>
        <v>9792.036346</v>
      </c>
      <c r="J657" s="81"/>
      <c r="K657" s="60">
        <f>IFERROR(__xludf.DUMMYFUNCTION("IFERROR(VLOOKUP(C657,IMPORTRANGE(""https://docs.google.com/spreadsheets/d/1HZUHB8NvANAZR0sHDmHYVAm2WE9kNv0pGIQA48Ryim8/edit?gid=1285727875#gid=1285727875"",""Sheet1!A2:G""),7,0))"),2707.3)</f>
        <v>2707.3</v>
      </c>
      <c r="L657" s="62">
        <f t="shared" si="99"/>
        <v>3.283714402</v>
      </c>
      <c r="M657" s="60">
        <f>IFERROR(__xludf.DUMMYFUNCTION("IFERROR(VLOOKUP(C657,IMPORTRANGE(""https://docs.google.com/spreadsheets/d/1HZUHB8NvANAZR0sHDmHYVAm2WE9kNv0pGIQA48Ryim8/edit?gid=1285727875#gid=1285727875"",""Cost!A2:G""),7,0))"),2982.0)</f>
        <v>2982</v>
      </c>
      <c r="N657" s="62">
        <f t="shared" si="4"/>
        <v>3.283031522</v>
      </c>
      <c r="O657" s="28"/>
      <c r="P657" s="28"/>
      <c r="Q657" s="28"/>
      <c r="R657" s="28"/>
      <c r="S657" s="28"/>
      <c r="T657" s="28"/>
      <c r="U657" s="65"/>
      <c r="V657" s="28"/>
      <c r="W657" s="65"/>
      <c r="X657" s="66" t="s">
        <v>260</v>
      </c>
      <c r="Y657" s="65" t="str">
        <f t="shared" si="6"/>
        <v>FROST 7794</v>
      </c>
    </row>
    <row r="658">
      <c r="A658" s="18" t="s">
        <v>1183</v>
      </c>
      <c r="B658" s="91">
        <f t="shared" si="97"/>
        <v>7798</v>
      </c>
      <c r="C658" s="15">
        <v>7798.0</v>
      </c>
      <c r="D658" s="18" t="s">
        <v>272</v>
      </c>
      <c r="E658" s="75">
        <v>2260.0</v>
      </c>
      <c r="F658" s="39">
        <v>2480.0</v>
      </c>
      <c r="G658" s="50">
        <f t="shared" si="98"/>
        <v>0.09734513274</v>
      </c>
      <c r="H658" s="28"/>
      <c r="I658" s="55">
        <f t="shared" si="2"/>
        <v>2523.372834</v>
      </c>
      <c r="J658" s="81"/>
      <c r="K658" s="60">
        <f>IFERROR(__xludf.DUMMYFUNCTION("IFERROR(VLOOKUP(C658,IMPORTRANGE(""https://docs.google.com/spreadsheets/d/1HZUHB8NvANAZR0sHDmHYVAm2WE9kNv0pGIQA48Ryim8/edit?gid=1285727875#gid=1285727875"",""Sheet1!A2:G""),7,0))"),671.72)</f>
        <v>671.72</v>
      </c>
      <c r="L658" s="62">
        <f t="shared" si="99"/>
        <v>3.364497112</v>
      </c>
      <c r="M658" s="60">
        <f>IFERROR(__xludf.DUMMYFUNCTION("IFERROR(VLOOKUP(C658,IMPORTRANGE(""https://docs.google.com/spreadsheets/d/1HZUHB8NvANAZR0sHDmHYVAm2WE9kNv0pGIQA48Ryim8/edit?gid=1285727875#gid=1285727875"",""Cost!A2:G""),7,0))"),750.0)</f>
        <v>750</v>
      </c>
      <c r="N658" s="62">
        <f t="shared" si="4"/>
        <v>3.306666667</v>
      </c>
      <c r="O658" s="28"/>
      <c r="P658" s="28"/>
      <c r="Q658" s="28"/>
      <c r="R658" s="28"/>
      <c r="S658" s="28"/>
      <c r="T658" s="28"/>
      <c r="U658" s="65"/>
      <c r="V658" s="28"/>
      <c r="W658" s="65"/>
      <c r="X658" s="66" t="s">
        <v>271</v>
      </c>
      <c r="Y658" s="65" t="str">
        <f t="shared" si="6"/>
        <v>FROST 7798</v>
      </c>
    </row>
    <row r="659">
      <c r="A659" s="18" t="s">
        <v>1189</v>
      </c>
      <c r="B659" s="91">
        <f t="shared" si="97"/>
        <v>7802</v>
      </c>
      <c r="C659" s="15">
        <v>7802.0</v>
      </c>
      <c r="D659" s="18" t="s">
        <v>15</v>
      </c>
      <c r="E659" s="39">
        <v>1790.0</v>
      </c>
      <c r="F659" s="39">
        <v>1990.0</v>
      </c>
      <c r="G659" s="50">
        <f t="shared" si="98"/>
        <v>0.1117318436</v>
      </c>
      <c r="H659" s="28"/>
      <c r="I659" s="55">
        <f t="shared" si="2"/>
        <v>1990.6471</v>
      </c>
      <c r="J659" s="81"/>
      <c r="K659" s="60">
        <f>IFERROR(__xludf.DUMMYFUNCTION("IFERROR(VLOOKUP(C659,IMPORTRANGE(""https://docs.google.com/spreadsheets/d/1HZUHB8NvANAZR0sHDmHYVAm2WE9kNv0pGIQA48Ryim8/edit?gid=1285727875#gid=1285727875"",""Sheet1!A2:G""),7,0))"),565.6)</f>
        <v>565.6</v>
      </c>
      <c r="L659" s="62">
        <f t="shared" si="99"/>
        <v>3.164780764</v>
      </c>
      <c r="M659" s="60">
        <f>IFERROR(__xludf.DUMMYFUNCTION("IFERROR(VLOOKUP(C659,IMPORTRANGE(""https://docs.google.com/spreadsheets/d/1HZUHB8NvANAZR0sHDmHYVAm2WE9kNv0pGIQA48Ryim8/edit?gid=1285727875#gid=1285727875"",""Cost!A2:G""),7,0))"),629.0)</f>
        <v>629</v>
      </c>
      <c r="N659" s="62">
        <f t="shared" si="4"/>
        <v>3.163751987</v>
      </c>
      <c r="O659" s="28"/>
      <c r="P659" s="28"/>
      <c r="Q659" s="28"/>
      <c r="R659" s="28"/>
      <c r="S659" s="28"/>
      <c r="T659" s="28"/>
      <c r="U659" s="65"/>
      <c r="V659" s="28"/>
      <c r="W659" s="65"/>
      <c r="X659" s="66" t="s">
        <v>303</v>
      </c>
      <c r="Y659" s="65" t="str">
        <f t="shared" si="6"/>
        <v>URBONA 7802</v>
      </c>
    </row>
    <row r="660">
      <c r="A660" s="18" t="s">
        <v>1189</v>
      </c>
      <c r="B660" s="91">
        <f t="shared" si="97"/>
        <v>7803</v>
      </c>
      <c r="C660" s="15">
        <v>7803.0</v>
      </c>
      <c r="D660" s="18" t="s">
        <v>30</v>
      </c>
      <c r="E660" s="39">
        <v>3590.0</v>
      </c>
      <c r="F660" s="39">
        <v>3990.0</v>
      </c>
      <c r="G660" s="50">
        <f t="shared" si="98"/>
        <v>0.1114206128</v>
      </c>
      <c r="H660" s="28"/>
      <c r="I660" s="55">
        <f t="shared" si="2"/>
        <v>3999.078805</v>
      </c>
      <c r="J660" s="81"/>
      <c r="K660" s="60">
        <f>IFERROR(__xludf.DUMMYFUNCTION("IFERROR(VLOOKUP(C660,IMPORTRANGE(""https://docs.google.com/spreadsheets/d/1HZUHB8NvANAZR0sHDmHYVAm2WE9kNv0pGIQA48Ryim8/edit?gid=1285727875#gid=1285727875"",""Sheet1!A2:G""),7,0))"),1291.8)</f>
        <v>1291.8</v>
      </c>
      <c r="L660" s="62">
        <f t="shared" si="99"/>
        <v>2.779067967</v>
      </c>
      <c r="M660" s="60">
        <f>IFERROR(__xludf.DUMMYFUNCTION("IFERROR(VLOOKUP(C660,IMPORTRANGE(""https://docs.google.com/spreadsheets/d/1HZUHB8NvANAZR0sHDmHYVAm2WE9kNv0pGIQA48Ryim8/edit?gid=1285727875#gid=1285727875"",""Cost!A2:G""),7,0))"),1439.0)</f>
        <v>1439</v>
      </c>
      <c r="N660" s="62">
        <f t="shared" si="4"/>
        <v>2.77275886</v>
      </c>
      <c r="O660" s="28"/>
      <c r="P660" s="28"/>
      <c r="Q660" s="28"/>
      <c r="R660" s="28"/>
      <c r="S660" s="28"/>
      <c r="T660" s="28"/>
      <c r="U660" s="65"/>
      <c r="V660" s="28"/>
      <c r="W660" s="65"/>
      <c r="X660" s="66" t="s">
        <v>306</v>
      </c>
      <c r="Y660" s="65" t="str">
        <f t="shared" si="6"/>
        <v>URBONA 7803</v>
      </c>
    </row>
    <row r="661">
      <c r="A661" s="18" t="s">
        <v>1189</v>
      </c>
      <c r="B661" s="91">
        <f t="shared" si="97"/>
        <v>7804</v>
      </c>
      <c r="C661" s="15">
        <v>7804.0</v>
      </c>
      <c r="D661" s="18" t="s">
        <v>46</v>
      </c>
      <c r="E661" s="75">
        <v>2420.0</v>
      </c>
      <c r="F661" s="39">
        <v>2690.0</v>
      </c>
      <c r="G661" s="50">
        <f t="shared" si="98"/>
        <v>0.1115702479</v>
      </c>
      <c r="H661" s="28"/>
      <c r="I661" s="55">
        <f t="shared" si="2"/>
        <v>2698.722744</v>
      </c>
      <c r="J661" s="81"/>
      <c r="K661" s="60">
        <f>IFERROR(__xludf.DUMMYFUNCTION("IFERROR(VLOOKUP(C661,IMPORTRANGE(""https://docs.google.com/spreadsheets/d/1HZUHB8NvANAZR0sHDmHYVAm2WE9kNv0pGIQA48Ryim8/edit?gid=1285727875#gid=1285727875"",""Sheet1!A2:G""),7,0))"),721.86)</f>
        <v>721.86</v>
      </c>
      <c r="L661" s="62">
        <f t="shared" si="99"/>
        <v>3.352450614</v>
      </c>
      <c r="M661" s="60">
        <f>IFERROR(__xludf.DUMMYFUNCTION("IFERROR(VLOOKUP(C661,IMPORTRANGE(""https://docs.google.com/spreadsheets/d/1HZUHB8NvANAZR0sHDmHYVAm2WE9kNv0pGIQA48Ryim8/edit?gid=1285727875#gid=1285727875"",""Cost!A2:G""),7,0))"),805.0)</f>
        <v>805</v>
      </c>
      <c r="N661" s="62">
        <f t="shared" si="4"/>
        <v>3.341614907</v>
      </c>
      <c r="O661" s="28"/>
      <c r="P661" s="28"/>
      <c r="Q661" s="28"/>
      <c r="R661" s="28"/>
      <c r="S661" s="28"/>
      <c r="T661" s="28"/>
      <c r="U661" s="65"/>
      <c r="V661" s="28"/>
      <c r="W661" s="65"/>
      <c r="X661" s="66" t="s">
        <v>309</v>
      </c>
      <c r="Y661" s="65" t="str">
        <f t="shared" si="6"/>
        <v>URBONA 7804</v>
      </c>
    </row>
    <row r="662">
      <c r="A662" s="18" t="s">
        <v>1189</v>
      </c>
      <c r="B662" s="91">
        <f t="shared" si="97"/>
        <v>7806</v>
      </c>
      <c r="C662" s="15">
        <v>7806.0</v>
      </c>
      <c r="D662" s="18" t="s">
        <v>67</v>
      </c>
      <c r="E662" s="75">
        <v>1390.0</v>
      </c>
      <c r="F662" s="39">
        <v>1530.0</v>
      </c>
      <c r="G662" s="50">
        <f t="shared" si="98"/>
        <v>0.1007194245</v>
      </c>
      <c r="H662" s="28"/>
      <c r="I662" s="55">
        <f t="shared" si="2"/>
        <v>1531.715028</v>
      </c>
      <c r="J662" s="81"/>
      <c r="K662" s="60">
        <f>IFERROR(__xludf.DUMMYFUNCTION("IFERROR(VLOOKUP(C662,IMPORTRANGE(""https://docs.google.com/spreadsheets/d/1HZUHB8NvANAZR0sHDmHYVAm2WE9kNv0pGIQA48Ryim8/edit?gid=1285727875#gid=1285727875"",""Sheet1!A2:G""),7,0))"),442.85)</f>
        <v>442.85</v>
      </c>
      <c r="L662" s="62">
        <f t="shared" si="99"/>
        <v>3.138760303</v>
      </c>
      <c r="M662" s="60">
        <f>IFERROR(__xludf.DUMMYFUNCTION("IFERROR(VLOOKUP(C662,IMPORTRANGE(""https://docs.google.com/spreadsheets/d/1HZUHB8NvANAZR0sHDmHYVAm2WE9kNv0pGIQA48Ryim8/edit?gid=1285727875#gid=1285727875"",""Cost!A2:G""),7,0))"),488.0)</f>
        <v>488</v>
      </c>
      <c r="N662" s="62">
        <f t="shared" si="4"/>
        <v>3.135245902</v>
      </c>
      <c r="O662" s="28"/>
      <c r="P662" s="28"/>
      <c r="Q662" s="28"/>
      <c r="R662" s="28"/>
      <c r="S662" s="28"/>
      <c r="T662" s="28"/>
      <c r="U662" s="65"/>
      <c r="V662" s="28"/>
      <c r="W662" s="65"/>
      <c r="X662" s="66" t="s">
        <v>311</v>
      </c>
      <c r="Y662" s="65" t="str">
        <f t="shared" si="6"/>
        <v>URBONA 7806</v>
      </c>
    </row>
    <row r="663">
      <c r="A663" s="18" t="s">
        <v>1189</v>
      </c>
      <c r="B663" s="15">
        <v>7807.0</v>
      </c>
      <c r="C663" s="15">
        <v>7807.0</v>
      </c>
      <c r="D663" s="173" t="s">
        <v>71</v>
      </c>
      <c r="E663" s="75">
        <f t="shared" ref="E663:F663" si="102">SUM(E664:E665)</f>
        <v>2780</v>
      </c>
      <c r="F663" s="75">
        <f t="shared" si="102"/>
        <v>2980</v>
      </c>
      <c r="G663" s="50">
        <f t="shared" si="98"/>
        <v>0.07194244604</v>
      </c>
      <c r="H663" s="28"/>
      <c r="I663" s="55">
        <f t="shared" si="2"/>
        <v>2993.571199</v>
      </c>
      <c r="J663" s="81"/>
      <c r="K663" s="60">
        <f>IFERROR(__xludf.DUMMYFUNCTION("IFERROR(VLOOKUP(C663,IMPORTRANGE(""https://docs.google.com/spreadsheets/d/1HZUHB8NvANAZR0sHDmHYVAm2WE9kNv0pGIQA48Ryim8/edit?gid=1285727875#gid=1285727875"",""Sheet1!A2:G""),7,0))"),746.64)</f>
        <v>746.64</v>
      </c>
      <c r="L663" s="62">
        <f t="shared" si="99"/>
        <v>3.723347262</v>
      </c>
      <c r="M663" s="60">
        <f>IFERROR(__xludf.DUMMYFUNCTION("IFERROR(VLOOKUP(C663,IMPORTRANGE(""https://docs.google.com/spreadsheets/d/1HZUHB8NvANAZR0sHDmHYVAm2WE9kNv0pGIQA48Ryim8/edit?gid=1285727875#gid=1285727875"",""Cost!A2:G""),7,0))"),804.0)</f>
        <v>804</v>
      </c>
      <c r="N663" s="62">
        <f t="shared" si="4"/>
        <v>3.706467662</v>
      </c>
      <c r="O663" s="28"/>
      <c r="P663" s="28"/>
      <c r="Q663" s="28"/>
      <c r="R663" s="28"/>
      <c r="S663" s="28"/>
      <c r="T663" s="28"/>
      <c r="U663" s="65"/>
      <c r="V663" s="28"/>
      <c r="W663" s="65"/>
      <c r="X663" s="66" t="s">
        <v>315</v>
      </c>
      <c r="Y663" s="65" t="str">
        <f t="shared" si="6"/>
        <v>URBONA 7807</v>
      </c>
    </row>
    <row r="664">
      <c r="A664" s="18" t="s">
        <v>1189</v>
      </c>
      <c r="B664" s="91" t="s">
        <v>73</v>
      </c>
      <c r="C664" s="91" t="s">
        <v>73</v>
      </c>
      <c r="D664" s="173" t="s">
        <v>74</v>
      </c>
      <c r="E664" s="93">
        <v>1390.0</v>
      </c>
      <c r="F664" s="39">
        <v>1490.0</v>
      </c>
      <c r="G664" s="50">
        <f t="shared" si="98"/>
        <v>0.07194244604</v>
      </c>
      <c r="H664" s="28"/>
      <c r="I664" s="55">
        <f t="shared" si="2"/>
        <v>1515.459624</v>
      </c>
      <c r="J664" s="81"/>
      <c r="K664" s="60">
        <f>IFERROR(__xludf.DUMMYFUNCTION("IFERROR(VLOOKUP(C664,IMPORTRANGE(""https://docs.google.com/spreadsheets/d/1HZUHB8NvANAZR0sHDmHYVAm2WE9kNv0pGIQA48Ryim8/edit?gid=1285727875#gid=1285727875"",""Sheet1!A2:G""),7,0))"),408.16)</f>
        <v>408.16</v>
      </c>
      <c r="L664" s="62">
        <f t="shared" si="99"/>
        <v>3.405527244</v>
      </c>
      <c r="M664" s="60">
        <f>IFERROR(__xludf.DUMMYFUNCTION("IFERROR(VLOOKUP(C664,IMPORTRANGE(""https://docs.google.com/spreadsheets/d/1HZUHB8NvANAZR0sHDmHYVAm2WE9kNv0pGIQA48Ryim8/edit?gid=1285727875#gid=1285727875"",""Cost!A2:G""),7,0))"),445.0)</f>
        <v>445</v>
      </c>
      <c r="N664" s="62">
        <f t="shared" si="4"/>
        <v>3.348314607</v>
      </c>
      <c r="O664" s="28"/>
      <c r="P664" s="28"/>
      <c r="Q664" s="28"/>
      <c r="R664" s="28"/>
      <c r="S664" s="28"/>
      <c r="T664" s="28"/>
      <c r="U664" s="65"/>
      <c r="V664" s="28"/>
      <c r="W664" s="65"/>
      <c r="X664" s="66" t="s">
        <v>73</v>
      </c>
      <c r="Y664" s="65" t="str">
        <f t="shared" si="6"/>
        <v>URBONA 78CP-07</v>
      </c>
    </row>
    <row r="665">
      <c r="A665" s="18" t="s">
        <v>1189</v>
      </c>
      <c r="B665" s="15" t="s">
        <v>1190</v>
      </c>
      <c r="C665" s="15" t="s">
        <v>1190</v>
      </c>
      <c r="D665" s="173" t="s">
        <v>78</v>
      </c>
      <c r="E665" s="93">
        <v>1390.0</v>
      </c>
      <c r="F665" s="39">
        <v>1490.0</v>
      </c>
      <c r="G665" s="50">
        <f t="shared" si="98"/>
        <v>0.07194244604</v>
      </c>
      <c r="H665" s="28"/>
      <c r="I665" s="55">
        <f t="shared" si="2"/>
        <v>1392.852384</v>
      </c>
      <c r="J665" s="81"/>
      <c r="K665" s="60">
        <f>IFERROR(__xludf.DUMMYFUNCTION("IFERROR(VLOOKUP(C665,IMPORTRANGE(""https://docs.google.com/spreadsheets/d/1HZUHB8NvANAZR0sHDmHYVAm2WE9kNv0pGIQA48Ryim8/edit?gid=1285727875#gid=1285727875"",""Sheet1!A2:G""),7,0))"),375.23)</f>
        <v>375.23</v>
      </c>
      <c r="L665" s="62">
        <f t="shared" si="99"/>
        <v>3.704394638</v>
      </c>
      <c r="M665" s="60">
        <f>IFERROR(__xludf.DUMMYFUNCTION("IFERROR(VLOOKUP(C665,IMPORTRANGE(""https://docs.google.com/spreadsheets/d/1HZUHB8NvANAZR0sHDmHYVAm2WE9kNv0pGIQA48Ryim8/edit?gid=1285727875#gid=1285727875"",""Cost!A2:G""),7,0))"),376.0)</f>
        <v>376</v>
      </c>
      <c r="N665" s="62">
        <f t="shared" si="4"/>
        <v>3.962765957</v>
      </c>
      <c r="O665" s="28"/>
      <c r="P665" s="28"/>
      <c r="Q665" s="28"/>
      <c r="R665" s="28"/>
      <c r="S665" s="28"/>
      <c r="T665" s="28"/>
      <c r="U665" s="65"/>
      <c r="V665" s="28"/>
      <c r="W665" s="65"/>
      <c r="X665" s="66" t="s">
        <v>77</v>
      </c>
      <c r="Y665" s="65" t="str">
        <f t="shared" si="6"/>
        <v>URBONA 78CP</v>
      </c>
    </row>
    <row r="666">
      <c r="A666" s="18" t="s">
        <v>1189</v>
      </c>
      <c r="B666" s="91">
        <f t="shared" ref="B666:B898" si="103">C666</f>
        <v>7808</v>
      </c>
      <c r="C666" s="15">
        <v>7808.0</v>
      </c>
      <c r="D666" s="18" t="s">
        <v>81</v>
      </c>
      <c r="E666" s="75">
        <v>1770.0</v>
      </c>
      <c r="F666" s="39">
        <v>1940.0</v>
      </c>
      <c r="G666" s="50">
        <f t="shared" si="98"/>
        <v>0.09604519774</v>
      </c>
      <c r="H666" s="28"/>
      <c r="I666" s="55">
        <f t="shared" si="2"/>
        <v>1939.519486</v>
      </c>
      <c r="J666" s="81"/>
      <c r="K666" s="60">
        <f>IFERROR(__xludf.DUMMYFUNCTION("IFERROR(VLOOKUP(C666,IMPORTRANGE(""https://docs.google.com/spreadsheets/d/1HZUHB8NvANAZR0sHDmHYVAm2WE9kNv0pGIQA48Ryim8/edit?gid=1285727875#gid=1285727875"",""Sheet1!A2:G""),7,0))"),516.53)</f>
        <v>516.53</v>
      </c>
      <c r="L666" s="62">
        <f t="shared" si="99"/>
        <v>3.426712872</v>
      </c>
      <c r="M666" s="60">
        <f>IFERROR(__xludf.DUMMYFUNCTION("IFERROR(VLOOKUP(C666,IMPORTRANGE(""https://docs.google.com/spreadsheets/d/1HZUHB8NvANAZR0sHDmHYVAm2WE9kNv0pGIQA48Ryim8/edit?gid=1285727875#gid=1285727875"",""Cost!A2:G""),7,0))"),566.0)</f>
        <v>566</v>
      </c>
      <c r="N666" s="62">
        <f t="shared" si="4"/>
        <v>3.427561837</v>
      </c>
      <c r="O666" s="28"/>
      <c r="P666" s="28"/>
      <c r="Q666" s="28"/>
      <c r="R666" s="28"/>
      <c r="S666" s="28"/>
      <c r="T666" s="28"/>
      <c r="U666" s="65"/>
      <c r="V666" s="28"/>
      <c r="W666" s="65"/>
      <c r="X666" s="66" t="s">
        <v>321</v>
      </c>
      <c r="Y666" s="65" t="str">
        <f t="shared" si="6"/>
        <v>URBONA 7808</v>
      </c>
    </row>
    <row r="667">
      <c r="A667" s="18" t="s">
        <v>1189</v>
      </c>
      <c r="B667" s="91">
        <f t="shared" si="103"/>
        <v>7810</v>
      </c>
      <c r="C667" s="15">
        <v>7810.0</v>
      </c>
      <c r="D667" s="18" t="s">
        <v>89</v>
      </c>
      <c r="E667" s="75">
        <v>1270.0</v>
      </c>
      <c r="F667" s="39">
        <v>1390.0</v>
      </c>
      <c r="G667" s="50">
        <f t="shared" si="98"/>
        <v>0.09448818898</v>
      </c>
      <c r="H667" s="28"/>
      <c r="I667" s="55">
        <f t="shared" si="2"/>
        <v>1388.408446</v>
      </c>
      <c r="J667" s="81"/>
      <c r="K667" s="60">
        <f>IFERROR(__xludf.DUMMYFUNCTION("IFERROR(VLOOKUP(C667,IMPORTRANGE(""https://docs.google.com/spreadsheets/d/1HZUHB8NvANAZR0sHDmHYVAm2WE9kNv0pGIQA48Ryim8/edit?gid=1285727875#gid=1285727875"",""Sheet1!A2:G""),7,0))"),306.43)</f>
        <v>306.43</v>
      </c>
      <c r="L667" s="62">
        <f t="shared" si="99"/>
        <v>4.144502823</v>
      </c>
      <c r="M667" s="60">
        <f>IFERROR(__xludf.DUMMYFUNCTION("IFERROR(VLOOKUP(C667,IMPORTRANGE(""https://docs.google.com/spreadsheets/d/1HZUHB8NvANAZR0sHDmHYVAm2WE9kNv0pGIQA48Ryim8/edit?gid=1285727875#gid=1285727875"",""Cost!A2:G""),7,0))"),335.0)</f>
        <v>335</v>
      </c>
      <c r="N667" s="62">
        <f t="shared" si="4"/>
        <v>4.149253731</v>
      </c>
      <c r="O667" s="28"/>
      <c r="P667" s="28"/>
      <c r="Q667" s="28"/>
      <c r="R667" s="28"/>
      <c r="S667" s="28"/>
      <c r="T667" s="28"/>
      <c r="U667" s="65"/>
      <c r="V667" s="28"/>
      <c r="W667" s="65"/>
      <c r="X667" s="66" t="s">
        <v>87</v>
      </c>
      <c r="Y667" s="65" t="str">
        <f t="shared" si="6"/>
        <v>URBONA 7810</v>
      </c>
    </row>
    <row r="668">
      <c r="A668" s="18" t="s">
        <v>1189</v>
      </c>
      <c r="B668" s="91">
        <f t="shared" si="103"/>
        <v>7811</v>
      </c>
      <c r="C668" s="15">
        <v>7811.0</v>
      </c>
      <c r="D668" s="18" t="s">
        <v>94</v>
      </c>
      <c r="E668" s="75">
        <v>1990.0</v>
      </c>
      <c r="F668" s="39">
        <v>2180.0</v>
      </c>
      <c r="G668" s="50">
        <f t="shared" si="98"/>
        <v>0.09547738693</v>
      </c>
      <c r="H668" s="28"/>
      <c r="I668" s="55">
        <f t="shared" si="2"/>
        <v>2230.595226</v>
      </c>
      <c r="J668" s="81"/>
      <c r="K668" s="60">
        <f>IFERROR(__xludf.DUMMYFUNCTION("IFERROR(VLOOKUP(C668,IMPORTRANGE(""https://docs.google.com/spreadsheets/d/1HZUHB8NvANAZR0sHDmHYVAm2WE9kNv0pGIQA48Ryim8/edit?gid=1285727875#gid=1285727875"",""Sheet1!A2:G""),7,0))"),592.38)</f>
        <v>592.38</v>
      </c>
      <c r="L668" s="62">
        <f t="shared" si="99"/>
        <v>3.35933016</v>
      </c>
      <c r="M668" s="60">
        <f>IFERROR(__xludf.DUMMYFUNCTION("IFERROR(VLOOKUP(C668,IMPORTRANGE(""https://docs.google.com/spreadsheets/d/1HZUHB8NvANAZR0sHDmHYVAm2WE9kNv0pGIQA48Ryim8/edit?gid=1285727875#gid=1285727875"",""Cost!A2:G""),7,0))"),664.0)</f>
        <v>664</v>
      </c>
      <c r="N668" s="62">
        <f t="shared" si="4"/>
        <v>3.28313253</v>
      </c>
      <c r="O668" s="28"/>
      <c r="P668" s="28"/>
      <c r="Q668" s="28"/>
      <c r="R668" s="28"/>
      <c r="S668" s="28"/>
      <c r="T668" s="28"/>
      <c r="U668" s="65"/>
      <c r="V668" s="28"/>
      <c r="W668" s="65"/>
      <c r="X668" s="66" t="s">
        <v>91</v>
      </c>
      <c r="Y668" s="65" t="str">
        <f t="shared" si="6"/>
        <v>URBONA 7811</v>
      </c>
    </row>
    <row r="669">
      <c r="A669" s="18" t="s">
        <v>1189</v>
      </c>
      <c r="B669" s="91">
        <f t="shared" si="103"/>
        <v>7812</v>
      </c>
      <c r="C669" s="15">
        <v>7812.0</v>
      </c>
      <c r="D669" s="18" t="s">
        <v>97</v>
      </c>
      <c r="E669" s="39">
        <v>2390.0</v>
      </c>
      <c r="F669" s="39">
        <v>2580.0</v>
      </c>
      <c r="G669" s="50">
        <f t="shared" si="98"/>
        <v>0.07949790795</v>
      </c>
      <c r="H669" s="28"/>
      <c r="I669" s="55">
        <f t="shared" si="2"/>
        <v>2672.007885</v>
      </c>
      <c r="J669" s="81"/>
      <c r="K669" s="60">
        <f>IFERROR(__xludf.DUMMYFUNCTION("IFERROR(VLOOKUP(C669,IMPORTRANGE(""https://docs.google.com/spreadsheets/d/1HZUHB8NvANAZR0sHDmHYVAm2WE9kNv0pGIQA48Ryim8/edit?gid=1285727875#gid=1285727875"",""Sheet1!A2:G""),7,0))"),710.2)</f>
        <v>710.2</v>
      </c>
      <c r="L669" s="62">
        <f t="shared" si="99"/>
        <v>3.365249226</v>
      </c>
      <c r="M669" s="60">
        <f>IFERROR(__xludf.DUMMYFUNCTION("IFERROR(VLOOKUP(C669,IMPORTRANGE(""https://docs.google.com/spreadsheets/d/1HZUHB8NvANAZR0sHDmHYVAm2WE9kNv0pGIQA48Ryim8/edit?gid=1285727875#gid=1285727875"",""Cost!A2:G""),7,0))"),794.0)</f>
        <v>794</v>
      </c>
      <c r="N669" s="62">
        <f t="shared" si="4"/>
        <v>3.249370277</v>
      </c>
      <c r="O669" s="28"/>
      <c r="P669" s="28"/>
      <c r="Q669" s="28"/>
      <c r="R669" s="28"/>
      <c r="S669" s="28"/>
      <c r="T669" s="28"/>
      <c r="U669" s="65"/>
      <c r="V669" s="28"/>
      <c r="W669" s="65"/>
      <c r="X669" s="66" t="s">
        <v>95</v>
      </c>
      <c r="Y669" s="65" t="str">
        <f t="shared" si="6"/>
        <v>URBONA 7812</v>
      </c>
    </row>
    <row r="670">
      <c r="A670" s="18" t="s">
        <v>1189</v>
      </c>
      <c r="B670" s="91">
        <f t="shared" si="103"/>
        <v>7814</v>
      </c>
      <c r="C670" s="15">
        <v>7814.0</v>
      </c>
      <c r="D670" s="18" t="s">
        <v>106</v>
      </c>
      <c r="E670" s="75">
        <v>2580.0</v>
      </c>
      <c r="F670" s="39">
        <v>2790.0</v>
      </c>
      <c r="G670" s="50">
        <f t="shared" si="98"/>
        <v>0.08139534884</v>
      </c>
      <c r="H670" s="28"/>
      <c r="I670" s="55">
        <f t="shared" si="2"/>
        <v>2799.827383</v>
      </c>
      <c r="J670" s="81"/>
      <c r="K670" s="60">
        <f>IFERROR(__xludf.DUMMYFUNCTION("IFERROR(VLOOKUP(C670,IMPORTRANGE(""https://docs.google.com/spreadsheets/d/1HZUHB8NvANAZR0sHDmHYVAm2WE9kNv0pGIQA48Ryim8/edit?gid=1285727875#gid=1285727875"",""Sheet1!A2:G""),7,0))"),787.87)</f>
        <v>787.87</v>
      </c>
      <c r="L670" s="62">
        <f t="shared" si="99"/>
        <v>3.27465191</v>
      </c>
      <c r="M670" s="60">
        <f>IFERROR(__xludf.DUMMYFUNCTION("IFERROR(VLOOKUP(C670,IMPORTRANGE(""https://docs.google.com/spreadsheets/d/1HZUHB8NvANAZR0sHDmHYVAm2WE9kNv0pGIQA48Ryim8/edit?gid=1285727875#gid=1285727875"",""Cost!A2:G""),7,0))"),855.0)</f>
        <v>855</v>
      </c>
      <c r="N670" s="62">
        <f t="shared" si="4"/>
        <v>3.263157895</v>
      </c>
      <c r="O670" s="28"/>
      <c r="P670" s="28"/>
      <c r="Q670" s="28"/>
      <c r="R670" s="28"/>
      <c r="S670" s="28"/>
      <c r="T670" s="28"/>
      <c r="U670" s="65"/>
      <c r="V670" s="28"/>
      <c r="W670" s="65"/>
      <c r="X670" s="66" t="s">
        <v>104</v>
      </c>
      <c r="Y670" s="65" t="str">
        <f t="shared" si="6"/>
        <v>URBONA 7814</v>
      </c>
    </row>
    <row r="671">
      <c r="A671" s="18" t="s">
        <v>1189</v>
      </c>
      <c r="B671" s="91">
        <f t="shared" si="103"/>
        <v>7816</v>
      </c>
      <c r="C671" s="15">
        <v>7816.0</v>
      </c>
      <c r="D671" s="18" t="s">
        <v>112</v>
      </c>
      <c r="E671" s="39">
        <v>2280.0</v>
      </c>
      <c r="F671" s="39">
        <v>2490.0</v>
      </c>
      <c r="G671" s="50">
        <f t="shared" si="98"/>
        <v>0.09210526316</v>
      </c>
      <c r="H671" s="28"/>
      <c r="I671" s="55">
        <f t="shared" si="2"/>
        <v>2491.676029</v>
      </c>
      <c r="J671" s="81"/>
      <c r="K671" s="60">
        <f>IFERROR(__xludf.DUMMYFUNCTION("IFERROR(VLOOKUP(C671,IMPORTRANGE(""https://docs.google.com/spreadsheets/d/1HZUHB8NvANAZR0sHDmHYVAm2WE9kNv0pGIQA48Ryim8/edit?gid=1285727875#gid=1285727875"",""Sheet1!A2:G""),7,0))"),685.37)</f>
        <v>685.37</v>
      </c>
      <c r="L671" s="62">
        <f t="shared" si="99"/>
        <v>3.326670266</v>
      </c>
      <c r="M671" s="60">
        <f>IFERROR(__xludf.DUMMYFUNCTION("IFERROR(VLOOKUP(C671,IMPORTRANGE(""https://docs.google.com/spreadsheets/d/1HZUHB8NvANAZR0sHDmHYVAm2WE9kNv0pGIQA48Ryim8/edit?gid=1285727875#gid=1285727875"",""Cost!A2:G""),7,0))"),749.0)</f>
        <v>749</v>
      </c>
      <c r="N671" s="62">
        <f t="shared" si="4"/>
        <v>3.324432577</v>
      </c>
      <c r="O671" s="28"/>
      <c r="P671" s="28"/>
      <c r="Q671" s="28"/>
      <c r="R671" s="28"/>
      <c r="S671" s="28"/>
      <c r="T671" s="28"/>
      <c r="U671" s="65"/>
      <c r="V671" s="28"/>
      <c r="W671" s="65"/>
      <c r="X671" s="66" t="s">
        <v>110</v>
      </c>
      <c r="Y671" s="65" t="str">
        <f t="shared" si="6"/>
        <v>URBONA 7816</v>
      </c>
    </row>
    <row r="672">
      <c r="A672" s="18" t="s">
        <v>1189</v>
      </c>
      <c r="B672" s="91">
        <f t="shared" si="103"/>
        <v>7818</v>
      </c>
      <c r="C672" s="15">
        <v>7818.0</v>
      </c>
      <c r="D672" s="18" t="s">
        <v>119</v>
      </c>
      <c r="E672" s="39">
        <v>1640.0</v>
      </c>
      <c r="F672" s="39">
        <v>1790.0</v>
      </c>
      <c r="G672" s="50">
        <f t="shared" si="98"/>
        <v>0.09146341463</v>
      </c>
      <c r="H672" s="28"/>
      <c r="I672" s="55">
        <f t="shared" si="2"/>
        <v>1840.385738</v>
      </c>
      <c r="J672" s="81"/>
      <c r="K672" s="60">
        <f>IFERROR(__xludf.DUMMYFUNCTION("IFERROR(VLOOKUP(C672,IMPORTRANGE(""https://docs.google.com/spreadsheets/d/1HZUHB8NvANAZR0sHDmHYVAm2WE9kNv0pGIQA48Ryim8/edit?gid=1285727875#gid=1285727875"",""Sheet1!A2:G""),7,0))"),462.49)</f>
        <v>462.49</v>
      </c>
      <c r="L672" s="62">
        <f t="shared" si="99"/>
        <v>3.546022617</v>
      </c>
      <c r="M672" s="60">
        <f>IFERROR(__xludf.DUMMYFUNCTION("IFERROR(VLOOKUP(C672,IMPORTRANGE(""https://docs.google.com/spreadsheets/d/1HZUHB8NvANAZR0sHDmHYVAm2WE9kNv0pGIQA48Ryim8/edit?gid=1285727875#gid=1285727875"",""Cost!A2:G""),7,0))"),519.0)</f>
        <v>519</v>
      </c>
      <c r="N672" s="62">
        <f t="shared" si="4"/>
        <v>3.44894027</v>
      </c>
      <c r="O672" s="28"/>
      <c r="P672" s="28"/>
      <c r="Q672" s="28"/>
      <c r="R672" s="28"/>
      <c r="S672" s="28"/>
      <c r="T672" s="28"/>
      <c r="U672" s="65"/>
      <c r="V672" s="28"/>
      <c r="W672" s="65"/>
      <c r="X672" s="66" t="s">
        <v>117</v>
      </c>
      <c r="Y672" s="65" t="str">
        <f t="shared" si="6"/>
        <v>URBONA 7818</v>
      </c>
    </row>
    <row r="673">
      <c r="A673" s="18" t="s">
        <v>1189</v>
      </c>
      <c r="B673" s="91">
        <f t="shared" si="103"/>
        <v>7820</v>
      </c>
      <c r="C673" s="15">
        <v>7820.0</v>
      </c>
      <c r="D673" s="18" t="s">
        <v>122</v>
      </c>
      <c r="E673" s="39">
        <v>1690.0</v>
      </c>
      <c r="F673" s="39">
        <v>1840.0</v>
      </c>
      <c r="G673" s="50">
        <f t="shared" si="98"/>
        <v>0.08875739645</v>
      </c>
      <c r="H673" s="28"/>
      <c r="I673" s="55">
        <f t="shared" si="2"/>
        <v>1899.772303</v>
      </c>
      <c r="J673" s="81"/>
      <c r="K673" s="60">
        <f>IFERROR(__xludf.DUMMYFUNCTION("IFERROR(VLOOKUP(C673,IMPORTRANGE(""https://docs.google.com/spreadsheets/d/1HZUHB8NvANAZR0sHDmHYVAm2WE9kNv0pGIQA48Ryim8/edit?gid=1285727875#gid=1285727875"",""Sheet1!A2:G""),7,0))"),487.49)</f>
        <v>487.49</v>
      </c>
      <c r="L673" s="62">
        <f t="shared" si="99"/>
        <v>3.466737779</v>
      </c>
      <c r="M673" s="60">
        <f>IFERROR(__xludf.DUMMYFUNCTION("IFERROR(VLOOKUP(C673,IMPORTRANGE(""https://docs.google.com/spreadsheets/d/1HZUHB8NvANAZR0sHDmHYVAm2WE9kNv0pGIQA48Ryim8/edit?gid=1285727875#gid=1285727875"",""Cost!A2:G""),7,0))"),548.0)</f>
        <v>548</v>
      </c>
      <c r="N673" s="62">
        <f t="shared" si="4"/>
        <v>3.357664234</v>
      </c>
      <c r="O673" s="28"/>
      <c r="P673" s="28"/>
      <c r="Q673" s="28"/>
      <c r="R673" s="28"/>
      <c r="S673" s="28"/>
      <c r="T673" s="28"/>
      <c r="U673" s="65"/>
      <c r="V673" s="28"/>
      <c r="W673" s="65"/>
      <c r="X673" s="66" t="s">
        <v>120</v>
      </c>
      <c r="Y673" s="65" t="str">
        <f t="shared" si="6"/>
        <v>URBONA 7820</v>
      </c>
    </row>
    <row r="674">
      <c r="A674" s="18" t="s">
        <v>1189</v>
      </c>
      <c r="B674" s="91">
        <f t="shared" si="103"/>
        <v>7850</v>
      </c>
      <c r="C674" s="15">
        <v>7850.0</v>
      </c>
      <c r="D674" s="18" t="s">
        <v>136</v>
      </c>
      <c r="E674" s="39">
        <v>4980.0</v>
      </c>
      <c r="F674" s="39">
        <v>5480.0</v>
      </c>
      <c r="G674" s="50">
        <f t="shared" si="98"/>
        <v>0.1004016064</v>
      </c>
      <c r="H674" s="28"/>
      <c r="I674" s="55">
        <f t="shared" si="2"/>
        <v>5481.934614</v>
      </c>
      <c r="J674" s="81"/>
      <c r="K674" s="60">
        <f>IFERROR(__xludf.DUMMYFUNCTION("IFERROR(VLOOKUP(C674,IMPORTRANGE(""https://docs.google.com/spreadsheets/d/1HZUHB8NvANAZR0sHDmHYVAm2WE9kNv0pGIQA48Ryim8/edit?gid=1285727875#gid=1285727875"",""Sheet1!A2:G""),7,0))"),1239.11)</f>
        <v>1239.11</v>
      </c>
      <c r="L674" s="62">
        <f t="shared" si="99"/>
        <v>4.019013647</v>
      </c>
      <c r="M674" s="60">
        <f>IFERROR(__xludf.DUMMYFUNCTION("IFERROR(VLOOKUP(C674,IMPORTRANGE(""https://docs.google.com/spreadsheets/d/1HZUHB8NvANAZR0sHDmHYVAm2WE9kNv0pGIQA48Ryim8/edit?gid=1285727875#gid=1285727875"",""Cost!A2:G""),7,0))"),1364.0)</f>
        <v>1364</v>
      </c>
      <c r="N674" s="62">
        <f t="shared" si="4"/>
        <v>4.017595308</v>
      </c>
      <c r="O674" s="28"/>
      <c r="P674" s="28"/>
      <c r="Q674" s="28"/>
      <c r="R674" s="28"/>
      <c r="S674" s="28"/>
      <c r="T674" s="28"/>
      <c r="U674" s="65"/>
      <c r="V674" s="28"/>
      <c r="W674" s="65"/>
      <c r="X674" s="66" t="s">
        <v>134</v>
      </c>
      <c r="Y674" s="65" t="str">
        <f t="shared" si="6"/>
        <v>URBONA 7850</v>
      </c>
    </row>
    <row r="675">
      <c r="A675" s="18" t="s">
        <v>1189</v>
      </c>
      <c r="B675" s="91">
        <f t="shared" si="103"/>
        <v>7851</v>
      </c>
      <c r="C675" s="15">
        <v>7851.0</v>
      </c>
      <c r="D675" s="18" t="s">
        <v>141</v>
      </c>
      <c r="E675" s="39">
        <v>4980.0</v>
      </c>
      <c r="F675" s="39">
        <v>5480.0</v>
      </c>
      <c r="G675" s="50">
        <f t="shared" si="98"/>
        <v>0.1004016064</v>
      </c>
      <c r="H675" s="28"/>
      <c r="I675" s="55">
        <f t="shared" si="2"/>
        <v>5590.528479</v>
      </c>
      <c r="J675" s="81"/>
      <c r="K675" s="60">
        <f>IFERROR(__xludf.DUMMYFUNCTION("IFERROR(VLOOKUP(C675,IMPORTRANGE(""https://docs.google.com/spreadsheets/d/1HZUHB8NvANAZR0sHDmHYVAm2WE9kNv0pGIQA48Ryim8/edit?gid=1285727875#gid=1285727875"",""Sheet1!A2:G""),7,0))"),978.09)</f>
        <v>978.09</v>
      </c>
      <c r="L675" s="62">
        <f t="shared" si="99"/>
        <v>5.091555992</v>
      </c>
      <c r="M675" s="60">
        <f>IFERROR(__xludf.DUMMYFUNCTION("IFERROR(VLOOKUP(C675,IMPORTRANGE(""https://docs.google.com/spreadsheets/d/1HZUHB8NvANAZR0sHDmHYVAm2WE9kNv0pGIQA48Ryim8/edit?gid=1285727875#gid=1285727875"",""Cost!A2:G""),7,0))"),1098.0)</f>
        <v>1098</v>
      </c>
      <c r="N675" s="62">
        <f t="shared" si="4"/>
        <v>4.990892532</v>
      </c>
      <c r="O675" s="28"/>
      <c r="P675" s="28"/>
      <c r="Q675" s="28"/>
      <c r="R675" s="28"/>
      <c r="S675" s="28"/>
      <c r="T675" s="28"/>
      <c r="U675" s="65"/>
      <c r="V675" s="28"/>
      <c r="W675" s="65"/>
      <c r="X675" s="66" t="s">
        <v>139</v>
      </c>
      <c r="Y675" s="65" t="str">
        <f t="shared" si="6"/>
        <v>URBONA 7851</v>
      </c>
    </row>
    <row r="676">
      <c r="A676" s="18" t="s">
        <v>1189</v>
      </c>
      <c r="B676" s="91">
        <f t="shared" si="103"/>
        <v>7852</v>
      </c>
      <c r="C676" s="15">
        <v>7852.0</v>
      </c>
      <c r="D676" s="18" t="s">
        <v>147</v>
      </c>
      <c r="E676" s="39">
        <v>6280.0</v>
      </c>
      <c r="F676" s="39">
        <v>6990.0</v>
      </c>
      <c r="G676" s="50">
        <f t="shared" si="98"/>
        <v>0.1130573248</v>
      </c>
      <c r="H676" s="28"/>
      <c r="I676" s="55">
        <f t="shared" si="2"/>
        <v>7010.287129</v>
      </c>
      <c r="J676" s="81"/>
      <c r="K676" s="60">
        <f>IFERROR(__xludf.DUMMYFUNCTION("IFERROR(VLOOKUP(C676,IMPORTRANGE(""https://docs.google.com/spreadsheets/d/1HZUHB8NvANAZR0sHDmHYVAm2WE9kNv0pGIQA48Ryim8/edit?gid=1285727875#gid=1285727875"",""Sheet1!A2:G""),7,0))"),1712.82)</f>
        <v>1712.82</v>
      </c>
      <c r="L676" s="62">
        <f t="shared" si="99"/>
        <v>3.666468164</v>
      </c>
      <c r="M676" s="60">
        <f>IFERROR(__xludf.DUMMYFUNCTION("IFERROR(VLOOKUP(C676,IMPORTRANGE(""https://docs.google.com/spreadsheets/d/1HZUHB8NvANAZR0sHDmHYVAm2WE9kNv0pGIQA48Ryim8/edit?gid=1285727875#gid=1285727875"",""Cost!A2:G""),7,0))"),1912.0)</f>
        <v>1912</v>
      </c>
      <c r="N676" s="62">
        <f t="shared" si="4"/>
        <v>3.655857741</v>
      </c>
      <c r="O676" s="28"/>
      <c r="P676" s="28"/>
      <c r="Q676" s="28"/>
      <c r="R676" s="28"/>
      <c r="S676" s="28"/>
      <c r="T676" s="28"/>
      <c r="U676" s="65"/>
      <c r="V676" s="28"/>
      <c r="W676" s="65"/>
      <c r="X676" s="66" t="s">
        <v>144</v>
      </c>
      <c r="Y676" s="65" t="str">
        <f t="shared" si="6"/>
        <v>URBONA 7852</v>
      </c>
    </row>
    <row r="677">
      <c r="A677" s="18" t="s">
        <v>1189</v>
      </c>
      <c r="B677" s="91">
        <f t="shared" si="103"/>
        <v>7854</v>
      </c>
      <c r="C677" s="15">
        <v>7854.0</v>
      </c>
      <c r="D677" s="18" t="s">
        <v>152</v>
      </c>
      <c r="E677" s="75">
        <f t="shared" ref="E677:F677" si="104">SUM(E678:E679)</f>
        <v>6140</v>
      </c>
      <c r="F677" s="75">
        <f t="shared" si="104"/>
        <v>6680</v>
      </c>
      <c r="G677" s="50">
        <f t="shared" si="98"/>
        <v>0.08794788274</v>
      </c>
      <c r="H677" s="28"/>
      <c r="I677" s="55">
        <f t="shared" si="2"/>
        <v>6667.084846</v>
      </c>
      <c r="J677" s="81"/>
      <c r="K677" s="60">
        <f>IFERROR(__xludf.DUMMYFUNCTION("IFERROR(VLOOKUP(C677,IMPORTRANGE(""https://docs.google.com/spreadsheets/d/1HZUHB8NvANAZR0sHDmHYVAm2WE9kNv0pGIQA48Ryim8/edit?gid=1285727875#gid=1285727875"",""Sheet1!A2:G""),7,0))"),1642.04)</f>
        <v>1642.04</v>
      </c>
      <c r="L677" s="62">
        <f t="shared" si="99"/>
        <v>3.739251175</v>
      </c>
      <c r="M677" s="60">
        <f>IFERROR(__xludf.DUMMYFUNCTION("IFERROR(VLOOKUP(C677,IMPORTRANGE(""https://docs.google.com/spreadsheets/d/1HZUHB8NvANAZR0sHDmHYVAm2WE9kNv0pGIQA48Ryim8/edit?gid=1285727875#gid=1285727875"",""Cost!A2:G""),7,0))"),1783.0)</f>
        <v>1783</v>
      </c>
      <c r="N677" s="62">
        <f t="shared" si="4"/>
        <v>3.746494672</v>
      </c>
      <c r="O677" s="28"/>
      <c r="P677" s="28"/>
      <c r="Q677" s="28"/>
      <c r="R677" s="28"/>
      <c r="S677" s="28"/>
      <c r="T677" s="28"/>
      <c r="U677" s="65"/>
      <c r="V677" s="28"/>
      <c r="W677" s="65"/>
      <c r="X677" s="66" t="s">
        <v>150</v>
      </c>
      <c r="Y677" s="65" t="str">
        <f t="shared" si="6"/>
        <v>URBONA 7854</v>
      </c>
    </row>
    <row r="678">
      <c r="A678" s="18" t="s">
        <v>1189</v>
      </c>
      <c r="B678" s="91" t="str">
        <f t="shared" si="103"/>
        <v>BD-40</v>
      </c>
      <c r="C678" s="15" t="s">
        <v>154</v>
      </c>
      <c r="D678" s="18" t="s">
        <v>156</v>
      </c>
      <c r="E678" s="39">
        <v>3680.0</v>
      </c>
      <c r="F678" s="39">
        <v>3990.0</v>
      </c>
      <c r="G678" s="50">
        <f t="shared" si="98"/>
        <v>0.08423913043</v>
      </c>
      <c r="H678" s="28"/>
      <c r="I678" s="55">
        <f t="shared" si="2"/>
        <v>4075.59981</v>
      </c>
      <c r="J678" s="81"/>
      <c r="K678" s="60">
        <f>IFERROR(__xludf.DUMMYFUNCTION("IFERROR(VLOOKUP(C678,IMPORTRANGE(""https://docs.google.com/spreadsheets/d/1HZUHB8NvANAZR0sHDmHYVAm2WE9kNv0pGIQA48Ryim8/edit?gid=1285727875#gid=1285727875"",""Sheet1!A2:G""),7,0))"),966.14)</f>
        <v>966.14</v>
      </c>
      <c r="L678" s="62">
        <f t="shared" si="99"/>
        <v>3.808971785</v>
      </c>
      <c r="M678" s="60">
        <f>IFERROR(__xludf.DUMMYFUNCTION("IFERROR(VLOOKUP(C678,IMPORTRANGE(""https://docs.google.com/spreadsheets/d/1HZUHB8NvANAZR0sHDmHYVAm2WE9kNv0pGIQA48Ryim8/edit?gid=1285727875#gid=1285727875"",""Cost!A2:G""),7,0))"),1070.0)</f>
        <v>1070</v>
      </c>
      <c r="N678" s="62">
        <f t="shared" si="4"/>
        <v>3.728971963</v>
      </c>
      <c r="O678" s="28"/>
      <c r="P678" s="28"/>
      <c r="Q678" s="28"/>
      <c r="R678" s="28"/>
      <c r="S678" s="28"/>
      <c r="T678" s="28"/>
      <c r="U678" s="65"/>
      <c r="V678" s="28"/>
      <c r="W678" s="65"/>
      <c r="X678" s="66" t="s">
        <v>154</v>
      </c>
      <c r="Y678" s="65" t="str">
        <f t="shared" si="6"/>
        <v>URBONA 78BD-40</v>
      </c>
    </row>
    <row r="679">
      <c r="A679" s="18" t="s">
        <v>1189</v>
      </c>
      <c r="B679" s="91" t="str">
        <f t="shared" si="103"/>
        <v>BB-78</v>
      </c>
      <c r="C679" s="15" t="s">
        <v>1191</v>
      </c>
      <c r="D679" s="18" t="s">
        <v>78</v>
      </c>
      <c r="E679" s="39">
        <v>2460.0</v>
      </c>
      <c r="F679" s="39">
        <v>2690.0</v>
      </c>
      <c r="G679" s="50">
        <f t="shared" si="98"/>
        <v>0.09349593496</v>
      </c>
      <c r="H679" s="28"/>
      <c r="I679" s="55">
        <f t="shared" si="2"/>
        <v>2687.118263</v>
      </c>
      <c r="J679" s="81"/>
      <c r="K679" s="60">
        <f>IFERROR(__xludf.DUMMYFUNCTION("IFERROR(VLOOKUP(C679,IMPORTRANGE(""https://docs.google.com/spreadsheets/d/1HZUHB8NvANAZR0sHDmHYVAm2WE9kNv0pGIQA48Ryim8/edit?gid=1285727875#gid=1285727875"",""Sheet1!A2:G""),7,0))"),649.99)</f>
        <v>649.99</v>
      </c>
      <c r="L679" s="62">
        <f t="shared" si="99"/>
        <v>3.78467361</v>
      </c>
      <c r="M679" s="60">
        <f>IFERROR(__xludf.DUMMYFUNCTION("IFERROR(VLOOKUP(C679,IMPORTRANGE(""https://docs.google.com/spreadsheets/d/1HZUHB8NvANAZR0sHDmHYVAm2WE9kNv0pGIQA48Ryim8/edit?gid=1285727875#gid=1285727875"",""Cost!A2:G""),7,0))"),710.0)</f>
        <v>710</v>
      </c>
      <c r="N679" s="62">
        <f t="shared" si="4"/>
        <v>3.788732394</v>
      </c>
      <c r="O679" s="28"/>
      <c r="P679" s="28"/>
      <c r="Q679" s="28"/>
      <c r="R679" s="28"/>
      <c r="S679" s="28"/>
      <c r="T679" s="28"/>
      <c r="U679" s="65"/>
      <c r="V679" s="28"/>
      <c r="W679" s="65"/>
      <c r="X679" s="66" t="s">
        <v>159</v>
      </c>
      <c r="Y679" s="65" t="str">
        <f t="shared" si="6"/>
        <v>URBONA 78BB</v>
      </c>
    </row>
    <row r="680">
      <c r="A680" s="18" t="s">
        <v>1189</v>
      </c>
      <c r="B680" s="91">
        <f t="shared" si="103"/>
        <v>7855</v>
      </c>
      <c r="C680" s="15">
        <v>7855.0</v>
      </c>
      <c r="D680" s="18" t="s">
        <v>164</v>
      </c>
      <c r="E680" s="39">
        <v>4980.0</v>
      </c>
      <c r="F680" s="39">
        <v>5450.0</v>
      </c>
      <c r="G680" s="50">
        <f t="shared" si="98"/>
        <v>0.09437751004</v>
      </c>
      <c r="H680" s="28"/>
      <c r="I680" s="55">
        <f t="shared" si="2"/>
        <v>5746.616063</v>
      </c>
      <c r="J680" s="81"/>
      <c r="K680" s="60">
        <f>IFERROR(__xludf.DUMMYFUNCTION("IFERROR(VLOOKUP(C680,IMPORTRANGE(""https://docs.google.com/spreadsheets/d/1HZUHB8NvANAZR0sHDmHYVAm2WE9kNv0pGIQA48Ryim8/edit?gid=1285727875#gid=1285727875"",""Sheet1!A2:G""),7,0))"),1367.49)</f>
        <v>1367.49</v>
      </c>
      <c r="L680" s="62">
        <f t="shared" si="99"/>
        <v>3.641708532</v>
      </c>
      <c r="M680" s="60">
        <f>IFERROR(__xludf.DUMMYFUNCTION("IFERROR(VLOOKUP(C680,IMPORTRANGE(""https://docs.google.com/spreadsheets/d/1HZUHB8NvANAZR0sHDmHYVAm2WE9kNv0pGIQA48Ryim8/edit?gid=1285727875#gid=1285727875"",""Cost!A2:G""),7,0))"),1578.0)</f>
        <v>1578</v>
      </c>
      <c r="N680" s="62">
        <f t="shared" si="4"/>
        <v>3.45373891</v>
      </c>
      <c r="O680" s="28"/>
      <c r="P680" s="28"/>
      <c r="Q680" s="28"/>
      <c r="R680" s="28"/>
      <c r="S680" s="28"/>
      <c r="T680" s="28"/>
      <c r="U680" s="65"/>
      <c r="V680" s="28"/>
      <c r="W680" s="65"/>
      <c r="X680" s="66" t="s">
        <v>162</v>
      </c>
      <c r="Y680" s="65" t="str">
        <f t="shared" si="6"/>
        <v>URBONA 7855</v>
      </c>
    </row>
    <row r="681">
      <c r="A681" s="18" t="s">
        <v>1189</v>
      </c>
      <c r="B681" s="91">
        <f t="shared" si="103"/>
        <v>7870</v>
      </c>
      <c r="C681" s="15">
        <v>7870.0</v>
      </c>
      <c r="D681" s="18" t="s">
        <v>186</v>
      </c>
      <c r="E681" s="39">
        <v>6680.0</v>
      </c>
      <c r="F681" s="39">
        <v>7380.0</v>
      </c>
      <c r="G681" s="50">
        <f t="shared" si="98"/>
        <v>0.1047904192</v>
      </c>
      <c r="H681" s="28"/>
      <c r="I681" s="55">
        <f t="shared" si="2"/>
        <v>7673.318775</v>
      </c>
      <c r="J681" s="81"/>
      <c r="K681" s="60">
        <f>IFERROR(__xludf.DUMMYFUNCTION("IFERROR(VLOOKUP(C681,IMPORTRANGE(""https://docs.google.com/spreadsheets/d/1HZUHB8NvANAZR0sHDmHYVAm2WE9kNv0pGIQA48Ryim8/edit?gid=1285727875#gid=1285727875"",""Sheet1!A2:G""),7,0))"),1918.69)</f>
        <v>1918.69</v>
      </c>
      <c r="L681" s="62">
        <f t="shared" si="99"/>
        <v>3.481542094</v>
      </c>
      <c r="M681" s="60">
        <f>IFERROR(__xludf.DUMMYFUNCTION("IFERROR(VLOOKUP(C681,IMPORTRANGE(""https://docs.google.com/spreadsheets/d/1HZUHB8NvANAZR0sHDmHYVAm2WE9kNv0pGIQA48Ryim8/edit?gid=1285727875#gid=1285727875"",""Cost!A2:G""),7,0))"),2204.0)</f>
        <v>2204</v>
      </c>
      <c r="N681" s="62">
        <f t="shared" si="4"/>
        <v>3.34845735</v>
      </c>
      <c r="O681" s="28"/>
      <c r="P681" s="28"/>
      <c r="Q681" s="28"/>
      <c r="R681" s="28"/>
      <c r="S681" s="28"/>
      <c r="T681" s="28"/>
      <c r="U681" s="65"/>
      <c r="V681" s="28"/>
      <c r="W681" s="65"/>
      <c r="X681" s="66" t="s">
        <v>184</v>
      </c>
      <c r="Y681" s="65" t="str">
        <f t="shared" si="6"/>
        <v>URBONA 7870</v>
      </c>
    </row>
    <row r="682">
      <c r="A682" s="18" t="s">
        <v>1189</v>
      </c>
      <c r="B682" s="91">
        <f t="shared" si="103"/>
        <v>7871</v>
      </c>
      <c r="C682" s="15">
        <v>7871.0</v>
      </c>
      <c r="D682" s="18" t="s">
        <v>192</v>
      </c>
      <c r="E682" s="39">
        <v>5980.0</v>
      </c>
      <c r="F682" s="39">
        <v>6580.0</v>
      </c>
      <c r="G682" s="50">
        <f t="shared" si="98"/>
        <v>0.1003344482</v>
      </c>
      <c r="H682" s="28"/>
      <c r="I682" s="55">
        <f t="shared" si="2"/>
        <v>6840.466012</v>
      </c>
      <c r="J682" s="81"/>
      <c r="K682" s="60">
        <f>IFERROR(__xludf.DUMMYFUNCTION("IFERROR(VLOOKUP(C682,IMPORTRANGE(""https://docs.google.com/spreadsheets/d/1HZUHB8NvANAZR0sHDmHYVAm2WE9kNv0pGIQA48Ryim8/edit?gid=1285727875#gid=1285727875"",""Sheet1!A2:G""),7,0))"),1702.96)</f>
        <v>1702.96</v>
      </c>
      <c r="L682" s="62">
        <f t="shared" si="99"/>
        <v>3.51153286</v>
      </c>
      <c r="M682" s="60">
        <f>IFERROR(__xludf.DUMMYFUNCTION("IFERROR(VLOOKUP(C682,IMPORTRANGE(""https://docs.google.com/spreadsheets/d/1HZUHB8NvANAZR0sHDmHYVAm2WE9kNv0pGIQA48Ryim8/edit?gid=1285727875#gid=1285727875"",""Cost!A2:G""),7,0))"),1948.0)</f>
        <v>1948</v>
      </c>
      <c r="N682" s="62">
        <f t="shared" si="4"/>
        <v>3.377823409</v>
      </c>
      <c r="O682" s="28"/>
      <c r="P682" s="28"/>
      <c r="Q682" s="28"/>
      <c r="R682" s="28"/>
      <c r="S682" s="28"/>
      <c r="T682" s="28"/>
      <c r="U682" s="65"/>
      <c r="V682" s="28"/>
      <c r="W682" s="65"/>
      <c r="X682" s="66" t="s">
        <v>190</v>
      </c>
      <c r="Y682" s="65" t="str">
        <f t="shared" si="6"/>
        <v>URBONA 7871</v>
      </c>
    </row>
    <row r="683">
      <c r="A683" s="18" t="s">
        <v>1189</v>
      </c>
      <c r="B683" s="91">
        <f t="shared" si="103"/>
        <v>7875</v>
      </c>
      <c r="C683" s="15">
        <v>7875.0</v>
      </c>
      <c r="D683" s="18" t="s">
        <v>196</v>
      </c>
      <c r="E683" s="39">
        <v>6680.0</v>
      </c>
      <c r="F683" s="39">
        <v>7380.0</v>
      </c>
      <c r="G683" s="50">
        <f t="shared" si="98"/>
        <v>0.1047904192</v>
      </c>
      <c r="H683" s="28"/>
      <c r="I683" s="55">
        <f t="shared" si="2"/>
        <v>7685.481134</v>
      </c>
      <c r="J683" s="81"/>
      <c r="K683" s="60">
        <f>IFERROR(__xludf.DUMMYFUNCTION("IFERROR(VLOOKUP(C683,IMPORTRANGE(""https://docs.google.com/spreadsheets/d/1HZUHB8NvANAZR0sHDmHYVAm2WE9kNv0pGIQA48Ryim8/edit?gid=1285727875#gid=1285727875"",""Sheet1!A2:G""),7,0))"),1856.55)</f>
        <v>1856.55</v>
      </c>
      <c r="L683" s="62">
        <f t="shared" si="99"/>
        <v>3.598071692</v>
      </c>
      <c r="M683" s="60">
        <f>IFERROR(__xludf.DUMMYFUNCTION("IFERROR(VLOOKUP(C683,IMPORTRANGE(""https://docs.google.com/spreadsheets/d/1HZUHB8NvANAZR0sHDmHYVAm2WE9kNv0pGIQA48Ryim8/edit?gid=1285727875#gid=1285727875"",""Cost!A2:G""),7,0))"),2136.0)</f>
        <v>2136</v>
      </c>
      <c r="N683" s="62">
        <f t="shared" si="4"/>
        <v>3.45505618</v>
      </c>
      <c r="O683" s="28"/>
      <c r="P683" s="28"/>
      <c r="Q683" s="28"/>
      <c r="R683" s="28"/>
      <c r="S683" s="28"/>
      <c r="T683" s="28"/>
      <c r="U683" s="65"/>
      <c r="V683" s="28"/>
      <c r="W683" s="65"/>
      <c r="X683" s="66" t="s">
        <v>194</v>
      </c>
      <c r="Y683" s="65" t="str">
        <f t="shared" si="6"/>
        <v>URBONA 7875</v>
      </c>
    </row>
    <row r="684">
      <c r="A684" s="18" t="s">
        <v>1189</v>
      </c>
      <c r="B684" s="91">
        <f t="shared" si="103"/>
        <v>7876</v>
      </c>
      <c r="C684" s="15">
        <v>7876.0</v>
      </c>
      <c r="D684" s="18" t="s">
        <v>200</v>
      </c>
      <c r="E684" s="39">
        <v>9240.0</v>
      </c>
      <c r="F684" s="39">
        <v>10980.0</v>
      </c>
      <c r="G684" s="50">
        <f t="shared" si="98"/>
        <v>0.1883116883</v>
      </c>
      <c r="H684" s="28"/>
      <c r="I684" s="55">
        <f t="shared" si="2"/>
        <v>10404.30077</v>
      </c>
      <c r="J684" s="81"/>
      <c r="K684" s="60">
        <f>IFERROR(__xludf.DUMMYFUNCTION("IFERROR(VLOOKUP(C684,IMPORTRANGE(""https://docs.google.com/spreadsheets/d/1HZUHB8NvANAZR0sHDmHYVAm2WE9kNv0pGIQA48Ryim8/edit?gid=1285727875#gid=1285727875"",""Sheet1!A2:G""),7,0))"),3089.68)</f>
        <v>3089.68</v>
      </c>
      <c r="L684" s="62">
        <f t="shared" si="99"/>
        <v>2.990600968</v>
      </c>
      <c r="M684" s="60">
        <f>IFERROR(__xludf.DUMMYFUNCTION("IFERROR(VLOOKUP(C684,IMPORTRANGE(""https://docs.google.com/spreadsheets/d/1HZUHB8NvANAZR0sHDmHYVAm2WE9kNv0pGIQA48Ryim8/edit?gid=1285727875#gid=1285727875"",""Cost!A2:G""),7,0))"),3479.0)</f>
        <v>3479</v>
      </c>
      <c r="N684" s="62">
        <f t="shared" si="4"/>
        <v>3.156079333</v>
      </c>
      <c r="O684" s="28"/>
      <c r="P684" s="28"/>
      <c r="Q684" s="28"/>
      <c r="R684" s="28"/>
      <c r="S684" s="28"/>
      <c r="T684" s="28"/>
      <c r="U684" s="65"/>
      <c r="V684" s="28"/>
      <c r="W684" s="65"/>
      <c r="X684" s="66" t="s">
        <v>198</v>
      </c>
      <c r="Y684" s="65" t="str">
        <f t="shared" si="6"/>
        <v>URBONA 7876</v>
      </c>
    </row>
    <row r="685">
      <c r="A685" s="18" t="s">
        <v>1189</v>
      </c>
      <c r="B685" s="91">
        <f t="shared" si="103"/>
        <v>7880</v>
      </c>
      <c r="C685" s="15">
        <v>7880.0</v>
      </c>
      <c r="D685" s="18" t="s">
        <v>205</v>
      </c>
      <c r="E685" s="39">
        <v>7640.0</v>
      </c>
      <c r="F685" s="39">
        <v>8720.0</v>
      </c>
      <c r="G685" s="50">
        <f t="shared" si="98"/>
        <v>0.1413612565</v>
      </c>
      <c r="H685" s="28"/>
      <c r="I685" s="55">
        <f t="shared" si="2"/>
        <v>8722.002611</v>
      </c>
      <c r="J685" s="81"/>
      <c r="K685" s="60">
        <f>IFERROR(__xludf.DUMMYFUNCTION("IFERROR(VLOOKUP(C685,IMPORTRANGE(""https://docs.google.com/spreadsheets/d/1HZUHB8NvANAZR0sHDmHYVAm2WE9kNv0pGIQA48Ryim8/edit?gid=1285727875#gid=1285727875"",""Sheet1!A2:G""),7,0))"),2190.74)</f>
        <v>2190.74</v>
      </c>
      <c r="L685" s="62">
        <f t="shared" si="99"/>
        <v>3.487406082</v>
      </c>
      <c r="M685" s="60">
        <f>IFERROR(__xludf.DUMMYFUNCTION("IFERROR(VLOOKUP(C685,IMPORTRANGE(""https://docs.google.com/spreadsheets/d/1HZUHB8NvANAZR0sHDmHYVAm2WE9kNv0pGIQA48Ryim8/edit?gid=1285727875#gid=1285727875"",""Cost!A2:G""),7,0))"),2501.0)</f>
        <v>2501</v>
      </c>
      <c r="N685" s="62">
        <f t="shared" si="4"/>
        <v>3.486605358</v>
      </c>
      <c r="O685" s="28"/>
      <c r="P685" s="28"/>
      <c r="Q685" s="28"/>
      <c r="R685" s="28"/>
      <c r="S685" s="28"/>
      <c r="T685" s="28"/>
      <c r="U685" s="65"/>
      <c r="V685" s="28"/>
      <c r="W685" s="65"/>
      <c r="X685" s="66" t="s">
        <v>203</v>
      </c>
      <c r="Y685" s="65" t="str">
        <f t="shared" si="6"/>
        <v>URBONA 7880</v>
      </c>
    </row>
    <row r="686">
      <c r="A686" s="18" t="s">
        <v>1189</v>
      </c>
      <c r="B686" s="91" t="str">
        <f t="shared" si="103"/>
        <v>7891-N</v>
      </c>
      <c r="C686" s="15" t="s">
        <v>1192</v>
      </c>
      <c r="D686" s="18" t="s">
        <v>210</v>
      </c>
      <c r="E686" s="75">
        <f t="shared" ref="E686:F686" si="105">SUM(E687:E688)</f>
        <v>6080</v>
      </c>
      <c r="F686" s="75">
        <f t="shared" si="105"/>
        <v>6560</v>
      </c>
      <c r="G686" s="50">
        <f t="shared" si="98"/>
        <v>0.07894736842</v>
      </c>
      <c r="H686" s="28"/>
      <c r="I686" s="55">
        <f t="shared" si="2"/>
        <v>6686.952907</v>
      </c>
      <c r="J686" s="81"/>
      <c r="K686" s="60">
        <f>IFERROR(__xludf.DUMMYFUNCTION("IFERROR(VLOOKUP(C686,IMPORTRANGE(""https://docs.google.com/spreadsheets/d/1HZUHB8NvANAZR0sHDmHYVAm2WE9kNv0pGIQA48Ryim8/edit?gid=1285727875#gid=1285727875"",""Sheet1!A2:G""),7,0))"),1683.9)</f>
        <v>1683.9</v>
      </c>
      <c r="L686" s="62">
        <f t="shared" si="99"/>
        <v>3.610665716</v>
      </c>
      <c r="M686" s="60">
        <f>IFERROR(__xludf.DUMMYFUNCTION("IFERROR(VLOOKUP(C686,IMPORTRANGE(""https://docs.google.com/spreadsheets/d/1HZUHB8NvANAZR0sHDmHYVAm2WE9kNv0pGIQA48Ryim8/edit?gid=1285727875#gid=1285727875"",""Cost!A2:G""),7,0))"),1852.0)</f>
        <v>1852</v>
      </c>
      <c r="N686" s="62">
        <f t="shared" si="4"/>
        <v>3.542116631</v>
      </c>
      <c r="O686" s="28"/>
      <c r="P686" s="28"/>
      <c r="Q686" s="28"/>
      <c r="R686" s="28"/>
      <c r="S686" s="28"/>
      <c r="T686" s="28"/>
      <c r="U686" s="65"/>
      <c r="V686" s="28"/>
      <c r="W686" s="65"/>
      <c r="X686" s="66" t="s">
        <v>209</v>
      </c>
      <c r="Y686" s="65" t="str">
        <f t="shared" si="6"/>
        <v>URBONA 7891</v>
      </c>
    </row>
    <row r="687">
      <c r="A687" s="18" t="s">
        <v>1189</v>
      </c>
      <c r="B687" s="91" t="str">
        <f t="shared" si="103"/>
        <v>PD-40-N</v>
      </c>
      <c r="C687" s="15" t="s">
        <v>212</v>
      </c>
      <c r="D687" s="18" t="s">
        <v>214</v>
      </c>
      <c r="E687" s="39">
        <v>4240.0</v>
      </c>
      <c r="F687" s="39">
        <v>4580.0</v>
      </c>
      <c r="G687" s="50">
        <f t="shared" si="98"/>
        <v>0.08018867925</v>
      </c>
      <c r="H687" s="28"/>
      <c r="I687" s="55">
        <f t="shared" si="2"/>
        <v>4549.622554</v>
      </c>
      <c r="J687" s="81"/>
      <c r="K687" s="60">
        <f>IFERROR(__xludf.DUMMYFUNCTION("IFERROR(VLOOKUP(C687,IMPORTRANGE(""https://docs.google.com/spreadsheets/d/1HZUHB8NvANAZR0sHDmHYVAm2WE9kNv0pGIQA48Ryim8/edit?gid=1285727875#gid=1285727875"",""Sheet1!A2:G""),7,0))"),1298.2)</f>
        <v>1298.2</v>
      </c>
      <c r="L687" s="62">
        <f t="shared" si="99"/>
        <v>3.266060699</v>
      </c>
      <c r="M687" s="60">
        <f>IFERROR(__xludf.DUMMYFUNCTION("IFERROR(VLOOKUP(C687,IMPORTRANGE(""https://docs.google.com/spreadsheets/d/1HZUHB8NvANAZR0sHDmHYVAm2WE9kNv0pGIQA48Ryim8/edit?gid=1285727875#gid=1285727875"",""Cost!A2:G""),7,0))"),1393.0)</f>
        <v>1393</v>
      </c>
      <c r="N687" s="62">
        <f t="shared" si="4"/>
        <v>3.287867911</v>
      </c>
      <c r="O687" s="28"/>
      <c r="P687" s="28"/>
      <c r="Q687" s="28"/>
      <c r="R687" s="28"/>
      <c r="S687" s="28"/>
      <c r="T687" s="28"/>
      <c r="U687" s="65"/>
      <c r="V687" s="28"/>
      <c r="W687" s="65"/>
      <c r="X687" s="66" t="s">
        <v>212</v>
      </c>
      <c r="Y687" s="65" t="str">
        <f t="shared" si="6"/>
        <v>URBONA 78PD-40-N</v>
      </c>
    </row>
    <row r="688">
      <c r="A688" s="18" t="s">
        <v>1189</v>
      </c>
      <c r="B688" s="91" t="str">
        <f t="shared" si="103"/>
        <v>DB-78-N</v>
      </c>
      <c r="C688" s="15" t="s">
        <v>1193</v>
      </c>
      <c r="D688" s="18" t="s">
        <v>217</v>
      </c>
      <c r="E688" s="39">
        <v>1840.0</v>
      </c>
      <c r="F688" s="39">
        <v>1980.0</v>
      </c>
      <c r="G688" s="50">
        <f t="shared" si="98"/>
        <v>0.07608695652</v>
      </c>
      <c r="H688" s="28"/>
      <c r="I688" s="55">
        <f t="shared" si="2"/>
        <v>2192.65144</v>
      </c>
      <c r="J688" s="81"/>
      <c r="K688" s="60">
        <f>IFERROR(__xludf.DUMMYFUNCTION("IFERROR(VLOOKUP(C688,IMPORTRANGE(""https://docs.google.com/spreadsheets/d/1HZUHB8NvANAZR0sHDmHYVAm2WE9kNv0pGIQA48Ryim8/edit?gid=1285727875#gid=1285727875"",""Sheet1!A2:G""),7,0))"),382.66)</f>
        <v>382.66</v>
      </c>
      <c r="L688" s="62">
        <f t="shared" si="99"/>
        <v>4.80844614</v>
      </c>
      <c r="M688" s="60">
        <f>IFERROR(__xludf.DUMMYFUNCTION("IFERROR(VLOOKUP(C688,IMPORTRANGE(""https://docs.google.com/spreadsheets/d/1HZUHB8NvANAZR0sHDmHYVAm2WE9kNv0pGIQA48Ryim8/edit?gid=1285727875#gid=1285727875"",""Cost!A2:G""),7,0))"),456.0)</f>
        <v>456</v>
      </c>
      <c r="N688" s="62">
        <f t="shared" si="4"/>
        <v>4.342105263</v>
      </c>
      <c r="O688" s="28"/>
      <c r="P688" s="28"/>
      <c r="Q688" s="28"/>
      <c r="R688" s="28"/>
      <c r="S688" s="28"/>
      <c r="T688" s="28"/>
      <c r="U688" s="65"/>
      <c r="V688" s="28"/>
      <c r="W688" s="65"/>
      <c r="X688" s="66" t="s">
        <v>358</v>
      </c>
      <c r="Y688" s="65" t="str">
        <f t="shared" si="6"/>
        <v>URBONA 78DB</v>
      </c>
    </row>
    <row r="689">
      <c r="A689" s="18" t="s">
        <v>1189</v>
      </c>
      <c r="B689" s="91" t="str">
        <f t="shared" si="103"/>
        <v>7892-N</v>
      </c>
      <c r="C689" s="15" t="s">
        <v>1194</v>
      </c>
      <c r="D689" s="18" t="s">
        <v>220</v>
      </c>
      <c r="E689" s="75">
        <f t="shared" ref="E689:F689" si="106">SUM(E690:E691)</f>
        <v>6820</v>
      </c>
      <c r="F689" s="75">
        <f t="shared" si="106"/>
        <v>7470</v>
      </c>
      <c r="G689" s="50">
        <f t="shared" si="98"/>
        <v>0.09530791789</v>
      </c>
      <c r="H689" s="28"/>
      <c r="I689" s="55">
        <f t="shared" si="2"/>
        <v>7666.505666</v>
      </c>
      <c r="J689" s="81"/>
      <c r="K689" s="60">
        <f>IFERROR(__xludf.DUMMYFUNCTION("IFERROR(VLOOKUP(C689,IMPORTRANGE(""https://docs.google.com/spreadsheets/d/1HZUHB8NvANAZR0sHDmHYVAm2WE9kNv0pGIQA48Ryim8/edit?gid=1285727875#gid=1285727875"",""Sheet1!A2:G""),7,0))"),1966.87)</f>
        <v>1966.87</v>
      </c>
      <c r="L689" s="62">
        <f t="shared" si="99"/>
        <v>3.467438112</v>
      </c>
      <c r="M689" s="60">
        <f>IFERROR(__xludf.DUMMYFUNCTION("IFERROR(VLOOKUP(C689,IMPORTRANGE(""https://docs.google.com/spreadsheets/d/1HZUHB8NvANAZR0sHDmHYVAm2WE9kNv0pGIQA48Ryim8/edit?gid=1285727875#gid=1285727875"",""Cost!A2:G""),7,0))"),2211.0)</f>
        <v>2211</v>
      </c>
      <c r="N689" s="62">
        <f t="shared" si="4"/>
        <v>3.378561737</v>
      </c>
      <c r="O689" s="28"/>
      <c r="P689" s="28"/>
      <c r="Q689" s="28"/>
      <c r="R689" s="28"/>
      <c r="S689" s="28"/>
      <c r="T689" s="28"/>
      <c r="U689" s="65"/>
      <c r="V689" s="28"/>
      <c r="W689" s="65"/>
      <c r="X689" s="66" t="s">
        <v>219</v>
      </c>
      <c r="Y689" s="65" t="str">
        <f t="shared" si="6"/>
        <v>URBONA 7892</v>
      </c>
    </row>
    <row r="690">
      <c r="A690" s="18" t="s">
        <v>1189</v>
      </c>
      <c r="B690" s="91" t="str">
        <f t="shared" si="103"/>
        <v>PD-46-H-N</v>
      </c>
      <c r="C690" s="15" t="s">
        <v>223</v>
      </c>
      <c r="D690" s="18" t="s">
        <v>224</v>
      </c>
      <c r="E690" s="39">
        <v>4980.0</v>
      </c>
      <c r="F690" s="39">
        <v>5490.0</v>
      </c>
      <c r="G690" s="50">
        <f t="shared" si="98"/>
        <v>0.1024096386</v>
      </c>
      <c r="H690" s="28"/>
      <c r="I690" s="55">
        <f t="shared" si="2"/>
        <v>5513.426362</v>
      </c>
      <c r="J690" s="81"/>
      <c r="K690" s="60">
        <f>IFERROR(__xludf.DUMMYFUNCTION("IFERROR(VLOOKUP(C690,IMPORTRANGE(""https://docs.google.com/spreadsheets/d/1HZUHB8NvANAZR0sHDmHYVAm2WE9kNv0pGIQA48Ryim8/edit?gid=1285727875#gid=1285727875"",""Sheet1!A2:G""),7,0))"),1581.59)</f>
        <v>1581.59</v>
      </c>
      <c r="L690" s="62">
        <f t="shared" si="99"/>
        <v>3.148730075</v>
      </c>
      <c r="M690" s="60">
        <f>IFERROR(__xludf.DUMMYFUNCTION("IFERROR(VLOOKUP(C690,IMPORTRANGE(""https://docs.google.com/spreadsheets/d/1HZUHB8NvANAZR0sHDmHYVAm2WE9kNv0pGIQA48Ryim8/edit?gid=1285727875#gid=1285727875"",""Cost!A2:G""),7,0))"),1751.0)</f>
        <v>1751</v>
      </c>
      <c r="N690" s="62">
        <f t="shared" si="4"/>
        <v>3.135351228</v>
      </c>
      <c r="O690" s="28"/>
      <c r="P690" s="28"/>
      <c r="Q690" s="28"/>
      <c r="R690" s="28"/>
      <c r="S690" s="28"/>
      <c r="T690" s="28"/>
      <c r="U690" s="65"/>
      <c r="V690" s="28"/>
      <c r="W690" s="65"/>
      <c r="X690" s="66" t="s">
        <v>223</v>
      </c>
      <c r="Y690" s="65" t="str">
        <f t="shared" si="6"/>
        <v>URBONA 78PD-46-H-N</v>
      </c>
    </row>
    <row r="691">
      <c r="A691" s="18" t="s">
        <v>1189</v>
      </c>
      <c r="B691" s="91" t="str">
        <f t="shared" si="103"/>
        <v>DB-78-H-N</v>
      </c>
      <c r="C691" s="15" t="s">
        <v>1195</v>
      </c>
      <c r="D691" s="18" t="s">
        <v>217</v>
      </c>
      <c r="E691" s="39">
        <v>1840.0</v>
      </c>
      <c r="F691" s="39">
        <f>F688</f>
        <v>1980</v>
      </c>
      <c r="G691" s="50">
        <f t="shared" si="98"/>
        <v>0.07608695652</v>
      </c>
      <c r="H691" s="28"/>
      <c r="I691" s="55">
        <f t="shared" si="2"/>
        <v>2194.725528</v>
      </c>
      <c r="J691" s="81"/>
      <c r="K691" s="60">
        <f>IFERROR(__xludf.DUMMYFUNCTION("IFERROR(VLOOKUP(C691,IMPORTRANGE(""https://docs.google.com/spreadsheets/d/1HZUHB8NvANAZR0sHDmHYVAm2WE9kNv0pGIQA48Ryim8/edit?gid=1285727875#gid=1285727875"",""Sheet1!A2:G""),7,0))"),381.46)</f>
        <v>381.46</v>
      </c>
      <c r="L691" s="62">
        <f t="shared" si="99"/>
        <v>4.82357259</v>
      </c>
      <c r="M691" s="60">
        <f>IFERROR(__xludf.DUMMYFUNCTION("IFERROR(VLOOKUP(C691,IMPORTRANGE(""https://docs.google.com/spreadsheets/d/1HZUHB8NvANAZR0sHDmHYVAm2WE9kNv0pGIQA48Ryim8/edit?gid=1285727875#gid=1285727875"",""Cost!A2:G""),7,0))"),455.0)</f>
        <v>455</v>
      </c>
      <c r="N691" s="62">
        <f t="shared" si="4"/>
        <v>4.351648352</v>
      </c>
      <c r="O691" s="28"/>
      <c r="P691" s="28"/>
      <c r="Q691" s="28"/>
      <c r="R691" s="28"/>
      <c r="S691" s="28"/>
      <c r="T691" s="28"/>
      <c r="U691" s="65"/>
      <c r="V691" s="28"/>
      <c r="W691" s="65"/>
      <c r="X691" s="66" t="s">
        <v>358</v>
      </c>
      <c r="Y691" s="65" t="str">
        <f t="shared" si="6"/>
        <v>URBONA 78DB</v>
      </c>
    </row>
    <row r="692">
      <c r="A692" s="18" t="s">
        <v>1189</v>
      </c>
      <c r="B692" s="91" t="str">
        <f t="shared" si="103"/>
        <v>7892-ON-OFF-N</v>
      </c>
      <c r="C692" s="15" t="s">
        <v>1196</v>
      </c>
      <c r="D692" s="18" t="s">
        <v>229</v>
      </c>
      <c r="E692" s="75">
        <f t="shared" ref="E692:F692" si="107">SUM(E693:E694)</f>
        <v>6820</v>
      </c>
      <c r="F692" s="75">
        <f t="shared" si="107"/>
        <v>7470</v>
      </c>
      <c r="G692" s="50">
        <f t="shared" si="98"/>
        <v>0.09530791789</v>
      </c>
      <c r="H692" s="28"/>
      <c r="I692" s="55">
        <f t="shared" si="2"/>
        <v>7745.976874</v>
      </c>
      <c r="J692" s="81"/>
      <c r="K692" s="60">
        <f>IFERROR(__xludf.DUMMYFUNCTION("IFERROR(VLOOKUP(C692,IMPORTRANGE(""https://docs.google.com/spreadsheets/d/1HZUHB8NvANAZR0sHDmHYVAm2WE9kNv0pGIQA48Ryim8/edit?gid=1285727875#gid=1285727875"",""Sheet1!A2:G""),7,0))"),1752.99)</f>
        <v>1752.99</v>
      </c>
      <c r="L692" s="62">
        <f t="shared" si="99"/>
        <v>3.890495667</v>
      </c>
      <c r="M692" s="60">
        <f>IFERROR(__xludf.DUMMYFUNCTION("IFERROR(VLOOKUP(C692,IMPORTRANGE(""https://docs.google.com/spreadsheets/d/1HZUHB8NvANAZR0sHDmHYVAm2WE9kNv0pGIQA48Ryim8/edit?gid=1285727875#gid=1285727875"",""Cost!A2:G""),7,0))"),1991.0)</f>
        <v>1991</v>
      </c>
      <c r="N692" s="62">
        <f t="shared" si="4"/>
        <v>3.751883476</v>
      </c>
      <c r="O692" s="28"/>
      <c r="P692" s="28"/>
      <c r="Q692" s="28"/>
      <c r="R692" s="28"/>
      <c r="S692" s="28"/>
      <c r="T692" s="28"/>
      <c r="U692" s="65"/>
      <c r="V692" s="28"/>
      <c r="W692" s="65"/>
      <c r="X692" s="66" t="s">
        <v>368</v>
      </c>
      <c r="Y692" s="65" t="str">
        <f t="shared" si="6"/>
        <v>URBONA 7892-ON-OFF</v>
      </c>
    </row>
    <row r="693">
      <c r="A693" s="18" t="s">
        <v>1189</v>
      </c>
      <c r="B693" s="91" t="str">
        <f t="shared" si="103"/>
        <v>PD-46-H-ON-OFF-N</v>
      </c>
      <c r="C693" s="15" t="s">
        <v>234</v>
      </c>
      <c r="D693" s="18" t="s">
        <v>235</v>
      </c>
      <c r="E693" s="39">
        <f>E690-240</f>
        <v>4740</v>
      </c>
      <c r="F693" s="75">
        <f>F690-$X$1</f>
        <v>5250</v>
      </c>
      <c r="G693" s="50">
        <f t="shared" si="98"/>
        <v>0.1075949367</v>
      </c>
      <c r="H693" s="28"/>
      <c r="I693" s="55">
        <f t="shared" si="2"/>
        <v>5306.797906</v>
      </c>
      <c r="J693" s="81"/>
      <c r="K693" s="60">
        <f>IFERROR(__xludf.DUMMYFUNCTION("IFERROR(VLOOKUP(C693,IMPORTRANGE(""https://docs.google.com/spreadsheets/d/1HZUHB8NvANAZR0sHDmHYVAm2WE9kNv0pGIQA48Ryim8/edit?gid=1285727875#gid=1285727875"",""Sheet1!A2:G""),7,0))"),1367.48)</f>
        <v>1367.48</v>
      </c>
      <c r="L693" s="62">
        <f t="shared" si="99"/>
        <v>3.466229853</v>
      </c>
      <c r="M693" s="60">
        <f>IFERROR(__xludf.DUMMYFUNCTION("IFERROR(VLOOKUP(C693,IMPORTRANGE(""https://docs.google.com/spreadsheets/d/1HZUHB8NvANAZR0sHDmHYVAm2WE9kNv0pGIQA48Ryim8/edit?gid=1285727875#gid=1285727875"",""Cost!A2:G""),7,0))"),1531.0)</f>
        <v>1531</v>
      </c>
      <c r="N693" s="62">
        <f t="shared" si="4"/>
        <v>3.429131287</v>
      </c>
      <c r="O693" s="28"/>
      <c r="P693" s="28"/>
      <c r="Q693" s="28"/>
      <c r="R693" s="28"/>
      <c r="S693" s="28"/>
      <c r="T693" s="28"/>
      <c r="U693" s="65"/>
      <c r="V693" s="28"/>
      <c r="W693" s="65"/>
      <c r="X693" s="66" t="s">
        <v>371</v>
      </c>
      <c r="Y693" s="65" t="str">
        <f t="shared" si="6"/>
        <v>URBONA 78PD-ON-OFF</v>
      </c>
    </row>
    <row r="694">
      <c r="A694" s="18" t="s">
        <v>1189</v>
      </c>
      <c r="B694" s="91" t="str">
        <f t="shared" si="103"/>
        <v>DB-78-H-ON-OFF-N</v>
      </c>
      <c r="C694" s="15" t="s">
        <v>1197</v>
      </c>
      <c r="D694" s="18" t="s">
        <v>217</v>
      </c>
      <c r="E694" s="75">
        <f>E691+240</f>
        <v>2080</v>
      </c>
      <c r="F694" s="75">
        <f>F691+$X$1</f>
        <v>2220</v>
      </c>
      <c r="G694" s="50">
        <f t="shared" si="98"/>
        <v>0.06730769231</v>
      </c>
      <c r="H694" s="28"/>
      <c r="I694" s="55">
        <f t="shared" si="2"/>
        <v>2481.64464</v>
      </c>
      <c r="J694" s="81"/>
      <c r="K694" s="60">
        <f>IFERROR(__xludf.DUMMYFUNCTION("IFERROR(VLOOKUP(C694,IMPORTRANGE(""https://docs.google.com/spreadsheets/d/1HZUHB8NvANAZR0sHDmHYVAm2WE9kNv0pGIQA48Ryim8/edit?gid=1285727875#gid=1285727875"",""Sheet1!A2:G""),7,0))"),381.36)</f>
        <v>381.36</v>
      </c>
      <c r="L694" s="62">
        <f t="shared" si="99"/>
        <v>5.454164044</v>
      </c>
      <c r="M694" s="60">
        <f>IFERROR(__xludf.DUMMYFUNCTION("IFERROR(VLOOKUP(C694,IMPORTRANGE(""https://docs.google.com/spreadsheets/d/1HZUHB8NvANAZR0sHDmHYVAm2WE9kNv0pGIQA48Ryim8/edit?gid=1285727875#gid=1285727875"",""Cost!A2:G""),7,0))"),455.0)</f>
        <v>455</v>
      </c>
      <c r="N694" s="62">
        <f t="shared" si="4"/>
        <v>4.879120879</v>
      </c>
      <c r="O694" s="28"/>
      <c r="P694" s="28"/>
      <c r="Q694" s="28"/>
      <c r="R694" s="28"/>
      <c r="S694" s="28"/>
      <c r="T694" s="28"/>
      <c r="U694" s="65"/>
      <c r="V694" s="28"/>
      <c r="W694" s="65"/>
      <c r="X694" s="66" t="s">
        <v>375</v>
      </c>
      <c r="Y694" s="65" t="str">
        <f t="shared" si="6"/>
        <v>URBONA 78DB-ON-OFF</v>
      </c>
    </row>
    <row r="695">
      <c r="A695" s="18" t="s">
        <v>1189</v>
      </c>
      <c r="B695" s="91" t="str">
        <f t="shared" si="103"/>
        <v>7893-N</v>
      </c>
      <c r="C695" s="15" t="s">
        <v>1198</v>
      </c>
      <c r="D695" s="18" t="s">
        <v>241</v>
      </c>
      <c r="E695" s="75">
        <f t="shared" ref="E695:F695" si="108">SUM(E696:E697)</f>
        <v>6820</v>
      </c>
      <c r="F695" s="75">
        <f t="shared" si="108"/>
        <v>7470</v>
      </c>
      <c r="G695" s="50">
        <f t="shared" si="98"/>
        <v>0.09530791789</v>
      </c>
      <c r="H695" s="28"/>
      <c r="I695" s="55">
        <f t="shared" si="2"/>
        <v>7539.323913</v>
      </c>
      <c r="J695" s="81"/>
      <c r="K695" s="60">
        <f>IFERROR(__xludf.DUMMYFUNCTION("IFERROR(VLOOKUP(C695,IMPORTRANGE(""https://docs.google.com/spreadsheets/d/1HZUHB8NvANAZR0sHDmHYVAm2WE9kNv0pGIQA48Ryim8/edit?gid=1285727875#gid=1285727875"",""Sheet1!A2:G""),7,0))"),1921.35)</f>
        <v>1921.35</v>
      </c>
      <c r="L695" s="62">
        <f t="shared" si="99"/>
        <v>3.54958753</v>
      </c>
      <c r="M695" s="60">
        <f>IFERROR(__xludf.DUMMYFUNCTION("IFERROR(VLOOKUP(C695,IMPORTRANGE(""https://docs.google.com/spreadsheets/d/1HZUHB8NvANAZR0sHDmHYVAm2WE9kNv0pGIQA48Ryim8/edit?gid=1285727875#gid=1285727875"",""Cost!A2:G""),7,0))"),2124.0)</f>
        <v>2124</v>
      </c>
      <c r="N695" s="62">
        <f t="shared" si="4"/>
        <v>3.516949153</v>
      </c>
      <c r="O695" s="28"/>
      <c r="P695" s="28"/>
      <c r="Q695" s="28"/>
      <c r="R695" s="28"/>
      <c r="S695" s="28"/>
      <c r="T695" s="28"/>
      <c r="U695" s="65"/>
      <c r="V695" s="28"/>
      <c r="W695" s="65"/>
      <c r="X695" s="66" t="s">
        <v>239</v>
      </c>
      <c r="Y695" s="65" t="str">
        <f t="shared" si="6"/>
        <v>URBONA 7893</v>
      </c>
    </row>
    <row r="696">
      <c r="A696" s="18" t="s">
        <v>1189</v>
      </c>
      <c r="B696" s="91" t="str">
        <f t="shared" si="103"/>
        <v>PD-3 IN-N</v>
      </c>
      <c r="C696" s="15" t="s">
        <v>243</v>
      </c>
      <c r="D696" s="18" t="s">
        <v>244</v>
      </c>
      <c r="E696" s="39">
        <v>4980.0</v>
      </c>
      <c r="F696" s="39">
        <v>5490.0</v>
      </c>
      <c r="G696" s="50">
        <f t="shared" si="98"/>
        <v>0.1024096386</v>
      </c>
      <c r="H696" s="28"/>
      <c r="I696" s="55">
        <f t="shared" si="2"/>
        <v>5395.785272</v>
      </c>
      <c r="J696" s="81"/>
      <c r="K696" s="60">
        <f>IFERROR(__xludf.DUMMYFUNCTION("IFERROR(VLOOKUP(C696,IMPORTRANGE(""https://docs.google.com/spreadsheets/d/1HZUHB8NvANAZR0sHDmHYVAm2WE9kNv0pGIQA48Ryim8/edit?gid=1285727875#gid=1285727875"",""Sheet1!A2:G""),7,0))"),1543.16)</f>
        <v>1543.16</v>
      </c>
      <c r="L696" s="62">
        <f t="shared" si="99"/>
        <v>3.227144301</v>
      </c>
      <c r="M696" s="60">
        <f>IFERROR(__xludf.DUMMYFUNCTION("IFERROR(VLOOKUP(C696,IMPORTRANGE(""https://docs.google.com/spreadsheets/d/1HZUHB8NvANAZR0sHDmHYVAm2WE9kNv0pGIQA48Ryim8/edit?gid=1285727875#gid=1285727875"",""Cost!A2:G""),7,0))"),1672.0)</f>
        <v>1672</v>
      </c>
      <c r="N696" s="62">
        <f t="shared" si="4"/>
        <v>3.283492823</v>
      </c>
      <c r="O696" s="28"/>
      <c r="P696" s="28"/>
      <c r="Q696" s="28"/>
      <c r="R696" s="28"/>
      <c r="S696" s="28"/>
      <c r="T696" s="28"/>
      <c r="U696" s="65"/>
      <c r="V696" s="28"/>
      <c r="W696" s="65"/>
      <c r="X696" s="66" t="s">
        <v>243</v>
      </c>
      <c r="Y696" s="65" t="str">
        <f t="shared" si="6"/>
        <v>URBONA 78PD-3 IN-N</v>
      </c>
    </row>
    <row r="697">
      <c r="A697" s="18" t="s">
        <v>1189</v>
      </c>
      <c r="B697" s="91" t="str">
        <f t="shared" si="103"/>
        <v>DB-78-3 IN-N</v>
      </c>
      <c r="C697" s="15" t="s">
        <v>1199</v>
      </c>
      <c r="D697" s="18" t="s">
        <v>217</v>
      </c>
      <c r="E697" s="39">
        <v>1840.0</v>
      </c>
      <c r="F697" s="39">
        <f>F688</f>
        <v>1980</v>
      </c>
      <c r="G697" s="50">
        <f t="shared" si="98"/>
        <v>0.07608695652</v>
      </c>
      <c r="H697" s="28"/>
      <c r="I697" s="55">
        <f t="shared" si="2"/>
        <v>2195.301028</v>
      </c>
      <c r="J697" s="81"/>
      <c r="K697" s="60">
        <f>IFERROR(__xludf.DUMMYFUNCTION("IFERROR(VLOOKUP(C697,IMPORTRANGE(""https://docs.google.com/spreadsheets/d/1HZUHB8NvANAZR0sHDmHYVAm2WE9kNv0pGIQA48Ryim8/edit?gid=1285727875#gid=1285727875"",""Sheet1!A2:G""),7,0))"),381.36)</f>
        <v>381.36</v>
      </c>
      <c r="L697" s="62">
        <f t="shared" si="99"/>
        <v>4.824837424</v>
      </c>
      <c r="M697" s="60">
        <f>IFERROR(__xludf.DUMMYFUNCTION("IFERROR(VLOOKUP(C697,IMPORTRANGE(""https://docs.google.com/spreadsheets/d/1HZUHB8NvANAZR0sHDmHYVAm2WE9kNv0pGIQA48Ryim8/edit?gid=1285727875#gid=1285727875"",""Cost!A2:G""),7,0))"),455.0)</f>
        <v>455</v>
      </c>
      <c r="N697" s="62">
        <f t="shared" si="4"/>
        <v>4.351648352</v>
      </c>
      <c r="O697" s="28"/>
      <c r="P697" s="28"/>
      <c r="Q697" s="28"/>
      <c r="R697" s="28"/>
      <c r="S697" s="28"/>
      <c r="T697" s="28"/>
      <c r="U697" s="65"/>
      <c r="V697" s="28"/>
      <c r="W697" s="65"/>
      <c r="X697" s="66" t="s">
        <v>358</v>
      </c>
      <c r="Y697" s="65" t="str">
        <f t="shared" si="6"/>
        <v>URBONA 78DB</v>
      </c>
    </row>
    <row r="698">
      <c r="A698" s="18" t="s">
        <v>1189</v>
      </c>
      <c r="B698" s="91" t="str">
        <f t="shared" si="103"/>
        <v>7893-ON-OFF-N</v>
      </c>
      <c r="C698" s="15" t="s">
        <v>1200</v>
      </c>
      <c r="D698" s="18" t="s">
        <v>250</v>
      </c>
      <c r="E698" s="75">
        <f t="shared" ref="E698:F698" si="109">SUM(E699:E700)</f>
        <v>6820</v>
      </c>
      <c r="F698" s="75">
        <f t="shared" si="109"/>
        <v>7470</v>
      </c>
      <c r="G698" s="50">
        <f t="shared" si="98"/>
        <v>0.09530791789</v>
      </c>
      <c r="H698" s="28"/>
      <c r="I698" s="55">
        <f t="shared" si="2"/>
        <v>7633.662299</v>
      </c>
      <c r="J698" s="81"/>
      <c r="K698" s="60">
        <f>IFERROR(__xludf.DUMMYFUNCTION("IFERROR(VLOOKUP(C698,IMPORTRANGE(""https://docs.google.com/spreadsheets/d/1HZUHB8NvANAZR0sHDmHYVAm2WE9kNv0pGIQA48Ryim8/edit?gid=1285727875#gid=1285727875"",""Sheet1!A2:G""),7,0))"),1948.53)</f>
        <v>1948.53</v>
      </c>
      <c r="L698" s="62">
        <f t="shared" si="99"/>
        <v>3.500074415</v>
      </c>
      <c r="M698" s="60">
        <f>IFERROR(__xludf.DUMMYFUNCTION("IFERROR(VLOOKUP(C698,IMPORTRANGE(""https://docs.google.com/spreadsheets/d/1HZUHB8NvANAZR0sHDmHYVAm2WE9kNv0pGIQA48Ryim8/edit?gid=1285727875#gid=1285727875"",""Cost!A2:G""),7,0))"),2181.0)</f>
        <v>2181</v>
      </c>
      <c r="N698" s="62">
        <f t="shared" si="4"/>
        <v>3.425034388</v>
      </c>
      <c r="O698" s="28"/>
      <c r="P698" s="28"/>
      <c r="Q698" s="28"/>
      <c r="R698" s="28"/>
      <c r="S698" s="28"/>
      <c r="T698" s="28"/>
      <c r="U698" s="65"/>
      <c r="V698" s="28"/>
      <c r="W698" s="65"/>
      <c r="X698" s="66" t="s">
        <v>410</v>
      </c>
      <c r="Y698" s="65" t="str">
        <f t="shared" si="6"/>
        <v>URBONA 7893-ON-OFF</v>
      </c>
    </row>
    <row r="699">
      <c r="A699" s="18" t="s">
        <v>1189</v>
      </c>
      <c r="B699" s="91" t="str">
        <f t="shared" si="103"/>
        <v>PD-3 IN-ON-OFF-N</v>
      </c>
      <c r="C699" s="15" t="s">
        <v>253</v>
      </c>
      <c r="D699" s="18" t="s">
        <v>256</v>
      </c>
      <c r="E699" s="39">
        <f>E696-240</f>
        <v>4740</v>
      </c>
      <c r="F699" s="39">
        <f>F696-$X$1</f>
        <v>5250</v>
      </c>
      <c r="G699" s="50">
        <f t="shared" si="98"/>
        <v>0.1075949367</v>
      </c>
      <c r="H699" s="28"/>
      <c r="I699" s="55">
        <f t="shared" si="2"/>
        <v>5217.019108</v>
      </c>
      <c r="J699" s="81"/>
      <c r="K699" s="60">
        <f>IFERROR(__xludf.DUMMYFUNCTION("IFERROR(VLOOKUP(C699,IMPORTRANGE(""https://docs.google.com/spreadsheets/d/1HZUHB8NvANAZR0sHDmHYVAm2WE9kNv0pGIQA48Ryim8/edit?gid=1285727875#gid=1285727875"",""Sheet1!A2:G""),7,0))"),1570.0)</f>
        <v>1570</v>
      </c>
      <c r="L699" s="62">
        <f t="shared" si="99"/>
        <v>3.01910828</v>
      </c>
      <c r="M699" s="60">
        <f>IFERROR(__xludf.DUMMYFUNCTION("IFERROR(VLOOKUP(C699,IMPORTRANGE(""https://docs.google.com/spreadsheets/d/1HZUHB8NvANAZR0sHDmHYVAm2WE9kNv0pGIQA48Ryim8/edit?gid=1285727875#gid=1285727875"",""Cost!A2:G""),7,0))"),1728.0)</f>
        <v>1728</v>
      </c>
      <c r="N699" s="62">
        <f t="shared" si="4"/>
        <v>3.038194444</v>
      </c>
      <c r="O699" s="28"/>
      <c r="P699" s="28"/>
      <c r="Q699" s="28"/>
      <c r="R699" s="28"/>
      <c r="S699" s="28"/>
      <c r="T699" s="28"/>
      <c r="U699" s="65"/>
      <c r="V699" s="28"/>
      <c r="W699" s="65"/>
      <c r="X699" s="66" t="s">
        <v>371</v>
      </c>
      <c r="Y699" s="65" t="str">
        <f t="shared" si="6"/>
        <v>URBONA 78PD-ON-OFF</v>
      </c>
    </row>
    <row r="700">
      <c r="A700" s="18" t="s">
        <v>1189</v>
      </c>
      <c r="B700" s="91" t="str">
        <f t="shared" si="103"/>
        <v>DB-78-3 IN-ON-OFF-N</v>
      </c>
      <c r="C700" s="15" t="s">
        <v>1201</v>
      </c>
      <c r="D700" s="18" t="s">
        <v>217</v>
      </c>
      <c r="E700" s="75">
        <f>E697+240</f>
        <v>2080</v>
      </c>
      <c r="F700" s="75">
        <f>F697+$X$1</f>
        <v>2220</v>
      </c>
      <c r="G700" s="50">
        <f t="shared" si="98"/>
        <v>0.06730769231</v>
      </c>
      <c r="H700" s="28"/>
      <c r="I700" s="55">
        <f t="shared" si="2"/>
        <v>2481.64464</v>
      </c>
      <c r="J700" s="81"/>
      <c r="K700" s="60">
        <f>IFERROR(__xludf.DUMMYFUNCTION("IFERROR(VLOOKUP(C700,IMPORTRANGE(""https://docs.google.com/spreadsheets/d/1HZUHB8NvANAZR0sHDmHYVAm2WE9kNv0pGIQA48Ryim8/edit?gid=1285727875#gid=1285727875"",""Sheet1!A2:G""),7,0))"),381.36)</f>
        <v>381.36</v>
      </c>
      <c r="L700" s="62">
        <f t="shared" si="99"/>
        <v>5.454164044</v>
      </c>
      <c r="M700" s="60">
        <f>IFERROR(__xludf.DUMMYFUNCTION("IFERROR(VLOOKUP(C700,IMPORTRANGE(""https://docs.google.com/spreadsheets/d/1HZUHB8NvANAZR0sHDmHYVAm2WE9kNv0pGIQA48Ryim8/edit?gid=1285727875#gid=1285727875"",""Cost!A2:G""),7,0))"),455.0)</f>
        <v>455</v>
      </c>
      <c r="N700" s="62">
        <f t="shared" si="4"/>
        <v>4.879120879</v>
      </c>
      <c r="O700" s="28"/>
      <c r="P700" s="28"/>
      <c r="Q700" s="28"/>
      <c r="R700" s="28"/>
      <c r="S700" s="28"/>
      <c r="T700" s="28"/>
      <c r="U700" s="65"/>
      <c r="V700" s="28"/>
      <c r="W700" s="65"/>
      <c r="X700" s="66" t="s">
        <v>375</v>
      </c>
      <c r="Y700" s="65" t="str">
        <f t="shared" si="6"/>
        <v>URBONA 78DB-ON-OFF</v>
      </c>
    </row>
    <row r="701">
      <c r="A701" s="18" t="s">
        <v>1189</v>
      </c>
      <c r="B701" s="91">
        <f t="shared" si="103"/>
        <v>7894</v>
      </c>
      <c r="C701" s="15">
        <v>7894.0</v>
      </c>
      <c r="D701" s="18" t="s">
        <v>263</v>
      </c>
      <c r="E701" s="39">
        <v>8890.0</v>
      </c>
      <c r="F701" s="39">
        <v>9690.0</v>
      </c>
      <c r="G701" s="50">
        <f t="shared" si="98"/>
        <v>0.08998875141</v>
      </c>
      <c r="H701" s="28"/>
      <c r="I701" s="55">
        <f t="shared" si="2"/>
        <v>9704.743271</v>
      </c>
      <c r="J701" s="81"/>
      <c r="K701" s="60">
        <f>IFERROR(__xludf.DUMMYFUNCTION("IFERROR(VLOOKUP(C701,IMPORTRANGE(""https://docs.google.com/spreadsheets/d/1HZUHB8NvANAZR0sHDmHYVAm2WE9kNv0pGIQA48Ryim8/edit?gid=1285727875#gid=1285727875"",""Sheet1!A2:G""),7,0))"),2734.4)</f>
        <v>2734.4</v>
      </c>
      <c r="L701" s="62">
        <f t="shared" si="99"/>
        <v>3.251170275</v>
      </c>
      <c r="M701" s="60">
        <f>IFERROR(__xludf.DUMMYFUNCTION("IFERROR(VLOOKUP(C701,IMPORTRANGE(""https://docs.google.com/spreadsheets/d/1HZUHB8NvANAZR0sHDmHYVAm2WE9kNv0pGIQA48Ryim8/edit?gid=1285727875#gid=1285727875"",""Cost!A2:G""),7,0))"),2985.0)</f>
        <v>2985</v>
      </c>
      <c r="N701" s="62">
        <f t="shared" si="4"/>
        <v>3.246231156</v>
      </c>
      <c r="O701" s="28"/>
      <c r="P701" s="28"/>
      <c r="Q701" s="28"/>
      <c r="R701" s="28"/>
      <c r="S701" s="28"/>
      <c r="T701" s="28"/>
      <c r="U701" s="65"/>
      <c r="V701" s="28"/>
      <c r="W701" s="65"/>
      <c r="X701" s="66" t="s">
        <v>260</v>
      </c>
      <c r="Y701" s="65" t="str">
        <f t="shared" si="6"/>
        <v>URBONA 7894</v>
      </c>
    </row>
    <row r="702">
      <c r="A702" s="18" t="s">
        <v>1189</v>
      </c>
      <c r="B702" s="91">
        <f t="shared" si="103"/>
        <v>7895</v>
      </c>
      <c r="C702" s="15">
        <v>7895.0</v>
      </c>
      <c r="D702" s="18" t="s">
        <v>265</v>
      </c>
      <c r="E702" s="75">
        <v>1380.0</v>
      </c>
      <c r="F702" s="39">
        <v>1530.0</v>
      </c>
      <c r="G702" s="50">
        <f t="shared" si="98"/>
        <v>0.1086956522</v>
      </c>
      <c r="H702" s="28"/>
      <c r="I702" s="55">
        <f t="shared" si="2"/>
        <v>1526.082977</v>
      </c>
      <c r="J702" s="81"/>
      <c r="K702" s="60">
        <f>IFERROR(__xludf.DUMMYFUNCTION("IFERROR(VLOOKUP(C702,IMPORTRANGE(""https://docs.google.com/spreadsheets/d/1HZUHB8NvANAZR0sHDmHYVAm2WE9kNv0pGIQA48Ryim8/edit?gid=1285727875#gid=1285727875"",""Sheet1!A2:G""),7,0))"),393.36)</f>
        <v>393.36</v>
      </c>
      <c r="L702" s="62">
        <f t="shared" si="99"/>
        <v>3.50823673</v>
      </c>
      <c r="M702" s="60">
        <f>IFERROR(__xludf.DUMMYFUNCTION("IFERROR(VLOOKUP(C702,IMPORTRANGE(""https://docs.google.com/spreadsheets/d/1HZUHB8NvANAZR0sHDmHYVAm2WE9kNv0pGIQA48Ryim8/edit?gid=1285727875#gid=1285727875"",""Cost!A2:G""),7,0))"),435.0)</f>
        <v>435</v>
      </c>
      <c r="N702" s="62">
        <f t="shared" si="4"/>
        <v>3.517241379</v>
      </c>
      <c r="O702" s="28"/>
      <c r="P702" s="28"/>
      <c r="Q702" s="28"/>
      <c r="R702" s="28"/>
      <c r="S702" s="28"/>
      <c r="T702" s="28"/>
      <c r="U702" s="65"/>
      <c r="V702" s="28"/>
      <c r="W702" s="65"/>
      <c r="X702" s="66" t="s">
        <v>264</v>
      </c>
      <c r="Y702" s="65" t="str">
        <f t="shared" si="6"/>
        <v>URBONA 7895</v>
      </c>
    </row>
    <row r="703">
      <c r="A703" s="18" t="s">
        <v>1189</v>
      </c>
      <c r="B703" s="91">
        <f t="shared" si="103"/>
        <v>7896</v>
      </c>
      <c r="C703" s="15">
        <v>7896.0</v>
      </c>
      <c r="D703" s="18" t="s">
        <v>268</v>
      </c>
      <c r="E703" s="39">
        <v>2090.0</v>
      </c>
      <c r="F703" s="39">
        <v>2320.0</v>
      </c>
      <c r="G703" s="50">
        <f t="shared" si="98"/>
        <v>0.1100478469</v>
      </c>
      <c r="H703" s="28"/>
      <c r="I703" s="55">
        <f t="shared" si="2"/>
        <v>2316.959188</v>
      </c>
      <c r="J703" s="81"/>
      <c r="K703" s="60">
        <f>IFERROR(__xludf.DUMMYFUNCTION("IFERROR(VLOOKUP(C703,IMPORTRANGE(""https://docs.google.com/spreadsheets/d/1HZUHB8NvANAZR0sHDmHYVAm2WE9kNv0pGIQA48Ryim8/edit?gid=1285727875#gid=1285727875"",""Sheet1!A2:G""),7,0))"),569.19)</f>
        <v>569.19</v>
      </c>
      <c r="L703" s="62">
        <f t="shared" si="99"/>
        <v>3.671884608</v>
      </c>
      <c r="M703" s="60">
        <f>IFERROR(__xludf.DUMMYFUNCTION("IFERROR(VLOOKUP(C703,IMPORTRANGE(""https://docs.google.com/spreadsheets/d/1HZUHB8NvANAZR0sHDmHYVAm2WE9kNv0pGIQA48Ryim8/edit?gid=1285727875#gid=1285727875"",""Cost!A2:G""),7,0))"),631.0)</f>
        <v>631</v>
      </c>
      <c r="N703" s="62">
        <f t="shared" si="4"/>
        <v>3.676703645</v>
      </c>
      <c r="O703" s="28"/>
      <c r="P703" s="28"/>
      <c r="Q703" s="28"/>
      <c r="R703" s="28"/>
      <c r="S703" s="28"/>
      <c r="T703" s="28"/>
      <c r="U703" s="65"/>
      <c r="V703" s="28"/>
      <c r="W703" s="65"/>
      <c r="X703" s="66" t="s">
        <v>267</v>
      </c>
      <c r="Y703" s="65" t="str">
        <f t="shared" si="6"/>
        <v>URBONA 7896</v>
      </c>
    </row>
    <row r="704">
      <c r="A704" s="18" t="s">
        <v>1189</v>
      </c>
      <c r="B704" s="91">
        <f t="shared" si="103"/>
        <v>7898</v>
      </c>
      <c r="C704" s="15">
        <v>7898.0</v>
      </c>
      <c r="D704" s="18" t="s">
        <v>272</v>
      </c>
      <c r="E704" s="75">
        <v>2240.0</v>
      </c>
      <c r="F704" s="39">
        <v>2480.0</v>
      </c>
      <c r="G704" s="50">
        <f t="shared" si="98"/>
        <v>0.1071428571</v>
      </c>
      <c r="H704" s="28"/>
      <c r="I704" s="55">
        <f t="shared" si="2"/>
        <v>2477.618588</v>
      </c>
      <c r="J704" s="81"/>
      <c r="K704" s="60">
        <f>IFERROR(__xludf.DUMMYFUNCTION("IFERROR(VLOOKUP(C704,IMPORTRANGE(""https://docs.google.com/spreadsheets/d/1HZUHB8NvANAZR0sHDmHYVAm2WE9kNv0pGIQA48Ryim8/edit?gid=1285727875#gid=1285727875"",""Sheet1!A2:G""),7,0))"),673.55)</f>
        <v>673.55</v>
      </c>
      <c r="L704" s="62">
        <f t="shared" si="99"/>
        <v>3.325662534</v>
      </c>
      <c r="M704" s="60">
        <f>IFERROR(__xludf.DUMMYFUNCTION("IFERROR(VLOOKUP(C704,IMPORTRANGE(""https://docs.google.com/spreadsheets/d/1HZUHB8NvANAZR0sHDmHYVAm2WE9kNv0pGIQA48Ryim8/edit?gid=1285727875#gid=1285727875"",""Cost!A2:G""),7,0))"),745.0)</f>
        <v>745</v>
      </c>
      <c r="N704" s="62">
        <f t="shared" si="4"/>
        <v>3.32885906</v>
      </c>
      <c r="O704" s="28"/>
      <c r="P704" s="28"/>
      <c r="Q704" s="28"/>
      <c r="R704" s="28"/>
      <c r="S704" s="28"/>
      <c r="T704" s="28"/>
      <c r="U704" s="65"/>
      <c r="V704" s="28"/>
      <c r="W704" s="65"/>
      <c r="X704" s="66" t="s">
        <v>271</v>
      </c>
      <c r="Y704" s="65" t="str">
        <f t="shared" si="6"/>
        <v>URBONA 7898</v>
      </c>
    </row>
    <row r="705">
      <c r="A705" s="18" t="s">
        <v>1202</v>
      </c>
      <c r="B705" s="91" t="str">
        <f t="shared" si="103"/>
        <v>7902-F</v>
      </c>
      <c r="C705" s="15" t="s">
        <v>1203</v>
      </c>
      <c r="D705" s="18" t="s">
        <v>15</v>
      </c>
      <c r="E705" s="39">
        <v>2280.0</v>
      </c>
      <c r="F705" s="39">
        <v>2540.0</v>
      </c>
      <c r="G705" s="50">
        <f t="shared" si="98"/>
        <v>0.1140350877</v>
      </c>
      <c r="H705" s="28"/>
      <c r="I705" s="55">
        <f t="shared" si="2"/>
        <v>2536.099359</v>
      </c>
      <c r="J705" s="81"/>
      <c r="K705" s="60">
        <f>IFERROR(__xludf.DUMMYFUNCTION("IFERROR(VLOOKUP(C705,IMPORTRANGE(""https://docs.google.com/spreadsheets/d/1HZUHB8NvANAZR0sHDmHYVAm2WE9kNv0pGIQA48Ryim8/edit?gid=1285727875#gid=1285727875"",""Sheet1!A2:G""),7,0))"),732.7)</f>
        <v>732.7</v>
      </c>
      <c r="L705" s="62">
        <f t="shared" si="99"/>
        <v>3.111778354</v>
      </c>
      <c r="M705" s="60">
        <f>IFERROR(__xludf.DUMMYFUNCTION("IFERROR(VLOOKUP(C705,IMPORTRANGE(""https://docs.google.com/spreadsheets/d/1HZUHB8NvANAZR0sHDmHYVAm2WE9kNv0pGIQA48Ryim8/edit?gid=1285727875#gid=1285727875"",""Cost!A2:G""),7,0))"),815.0)</f>
        <v>815</v>
      </c>
      <c r="N705" s="62">
        <f t="shared" si="4"/>
        <v>3.116564417</v>
      </c>
      <c r="O705" s="28"/>
      <c r="P705" s="28"/>
      <c r="Q705" s="28"/>
      <c r="R705" s="28"/>
      <c r="S705" s="28"/>
      <c r="T705" s="28"/>
      <c r="U705" s="65"/>
      <c r="V705" s="28"/>
      <c r="W705" s="65"/>
      <c r="X705" s="66" t="s">
        <v>303</v>
      </c>
      <c r="Y705" s="65" t="str">
        <f t="shared" si="6"/>
        <v>SAGA 79F02</v>
      </c>
    </row>
    <row r="706">
      <c r="A706" s="18" t="s">
        <v>1202</v>
      </c>
      <c r="B706" s="91" t="str">
        <f t="shared" si="103"/>
        <v>7903-F</v>
      </c>
      <c r="C706" s="15" t="s">
        <v>1204</v>
      </c>
      <c r="D706" s="18" t="s">
        <v>30</v>
      </c>
      <c r="E706" s="39">
        <v>4280.0</v>
      </c>
      <c r="F706" s="39">
        <v>4760.0</v>
      </c>
      <c r="G706" s="50">
        <f t="shared" si="98"/>
        <v>0.1121495327</v>
      </c>
      <c r="H706" s="28"/>
      <c r="I706" s="55">
        <f t="shared" si="2"/>
        <v>4763.090286</v>
      </c>
      <c r="J706" s="81"/>
      <c r="K706" s="60">
        <f>IFERROR(__xludf.DUMMYFUNCTION("IFERROR(VLOOKUP(C706,IMPORTRANGE(""https://docs.google.com/spreadsheets/d/1HZUHB8NvANAZR0sHDmHYVAm2WE9kNv0pGIQA48Ryim8/edit?gid=1285727875#gid=1285727875"",""Sheet1!A2:G""),7,0))"),1584.19)</f>
        <v>1584.19</v>
      </c>
      <c r="L706" s="62">
        <f t="shared" si="99"/>
        <v>2.701696135</v>
      </c>
      <c r="M706" s="60">
        <f>IFERROR(__xludf.DUMMYFUNCTION("IFERROR(VLOOKUP(C706,IMPORTRANGE(""https://docs.google.com/spreadsheets/d/1HZUHB8NvANAZR0sHDmHYVAm2WE9kNv0pGIQA48Ryim8/edit?gid=1285727875#gid=1285727875"",""Cost!A2:G""),7,0))"),1763.0)</f>
        <v>1763</v>
      </c>
      <c r="N706" s="62">
        <f t="shared" si="4"/>
        <v>2.699943279</v>
      </c>
      <c r="O706" s="28"/>
      <c r="P706" s="28"/>
      <c r="Q706" s="28"/>
      <c r="R706" s="28"/>
      <c r="S706" s="28"/>
      <c r="T706" s="28"/>
      <c r="U706" s="65"/>
      <c r="V706" s="28"/>
      <c r="W706" s="65"/>
      <c r="X706" s="66" t="s">
        <v>306</v>
      </c>
      <c r="Y706" s="65" t="str">
        <f t="shared" si="6"/>
        <v>SAGA 79F03</v>
      </c>
    </row>
    <row r="707">
      <c r="A707" s="18" t="s">
        <v>1202</v>
      </c>
      <c r="B707" s="91" t="str">
        <f t="shared" si="103"/>
        <v>7904-F</v>
      </c>
      <c r="C707" s="15" t="s">
        <v>1205</v>
      </c>
      <c r="D707" s="18" t="s">
        <v>46</v>
      </c>
      <c r="E707" s="39">
        <v>2980.0</v>
      </c>
      <c r="F707" s="39">
        <v>3320.0</v>
      </c>
      <c r="G707" s="50">
        <f t="shared" si="98"/>
        <v>0.1140939597</v>
      </c>
      <c r="H707" s="28"/>
      <c r="I707" s="55">
        <f t="shared" si="2"/>
        <v>3321.680561</v>
      </c>
      <c r="J707" s="81"/>
      <c r="K707" s="60">
        <f>IFERROR(__xludf.DUMMYFUNCTION("IFERROR(VLOOKUP(C707,IMPORTRANGE(""https://docs.google.com/spreadsheets/d/1HZUHB8NvANAZR0sHDmHYVAm2WE9kNv0pGIQA48Ryim8/edit?gid=1285727875#gid=1285727875"",""Sheet1!A2:G""),7,0))"),968.01)</f>
        <v>968.01</v>
      </c>
      <c r="L707" s="62">
        <f t="shared" si="99"/>
        <v>3.078480594</v>
      </c>
      <c r="M707" s="60">
        <f>IFERROR(__xludf.DUMMYFUNCTION("IFERROR(VLOOKUP(C707,IMPORTRANGE(""https://docs.google.com/spreadsheets/d/1HZUHB8NvANAZR0sHDmHYVAm2WE9kNv0pGIQA48Ryim8/edit?gid=1285727875#gid=1285727875"",""Cost!A2:G""),7,0))"),1079.0)</f>
        <v>1079</v>
      </c>
      <c r="N707" s="62">
        <f t="shared" si="4"/>
        <v>3.076923077</v>
      </c>
      <c r="O707" s="28"/>
      <c r="P707" s="28"/>
      <c r="Q707" s="28"/>
      <c r="R707" s="28"/>
      <c r="S707" s="28"/>
      <c r="T707" s="28"/>
      <c r="U707" s="65"/>
      <c r="V707" s="28"/>
      <c r="W707" s="65"/>
      <c r="X707" s="66" t="s">
        <v>309</v>
      </c>
      <c r="Y707" s="65" t="str">
        <f t="shared" si="6"/>
        <v>SAGA 79F04</v>
      </c>
    </row>
    <row r="708">
      <c r="A708" s="18" t="s">
        <v>1202</v>
      </c>
      <c r="B708" s="91" t="str">
        <f t="shared" si="103"/>
        <v>7906-F</v>
      </c>
      <c r="C708" s="15" t="s">
        <v>1206</v>
      </c>
      <c r="D708" s="18" t="s">
        <v>67</v>
      </c>
      <c r="E708" s="39">
        <v>1840.0</v>
      </c>
      <c r="F708" s="39">
        <v>1990.0</v>
      </c>
      <c r="G708" s="50">
        <f t="shared" si="98"/>
        <v>0.08152173913</v>
      </c>
      <c r="H708" s="28"/>
      <c r="I708" s="55">
        <f t="shared" si="2"/>
        <v>2023.080418</v>
      </c>
      <c r="J708" s="81"/>
      <c r="K708" s="60">
        <f>IFERROR(__xludf.DUMMYFUNCTION("IFERROR(VLOOKUP(C708,IMPORTRANGE(""https://docs.google.com/spreadsheets/d/1HZUHB8NvANAZR0sHDmHYVAm2WE9kNv0pGIQA48Ryim8/edit?gid=1285727875#gid=1285727875"",""Sheet1!A2:G""),7,0))"),550.25)</f>
        <v>550.25</v>
      </c>
      <c r="L708" s="62">
        <f t="shared" si="99"/>
        <v>3.343934575</v>
      </c>
      <c r="M708" s="60">
        <f>IFERROR(__xludf.DUMMYFUNCTION("IFERROR(VLOOKUP(C708,IMPORTRANGE(""https://docs.google.com/spreadsheets/d/1HZUHB8NvANAZR0sHDmHYVAm2WE9kNv0pGIQA48Ryim8/edit?gid=1285727875#gid=1285727875"",""Cost!A2:G""),7,0))"),605.0)</f>
        <v>605</v>
      </c>
      <c r="N708" s="62">
        <f t="shared" si="4"/>
        <v>3.289256198</v>
      </c>
      <c r="O708" s="28"/>
      <c r="P708" s="28"/>
      <c r="Q708" s="28"/>
      <c r="R708" s="28"/>
      <c r="S708" s="28"/>
      <c r="T708" s="28"/>
      <c r="U708" s="65"/>
      <c r="V708" s="28"/>
      <c r="W708" s="65"/>
      <c r="X708" s="66" t="s">
        <v>311</v>
      </c>
      <c r="Y708" s="65" t="str">
        <f t="shared" si="6"/>
        <v>SAGA 79F06</v>
      </c>
    </row>
    <row r="709">
      <c r="A709" s="18" t="s">
        <v>1202</v>
      </c>
      <c r="B709" s="91" t="str">
        <f t="shared" si="103"/>
        <v>7908-F</v>
      </c>
      <c r="C709" s="15" t="s">
        <v>1207</v>
      </c>
      <c r="D709" s="18" t="s">
        <v>81</v>
      </c>
      <c r="E709" s="39">
        <v>1980.0</v>
      </c>
      <c r="F709" s="39">
        <v>2190.0</v>
      </c>
      <c r="G709" s="50">
        <f t="shared" si="98"/>
        <v>0.1060606061</v>
      </c>
      <c r="H709" s="28"/>
      <c r="I709" s="55">
        <f t="shared" si="2"/>
        <v>2166.154994</v>
      </c>
      <c r="J709" s="81"/>
      <c r="K709" s="60">
        <f>IFERROR(__xludf.DUMMYFUNCTION("IFERROR(VLOOKUP(C709,IMPORTRANGE(""https://docs.google.com/spreadsheets/d/1HZUHB8NvANAZR0sHDmHYVAm2WE9kNv0pGIQA48Ryim8/edit?gid=1285727875#gid=1285727875"",""Sheet1!A2:G""),7,0))"),589.57)</f>
        <v>589.57</v>
      </c>
      <c r="L709" s="62">
        <f t="shared" si="99"/>
        <v>3.358379836</v>
      </c>
      <c r="M709" s="60">
        <f>IFERROR(__xludf.DUMMYFUNCTION("IFERROR(VLOOKUP(C709,IMPORTRANGE(""https://docs.google.com/spreadsheets/d/1HZUHB8NvANAZR0sHDmHYVAm2WE9kNv0pGIQA48Ryim8/edit?gid=1285727875#gid=1285727875"",""Cost!A2:G""),7,0))"),645.0)</f>
        <v>645</v>
      </c>
      <c r="N709" s="62">
        <f t="shared" si="4"/>
        <v>3.395348837</v>
      </c>
      <c r="O709" s="28"/>
      <c r="P709" s="28"/>
      <c r="Q709" s="28"/>
      <c r="R709" s="28"/>
      <c r="S709" s="28"/>
      <c r="T709" s="28"/>
      <c r="U709" s="65"/>
      <c r="V709" s="28"/>
      <c r="W709" s="65"/>
      <c r="X709" s="66" t="s">
        <v>321</v>
      </c>
      <c r="Y709" s="65" t="str">
        <f t="shared" si="6"/>
        <v>SAGA 79F08</v>
      </c>
    </row>
    <row r="710">
      <c r="A710" s="18" t="s">
        <v>1202</v>
      </c>
      <c r="B710" s="91" t="str">
        <f t="shared" si="103"/>
        <v>7910-F</v>
      </c>
      <c r="C710" s="15" t="s">
        <v>1208</v>
      </c>
      <c r="D710" s="18" t="s">
        <v>89</v>
      </c>
      <c r="E710" s="75">
        <v>1390.0</v>
      </c>
      <c r="F710" s="39">
        <v>1490.0</v>
      </c>
      <c r="G710" s="50">
        <f t="shared" si="98"/>
        <v>0.07194244604</v>
      </c>
      <c r="H710" s="28"/>
      <c r="I710" s="55">
        <f t="shared" si="2"/>
        <v>1513.059542</v>
      </c>
      <c r="J710" s="81"/>
      <c r="K710" s="60">
        <f>IFERROR(__xludf.DUMMYFUNCTION("IFERROR(VLOOKUP(C710,IMPORTRANGE(""https://docs.google.com/spreadsheets/d/1HZUHB8NvANAZR0sHDmHYVAm2WE9kNv0pGIQA48Ryim8/edit?gid=1285727875#gid=1285727875"",""Sheet1!A2:G""),7,0))"),351.85)</f>
        <v>351.85</v>
      </c>
      <c r="L710" s="62">
        <f t="shared" si="99"/>
        <v>3.950547108</v>
      </c>
      <c r="M710" s="60">
        <f>IFERROR(__xludf.DUMMYFUNCTION("IFERROR(VLOOKUP(C710,IMPORTRANGE(""https://docs.google.com/spreadsheets/d/1HZUHB8NvANAZR0sHDmHYVAm2WE9kNv0pGIQA48Ryim8/edit?gid=1285727875#gid=1285727875"",""Cost!A2:G""),7,0))"),383.0)</f>
        <v>383</v>
      </c>
      <c r="N710" s="62">
        <f t="shared" si="4"/>
        <v>3.890339426</v>
      </c>
      <c r="O710" s="28"/>
      <c r="P710" s="28"/>
      <c r="Q710" s="28"/>
      <c r="R710" s="28"/>
      <c r="S710" s="28"/>
      <c r="T710" s="28"/>
      <c r="U710" s="65"/>
      <c r="V710" s="28"/>
      <c r="W710" s="65"/>
      <c r="X710" s="66" t="s">
        <v>87</v>
      </c>
      <c r="Y710" s="65" t="str">
        <f t="shared" si="6"/>
        <v>SAGA 79F10</v>
      </c>
    </row>
    <row r="711">
      <c r="A711" s="18" t="s">
        <v>1202</v>
      </c>
      <c r="B711" s="91" t="str">
        <f t="shared" si="103"/>
        <v>7911-F</v>
      </c>
      <c r="C711" s="15" t="s">
        <v>1209</v>
      </c>
      <c r="D711" s="18" t="s">
        <v>94</v>
      </c>
      <c r="E711" s="39">
        <v>2390.0</v>
      </c>
      <c r="F711" s="39">
        <v>2580.0</v>
      </c>
      <c r="G711" s="50">
        <f t="shared" si="98"/>
        <v>0.07949790795</v>
      </c>
      <c r="H711" s="28"/>
      <c r="I711" s="55">
        <f t="shared" si="2"/>
        <v>2667.61843</v>
      </c>
      <c r="J711" s="81"/>
      <c r="K711" s="60">
        <f>IFERROR(__xludf.DUMMYFUNCTION("IFERROR(VLOOKUP(C711,IMPORTRANGE(""https://docs.google.com/spreadsheets/d/1HZUHB8NvANAZR0sHDmHYVAm2WE9kNv0pGIQA48Ryim8/edit?gid=1285727875#gid=1285727875"",""Sheet1!A2:G""),7,0))"),693.45)</f>
        <v>693.45</v>
      </c>
      <c r="L711" s="62">
        <f t="shared" si="99"/>
        <v>3.446535439</v>
      </c>
      <c r="M711" s="60">
        <f>IFERROR(__xludf.DUMMYFUNCTION("IFERROR(VLOOKUP(C711,IMPORTRANGE(""https://docs.google.com/spreadsheets/d/1HZUHB8NvANAZR0sHDmHYVAm2WE9kNv0pGIQA48Ryim8/edit?gid=1285727875#gid=1285727875"",""Cost!A2:G""),7,0))"),774.0)</f>
        <v>774</v>
      </c>
      <c r="N711" s="62">
        <f t="shared" si="4"/>
        <v>3.333333333</v>
      </c>
      <c r="O711" s="28"/>
      <c r="P711" s="28"/>
      <c r="Q711" s="28"/>
      <c r="R711" s="28"/>
      <c r="S711" s="28"/>
      <c r="T711" s="28"/>
      <c r="U711" s="65"/>
      <c r="V711" s="28"/>
      <c r="W711" s="65"/>
      <c r="X711" s="66" t="s">
        <v>91</v>
      </c>
      <c r="Y711" s="65" t="str">
        <f t="shared" si="6"/>
        <v>SAGA 79F11</v>
      </c>
    </row>
    <row r="712">
      <c r="A712" s="18" t="s">
        <v>1202</v>
      </c>
      <c r="B712" s="91" t="str">
        <f t="shared" si="103"/>
        <v>7913-F</v>
      </c>
      <c r="C712" s="15" t="s">
        <v>1210</v>
      </c>
      <c r="D712" s="18" t="s">
        <v>101</v>
      </c>
      <c r="E712" s="75">
        <v>2550.0</v>
      </c>
      <c r="F712" s="39">
        <v>2870.0</v>
      </c>
      <c r="G712" s="50">
        <f t="shared" si="98"/>
        <v>0.1254901961</v>
      </c>
      <c r="H712" s="28"/>
      <c r="I712" s="55">
        <f t="shared" si="2"/>
        <v>2870.39755</v>
      </c>
      <c r="J712" s="81"/>
      <c r="K712" s="60">
        <f>IFERROR(__xludf.DUMMYFUNCTION("IFERROR(VLOOKUP(C712,IMPORTRANGE(""https://docs.google.com/spreadsheets/d/1HZUHB8NvANAZR0sHDmHYVAm2WE9kNv0pGIQA48Ryim8/edit?gid=1285727875#gid=1285727875"",""Sheet1!A2:G""),7,0))"),783.55)</f>
        <v>783.55</v>
      </c>
      <c r="L712" s="62">
        <f t="shared" si="99"/>
        <v>3.25441899</v>
      </c>
      <c r="M712" s="60">
        <f>IFERROR(__xludf.DUMMYFUNCTION("IFERROR(VLOOKUP(C712,IMPORTRANGE(""https://docs.google.com/spreadsheets/d/1HZUHB8NvANAZR0sHDmHYVAm2WE9kNv0pGIQA48Ryim8/edit?gid=1285727875#gid=1285727875"",""Cost!A2:G""),7,0))"),882.0)</f>
        <v>882</v>
      </c>
      <c r="N712" s="62">
        <f t="shared" si="4"/>
        <v>3.253968254</v>
      </c>
      <c r="O712" s="28"/>
      <c r="P712" s="28"/>
      <c r="Q712" s="28"/>
      <c r="R712" s="28"/>
      <c r="S712" s="28"/>
      <c r="T712" s="28"/>
      <c r="U712" s="65"/>
      <c r="V712" s="28"/>
      <c r="W712" s="65"/>
      <c r="X712" s="66" t="s">
        <v>100</v>
      </c>
      <c r="Y712" s="65" t="str">
        <f t="shared" si="6"/>
        <v>SAGA 79F13</v>
      </c>
    </row>
    <row r="713">
      <c r="A713" s="18" t="s">
        <v>1202</v>
      </c>
      <c r="B713" s="91" t="str">
        <f t="shared" si="103"/>
        <v>7914-F</v>
      </c>
      <c r="C713" s="15" t="s">
        <v>1211</v>
      </c>
      <c r="D713" s="18" t="s">
        <v>106</v>
      </c>
      <c r="E713" s="39">
        <v>2980.0</v>
      </c>
      <c r="F713" s="39">
        <v>3220.0</v>
      </c>
      <c r="G713" s="50">
        <f t="shared" si="98"/>
        <v>0.08053691275</v>
      </c>
      <c r="H713" s="28"/>
      <c r="I713" s="55">
        <f t="shared" si="2"/>
        <v>3224.262295</v>
      </c>
      <c r="J713" s="81"/>
      <c r="K713" s="60">
        <f>IFERROR(__xludf.DUMMYFUNCTION("IFERROR(VLOOKUP(C713,IMPORTRANGE(""https://docs.google.com/spreadsheets/d/1HZUHB8NvANAZR0sHDmHYVAm2WE9kNv0pGIQA48Ryim8/edit?gid=1285727875#gid=1285727875"",""Sheet1!A2:G""),7,0))"),884.5)</f>
        <v>884.5</v>
      </c>
      <c r="L713" s="62">
        <f t="shared" si="99"/>
        <v>3.369135105</v>
      </c>
      <c r="M713" s="60">
        <f>IFERROR(__xludf.DUMMYFUNCTION("IFERROR(VLOOKUP(C713,IMPORTRANGE(""https://docs.google.com/spreadsheets/d/1HZUHB8NvANAZR0sHDmHYVAm2WE9kNv0pGIQA48Ryim8/edit?gid=1285727875#gid=1285727875"",""Cost!A2:G""),7,0))"),957.0)</f>
        <v>957</v>
      </c>
      <c r="N713" s="62">
        <f t="shared" si="4"/>
        <v>3.364681296</v>
      </c>
      <c r="O713" s="28"/>
      <c r="P713" s="28"/>
      <c r="Q713" s="28"/>
      <c r="R713" s="28"/>
      <c r="S713" s="28"/>
      <c r="T713" s="28"/>
      <c r="U713" s="65"/>
      <c r="V713" s="28"/>
      <c r="W713" s="65"/>
      <c r="X713" s="66" t="s">
        <v>104</v>
      </c>
      <c r="Y713" s="65" t="str">
        <f t="shared" si="6"/>
        <v>SAGA 79F14</v>
      </c>
    </row>
    <row r="714">
      <c r="A714" s="18" t="s">
        <v>1202</v>
      </c>
      <c r="B714" s="91" t="str">
        <f t="shared" si="103"/>
        <v>7916-F</v>
      </c>
      <c r="C714" s="15" t="s">
        <v>1212</v>
      </c>
      <c r="D714" s="18" t="s">
        <v>112</v>
      </c>
      <c r="E714" s="39">
        <v>2640.0</v>
      </c>
      <c r="F714" s="39">
        <v>2880.0</v>
      </c>
      <c r="G714" s="50">
        <f t="shared" si="98"/>
        <v>0.09090909091</v>
      </c>
      <c r="H714" s="28"/>
      <c r="I714" s="55">
        <f t="shared" si="2"/>
        <v>2847.260698</v>
      </c>
      <c r="J714" s="81"/>
      <c r="K714" s="60">
        <f>IFERROR(__xludf.DUMMYFUNCTION("IFERROR(VLOOKUP(C714,IMPORTRANGE(""https://docs.google.com/spreadsheets/d/1HZUHB8NvANAZR0sHDmHYVAm2WE9kNv0pGIQA48Ryim8/edit?gid=1285727875#gid=1285727875"",""Sheet1!A2:G""),7,0))"),743.62)</f>
        <v>743.62</v>
      </c>
      <c r="L714" s="62">
        <f t="shared" si="99"/>
        <v>3.550200371</v>
      </c>
      <c r="M714" s="60">
        <f>IFERROR(__xludf.DUMMYFUNCTION("IFERROR(VLOOKUP(C714,IMPORTRANGE(""https://docs.google.com/spreadsheets/d/1HZUHB8NvANAZR0sHDmHYVAm2WE9kNv0pGIQA48Ryim8/edit?gid=1285727875#gid=1285727875"",""Cost!A2:G""),7,0))"),802.0)</f>
        <v>802</v>
      </c>
      <c r="N714" s="62">
        <f t="shared" si="4"/>
        <v>3.591022444</v>
      </c>
      <c r="O714" s="28"/>
      <c r="P714" s="28"/>
      <c r="Q714" s="28"/>
      <c r="R714" s="28"/>
      <c r="S714" s="28"/>
      <c r="T714" s="28"/>
      <c r="U714" s="65"/>
      <c r="V714" s="28"/>
      <c r="W714" s="65"/>
      <c r="X714" s="66" t="s">
        <v>110</v>
      </c>
      <c r="Y714" s="65" t="str">
        <f t="shared" si="6"/>
        <v>SAGA 79F16</v>
      </c>
    </row>
    <row r="715">
      <c r="A715" s="18" t="s">
        <v>1202</v>
      </c>
      <c r="B715" s="91" t="str">
        <f t="shared" si="103"/>
        <v>7918-F</v>
      </c>
      <c r="C715" s="15" t="s">
        <v>1059</v>
      </c>
      <c r="D715" s="18" t="s">
        <v>119</v>
      </c>
      <c r="E715" s="39">
        <v>1740.0</v>
      </c>
      <c r="F715" s="39">
        <v>1920.0</v>
      </c>
      <c r="G715" s="50">
        <f t="shared" si="98"/>
        <v>0.1034482759</v>
      </c>
      <c r="H715" s="28"/>
      <c r="I715" s="55">
        <f t="shared" si="2"/>
        <v>1971.754139</v>
      </c>
      <c r="J715" s="81"/>
      <c r="K715" s="60">
        <f>IFERROR(__xludf.DUMMYFUNCTION("IFERROR(VLOOKUP(C715,IMPORTRANGE(""https://docs.google.com/spreadsheets/d/1HZUHB8NvANAZR0sHDmHYVAm2WE9kNv0pGIQA48Ryim8/edit?gid=1285727875#gid=1285727875"",""Sheet1!A2:G""),7,0))"),476.53)</f>
        <v>476.53</v>
      </c>
      <c r="L715" s="62">
        <f t="shared" si="99"/>
        <v>3.651396554</v>
      </c>
      <c r="M715" s="60">
        <f>IFERROR(__xludf.DUMMYFUNCTION("IFERROR(VLOOKUP(C715,IMPORTRANGE(""https://docs.google.com/spreadsheets/d/1HZUHB8NvANAZR0sHDmHYVAm2WE9kNv0pGIQA48Ryim8/edit?gid=1285727875#gid=1285727875"",""Cost!A2:G""),7,0))"),540.0)</f>
        <v>540</v>
      </c>
      <c r="N715" s="62">
        <f t="shared" si="4"/>
        <v>3.555555556</v>
      </c>
      <c r="O715" s="28"/>
      <c r="P715" s="28"/>
      <c r="Q715" s="28"/>
      <c r="R715" s="28"/>
      <c r="S715" s="28"/>
      <c r="T715" s="28"/>
      <c r="U715" s="65"/>
      <c r="V715" s="28"/>
      <c r="W715" s="65"/>
      <c r="X715" s="66" t="s">
        <v>117</v>
      </c>
      <c r="Y715" s="65" t="str">
        <f t="shared" si="6"/>
        <v>SAGA 79F18</v>
      </c>
    </row>
    <row r="716">
      <c r="A716" s="18" t="s">
        <v>1202</v>
      </c>
      <c r="B716" s="91" t="str">
        <f t="shared" si="103"/>
        <v>7920-F</v>
      </c>
      <c r="C716" s="15" t="s">
        <v>1060</v>
      </c>
      <c r="D716" s="18" t="s">
        <v>122</v>
      </c>
      <c r="E716" s="39">
        <v>1790.0</v>
      </c>
      <c r="F716" s="39">
        <v>1970.0</v>
      </c>
      <c r="G716" s="50">
        <f t="shared" si="98"/>
        <v>0.1005586592</v>
      </c>
      <c r="H716" s="28"/>
      <c r="I716" s="55">
        <f t="shared" si="2"/>
        <v>2037.943892</v>
      </c>
      <c r="J716" s="81"/>
      <c r="K716" s="60">
        <f>IFERROR(__xludf.DUMMYFUNCTION("IFERROR(VLOOKUP(C716,IMPORTRANGE(""https://docs.google.com/spreadsheets/d/1HZUHB8NvANAZR0sHDmHYVAm2WE9kNv0pGIQA48Ryim8/edit?gid=1285727875#gid=1285727875"",""Sheet1!A2:G""),7,0))"),501.53)</f>
        <v>501.53</v>
      </c>
      <c r="L716" s="62">
        <f t="shared" si="99"/>
        <v>3.569078619</v>
      </c>
      <c r="M716" s="60">
        <f>IFERROR(__xludf.DUMMYFUNCTION("IFERROR(VLOOKUP(C716,IMPORTRANGE(""https://docs.google.com/spreadsheets/d/1HZUHB8NvANAZR0sHDmHYVAm2WE9kNv0pGIQA48Ryim8/edit?gid=1285727875#gid=1285727875"",""Cost!A2:G""),7,0))"),571.0)</f>
        <v>571</v>
      </c>
      <c r="N716" s="62">
        <f t="shared" si="4"/>
        <v>3.450087566</v>
      </c>
      <c r="O716" s="28"/>
      <c r="P716" s="28"/>
      <c r="Q716" s="28"/>
      <c r="R716" s="28"/>
      <c r="S716" s="28"/>
      <c r="T716" s="28"/>
      <c r="U716" s="65"/>
      <c r="V716" s="28"/>
      <c r="W716" s="65"/>
      <c r="X716" s="66" t="s">
        <v>120</v>
      </c>
      <c r="Y716" s="65" t="str">
        <f t="shared" si="6"/>
        <v>SAGA 79F20</v>
      </c>
    </row>
    <row r="717">
      <c r="A717" s="18" t="s">
        <v>1202</v>
      </c>
      <c r="B717" s="91" t="str">
        <f t="shared" si="103"/>
        <v>7950-F</v>
      </c>
      <c r="C717" s="15" t="s">
        <v>1213</v>
      </c>
      <c r="D717" s="18" t="s">
        <v>136</v>
      </c>
      <c r="E717" s="39">
        <v>4890.0</v>
      </c>
      <c r="F717" s="39">
        <v>5480.0</v>
      </c>
      <c r="G717" s="50">
        <f t="shared" si="98"/>
        <v>0.1206543967</v>
      </c>
      <c r="H717" s="28"/>
      <c r="I717" s="55">
        <f t="shared" si="2"/>
        <v>5506.717005</v>
      </c>
      <c r="J717" s="81"/>
      <c r="K717" s="60">
        <f>IFERROR(__xludf.DUMMYFUNCTION("IFERROR(VLOOKUP(C717,IMPORTRANGE(""https://docs.google.com/spreadsheets/d/1HZUHB8NvANAZR0sHDmHYVAm2WE9kNv0pGIQA48Ryim8/edit?gid=1285727875#gid=1285727875"",""Sheet1!A2:G""),7,0))"),1385.29)</f>
        <v>1385.29</v>
      </c>
      <c r="L717" s="62">
        <f t="shared" si="99"/>
        <v>3.529946798</v>
      </c>
      <c r="M717" s="60">
        <f>IFERROR(__xludf.DUMMYFUNCTION("IFERROR(VLOOKUP(C717,IMPORTRANGE(""https://docs.google.com/spreadsheets/d/1HZUHB8NvANAZR0sHDmHYVAm2WE9kNv0pGIQA48Ryim8/edit?gid=1285727875#gid=1285727875"",""Cost!A2:G""),7,0))"),1560.0)</f>
        <v>1560</v>
      </c>
      <c r="N717" s="62">
        <f t="shared" si="4"/>
        <v>3.512820513</v>
      </c>
      <c r="O717" s="28"/>
      <c r="P717" s="28"/>
      <c r="Q717" s="28"/>
      <c r="R717" s="28"/>
      <c r="S717" s="28"/>
      <c r="T717" s="28"/>
      <c r="U717" s="65"/>
      <c r="V717" s="28"/>
      <c r="W717" s="65"/>
      <c r="X717" s="66" t="s">
        <v>134</v>
      </c>
      <c r="Y717" s="65" t="str">
        <f t="shared" si="6"/>
        <v>SAGA 79F50</v>
      </c>
    </row>
    <row r="718">
      <c r="A718" s="18" t="s">
        <v>1202</v>
      </c>
      <c r="B718" s="91" t="str">
        <f t="shared" si="103"/>
        <v>7951-F</v>
      </c>
      <c r="C718" s="15" t="s">
        <v>1214</v>
      </c>
      <c r="D718" s="18" t="s">
        <v>141</v>
      </c>
      <c r="E718" s="75">
        <v>6130.0</v>
      </c>
      <c r="F718" s="39">
        <v>6480.0</v>
      </c>
      <c r="G718" s="50">
        <f t="shared" si="98"/>
        <v>0.05709624796</v>
      </c>
      <c r="H718" s="28"/>
      <c r="I718" s="55">
        <f t="shared" si="2"/>
        <v>6847.531192</v>
      </c>
      <c r="J718" s="81"/>
      <c r="K718" s="60">
        <f>IFERROR(__xludf.DUMMYFUNCTION("IFERROR(VLOOKUP(C718,IMPORTRANGE(""https://docs.google.com/spreadsheets/d/1HZUHB8NvANAZR0sHDmHYVAm2WE9kNv0pGIQA48Ryim8/edit?gid=1285727875#gid=1285727875"",""Sheet1!A2:G""),7,0))"),1469.94)</f>
        <v>1469.94</v>
      </c>
      <c r="L718" s="62">
        <f t="shared" si="99"/>
        <v>4.170238241</v>
      </c>
      <c r="M718" s="60">
        <f>IFERROR(__xludf.DUMMYFUNCTION("IFERROR(VLOOKUP(C718,IMPORTRANGE(""https://docs.google.com/spreadsheets/d/1HZUHB8NvANAZR0sHDmHYVAm2WE9kNv0pGIQA48Ryim8/edit?gid=1285727875#gid=1285727875"",""Cost!A2:G""),7,0))"),1642.0)</f>
        <v>1642</v>
      </c>
      <c r="N718" s="62">
        <f t="shared" si="4"/>
        <v>3.946406821</v>
      </c>
      <c r="O718" s="28"/>
      <c r="P718" s="28"/>
      <c r="Q718" s="28"/>
      <c r="R718" s="28"/>
      <c r="S718" s="28"/>
      <c r="T718" s="28"/>
      <c r="U718" s="65"/>
      <c r="V718" s="28"/>
      <c r="W718" s="65"/>
      <c r="X718" s="66" t="s">
        <v>139</v>
      </c>
      <c r="Y718" s="65" t="str">
        <f t="shared" si="6"/>
        <v>SAGA 79F51</v>
      </c>
    </row>
    <row r="719">
      <c r="A719" s="18" t="s">
        <v>1202</v>
      </c>
      <c r="B719" s="91" t="str">
        <f t="shared" si="103"/>
        <v>7952-F</v>
      </c>
      <c r="C719" s="15" t="s">
        <v>1215</v>
      </c>
      <c r="D719" s="18" t="s">
        <v>147</v>
      </c>
      <c r="E719" s="75">
        <v>8510.0</v>
      </c>
      <c r="F719" s="39">
        <v>9490.0</v>
      </c>
      <c r="G719" s="50">
        <f t="shared" si="98"/>
        <v>0.1151586369</v>
      </c>
      <c r="H719" s="28"/>
      <c r="I719" s="55">
        <f t="shared" si="2"/>
        <v>9492.313614</v>
      </c>
      <c r="J719" s="81"/>
      <c r="K719" s="60">
        <f>IFERROR(__xludf.DUMMYFUNCTION("IFERROR(VLOOKUP(C719,IMPORTRANGE(""https://docs.google.com/spreadsheets/d/1HZUHB8NvANAZR0sHDmHYVAm2WE9kNv0pGIQA48Ryim8/edit?gid=1285727875#gid=1285727875"",""Sheet1!A2:G""),7,0))"),2598.1)</f>
        <v>2598.1</v>
      </c>
      <c r="L719" s="62">
        <f t="shared" si="99"/>
        <v>3.275470536</v>
      </c>
      <c r="M719" s="60">
        <f>IFERROR(__xludf.DUMMYFUNCTION("IFERROR(VLOOKUP(C719,IMPORTRANGE(""https://docs.google.com/spreadsheets/d/1HZUHB8NvANAZR0sHDmHYVAm2WE9kNv0pGIQA48Ryim8/edit?gid=1285727875#gid=1285727875"",""Cost!A2:G""),7,0))"),2898.0)</f>
        <v>2898</v>
      </c>
      <c r="N719" s="62">
        <f t="shared" si="4"/>
        <v>3.274672188</v>
      </c>
      <c r="O719" s="28"/>
      <c r="P719" s="28"/>
      <c r="Q719" s="28"/>
      <c r="R719" s="28"/>
      <c r="S719" s="28"/>
      <c r="T719" s="28"/>
      <c r="U719" s="65"/>
      <c r="V719" s="28"/>
      <c r="W719" s="65"/>
      <c r="X719" s="66" t="s">
        <v>144</v>
      </c>
      <c r="Y719" s="65" t="str">
        <f t="shared" si="6"/>
        <v>SAGA 79F52</v>
      </c>
    </row>
    <row r="720">
      <c r="A720" s="18" t="s">
        <v>1202</v>
      </c>
      <c r="B720" s="91" t="str">
        <f t="shared" si="103"/>
        <v>7954-F</v>
      </c>
      <c r="C720" s="15" t="s">
        <v>1216</v>
      </c>
      <c r="D720" s="18" t="s">
        <v>152</v>
      </c>
      <c r="E720" s="75">
        <f t="shared" ref="E720:F720" si="110">SUM(E721:E722)</f>
        <v>7440</v>
      </c>
      <c r="F720" s="75">
        <f t="shared" si="110"/>
        <v>8170</v>
      </c>
      <c r="G720" s="50">
        <f t="shared" si="98"/>
        <v>0.09811827957</v>
      </c>
      <c r="H720" s="28"/>
      <c r="I720" s="55">
        <f t="shared" si="2"/>
        <v>8167.47158</v>
      </c>
      <c r="J720" s="81"/>
      <c r="K720" s="60">
        <f>IFERROR(__xludf.DUMMYFUNCTION("IFERROR(VLOOKUP(C720,IMPORTRANGE(""https://docs.google.com/spreadsheets/d/1HZUHB8NvANAZR0sHDmHYVAm2WE9kNv0pGIQA48Ryim8/edit?gid=1285727875#gid=1285727875"",""Sheet1!A2:G""),7,0))"),2153.44)</f>
        <v>2153.44</v>
      </c>
      <c r="L720" s="62">
        <f t="shared" si="99"/>
        <v>3.454937217</v>
      </c>
      <c r="M720" s="60">
        <f>IFERROR(__xludf.DUMMYFUNCTION("IFERROR(VLOOKUP(C720,IMPORTRANGE(""https://docs.google.com/spreadsheets/d/1HZUHB8NvANAZR0sHDmHYVAm2WE9kNv0pGIQA48Ryim8/edit?gid=1285727875#gid=1285727875"",""Cost!A2:G""),7,0))"),2364.0)</f>
        <v>2364</v>
      </c>
      <c r="N720" s="62">
        <f t="shared" si="4"/>
        <v>3.456006768</v>
      </c>
      <c r="O720" s="28"/>
      <c r="P720" s="28"/>
      <c r="Q720" s="28"/>
      <c r="R720" s="28"/>
      <c r="S720" s="28"/>
      <c r="T720" s="28"/>
      <c r="U720" s="65"/>
      <c r="V720" s="28"/>
      <c r="W720" s="65"/>
      <c r="X720" s="66" t="s">
        <v>150</v>
      </c>
      <c r="Y720" s="65" t="str">
        <f t="shared" si="6"/>
        <v>SAGA 79F54</v>
      </c>
    </row>
    <row r="721">
      <c r="A721" s="18" t="s">
        <v>1202</v>
      </c>
      <c r="B721" s="91" t="str">
        <f t="shared" si="103"/>
        <v>BD-40</v>
      </c>
      <c r="C721" s="15" t="s">
        <v>154</v>
      </c>
      <c r="D721" s="18" t="s">
        <v>156</v>
      </c>
      <c r="E721" s="39">
        <v>3680.0</v>
      </c>
      <c r="F721" s="39">
        <v>3990.0</v>
      </c>
      <c r="G721" s="50">
        <f t="shared" si="98"/>
        <v>0.08423913043</v>
      </c>
      <c r="H721" s="28"/>
      <c r="I721" s="55">
        <f t="shared" si="2"/>
        <v>4075.59981</v>
      </c>
      <c r="J721" s="81"/>
      <c r="K721" s="60">
        <f>IFERROR(__xludf.DUMMYFUNCTION("IFERROR(VLOOKUP(C721,IMPORTRANGE(""https://docs.google.com/spreadsheets/d/1HZUHB8NvANAZR0sHDmHYVAm2WE9kNv0pGIQA48Ryim8/edit?gid=1285727875#gid=1285727875"",""Sheet1!A2:G""),7,0))"),966.14)</f>
        <v>966.14</v>
      </c>
      <c r="L721" s="62">
        <f t="shared" si="99"/>
        <v>3.808971785</v>
      </c>
      <c r="M721" s="60">
        <f>IFERROR(__xludf.DUMMYFUNCTION("IFERROR(VLOOKUP(C721,IMPORTRANGE(""https://docs.google.com/spreadsheets/d/1HZUHB8NvANAZR0sHDmHYVAm2WE9kNv0pGIQA48Ryim8/edit?gid=1285727875#gid=1285727875"",""Cost!A2:G""),7,0))"),1070.0)</f>
        <v>1070</v>
      </c>
      <c r="N721" s="62">
        <f t="shared" si="4"/>
        <v>3.728971963</v>
      </c>
      <c r="O721" s="28"/>
      <c r="P721" s="28"/>
      <c r="Q721" s="28"/>
      <c r="R721" s="28"/>
      <c r="S721" s="28"/>
      <c r="T721" s="28"/>
      <c r="U721" s="65"/>
      <c r="V721" s="28"/>
      <c r="W721" s="65"/>
      <c r="X721" s="66" t="s">
        <v>154</v>
      </c>
      <c r="Y721" s="65" t="str">
        <f t="shared" si="6"/>
        <v>SAGA 79FBD-40</v>
      </c>
    </row>
    <row r="722">
      <c r="A722" s="18" t="s">
        <v>1202</v>
      </c>
      <c r="B722" s="91" t="str">
        <f t="shared" si="103"/>
        <v>BB-79 F</v>
      </c>
      <c r="C722" s="15" t="s">
        <v>1217</v>
      </c>
      <c r="D722" s="18" t="s">
        <v>78</v>
      </c>
      <c r="E722" s="39">
        <v>3760.0</v>
      </c>
      <c r="F722" s="39">
        <v>4180.0</v>
      </c>
      <c r="G722" s="50">
        <f t="shared" si="98"/>
        <v>0.1117021277</v>
      </c>
      <c r="H722" s="28"/>
      <c r="I722" s="55">
        <f t="shared" si="2"/>
        <v>4176.374861</v>
      </c>
      <c r="J722" s="81"/>
      <c r="K722" s="60">
        <f>IFERROR(__xludf.DUMMYFUNCTION("IFERROR(VLOOKUP(C722,IMPORTRANGE(""https://docs.google.com/spreadsheets/d/1HZUHB8NvANAZR0sHDmHYVAm2WE9kNv0pGIQA48Ryim8/edit?gid=1285727875#gid=1285727875"",""Sheet1!A2:G""),7,0))"),1161.39)</f>
        <v>1161.39</v>
      </c>
      <c r="L722" s="62">
        <f t="shared" si="99"/>
        <v>3.237499892</v>
      </c>
      <c r="M722" s="60">
        <f>IFERROR(__xludf.DUMMYFUNCTION("IFERROR(VLOOKUP(C722,IMPORTRANGE(""https://docs.google.com/spreadsheets/d/1HZUHB8NvANAZR0sHDmHYVAm2WE9kNv0pGIQA48Ryim8/edit?gid=1285727875#gid=1285727875"",""Cost!A2:G""),7,0))"),1290.0)</f>
        <v>1290</v>
      </c>
      <c r="N722" s="62">
        <f t="shared" si="4"/>
        <v>3.240310078</v>
      </c>
      <c r="O722" s="28"/>
      <c r="P722" s="28"/>
      <c r="Q722" s="28"/>
      <c r="R722" s="28"/>
      <c r="S722" s="28"/>
      <c r="T722" s="28"/>
      <c r="U722" s="65"/>
      <c r="V722" s="28"/>
      <c r="W722" s="65"/>
      <c r="X722" s="66" t="s">
        <v>159</v>
      </c>
      <c r="Y722" s="65" t="str">
        <f t="shared" si="6"/>
        <v>SAGA 79FBB</v>
      </c>
    </row>
    <row r="723">
      <c r="A723" s="18" t="s">
        <v>1202</v>
      </c>
      <c r="B723" s="91" t="str">
        <f t="shared" si="103"/>
        <v>7955-F</v>
      </c>
      <c r="C723" s="15" t="s">
        <v>1218</v>
      </c>
      <c r="D723" s="18" t="s">
        <v>164</v>
      </c>
      <c r="E723" s="39">
        <v>5780.0</v>
      </c>
      <c r="F723" s="39">
        <v>6280.0</v>
      </c>
      <c r="G723" s="50">
        <f t="shared" si="98"/>
        <v>0.08650519031</v>
      </c>
      <c r="H723" s="28"/>
      <c r="I723" s="55">
        <f t="shared" si="2"/>
        <v>6637.316947</v>
      </c>
      <c r="J723" s="81"/>
      <c r="K723" s="60">
        <f>IFERROR(__xludf.DUMMYFUNCTION("IFERROR(VLOOKUP(C723,IMPORTRANGE(""https://docs.google.com/spreadsheets/d/1HZUHB8NvANAZR0sHDmHYVAm2WE9kNv0pGIQA48Ryim8/edit?gid=1285727875#gid=1285727875"",""Sheet1!A2:G""),7,0))"),1524.83)</f>
        <v>1524.83</v>
      </c>
      <c r="L723" s="62">
        <f t="shared" si="99"/>
        <v>3.790586492</v>
      </c>
      <c r="M723" s="60">
        <f>IFERROR(__xludf.DUMMYFUNCTION("IFERROR(VLOOKUP(C723,IMPORTRANGE(""https://docs.google.com/spreadsheets/d/1HZUHB8NvANAZR0sHDmHYVAm2WE9kNv0pGIQA48Ryim8/edit?gid=1285727875#gid=1285727875"",""Cost!A2:G""),7,0))"),1751.0)</f>
        <v>1751</v>
      </c>
      <c r="N723" s="62">
        <f t="shared" si="4"/>
        <v>3.586521987</v>
      </c>
      <c r="O723" s="28"/>
      <c r="P723" s="28"/>
      <c r="Q723" s="28"/>
      <c r="R723" s="28"/>
      <c r="S723" s="28"/>
      <c r="T723" s="28"/>
      <c r="U723" s="65"/>
      <c r="V723" s="28"/>
      <c r="W723" s="65"/>
      <c r="X723" s="66" t="s">
        <v>162</v>
      </c>
      <c r="Y723" s="65" t="str">
        <f t="shared" si="6"/>
        <v>SAGA 79F55</v>
      </c>
    </row>
    <row r="724">
      <c r="A724" s="18" t="s">
        <v>1202</v>
      </c>
      <c r="B724" s="91" t="str">
        <f t="shared" si="103"/>
        <v>7970-F</v>
      </c>
      <c r="C724" s="15" t="s">
        <v>1219</v>
      </c>
      <c r="D724" s="18" t="s">
        <v>186</v>
      </c>
      <c r="E724" s="39">
        <v>7740.0</v>
      </c>
      <c r="F724" s="39">
        <v>8640.0</v>
      </c>
      <c r="G724" s="50">
        <f t="shared" si="98"/>
        <v>0.1162790698</v>
      </c>
      <c r="H724" s="28"/>
      <c r="I724" s="55">
        <f t="shared" si="2"/>
        <v>8858.5985</v>
      </c>
      <c r="J724" s="81"/>
      <c r="K724" s="60">
        <f>IFERROR(__xludf.DUMMYFUNCTION("IFERROR(VLOOKUP(C724,IMPORTRANGE(""https://docs.google.com/spreadsheets/d/1HZUHB8NvANAZR0sHDmHYVAm2WE9kNv0pGIQA48Ryim8/edit?gid=1285727875#gid=1285727875"",""Sheet1!A2:G""),7,0))"),2365.18)</f>
        <v>2365.18</v>
      </c>
      <c r="L724" s="62">
        <f t="shared" si="99"/>
        <v>3.272478205</v>
      </c>
      <c r="M724" s="60">
        <f>IFERROR(__xludf.DUMMYFUNCTION("IFERROR(VLOOKUP(C724,IMPORTRANGE(""https://docs.google.com/spreadsheets/d/1HZUHB8NvANAZR0sHDmHYVAm2WE9kNv0pGIQA48Ryim8/edit?gid=1285727875#gid=1285727875"",""Cost!A2:G""),7,0))"),2707.0)</f>
        <v>2707</v>
      </c>
      <c r="N724" s="62">
        <f t="shared" si="4"/>
        <v>3.191725157</v>
      </c>
      <c r="O724" s="28"/>
      <c r="P724" s="28"/>
      <c r="Q724" s="28"/>
      <c r="R724" s="28"/>
      <c r="S724" s="28"/>
      <c r="T724" s="28"/>
      <c r="U724" s="65"/>
      <c r="V724" s="28"/>
      <c r="W724" s="65"/>
      <c r="X724" s="66" t="s">
        <v>184</v>
      </c>
      <c r="Y724" s="65" t="str">
        <f t="shared" si="6"/>
        <v>SAGA 79F70</v>
      </c>
    </row>
    <row r="725">
      <c r="A725" s="18" t="s">
        <v>1202</v>
      </c>
      <c r="B725" s="91" t="str">
        <f t="shared" si="103"/>
        <v>7975-F</v>
      </c>
      <c r="C725" s="15" t="s">
        <v>1220</v>
      </c>
      <c r="D725" s="18" t="s">
        <v>196</v>
      </c>
      <c r="E725" s="39">
        <v>7740.0</v>
      </c>
      <c r="F725" s="39">
        <v>8640.0</v>
      </c>
      <c r="G725" s="50">
        <f t="shared" si="98"/>
        <v>0.1162790698</v>
      </c>
      <c r="H725" s="28"/>
      <c r="I725" s="55">
        <f t="shared" si="2"/>
        <v>8852.914158</v>
      </c>
      <c r="J725" s="81"/>
      <c r="K725" s="60">
        <f>IFERROR(__xludf.DUMMYFUNCTION("IFERROR(VLOOKUP(C725,IMPORTRANGE(""https://docs.google.com/spreadsheets/d/1HZUHB8NvANAZR0sHDmHYVAm2WE9kNv0pGIQA48Ryim8/edit?gid=1285727875#gid=1285727875"",""Sheet1!A2:G""),7,0))"),2340.47)</f>
        <v>2340.47</v>
      </c>
      <c r="L725" s="62">
        <f t="shared" si="99"/>
        <v>3.307028076</v>
      </c>
      <c r="M725" s="60">
        <f>IFERROR(__xludf.DUMMYFUNCTION("IFERROR(VLOOKUP(C725,IMPORTRANGE(""https://docs.google.com/spreadsheets/d/1HZUHB8NvANAZR0sHDmHYVAm2WE9kNv0pGIQA48Ryim8/edit?gid=1285727875#gid=1285727875"",""Cost!A2:G""),7,0))"),2677.0)</f>
        <v>2677</v>
      </c>
      <c r="N725" s="62">
        <f t="shared" si="4"/>
        <v>3.227493463</v>
      </c>
      <c r="O725" s="28"/>
      <c r="P725" s="28"/>
      <c r="Q725" s="28"/>
      <c r="R725" s="28"/>
      <c r="S725" s="28"/>
      <c r="T725" s="28"/>
      <c r="U725" s="65"/>
      <c r="V725" s="28"/>
      <c r="W725" s="65"/>
      <c r="X725" s="66" t="s">
        <v>194</v>
      </c>
      <c r="Y725" s="65" t="str">
        <f t="shared" si="6"/>
        <v>SAGA 79F75</v>
      </c>
    </row>
    <row r="726">
      <c r="A726" s="18" t="s">
        <v>1202</v>
      </c>
      <c r="B726" s="91" t="str">
        <f t="shared" si="103"/>
        <v>7980-F</v>
      </c>
      <c r="C726" s="15" t="s">
        <v>1221</v>
      </c>
      <c r="D726" s="18" t="s">
        <v>205</v>
      </c>
      <c r="E726" s="39">
        <v>8680.0</v>
      </c>
      <c r="F726" s="39">
        <v>9680.0</v>
      </c>
      <c r="G726" s="50">
        <f t="shared" si="98"/>
        <v>0.1152073733</v>
      </c>
      <c r="H726" s="28"/>
      <c r="I726" s="55">
        <f t="shared" si="2"/>
        <v>9884.97078</v>
      </c>
      <c r="J726" s="81"/>
      <c r="K726" s="60">
        <f>IFERROR(__xludf.DUMMYFUNCTION("IFERROR(VLOOKUP(C726,IMPORTRANGE(""https://docs.google.com/spreadsheets/d/1HZUHB8NvANAZR0sHDmHYVAm2WE9kNv0pGIQA48Ryim8/edit?gid=1285727875#gid=1285727875"",""Sheet1!A2:G""),7,0))"),2667.67)</f>
        <v>2667.67</v>
      </c>
      <c r="L726" s="62">
        <f t="shared" si="99"/>
        <v>3.253775767</v>
      </c>
      <c r="M726" s="60">
        <f>IFERROR(__xludf.DUMMYFUNCTION("IFERROR(VLOOKUP(C726,IMPORTRANGE(""https://docs.google.com/spreadsheets/d/1HZUHB8NvANAZR0sHDmHYVAm2WE9kNv0pGIQA48Ryim8/edit?gid=1285727875#gid=1285727875"",""Cost!A2:G""),7,0))"),3038.0)</f>
        <v>3038</v>
      </c>
      <c r="N726" s="62">
        <f t="shared" si="4"/>
        <v>3.186306781</v>
      </c>
      <c r="O726" s="28"/>
      <c r="P726" s="28"/>
      <c r="Q726" s="28"/>
      <c r="R726" s="28"/>
      <c r="S726" s="28"/>
      <c r="T726" s="28"/>
      <c r="U726" s="65"/>
      <c r="V726" s="28"/>
      <c r="W726" s="65"/>
      <c r="X726" s="66" t="s">
        <v>203</v>
      </c>
      <c r="Y726" s="65" t="str">
        <f t="shared" si="6"/>
        <v>SAGA 79F80</v>
      </c>
    </row>
    <row r="727">
      <c r="A727" s="18" t="s">
        <v>1202</v>
      </c>
      <c r="B727" s="91" t="str">
        <f t="shared" si="103"/>
        <v>7991 F-N</v>
      </c>
      <c r="C727" s="15" t="s">
        <v>1222</v>
      </c>
      <c r="D727" s="18" t="s">
        <v>210</v>
      </c>
      <c r="E727" s="75">
        <f t="shared" ref="E727:F727" si="111">SUM(E728:E729)</f>
        <v>6620</v>
      </c>
      <c r="F727" s="75">
        <f t="shared" si="111"/>
        <v>7060</v>
      </c>
      <c r="G727" s="50">
        <f t="shared" si="98"/>
        <v>0.0664652568</v>
      </c>
      <c r="H727" s="28"/>
      <c r="I727" s="55">
        <f t="shared" si="2"/>
        <v>7109.691117</v>
      </c>
      <c r="J727" s="81"/>
      <c r="K727" s="60">
        <f>IFERROR(__xludf.DUMMYFUNCTION("IFERROR(VLOOKUP(C727,IMPORTRANGE(""https://docs.google.com/spreadsheets/d/1HZUHB8NvANAZR0sHDmHYVAm2WE9kNv0pGIQA48Ryim8/edit?gid=1285727875#gid=1285727875"",""Sheet1!A2:G""),7,0))"),1931.15)</f>
        <v>1931.15</v>
      </c>
      <c r="L727" s="62">
        <f t="shared" si="99"/>
        <v>3.428009217</v>
      </c>
      <c r="M727" s="60">
        <f>IFERROR(__xludf.DUMMYFUNCTION("IFERROR(VLOOKUP(C727,IMPORTRANGE(""https://docs.google.com/spreadsheets/d/1HZUHB8NvANAZR0sHDmHYVAm2WE9kNv0pGIQA48Ryim8/edit?gid=1285727875#gid=1285727875"",""Cost!A2:G""),7,0))"),2074.0)</f>
        <v>2074</v>
      </c>
      <c r="N727" s="62">
        <f t="shared" si="4"/>
        <v>3.404050145</v>
      </c>
      <c r="O727" s="28"/>
      <c r="P727" s="28"/>
      <c r="Q727" s="28"/>
      <c r="R727" s="28"/>
      <c r="S727" s="28"/>
      <c r="T727" s="28"/>
      <c r="U727" s="65"/>
      <c r="V727" s="28"/>
      <c r="W727" s="65"/>
      <c r="X727" s="66" t="s">
        <v>209</v>
      </c>
      <c r="Y727" s="65" t="str">
        <f t="shared" si="6"/>
        <v>SAGA 79F91</v>
      </c>
    </row>
    <row r="728">
      <c r="A728" s="18" t="s">
        <v>1202</v>
      </c>
      <c r="B728" s="91" t="str">
        <f t="shared" si="103"/>
        <v>PD-40-N</v>
      </c>
      <c r="C728" s="15" t="s">
        <v>212</v>
      </c>
      <c r="D728" s="18" t="s">
        <v>214</v>
      </c>
      <c r="E728" s="39">
        <v>4240.0</v>
      </c>
      <c r="F728" s="39">
        <v>4580.0</v>
      </c>
      <c r="G728" s="50">
        <f t="shared" si="98"/>
        <v>0.08018867925</v>
      </c>
      <c r="H728" s="28"/>
      <c r="I728" s="55">
        <f t="shared" si="2"/>
        <v>4549.622554</v>
      </c>
      <c r="J728" s="81"/>
      <c r="K728" s="60">
        <f>IFERROR(__xludf.DUMMYFUNCTION("IFERROR(VLOOKUP(C728,IMPORTRANGE(""https://docs.google.com/spreadsheets/d/1HZUHB8NvANAZR0sHDmHYVAm2WE9kNv0pGIQA48Ryim8/edit?gid=1285727875#gid=1285727875"",""Sheet1!A2:G""),7,0))"),1298.2)</f>
        <v>1298.2</v>
      </c>
      <c r="L728" s="62">
        <f t="shared" si="99"/>
        <v>3.266060699</v>
      </c>
      <c r="M728" s="60">
        <f>IFERROR(__xludf.DUMMYFUNCTION("IFERROR(VLOOKUP(C728,IMPORTRANGE(""https://docs.google.com/spreadsheets/d/1HZUHB8NvANAZR0sHDmHYVAm2WE9kNv0pGIQA48Ryim8/edit?gid=1285727875#gid=1285727875"",""Cost!A2:G""),7,0))"),1393.0)</f>
        <v>1393</v>
      </c>
      <c r="N728" s="62">
        <f t="shared" si="4"/>
        <v>3.287867911</v>
      </c>
      <c r="O728" s="28"/>
      <c r="P728" s="28"/>
      <c r="Q728" s="28"/>
      <c r="R728" s="28"/>
      <c r="S728" s="28"/>
      <c r="T728" s="28"/>
      <c r="U728" s="65"/>
      <c r="V728" s="28"/>
      <c r="W728" s="65"/>
      <c r="X728" s="66" t="s">
        <v>212</v>
      </c>
      <c r="Y728" s="65" t="str">
        <f t="shared" si="6"/>
        <v>SAGA 79FPD-40-N</v>
      </c>
    </row>
    <row r="729">
      <c r="A729" s="18" t="s">
        <v>1202</v>
      </c>
      <c r="B729" s="91" t="str">
        <f t="shared" si="103"/>
        <v>DB-79 F-N</v>
      </c>
      <c r="C729" s="15" t="s">
        <v>1223</v>
      </c>
      <c r="D729" s="18" t="s">
        <v>217</v>
      </c>
      <c r="E729" s="39">
        <v>2380.0</v>
      </c>
      <c r="F729" s="39">
        <v>2480.0</v>
      </c>
      <c r="G729" s="50">
        <f t="shared" si="98"/>
        <v>0.04201680672</v>
      </c>
      <c r="H729" s="28"/>
      <c r="I729" s="55">
        <f t="shared" si="2"/>
        <v>2556.567624</v>
      </c>
      <c r="J729" s="81"/>
      <c r="K729" s="60">
        <f>IFERROR(__xludf.DUMMYFUNCTION("IFERROR(VLOOKUP(C729,IMPORTRANGE(""https://docs.google.com/spreadsheets/d/1HZUHB8NvANAZR0sHDmHYVAm2WE9kNv0pGIQA48Ryim8/edit?gid=1285727875#gid=1285727875"",""Sheet1!A2:G""),7,0))"),636.76)</f>
        <v>636.76</v>
      </c>
      <c r="L729" s="62">
        <f t="shared" si="99"/>
        <v>3.737671964</v>
      </c>
      <c r="M729" s="60">
        <f>IFERROR(__xludf.DUMMYFUNCTION("IFERROR(VLOOKUP(C729,IMPORTRANGE(""https://docs.google.com/spreadsheets/d/1HZUHB8NvANAZR0sHDmHYVAm2WE9kNv0pGIQA48Ryim8/edit?gid=1285727875#gid=1285727875"",""Cost!A2:G""),7,0))"),684.0)</f>
        <v>684</v>
      </c>
      <c r="N729" s="62">
        <f t="shared" si="4"/>
        <v>3.625730994</v>
      </c>
      <c r="O729" s="28"/>
      <c r="P729" s="28"/>
      <c r="Q729" s="28"/>
      <c r="R729" s="28"/>
      <c r="S729" s="28"/>
      <c r="T729" s="28"/>
      <c r="U729" s="65"/>
      <c r="V729" s="28"/>
      <c r="W729" s="65"/>
      <c r="X729" s="66" t="s">
        <v>358</v>
      </c>
      <c r="Y729" s="65" t="str">
        <f t="shared" si="6"/>
        <v>SAGA 79FDB</v>
      </c>
    </row>
    <row r="730">
      <c r="A730" s="18" t="s">
        <v>1202</v>
      </c>
      <c r="B730" s="91" t="str">
        <f t="shared" si="103"/>
        <v>7992 F-N</v>
      </c>
      <c r="C730" s="15" t="s">
        <v>1224</v>
      </c>
      <c r="D730" s="18" t="s">
        <v>220</v>
      </c>
      <c r="E730" s="75">
        <f t="shared" ref="E730:F730" si="112">SUM(E731:E732)</f>
        <v>7360</v>
      </c>
      <c r="F730" s="75">
        <f t="shared" si="112"/>
        <v>7970</v>
      </c>
      <c r="G730" s="50">
        <f t="shared" si="98"/>
        <v>0.08288043478</v>
      </c>
      <c r="H730" s="28"/>
      <c r="I730" s="55">
        <f t="shared" si="2"/>
        <v>8084.259209</v>
      </c>
      <c r="J730" s="81"/>
      <c r="K730" s="60">
        <f>IFERROR(__xludf.DUMMYFUNCTION("IFERROR(VLOOKUP(C730,IMPORTRANGE(""https://docs.google.com/spreadsheets/d/1HZUHB8NvANAZR0sHDmHYVAm2WE9kNv0pGIQA48Ryim8/edit?gid=1285727875#gid=1285727875"",""Sheet1!A2:G""),7,0))"),2214.12)</f>
        <v>2214.12</v>
      </c>
      <c r="L730" s="62">
        <f t="shared" si="99"/>
        <v>3.324119741</v>
      </c>
      <c r="M730" s="60">
        <f>IFERROR(__xludf.DUMMYFUNCTION("IFERROR(VLOOKUP(C730,IMPORTRANGE(""https://docs.google.com/spreadsheets/d/1HZUHB8NvANAZR0sHDmHYVAm2WE9kNv0pGIQA48Ryim8/edit?gid=1285727875#gid=1285727875"",""Cost!A2:G""),7,0))"),2432.0)</f>
        <v>2432</v>
      </c>
      <c r="N730" s="62">
        <f t="shared" si="4"/>
        <v>3.277138158</v>
      </c>
      <c r="O730" s="28"/>
      <c r="P730" s="28"/>
      <c r="Q730" s="28"/>
      <c r="R730" s="28"/>
      <c r="S730" s="28"/>
      <c r="T730" s="28"/>
      <c r="U730" s="65"/>
      <c r="V730" s="28"/>
      <c r="W730" s="65"/>
      <c r="X730" s="66" t="s">
        <v>219</v>
      </c>
      <c r="Y730" s="65" t="str">
        <f t="shared" si="6"/>
        <v>SAGA 79F92</v>
      </c>
    </row>
    <row r="731">
      <c r="A731" s="18" t="s">
        <v>1202</v>
      </c>
      <c r="B731" s="91" t="str">
        <f t="shared" si="103"/>
        <v>PD-46-H-N</v>
      </c>
      <c r="C731" s="15" t="s">
        <v>223</v>
      </c>
      <c r="D731" s="18" t="s">
        <v>224</v>
      </c>
      <c r="E731" s="39">
        <v>4980.0</v>
      </c>
      <c r="F731" s="39">
        <v>5490.0</v>
      </c>
      <c r="G731" s="50">
        <f t="shared" si="98"/>
        <v>0.1024096386</v>
      </c>
      <c r="H731" s="28"/>
      <c r="I731" s="55">
        <f t="shared" si="2"/>
        <v>5513.426362</v>
      </c>
      <c r="J731" s="81"/>
      <c r="K731" s="60">
        <f>IFERROR(__xludf.DUMMYFUNCTION("IFERROR(VLOOKUP(C731,IMPORTRANGE(""https://docs.google.com/spreadsheets/d/1HZUHB8NvANAZR0sHDmHYVAm2WE9kNv0pGIQA48Ryim8/edit?gid=1285727875#gid=1285727875"",""Sheet1!A2:G""),7,0))"),1581.59)</f>
        <v>1581.59</v>
      </c>
      <c r="L731" s="62">
        <f t="shared" si="99"/>
        <v>3.148730075</v>
      </c>
      <c r="M731" s="60">
        <f>IFERROR(__xludf.DUMMYFUNCTION("IFERROR(VLOOKUP(C731,IMPORTRANGE(""https://docs.google.com/spreadsheets/d/1HZUHB8NvANAZR0sHDmHYVAm2WE9kNv0pGIQA48Ryim8/edit?gid=1285727875#gid=1285727875"",""Cost!A2:G""),7,0))"),1751.0)</f>
        <v>1751</v>
      </c>
      <c r="N731" s="62">
        <f t="shared" si="4"/>
        <v>3.135351228</v>
      </c>
      <c r="O731" s="28"/>
      <c r="P731" s="28"/>
      <c r="Q731" s="28"/>
      <c r="R731" s="28"/>
      <c r="S731" s="28"/>
      <c r="T731" s="28"/>
      <c r="U731" s="65"/>
      <c r="V731" s="28"/>
      <c r="W731" s="65"/>
      <c r="X731" s="66" t="s">
        <v>223</v>
      </c>
      <c r="Y731" s="65" t="str">
        <f t="shared" si="6"/>
        <v>SAGA 79FPD-46-H-N</v>
      </c>
    </row>
    <row r="732">
      <c r="A732" s="18" t="s">
        <v>1202</v>
      </c>
      <c r="B732" s="91" t="str">
        <f t="shared" si="103"/>
        <v>DB-79 F-H-N</v>
      </c>
      <c r="C732" s="15" t="s">
        <v>1225</v>
      </c>
      <c r="D732" s="18" t="s">
        <v>217</v>
      </c>
      <c r="E732" s="39">
        <v>2380.0</v>
      </c>
      <c r="F732" s="39">
        <f>F729</f>
        <v>2480</v>
      </c>
      <c r="G732" s="50">
        <f t="shared" si="98"/>
        <v>0.04201680672</v>
      </c>
      <c r="H732" s="28"/>
      <c r="I732" s="55">
        <f t="shared" si="2"/>
        <v>2561.394676</v>
      </c>
      <c r="J732" s="81"/>
      <c r="K732" s="60">
        <f>IFERROR(__xludf.DUMMYFUNCTION("IFERROR(VLOOKUP(C732,IMPORTRANGE(""https://docs.google.com/spreadsheets/d/1HZUHB8NvANAZR0sHDmHYVAm2WE9kNv0pGIQA48Ryim8/edit?gid=1285727875#gid=1285727875"",""Sheet1!A2:G""),7,0))"),635.56)</f>
        <v>635.56</v>
      </c>
      <c r="L732" s="62">
        <f t="shared" si="99"/>
        <v>3.744729058</v>
      </c>
      <c r="M732" s="60">
        <f>IFERROR(__xludf.DUMMYFUNCTION("IFERROR(VLOOKUP(C732,IMPORTRANGE(""https://docs.google.com/spreadsheets/d/1HZUHB8NvANAZR0sHDmHYVAm2WE9kNv0pGIQA48Ryim8/edit?gid=1285727875#gid=1285727875"",""Cost!A2:G""),7,0))"),684.0)</f>
        <v>684</v>
      </c>
      <c r="N732" s="62">
        <f t="shared" si="4"/>
        <v>3.625730994</v>
      </c>
      <c r="O732" s="28"/>
      <c r="P732" s="28"/>
      <c r="Q732" s="28"/>
      <c r="R732" s="28"/>
      <c r="S732" s="28"/>
      <c r="T732" s="28"/>
      <c r="U732" s="65"/>
      <c r="V732" s="28"/>
      <c r="W732" s="65"/>
      <c r="X732" s="66" t="s">
        <v>358</v>
      </c>
      <c r="Y732" s="65" t="str">
        <f t="shared" si="6"/>
        <v>SAGA 79FDB</v>
      </c>
    </row>
    <row r="733">
      <c r="A733" s="18" t="s">
        <v>1202</v>
      </c>
      <c r="B733" s="91" t="str">
        <f t="shared" si="103"/>
        <v>7992 F-ON-OFF-N</v>
      </c>
      <c r="C733" s="15" t="s">
        <v>1226</v>
      </c>
      <c r="D733" s="18" t="s">
        <v>229</v>
      </c>
      <c r="E733" s="75">
        <f t="shared" ref="E733:F733" si="113">SUM(E734:E735)</f>
        <v>7360</v>
      </c>
      <c r="F733" s="75">
        <f t="shared" si="113"/>
        <v>7970</v>
      </c>
      <c r="G733" s="50">
        <f t="shared" si="98"/>
        <v>0.08288043478</v>
      </c>
      <c r="H733" s="28"/>
      <c r="I733" s="55">
        <f t="shared" si="2"/>
        <v>8142.862856</v>
      </c>
      <c r="J733" s="81"/>
      <c r="K733" s="60">
        <f>IFERROR(__xludf.DUMMYFUNCTION("IFERROR(VLOOKUP(C733,IMPORTRANGE(""https://docs.google.com/spreadsheets/d/1HZUHB8NvANAZR0sHDmHYVAm2WE9kNv0pGIQA48Ryim8/edit?gid=1285727875#gid=1285727875"",""Sheet1!A2:G""),7,0))"),2000.24)</f>
        <v>2000.24</v>
      </c>
      <c r="L733" s="62">
        <f t="shared" si="99"/>
        <v>3.679558453</v>
      </c>
      <c r="M733" s="60">
        <f>IFERROR(__xludf.DUMMYFUNCTION("IFERROR(VLOOKUP(C733,IMPORTRANGE(""https://docs.google.com/spreadsheets/d/1HZUHB8NvANAZR0sHDmHYVAm2WE9kNv0pGIQA48Ryim8/edit?gid=1285727875#gid=1285727875"",""Cost!A2:G""),7,0))"),2213.0)</f>
        <v>2213</v>
      </c>
      <c r="N733" s="62">
        <f t="shared" si="4"/>
        <v>3.601446001</v>
      </c>
      <c r="O733" s="28"/>
      <c r="P733" s="28"/>
      <c r="Q733" s="28"/>
      <c r="R733" s="28"/>
      <c r="S733" s="28"/>
      <c r="T733" s="28"/>
      <c r="U733" s="65"/>
      <c r="V733" s="28"/>
      <c r="W733" s="65"/>
      <c r="X733" s="66" t="s">
        <v>368</v>
      </c>
      <c r="Y733" s="65" t="str">
        <f t="shared" si="6"/>
        <v>SAGA 79F92-ON-OFF</v>
      </c>
    </row>
    <row r="734">
      <c r="A734" s="18" t="s">
        <v>1202</v>
      </c>
      <c r="B734" s="91" t="str">
        <f t="shared" si="103"/>
        <v>PD-46-H-ON-OFF-N</v>
      </c>
      <c r="C734" s="15" t="s">
        <v>234</v>
      </c>
      <c r="D734" s="18" t="s">
        <v>235</v>
      </c>
      <c r="E734" s="39">
        <f>E731-240</f>
        <v>4740</v>
      </c>
      <c r="F734" s="75">
        <f>F731-$X$1</f>
        <v>5250</v>
      </c>
      <c r="G734" s="50">
        <f t="shared" si="98"/>
        <v>0.1075949367</v>
      </c>
      <c r="H734" s="28"/>
      <c r="I734" s="55">
        <f t="shared" si="2"/>
        <v>5306.797906</v>
      </c>
      <c r="J734" s="81"/>
      <c r="K734" s="60">
        <f>IFERROR(__xludf.DUMMYFUNCTION("IFERROR(VLOOKUP(C734,IMPORTRANGE(""https://docs.google.com/spreadsheets/d/1HZUHB8NvANAZR0sHDmHYVAm2WE9kNv0pGIQA48Ryim8/edit?gid=1285727875#gid=1285727875"",""Sheet1!A2:G""),7,0))"),1367.48)</f>
        <v>1367.48</v>
      </c>
      <c r="L734" s="62">
        <f t="shared" si="99"/>
        <v>3.466229853</v>
      </c>
      <c r="M734" s="60">
        <f>IFERROR(__xludf.DUMMYFUNCTION("IFERROR(VLOOKUP(C734,IMPORTRANGE(""https://docs.google.com/spreadsheets/d/1HZUHB8NvANAZR0sHDmHYVAm2WE9kNv0pGIQA48Ryim8/edit?gid=1285727875#gid=1285727875"",""Cost!A2:G""),7,0))"),1531.0)</f>
        <v>1531</v>
      </c>
      <c r="N734" s="62">
        <f t="shared" si="4"/>
        <v>3.429131287</v>
      </c>
      <c r="O734" s="28"/>
      <c r="P734" s="28"/>
      <c r="Q734" s="28"/>
      <c r="R734" s="28"/>
      <c r="S734" s="28"/>
      <c r="T734" s="28"/>
      <c r="U734" s="65"/>
      <c r="V734" s="28"/>
      <c r="W734" s="65"/>
      <c r="X734" s="66" t="s">
        <v>371</v>
      </c>
      <c r="Y734" s="65" t="str">
        <f t="shared" si="6"/>
        <v>SAGA 79FPD-ON-OFF</v>
      </c>
    </row>
    <row r="735">
      <c r="A735" s="18" t="s">
        <v>1202</v>
      </c>
      <c r="B735" s="91" t="str">
        <f t="shared" si="103"/>
        <v>DB-79 F-H-ON-OFF-N</v>
      </c>
      <c r="C735" s="15" t="s">
        <v>1227</v>
      </c>
      <c r="D735" s="18" t="s">
        <v>217</v>
      </c>
      <c r="E735" s="75">
        <f>E732+240</f>
        <v>2620</v>
      </c>
      <c r="F735" s="75">
        <f>F732+$X$1</f>
        <v>2720</v>
      </c>
      <c r="G735" s="50">
        <f t="shared" si="98"/>
        <v>0.03816793893</v>
      </c>
      <c r="H735" s="28"/>
      <c r="I735" s="55">
        <f t="shared" si="2"/>
        <v>2820.469665</v>
      </c>
      <c r="J735" s="81"/>
      <c r="K735" s="60">
        <f>IFERROR(__xludf.DUMMYFUNCTION("IFERROR(VLOOKUP(C735,IMPORTRANGE(""https://docs.google.com/spreadsheets/d/1HZUHB8NvANAZR0sHDmHYVAm2WE9kNv0pGIQA48Ryim8/edit?gid=1285727875#gid=1285727875"",""Sheet1!A2:G""),7,0))"),629.81)</f>
        <v>629.81</v>
      </c>
      <c r="L735" s="62">
        <f t="shared" si="99"/>
        <v>4.159984757</v>
      </c>
      <c r="M735" s="60">
        <f>IFERROR(__xludf.DUMMYFUNCTION("IFERROR(VLOOKUP(C735,IMPORTRANGE(""https://docs.google.com/spreadsheets/d/1HZUHB8NvANAZR0sHDmHYVAm2WE9kNv0pGIQA48Ryim8/edit?gid=1285727875#gid=1285727875"",""Cost!A2:G""),7,0))"),678.0)</f>
        <v>678</v>
      </c>
      <c r="N735" s="62">
        <f t="shared" si="4"/>
        <v>4.01179941</v>
      </c>
      <c r="O735" s="28"/>
      <c r="P735" s="28"/>
      <c r="Q735" s="28"/>
      <c r="R735" s="28"/>
      <c r="S735" s="28"/>
      <c r="T735" s="28"/>
      <c r="U735" s="65"/>
      <c r="V735" s="28"/>
      <c r="W735" s="65"/>
      <c r="X735" s="66" t="s">
        <v>375</v>
      </c>
      <c r="Y735" s="65" t="str">
        <f t="shared" si="6"/>
        <v>SAGA 79FDB-ON-OFF</v>
      </c>
    </row>
    <row r="736">
      <c r="A736" s="18" t="s">
        <v>1202</v>
      </c>
      <c r="B736" s="91" t="str">
        <f t="shared" si="103"/>
        <v>7993 F-N</v>
      </c>
      <c r="C736" s="15" t="s">
        <v>1228</v>
      </c>
      <c r="D736" s="18" t="s">
        <v>241</v>
      </c>
      <c r="E736" s="75">
        <f t="shared" ref="E736:F736" si="114">SUM(E737:E738)</f>
        <v>7360</v>
      </c>
      <c r="F736" s="75">
        <f t="shared" si="114"/>
        <v>7970</v>
      </c>
      <c r="G736" s="50">
        <f t="shared" si="98"/>
        <v>0.08288043478</v>
      </c>
      <c r="H736" s="28"/>
      <c r="I736" s="55">
        <f t="shared" si="2"/>
        <v>7956.407101</v>
      </c>
      <c r="J736" s="81"/>
      <c r="K736" s="60">
        <f>IFERROR(__xludf.DUMMYFUNCTION("IFERROR(VLOOKUP(C736,IMPORTRANGE(""https://docs.google.com/spreadsheets/d/1HZUHB8NvANAZR0sHDmHYVAm2WE9kNv0pGIQA48Ryim8/edit?gid=1285727875#gid=1285727875"",""Sheet1!A2:G""),7,0))"),2161.82)</f>
        <v>2161.82</v>
      </c>
      <c r="L736" s="62">
        <f t="shared" si="99"/>
        <v>3.404538768</v>
      </c>
      <c r="M736" s="60">
        <f>IFERROR(__xludf.DUMMYFUNCTION("IFERROR(VLOOKUP(C736,IMPORTRANGE(""https://docs.google.com/spreadsheets/d/1HZUHB8NvANAZR0sHDmHYVAm2WE9kNv0pGIQA48Ryim8/edit?gid=1285727875#gid=1285727875"",""Cost!A2:G""),7,0))"),2337.0)</f>
        <v>2337</v>
      </c>
      <c r="N736" s="62">
        <f t="shared" si="4"/>
        <v>3.410355156</v>
      </c>
      <c r="O736" s="28"/>
      <c r="P736" s="28"/>
      <c r="Q736" s="28"/>
      <c r="R736" s="28"/>
      <c r="S736" s="28"/>
      <c r="T736" s="28"/>
      <c r="U736" s="65"/>
      <c r="V736" s="28"/>
      <c r="W736" s="65"/>
      <c r="X736" s="66" t="s">
        <v>239</v>
      </c>
      <c r="Y736" s="65" t="str">
        <f t="shared" si="6"/>
        <v>SAGA 79F93</v>
      </c>
    </row>
    <row r="737">
      <c r="A737" s="18" t="s">
        <v>1202</v>
      </c>
      <c r="B737" s="91" t="str">
        <f t="shared" si="103"/>
        <v>PD-3 IN-N</v>
      </c>
      <c r="C737" s="15" t="s">
        <v>243</v>
      </c>
      <c r="D737" s="18" t="s">
        <v>244</v>
      </c>
      <c r="E737" s="39">
        <v>4980.0</v>
      </c>
      <c r="F737" s="39">
        <v>5490.0</v>
      </c>
      <c r="G737" s="50">
        <f t="shared" si="98"/>
        <v>0.1024096386</v>
      </c>
      <c r="H737" s="28"/>
      <c r="I737" s="55">
        <f t="shared" si="2"/>
        <v>5395.785272</v>
      </c>
      <c r="J737" s="81"/>
      <c r="K737" s="60">
        <f>IFERROR(__xludf.DUMMYFUNCTION("IFERROR(VLOOKUP(C737,IMPORTRANGE(""https://docs.google.com/spreadsheets/d/1HZUHB8NvANAZR0sHDmHYVAm2WE9kNv0pGIQA48Ryim8/edit?gid=1285727875#gid=1285727875"",""Sheet1!A2:G""),7,0))"),1543.16)</f>
        <v>1543.16</v>
      </c>
      <c r="L737" s="62">
        <f t="shared" si="99"/>
        <v>3.227144301</v>
      </c>
      <c r="M737" s="60">
        <f>IFERROR(__xludf.DUMMYFUNCTION("IFERROR(VLOOKUP(C737,IMPORTRANGE(""https://docs.google.com/spreadsheets/d/1HZUHB8NvANAZR0sHDmHYVAm2WE9kNv0pGIQA48Ryim8/edit?gid=1285727875#gid=1285727875"",""Cost!A2:G""),7,0))"),1672.0)</f>
        <v>1672</v>
      </c>
      <c r="N737" s="62">
        <f t="shared" si="4"/>
        <v>3.283492823</v>
      </c>
      <c r="O737" s="28"/>
      <c r="P737" s="28"/>
      <c r="Q737" s="28"/>
      <c r="R737" s="28"/>
      <c r="S737" s="28"/>
      <c r="T737" s="28"/>
      <c r="U737" s="65"/>
      <c r="V737" s="28"/>
      <c r="W737" s="65"/>
      <c r="X737" s="66" t="s">
        <v>243</v>
      </c>
      <c r="Y737" s="65" t="str">
        <f t="shared" si="6"/>
        <v>SAGA 79FPD-3 IN-N</v>
      </c>
    </row>
    <row r="738">
      <c r="A738" s="18" t="s">
        <v>1202</v>
      </c>
      <c r="B738" s="91" t="str">
        <f t="shared" si="103"/>
        <v>DB-79 F-3 IN-N</v>
      </c>
      <c r="C738" s="15" t="s">
        <v>1229</v>
      </c>
      <c r="D738" s="18" t="s">
        <v>217</v>
      </c>
      <c r="E738" s="39">
        <v>2380.0</v>
      </c>
      <c r="F738" s="39">
        <f>F729</f>
        <v>2480</v>
      </c>
      <c r="G738" s="50">
        <f t="shared" si="98"/>
        <v>0.04201680672</v>
      </c>
      <c r="H738" s="28"/>
      <c r="I738" s="55">
        <f t="shared" si="2"/>
        <v>2561.797753</v>
      </c>
      <c r="J738" s="81"/>
      <c r="K738" s="60">
        <f>IFERROR(__xludf.DUMMYFUNCTION("IFERROR(VLOOKUP(C738,IMPORTRANGE(""https://docs.google.com/spreadsheets/d/1HZUHB8NvANAZR0sHDmHYVAm2WE9kNv0pGIQA48Ryim8/edit?gid=1285727875#gid=1285727875"",""Sheet1!A2:G""),7,0))"),635.46)</f>
        <v>635.46</v>
      </c>
      <c r="L738" s="62">
        <f t="shared" si="99"/>
        <v>3.745318352</v>
      </c>
      <c r="M738" s="60">
        <f>IFERROR(__xludf.DUMMYFUNCTION("IFERROR(VLOOKUP(C738,IMPORTRANGE(""https://docs.google.com/spreadsheets/d/1HZUHB8NvANAZR0sHDmHYVAm2WE9kNv0pGIQA48Ryim8/edit?gid=1285727875#gid=1285727875"",""Cost!A2:G""),7,0))"),684.0)</f>
        <v>684</v>
      </c>
      <c r="N738" s="62">
        <f t="shared" si="4"/>
        <v>3.625730994</v>
      </c>
      <c r="O738" s="28"/>
      <c r="P738" s="28"/>
      <c r="Q738" s="28"/>
      <c r="R738" s="28"/>
      <c r="S738" s="28"/>
      <c r="T738" s="28"/>
      <c r="U738" s="65"/>
      <c r="V738" s="28"/>
      <c r="W738" s="65"/>
      <c r="X738" s="66" t="s">
        <v>358</v>
      </c>
      <c r="Y738" s="65" t="str">
        <f t="shared" si="6"/>
        <v>SAGA 79FDB</v>
      </c>
    </row>
    <row r="739">
      <c r="A739" s="18" t="s">
        <v>1202</v>
      </c>
      <c r="B739" s="91" t="str">
        <f t="shared" si="103"/>
        <v>7993 F-ON-OFF-N</v>
      </c>
      <c r="C739" s="15" t="s">
        <v>1230</v>
      </c>
      <c r="D739" s="18" t="s">
        <v>250</v>
      </c>
      <c r="E739" s="75">
        <f t="shared" ref="E739:F739" si="115">SUM(E740:E741)</f>
        <v>7360</v>
      </c>
      <c r="F739" s="75">
        <f t="shared" si="115"/>
        <v>7970</v>
      </c>
      <c r="G739" s="50">
        <f t="shared" si="98"/>
        <v>0.08288043478</v>
      </c>
      <c r="H739" s="28"/>
      <c r="I739" s="55">
        <f t="shared" si="2"/>
        <v>8051.406561</v>
      </c>
      <c r="J739" s="81"/>
      <c r="K739" s="60">
        <f>IFERROR(__xludf.DUMMYFUNCTION("IFERROR(VLOOKUP(C739,IMPORTRANGE(""https://docs.google.com/spreadsheets/d/1HZUHB8NvANAZR0sHDmHYVAm2WE9kNv0pGIQA48Ryim8/edit?gid=1285727875#gid=1285727875"",""Sheet1!A2:G""),7,0))"),2191.16)</f>
        <v>2191.16</v>
      </c>
      <c r="L739" s="62">
        <f t="shared" si="99"/>
        <v>3.358951423</v>
      </c>
      <c r="M739" s="60">
        <f>IFERROR(__xludf.DUMMYFUNCTION("IFERROR(VLOOKUP(C739,IMPORTRANGE(""https://docs.google.com/spreadsheets/d/1HZUHB8NvANAZR0sHDmHYVAm2WE9kNv0pGIQA48Ryim8/edit?gid=1285727875#gid=1285727875"",""Cost!A2:G""),7,0))"),2397.0)</f>
        <v>2397</v>
      </c>
      <c r="N739" s="62">
        <f t="shared" si="4"/>
        <v>3.32498957</v>
      </c>
      <c r="O739" s="28"/>
      <c r="P739" s="28"/>
      <c r="Q739" s="28"/>
      <c r="R739" s="28"/>
      <c r="S739" s="28"/>
      <c r="T739" s="28"/>
      <c r="U739" s="65"/>
      <c r="V739" s="28"/>
      <c r="W739" s="65"/>
      <c r="X739" s="66" t="s">
        <v>410</v>
      </c>
      <c r="Y739" s="65" t="str">
        <f t="shared" si="6"/>
        <v>SAGA 79F93-ON-OFF</v>
      </c>
    </row>
    <row r="740">
      <c r="A740" s="18" t="s">
        <v>1202</v>
      </c>
      <c r="B740" s="91" t="str">
        <f t="shared" si="103"/>
        <v>PD-3 IN-ON-OFF-N</v>
      </c>
      <c r="C740" s="15" t="s">
        <v>253</v>
      </c>
      <c r="D740" s="18" t="s">
        <v>256</v>
      </c>
      <c r="E740" s="39">
        <f>E737-240</f>
        <v>4740</v>
      </c>
      <c r="F740" s="39">
        <f>F737-$X$1</f>
        <v>5250</v>
      </c>
      <c r="G740" s="50">
        <f t="shared" si="98"/>
        <v>0.1075949367</v>
      </c>
      <c r="H740" s="28"/>
      <c r="I740" s="55">
        <f t="shared" si="2"/>
        <v>5217.019108</v>
      </c>
      <c r="J740" s="81"/>
      <c r="K740" s="60">
        <f>IFERROR(__xludf.DUMMYFUNCTION("IFERROR(VLOOKUP(C740,IMPORTRANGE(""https://docs.google.com/spreadsheets/d/1HZUHB8NvANAZR0sHDmHYVAm2WE9kNv0pGIQA48Ryim8/edit?gid=1285727875#gid=1285727875"",""Sheet1!A2:G""),7,0))"),1570.0)</f>
        <v>1570</v>
      </c>
      <c r="L740" s="62">
        <f t="shared" si="99"/>
        <v>3.01910828</v>
      </c>
      <c r="M740" s="60">
        <f>IFERROR(__xludf.DUMMYFUNCTION("IFERROR(VLOOKUP(C740,IMPORTRANGE(""https://docs.google.com/spreadsheets/d/1HZUHB8NvANAZR0sHDmHYVAm2WE9kNv0pGIQA48Ryim8/edit?gid=1285727875#gid=1285727875"",""Cost!A2:G""),7,0))"),1728.0)</f>
        <v>1728</v>
      </c>
      <c r="N740" s="62">
        <f t="shared" si="4"/>
        <v>3.038194444</v>
      </c>
      <c r="O740" s="28"/>
      <c r="P740" s="28"/>
      <c r="Q740" s="28"/>
      <c r="R740" s="28"/>
      <c r="S740" s="28"/>
      <c r="T740" s="28"/>
      <c r="U740" s="65"/>
      <c r="V740" s="28"/>
      <c r="W740" s="65"/>
      <c r="X740" s="66" t="s">
        <v>371</v>
      </c>
      <c r="Y740" s="65" t="str">
        <f t="shared" si="6"/>
        <v>SAGA 79FPD-ON-OFF</v>
      </c>
    </row>
    <row r="741">
      <c r="A741" s="18" t="s">
        <v>1202</v>
      </c>
      <c r="B741" s="91" t="str">
        <f t="shared" si="103"/>
        <v>DB-79 F-3 IN-ON-OFF-N</v>
      </c>
      <c r="C741" s="15" t="s">
        <v>1231</v>
      </c>
      <c r="D741" s="18" t="s">
        <v>217</v>
      </c>
      <c r="E741" s="75">
        <f>E738+240</f>
        <v>2620</v>
      </c>
      <c r="F741" s="75">
        <f>F738+$X$1</f>
        <v>2720</v>
      </c>
      <c r="G741" s="50">
        <f t="shared" si="98"/>
        <v>0.03816793893</v>
      </c>
      <c r="H741" s="28"/>
      <c r="I741" s="55">
        <f t="shared" si="2"/>
        <v>2820.469665</v>
      </c>
      <c r="J741" s="81"/>
      <c r="K741" s="60">
        <f>IFERROR(__xludf.DUMMYFUNCTION("IFERROR(VLOOKUP(C741,IMPORTRANGE(""https://docs.google.com/spreadsheets/d/1HZUHB8NvANAZR0sHDmHYVAm2WE9kNv0pGIQA48Ryim8/edit?gid=1285727875#gid=1285727875"",""Sheet1!A2:G""),7,0))"),629.81)</f>
        <v>629.81</v>
      </c>
      <c r="L741" s="62">
        <f t="shared" si="99"/>
        <v>4.159984757</v>
      </c>
      <c r="M741" s="60">
        <f>IFERROR(__xludf.DUMMYFUNCTION("IFERROR(VLOOKUP(C741,IMPORTRANGE(""https://docs.google.com/spreadsheets/d/1HZUHB8NvANAZR0sHDmHYVAm2WE9kNv0pGIQA48Ryim8/edit?gid=1285727875#gid=1285727875"",""Cost!A2:G""),7,0))"),678.0)</f>
        <v>678</v>
      </c>
      <c r="N741" s="62">
        <f t="shared" si="4"/>
        <v>4.01179941</v>
      </c>
      <c r="O741" s="28"/>
      <c r="P741" s="28"/>
      <c r="Q741" s="28"/>
      <c r="R741" s="28"/>
      <c r="S741" s="28"/>
      <c r="T741" s="28"/>
      <c r="U741" s="65"/>
      <c r="V741" s="28"/>
      <c r="W741" s="65"/>
      <c r="X741" s="66" t="s">
        <v>375</v>
      </c>
      <c r="Y741" s="65" t="str">
        <f t="shared" si="6"/>
        <v>SAGA 79FDB-ON-OFF</v>
      </c>
    </row>
    <row r="742">
      <c r="A742" s="18" t="s">
        <v>1202</v>
      </c>
      <c r="B742" s="91" t="str">
        <f t="shared" si="103"/>
        <v>7995-F</v>
      </c>
      <c r="C742" s="15" t="s">
        <v>1232</v>
      </c>
      <c r="D742" s="18" t="s">
        <v>265</v>
      </c>
      <c r="E742" s="75">
        <v>1530.0</v>
      </c>
      <c r="F742" s="39">
        <v>1690.0</v>
      </c>
      <c r="G742" s="50">
        <f t="shared" si="98"/>
        <v>0.1045751634</v>
      </c>
      <c r="H742" s="28"/>
      <c r="I742" s="55">
        <f t="shared" si="2"/>
        <v>1684.972651</v>
      </c>
      <c r="J742" s="81"/>
      <c r="K742" s="60">
        <f>IFERROR(__xludf.DUMMYFUNCTION("IFERROR(VLOOKUP(C742,IMPORTRANGE(""https://docs.google.com/spreadsheets/d/1HZUHB8NvANAZR0sHDmHYVAm2WE9kNv0pGIQA48Ryim8/edit?gid=1285727875#gid=1285727875"",""Sheet1!A2:G""),7,0))"),409.52)</f>
        <v>409.52</v>
      </c>
      <c r="L742" s="62">
        <f t="shared" si="99"/>
        <v>3.736081266</v>
      </c>
      <c r="M742" s="60">
        <f>IFERROR(__xludf.DUMMYFUNCTION("IFERROR(VLOOKUP(C742,IMPORTRANGE(""https://docs.google.com/spreadsheets/d/1HZUHB8NvANAZR0sHDmHYVAm2WE9kNv0pGIQA48Ryim8/edit?gid=1285727875#gid=1285727875"",""Cost!A2:G""),7,0))"),451.0)</f>
        <v>451</v>
      </c>
      <c r="N742" s="62">
        <f t="shared" si="4"/>
        <v>3.747228381</v>
      </c>
      <c r="O742" s="28"/>
      <c r="P742" s="28"/>
      <c r="Q742" s="28"/>
      <c r="R742" s="28"/>
      <c r="S742" s="28"/>
      <c r="T742" s="28"/>
      <c r="U742" s="65"/>
      <c r="V742" s="28"/>
      <c r="W742" s="65"/>
      <c r="X742" s="66" t="s">
        <v>264</v>
      </c>
      <c r="Y742" s="65" t="str">
        <f t="shared" si="6"/>
        <v>SAGA 79F95</v>
      </c>
    </row>
    <row r="743">
      <c r="A743" s="18" t="s">
        <v>1202</v>
      </c>
      <c r="B743" s="91" t="str">
        <f t="shared" si="103"/>
        <v>7996-F</v>
      </c>
      <c r="C743" s="15" t="s">
        <v>1233</v>
      </c>
      <c r="D743" s="18" t="s">
        <v>268</v>
      </c>
      <c r="E743" s="75">
        <v>2470.0</v>
      </c>
      <c r="F743" s="39">
        <v>2720.0</v>
      </c>
      <c r="G743" s="50">
        <f t="shared" si="98"/>
        <v>0.1012145749</v>
      </c>
      <c r="H743" s="28"/>
      <c r="I743" s="55">
        <f t="shared" si="2"/>
        <v>2714.613077</v>
      </c>
      <c r="J743" s="81"/>
      <c r="K743" s="60">
        <f>IFERROR(__xludf.DUMMYFUNCTION("IFERROR(VLOOKUP(C743,IMPORTRANGE(""https://docs.google.com/spreadsheets/d/1HZUHB8NvANAZR0sHDmHYVAm2WE9kNv0pGIQA48Ryim8/edit?gid=1285727875#gid=1285727875"",""Sheet1!A2:G""),7,0))"),663.31)</f>
        <v>663.31</v>
      </c>
      <c r="L743" s="62">
        <f t="shared" si="99"/>
        <v>3.723749077</v>
      </c>
      <c r="M743" s="60">
        <f>IFERROR(__xludf.DUMMYFUNCTION("IFERROR(VLOOKUP(C743,IMPORTRANGE(""https://docs.google.com/spreadsheets/d/1HZUHB8NvANAZR0sHDmHYVAm2WE9kNv0pGIQA48Ryim8/edit?gid=1285727875#gid=1285727875"",""Cost!A2:G""),7,0))"),729.0)</f>
        <v>729</v>
      </c>
      <c r="N743" s="62">
        <f t="shared" si="4"/>
        <v>3.731138546</v>
      </c>
      <c r="O743" s="28"/>
      <c r="P743" s="28"/>
      <c r="Q743" s="28"/>
      <c r="R743" s="28"/>
      <c r="S743" s="28"/>
      <c r="T743" s="28"/>
      <c r="U743" s="65"/>
      <c r="V743" s="28"/>
      <c r="W743" s="65"/>
      <c r="X743" s="66" t="s">
        <v>267</v>
      </c>
      <c r="Y743" s="65" t="str">
        <f t="shared" si="6"/>
        <v>SAGA 79F96</v>
      </c>
    </row>
    <row r="744">
      <c r="A744" s="18" t="s">
        <v>1202</v>
      </c>
      <c r="B744" s="91" t="str">
        <f t="shared" si="103"/>
        <v>7998-F</v>
      </c>
      <c r="C744" s="15" t="s">
        <v>1234</v>
      </c>
      <c r="D744" s="18" t="s">
        <v>272</v>
      </c>
      <c r="E744" s="75">
        <v>2370.0</v>
      </c>
      <c r="F744" s="39">
        <v>2640.0</v>
      </c>
      <c r="G744" s="50">
        <f t="shared" si="98"/>
        <v>0.1139240506</v>
      </c>
      <c r="H744" s="28"/>
      <c r="I744" s="55">
        <f t="shared" si="2"/>
        <v>2640.111688</v>
      </c>
      <c r="J744" s="81"/>
      <c r="K744" s="60">
        <f>IFERROR(__xludf.DUMMYFUNCTION("IFERROR(VLOOKUP(C744,IMPORTRANGE(""https://docs.google.com/spreadsheets/d/1HZUHB8NvANAZR0sHDmHYVAm2WE9kNv0pGIQA48Ryim8/edit?gid=1285727875#gid=1285727875"",""Sheet1!A2:G""),7,0))"),687.63)</f>
        <v>687.63</v>
      </c>
      <c r="L744" s="62">
        <f t="shared" si="99"/>
        <v>3.446621003</v>
      </c>
      <c r="M744" s="60">
        <f>IFERROR(__xludf.DUMMYFUNCTION("IFERROR(VLOOKUP(C744,IMPORTRANGE(""https://docs.google.com/spreadsheets/d/1HZUHB8NvANAZR0sHDmHYVAm2WE9kNv0pGIQA48Ryim8/edit?gid=1285727875#gid=1285727875"",""Cost!A2:G""),7,0))"),766.0)</f>
        <v>766</v>
      </c>
      <c r="N744" s="62">
        <f t="shared" si="4"/>
        <v>3.446475196</v>
      </c>
      <c r="O744" s="28"/>
      <c r="P744" s="28"/>
      <c r="Q744" s="28"/>
      <c r="R744" s="28"/>
      <c r="S744" s="28"/>
      <c r="T744" s="28"/>
      <c r="U744" s="65"/>
      <c r="V744" s="28"/>
      <c r="W744" s="65"/>
      <c r="X744" s="66" t="s">
        <v>271</v>
      </c>
      <c r="Y744" s="65" t="str">
        <f t="shared" si="6"/>
        <v>SAGA 79F98</v>
      </c>
    </row>
    <row r="745">
      <c r="A745" s="18" t="s">
        <v>1235</v>
      </c>
      <c r="B745" s="91">
        <f t="shared" si="103"/>
        <v>7102</v>
      </c>
      <c r="C745" s="15">
        <v>7102.0</v>
      </c>
      <c r="D745" s="18" t="s">
        <v>15</v>
      </c>
      <c r="E745" s="39">
        <v>2390.0</v>
      </c>
      <c r="F745" s="39">
        <v>2590.0</v>
      </c>
      <c r="G745" s="50">
        <f t="shared" si="98"/>
        <v>0.08368200837</v>
      </c>
      <c r="H745" s="28"/>
      <c r="I745" s="55">
        <f t="shared" si="2"/>
        <v>2616.154804</v>
      </c>
      <c r="J745" s="81"/>
      <c r="K745" s="60">
        <f>IFERROR(__xludf.DUMMYFUNCTION("IFERROR(VLOOKUP(C745,IMPORTRANGE(""https://docs.google.com/spreadsheets/d/1HZUHB8NvANAZR0sHDmHYVAm2WE9kNv0pGIQA48Ryim8/edit?gid=1285727875#gid=1285727875"",""Sheet1!A2:G""),7,0))"),771.04)</f>
        <v>771.04</v>
      </c>
      <c r="L745" s="62">
        <f t="shared" si="99"/>
        <v>3.099709483</v>
      </c>
      <c r="M745" s="60">
        <f>IFERROR(__xludf.DUMMYFUNCTION("IFERROR(VLOOKUP(C745,IMPORTRANGE(""https://docs.google.com/spreadsheets/d/1HZUHB8NvANAZR0sHDmHYVAm2WE9kNv0pGIQA48Ryim8/edit?gid=1285727875#gid=1285727875"",""Cost!A2:G""),7,0))"),844.0)</f>
        <v>844</v>
      </c>
      <c r="N745" s="62">
        <f t="shared" si="4"/>
        <v>3.068720379</v>
      </c>
      <c r="O745" s="28"/>
      <c r="P745" s="28"/>
      <c r="Q745" s="28"/>
      <c r="R745" s="28"/>
      <c r="S745" s="28"/>
      <c r="T745" s="28"/>
      <c r="U745" s="65"/>
      <c r="V745" s="28"/>
      <c r="W745" s="65"/>
      <c r="X745" s="66" t="s">
        <v>303</v>
      </c>
      <c r="Y745" s="65" t="str">
        <f t="shared" si="6"/>
        <v>CYGNUS 7102</v>
      </c>
    </row>
    <row r="746">
      <c r="A746" s="18" t="s">
        <v>1235</v>
      </c>
      <c r="B746" s="91">
        <f t="shared" si="103"/>
        <v>7103</v>
      </c>
      <c r="C746" s="15">
        <v>7103.0</v>
      </c>
      <c r="D746" s="18" t="s">
        <v>30</v>
      </c>
      <c r="E746" s="39">
        <v>4780.0</v>
      </c>
      <c r="F746" s="39">
        <v>5480.0</v>
      </c>
      <c r="G746" s="50">
        <f t="shared" si="98"/>
        <v>0.1464435146</v>
      </c>
      <c r="H746" s="28"/>
      <c r="I746" s="55">
        <f t="shared" si="2"/>
        <v>5325.92785</v>
      </c>
      <c r="J746" s="81"/>
      <c r="K746" s="60">
        <f>IFERROR(__xludf.DUMMYFUNCTION("IFERROR(VLOOKUP(C746,IMPORTRANGE(""https://docs.google.com/spreadsheets/d/1HZUHB8NvANAZR0sHDmHYVAm2WE9kNv0pGIQA48Ryim8/edit?gid=1285727875#gid=1285727875"",""Sheet1!A2:G""),7,0))"),1770.76)</f>
        <v>1770.76</v>
      </c>
      <c r="L746" s="62">
        <f t="shared" si="99"/>
        <v>2.699405905</v>
      </c>
      <c r="M746" s="60">
        <f>IFERROR(__xludf.DUMMYFUNCTION("IFERROR(VLOOKUP(C746,IMPORTRANGE(""https://docs.google.com/spreadsheets/d/1HZUHB8NvANAZR0sHDmHYVAm2WE9kNv0pGIQA48Ryim8/edit?gid=1285727875#gid=1285727875"",""Cost!A2:G""),7,0))"),1973.0)</f>
        <v>1973</v>
      </c>
      <c r="N746" s="62">
        <f t="shared" si="4"/>
        <v>2.777496199</v>
      </c>
      <c r="O746" s="28"/>
      <c r="P746" s="28"/>
      <c r="Q746" s="28"/>
      <c r="R746" s="28"/>
      <c r="S746" s="28"/>
      <c r="T746" s="28"/>
      <c r="U746" s="65"/>
      <c r="V746" s="28"/>
      <c r="W746" s="65"/>
      <c r="X746" s="66" t="s">
        <v>306</v>
      </c>
      <c r="Y746" s="65" t="str">
        <f t="shared" si="6"/>
        <v>CYGNUS 7103</v>
      </c>
    </row>
    <row r="747">
      <c r="A747" s="18" t="s">
        <v>1235</v>
      </c>
      <c r="B747" s="91">
        <f t="shared" si="103"/>
        <v>7104</v>
      </c>
      <c r="C747" s="15">
        <v>7104.0</v>
      </c>
      <c r="D747" s="18" t="s">
        <v>46</v>
      </c>
      <c r="E747" s="75">
        <v>2890.0</v>
      </c>
      <c r="F747" s="39">
        <v>3180.0</v>
      </c>
      <c r="G747" s="50">
        <f t="shared" si="98"/>
        <v>0.1003460208</v>
      </c>
      <c r="H747" s="28"/>
      <c r="I747" s="55">
        <f t="shared" si="2"/>
        <v>3181.277795</v>
      </c>
      <c r="J747" s="81"/>
      <c r="K747" s="60">
        <f>IFERROR(__xludf.DUMMYFUNCTION("IFERROR(VLOOKUP(C747,IMPORTRANGE(""https://docs.google.com/spreadsheets/d/1HZUHB8NvANAZR0sHDmHYVAm2WE9kNv0pGIQA48Ryim8/edit?gid=1285727875#gid=1285727875"",""Sheet1!A2:G""),7,0))"),908.44)</f>
        <v>908.44</v>
      </c>
      <c r="L747" s="62">
        <f t="shared" si="99"/>
        <v>3.181277795</v>
      </c>
      <c r="M747" s="60">
        <f>IFERROR(__xludf.DUMMYFUNCTION("IFERROR(VLOOKUP(C747,IMPORTRANGE(""https://docs.google.com/spreadsheets/d/1HZUHB8NvANAZR0sHDmHYVAm2WE9kNv0pGIQA48Ryim8/edit?gid=1285727875#gid=1285727875"",""Cost!A2:G""),7,0))"),1000.0)</f>
        <v>1000</v>
      </c>
      <c r="N747" s="62">
        <f t="shared" si="4"/>
        <v>3.18</v>
      </c>
      <c r="O747" s="28"/>
      <c r="P747" s="28"/>
      <c r="Q747" s="28"/>
      <c r="R747" s="28"/>
      <c r="S747" s="28"/>
      <c r="T747" s="28"/>
      <c r="U747" s="65"/>
      <c r="V747" s="28"/>
      <c r="W747" s="65"/>
      <c r="X747" s="66" t="s">
        <v>309</v>
      </c>
      <c r="Y747" s="65" t="str">
        <f t="shared" si="6"/>
        <v>CYGNUS 7104</v>
      </c>
    </row>
    <row r="748">
      <c r="A748" s="18" t="s">
        <v>1235</v>
      </c>
      <c r="B748" s="91">
        <f t="shared" si="103"/>
        <v>7106</v>
      </c>
      <c r="C748" s="15">
        <v>7106.0</v>
      </c>
      <c r="D748" s="18" t="s">
        <v>67</v>
      </c>
      <c r="E748" s="39">
        <v>2080.0</v>
      </c>
      <c r="F748" s="39">
        <v>2270.0</v>
      </c>
      <c r="G748" s="50">
        <f t="shared" si="98"/>
        <v>0.09134615385</v>
      </c>
      <c r="H748" s="28"/>
      <c r="I748" s="55">
        <f t="shared" si="2"/>
        <v>2265.894506</v>
      </c>
      <c r="J748" s="81"/>
      <c r="K748" s="60">
        <f>IFERROR(__xludf.DUMMYFUNCTION("IFERROR(VLOOKUP(C748,IMPORTRANGE(""https://docs.google.com/spreadsheets/d/1HZUHB8NvANAZR0sHDmHYVAm2WE9kNv0pGIQA48Ryim8/edit?gid=1285727875#gid=1285727875"",""Sheet1!A2:G""),7,0))"),638.9)</f>
        <v>638.9</v>
      </c>
      <c r="L748" s="62">
        <f t="shared" si="99"/>
        <v>3.255595555</v>
      </c>
      <c r="M748" s="60">
        <f>IFERROR(__xludf.DUMMYFUNCTION("IFERROR(VLOOKUP(C748,IMPORTRANGE(""https://docs.google.com/spreadsheets/d/1HZUHB8NvANAZR0sHDmHYVAm2WE9kNv0pGIQA48Ryim8/edit?gid=1285727875#gid=1285727875"",""Cost!A2:G""),7,0))"),696.0)</f>
        <v>696</v>
      </c>
      <c r="N748" s="62">
        <f t="shared" si="4"/>
        <v>3.261494253</v>
      </c>
      <c r="O748" s="28"/>
      <c r="P748" s="28"/>
      <c r="Q748" s="28"/>
      <c r="R748" s="28"/>
      <c r="S748" s="28"/>
      <c r="T748" s="28"/>
      <c r="U748" s="65"/>
      <c r="V748" s="28"/>
      <c r="W748" s="65"/>
      <c r="X748" s="66" t="s">
        <v>311</v>
      </c>
      <c r="Y748" s="65" t="str">
        <f t="shared" si="6"/>
        <v>CYGNUS 7106</v>
      </c>
    </row>
    <row r="749">
      <c r="A749" s="18" t="s">
        <v>1235</v>
      </c>
      <c r="B749" s="91">
        <f t="shared" si="103"/>
        <v>7108</v>
      </c>
      <c r="C749" s="15">
        <v>7108.0</v>
      </c>
      <c r="D749" s="18" t="s">
        <v>81</v>
      </c>
      <c r="E749" s="39">
        <v>2380.0</v>
      </c>
      <c r="F749" s="39">
        <v>2590.0</v>
      </c>
      <c r="G749" s="50">
        <f t="shared" si="98"/>
        <v>0.08823529412</v>
      </c>
      <c r="H749" s="28"/>
      <c r="I749" s="55">
        <f t="shared" si="2"/>
        <v>2602.148978</v>
      </c>
      <c r="J749" s="81"/>
      <c r="K749" s="60">
        <f>IFERROR(__xludf.DUMMYFUNCTION("IFERROR(VLOOKUP(C749,IMPORTRANGE(""https://docs.google.com/spreadsheets/d/1HZUHB8NvANAZR0sHDmHYVAm2WE9kNv0pGIQA48Ryim8/edit?gid=1285727875#gid=1285727875"",""Sheet1!A2:G""),7,0))"),689.63)</f>
        <v>689.63</v>
      </c>
      <c r="L749" s="62">
        <f t="shared" si="99"/>
        <v>3.451125966</v>
      </c>
      <c r="M749" s="60">
        <f>IFERROR(__xludf.DUMMYFUNCTION("IFERROR(VLOOKUP(C749,IMPORTRANGE(""https://docs.google.com/spreadsheets/d/1HZUHB8NvANAZR0sHDmHYVAm2WE9kNv0pGIQA48Ryim8/edit?gid=1285727875#gid=1285727875"",""Cost!A2:G""),7,0))"),754.0)</f>
        <v>754</v>
      </c>
      <c r="N749" s="62">
        <f t="shared" si="4"/>
        <v>3.435013263</v>
      </c>
      <c r="O749" s="28"/>
      <c r="P749" s="28"/>
      <c r="Q749" s="28"/>
      <c r="R749" s="28"/>
      <c r="S749" s="28"/>
      <c r="T749" s="28"/>
      <c r="U749" s="65"/>
      <c r="V749" s="28"/>
      <c r="W749" s="65"/>
      <c r="X749" s="66" t="s">
        <v>321</v>
      </c>
      <c r="Y749" s="65" t="str">
        <f t="shared" si="6"/>
        <v>CYGNUS 7108</v>
      </c>
    </row>
    <row r="750">
      <c r="A750" s="18" t="s">
        <v>1235</v>
      </c>
      <c r="B750" s="91">
        <f t="shared" si="103"/>
        <v>7110</v>
      </c>
      <c r="C750" s="15">
        <v>7110.0</v>
      </c>
      <c r="D750" s="18" t="s">
        <v>89</v>
      </c>
      <c r="E750" s="75">
        <v>1660.0</v>
      </c>
      <c r="F750" s="39">
        <v>1790.0</v>
      </c>
      <c r="G750" s="50">
        <f t="shared" si="98"/>
        <v>0.07831325301</v>
      </c>
      <c r="H750" s="28"/>
      <c r="I750" s="55">
        <f t="shared" si="2"/>
        <v>1807.528393</v>
      </c>
      <c r="J750" s="81"/>
      <c r="K750" s="60">
        <f>IFERROR(__xludf.DUMMYFUNCTION("IFERROR(VLOOKUP(C750,IMPORTRANGE(""https://docs.google.com/spreadsheets/d/1HZUHB8NvANAZR0sHDmHYVAm2WE9kNv0pGIQA48Ryim8/edit?gid=1285727875#gid=1285727875"",""Sheet1!A2:G""),7,0))"),448.17)</f>
        <v>448.17</v>
      </c>
      <c r="L750" s="62">
        <f t="shared" si="99"/>
        <v>3.703951625</v>
      </c>
      <c r="M750" s="60">
        <f>IFERROR(__xludf.DUMMYFUNCTION("IFERROR(VLOOKUP(C750,IMPORTRANGE(""https://docs.google.com/spreadsheets/d/1HZUHB8NvANAZR0sHDmHYVAm2WE9kNv0pGIQA48Ryim8/edit?gid=1285727875#gid=1285727875"",""Cost!A2:G""),7,0))"),488.0)</f>
        <v>488</v>
      </c>
      <c r="N750" s="62">
        <f t="shared" si="4"/>
        <v>3.668032787</v>
      </c>
      <c r="O750" s="28"/>
      <c r="P750" s="28"/>
      <c r="Q750" s="28"/>
      <c r="R750" s="28"/>
      <c r="S750" s="28"/>
      <c r="T750" s="28"/>
      <c r="U750" s="65"/>
      <c r="V750" s="28"/>
      <c r="W750" s="65"/>
      <c r="X750" s="66" t="s">
        <v>87</v>
      </c>
      <c r="Y750" s="65" t="str">
        <f t="shared" si="6"/>
        <v>CYGNUS 7110</v>
      </c>
    </row>
    <row r="751">
      <c r="A751" s="18" t="s">
        <v>1235</v>
      </c>
      <c r="B751" s="91">
        <f t="shared" si="103"/>
        <v>7111</v>
      </c>
      <c r="C751" s="15">
        <v>7111.0</v>
      </c>
      <c r="D751" s="18" t="s">
        <v>94</v>
      </c>
      <c r="E751" s="75">
        <v>2450.0</v>
      </c>
      <c r="F751" s="39">
        <v>2690.0</v>
      </c>
      <c r="G751" s="50">
        <f t="shared" si="98"/>
        <v>0.09795918367</v>
      </c>
      <c r="H751" s="28"/>
      <c r="I751" s="55">
        <f t="shared" si="2"/>
        <v>2748.51234</v>
      </c>
      <c r="J751" s="81"/>
      <c r="K751" s="60">
        <f>IFERROR(__xludf.DUMMYFUNCTION("IFERROR(VLOOKUP(C751,IMPORTRANGE(""https://docs.google.com/spreadsheets/d/1HZUHB8NvANAZR0sHDmHYVAm2WE9kNv0pGIQA48Ryim8/edit?gid=1285727875#gid=1285727875"",""Sheet1!A2:G""),7,0))"),717.57)</f>
        <v>717.57</v>
      </c>
      <c r="L751" s="62">
        <f t="shared" si="99"/>
        <v>3.414301044</v>
      </c>
      <c r="M751" s="60">
        <f>IFERROR(__xludf.DUMMYFUNCTION("IFERROR(VLOOKUP(C751,IMPORTRANGE(""https://docs.google.com/spreadsheets/d/1HZUHB8NvANAZR0sHDmHYVAm2WE9kNv0pGIQA48Ryim8/edit?gid=1285727875#gid=1285727875"",""Cost!A2:G""),7,0))"),805.0)</f>
        <v>805</v>
      </c>
      <c r="N751" s="62">
        <f t="shared" si="4"/>
        <v>3.341614907</v>
      </c>
      <c r="O751" s="28"/>
      <c r="P751" s="28"/>
      <c r="Q751" s="28"/>
      <c r="R751" s="28"/>
      <c r="S751" s="28"/>
      <c r="T751" s="28"/>
      <c r="U751" s="65"/>
      <c r="V751" s="28"/>
      <c r="W751" s="65"/>
      <c r="X751" s="66" t="s">
        <v>91</v>
      </c>
      <c r="Y751" s="65" t="str">
        <f t="shared" si="6"/>
        <v>CYGNUS 7111</v>
      </c>
    </row>
    <row r="752">
      <c r="A752" s="18" t="s">
        <v>1235</v>
      </c>
      <c r="B752" s="91">
        <f t="shared" si="103"/>
        <v>7113</v>
      </c>
      <c r="C752" s="15">
        <v>7113.0</v>
      </c>
      <c r="D752" s="18" t="s">
        <v>101</v>
      </c>
      <c r="E752" s="39">
        <v>2790.0</v>
      </c>
      <c r="F752" s="39">
        <v>3080.0</v>
      </c>
      <c r="G752" s="50">
        <f t="shared" si="98"/>
        <v>0.1039426523</v>
      </c>
      <c r="H752" s="28"/>
      <c r="I752" s="55">
        <f t="shared" si="2"/>
        <v>3128.326357</v>
      </c>
      <c r="J752" s="81"/>
      <c r="K752" s="60">
        <f>IFERROR(__xludf.DUMMYFUNCTION("IFERROR(VLOOKUP(C752,IMPORTRANGE(""https://docs.google.com/spreadsheets/d/1HZUHB8NvANAZR0sHDmHYVAm2WE9kNv0pGIQA48Ryim8/edit?gid=1285727875#gid=1285727875"",""Sheet1!A2:G""),7,0))"),848.15)</f>
        <v>848.15</v>
      </c>
      <c r="L752" s="62">
        <f t="shared" si="99"/>
        <v>3.289512468</v>
      </c>
      <c r="M752" s="60">
        <f>IFERROR(__xludf.DUMMYFUNCTION("IFERROR(VLOOKUP(C752,IMPORTRANGE(""https://docs.google.com/spreadsheets/d/1HZUHB8NvANAZR0sHDmHYVAm2WE9kNv0pGIQA48Ryim8/edit?gid=1285727875#gid=1285727875"",""Cost!A2:G""),7,0))"),951.0)</f>
        <v>951</v>
      </c>
      <c r="N752" s="62">
        <f t="shared" si="4"/>
        <v>3.238696109</v>
      </c>
      <c r="O752" s="28"/>
      <c r="P752" s="28"/>
      <c r="Q752" s="28"/>
      <c r="R752" s="28"/>
      <c r="S752" s="28"/>
      <c r="T752" s="28"/>
      <c r="U752" s="65"/>
      <c r="V752" s="28"/>
      <c r="W752" s="65"/>
      <c r="X752" s="66" t="s">
        <v>100</v>
      </c>
      <c r="Y752" s="65" t="str">
        <f t="shared" si="6"/>
        <v>CYGNUS 7113</v>
      </c>
    </row>
    <row r="753">
      <c r="A753" s="18" t="s">
        <v>1235</v>
      </c>
      <c r="B753" s="91">
        <f t="shared" si="103"/>
        <v>7114</v>
      </c>
      <c r="C753" s="15">
        <v>7114.0</v>
      </c>
      <c r="D753" s="18" t="s">
        <v>106</v>
      </c>
      <c r="E753" s="39">
        <v>3340.0</v>
      </c>
      <c r="F753" s="39">
        <v>3580.0</v>
      </c>
      <c r="G753" s="50">
        <f t="shared" si="98"/>
        <v>0.07185628743</v>
      </c>
      <c r="H753" s="28"/>
      <c r="I753" s="55">
        <f t="shared" si="2"/>
        <v>3581.099614</v>
      </c>
      <c r="J753" s="81"/>
      <c r="K753" s="60">
        <f>IFERROR(__xludf.DUMMYFUNCTION("IFERROR(VLOOKUP(C753,IMPORTRANGE(""https://docs.google.com/spreadsheets/d/1HZUHB8NvANAZR0sHDmHYVAm2WE9kNv0pGIQA48Ryim8/edit?gid=1285727875#gid=1285727875"",""Sheet1!A2:G""),7,0))"),962.52)</f>
        <v>962.52</v>
      </c>
      <c r="L753" s="62">
        <f t="shared" si="99"/>
        <v>3.470057765</v>
      </c>
      <c r="M753" s="60">
        <f>IFERROR(__xludf.DUMMYFUNCTION("IFERROR(VLOOKUP(C753,IMPORTRANGE(""https://docs.google.com/spreadsheets/d/1HZUHB8NvANAZR0sHDmHYVAm2WE9kNv0pGIQA48Ryim8/edit?gid=1285727875#gid=1285727875"",""Cost!A2:G""),7,0))"),1032.0)</f>
        <v>1032</v>
      </c>
      <c r="N753" s="62">
        <f t="shared" si="4"/>
        <v>3.468992248</v>
      </c>
      <c r="O753" s="28"/>
      <c r="P753" s="28"/>
      <c r="Q753" s="28"/>
      <c r="R753" s="28"/>
      <c r="S753" s="28"/>
      <c r="T753" s="28"/>
      <c r="U753" s="65"/>
      <c r="V753" s="28"/>
      <c r="W753" s="65"/>
      <c r="X753" s="66" t="s">
        <v>104</v>
      </c>
      <c r="Y753" s="65" t="str">
        <f t="shared" si="6"/>
        <v>CYGNUS 7114</v>
      </c>
    </row>
    <row r="754">
      <c r="A754" s="18" t="s">
        <v>1235</v>
      </c>
      <c r="B754" s="91">
        <f t="shared" si="103"/>
        <v>7116</v>
      </c>
      <c r="C754" s="15">
        <v>7116.0</v>
      </c>
      <c r="D754" s="18" t="s">
        <v>112</v>
      </c>
      <c r="E754" s="39">
        <v>2860.0</v>
      </c>
      <c r="F754" s="39">
        <v>3050.0</v>
      </c>
      <c r="G754" s="50">
        <f t="shared" si="98"/>
        <v>0.06643356643</v>
      </c>
      <c r="H754" s="28"/>
      <c r="I754" s="55">
        <f t="shared" si="2"/>
        <v>3047.502554</v>
      </c>
      <c r="J754" s="81"/>
      <c r="K754" s="60">
        <f>IFERROR(__xludf.DUMMYFUNCTION("IFERROR(VLOOKUP(C754,IMPORTRANGE(""https://docs.google.com/spreadsheets/d/1HZUHB8NvANAZR0sHDmHYVAm2WE9kNv0pGIQA48Ryim8/edit?gid=1285727875#gid=1285727875"",""Sheet1!A2:G""),7,0))"),793.01)</f>
        <v>793.01</v>
      </c>
      <c r="L754" s="62">
        <f t="shared" si="99"/>
        <v>3.606511898</v>
      </c>
      <c r="M754" s="60">
        <f>IFERROR(__xludf.DUMMYFUNCTION("IFERROR(VLOOKUP(C754,IMPORTRANGE(""https://docs.google.com/spreadsheets/d/1HZUHB8NvANAZR0sHDmHYVAm2WE9kNv0pGIQA48Ryim8/edit?gid=1285727875#gid=1285727875"",""Cost!A2:G""),7,0))"),845.0)</f>
        <v>845</v>
      </c>
      <c r="N754" s="62">
        <f t="shared" si="4"/>
        <v>3.609467456</v>
      </c>
      <c r="O754" s="28"/>
      <c r="P754" s="28"/>
      <c r="Q754" s="28"/>
      <c r="R754" s="28"/>
      <c r="S754" s="28"/>
      <c r="T754" s="28"/>
      <c r="U754" s="65"/>
      <c r="V754" s="28"/>
      <c r="W754" s="65"/>
      <c r="X754" s="66" t="s">
        <v>110</v>
      </c>
      <c r="Y754" s="65" t="str">
        <f t="shared" si="6"/>
        <v>CYGNUS 7116</v>
      </c>
    </row>
    <row r="755">
      <c r="A755" s="18" t="s">
        <v>1235</v>
      </c>
      <c r="B755" s="91">
        <f t="shared" si="103"/>
        <v>7118</v>
      </c>
      <c r="C755" s="15">
        <v>7118.0</v>
      </c>
      <c r="D755" s="18" t="s">
        <v>119</v>
      </c>
      <c r="E755" s="39">
        <v>1940.0</v>
      </c>
      <c r="F755" s="39">
        <v>2140.0</v>
      </c>
      <c r="G755" s="50">
        <f t="shared" si="98"/>
        <v>0.1030927835</v>
      </c>
      <c r="H755" s="28"/>
      <c r="I755" s="55">
        <f t="shared" si="2"/>
        <v>2169.605489</v>
      </c>
      <c r="J755" s="81"/>
      <c r="K755" s="60">
        <f>IFERROR(__xludf.DUMMYFUNCTION("IFERROR(VLOOKUP(C755,IMPORTRANGE(""https://docs.google.com/spreadsheets/d/1HZUHB8NvANAZR0sHDmHYVAm2WE9kNv0pGIQA48Ryim8/edit?gid=1285727875#gid=1285727875"",""Sheet1!A2:G""),7,0))"),583.0)</f>
        <v>583</v>
      </c>
      <c r="L755" s="62">
        <f t="shared" si="99"/>
        <v>3.32761578</v>
      </c>
      <c r="M755" s="60">
        <f>IFERROR(__xludf.DUMMYFUNCTION("IFERROR(VLOOKUP(C755,IMPORTRANGE(""https://docs.google.com/spreadsheets/d/1HZUHB8NvANAZR0sHDmHYVAm2WE9kNv0pGIQA48Ryim8/edit?gid=1285727875#gid=1285727875"",""Cost!A2:G""),7,0))"),652.0)</f>
        <v>652</v>
      </c>
      <c r="N755" s="62">
        <f t="shared" si="4"/>
        <v>3.282208589</v>
      </c>
      <c r="O755" s="28"/>
      <c r="P755" s="28"/>
      <c r="Q755" s="28"/>
      <c r="R755" s="28"/>
      <c r="S755" s="28"/>
      <c r="T755" s="28"/>
      <c r="U755" s="65"/>
      <c r="V755" s="28"/>
      <c r="W755" s="65"/>
      <c r="X755" s="66" t="s">
        <v>117</v>
      </c>
      <c r="Y755" s="65" t="str">
        <f t="shared" si="6"/>
        <v>CYGNUS 7118</v>
      </c>
    </row>
    <row r="756">
      <c r="A756" s="18" t="s">
        <v>1235</v>
      </c>
      <c r="B756" s="91">
        <f t="shared" si="103"/>
        <v>7120</v>
      </c>
      <c r="C756" s="15">
        <v>7120.0</v>
      </c>
      <c r="D756" s="18" t="s">
        <v>122</v>
      </c>
      <c r="E756" s="39">
        <v>1990.0</v>
      </c>
      <c r="F756" s="39">
        <v>2190.0</v>
      </c>
      <c r="G756" s="50">
        <f t="shared" si="98"/>
        <v>0.1005025126</v>
      </c>
      <c r="H756" s="28"/>
      <c r="I756" s="55">
        <f t="shared" si="2"/>
        <v>2228.930921</v>
      </c>
      <c r="J756" s="81"/>
      <c r="K756" s="60">
        <f>IFERROR(__xludf.DUMMYFUNCTION("IFERROR(VLOOKUP(C756,IMPORTRANGE(""https://docs.google.com/spreadsheets/d/1HZUHB8NvANAZR0sHDmHYVAm2WE9kNv0pGIQA48Ryim8/edit?gid=1285727875#gid=1285727875"",""Sheet1!A2:G""),7,0))"),608.0)</f>
        <v>608</v>
      </c>
      <c r="L756" s="62">
        <f t="shared" si="99"/>
        <v>3.273026316</v>
      </c>
      <c r="M756" s="60">
        <f>IFERROR(__xludf.DUMMYFUNCTION("IFERROR(VLOOKUP(C756,IMPORTRANGE(""https://docs.google.com/spreadsheets/d/1HZUHB8NvANAZR0sHDmHYVAm2WE9kNv0pGIQA48Ryim8/edit?gid=1285727875#gid=1285727875"",""Cost!A2:G""),7,0))"),681.0)</f>
        <v>681</v>
      </c>
      <c r="N756" s="62">
        <f t="shared" si="4"/>
        <v>3.215859031</v>
      </c>
      <c r="O756" s="28"/>
      <c r="P756" s="28"/>
      <c r="Q756" s="28"/>
      <c r="R756" s="28"/>
      <c r="S756" s="28"/>
      <c r="T756" s="28"/>
      <c r="U756" s="65"/>
      <c r="V756" s="28"/>
      <c r="W756" s="65"/>
      <c r="X756" s="66" t="s">
        <v>120</v>
      </c>
      <c r="Y756" s="65" t="str">
        <f t="shared" si="6"/>
        <v>CYGNUS 7120</v>
      </c>
    </row>
    <row r="757">
      <c r="A757" s="18" t="s">
        <v>1235</v>
      </c>
      <c r="B757" s="91">
        <f t="shared" si="103"/>
        <v>7151</v>
      </c>
      <c r="C757" s="15">
        <v>7151.0</v>
      </c>
      <c r="D757" s="18" t="s">
        <v>141</v>
      </c>
      <c r="E757" s="75">
        <v>5880.0</v>
      </c>
      <c r="F757" s="39">
        <v>6570.0</v>
      </c>
      <c r="G757" s="50">
        <f t="shared" si="98"/>
        <v>0.1173469388</v>
      </c>
      <c r="H757" s="28"/>
      <c r="I757" s="55">
        <f t="shared" si="2"/>
        <v>6565.820466</v>
      </c>
      <c r="J757" s="81"/>
      <c r="K757" s="60">
        <f>IFERROR(__xludf.DUMMYFUNCTION("IFERROR(VLOOKUP(C757,IMPORTRANGE(""https://docs.google.com/spreadsheets/d/1HZUHB8NvANAZR0sHDmHYVAm2WE9kNv0pGIQA48Ryim8/edit?gid=1285727875#gid=1285727875"",""Sheet1!A2:G""),7,0))"),1719.45)</f>
        <v>1719.45</v>
      </c>
      <c r="L757" s="62">
        <f t="shared" si="99"/>
        <v>3.419698159</v>
      </c>
      <c r="M757" s="60">
        <f>IFERROR(__xludf.DUMMYFUNCTION("IFERROR(VLOOKUP(C757,IMPORTRANGE(""https://docs.google.com/spreadsheets/d/1HZUHB8NvANAZR0sHDmHYVAm2WE9kNv0pGIQA48Ryim8/edit?gid=1285727875#gid=1285727875"",""Cost!A2:G""),7,0))"),1920.0)</f>
        <v>1920</v>
      </c>
      <c r="N757" s="62">
        <f t="shared" si="4"/>
        <v>3.421875</v>
      </c>
      <c r="O757" s="28"/>
      <c r="P757" s="28"/>
      <c r="Q757" s="28"/>
      <c r="R757" s="28"/>
      <c r="S757" s="28"/>
      <c r="T757" s="28"/>
      <c r="U757" s="65"/>
      <c r="V757" s="28"/>
      <c r="W757" s="65"/>
      <c r="X757" s="66" t="s">
        <v>139</v>
      </c>
      <c r="Y757" s="65" t="str">
        <f t="shared" si="6"/>
        <v>CYGNUS 7151</v>
      </c>
    </row>
    <row r="758">
      <c r="A758" s="18" t="s">
        <v>1235</v>
      </c>
      <c r="B758" s="91">
        <f t="shared" si="103"/>
        <v>7152</v>
      </c>
      <c r="C758" s="15">
        <v>7152.0</v>
      </c>
      <c r="D758" s="18" t="s">
        <v>147</v>
      </c>
      <c r="E758" s="75">
        <v>8290.0</v>
      </c>
      <c r="F758" s="39">
        <v>9250.0</v>
      </c>
      <c r="G758" s="50">
        <f t="shared" si="98"/>
        <v>0.1158021713</v>
      </c>
      <c r="H758" s="28"/>
      <c r="I758" s="55">
        <f t="shared" si="2"/>
        <v>9249.136754</v>
      </c>
      <c r="J758" s="81"/>
      <c r="K758" s="60">
        <f>IFERROR(__xludf.DUMMYFUNCTION("IFERROR(VLOOKUP(C758,IMPORTRANGE(""https://docs.google.com/spreadsheets/d/1HZUHB8NvANAZR0sHDmHYVAm2WE9kNv0pGIQA48Ryim8/edit?gid=1285727875#gid=1285727875"",""Sheet1!A2:G""),7,0))"),2606.44)</f>
        <v>2606.44</v>
      </c>
      <c r="L758" s="62">
        <f t="shared" si="99"/>
        <v>3.180583478</v>
      </c>
      <c r="M758" s="60">
        <f>IFERROR(__xludf.DUMMYFUNCTION("IFERROR(VLOOKUP(C758,IMPORTRANGE(""https://docs.google.com/spreadsheets/d/1HZUHB8NvANAZR0sHDmHYVAm2WE9kNv0pGIQA48Ryim8/edit?gid=1285727875#gid=1285727875"",""Cost!A2:G""),7,0))"),2908.0)</f>
        <v>2908</v>
      </c>
      <c r="N758" s="62">
        <f t="shared" si="4"/>
        <v>3.18088033</v>
      </c>
      <c r="O758" s="28"/>
      <c r="P758" s="28"/>
      <c r="Q758" s="28"/>
      <c r="R758" s="28"/>
      <c r="S758" s="28"/>
      <c r="T758" s="28"/>
      <c r="U758" s="65"/>
      <c r="V758" s="28"/>
      <c r="W758" s="65"/>
      <c r="X758" s="66" t="s">
        <v>144</v>
      </c>
      <c r="Y758" s="65" t="str">
        <f t="shared" si="6"/>
        <v>CYGNUS 7152</v>
      </c>
    </row>
    <row r="759">
      <c r="A759" s="18" t="s">
        <v>1235</v>
      </c>
      <c r="B759" s="91">
        <f t="shared" si="103"/>
        <v>7154</v>
      </c>
      <c r="C759" s="15">
        <v>7154.0</v>
      </c>
      <c r="D759" s="18" t="s">
        <v>152</v>
      </c>
      <c r="E759" s="75">
        <f t="shared" ref="E759:F759" si="116">SUM(E760:E761)</f>
        <v>7440</v>
      </c>
      <c r="F759" s="75">
        <f t="shared" si="116"/>
        <v>8170</v>
      </c>
      <c r="G759" s="50">
        <f t="shared" si="98"/>
        <v>0.09811827957</v>
      </c>
      <c r="H759" s="28"/>
      <c r="I759" s="55">
        <f t="shared" si="2"/>
        <v>8172.840049</v>
      </c>
      <c r="J759" s="81"/>
      <c r="K759" s="60">
        <f>IFERROR(__xludf.DUMMYFUNCTION("IFERROR(VLOOKUP(C759,IMPORTRANGE(""https://docs.google.com/spreadsheets/d/1HZUHB8NvANAZR0sHDmHYVAm2WE9kNv0pGIQA48Ryim8/edit?gid=1285727875#gid=1285727875"",""Sheet1!A2:G""),7,0))"),2274.01)</f>
        <v>2274.01</v>
      </c>
      <c r="L759" s="62">
        <f t="shared" si="99"/>
        <v>3.271753422</v>
      </c>
      <c r="M759" s="60">
        <f>IFERROR(__xludf.DUMMYFUNCTION("IFERROR(VLOOKUP(C759,IMPORTRANGE(""https://docs.google.com/spreadsheets/d/1HZUHB8NvANAZR0sHDmHYVAm2WE9kNv0pGIQA48Ryim8/edit?gid=1285727875#gid=1285727875"",""Cost!A2:G""),7,0))"),2498.0)</f>
        <v>2498</v>
      </c>
      <c r="N759" s="62">
        <f t="shared" si="4"/>
        <v>3.270616493</v>
      </c>
      <c r="O759" s="28"/>
      <c r="P759" s="28"/>
      <c r="Q759" s="28"/>
      <c r="R759" s="28"/>
      <c r="S759" s="28"/>
      <c r="T759" s="28"/>
      <c r="U759" s="65"/>
      <c r="V759" s="28"/>
      <c r="W759" s="65"/>
      <c r="X759" s="66" t="s">
        <v>150</v>
      </c>
      <c r="Y759" s="65" t="str">
        <f t="shared" si="6"/>
        <v>CYGNUS 7154</v>
      </c>
    </row>
    <row r="760">
      <c r="A760" s="18" t="s">
        <v>1235</v>
      </c>
      <c r="B760" s="91" t="str">
        <f t="shared" si="103"/>
        <v>BD-40</v>
      </c>
      <c r="C760" s="15" t="s">
        <v>154</v>
      </c>
      <c r="D760" s="18" t="s">
        <v>156</v>
      </c>
      <c r="E760" s="39">
        <v>3680.0</v>
      </c>
      <c r="F760" s="39">
        <v>3990.0</v>
      </c>
      <c r="G760" s="50">
        <f t="shared" si="98"/>
        <v>0.08423913043</v>
      </c>
      <c r="H760" s="28"/>
      <c r="I760" s="55">
        <f t="shared" si="2"/>
        <v>4075.59981</v>
      </c>
      <c r="J760" s="81"/>
      <c r="K760" s="60">
        <f>IFERROR(__xludf.DUMMYFUNCTION("IFERROR(VLOOKUP(C760,IMPORTRANGE(""https://docs.google.com/spreadsheets/d/1HZUHB8NvANAZR0sHDmHYVAm2WE9kNv0pGIQA48Ryim8/edit?gid=1285727875#gid=1285727875"",""Sheet1!A2:G""),7,0))"),966.14)</f>
        <v>966.14</v>
      </c>
      <c r="L760" s="62">
        <f t="shared" si="99"/>
        <v>3.808971785</v>
      </c>
      <c r="M760" s="60">
        <f>IFERROR(__xludf.DUMMYFUNCTION("IFERROR(VLOOKUP(C760,IMPORTRANGE(""https://docs.google.com/spreadsheets/d/1HZUHB8NvANAZR0sHDmHYVAm2WE9kNv0pGIQA48Ryim8/edit?gid=1285727875#gid=1285727875"",""Cost!A2:G""),7,0))"),1070.0)</f>
        <v>1070</v>
      </c>
      <c r="N760" s="62">
        <f t="shared" si="4"/>
        <v>3.728971963</v>
      </c>
      <c r="O760" s="28"/>
      <c r="P760" s="28"/>
      <c r="Q760" s="28"/>
      <c r="R760" s="28"/>
      <c r="S760" s="28"/>
      <c r="T760" s="28"/>
      <c r="U760" s="65"/>
      <c r="V760" s="28"/>
      <c r="W760" s="65"/>
      <c r="X760" s="66" t="s">
        <v>154</v>
      </c>
      <c r="Y760" s="65" t="str">
        <f t="shared" si="6"/>
        <v>CYGNUS 71BD-40</v>
      </c>
    </row>
    <row r="761">
      <c r="A761" s="18" t="s">
        <v>1235</v>
      </c>
      <c r="B761" s="91" t="str">
        <f t="shared" si="103"/>
        <v>BB-71</v>
      </c>
      <c r="C761" s="15" t="s">
        <v>1236</v>
      </c>
      <c r="D761" s="18" t="s">
        <v>78</v>
      </c>
      <c r="E761" s="39">
        <v>3760.0</v>
      </c>
      <c r="F761" s="39">
        <v>4180.0</v>
      </c>
      <c r="G761" s="50">
        <f t="shared" si="98"/>
        <v>0.1117021277</v>
      </c>
      <c r="H761" s="28"/>
      <c r="I761" s="55">
        <f t="shared" si="2"/>
        <v>4179.407176</v>
      </c>
      <c r="J761" s="81"/>
      <c r="K761" s="60">
        <f>IFERROR(__xludf.DUMMYFUNCTION("IFERROR(VLOOKUP(C761,IMPORTRANGE(""https://docs.google.com/spreadsheets/d/1HZUHB8NvANAZR0sHDmHYVAm2WE9kNv0pGIQA48Ryim8/edit?gid=1285727875#gid=1285727875"",""Sheet1!A2:G""),7,0))"),1282.0)</f>
        <v>1282</v>
      </c>
      <c r="L761" s="62">
        <f t="shared" si="99"/>
        <v>2.932917317</v>
      </c>
      <c r="M761" s="60">
        <f>IFERROR(__xludf.DUMMYFUNCTION("IFERROR(VLOOKUP(C761,IMPORTRANGE(""https://docs.google.com/spreadsheets/d/1HZUHB8NvANAZR0sHDmHYVAm2WE9kNv0pGIQA48Ryim8/edit?gid=1285727875#gid=1285727875"",""Cost!A2:G""),7,0))"),1425.0)</f>
        <v>1425</v>
      </c>
      <c r="N761" s="62">
        <f t="shared" si="4"/>
        <v>2.933333333</v>
      </c>
      <c r="O761" s="28"/>
      <c r="P761" s="28"/>
      <c r="Q761" s="28"/>
      <c r="R761" s="28"/>
      <c r="S761" s="28"/>
      <c r="T761" s="28"/>
      <c r="U761" s="65"/>
      <c r="V761" s="28"/>
      <c r="W761" s="65"/>
      <c r="X761" s="66" t="s">
        <v>159</v>
      </c>
      <c r="Y761" s="65" t="str">
        <f t="shared" si="6"/>
        <v>CYGNUS 71BB</v>
      </c>
    </row>
    <row r="762">
      <c r="A762" s="18" t="s">
        <v>1235</v>
      </c>
      <c r="B762" s="91">
        <f t="shared" si="103"/>
        <v>7155</v>
      </c>
      <c r="C762" s="15">
        <v>7155.0</v>
      </c>
      <c r="D762" s="18" t="s">
        <v>164</v>
      </c>
      <c r="E762" s="39">
        <v>6340.0</v>
      </c>
      <c r="F762" s="39">
        <v>7180.0</v>
      </c>
      <c r="G762" s="50">
        <f t="shared" si="98"/>
        <v>0.1324921136</v>
      </c>
      <c r="H762" s="28"/>
      <c r="I762" s="55">
        <f t="shared" si="2"/>
        <v>7879.640229</v>
      </c>
      <c r="J762" s="81"/>
      <c r="K762" s="60">
        <f>IFERROR(__xludf.DUMMYFUNCTION("IFERROR(VLOOKUP(C762,IMPORTRANGE(""https://docs.google.com/spreadsheets/d/1HZUHB8NvANAZR0sHDmHYVAm2WE9kNv0pGIQA48Ryim8/edit?gid=1285727875#gid=1285727875"",""Sheet1!A2:G""),7,0))"),1589.9)</f>
        <v>1589.9</v>
      </c>
      <c r="L762" s="62">
        <f t="shared" si="99"/>
        <v>3.987672181</v>
      </c>
      <c r="M762" s="60">
        <f>IFERROR(__xludf.DUMMYFUNCTION("IFERROR(VLOOKUP(C762,IMPORTRANGE(""https://docs.google.com/spreadsheets/d/1HZUHB8NvANAZR0sHDmHYVAm2WE9kNv0pGIQA48Ryim8/edit?gid=1285727875#gid=1285727875"",""Cost!A2:G""),7,0))"),1976.0)</f>
        <v>1976</v>
      </c>
      <c r="N762" s="62">
        <f t="shared" si="4"/>
        <v>3.633603239</v>
      </c>
      <c r="O762" s="28"/>
      <c r="P762" s="28"/>
      <c r="Q762" s="28"/>
      <c r="R762" s="28"/>
      <c r="S762" s="28"/>
      <c r="T762" s="28"/>
      <c r="U762" s="65"/>
      <c r="V762" s="28"/>
      <c r="W762" s="65"/>
      <c r="X762" s="66" t="s">
        <v>162</v>
      </c>
      <c r="Y762" s="65" t="str">
        <f t="shared" si="6"/>
        <v>CYGNUS 7155</v>
      </c>
    </row>
    <row r="763">
      <c r="A763" s="18" t="s">
        <v>1235</v>
      </c>
      <c r="B763" s="91">
        <f t="shared" si="103"/>
        <v>7170</v>
      </c>
      <c r="C763" s="15">
        <v>7170.0</v>
      </c>
      <c r="D763" s="18" t="s">
        <v>186</v>
      </c>
      <c r="E763" s="39">
        <v>7490.0</v>
      </c>
      <c r="F763" s="39">
        <v>8470.0</v>
      </c>
      <c r="G763" s="50">
        <f t="shared" si="98"/>
        <v>0.1308411215</v>
      </c>
      <c r="H763" s="28"/>
      <c r="I763" s="55">
        <f t="shared" si="2"/>
        <v>8541.910273</v>
      </c>
      <c r="J763" s="81"/>
      <c r="K763" s="60">
        <f>IFERROR(__xludf.DUMMYFUNCTION("IFERROR(VLOOKUP(C763,IMPORTRANGE(""https://docs.google.com/spreadsheets/d/1HZUHB8NvANAZR0sHDmHYVAm2WE9kNv0pGIQA48Ryim8/edit?gid=1285727875#gid=1285727875"",""Sheet1!A2:G""),7,0))"),2321.03)</f>
        <v>2321.03</v>
      </c>
      <c r="L763" s="62">
        <f t="shared" si="99"/>
        <v>3.227015592</v>
      </c>
      <c r="M763" s="60">
        <f>IFERROR(__xludf.DUMMYFUNCTION("IFERROR(VLOOKUP(C763,IMPORTRANGE(""https://docs.google.com/spreadsheets/d/1HZUHB8NvANAZR0sHDmHYVAm2WE9kNv0pGIQA48Ryim8/edit?gid=1285727875#gid=1285727875"",""Cost!A2:G""),7,0))"),2647.0)</f>
        <v>2647</v>
      </c>
      <c r="N763" s="62">
        <f t="shared" si="4"/>
        <v>3.199848886</v>
      </c>
      <c r="O763" s="28"/>
      <c r="P763" s="28"/>
      <c r="Q763" s="28"/>
      <c r="R763" s="28"/>
      <c r="S763" s="28"/>
      <c r="T763" s="28"/>
      <c r="U763" s="65"/>
      <c r="V763" s="28"/>
      <c r="W763" s="65"/>
      <c r="X763" s="66" t="s">
        <v>184</v>
      </c>
      <c r="Y763" s="65" t="str">
        <f t="shared" si="6"/>
        <v>CYGNUS 7170</v>
      </c>
    </row>
    <row r="764">
      <c r="A764" s="18" t="s">
        <v>1235</v>
      </c>
      <c r="B764" s="91">
        <f t="shared" si="103"/>
        <v>7175</v>
      </c>
      <c r="C764" s="15">
        <v>7175.0</v>
      </c>
      <c r="D764" s="18" t="s">
        <v>196</v>
      </c>
      <c r="E764" s="39">
        <v>7490.0</v>
      </c>
      <c r="F764" s="39">
        <v>8470.0</v>
      </c>
      <c r="G764" s="50">
        <f t="shared" si="98"/>
        <v>0.1308411215</v>
      </c>
      <c r="H764" s="28"/>
      <c r="I764" s="55">
        <f t="shared" si="2"/>
        <v>8531.48225</v>
      </c>
      <c r="J764" s="81"/>
      <c r="K764" s="60">
        <f>IFERROR(__xludf.DUMMYFUNCTION("IFERROR(VLOOKUP(C764,IMPORTRANGE(""https://docs.google.com/spreadsheets/d/1HZUHB8NvANAZR0sHDmHYVAm2WE9kNv0pGIQA48Ryim8/edit?gid=1285727875#gid=1285727875"",""Sheet1!A2:G""),7,0))"),2288.75)</f>
        <v>2288.75</v>
      </c>
      <c r="L764" s="62">
        <f t="shared" si="99"/>
        <v>3.272528673</v>
      </c>
      <c r="M764" s="60">
        <f>IFERROR(__xludf.DUMMYFUNCTION("IFERROR(VLOOKUP(C764,IMPORTRANGE(""https://docs.google.com/spreadsheets/d/1HZUHB8NvANAZR0sHDmHYVAm2WE9kNv0pGIQA48Ryim8/edit?gid=1285727875#gid=1285727875"",""Cost!A2:G""),7,0))"),2607.0)</f>
        <v>2607</v>
      </c>
      <c r="N764" s="62">
        <f t="shared" si="4"/>
        <v>3.248945148</v>
      </c>
      <c r="O764" s="28"/>
      <c r="P764" s="28"/>
      <c r="Q764" s="28"/>
      <c r="R764" s="28"/>
      <c r="S764" s="28"/>
      <c r="T764" s="28"/>
      <c r="U764" s="65"/>
      <c r="V764" s="28"/>
      <c r="W764" s="65"/>
      <c r="X764" s="66" t="s">
        <v>194</v>
      </c>
      <c r="Y764" s="65" t="str">
        <f t="shared" si="6"/>
        <v>CYGNUS 7175</v>
      </c>
    </row>
    <row r="765">
      <c r="A765" s="18" t="s">
        <v>1235</v>
      </c>
      <c r="B765" s="91">
        <f t="shared" si="103"/>
        <v>7180</v>
      </c>
      <c r="C765" s="15">
        <v>7180.0</v>
      </c>
      <c r="D765" s="18" t="s">
        <v>205</v>
      </c>
      <c r="E765" s="39">
        <v>8480.0</v>
      </c>
      <c r="F765" s="39">
        <v>9650.0</v>
      </c>
      <c r="G765" s="50">
        <f t="shared" si="98"/>
        <v>0.1379716981</v>
      </c>
      <c r="H765" s="28"/>
      <c r="I765" s="55">
        <f t="shared" si="2"/>
        <v>9649.430255</v>
      </c>
      <c r="J765" s="81"/>
      <c r="K765" s="60">
        <f>IFERROR(__xludf.DUMMYFUNCTION("IFERROR(VLOOKUP(C765,IMPORTRANGE(""https://docs.google.com/spreadsheets/d/1HZUHB8NvANAZR0sHDmHYVAm2WE9kNv0pGIQA48Ryim8/edit?gid=1285727875#gid=1285727875"",""Sheet1!A2:G""),7,0))"),2522.18)</f>
        <v>2522.18</v>
      </c>
      <c r="L765" s="62">
        <f t="shared" si="99"/>
        <v>3.36217082</v>
      </c>
      <c r="M765" s="60">
        <f>IFERROR(__xludf.DUMMYFUNCTION("IFERROR(VLOOKUP(C765,IMPORTRANGE(""https://docs.google.com/spreadsheets/d/1HZUHB8NvANAZR0sHDmHYVAm2WE9kNv0pGIQA48Ryim8/edit?gid=1285727875#gid=1285727875"",""Cost!A2:G""),7,0))"),2870.0)</f>
        <v>2870</v>
      </c>
      <c r="N765" s="62">
        <f t="shared" si="4"/>
        <v>3.362369338</v>
      </c>
      <c r="O765" s="28"/>
      <c r="P765" s="28"/>
      <c r="Q765" s="28"/>
      <c r="R765" s="28"/>
      <c r="S765" s="28"/>
      <c r="T765" s="28"/>
      <c r="U765" s="65"/>
      <c r="V765" s="28"/>
      <c r="W765" s="65"/>
      <c r="X765" s="66" t="s">
        <v>203</v>
      </c>
      <c r="Y765" s="65" t="str">
        <f t="shared" si="6"/>
        <v>CYGNUS 7180</v>
      </c>
    </row>
    <row r="766">
      <c r="A766" s="18" t="s">
        <v>1235</v>
      </c>
      <c r="B766" s="91" t="str">
        <f t="shared" si="103"/>
        <v>7191-N</v>
      </c>
      <c r="C766" s="15" t="s">
        <v>1237</v>
      </c>
      <c r="D766" s="18" t="s">
        <v>210</v>
      </c>
      <c r="E766" s="75">
        <f t="shared" ref="E766:F766" si="117">SUM(E767:E768)</f>
        <v>6620</v>
      </c>
      <c r="F766" s="75">
        <f t="shared" si="117"/>
        <v>7070</v>
      </c>
      <c r="G766" s="50">
        <f t="shared" si="98"/>
        <v>0.06797583082</v>
      </c>
      <c r="H766" s="28"/>
      <c r="I766" s="55">
        <f t="shared" si="2"/>
        <v>7108.382926</v>
      </c>
      <c r="J766" s="81"/>
      <c r="K766" s="60">
        <f>IFERROR(__xludf.DUMMYFUNCTION("IFERROR(VLOOKUP(C766,IMPORTRANGE(""https://docs.google.com/spreadsheets/d/1HZUHB8NvANAZR0sHDmHYVAm2WE9kNv0pGIQA48Ryim8/edit?gid=1285727875#gid=1285727875"",""Sheet1!A2:G""),7,0))"),1949.2)</f>
        <v>1949.2</v>
      </c>
      <c r="L766" s="62">
        <f t="shared" si="99"/>
        <v>3.396265134</v>
      </c>
      <c r="M766" s="60">
        <f>IFERROR(__xludf.DUMMYFUNCTION("IFERROR(VLOOKUP(C766,IMPORTRANGE(""https://docs.google.com/spreadsheets/d/1HZUHB8NvANAZR0sHDmHYVAm2WE9kNv0pGIQA48Ryim8/edit?gid=1285727875#gid=1285727875"",""Cost!A2:G""),7,0))"),2093.0)</f>
        <v>2093</v>
      </c>
      <c r="N766" s="62">
        <f t="shared" si="4"/>
        <v>3.377926421</v>
      </c>
      <c r="O766" s="28"/>
      <c r="P766" s="28"/>
      <c r="Q766" s="28"/>
      <c r="R766" s="28"/>
      <c r="S766" s="28"/>
      <c r="T766" s="28"/>
      <c r="U766" s="65"/>
      <c r="V766" s="28"/>
      <c r="W766" s="65"/>
      <c r="X766" s="66" t="s">
        <v>209</v>
      </c>
      <c r="Y766" s="65" t="str">
        <f t="shared" si="6"/>
        <v>CYGNUS 7191</v>
      </c>
    </row>
    <row r="767">
      <c r="A767" s="18" t="s">
        <v>1235</v>
      </c>
      <c r="B767" s="91" t="str">
        <f t="shared" si="103"/>
        <v>PD-40-N</v>
      </c>
      <c r="C767" s="15" t="s">
        <v>212</v>
      </c>
      <c r="D767" s="18" t="s">
        <v>214</v>
      </c>
      <c r="E767" s="39">
        <v>4240.0</v>
      </c>
      <c r="F767" s="39">
        <v>4580.0</v>
      </c>
      <c r="G767" s="50">
        <f t="shared" si="98"/>
        <v>0.08018867925</v>
      </c>
      <c r="H767" s="28"/>
      <c r="I767" s="55">
        <f t="shared" si="2"/>
        <v>4549.622554</v>
      </c>
      <c r="J767" s="81"/>
      <c r="K767" s="60">
        <f>IFERROR(__xludf.DUMMYFUNCTION("IFERROR(VLOOKUP(C767,IMPORTRANGE(""https://docs.google.com/spreadsheets/d/1HZUHB8NvANAZR0sHDmHYVAm2WE9kNv0pGIQA48Ryim8/edit?gid=1285727875#gid=1285727875"",""Sheet1!A2:G""),7,0))"),1298.2)</f>
        <v>1298.2</v>
      </c>
      <c r="L767" s="62">
        <f t="shared" si="99"/>
        <v>3.266060699</v>
      </c>
      <c r="M767" s="60">
        <f>IFERROR(__xludf.DUMMYFUNCTION("IFERROR(VLOOKUP(C767,IMPORTRANGE(""https://docs.google.com/spreadsheets/d/1HZUHB8NvANAZR0sHDmHYVAm2WE9kNv0pGIQA48Ryim8/edit?gid=1285727875#gid=1285727875"",""Cost!A2:G""),7,0))"),1393.0)</f>
        <v>1393</v>
      </c>
      <c r="N767" s="62">
        <f t="shared" si="4"/>
        <v>3.287867911</v>
      </c>
      <c r="O767" s="28"/>
      <c r="P767" s="28"/>
      <c r="Q767" s="28"/>
      <c r="R767" s="28"/>
      <c r="S767" s="28"/>
      <c r="T767" s="28"/>
      <c r="U767" s="65"/>
      <c r="V767" s="28"/>
      <c r="W767" s="65"/>
      <c r="X767" s="66" t="s">
        <v>212</v>
      </c>
      <c r="Y767" s="65" t="str">
        <f t="shared" si="6"/>
        <v>CYGNUS 71PD-40-N</v>
      </c>
    </row>
    <row r="768">
      <c r="A768" s="18" t="s">
        <v>1235</v>
      </c>
      <c r="B768" s="91" t="str">
        <f t="shared" si="103"/>
        <v>DB-71-N</v>
      </c>
      <c r="C768" s="15" t="s">
        <v>1238</v>
      </c>
      <c r="D768" s="18" t="s">
        <v>217</v>
      </c>
      <c r="E768" s="39">
        <v>2380.0</v>
      </c>
      <c r="F768" s="39">
        <v>2490.0</v>
      </c>
      <c r="G768" s="50">
        <f t="shared" si="98"/>
        <v>0.04621848739</v>
      </c>
      <c r="H768" s="28"/>
      <c r="I768" s="55">
        <f t="shared" si="2"/>
        <v>2560.127168</v>
      </c>
      <c r="J768" s="81"/>
      <c r="K768" s="60">
        <f>IFERROR(__xludf.DUMMYFUNCTION("IFERROR(VLOOKUP(C768,IMPORTRANGE(""https://docs.google.com/spreadsheets/d/1HZUHB8NvANAZR0sHDmHYVAm2WE9kNv0pGIQA48Ryim8/edit?gid=1285727875#gid=1285727875"",""Sheet1!A2:G""),7,0))"),647.96)</f>
        <v>647.96</v>
      </c>
      <c r="L768" s="62">
        <f t="shared" si="99"/>
        <v>3.673066239</v>
      </c>
      <c r="M768" s="60">
        <f>IFERROR(__xludf.DUMMYFUNCTION("IFERROR(VLOOKUP(C768,IMPORTRANGE(""https://docs.google.com/spreadsheets/d/1HZUHB8NvANAZR0sHDmHYVAm2WE9kNv0pGIQA48Ryim8/edit?gid=1285727875#gid=1285727875"",""Cost!A2:G""),7,0))"),697.0)</f>
        <v>697</v>
      </c>
      <c r="N768" s="62">
        <f t="shared" si="4"/>
        <v>3.572453372</v>
      </c>
      <c r="O768" s="28"/>
      <c r="P768" s="28"/>
      <c r="Q768" s="28"/>
      <c r="R768" s="28"/>
      <c r="S768" s="28"/>
      <c r="T768" s="28"/>
      <c r="U768" s="65"/>
      <c r="V768" s="28"/>
      <c r="W768" s="65"/>
      <c r="X768" s="66" t="s">
        <v>358</v>
      </c>
      <c r="Y768" s="65" t="str">
        <f t="shared" si="6"/>
        <v>CYGNUS 71DB</v>
      </c>
    </row>
    <row r="769">
      <c r="A769" s="18" t="s">
        <v>1235</v>
      </c>
      <c r="B769" s="91" t="str">
        <f t="shared" si="103"/>
        <v>7192-N</v>
      </c>
      <c r="C769" s="15" t="s">
        <v>1239</v>
      </c>
      <c r="D769" s="18" t="s">
        <v>220</v>
      </c>
      <c r="E769" s="75">
        <f t="shared" ref="E769:F769" si="118">SUM(E770:E771)</f>
        <v>7360</v>
      </c>
      <c r="F769" s="75">
        <f t="shared" si="118"/>
        <v>7980</v>
      </c>
      <c r="G769" s="50">
        <f t="shared" si="98"/>
        <v>0.08423913043</v>
      </c>
      <c r="H769" s="28"/>
      <c r="I769" s="55">
        <f t="shared" si="2"/>
        <v>8084.832248</v>
      </c>
      <c r="J769" s="81"/>
      <c r="K769" s="60">
        <f>IFERROR(__xludf.DUMMYFUNCTION("IFERROR(VLOOKUP(C769,IMPORTRANGE(""https://docs.google.com/spreadsheets/d/1HZUHB8NvANAZR0sHDmHYVAm2WE9kNv0pGIQA48Ryim8/edit?gid=1285727875#gid=1285727875"",""Sheet1!A2:G""),7,0))"),2232.17)</f>
        <v>2232.17</v>
      </c>
      <c r="L769" s="62">
        <f t="shared" si="99"/>
        <v>3.297239906</v>
      </c>
      <c r="M769" s="60">
        <f>IFERROR(__xludf.DUMMYFUNCTION("IFERROR(VLOOKUP(C769,IMPORTRANGE(""https://docs.google.com/spreadsheets/d/1HZUHB8NvANAZR0sHDmHYVAm2WE9kNv0pGIQA48Ryim8/edit?gid=1285727875#gid=1285727875"",""Cost!A2:G""),7,0))"),2452.0)</f>
        <v>2452</v>
      </c>
      <c r="N769" s="62">
        <f t="shared" si="4"/>
        <v>3.254486134</v>
      </c>
      <c r="O769" s="28"/>
      <c r="P769" s="28"/>
      <c r="Q769" s="28"/>
      <c r="R769" s="28"/>
      <c r="S769" s="28"/>
      <c r="T769" s="28"/>
      <c r="U769" s="65"/>
      <c r="V769" s="28"/>
      <c r="W769" s="65"/>
      <c r="X769" s="66" t="s">
        <v>219</v>
      </c>
      <c r="Y769" s="65" t="str">
        <f t="shared" si="6"/>
        <v>CYGNUS 7192</v>
      </c>
    </row>
    <row r="770">
      <c r="A770" s="18" t="s">
        <v>1235</v>
      </c>
      <c r="B770" s="91" t="str">
        <f t="shared" si="103"/>
        <v>PD-46-H-N</v>
      </c>
      <c r="C770" s="15" t="s">
        <v>223</v>
      </c>
      <c r="D770" s="18" t="s">
        <v>224</v>
      </c>
      <c r="E770" s="39">
        <v>4980.0</v>
      </c>
      <c r="F770" s="39">
        <v>5490.0</v>
      </c>
      <c r="G770" s="50">
        <f t="shared" si="98"/>
        <v>0.1024096386</v>
      </c>
      <c r="H770" s="28"/>
      <c r="I770" s="55">
        <f t="shared" si="2"/>
        <v>5513.426362</v>
      </c>
      <c r="J770" s="81"/>
      <c r="K770" s="60">
        <f>IFERROR(__xludf.DUMMYFUNCTION("IFERROR(VLOOKUP(C770,IMPORTRANGE(""https://docs.google.com/spreadsheets/d/1HZUHB8NvANAZR0sHDmHYVAm2WE9kNv0pGIQA48Ryim8/edit?gid=1285727875#gid=1285727875"",""Sheet1!A2:G""),7,0))"),1581.59)</f>
        <v>1581.59</v>
      </c>
      <c r="L770" s="62">
        <f t="shared" si="99"/>
        <v>3.148730075</v>
      </c>
      <c r="M770" s="60">
        <f>IFERROR(__xludf.DUMMYFUNCTION("IFERROR(VLOOKUP(C770,IMPORTRANGE(""https://docs.google.com/spreadsheets/d/1HZUHB8NvANAZR0sHDmHYVAm2WE9kNv0pGIQA48Ryim8/edit?gid=1285727875#gid=1285727875"",""Cost!A2:G""),7,0))"),1751.0)</f>
        <v>1751</v>
      </c>
      <c r="N770" s="62">
        <f t="shared" si="4"/>
        <v>3.135351228</v>
      </c>
      <c r="O770" s="28"/>
      <c r="P770" s="28"/>
      <c r="Q770" s="28"/>
      <c r="R770" s="28"/>
      <c r="S770" s="28"/>
      <c r="T770" s="28"/>
      <c r="U770" s="65"/>
      <c r="V770" s="28"/>
      <c r="W770" s="65"/>
      <c r="X770" s="66" t="s">
        <v>223</v>
      </c>
      <c r="Y770" s="65" t="str">
        <f t="shared" si="6"/>
        <v>CYGNUS 71PD-46-H-N</v>
      </c>
    </row>
    <row r="771">
      <c r="A771" s="18" t="s">
        <v>1235</v>
      </c>
      <c r="B771" s="91" t="str">
        <f t="shared" si="103"/>
        <v>DB-71-H-N</v>
      </c>
      <c r="C771" s="15" t="s">
        <v>1240</v>
      </c>
      <c r="D771" s="18" t="s">
        <v>217</v>
      </c>
      <c r="E771" s="39">
        <v>2380.0</v>
      </c>
      <c r="F771" s="39">
        <f>F768</f>
        <v>2490</v>
      </c>
      <c r="G771" s="50">
        <f t="shared" si="98"/>
        <v>0.04621848739</v>
      </c>
      <c r="H771" s="28"/>
      <c r="I771" s="55">
        <f t="shared" si="2"/>
        <v>2561.197353</v>
      </c>
      <c r="J771" s="81"/>
      <c r="K771" s="60">
        <f>IFERROR(__xludf.DUMMYFUNCTION("IFERROR(VLOOKUP(C771,IMPORTRANGE(""https://docs.google.com/spreadsheets/d/1HZUHB8NvANAZR0sHDmHYVAm2WE9kNv0pGIQA48Ryim8/edit?gid=1285727875#gid=1285727875"",""Sheet1!A2:G""),7,0))"),646.76)</f>
        <v>646.76</v>
      </c>
      <c r="L771" s="62">
        <f t="shared" si="99"/>
        <v>3.679881254</v>
      </c>
      <c r="M771" s="60">
        <f>IFERROR(__xludf.DUMMYFUNCTION("IFERROR(VLOOKUP(C771,IMPORTRANGE(""https://docs.google.com/spreadsheets/d/1HZUHB8NvANAZR0sHDmHYVAm2WE9kNv0pGIQA48Ryim8/edit?gid=1285727875#gid=1285727875"",""Cost!A2:G""),7,0))"),696.0)</f>
        <v>696</v>
      </c>
      <c r="N771" s="62">
        <f t="shared" si="4"/>
        <v>3.577586207</v>
      </c>
      <c r="O771" s="28"/>
      <c r="P771" s="28"/>
      <c r="Q771" s="28"/>
      <c r="R771" s="28"/>
      <c r="S771" s="28"/>
      <c r="T771" s="28"/>
      <c r="U771" s="65"/>
      <c r="V771" s="28"/>
      <c r="W771" s="65"/>
      <c r="X771" s="66" t="s">
        <v>358</v>
      </c>
      <c r="Y771" s="65" t="str">
        <f t="shared" si="6"/>
        <v>CYGNUS 71DB</v>
      </c>
    </row>
    <row r="772">
      <c r="A772" s="18" t="s">
        <v>1235</v>
      </c>
      <c r="B772" s="91" t="str">
        <f t="shared" si="103"/>
        <v>7192-ON-OFF-N</v>
      </c>
      <c r="C772" s="15" t="s">
        <v>1241</v>
      </c>
      <c r="D772" s="18" t="s">
        <v>229</v>
      </c>
      <c r="E772" s="75">
        <f t="shared" ref="E772:F772" si="119">SUM(E773:E774)</f>
        <v>7360</v>
      </c>
      <c r="F772" s="75">
        <f t="shared" si="119"/>
        <v>7980</v>
      </c>
      <c r="G772" s="50">
        <f t="shared" si="98"/>
        <v>0.08423913043</v>
      </c>
      <c r="H772" s="28"/>
      <c r="I772" s="55">
        <f t="shared" si="2"/>
        <v>8139.325865</v>
      </c>
      <c r="J772" s="81"/>
      <c r="K772" s="60">
        <f>IFERROR(__xludf.DUMMYFUNCTION("IFERROR(VLOOKUP(C772,IMPORTRANGE(""https://docs.google.com/spreadsheets/d/1HZUHB8NvANAZR0sHDmHYVAm2WE9kNv0pGIQA48Ryim8/edit?gid=1285727875#gid=1285727875"",""Sheet1!A2:G""),7,0))"),2018.29)</f>
        <v>2018.29</v>
      </c>
      <c r="L772" s="62">
        <f t="shared" si="99"/>
        <v>3.646651373</v>
      </c>
      <c r="M772" s="60">
        <f>IFERROR(__xludf.DUMMYFUNCTION("IFERROR(VLOOKUP(C772,IMPORTRANGE(""https://docs.google.com/spreadsheets/d/1HZUHB8NvANAZR0sHDmHYVAm2WE9kNv0pGIQA48Ryim8/edit?gid=1285727875#gid=1285727875"",""Cost!A2:G""),7,0))"),2232.0)</f>
        <v>2232</v>
      </c>
      <c r="N772" s="62">
        <f t="shared" si="4"/>
        <v>3.575268817</v>
      </c>
      <c r="O772" s="28"/>
      <c r="P772" s="28"/>
      <c r="Q772" s="28"/>
      <c r="R772" s="28"/>
      <c r="S772" s="28"/>
      <c r="T772" s="28"/>
      <c r="U772" s="65"/>
      <c r="V772" s="28"/>
      <c r="W772" s="65"/>
      <c r="X772" s="66" t="s">
        <v>368</v>
      </c>
      <c r="Y772" s="65" t="str">
        <f t="shared" si="6"/>
        <v>CYGNUS 7192-ON-OFF</v>
      </c>
    </row>
    <row r="773">
      <c r="A773" s="18" t="s">
        <v>1235</v>
      </c>
      <c r="B773" s="91" t="str">
        <f t="shared" si="103"/>
        <v>PD-46-H-ON-OFF-N</v>
      </c>
      <c r="C773" s="15" t="s">
        <v>234</v>
      </c>
      <c r="D773" s="18" t="s">
        <v>235</v>
      </c>
      <c r="E773" s="39">
        <f>E770-240</f>
        <v>4740</v>
      </c>
      <c r="F773" s="75">
        <f>F770-$X$1</f>
        <v>5250</v>
      </c>
      <c r="G773" s="50">
        <f t="shared" si="98"/>
        <v>0.1075949367</v>
      </c>
      <c r="H773" s="28"/>
      <c r="I773" s="55">
        <f t="shared" si="2"/>
        <v>5306.797906</v>
      </c>
      <c r="J773" s="81"/>
      <c r="K773" s="60">
        <f>IFERROR(__xludf.DUMMYFUNCTION("IFERROR(VLOOKUP(C773,IMPORTRANGE(""https://docs.google.com/spreadsheets/d/1HZUHB8NvANAZR0sHDmHYVAm2WE9kNv0pGIQA48Ryim8/edit?gid=1285727875#gid=1285727875"",""Sheet1!A2:G""),7,0))"),1367.48)</f>
        <v>1367.48</v>
      </c>
      <c r="L773" s="62">
        <f t="shared" si="99"/>
        <v>3.466229853</v>
      </c>
      <c r="M773" s="60">
        <f>IFERROR(__xludf.DUMMYFUNCTION("IFERROR(VLOOKUP(C773,IMPORTRANGE(""https://docs.google.com/spreadsheets/d/1HZUHB8NvANAZR0sHDmHYVAm2WE9kNv0pGIQA48Ryim8/edit?gid=1285727875#gid=1285727875"",""Cost!A2:G""),7,0))"),1531.0)</f>
        <v>1531</v>
      </c>
      <c r="N773" s="62">
        <f t="shared" si="4"/>
        <v>3.429131287</v>
      </c>
      <c r="O773" s="28"/>
      <c r="P773" s="28"/>
      <c r="Q773" s="28"/>
      <c r="R773" s="28"/>
      <c r="S773" s="28"/>
      <c r="T773" s="28"/>
      <c r="U773" s="65"/>
      <c r="V773" s="28"/>
      <c r="W773" s="65"/>
      <c r="X773" s="66" t="s">
        <v>371</v>
      </c>
      <c r="Y773" s="65" t="str">
        <f t="shared" si="6"/>
        <v>CYGNUS 71PD-ON-OFF</v>
      </c>
    </row>
    <row r="774">
      <c r="A774" s="18" t="s">
        <v>1235</v>
      </c>
      <c r="B774" s="91" t="str">
        <f t="shared" si="103"/>
        <v>DB-71-H-ON-OFF-N</v>
      </c>
      <c r="C774" s="15" t="s">
        <v>1242</v>
      </c>
      <c r="D774" s="18" t="s">
        <v>217</v>
      </c>
      <c r="E774" s="75">
        <f>E771+240</f>
        <v>2620</v>
      </c>
      <c r="F774" s="75">
        <f>F771+$X$1</f>
        <v>2730</v>
      </c>
      <c r="G774" s="50">
        <f t="shared" si="98"/>
        <v>0.04198473282</v>
      </c>
      <c r="H774" s="28"/>
      <c r="I774" s="55">
        <f t="shared" si="2"/>
        <v>2819.90536</v>
      </c>
      <c r="J774" s="81"/>
      <c r="K774" s="60">
        <f>IFERROR(__xludf.DUMMYFUNCTION("IFERROR(VLOOKUP(C774,IMPORTRANGE(""https://docs.google.com/spreadsheets/d/1HZUHB8NvANAZR0sHDmHYVAm2WE9kNv0pGIQA48Ryim8/edit?gid=1285727875#gid=1285727875"",""Sheet1!A2:G""),7,0))"),646.66)</f>
        <v>646.66</v>
      </c>
      <c r="L774" s="62">
        <f t="shared" si="99"/>
        <v>4.051588161</v>
      </c>
      <c r="M774" s="60">
        <f>IFERROR(__xludf.DUMMYFUNCTION("IFERROR(VLOOKUP(C774,IMPORTRANGE(""https://docs.google.com/spreadsheets/d/1HZUHB8NvANAZR0sHDmHYVAm2WE9kNv0pGIQA48Ryim8/edit?gid=1285727875#gid=1285727875"",""Cost!A2:G""),7,0))"),696.0)</f>
        <v>696</v>
      </c>
      <c r="N774" s="62">
        <f t="shared" si="4"/>
        <v>3.922413793</v>
      </c>
      <c r="O774" s="28"/>
      <c r="P774" s="28"/>
      <c r="Q774" s="28"/>
      <c r="R774" s="28"/>
      <c r="S774" s="28"/>
      <c r="T774" s="28"/>
      <c r="U774" s="65"/>
      <c r="V774" s="28"/>
      <c r="W774" s="65"/>
      <c r="X774" s="66" t="s">
        <v>375</v>
      </c>
      <c r="Y774" s="65" t="str">
        <f t="shared" si="6"/>
        <v>CYGNUS 71DB-ON-OFF</v>
      </c>
    </row>
    <row r="775">
      <c r="A775" s="18" t="s">
        <v>1235</v>
      </c>
      <c r="B775" s="91" t="str">
        <f t="shared" si="103"/>
        <v>7193-N</v>
      </c>
      <c r="C775" s="15" t="s">
        <v>1243</v>
      </c>
      <c r="D775" s="18" t="s">
        <v>241</v>
      </c>
      <c r="E775" s="75">
        <f t="shared" ref="E775:F775" si="120">SUM(E776:E777)</f>
        <v>7360</v>
      </c>
      <c r="F775" s="75">
        <f t="shared" si="120"/>
        <v>7980</v>
      </c>
      <c r="G775" s="50">
        <f t="shared" si="98"/>
        <v>0.08423913043</v>
      </c>
      <c r="H775" s="28"/>
      <c r="I775" s="55">
        <f t="shared" si="2"/>
        <v>7960.90111</v>
      </c>
      <c r="J775" s="81"/>
      <c r="K775" s="60">
        <f>IFERROR(__xludf.DUMMYFUNCTION("IFERROR(VLOOKUP(C775,IMPORTRANGE(""https://docs.google.com/spreadsheets/d/1HZUHB8NvANAZR0sHDmHYVAm2WE9kNv0pGIQA48Ryim8/edit?gid=1285727875#gid=1285727875"",""Sheet1!A2:G""),7,0))"),2179.09)</f>
        <v>2179.09</v>
      </c>
      <c r="L775" s="62">
        <f t="shared" si="99"/>
        <v>3.377556687</v>
      </c>
      <c r="M775" s="60">
        <f>IFERROR(__xludf.DUMMYFUNCTION("IFERROR(VLOOKUP(C775,IMPORTRANGE(""https://docs.google.com/spreadsheets/d/1HZUHB8NvANAZR0sHDmHYVAm2WE9kNv0pGIQA48Ryim8/edit?gid=1285727875#gid=1285727875"",""Cost!A2:G""),7,0))"),2357.0)</f>
        <v>2357</v>
      </c>
      <c r="N775" s="62">
        <f t="shared" si="4"/>
        <v>3.385659737</v>
      </c>
      <c r="O775" s="28"/>
      <c r="P775" s="28"/>
      <c r="Q775" s="28"/>
      <c r="R775" s="28"/>
      <c r="S775" s="28"/>
      <c r="T775" s="28"/>
      <c r="U775" s="65"/>
      <c r="V775" s="28"/>
      <c r="W775" s="65"/>
      <c r="X775" s="66" t="s">
        <v>239</v>
      </c>
      <c r="Y775" s="65" t="str">
        <f t="shared" si="6"/>
        <v>CYGNUS 7193</v>
      </c>
    </row>
    <row r="776">
      <c r="A776" s="18" t="s">
        <v>1235</v>
      </c>
      <c r="B776" s="91" t="str">
        <f t="shared" si="103"/>
        <v>PD-3 IN-N</v>
      </c>
      <c r="C776" s="15" t="s">
        <v>243</v>
      </c>
      <c r="D776" s="18" t="s">
        <v>244</v>
      </c>
      <c r="E776" s="39">
        <v>4980.0</v>
      </c>
      <c r="F776" s="39">
        <v>5490.0</v>
      </c>
      <c r="G776" s="50">
        <f t="shared" si="98"/>
        <v>0.1024096386</v>
      </c>
      <c r="H776" s="28"/>
      <c r="I776" s="55">
        <f t="shared" si="2"/>
        <v>5395.785272</v>
      </c>
      <c r="J776" s="81"/>
      <c r="K776" s="60">
        <f>IFERROR(__xludf.DUMMYFUNCTION("IFERROR(VLOOKUP(C776,IMPORTRANGE(""https://docs.google.com/spreadsheets/d/1HZUHB8NvANAZR0sHDmHYVAm2WE9kNv0pGIQA48Ryim8/edit?gid=1285727875#gid=1285727875"",""Sheet1!A2:G""),7,0))"),1543.16)</f>
        <v>1543.16</v>
      </c>
      <c r="L776" s="62">
        <f t="shared" si="99"/>
        <v>3.227144301</v>
      </c>
      <c r="M776" s="60">
        <f>IFERROR(__xludf.DUMMYFUNCTION("IFERROR(VLOOKUP(C776,IMPORTRANGE(""https://docs.google.com/spreadsheets/d/1HZUHB8NvANAZR0sHDmHYVAm2WE9kNv0pGIQA48Ryim8/edit?gid=1285727875#gid=1285727875"",""Cost!A2:G""),7,0))"),1672.0)</f>
        <v>1672</v>
      </c>
      <c r="N776" s="62">
        <f t="shared" si="4"/>
        <v>3.283492823</v>
      </c>
      <c r="O776" s="28"/>
      <c r="P776" s="28"/>
      <c r="Q776" s="28"/>
      <c r="R776" s="28"/>
      <c r="S776" s="28"/>
      <c r="T776" s="28"/>
      <c r="U776" s="65"/>
      <c r="V776" s="28"/>
      <c r="W776" s="65"/>
      <c r="X776" s="66" t="s">
        <v>243</v>
      </c>
      <c r="Y776" s="65" t="str">
        <f t="shared" si="6"/>
        <v>CYGNUS 71PD-3 IN-N</v>
      </c>
    </row>
    <row r="777">
      <c r="A777" s="18" t="s">
        <v>1235</v>
      </c>
      <c r="B777" s="91" t="str">
        <f t="shared" si="103"/>
        <v>DB-71-3 IN-N</v>
      </c>
      <c r="C777" s="15" t="s">
        <v>1244</v>
      </c>
      <c r="D777" s="18" t="s">
        <v>217</v>
      </c>
      <c r="E777" s="39">
        <v>2380.0</v>
      </c>
      <c r="F777" s="39">
        <f>F768</f>
        <v>2490</v>
      </c>
      <c r="G777" s="50">
        <f t="shared" si="98"/>
        <v>0.04621848739</v>
      </c>
      <c r="H777" s="28"/>
      <c r="I777" s="55">
        <f t="shared" si="2"/>
        <v>2561.593418</v>
      </c>
      <c r="J777" s="81"/>
      <c r="K777" s="60">
        <f>IFERROR(__xludf.DUMMYFUNCTION("IFERROR(VLOOKUP(C777,IMPORTRANGE(""https://docs.google.com/spreadsheets/d/1HZUHB8NvANAZR0sHDmHYVAm2WE9kNv0pGIQA48Ryim8/edit?gid=1285727875#gid=1285727875"",""Sheet1!A2:G""),7,0))"),646.66)</f>
        <v>646.66</v>
      </c>
      <c r="L777" s="62">
        <f t="shared" si="99"/>
        <v>3.680450314</v>
      </c>
      <c r="M777" s="60">
        <f>IFERROR(__xludf.DUMMYFUNCTION("IFERROR(VLOOKUP(C777,IMPORTRANGE(""https://docs.google.com/spreadsheets/d/1HZUHB8NvANAZR0sHDmHYVAm2WE9kNv0pGIQA48Ryim8/edit?gid=1285727875#gid=1285727875"",""Cost!A2:G""),7,0))"),696.0)</f>
        <v>696</v>
      </c>
      <c r="N777" s="62">
        <f t="shared" si="4"/>
        <v>3.577586207</v>
      </c>
      <c r="O777" s="28"/>
      <c r="P777" s="28"/>
      <c r="Q777" s="28"/>
      <c r="R777" s="28"/>
      <c r="S777" s="28"/>
      <c r="T777" s="28"/>
      <c r="U777" s="65"/>
      <c r="V777" s="28"/>
      <c r="W777" s="65"/>
      <c r="X777" s="66" t="s">
        <v>358</v>
      </c>
      <c r="Y777" s="65" t="str">
        <f t="shared" si="6"/>
        <v>CYGNUS 71DB</v>
      </c>
    </row>
    <row r="778">
      <c r="A778" s="18" t="s">
        <v>1235</v>
      </c>
      <c r="B778" s="91" t="str">
        <f t="shared" si="103"/>
        <v>7193-ON-OFF-N</v>
      </c>
      <c r="C778" s="15" t="s">
        <v>1245</v>
      </c>
      <c r="D778" s="18" t="s">
        <v>250</v>
      </c>
      <c r="E778" s="75">
        <f t="shared" ref="E778:F778" si="121">SUM(E779:E780)</f>
        <v>7360</v>
      </c>
      <c r="F778" s="75">
        <f t="shared" si="121"/>
        <v>7980</v>
      </c>
      <c r="G778" s="50">
        <f t="shared" si="98"/>
        <v>0.08423913043</v>
      </c>
      <c r="H778" s="28"/>
      <c r="I778" s="55">
        <f t="shared" si="2"/>
        <v>8052.072652</v>
      </c>
      <c r="J778" s="81"/>
      <c r="K778" s="60">
        <f>IFERROR(__xludf.DUMMYFUNCTION("IFERROR(VLOOKUP(C778,IMPORTRANGE(""https://docs.google.com/spreadsheets/d/1HZUHB8NvANAZR0sHDmHYVAm2WE9kNv0pGIQA48Ryim8/edit?gid=1285727875#gid=1285727875"",""Sheet1!A2:G""),7,0))"),2213.83)</f>
        <v>2213.83</v>
      </c>
      <c r="L778" s="62">
        <f t="shared" si="99"/>
        <v>3.324555183</v>
      </c>
      <c r="M778" s="60">
        <f>IFERROR(__xludf.DUMMYFUNCTION("IFERROR(VLOOKUP(C778,IMPORTRANGE(""https://docs.google.com/spreadsheets/d/1HZUHB8NvANAZR0sHDmHYVAm2WE9kNv0pGIQA48Ryim8/edit?gid=1285727875#gid=1285727875"",""Cost!A2:G""),7,0))"),2422.0)</f>
        <v>2422</v>
      </c>
      <c r="N778" s="62">
        <f t="shared" si="4"/>
        <v>3.294797688</v>
      </c>
      <c r="O778" s="28"/>
      <c r="P778" s="28"/>
      <c r="Q778" s="28"/>
      <c r="R778" s="28"/>
      <c r="S778" s="28"/>
      <c r="T778" s="28"/>
      <c r="U778" s="65"/>
      <c r="V778" s="28"/>
      <c r="W778" s="65"/>
      <c r="X778" s="66" t="s">
        <v>410</v>
      </c>
      <c r="Y778" s="65" t="str">
        <f t="shared" si="6"/>
        <v>CYGNUS 7193-ON-OFF</v>
      </c>
    </row>
    <row r="779">
      <c r="A779" s="18" t="s">
        <v>1235</v>
      </c>
      <c r="B779" s="91" t="str">
        <f t="shared" si="103"/>
        <v>PD-3 IN-ON-OFF-N</v>
      </c>
      <c r="C779" s="15" t="s">
        <v>253</v>
      </c>
      <c r="D779" s="18" t="s">
        <v>256</v>
      </c>
      <c r="E779" s="39">
        <f>E776-240</f>
        <v>4740</v>
      </c>
      <c r="F779" s="39">
        <f>F776-$X$1</f>
        <v>5250</v>
      </c>
      <c r="G779" s="50">
        <f t="shared" si="98"/>
        <v>0.1075949367</v>
      </c>
      <c r="H779" s="28"/>
      <c r="I779" s="55">
        <f t="shared" si="2"/>
        <v>5217.019108</v>
      </c>
      <c r="J779" s="81"/>
      <c r="K779" s="60">
        <f>IFERROR(__xludf.DUMMYFUNCTION("IFERROR(VLOOKUP(C779,IMPORTRANGE(""https://docs.google.com/spreadsheets/d/1HZUHB8NvANAZR0sHDmHYVAm2WE9kNv0pGIQA48Ryim8/edit?gid=1285727875#gid=1285727875"",""Sheet1!A2:G""),7,0))"),1570.0)</f>
        <v>1570</v>
      </c>
      <c r="L779" s="62">
        <f t="shared" si="99"/>
        <v>3.01910828</v>
      </c>
      <c r="M779" s="60">
        <f>IFERROR(__xludf.DUMMYFUNCTION("IFERROR(VLOOKUP(C779,IMPORTRANGE(""https://docs.google.com/spreadsheets/d/1HZUHB8NvANAZR0sHDmHYVAm2WE9kNv0pGIQA48Ryim8/edit?gid=1285727875#gid=1285727875"",""Cost!A2:G""),7,0))"),1728.0)</f>
        <v>1728</v>
      </c>
      <c r="N779" s="62">
        <f t="shared" si="4"/>
        <v>3.038194444</v>
      </c>
      <c r="O779" s="28"/>
      <c r="P779" s="28"/>
      <c r="Q779" s="28"/>
      <c r="R779" s="28"/>
      <c r="S779" s="28"/>
      <c r="T779" s="28"/>
      <c r="U779" s="65"/>
      <c r="V779" s="28"/>
      <c r="W779" s="65"/>
      <c r="X779" s="66" t="s">
        <v>371</v>
      </c>
      <c r="Y779" s="65" t="str">
        <f t="shared" si="6"/>
        <v>CYGNUS 71PD-ON-OFF</v>
      </c>
    </row>
    <row r="780">
      <c r="A780" s="18" t="s">
        <v>1235</v>
      </c>
      <c r="B780" s="91" t="str">
        <f t="shared" si="103"/>
        <v>DB-71-3 IN-ON-OFF-N</v>
      </c>
      <c r="C780" s="15" t="s">
        <v>1246</v>
      </c>
      <c r="D780" s="18" t="s">
        <v>217</v>
      </c>
      <c r="E780" s="75">
        <f>E777+240</f>
        <v>2620</v>
      </c>
      <c r="F780" s="75">
        <f>F777+$X$1</f>
        <v>2730</v>
      </c>
      <c r="G780" s="50">
        <f t="shared" si="98"/>
        <v>0.04198473282</v>
      </c>
      <c r="H780" s="28"/>
      <c r="I780" s="55">
        <f t="shared" si="2"/>
        <v>2819.90536</v>
      </c>
      <c r="J780" s="81"/>
      <c r="K780" s="60">
        <f>IFERROR(__xludf.DUMMYFUNCTION("IFERROR(VLOOKUP(C780,IMPORTRANGE(""https://docs.google.com/spreadsheets/d/1HZUHB8NvANAZR0sHDmHYVAm2WE9kNv0pGIQA48Ryim8/edit?gid=1285727875#gid=1285727875"",""Sheet1!A2:G""),7,0))"),646.66)</f>
        <v>646.66</v>
      </c>
      <c r="L780" s="62">
        <f t="shared" si="99"/>
        <v>4.051588161</v>
      </c>
      <c r="M780" s="60">
        <f>IFERROR(__xludf.DUMMYFUNCTION("IFERROR(VLOOKUP(C780,IMPORTRANGE(""https://docs.google.com/spreadsheets/d/1HZUHB8NvANAZR0sHDmHYVAm2WE9kNv0pGIQA48Ryim8/edit?gid=1285727875#gid=1285727875"",""Cost!A2:G""),7,0))"),696.0)</f>
        <v>696</v>
      </c>
      <c r="N780" s="62">
        <f t="shared" si="4"/>
        <v>3.922413793</v>
      </c>
      <c r="O780" s="28"/>
      <c r="P780" s="28"/>
      <c r="Q780" s="28"/>
      <c r="R780" s="28"/>
      <c r="S780" s="28"/>
      <c r="T780" s="28"/>
      <c r="U780" s="65"/>
      <c r="V780" s="28"/>
      <c r="W780" s="65"/>
      <c r="X780" s="66" t="s">
        <v>375</v>
      </c>
      <c r="Y780" s="65" t="str">
        <f t="shared" si="6"/>
        <v>CYGNUS 71DB-ON-OFF</v>
      </c>
    </row>
    <row r="781">
      <c r="A781" s="18" t="s">
        <v>1235</v>
      </c>
      <c r="B781" s="91">
        <f t="shared" si="103"/>
        <v>7194</v>
      </c>
      <c r="C781" s="15">
        <v>7194.0</v>
      </c>
      <c r="D781" s="18" t="s">
        <v>263</v>
      </c>
      <c r="E781" s="39">
        <v>9240.0</v>
      </c>
      <c r="F781" s="39">
        <v>10160.0</v>
      </c>
      <c r="G781" s="50">
        <f t="shared" si="98"/>
        <v>0.09956709957</v>
      </c>
      <c r="H781" s="28"/>
      <c r="I781" s="55">
        <f t="shared" si="2"/>
        <v>10159.47695</v>
      </c>
      <c r="J781" s="81"/>
      <c r="K781" s="60">
        <f>IFERROR(__xludf.DUMMYFUNCTION("IFERROR(VLOOKUP(C781,IMPORTRANGE(""https://docs.google.com/spreadsheets/d/1HZUHB8NvANAZR0sHDmHYVAm2WE9kNv0pGIQA48Ryim8/edit?gid=1285727875#gid=1285727875"",""Sheet1!A2:G""),7,0))"),2921.3)</f>
        <v>2921.3</v>
      </c>
      <c r="L781" s="62">
        <f t="shared" si="99"/>
        <v>3.162975388</v>
      </c>
      <c r="M781" s="60">
        <f>IFERROR(__xludf.DUMMYFUNCTION("IFERROR(VLOOKUP(C781,IMPORTRANGE(""https://docs.google.com/spreadsheets/d/1HZUHB8NvANAZR0sHDmHYVAm2WE9kNv0pGIQA48Ryim8/edit?gid=1285727875#gid=1285727875"",""Cost!A2:G""),7,0))"),3212.0)</f>
        <v>3212</v>
      </c>
      <c r="N781" s="62">
        <f t="shared" si="4"/>
        <v>3.163138232</v>
      </c>
      <c r="O781" s="28"/>
      <c r="P781" s="28"/>
      <c r="Q781" s="28"/>
      <c r="R781" s="28"/>
      <c r="S781" s="28"/>
      <c r="T781" s="28"/>
      <c r="U781" s="65"/>
      <c r="V781" s="28"/>
      <c r="W781" s="65"/>
      <c r="X781" s="66" t="s">
        <v>260</v>
      </c>
      <c r="Y781" s="65" t="str">
        <f t="shared" si="6"/>
        <v>CYGNUS 7194</v>
      </c>
    </row>
    <row r="782">
      <c r="A782" s="18" t="s">
        <v>1235</v>
      </c>
      <c r="B782" s="91">
        <f t="shared" si="103"/>
        <v>7195</v>
      </c>
      <c r="C782" s="15">
        <v>7195.0</v>
      </c>
      <c r="D782" s="18" t="s">
        <v>265</v>
      </c>
      <c r="E782" s="75">
        <v>1770.0</v>
      </c>
      <c r="F782" s="39">
        <v>1940.0</v>
      </c>
      <c r="G782" s="50">
        <f t="shared" si="98"/>
        <v>0.09604519774</v>
      </c>
      <c r="H782" s="28"/>
      <c r="I782" s="55">
        <f t="shared" si="2"/>
        <v>1935.383887</v>
      </c>
      <c r="J782" s="81"/>
      <c r="K782" s="60">
        <f>IFERROR(__xludf.DUMMYFUNCTION("IFERROR(VLOOKUP(C782,IMPORTRANGE(""https://docs.google.com/spreadsheets/d/1HZUHB8NvANAZR0sHDmHYVAm2WE9kNv0pGIQA48Ryim8/edit?gid=1285727875#gid=1285727875"",""Sheet1!A2:G""),7,0))"),464.59)</f>
        <v>464.59</v>
      </c>
      <c r="L782" s="62">
        <f t="shared" si="99"/>
        <v>3.809810801</v>
      </c>
      <c r="M782" s="60">
        <f>IFERROR(__xludf.DUMMYFUNCTION("IFERROR(VLOOKUP(C782,IMPORTRANGE(""https://docs.google.com/spreadsheets/d/1HZUHB8NvANAZR0sHDmHYVAm2WE9kNv0pGIQA48Ryim8/edit?gid=1285727875#gid=1285727875"",""Cost!A2:G""),7,0))"),508.0)</f>
        <v>508</v>
      </c>
      <c r="N782" s="62">
        <f t="shared" si="4"/>
        <v>3.818897638</v>
      </c>
      <c r="O782" s="28"/>
      <c r="P782" s="28"/>
      <c r="Q782" s="28"/>
      <c r="R782" s="28"/>
      <c r="S782" s="28"/>
      <c r="T782" s="28"/>
      <c r="U782" s="65"/>
      <c r="V782" s="28"/>
      <c r="W782" s="65"/>
      <c r="X782" s="66" t="s">
        <v>264</v>
      </c>
      <c r="Y782" s="65" t="str">
        <f t="shared" si="6"/>
        <v>CYGNUS 7195</v>
      </c>
    </row>
    <row r="783">
      <c r="A783" s="18" t="s">
        <v>1235</v>
      </c>
      <c r="B783" s="91">
        <f t="shared" si="103"/>
        <v>7196</v>
      </c>
      <c r="C783" s="15">
        <v>7196.0</v>
      </c>
      <c r="D783" s="18" t="s">
        <v>268</v>
      </c>
      <c r="E783" s="39">
        <v>2480.0</v>
      </c>
      <c r="F783" s="39">
        <v>2730.0</v>
      </c>
      <c r="G783" s="50">
        <f t="shared" si="98"/>
        <v>0.1008064516</v>
      </c>
      <c r="H783" s="28"/>
      <c r="I783" s="55">
        <f t="shared" si="2"/>
        <v>2727.796826</v>
      </c>
      <c r="J783" s="81"/>
      <c r="K783" s="60">
        <f>IFERROR(__xludf.DUMMYFUNCTION("IFERROR(VLOOKUP(C783,IMPORTRANGE(""https://docs.google.com/spreadsheets/d/1HZUHB8NvANAZR0sHDmHYVAm2WE9kNv0pGIQA48Ryim8/edit?gid=1285727875#gid=1285727875"",""Sheet1!A2:G""),7,0))"),659.14)</f>
        <v>659.14</v>
      </c>
      <c r="L783" s="62">
        <f t="shared" si="99"/>
        <v>3.762478381</v>
      </c>
      <c r="M783" s="60">
        <f>IFERROR(__xludf.DUMMYFUNCTION("IFERROR(VLOOKUP(C783,IMPORTRANGE(""https://docs.google.com/spreadsheets/d/1HZUHB8NvANAZR0sHDmHYVAm2WE9kNv0pGIQA48Ryim8/edit?gid=1285727875#gid=1285727875"",""Cost!A2:G""),7,0))"),725.0)</f>
        <v>725</v>
      </c>
      <c r="N783" s="62">
        <f t="shared" si="4"/>
        <v>3.765517241</v>
      </c>
      <c r="O783" s="28"/>
      <c r="P783" s="28"/>
      <c r="Q783" s="28"/>
      <c r="R783" s="28"/>
      <c r="S783" s="28"/>
      <c r="T783" s="28"/>
      <c r="U783" s="65"/>
      <c r="V783" s="28"/>
      <c r="W783" s="65"/>
      <c r="X783" s="66" t="s">
        <v>267</v>
      </c>
      <c r="Y783" s="65" t="str">
        <f t="shared" si="6"/>
        <v>CYGNUS 7196</v>
      </c>
    </row>
    <row r="784">
      <c r="A784" s="18" t="s">
        <v>1235</v>
      </c>
      <c r="B784" s="91">
        <f t="shared" si="103"/>
        <v>7198</v>
      </c>
      <c r="C784" s="15">
        <v>7198.0</v>
      </c>
      <c r="D784" s="18" t="s">
        <v>272</v>
      </c>
      <c r="E784" s="75">
        <v>2790.0</v>
      </c>
      <c r="F784" s="39">
        <v>3080.0</v>
      </c>
      <c r="G784" s="50">
        <f t="shared" si="98"/>
        <v>0.1039426523</v>
      </c>
      <c r="H784" s="28"/>
      <c r="I784" s="55">
        <f t="shared" si="2"/>
        <v>3113.016222</v>
      </c>
      <c r="J784" s="81"/>
      <c r="K784" s="60">
        <f>IFERROR(__xludf.DUMMYFUNCTION("IFERROR(VLOOKUP(C784,IMPORTRANGE(""https://docs.google.com/spreadsheets/d/1HZUHB8NvANAZR0sHDmHYVAm2WE9kNv0pGIQA48Ryim8/edit?gid=1285727875#gid=1285727875"",""Sheet1!A2:G""),7,0))"),855.01)</f>
        <v>855.01</v>
      </c>
      <c r="L784" s="62">
        <f t="shared" si="99"/>
        <v>3.26311973</v>
      </c>
      <c r="M784" s="60">
        <f>IFERROR(__xludf.DUMMYFUNCTION("IFERROR(VLOOKUP(C784,IMPORTRANGE(""https://docs.google.com/spreadsheets/d/1HZUHB8NvANAZR0sHDmHYVAm2WE9kNv0pGIQA48Ryim8/edit?gid=1285727875#gid=1285727875"",""Cost!A2:G""),7,0))"),954.0)</f>
        <v>954</v>
      </c>
      <c r="N784" s="62">
        <f t="shared" si="4"/>
        <v>3.22851153</v>
      </c>
      <c r="O784" s="28"/>
      <c r="P784" s="28"/>
      <c r="Q784" s="28"/>
      <c r="R784" s="28"/>
      <c r="S784" s="28"/>
      <c r="T784" s="28"/>
      <c r="U784" s="65"/>
      <c r="V784" s="28"/>
      <c r="W784" s="65"/>
      <c r="X784" s="66" t="s">
        <v>271</v>
      </c>
      <c r="Y784" s="65" t="str">
        <f t="shared" si="6"/>
        <v>CYGNUS 7198</v>
      </c>
    </row>
    <row r="785">
      <c r="A785" s="18" t="s">
        <v>1247</v>
      </c>
      <c r="B785" s="91">
        <f t="shared" si="103"/>
        <v>8302</v>
      </c>
      <c r="C785" s="15">
        <v>8302.0</v>
      </c>
      <c r="D785" s="18" t="s">
        <v>15</v>
      </c>
      <c r="E785" s="75">
        <v>1880.0</v>
      </c>
      <c r="F785" s="39">
        <v>2090.0</v>
      </c>
      <c r="G785" s="50">
        <f t="shared" si="98"/>
        <v>0.1117021277</v>
      </c>
      <c r="H785" s="28"/>
      <c r="I785" s="55">
        <f t="shared" si="2"/>
        <v>2087.94126</v>
      </c>
      <c r="J785" s="81"/>
      <c r="K785" s="60">
        <f>IFERROR(__xludf.DUMMYFUNCTION("IFERROR(VLOOKUP(C785,IMPORTRANGE(""https://docs.google.com/spreadsheets/d/1HZUHB8NvANAZR0sHDmHYVAm2WE9kNv0pGIQA48Ryim8/edit?gid=1285727875#gid=1285727875"",""Sheet1!A2:G""),7,0))"),595.17)</f>
        <v>595.17</v>
      </c>
      <c r="L785" s="62">
        <f t="shared" si="99"/>
        <v>3.158761362</v>
      </c>
      <c r="M785" s="60">
        <f>IFERROR(__xludf.DUMMYFUNCTION("IFERROR(VLOOKUP(C785,IMPORTRANGE(""https://docs.google.com/spreadsheets/d/1HZUHB8NvANAZR0sHDmHYVAm2WE9kNv0pGIQA48Ryim8/edit?gid=1285727875#gid=1285727875"",""Cost!A2:G""),7,0))"),661.0)</f>
        <v>661</v>
      </c>
      <c r="N785" s="62">
        <f t="shared" si="4"/>
        <v>3.161875946</v>
      </c>
      <c r="O785" s="28"/>
      <c r="P785" s="28"/>
      <c r="Q785" s="28"/>
      <c r="R785" s="28"/>
      <c r="S785" s="28"/>
      <c r="T785" s="28"/>
      <c r="U785" s="65"/>
      <c r="V785" s="28"/>
      <c r="W785" s="65"/>
      <c r="X785" s="66" t="s">
        <v>303</v>
      </c>
      <c r="Y785" s="65" t="str">
        <f t="shared" si="6"/>
        <v>WAVES 8302</v>
      </c>
    </row>
    <row r="786">
      <c r="A786" s="18" t="s">
        <v>1247</v>
      </c>
      <c r="B786" s="91">
        <f t="shared" si="103"/>
        <v>8304</v>
      </c>
      <c r="C786" s="15">
        <v>8304.0</v>
      </c>
      <c r="D786" s="18" t="s">
        <v>46</v>
      </c>
      <c r="E786" s="75">
        <v>2040.0</v>
      </c>
      <c r="F786" s="39">
        <v>2260.0</v>
      </c>
      <c r="G786" s="50">
        <f t="shared" si="98"/>
        <v>0.1078431373</v>
      </c>
      <c r="H786" s="28"/>
      <c r="I786" s="55">
        <f t="shared" si="2"/>
        <v>2262.421136</v>
      </c>
      <c r="J786" s="81"/>
      <c r="K786" s="60">
        <f>IFERROR(__xludf.DUMMYFUNCTION("IFERROR(VLOOKUP(C786,IMPORTRANGE(""https://docs.google.com/spreadsheets/d/1HZUHB8NvANAZR0sHDmHYVAm2WE9kNv0pGIQA48Ryim8/edit?gid=1285727875#gid=1285727875"",""Sheet1!A2:G""),7,0))"),608.64)</f>
        <v>608.64</v>
      </c>
      <c r="L786" s="62">
        <f t="shared" si="99"/>
        <v>3.351735016</v>
      </c>
      <c r="M786" s="60">
        <f>IFERROR(__xludf.DUMMYFUNCTION("IFERROR(VLOOKUP(C786,IMPORTRANGE(""https://docs.google.com/spreadsheets/d/1HZUHB8NvANAZR0sHDmHYVAm2WE9kNv0pGIQA48Ryim8/edit?gid=1285727875#gid=1285727875"",""Cost!A2:G""),7,0))"),675.0)</f>
        <v>675</v>
      </c>
      <c r="N786" s="62">
        <f t="shared" si="4"/>
        <v>3.348148148</v>
      </c>
      <c r="O786" s="28"/>
      <c r="P786" s="28"/>
      <c r="Q786" s="28"/>
      <c r="R786" s="28"/>
      <c r="S786" s="28"/>
      <c r="T786" s="28"/>
      <c r="U786" s="65"/>
      <c r="V786" s="28"/>
      <c r="W786" s="65"/>
      <c r="X786" s="66" t="s">
        <v>309</v>
      </c>
      <c r="Y786" s="65" t="str">
        <f t="shared" si="6"/>
        <v>WAVES 8304</v>
      </c>
    </row>
    <row r="787">
      <c r="A787" s="18" t="s">
        <v>1247</v>
      </c>
      <c r="B787" s="91">
        <f t="shared" si="103"/>
        <v>8305</v>
      </c>
      <c r="C787" s="15">
        <v>8305.0</v>
      </c>
      <c r="D787" s="18" t="s">
        <v>59</v>
      </c>
      <c r="E787" s="75">
        <v>1560.0</v>
      </c>
      <c r="F787" s="39">
        <v>1720.0</v>
      </c>
      <c r="G787" s="50">
        <f t="shared" si="98"/>
        <v>0.1025641026</v>
      </c>
      <c r="H787" s="28"/>
      <c r="I787" s="55">
        <f t="shared" si="2"/>
        <v>1715.294118</v>
      </c>
      <c r="J787" s="81"/>
      <c r="K787" s="60">
        <f>IFERROR(__xludf.DUMMYFUNCTION("IFERROR(VLOOKUP(C787,IMPORTRANGE(""https://docs.google.com/spreadsheets/d/1HZUHB8NvANAZR0sHDmHYVAm2WE9kNv0pGIQA48Ryim8/edit?gid=1285727875#gid=1285727875"",""Sheet1!A2:G""),7,0))"),442.0)</f>
        <v>442</v>
      </c>
      <c r="L787" s="62">
        <f t="shared" si="99"/>
        <v>3.529411765</v>
      </c>
      <c r="M787" s="60">
        <f>IFERROR(__xludf.DUMMYFUNCTION("IFERROR(VLOOKUP(C787,IMPORTRANGE(""https://docs.google.com/spreadsheets/d/1HZUHB8NvANAZR0sHDmHYVAm2WE9kNv0pGIQA48Ryim8/edit?gid=1285727875#gid=1285727875"",""Cost!A2:G""),7,0))"),486.0)</f>
        <v>486</v>
      </c>
      <c r="N787" s="62">
        <f t="shared" si="4"/>
        <v>3.53909465</v>
      </c>
      <c r="O787" s="28"/>
      <c r="P787" s="28"/>
      <c r="Q787" s="28"/>
      <c r="R787" s="28"/>
      <c r="S787" s="28"/>
      <c r="T787" s="28"/>
      <c r="U787" s="65"/>
      <c r="V787" s="28"/>
      <c r="W787" s="65"/>
      <c r="X787" s="66" t="s">
        <v>663</v>
      </c>
      <c r="Y787" s="65" t="str">
        <f t="shared" si="6"/>
        <v>WAVES 8305</v>
      </c>
    </row>
    <row r="788">
      <c r="A788" s="18" t="s">
        <v>1247</v>
      </c>
      <c r="B788" s="91">
        <f t="shared" si="103"/>
        <v>8306</v>
      </c>
      <c r="C788" s="15">
        <v>8306.0</v>
      </c>
      <c r="D788" s="18" t="s">
        <v>67</v>
      </c>
      <c r="E788" s="75">
        <v>1590.0</v>
      </c>
      <c r="F788" s="39">
        <v>1750.0</v>
      </c>
      <c r="G788" s="50">
        <f t="shared" si="98"/>
        <v>0.1006289308</v>
      </c>
      <c r="H788" s="28"/>
      <c r="I788" s="55">
        <f t="shared" si="2"/>
        <v>1744.969014</v>
      </c>
      <c r="J788" s="81"/>
      <c r="K788" s="60">
        <f>IFERROR(__xludf.DUMMYFUNCTION("IFERROR(VLOOKUP(C788,IMPORTRANGE(""https://docs.google.com/spreadsheets/d/1HZUHB8NvANAZR0sHDmHYVAm2WE9kNv0pGIQA48Ryim8/edit?gid=1285727875#gid=1285727875"",""Sheet1!A2:G""),7,0))"),443.75)</f>
        <v>443.75</v>
      </c>
      <c r="L788" s="62">
        <f t="shared" si="99"/>
        <v>3.583098592</v>
      </c>
      <c r="M788" s="60">
        <f>IFERROR(__xludf.DUMMYFUNCTION("IFERROR(VLOOKUP(C788,IMPORTRANGE(""https://docs.google.com/spreadsheets/d/1HZUHB8NvANAZR0sHDmHYVAm2WE9kNv0pGIQA48Ryim8/edit?gid=1285727875#gid=1285727875"",""Cost!A2:G""),7,0))"),487.0)</f>
        <v>487</v>
      </c>
      <c r="N788" s="62">
        <f t="shared" si="4"/>
        <v>3.593429158</v>
      </c>
      <c r="O788" s="28"/>
      <c r="P788" s="28"/>
      <c r="Q788" s="28"/>
      <c r="R788" s="28"/>
      <c r="S788" s="28"/>
      <c r="T788" s="28"/>
      <c r="U788" s="65"/>
      <c r="V788" s="28"/>
      <c r="W788" s="65"/>
      <c r="X788" s="66" t="s">
        <v>311</v>
      </c>
      <c r="Y788" s="65" t="str">
        <f t="shared" si="6"/>
        <v>WAVES 8306</v>
      </c>
    </row>
    <row r="789">
      <c r="A789" s="18" t="s">
        <v>1247</v>
      </c>
      <c r="B789" s="91">
        <f t="shared" si="103"/>
        <v>8308</v>
      </c>
      <c r="C789" s="15">
        <v>8308.0</v>
      </c>
      <c r="D789" s="18" t="s">
        <v>81</v>
      </c>
      <c r="E789" s="75">
        <v>1770.0</v>
      </c>
      <c r="F789" s="39">
        <v>1950.0</v>
      </c>
      <c r="G789" s="50">
        <f t="shared" si="98"/>
        <v>0.1016949153</v>
      </c>
      <c r="H789" s="28"/>
      <c r="I789" s="55">
        <f t="shared" si="2"/>
        <v>1948.831829</v>
      </c>
      <c r="J789" s="81"/>
      <c r="K789" s="60">
        <f>IFERROR(__xludf.DUMMYFUNCTION("IFERROR(VLOOKUP(C789,IMPORTRANGE(""https://docs.google.com/spreadsheets/d/1HZUHB8NvANAZR0sHDmHYVAm2WE9kNv0pGIQA48Ryim8/edit?gid=1285727875#gid=1285727875"",""Sheet1!A2:G""),7,0))"),484.09)</f>
        <v>484.09</v>
      </c>
      <c r="L789" s="62">
        <f t="shared" si="99"/>
        <v>3.656344895</v>
      </c>
      <c r="M789" s="60">
        <f>IFERROR(__xludf.DUMMYFUNCTION("IFERROR(VLOOKUP(C789,IMPORTRANGE(""https://docs.google.com/spreadsheets/d/1HZUHB8NvANAZR0sHDmHYVAm2WE9kNv0pGIQA48Ryim8/edit?gid=1285727875#gid=1285727875"",""Cost!A2:G""),7,0))"),533.0)</f>
        <v>533</v>
      </c>
      <c r="N789" s="62">
        <f t="shared" si="4"/>
        <v>3.658536585</v>
      </c>
      <c r="O789" s="28"/>
      <c r="P789" s="28"/>
      <c r="Q789" s="28"/>
      <c r="R789" s="28"/>
      <c r="S789" s="28"/>
      <c r="T789" s="28"/>
      <c r="U789" s="65"/>
      <c r="V789" s="28"/>
      <c r="W789" s="65"/>
      <c r="X789" s="66" t="s">
        <v>321</v>
      </c>
      <c r="Y789" s="65" t="str">
        <f t="shared" si="6"/>
        <v>WAVES 8308</v>
      </c>
    </row>
    <row r="790">
      <c r="A790" s="18" t="s">
        <v>1247</v>
      </c>
      <c r="B790" s="91">
        <f t="shared" si="103"/>
        <v>8309</v>
      </c>
      <c r="C790" s="15">
        <v>8309.0</v>
      </c>
      <c r="D790" s="18" t="s">
        <v>86</v>
      </c>
      <c r="E790" s="75">
        <v>1930.0</v>
      </c>
      <c r="F790" s="39">
        <v>2130.0</v>
      </c>
      <c r="G790" s="50">
        <f t="shared" si="98"/>
        <v>0.103626943</v>
      </c>
      <c r="H790" s="28"/>
      <c r="I790" s="55">
        <f t="shared" si="2"/>
        <v>2131.192382</v>
      </c>
      <c r="J790" s="81"/>
      <c r="K790" s="60">
        <f>IFERROR(__xludf.DUMMYFUNCTION("IFERROR(VLOOKUP(C790,IMPORTRANGE(""https://docs.google.com/spreadsheets/d/1HZUHB8NvANAZR0sHDmHYVAm2WE9kNv0pGIQA48Ryim8/edit?gid=1285727875#gid=1285727875"",""Sheet1!A2:G""),7,0))"),592.26)</f>
        <v>592.26</v>
      </c>
      <c r="L790" s="62">
        <f t="shared" si="99"/>
        <v>3.258703948</v>
      </c>
      <c r="M790" s="60">
        <f>IFERROR(__xludf.DUMMYFUNCTION("IFERROR(VLOOKUP(C790,IMPORTRANGE(""https://docs.google.com/spreadsheets/d/1HZUHB8NvANAZR0sHDmHYVAm2WE9kNv0pGIQA48Ryim8/edit?gid=1285727875#gid=1285727875"",""Cost!A2:G""),7,0))"),654.0)</f>
        <v>654</v>
      </c>
      <c r="N790" s="62">
        <f t="shared" si="4"/>
        <v>3.256880734</v>
      </c>
      <c r="O790" s="28"/>
      <c r="P790" s="28"/>
      <c r="Q790" s="28"/>
      <c r="R790" s="28"/>
      <c r="S790" s="28"/>
      <c r="T790" s="28"/>
      <c r="U790" s="65"/>
      <c r="V790" s="28"/>
      <c r="W790" s="65"/>
      <c r="X790" s="66" t="s">
        <v>665</v>
      </c>
      <c r="Y790" s="65" t="str">
        <f t="shared" si="6"/>
        <v>WAVES 8309</v>
      </c>
    </row>
    <row r="791">
      <c r="A791" s="18" t="s">
        <v>1247</v>
      </c>
      <c r="B791" s="91">
        <f t="shared" si="103"/>
        <v>8310</v>
      </c>
      <c r="C791" s="15">
        <v>8310.0</v>
      </c>
      <c r="D791" s="18" t="s">
        <v>89</v>
      </c>
      <c r="E791" s="39">
        <v>1490.0</v>
      </c>
      <c r="F791" s="39">
        <v>1640.0</v>
      </c>
      <c r="G791" s="50">
        <f t="shared" si="98"/>
        <v>0.1006711409</v>
      </c>
      <c r="H791" s="28"/>
      <c r="I791" s="55">
        <f t="shared" si="2"/>
        <v>1634.964464</v>
      </c>
      <c r="J791" s="81"/>
      <c r="K791" s="60">
        <f>IFERROR(__xludf.DUMMYFUNCTION("IFERROR(VLOOKUP(C791,IMPORTRANGE(""https://docs.google.com/spreadsheets/d/1HZUHB8NvANAZR0sHDmHYVAm2WE9kNv0pGIQA48Ryim8/edit?gid=1285727875#gid=1285727875"",""Sheet1!A2:G""),7,0))"),416.48)</f>
        <v>416.48</v>
      </c>
      <c r="L791" s="62">
        <f t="shared" si="99"/>
        <v>3.577602766</v>
      </c>
      <c r="M791" s="60">
        <f>IFERROR(__xludf.DUMMYFUNCTION("IFERROR(VLOOKUP(C791,IMPORTRANGE(""https://docs.google.com/spreadsheets/d/1HZUHB8NvANAZR0sHDmHYVAm2WE9kNv0pGIQA48Ryim8/edit?gid=1285727875#gid=1285727875"",""Cost!A2:G""),7,0))"),457.0)</f>
        <v>457</v>
      </c>
      <c r="N791" s="62">
        <f t="shared" si="4"/>
        <v>3.588621444</v>
      </c>
      <c r="O791" s="28"/>
      <c r="P791" s="28"/>
      <c r="Q791" s="28"/>
      <c r="R791" s="28"/>
      <c r="S791" s="28"/>
      <c r="T791" s="28"/>
      <c r="U791" s="65"/>
      <c r="V791" s="28"/>
      <c r="W791" s="65"/>
      <c r="X791" s="66" t="s">
        <v>87</v>
      </c>
      <c r="Y791" s="65" t="str">
        <f t="shared" si="6"/>
        <v>WAVES 8310</v>
      </c>
    </row>
    <row r="792">
      <c r="A792" s="18" t="s">
        <v>1247</v>
      </c>
      <c r="B792" s="91">
        <f t="shared" si="103"/>
        <v>8311</v>
      </c>
      <c r="C792" s="15">
        <v>8311.0</v>
      </c>
      <c r="D792" s="18" t="s">
        <v>94</v>
      </c>
      <c r="E792" s="75">
        <v>2250.0</v>
      </c>
      <c r="F792" s="39">
        <v>2490.0</v>
      </c>
      <c r="G792" s="50">
        <f t="shared" si="98"/>
        <v>0.1066666667</v>
      </c>
      <c r="H792" s="28"/>
      <c r="I792" s="55">
        <f t="shared" si="2"/>
        <v>2511.72577</v>
      </c>
      <c r="J792" s="81"/>
      <c r="K792" s="60">
        <f>IFERROR(__xludf.DUMMYFUNCTION("IFERROR(VLOOKUP(C792,IMPORTRANGE(""https://docs.google.com/spreadsheets/d/1HZUHB8NvANAZR0sHDmHYVAm2WE9kNv0pGIQA48Ryim8/edit?gid=1285727875#gid=1285727875"",""Sheet1!A2:G""),7,0))"),684.39)</f>
        <v>684.39</v>
      </c>
      <c r="L792" s="62">
        <f t="shared" si="99"/>
        <v>3.287599176</v>
      </c>
      <c r="M792" s="60">
        <f>IFERROR(__xludf.DUMMYFUNCTION("IFERROR(VLOOKUP(C792,IMPORTRANGE(""https://docs.google.com/spreadsheets/d/1HZUHB8NvANAZR0sHDmHYVAm2WE9kNv0pGIQA48Ryim8/edit?gid=1285727875#gid=1285727875"",""Cost!A2:G""),7,0))"),764.0)</f>
        <v>764</v>
      </c>
      <c r="N792" s="62">
        <f t="shared" si="4"/>
        <v>3.259162304</v>
      </c>
      <c r="O792" s="28"/>
      <c r="P792" s="28"/>
      <c r="Q792" s="28"/>
      <c r="R792" s="28"/>
      <c r="S792" s="28"/>
      <c r="T792" s="28"/>
      <c r="U792" s="65"/>
      <c r="V792" s="28"/>
      <c r="W792" s="65"/>
      <c r="X792" s="66" t="s">
        <v>91</v>
      </c>
      <c r="Y792" s="65" t="str">
        <f t="shared" si="6"/>
        <v>WAVES 8311</v>
      </c>
    </row>
    <row r="793">
      <c r="A793" s="18" t="s">
        <v>1247</v>
      </c>
      <c r="B793" s="91">
        <f t="shared" si="103"/>
        <v>8312</v>
      </c>
      <c r="C793" s="15">
        <v>8312.0</v>
      </c>
      <c r="D793" s="18" t="s">
        <v>97</v>
      </c>
      <c r="E793" s="75">
        <v>2690.0</v>
      </c>
      <c r="F793" s="39">
        <v>2990.0</v>
      </c>
      <c r="G793" s="50">
        <f t="shared" si="98"/>
        <v>0.1115241636</v>
      </c>
      <c r="H793" s="28"/>
      <c r="I793" s="55">
        <f t="shared" si="2"/>
        <v>2997.498484</v>
      </c>
      <c r="J793" s="81"/>
      <c r="K793" s="60">
        <f>IFERROR(__xludf.DUMMYFUNCTION("IFERROR(VLOOKUP(C793,IMPORTRANGE(""https://docs.google.com/spreadsheets/d/1HZUHB8NvANAZR0sHDmHYVAm2WE9kNv0pGIQA48Ryim8/edit?gid=1285727875#gid=1285727875"",""Sheet1!A2:G""),7,0))"),791.52)</f>
        <v>791.52</v>
      </c>
      <c r="L793" s="62">
        <f t="shared" si="99"/>
        <v>3.398524358</v>
      </c>
      <c r="M793" s="60">
        <f>IFERROR(__xludf.DUMMYFUNCTION("IFERROR(VLOOKUP(C793,IMPORTRANGE(""https://docs.google.com/spreadsheets/d/1HZUHB8NvANAZR0sHDmHYVAm2WE9kNv0pGIQA48Ryim8/edit?gid=1285727875#gid=1285727875"",""Cost!A2:G""),7,0))"),882.0)</f>
        <v>882</v>
      </c>
      <c r="N793" s="62">
        <f t="shared" si="4"/>
        <v>3.390022676</v>
      </c>
      <c r="O793" s="28"/>
      <c r="P793" s="28"/>
      <c r="Q793" s="28"/>
      <c r="R793" s="28"/>
      <c r="S793" s="28"/>
      <c r="T793" s="28"/>
      <c r="U793" s="65"/>
      <c r="V793" s="28"/>
      <c r="W793" s="65"/>
      <c r="X793" s="66" t="s">
        <v>95</v>
      </c>
      <c r="Y793" s="65" t="str">
        <f t="shared" si="6"/>
        <v>WAVES 8312</v>
      </c>
    </row>
    <row r="794">
      <c r="A794" s="18" t="s">
        <v>1247</v>
      </c>
      <c r="B794" s="91">
        <f t="shared" si="103"/>
        <v>8314</v>
      </c>
      <c r="C794" s="15">
        <v>8314.0</v>
      </c>
      <c r="D794" s="18" t="s">
        <v>106</v>
      </c>
      <c r="E794" s="39">
        <v>3940.0</v>
      </c>
      <c r="F794" s="39">
        <v>4380.0</v>
      </c>
      <c r="G794" s="50">
        <f t="shared" si="98"/>
        <v>0.1116751269</v>
      </c>
      <c r="H794" s="28"/>
      <c r="I794" s="55">
        <f t="shared" si="2"/>
        <v>4381.70756</v>
      </c>
      <c r="J794" s="81"/>
      <c r="K794" s="60">
        <f>IFERROR(__xludf.DUMMYFUNCTION("IFERROR(VLOOKUP(C794,IMPORTRANGE(""https://docs.google.com/spreadsheets/d/1HZUHB8NvANAZR0sHDmHYVAm2WE9kNv0pGIQA48Ryim8/edit?gid=1285727875#gid=1285727875"",""Sheet1!A2:G""),7,0))"),1203.12)</f>
        <v>1203.12</v>
      </c>
      <c r="L794" s="62">
        <f t="shared" si="99"/>
        <v>3.274818804</v>
      </c>
      <c r="M794" s="60">
        <f>IFERROR(__xludf.DUMMYFUNCTION("IFERROR(VLOOKUP(C794,IMPORTRANGE(""https://docs.google.com/spreadsheets/d/1HZUHB8NvANAZR0sHDmHYVAm2WE9kNv0pGIQA48Ryim8/edit?gid=1285727875#gid=1285727875"",""Cost!A2:G""),7,0))"),1338.0)</f>
        <v>1338</v>
      </c>
      <c r="N794" s="62">
        <f t="shared" si="4"/>
        <v>3.273542601</v>
      </c>
      <c r="O794" s="28"/>
      <c r="P794" s="28"/>
      <c r="Q794" s="28"/>
      <c r="R794" s="28"/>
      <c r="S794" s="28"/>
      <c r="T794" s="28"/>
      <c r="U794" s="65"/>
      <c r="V794" s="28"/>
      <c r="W794" s="65"/>
      <c r="X794" s="66" t="s">
        <v>104</v>
      </c>
      <c r="Y794" s="65" t="str">
        <f t="shared" si="6"/>
        <v>WAVES 8314</v>
      </c>
    </row>
    <row r="795">
      <c r="A795" s="18" t="s">
        <v>1247</v>
      </c>
      <c r="B795" s="91">
        <f t="shared" si="103"/>
        <v>8316</v>
      </c>
      <c r="C795" s="15">
        <v>8316.0</v>
      </c>
      <c r="D795" s="18" t="s">
        <v>112</v>
      </c>
      <c r="E795" s="39">
        <v>3580.0</v>
      </c>
      <c r="F795" s="39">
        <v>3990.0</v>
      </c>
      <c r="G795" s="50">
        <f t="shared" si="98"/>
        <v>0.1145251397</v>
      </c>
      <c r="H795" s="28"/>
      <c r="I795" s="55">
        <f t="shared" si="2"/>
        <v>3997.070851</v>
      </c>
      <c r="J795" s="81"/>
      <c r="K795" s="60">
        <f>IFERROR(__xludf.DUMMYFUNCTION("IFERROR(VLOOKUP(C795,IMPORTRANGE(""https://docs.google.com/spreadsheets/d/1HZUHB8NvANAZR0sHDmHYVAm2WE9kNv0pGIQA48Ryim8/edit?gid=1285727875#gid=1285727875"",""Sheet1!A2:G""),7,0))"),1051.5)</f>
        <v>1051.5</v>
      </c>
      <c r="L795" s="62">
        <f t="shared" si="99"/>
        <v>3.40466001</v>
      </c>
      <c r="M795" s="60">
        <f>IFERROR(__xludf.DUMMYFUNCTION("IFERROR(VLOOKUP(C795,IMPORTRANGE(""https://docs.google.com/spreadsheets/d/1HZUHB8NvANAZR0sHDmHYVAm2WE9kNv0pGIQA48Ryim8/edit?gid=1285727875#gid=1285727875"",""Cost!A2:G""),7,0))"),1174.0)</f>
        <v>1174</v>
      </c>
      <c r="N795" s="62">
        <f t="shared" si="4"/>
        <v>3.398637138</v>
      </c>
      <c r="O795" s="28"/>
      <c r="P795" s="28"/>
      <c r="Q795" s="28"/>
      <c r="R795" s="28"/>
      <c r="S795" s="28"/>
      <c r="T795" s="28"/>
      <c r="U795" s="65"/>
      <c r="V795" s="28"/>
      <c r="W795" s="65"/>
      <c r="X795" s="66" t="s">
        <v>110</v>
      </c>
      <c r="Y795" s="65" t="str">
        <f t="shared" si="6"/>
        <v>WAVES 8316</v>
      </c>
    </row>
    <row r="796">
      <c r="A796" s="18" t="s">
        <v>1247</v>
      </c>
      <c r="B796" s="91">
        <f t="shared" si="103"/>
        <v>8318</v>
      </c>
      <c r="C796" s="15">
        <v>8318.0</v>
      </c>
      <c r="D796" s="18" t="s">
        <v>119</v>
      </c>
      <c r="E796" s="39">
        <v>1930.0</v>
      </c>
      <c r="F796" s="39">
        <v>2130.0</v>
      </c>
      <c r="G796" s="50">
        <f t="shared" si="98"/>
        <v>0.103626943</v>
      </c>
      <c r="H796" s="28"/>
      <c r="I796" s="55">
        <f t="shared" si="2"/>
        <v>2160.724906</v>
      </c>
      <c r="J796" s="81"/>
      <c r="K796" s="60">
        <f>IFERROR(__xludf.DUMMYFUNCTION("IFERROR(VLOOKUP(C796,IMPORTRANGE(""https://docs.google.com/spreadsheets/d/1HZUHB8NvANAZR0sHDmHYVAm2WE9kNv0pGIQA48Ryim8/edit?gid=1285727875#gid=1285727875"",""Sheet1!A2:G""),7,0))"),571.66)</f>
        <v>571.66</v>
      </c>
      <c r="L796" s="62">
        <f t="shared" si="99"/>
        <v>3.376132666</v>
      </c>
      <c r="M796" s="60">
        <f>IFERROR(__xludf.DUMMYFUNCTION("IFERROR(VLOOKUP(C796,IMPORTRANGE(""https://docs.google.com/spreadsheets/d/1HZUHB8NvANAZR0sHDmHYVAm2WE9kNv0pGIQA48Ryim8/edit?gid=1285727875#gid=1285727875"",""Cost!A2:G""),7,0))"),640.0)</f>
        <v>640</v>
      </c>
      <c r="N796" s="62">
        <f t="shared" si="4"/>
        <v>3.328125</v>
      </c>
      <c r="O796" s="28"/>
      <c r="P796" s="28"/>
      <c r="Q796" s="28"/>
      <c r="R796" s="28"/>
      <c r="S796" s="28"/>
      <c r="T796" s="28"/>
      <c r="U796" s="65"/>
      <c r="V796" s="28"/>
      <c r="W796" s="65"/>
      <c r="X796" s="66" t="s">
        <v>117</v>
      </c>
      <c r="Y796" s="65" t="str">
        <f t="shared" si="6"/>
        <v>WAVES 8318</v>
      </c>
    </row>
    <row r="797">
      <c r="A797" s="18" t="s">
        <v>1247</v>
      </c>
      <c r="B797" s="91">
        <f t="shared" si="103"/>
        <v>8320</v>
      </c>
      <c r="C797" s="15">
        <v>8320.0</v>
      </c>
      <c r="D797" s="18" t="s">
        <v>122</v>
      </c>
      <c r="E797" s="39">
        <v>1990.0</v>
      </c>
      <c r="F797" s="39">
        <v>2190.0</v>
      </c>
      <c r="G797" s="50">
        <f t="shared" si="98"/>
        <v>0.1005025126</v>
      </c>
      <c r="H797" s="28"/>
      <c r="I797" s="55">
        <f t="shared" si="2"/>
        <v>2227.935508</v>
      </c>
      <c r="J797" s="81"/>
      <c r="K797" s="60">
        <f>IFERROR(__xludf.DUMMYFUNCTION("IFERROR(VLOOKUP(C797,IMPORTRANGE(""https://docs.google.com/spreadsheets/d/1HZUHB8NvANAZR0sHDmHYVAm2WE9kNv0pGIQA48Ryim8/edit?gid=1285727875#gid=1285727875"",""Sheet1!A2:G""),7,0))"),596.66)</f>
        <v>596.66</v>
      </c>
      <c r="L797" s="62">
        <f t="shared" si="99"/>
        <v>3.335232796</v>
      </c>
      <c r="M797" s="60">
        <f>IFERROR(__xludf.DUMMYFUNCTION("IFERROR(VLOOKUP(C797,IMPORTRANGE(""https://docs.google.com/spreadsheets/d/1HZUHB8NvANAZR0sHDmHYVAm2WE9kNv0pGIQA48Ryim8/edit?gid=1285727875#gid=1285727875"",""Cost!A2:G""),7,0))"),668.0)</f>
        <v>668</v>
      </c>
      <c r="N797" s="62">
        <f t="shared" si="4"/>
        <v>3.278443114</v>
      </c>
      <c r="O797" s="28"/>
      <c r="P797" s="28"/>
      <c r="Q797" s="28"/>
      <c r="R797" s="28"/>
      <c r="S797" s="28"/>
      <c r="T797" s="28"/>
      <c r="U797" s="65"/>
      <c r="V797" s="28"/>
      <c r="W797" s="65"/>
      <c r="X797" s="66" t="s">
        <v>120</v>
      </c>
      <c r="Y797" s="65" t="str">
        <f t="shared" si="6"/>
        <v>WAVES 8320</v>
      </c>
    </row>
    <row r="798">
      <c r="A798" s="18" t="s">
        <v>1247</v>
      </c>
      <c r="B798" s="91">
        <f t="shared" si="103"/>
        <v>8326</v>
      </c>
      <c r="C798" s="15">
        <v>8326.0</v>
      </c>
      <c r="D798" s="18" t="s">
        <v>125</v>
      </c>
      <c r="E798" s="39">
        <v>1490.0</v>
      </c>
      <c r="F798" s="39">
        <v>1630.0</v>
      </c>
      <c r="G798" s="50">
        <f t="shared" si="98"/>
        <v>0.09395973154</v>
      </c>
      <c r="H798" s="28"/>
      <c r="I798" s="55">
        <f t="shared" si="2"/>
        <v>1647.504295</v>
      </c>
      <c r="J798" s="81"/>
      <c r="K798" s="60">
        <f>IFERROR(__xludf.DUMMYFUNCTION("IFERROR(VLOOKUP(C798,IMPORTRANGE(""https://docs.google.com/spreadsheets/d/1HZUHB8NvANAZR0sHDmHYVAm2WE9kNv0pGIQA48Ryim8/edit?gid=1285727875#gid=1285727875"",""Sheet1!A2:G""),7,0))"),413.31)</f>
        <v>413.31</v>
      </c>
      <c r="L798" s="62">
        <f t="shared" si="99"/>
        <v>3.60504222</v>
      </c>
      <c r="M798" s="60">
        <f>IFERROR(__xludf.DUMMYFUNCTION("IFERROR(VLOOKUP(C798,IMPORTRANGE(""https://docs.google.com/spreadsheets/d/1HZUHB8NvANAZR0sHDmHYVAm2WE9kNv0pGIQA48Ryim8/edit?gid=1285727875#gid=1285727875"",""Cost!A2:G""),7,0))"),457.0)</f>
        <v>457</v>
      </c>
      <c r="N798" s="62">
        <f t="shared" si="4"/>
        <v>3.566739606</v>
      </c>
      <c r="O798" s="28"/>
      <c r="P798" s="28"/>
      <c r="Q798" s="28"/>
      <c r="R798" s="28"/>
      <c r="S798" s="28"/>
      <c r="T798" s="28"/>
      <c r="U798" s="65"/>
      <c r="V798" s="28"/>
      <c r="W798" s="65"/>
      <c r="X798" s="66" t="s">
        <v>123</v>
      </c>
      <c r="Y798" s="65" t="str">
        <f t="shared" si="6"/>
        <v>WAVES 8326</v>
      </c>
    </row>
    <row r="799">
      <c r="A799" s="18" t="s">
        <v>1247</v>
      </c>
      <c r="B799" s="91">
        <f t="shared" si="103"/>
        <v>8328</v>
      </c>
      <c r="C799" s="15">
        <v>8328.0</v>
      </c>
      <c r="D799" s="18" t="s">
        <v>132</v>
      </c>
      <c r="E799" s="39">
        <v>1490.0</v>
      </c>
      <c r="F799" s="39">
        <v>1630.0</v>
      </c>
      <c r="G799" s="50">
        <f t="shared" si="98"/>
        <v>0.09395973154</v>
      </c>
      <c r="H799" s="28"/>
      <c r="I799" s="55">
        <f t="shared" si="2"/>
        <v>1640.907754</v>
      </c>
      <c r="J799" s="81"/>
      <c r="K799" s="60">
        <f>IFERROR(__xludf.DUMMYFUNCTION("IFERROR(VLOOKUP(C799,IMPORTRANGE(""https://docs.google.com/spreadsheets/d/1HZUHB8NvANAZR0sHDmHYVAm2WE9kNv0pGIQA48Ryim8/edit?gid=1285727875#gid=1285727875"",""Sheet1!A2:G""),7,0))"),374.11)</f>
        <v>374.11</v>
      </c>
      <c r="L799" s="62">
        <f t="shared" si="99"/>
        <v>3.982785812</v>
      </c>
      <c r="M799" s="60">
        <f>IFERROR(__xludf.DUMMYFUNCTION("IFERROR(VLOOKUP(C799,IMPORTRANGE(""https://docs.google.com/spreadsheets/d/1HZUHB8NvANAZR0sHDmHYVAm2WE9kNv0pGIQA48Ryim8/edit?gid=1285727875#gid=1285727875"",""Cost!A2:G""),7,0))"),412.0)</f>
        <v>412</v>
      </c>
      <c r="N799" s="62">
        <f t="shared" si="4"/>
        <v>3.95631068</v>
      </c>
      <c r="O799" s="28"/>
      <c r="P799" s="28"/>
      <c r="Q799" s="28"/>
      <c r="R799" s="28"/>
      <c r="S799" s="28"/>
      <c r="T799" s="28"/>
      <c r="U799" s="65"/>
      <c r="V799" s="28"/>
      <c r="W799" s="65"/>
      <c r="X799" s="66" t="s">
        <v>130</v>
      </c>
      <c r="Y799" s="65" t="str">
        <f t="shared" si="6"/>
        <v>WAVES 8328</v>
      </c>
    </row>
    <row r="800">
      <c r="A800" s="18" t="s">
        <v>1247</v>
      </c>
      <c r="B800" s="91">
        <f t="shared" si="103"/>
        <v>8350</v>
      </c>
      <c r="C800" s="15">
        <v>8350.0</v>
      </c>
      <c r="D800" s="18" t="s">
        <v>136</v>
      </c>
      <c r="E800" s="39">
        <v>5490.0</v>
      </c>
      <c r="F800" s="39">
        <v>5980.0</v>
      </c>
      <c r="G800" s="50">
        <f t="shared" si="98"/>
        <v>0.08925318761</v>
      </c>
      <c r="H800" s="28"/>
      <c r="I800" s="55">
        <f t="shared" si="2"/>
        <v>6105.540345</v>
      </c>
      <c r="J800" s="81"/>
      <c r="K800" s="60">
        <f>IFERROR(__xludf.DUMMYFUNCTION("IFERROR(VLOOKUP(C800,IMPORTRANGE(""https://docs.google.com/spreadsheets/d/1HZUHB8NvANAZR0sHDmHYVAm2WE9kNv0pGIQA48Ryim8/edit?gid=1285727875#gid=1285727875"",""Sheet1!A2:G""),7,0))"),1530.41)</f>
        <v>1530.41</v>
      </c>
      <c r="L800" s="62">
        <f t="shared" si="99"/>
        <v>3.587273998</v>
      </c>
      <c r="M800" s="60">
        <f>IFERROR(__xludf.DUMMYFUNCTION("IFERROR(VLOOKUP(C800,IMPORTRANGE(""https://docs.google.com/spreadsheets/d/1HZUHB8NvANAZR0sHDmHYVAm2WE9kNv0pGIQA48Ryim8/edit?gid=1285727875#gid=1285727875"",""Cost!A2:G""),7,0))"),1702.0)</f>
        <v>1702</v>
      </c>
      <c r="N800" s="62">
        <f t="shared" si="4"/>
        <v>3.513513514</v>
      </c>
      <c r="O800" s="28"/>
      <c r="P800" s="28"/>
      <c r="Q800" s="28"/>
      <c r="R800" s="28"/>
      <c r="S800" s="28"/>
      <c r="T800" s="28"/>
      <c r="U800" s="65"/>
      <c r="V800" s="28"/>
      <c r="W800" s="65"/>
      <c r="X800" s="66" t="s">
        <v>134</v>
      </c>
      <c r="Y800" s="65" t="str">
        <f t="shared" si="6"/>
        <v>WAVES 8350</v>
      </c>
    </row>
    <row r="801">
      <c r="A801" s="18" t="s">
        <v>1247</v>
      </c>
      <c r="B801" s="91">
        <f t="shared" si="103"/>
        <v>8355</v>
      </c>
      <c r="C801" s="15">
        <v>8355.0</v>
      </c>
      <c r="D801" s="18" t="s">
        <v>164</v>
      </c>
      <c r="E801" s="75">
        <v>6350.0</v>
      </c>
      <c r="F801" s="39">
        <v>7280.0</v>
      </c>
      <c r="G801" s="50">
        <f t="shared" si="98"/>
        <v>0.1464566929</v>
      </c>
      <c r="H801" s="28"/>
      <c r="I801" s="55">
        <f t="shared" si="2"/>
        <v>7330.192992</v>
      </c>
      <c r="J801" s="81"/>
      <c r="K801" s="60">
        <f>IFERROR(__xludf.DUMMYFUNCTION("IFERROR(VLOOKUP(C801,IMPORTRANGE(""https://docs.google.com/spreadsheets/d/1HZUHB8NvANAZR0sHDmHYVAm2WE9kNv0pGIQA48Ryim8/edit?gid=1285727875#gid=1285727875"",""Sheet1!A2:G""),7,0))"),1837.38)</f>
        <v>1837.38</v>
      </c>
      <c r="L801" s="62">
        <f t="shared" si="99"/>
        <v>3.456008011</v>
      </c>
      <c r="M801" s="60">
        <f>IFERROR(__xludf.DUMMYFUNCTION("IFERROR(VLOOKUP(C801,IMPORTRANGE(""https://docs.google.com/spreadsheets/d/1HZUHB8NvANAZR0sHDmHYVAm2WE9kNv0pGIQA48Ryim8/edit?gid=1285727875#gid=1285727875"",""Cost!A2:G""),7,0))"),2121.0)</f>
        <v>2121</v>
      </c>
      <c r="N801" s="62">
        <f t="shared" si="4"/>
        <v>3.432343234</v>
      </c>
      <c r="O801" s="28"/>
      <c r="P801" s="28"/>
      <c r="Q801" s="28"/>
      <c r="R801" s="28"/>
      <c r="S801" s="28"/>
      <c r="T801" s="28"/>
      <c r="U801" s="65"/>
      <c r="V801" s="28"/>
      <c r="W801" s="65"/>
      <c r="X801" s="66" t="s">
        <v>162</v>
      </c>
      <c r="Y801" s="65" t="str">
        <f t="shared" si="6"/>
        <v>WAVES 8355</v>
      </c>
    </row>
    <row r="802">
      <c r="A802" s="18" t="s">
        <v>1247</v>
      </c>
      <c r="B802" s="91">
        <f t="shared" si="103"/>
        <v>8370</v>
      </c>
      <c r="C802" s="15">
        <v>8370.0</v>
      </c>
      <c r="D802" s="18" t="s">
        <v>186</v>
      </c>
      <c r="E802" s="39">
        <v>7980.0</v>
      </c>
      <c r="F802" s="39">
        <v>8860.0</v>
      </c>
      <c r="G802" s="50">
        <f t="shared" si="98"/>
        <v>0.1102756892</v>
      </c>
      <c r="H802" s="28"/>
      <c r="I802" s="55">
        <f t="shared" si="2"/>
        <v>9114.074908</v>
      </c>
      <c r="J802" s="81"/>
      <c r="K802" s="60">
        <f>IFERROR(__xludf.DUMMYFUNCTION("IFERROR(VLOOKUP(C802,IMPORTRANGE(""https://docs.google.com/spreadsheets/d/1HZUHB8NvANAZR0sHDmHYVAm2WE9kNv0pGIQA48Ryim8/edit?gid=1285727875#gid=1285727875"",""Sheet1!A2:G""),7,0))"),2416.57)</f>
        <v>2416.57</v>
      </c>
      <c r="L802" s="62">
        <f t="shared" si="99"/>
        <v>3.302201054</v>
      </c>
      <c r="M802" s="60">
        <f>IFERROR(__xludf.DUMMYFUNCTION("IFERROR(VLOOKUP(C802,IMPORTRANGE(""https://docs.google.com/spreadsheets/d/1HZUHB8NvANAZR0sHDmHYVAm2WE9kNv0pGIQA48Ryim8/edit?gid=1285727875#gid=1285727875"",""Cost!A2:G""),7,0))"),2760.0)</f>
        <v>2760</v>
      </c>
      <c r="N802" s="62">
        <f t="shared" si="4"/>
        <v>3.210144928</v>
      </c>
      <c r="O802" s="28"/>
      <c r="P802" s="28"/>
      <c r="Q802" s="28"/>
      <c r="R802" s="28"/>
      <c r="S802" s="28"/>
      <c r="T802" s="28"/>
      <c r="U802" s="65"/>
      <c r="V802" s="28"/>
      <c r="W802" s="65"/>
      <c r="X802" s="66" t="s">
        <v>184</v>
      </c>
      <c r="Y802" s="65" t="str">
        <f t="shared" si="6"/>
        <v>WAVES 8370</v>
      </c>
    </row>
    <row r="803">
      <c r="A803" s="18" t="s">
        <v>1247</v>
      </c>
      <c r="B803" s="91">
        <f t="shared" si="103"/>
        <v>8375</v>
      </c>
      <c r="C803" s="15">
        <v>8375.0</v>
      </c>
      <c r="D803" s="18" t="s">
        <v>196</v>
      </c>
      <c r="E803" s="39">
        <v>7980.0</v>
      </c>
      <c r="F803" s="39">
        <v>8860.0</v>
      </c>
      <c r="G803" s="50">
        <f t="shared" si="98"/>
        <v>0.1102756892</v>
      </c>
      <c r="H803" s="28"/>
      <c r="I803" s="55">
        <f t="shared" si="2"/>
        <v>9106.187673</v>
      </c>
      <c r="J803" s="81"/>
      <c r="K803" s="60">
        <f>IFERROR(__xludf.DUMMYFUNCTION("IFERROR(VLOOKUP(C803,IMPORTRANGE(""https://docs.google.com/spreadsheets/d/1HZUHB8NvANAZR0sHDmHYVAm2WE9kNv0pGIQA48Ryim8/edit?gid=1285727875#gid=1285727875"",""Sheet1!A2:G""),7,0))"),2383.61)</f>
        <v>2383.61</v>
      </c>
      <c r="L803" s="62">
        <f t="shared" si="99"/>
        <v>3.347863115</v>
      </c>
      <c r="M803" s="60">
        <f>IFERROR(__xludf.DUMMYFUNCTION("IFERROR(VLOOKUP(C803,IMPORTRANGE(""https://docs.google.com/spreadsheets/d/1HZUHB8NvANAZR0sHDmHYVAm2WE9kNv0pGIQA48Ryim8/edit?gid=1285727875#gid=1285727875"",""Cost!A2:G""),7,0))"),2720.0)</f>
        <v>2720</v>
      </c>
      <c r="N803" s="62">
        <f t="shared" si="4"/>
        <v>3.257352941</v>
      </c>
      <c r="O803" s="28"/>
      <c r="P803" s="28"/>
      <c r="Q803" s="28"/>
      <c r="R803" s="28"/>
      <c r="S803" s="28"/>
      <c r="T803" s="28"/>
      <c r="U803" s="65"/>
      <c r="V803" s="28"/>
      <c r="W803" s="65"/>
      <c r="X803" s="66" t="s">
        <v>194</v>
      </c>
      <c r="Y803" s="65" t="str">
        <f t="shared" si="6"/>
        <v>WAVES 8375</v>
      </c>
    </row>
    <row r="804">
      <c r="A804" s="18" t="s">
        <v>1247</v>
      </c>
      <c r="B804" s="91">
        <f t="shared" si="103"/>
        <v>8380</v>
      </c>
      <c r="C804" s="15">
        <v>8380.0</v>
      </c>
      <c r="D804" s="18" t="s">
        <v>205</v>
      </c>
      <c r="E804" s="39">
        <v>8980.0</v>
      </c>
      <c r="F804" s="39">
        <v>9980.0</v>
      </c>
      <c r="G804" s="50">
        <f t="shared" si="98"/>
        <v>0.1113585746</v>
      </c>
      <c r="H804" s="28"/>
      <c r="I804" s="55">
        <f t="shared" si="2"/>
        <v>10213.19299</v>
      </c>
      <c r="J804" s="81"/>
      <c r="K804" s="60">
        <f>IFERROR(__xludf.DUMMYFUNCTION("IFERROR(VLOOKUP(C804,IMPORTRANGE(""https://docs.google.com/spreadsheets/d/1HZUHB8NvANAZR0sHDmHYVAm2WE9kNv0pGIQA48Ryim8/edit?gid=1285727875#gid=1285727875"",""Sheet1!A2:G""),7,0))"),2690.52)</f>
        <v>2690.52</v>
      </c>
      <c r="L804" s="62">
        <f t="shared" si="99"/>
        <v>3.337644768</v>
      </c>
      <c r="M804" s="60">
        <f>IFERROR(__xludf.DUMMYFUNCTION("IFERROR(VLOOKUP(C804,IMPORTRANGE(""https://docs.google.com/spreadsheets/d/1HZUHB8NvANAZR0sHDmHYVAm2WE9kNv0pGIQA48Ryim8/edit?gid=1285727875#gid=1285727875"",""Cost!A2:G""),7,0))"),3060.0)</f>
        <v>3060</v>
      </c>
      <c r="N804" s="62">
        <f t="shared" si="4"/>
        <v>3.261437908</v>
      </c>
      <c r="O804" s="28"/>
      <c r="P804" s="28"/>
      <c r="Q804" s="28"/>
      <c r="R804" s="28"/>
      <c r="S804" s="28"/>
      <c r="T804" s="28"/>
      <c r="U804" s="65"/>
      <c r="V804" s="28"/>
      <c r="W804" s="65"/>
      <c r="X804" s="66" t="s">
        <v>203</v>
      </c>
      <c r="Y804" s="65" t="str">
        <f t="shared" si="6"/>
        <v>WAVES 8380</v>
      </c>
    </row>
    <row r="805">
      <c r="A805" s="18" t="s">
        <v>1247</v>
      </c>
      <c r="B805" s="91">
        <f t="shared" si="103"/>
        <v>8394</v>
      </c>
      <c r="C805" s="15">
        <v>8394.0</v>
      </c>
      <c r="D805" s="18" t="s">
        <v>263</v>
      </c>
      <c r="E805" s="39">
        <v>9480.0</v>
      </c>
      <c r="F805" s="39">
        <v>9980.0</v>
      </c>
      <c r="G805" s="50">
        <f t="shared" si="98"/>
        <v>0.05274261603</v>
      </c>
      <c r="H805" s="28"/>
      <c r="I805" s="55">
        <f t="shared" si="2"/>
        <v>10370.4504</v>
      </c>
      <c r="J805" s="81"/>
      <c r="K805" s="60">
        <f>IFERROR(__xludf.DUMMYFUNCTION("IFERROR(VLOOKUP(C805,IMPORTRANGE(""https://docs.google.com/spreadsheets/d/1HZUHB8NvANAZR0sHDmHYVAm2WE9kNv0pGIQA48Ryim8/edit?gid=1285727875#gid=1285727875"",""Sheet1!A2:G""),7,0))"),2813.71)</f>
        <v>2813.71</v>
      </c>
      <c r="L805" s="62">
        <f t="shared" si="99"/>
        <v>3.369217155</v>
      </c>
      <c r="M805" s="60">
        <f>IFERROR(__xludf.DUMMYFUNCTION("IFERROR(VLOOKUP(C805,IMPORTRANGE(""https://docs.google.com/spreadsheets/d/1HZUHB8NvANAZR0sHDmHYVAm2WE9kNv0pGIQA48Ryim8/edit?gid=1285727875#gid=1285727875"",""Cost!A2:G""),7,0))"),3078.0)</f>
        <v>3078</v>
      </c>
      <c r="N805" s="62">
        <f t="shared" si="4"/>
        <v>3.242365172</v>
      </c>
      <c r="O805" s="28"/>
      <c r="P805" s="28"/>
      <c r="Q805" s="28"/>
      <c r="R805" s="28"/>
      <c r="S805" s="28"/>
      <c r="T805" s="28"/>
      <c r="U805" s="65"/>
      <c r="V805" s="28"/>
      <c r="W805" s="65"/>
      <c r="X805" s="66" t="s">
        <v>260</v>
      </c>
      <c r="Y805" s="65" t="str">
        <f t="shared" si="6"/>
        <v>WAVES 8394</v>
      </c>
    </row>
    <row r="806">
      <c r="A806" s="18" t="s">
        <v>1247</v>
      </c>
      <c r="B806" s="91">
        <f t="shared" si="103"/>
        <v>8398</v>
      </c>
      <c r="C806" s="15">
        <v>8398.0</v>
      </c>
      <c r="D806" s="18" t="s">
        <v>272</v>
      </c>
      <c r="E806" s="75">
        <v>3660.0</v>
      </c>
      <c r="F806" s="39">
        <v>3970.0</v>
      </c>
      <c r="G806" s="50">
        <f t="shared" si="98"/>
        <v>0.08469945355</v>
      </c>
      <c r="H806" s="28"/>
      <c r="I806" s="55">
        <f t="shared" si="2"/>
        <v>3967.649272</v>
      </c>
      <c r="J806" s="81"/>
      <c r="K806" s="60">
        <f>IFERROR(__xludf.DUMMYFUNCTION("IFERROR(VLOOKUP(C806,IMPORTRANGE(""https://docs.google.com/spreadsheets/d/1HZUHB8NvANAZR0sHDmHYVAm2WE9kNv0pGIQA48Ryim8/edit?gid=1285727875#gid=1285727875"",""Sheet1!A2:G""),7,0))"),1169.68)</f>
        <v>1169.68</v>
      </c>
      <c r="L806" s="62">
        <f t="shared" si="99"/>
        <v>3.12906094</v>
      </c>
      <c r="M806" s="60">
        <f>IFERROR(__xludf.DUMMYFUNCTION("IFERROR(VLOOKUP(C806,IMPORTRANGE(""https://docs.google.com/spreadsheets/d/1HZUHB8NvANAZR0sHDmHYVAm2WE9kNv0pGIQA48Ryim8/edit?gid=1285727875#gid=1285727875"",""Cost!A2:G""),7,0))"),1268.0)</f>
        <v>1268</v>
      </c>
      <c r="N806" s="62">
        <f t="shared" si="4"/>
        <v>3.130914826</v>
      </c>
      <c r="O806" s="28"/>
      <c r="P806" s="28"/>
      <c r="Q806" s="28"/>
      <c r="R806" s="28"/>
      <c r="S806" s="28"/>
      <c r="T806" s="28"/>
      <c r="U806" s="65"/>
      <c r="V806" s="28"/>
      <c r="W806" s="65"/>
      <c r="X806" s="66" t="s">
        <v>271</v>
      </c>
      <c r="Y806" s="65" t="str">
        <f t="shared" si="6"/>
        <v>WAVES 8398</v>
      </c>
    </row>
    <row r="807">
      <c r="A807" s="121" t="s">
        <v>1250</v>
      </c>
      <c r="B807" s="91">
        <f t="shared" si="103"/>
        <v>8502</v>
      </c>
      <c r="C807" s="15">
        <v>8502.0</v>
      </c>
      <c r="D807" s="18" t="s">
        <v>15</v>
      </c>
      <c r="E807" s="75">
        <v>2120.0</v>
      </c>
      <c r="F807" s="83" t="s">
        <v>202</v>
      </c>
      <c r="G807" s="50" t="str">
        <f t="shared" si="98"/>
        <v/>
      </c>
      <c r="H807" s="28"/>
      <c r="I807" s="55">
        <f t="shared" si="2"/>
        <v>2375.881134</v>
      </c>
      <c r="J807" s="81"/>
      <c r="K807" s="60">
        <f>IFERROR(__xludf.DUMMYFUNCTION("IFERROR(VLOOKUP(C807,IMPORTRANGE(""https://docs.google.com/spreadsheets/d/1HZUHB8NvANAZR0sHDmHYVAm2WE9kNv0pGIQA48Ryim8/edit?gid=1285727875#gid=1285727875"",""Sheet1!A2:G""),7,0))"),671.01)</f>
        <v>671.01</v>
      </c>
      <c r="L807" s="62">
        <f t="shared" si="99"/>
        <v>3.159416402</v>
      </c>
      <c r="M807" s="60">
        <f>IFERROR(__xludf.DUMMYFUNCTION("IFERROR(VLOOKUP(C807,IMPORTRANGE(""https://docs.google.com/spreadsheets/d/1HZUHB8NvANAZR0sHDmHYVAm2WE9kNv0pGIQA48Ryim8/edit?gid=1285727875#gid=1285727875"",""Cost!A2:G""),7,0))"),752.0)</f>
        <v>752</v>
      </c>
      <c r="N807" s="62" t="str">
        <f t="shared" si="4"/>
        <v/>
      </c>
      <c r="O807" s="28"/>
      <c r="P807" s="28"/>
      <c r="Q807" s="28"/>
      <c r="R807" s="28"/>
      <c r="S807" s="28"/>
      <c r="T807" s="28"/>
      <c r="U807" s="65"/>
      <c r="V807" s="28"/>
      <c r="W807" s="65"/>
      <c r="X807" s="66" t="s">
        <v>303</v>
      </c>
      <c r="Y807" s="65" t="str">
        <f t="shared" si="6"/>
        <v>MIST 8502</v>
      </c>
    </row>
    <row r="808">
      <c r="A808" s="121" t="s">
        <v>1250</v>
      </c>
      <c r="B808" s="91">
        <f t="shared" si="103"/>
        <v>8506</v>
      </c>
      <c r="C808" s="15">
        <v>8506.0</v>
      </c>
      <c r="D808" s="18" t="s">
        <v>67</v>
      </c>
      <c r="E808" s="75">
        <v>1880.0</v>
      </c>
      <c r="F808" s="83" t="s">
        <v>202</v>
      </c>
      <c r="G808" s="50" t="str">
        <f t="shared" si="98"/>
        <v/>
      </c>
      <c r="H808" s="28"/>
      <c r="I808" s="55">
        <f t="shared" si="2"/>
        <v>2091.693179</v>
      </c>
      <c r="J808" s="81"/>
      <c r="K808" s="60">
        <f>IFERROR(__xludf.DUMMYFUNCTION("IFERROR(VLOOKUP(C808,IMPORTRANGE(""https://docs.google.com/spreadsheets/d/1HZUHB8NvANAZR0sHDmHYVAm2WE9kNv0pGIQA48Ryim8/edit?gid=1285727875#gid=1285727875"",""Sheet1!A2:G""),7,0))"),543.77)</f>
        <v>543.77</v>
      </c>
      <c r="L808" s="62">
        <f t="shared" si="99"/>
        <v>3.457344098</v>
      </c>
      <c r="M808" s="60">
        <f>IFERROR(__xludf.DUMMYFUNCTION("IFERROR(VLOOKUP(C808,IMPORTRANGE(""https://docs.google.com/spreadsheets/d/1HZUHB8NvANAZR0sHDmHYVAm2WE9kNv0pGIQA48Ryim8/edit?gid=1285727875#gid=1285727875"",""Cost!A2:G""),7,0))"),605.0)</f>
        <v>605</v>
      </c>
      <c r="N808" s="62" t="str">
        <f t="shared" si="4"/>
        <v/>
      </c>
      <c r="O808" s="28"/>
      <c r="P808" s="28"/>
      <c r="Q808" s="28"/>
      <c r="R808" s="28"/>
      <c r="S808" s="28"/>
      <c r="T808" s="28"/>
      <c r="U808" s="65"/>
      <c r="V808" s="28"/>
      <c r="W808" s="65"/>
      <c r="X808" s="66" t="s">
        <v>311</v>
      </c>
      <c r="Y808" s="65" t="str">
        <f t="shared" si="6"/>
        <v>MIST 8506</v>
      </c>
    </row>
    <row r="809">
      <c r="A809" s="121" t="s">
        <v>1250</v>
      </c>
      <c r="B809" s="91">
        <f t="shared" si="103"/>
        <v>8508</v>
      </c>
      <c r="C809" s="15">
        <v>8508.0</v>
      </c>
      <c r="D809" s="18" t="s">
        <v>81</v>
      </c>
      <c r="E809" s="39">
        <v>1980.0</v>
      </c>
      <c r="F809" s="83" t="s">
        <v>202</v>
      </c>
      <c r="G809" s="50" t="str">
        <f t="shared" si="98"/>
        <v/>
      </c>
      <c r="H809" s="28"/>
      <c r="I809" s="55">
        <f t="shared" si="2"/>
        <v>2203.22518</v>
      </c>
      <c r="J809" s="81"/>
      <c r="K809" s="60">
        <f>IFERROR(__xludf.DUMMYFUNCTION("IFERROR(VLOOKUP(C809,IMPORTRANGE(""https://docs.google.com/spreadsheets/d/1HZUHB8NvANAZR0sHDmHYVAm2WE9kNv0pGIQA48Ryim8/edit?gid=1285727875#gid=1285727875"",""Sheet1!A2:G""),7,0))"),566.17)</f>
        <v>566.17</v>
      </c>
      <c r="L809" s="62">
        <f t="shared" si="99"/>
        <v>3.497182825</v>
      </c>
      <c r="M809" s="60">
        <f>IFERROR(__xludf.DUMMYFUNCTION("IFERROR(VLOOKUP(C809,IMPORTRANGE(""https://docs.google.com/spreadsheets/d/1HZUHB8NvANAZR0sHDmHYVAm2WE9kNv0pGIQA48Ryim8/edit?gid=1285727875#gid=1285727875"",""Cost!A2:G""),7,0))"),630.0)</f>
        <v>630</v>
      </c>
      <c r="N809" s="62" t="str">
        <f t="shared" si="4"/>
        <v/>
      </c>
      <c r="O809" s="28"/>
      <c r="P809" s="28"/>
      <c r="Q809" s="28"/>
      <c r="R809" s="28"/>
      <c r="S809" s="28"/>
      <c r="T809" s="28"/>
      <c r="U809" s="65"/>
      <c r="V809" s="28"/>
      <c r="W809" s="65"/>
      <c r="X809" s="66" t="s">
        <v>321</v>
      </c>
      <c r="Y809" s="65" t="str">
        <f t="shared" si="6"/>
        <v>MIST 8508</v>
      </c>
    </row>
    <row r="810">
      <c r="A810" s="121" t="s">
        <v>1250</v>
      </c>
      <c r="B810" s="91">
        <f t="shared" si="103"/>
        <v>8509</v>
      </c>
      <c r="C810" s="15">
        <v>8509.0</v>
      </c>
      <c r="D810" s="18" t="s">
        <v>86</v>
      </c>
      <c r="E810" s="75">
        <v>2150.0</v>
      </c>
      <c r="F810" s="83" t="s">
        <v>202</v>
      </c>
      <c r="G810" s="50" t="str">
        <f t="shared" si="98"/>
        <v/>
      </c>
      <c r="H810" s="28"/>
      <c r="I810" s="55">
        <f t="shared" si="2"/>
        <v>2397.159984</v>
      </c>
      <c r="J810" s="81"/>
      <c r="K810" s="60">
        <f>IFERROR(__xludf.DUMMYFUNCTION("IFERROR(VLOOKUP(C810,IMPORTRANGE(""https://docs.google.com/spreadsheets/d/1HZUHB8NvANAZR0sHDmHYVAm2WE9kNv0pGIQA48Ryim8/edit?gid=1285727875#gid=1285727875"",""Sheet1!A2:G""),7,0))"),655.63)</f>
        <v>655.63</v>
      </c>
      <c r="L810" s="62">
        <f t="shared" si="99"/>
        <v>3.279288623</v>
      </c>
      <c r="M810" s="60">
        <f>IFERROR(__xludf.DUMMYFUNCTION("IFERROR(VLOOKUP(C810,IMPORTRANGE(""https://docs.google.com/spreadsheets/d/1HZUHB8NvANAZR0sHDmHYVAm2WE9kNv0pGIQA48Ryim8/edit?gid=1285727875#gid=1285727875"",""Cost!A2:G""),7,0))"),731.0)</f>
        <v>731</v>
      </c>
      <c r="N810" s="62" t="str">
        <f t="shared" si="4"/>
        <v/>
      </c>
      <c r="O810" s="28"/>
      <c r="P810" s="28"/>
      <c r="Q810" s="28"/>
      <c r="R810" s="28"/>
      <c r="S810" s="28"/>
      <c r="T810" s="28"/>
      <c r="U810" s="65"/>
      <c r="V810" s="28"/>
      <c r="W810" s="65"/>
      <c r="X810" s="66" t="s">
        <v>665</v>
      </c>
      <c r="Y810" s="65" t="str">
        <f t="shared" si="6"/>
        <v>MIST 8509</v>
      </c>
    </row>
    <row r="811">
      <c r="A811" s="121" t="s">
        <v>1250</v>
      </c>
      <c r="B811" s="91">
        <f t="shared" si="103"/>
        <v>8510</v>
      </c>
      <c r="C811" s="15">
        <v>8510.0</v>
      </c>
      <c r="D811" s="18" t="s">
        <v>89</v>
      </c>
      <c r="E811" s="39">
        <v>1640.0</v>
      </c>
      <c r="F811" s="83" t="s">
        <v>202</v>
      </c>
      <c r="G811" s="50" t="str">
        <f t="shared" si="98"/>
        <v/>
      </c>
      <c r="H811" s="28"/>
      <c r="I811" s="55">
        <f t="shared" si="2"/>
        <v>1826.747073</v>
      </c>
      <c r="J811" s="81"/>
      <c r="K811" s="60">
        <f>IFERROR(__xludf.DUMMYFUNCTION("IFERROR(VLOOKUP(C811,IMPORTRANGE(""https://docs.google.com/spreadsheets/d/1HZUHB8NvANAZR0sHDmHYVAm2WE9kNv0pGIQA48Ryim8/edit?gid=1285727875#gid=1285727875"",""Sheet1!A2:G""),7,0))"),422.85)</f>
        <v>422.85</v>
      </c>
      <c r="L811" s="62">
        <f t="shared" si="99"/>
        <v>3.878443893</v>
      </c>
      <c r="M811" s="60">
        <f>IFERROR(__xludf.DUMMYFUNCTION("IFERROR(VLOOKUP(C811,IMPORTRANGE(""https://docs.google.com/spreadsheets/d/1HZUHB8NvANAZR0sHDmHYVAm2WE9kNv0pGIQA48Ryim8/edit?gid=1285727875#gid=1285727875"",""Cost!A2:G""),7,0))"),471.0)</f>
        <v>471</v>
      </c>
      <c r="N811" s="62" t="str">
        <f t="shared" si="4"/>
        <v/>
      </c>
      <c r="O811" s="28"/>
      <c r="P811" s="28"/>
      <c r="Q811" s="28"/>
      <c r="R811" s="28"/>
      <c r="S811" s="28"/>
      <c r="T811" s="28"/>
      <c r="U811" s="65"/>
      <c r="V811" s="28"/>
      <c r="W811" s="65"/>
      <c r="X811" s="66" t="s">
        <v>87</v>
      </c>
      <c r="Y811" s="65" t="str">
        <f t="shared" si="6"/>
        <v>MIST 8510</v>
      </c>
    </row>
    <row r="812">
      <c r="A812" s="121" t="s">
        <v>1250</v>
      </c>
      <c r="B812" s="91">
        <f t="shared" si="103"/>
        <v>8511</v>
      </c>
      <c r="C812" s="15">
        <v>8511.0</v>
      </c>
      <c r="D812" s="18" t="s">
        <v>94</v>
      </c>
      <c r="E812" s="39">
        <v>2390.0</v>
      </c>
      <c r="F812" s="83" t="s">
        <v>202</v>
      </c>
      <c r="G812" s="50" t="str">
        <f t="shared" si="98"/>
        <v/>
      </c>
      <c r="H812" s="28"/>
      <c r="I812" s="55">
        <f t="shared" si="2"/>
        <v>2711.818456</v>
      </c>
      <c r="J812" s="81"/>
      <c r="K812" s="60">
        <f>IFERROR(__xludf.DUMMYFUNCTION("IFERROR(VLOOKUP(C812,IMPORTRANGE(""https://docs.google.com/spreadsheets/d/1HZUHB8NvANAZR0sHDmHYVAm2WE9kNv0pGIQA48Ryim8/edit?gid=1285727875#gid=1285727875"",""Sheet1!A2:G""),7,0))"),697.13)</f>
        <v>697.13</v>
      </c>
      <c r="L812" s="62">
        <f t="shared" si="99"/>
        <v>3.428341916</v>
      </c>
      <c r="M812" s="60">
        <f>IFERROR(__xludf.DUMMYFUNCTION("IFERROR(VLOOKUP(C812,IMPORTRANGE(""https://docs.google.com/spreadsheets/d/1HZUHB8NvANAZR0sHDmHYVAm2WE9kNv0pGIQA48Ryim8/edit?gid=1285727875#gid=1285727875"",""Cost!A2:G""),7,0))"),791.0)</f>
        <v>791</v>
      </c>
      <c r="N812" s="62" t="str">
        <f t="shared" si="4"/>
        <v/>
      </c>
      <c r="O812" s="28"/>
      <c r="P812" s="28"/>
      <c r="Q812" s="28"/>
      <c r="R812" s="28"/>
      <c r="S812" s="28"/>
      <c r="T812" s="28"/>
      <c r="U812" s="65"/>
      <c r="V812" s="28"/>
      <c r="W812" s="65"/>
      <c r="X812" s="66" t="s">
        <v>91</v>
      </c>
      <c r="Y812" s="65" t="str">
        <f t="shared" si="6"/>
        <v>MIST 8511</v>
      </c>
    </row>
    <row r="813">
      <c r="A813" s="121" t="s">
        <v>1250</v>
      </c>
      <c r="B813" s="91">
        <f t="shared" si="103"/>
        <v>8512</v>
      </c>
      <c r="C813" s="15">
        <v>8512.0</v>
      </c>
      <c r="D813" s="18" t="s">
        <v>97</v>
      </c>
      <c r="E813" s="39">
        <v>2780.0</v>
      </c>
      <c r="F813" s="83" t="s">
        <v>202</v>
      </c>
      <c r="G813" s="50" t="str">
        <f t="shared" si="98"/>
        <v/>
      </c>
      <c r="H813" s="28"/>
      <c r="I813" s="55">
        <f t="shared" si="2"/>
        <v>3141.242938</v>
      </c>
      <c r="J813" s="81"/>
      <c r="K813" s="60">
        <f>IFERROR(__xludf.DUMMYFUNCTION("IFERROR(VLOOKUP(C813,IMPORTRANGE(""https://docs.google.com/spreadsheets/d/1HZUHB8NvANAZR0sHDmHYVAm2WE9kNv0pGIQA48Ryim8/edit?gid=1285727875#gid=1285727875"",""Sheet1!A2:G""),7,0))"),819.51)</f>
        <v>819.51</v>
      </c>
      <c r="L813" s="62">
        <f t="shared" si="99"/>
        <v>3.392270991</v>
      </c>
      <c r="M813" s="60">
        <f>IFERROR(__xludf.DUMMYFUNCTION("IFERROR(VLOOKUP(C813,IMPORTRANGE(""https://docs.google.com/spreadsheets/d/1HZUHB8NvANAZR0sHDmHYVAm2WE9kNv0pGIQA48Ryim8/edit?gid=1285727875#gid=1285727875"",""Cost!A2:G""),7,0))"),926.0)</f>
        <v>926</v>
      </c>
      <c r="N813" s="62" t="str">
        <f t="shared" si="4"/>
        <v/>
      </c>
      <c r="O813" s="28"/>
      <c r="P813" s="28"/>
      <c r="Q813" s="28"/>
      <c r="R813" s="28"/>
      <c r="S813" s="28"/>
      <c r="T813" s="28"/>
      <c r="U813" s="65"/>
      <c r="V813" s="28"/>
      <c r="W813" s="65"/>
      <c r="X813" s="66" t="s">
        <v>95</v>
      </c>
      <c r="Y813" s="65" t="str">
        <f t="shared" si="6"/>
        <v>MIST 8512</v>
      </c>
    </row>
    <row r="814">
      <c r="A814" s="121" t="s">
        <v>1250</v>
      </c>
      <c r="B814" s="91">
        <f t="shared" si="103"/>
        <v>8514</v>
      </c>
      <c r="C814" s="15">
        <v>8514.0</v>
      </c>
      <c r="D814" s="18" t="s">
        <v>106</v>
      </c>
      <c r="E814" s="75">
        <v>3990.0</v>
      </c>
      <c r="F814" s="83" t="s">
        <v>202</v>
      </c>
      <c r="G814" s="50" t="str">
        <f t="shared" si="98"/>
        <v/>
      </c>
      <c r="H814" s="28"/>
      <c r="I814" s="55">
        <f t="shared" si="2"/>
        <v>4456.828911</v>
      </c>
      <c r="J814" s="81"/>
      <c r="K814" s="60">
        <f>IFERROR(__xludf.DUMMYFUNCTION("IFERROR(VLOOKUP(C814,IMPORTRANGE(""https://docs.google.com/spreadsheets/d/1HZUHB8NvANAZR0sHDmHYVAm2WE9kNv0pGIQA48Ryim8/edit?gid=1285727875#gid=1285727875"",""Sheet1!A2:G""),7,0))"),1209.49)</f>
        <v>1209.49</v>
      </c>
      <c r="L814" s="62">
        <f t="shared" si="99"/>
        <v>3.298911111</v>
      </c>
      <c r="M814" s="60">
        <f>IFERROR(__xludf.DUMMYFUNCTION("IFERROR(VLOOKUP(C814,IMPORTRANGE(""https://docs.google.com/spreadsheets/d/1HZUHB8NvANAZR0sHDmHYVAm2WE9kNv0pGIQA48Ryim8/edit?gid=1285727875#gid=1285727875"",""Cost!A2:G""),7,0))"),1351.0)</f>
        <v>1351</v>
      </c>
      <c r="N814" s="62" t="str">
        <f t="shared" si="4"/>
        <v/>
      </c>
      <c r="O814" s="28"/>
      <c r="P814" s="28"/>
      <c r="Q814" s="28"/>
      <c r="R814" s="28"/>
      <c r="S814" s="28"/>
      <c r="T814" s="28"/>
      <c r="U814" s="65"/>
      <c r="V814" s="28"/>
      <c r="W814" s="65"/>
      <c r="X814" s="66" t="s">
        <v>104</v>
      </c>
      <c r="Y814" s="65" t="str">
        <f t="shared" si="6"/>
        <v>MIST 8514</v>
      </c>
    </row>
    <row r="815">
      <c r="A815" s="121" t="s">
        <v>1250</v>
      </c>
      <c r="B815" s="91">
        <f t="shared" si="103"/>
        <v>8516</v>
      </c>
      <c r="C815" s="15">
        <v>8516.0</v>
      </c>
      <c r="D815" s="18" t="s">
        <v>112</v>
      </c>
      <c r="E815" s="75">
        <v>3660.0</v>
      </c>
      <c r="F815" s="83" t="s">
        <v>202</v>
      </c>
      <c r="G815" s="50" t="str">
        <f t="shared" si="98"/>
        <v/>
      </c>
      <c r="H815" s="28"/>
      <c r="I815" s="55">
        <f t="shared" si="2"/>
        <v>4110.104925</v>
      </c>
      <c r="J815" s="81"/>
      <c r="K815" s="60">
        <f>IFERROR(__xludf.DUMMYFUNCTION("IFERROR(VLOOKUP(C815,IMPORTRANGE(""https://docs.google.com/spreadsheets/d/1HZUHB8NvANAZR0sHDmHYVAm2WE9kNv0pGIQA48Ryim8/edit?gid=1285727875#gid=1285727875"",""Sheet1!A2:G""),7,0))"),1057.9)</f>
        <v>1057.9</v>
      </c>
      <c r="L815" s="62">
        <f t="shared" si="99"/>
        <v>3.45968428</v>
      </c>
      <c r="M815" s="60">
        <f>IFERROR(__xludf.DUMMYFUNCTION("IFERROR(VLOOKUP(C815,IMPORTRANGE(""https://docs.google.com/spreadsheets/d/1HZUHB8NvANAZR0sHDmHYVAm2WE9kNv0pGIQA48Ryim8/edit?gid=1285727875#gid=1285727875"",""Cost!A2:G""),7,0))"),1188.0)</f>
        <v>1188</v>
      </c>
      <c r="N815" s="62" t="str">
        <f t="shared" si="4"/>
        <v/>
      </c>
      <c r="O815" s="28"/>
      <c r="P815" s="28"/>
      <c r="Q815" s="28"/>
      <c r="R815" s="28"/>
      <c r="S815" s="28"/>
      <c r="T815" s="28"/>
      <c r="U815" s="65"/>
      <c r="V815" s="28"/>
      <c r="W815" s="65"/>
      <c r="X815" s="66" t="s">
        <v>110</v>
      </c>
      <c r="Y815" s="65" t="str">
        <f t="shared" si="6"/>
        <v>MIST 8516</v>
      </c>
    </row>
    <row r="816">
      <c r="A816" s="121" t="s">
        <v>1250</v>
      </c>
      <c r="B816" s="91">
        <f t="shared" si="103"/>
        <v>8518</v>
      </c>
      <c r="C816" s="15">
        <v>8518.0</v>
      </c>
      <c r="D816" s="18" t="s">
        <v>119</v>
      </c>
      <c r="E816" s="39">
        <v>1930.0</v>
      </c>
      <c r="F816" s="83" t="s">
        <v>202</v>
      </c>
      <c r="G816" s="50" t="str">
        <f t="shared" si="98"/>
        <v/>
      </c>
      <c r="H816" s="28"/>
      <c r="I816" s="55">
        <f t="shared" si="2"/>
        <v>2185.700185</v>
      </c>
      <c r="J816" s="81"/>
      <c r="K816" s="60">
        <f>IFERROR(__xludf.DUMMYFUNCTION("IFERROR(VLOOKUP(C816,IMPORTRANGE(""https://docs.google.com/spreadsheets/d/1HZUHB8NvANAZR0sHDmHYVAm2WE9kNv0pGIQA48Ryim8/edit?gid=1285727875#gid=1285727875"",""Sheet1!A2:G""),7,0))"),577.49)</f>
        <v>577.49</v>
      </c>
      <c r="L816" s="62">
        <f t="shared" si="99"/>
        <v>3.342049213</v>
      </c>
      <c r="M816" s="60">
        <f>IFERROR(__xludf.DUMMYFUNCTION("IFERROR(VLOOKUP(C816,IMPORTRANGE(""https://docs.google.com/spreadsheets/d/1HZUHB8NvANAZR0sHDmHYVAm2WE9kNv0pGIQA48Ryim8/edit?gid=1285727875#gid=1285727875"",""Cost!A2:G""),7,0))"),654.0)</f>
        <v>654</v>
      </c>
      <c r="N816" s="62" t="str">
        <f t="shared" si="4"/>
        <v/>
      </c>
      <c r="O816" s="28"/>
      <c r="P816" s="28"/>
      <c r="Q816" s="28"/>
      <c r="R816" s="28"/>
      <c r="S816" s="28"/>
      <c r="T816" s="28"/>
      <c r="U816" s="65"/>
      <c r="V816" s="28"/>
      <c r="W816" s="65"/>
      <c r="X816" s="66" t="s">
        <v>117</v>
      </c>
      <c r="Y816" s="65" t="str">
        <f t="shared" si="6"/>
        <v>MIST 8518</v>
      </c>
    </row>
    <row r="817">
      <c r="A817" s="121" t="s">
        <v>1250</v>
      </c>
      <c r="B817" s="91">
        <f t="shared" si="103"/>
        <v>8520</v>
      </c>
      <c r="C817" s="15">
        <v>8520.0</v>
      </c>
      <c r="D817" s="18" t="s">
        <v>122</v>
      </c>
      <c r="E817" s="39">
        <v>1990.0</v>
      </c>
      <c r="F817" s="83" t="s">
        <v>202</v>
      </c>
      <c r="G817" s="50" t="str">
        <f t="shared" si="98"/>
        <v/>
      </c>
      <c r="H817" s="28"/>
      <c r="I817" s="55">
        <f t="shared" si="2"/>
        <v>2248.513064</v>
      </c>
      <c r="J817" s="81"/>
      <c r="K817" s="60">
        <f>IFERROR(__xludf.DUMMYFUNCTION("IFERROR(VLOOKUP(C817,IMPORTRANGE(""https://docs.google.com/spreadsheets/d/1HZUHB8NvANAZR0sHDmHYVAm2WE9kNv0pGIQA48Ryim8/edit?gid=1285727875#gid=1285727875"",""Sheet1!A2:G""),7,0))"),603.59)</f>
        <v>603.59</v>
      </c>
      <c r="L817" s="62">
        <f t="shared" si="99"/>
        <v>3.296939976</v>
      </c>
      <c r="M817" s="60">
        <f>IFERROR(__xludf.DUMMYFUNCTION("IFERROR(VLOOKUP(C817,IMPORTRANGE(""https://docs.google.com/spreadsheets/d/1HZUHB8NvANAZR0sHDmHYVAm2WE9kNv0pGIQA48Ryim8/edit?gid=1285727875#gid=1285727875"",""Cost!A2:G""),7,0))"),682.0)</f>
        <v>682</v>
      </c>
      <c r="N817" s="62" t="str">
        <f t="shared" si="4"/>
        <v/>
      </c>
      <c r="O817" s="28"/>
      <c r="P817" s="28"/>
      <c r="Q817" s="28"/>
      <c r="R817" s="28"/>
      <c r="S817" s="28"/>
      <c r="T817" s="28"/>
      <c r="U817" s="65"/>
      <c r="V817" s="28"/>
      <c r="W817" s="65"/>
      <c r="X817" s="66" t="s">
        <v>120</v>
      </c>
      <c r="Y817" s="65" t="str">
        <f t="shared" si="6"/>
        <v>MIST 8520</v>
      </c>
    </row>
    <row r="818">
      <c r="A818" s="121" t="s">
        <v>1250</v>
      </c>
      <c r="B818" s="91">
        <f t="shared" si="103"/>
        <v>8526</v>
      </c>
      <c r="C818" s="15">
        <v>8526.0</v>
      </c>
      <c r="D818" s="18" t="s">
        <v>125</v>
      </c>
      <c r="E818" s="75">
        <v>1530.0</v>
      </c>
      <c r="F818" s="83" t="s">
        <v>202</v>
      </c>
      <c r="G818" s="50" t="str">
        <f t="shared" si="98"/>
        <v/>
      </c>
      <c r="H818" s="28"/>
      <c r="I818" s="55">
        <f t="shared" si="2"/>
        <v>1720.044873</v>
      </c>
      <c r="J818" s="81"/>
      <c r="K818" s="60">
        <f>IFERROR(__xludf.DUMMYFUNCTION("IFERROR(VLOOKUP(C818,IMPORTRANGE(""https://docs.google.com/spreadsheets/d/1HZUHB8NvANAZR0sHDmHYVAm2WE9kNv0pGIQA48Ryim8/edit?gid=1285727875#gid=1285727875"",""Sheet1!A2:G""),7,0))"),418.96)</f>
        <v>418.96</v>
      </c>
      <c r="L818" s="62">
        <f t="shared" si="99"/>
        <v>3.651899943</v>
      </c>
      <c r="M818" s="60">
        <f>IFERROR(__xludf.DUMMYFUNCTION("IFERROR(VLOOKUP(C818,IMPORTRANGE(""https://docs.google.com/spreadsheets/d/1HZUHB8NvANAZR0sHDmHYVAm2WE9kNv0pGIQA48Ryim8/edit?gid=1285727875#gid=1285727875"",""Cost!A2:G""),7,0))"),471.0)</f>
        <v>471</v>
      </c>
      <c r="N818" s="62" t="str">
        <f t="shared" si="4"/>
        <v/>
      </c>
      <c r="O818" s="28"/>
      <c r="P818" s="28"/>
      <c r="Q818" s="28"/>
      <c r="R818" s="28"/>
      <c r="S818" s="28"/>
      <c r="T818" s="28"/>
      <c r="U818" s="65"/>
      <c r="V818" s="28"/>
      <c r="W818" s="65"/>
      <c r="X818" s="66" t="s">
        <v>123</v>
      </c>
      <c r="Y818" s="65" t="str">
        <f t="shared" si="6"/>
        <v>MIST 8526</v>
      </c>
    </row>
    <row r="819">
      <c r="A819" s="121" t="s">
        <v>1250</v>
      </c>
      <c r="B819" s="91">
        <f t="shared" si="103"/>
        <v>8528</v>
      </c>
      <c r="C819" s="15">
        <v>8528.0</v>
      </c>
      <c r="D819" s="18" t="s">
        <v>132</v>
      </c>
      <c r="E819" s="75">
        <v>1530.0</v>
      </c>
      <c r="F819" s="83" t="s">
        <v>202</v>
      </c>
      <c r="G819" s="50" t="str">
        <f t="shared" si="98"/>
        <v/>
      </c>
      <c r="H819" s="28"/>
      <c r="I819" s="55">
        <f t="shared" si="2"/>
        <v>1723.263158</v>
      </c>
      <c r="J819" s="81"/>
      <c r="K819" s="60">
        <f>IFERROR(__xludf.DUMMYFUNCTION("IFERROR(VLOOKUP(C819,IMPORTRANGE(""https://docs.google.com/spreadsheets/d/1HZUHB8NvANAZR0sHDmHYVAm2WE9kNv0pGIQA48Ryim8/edit?gid=1285727875#gid=1285727875"",""Sheet1!A2:G""),7,0))"),380.0)</f>
        <v>380</v>
      </c>
      <c r="L819" s="62">
        <f t="shared" si="99"/>
        <v>4.026315789</v>
      </c>
      <c r="M819" s="60">
        <f>IFERROR(__xludf.DUMMYFUNCTION("IFERROR(VLOOKUP(C819,IMPORTRANGE(""https://docs.google.com/spreadsheets/d/1HZUHB8NvANAZR0sHDmHYVAm2WE9kNv0pGIQA48Ryim8/edit?gid=1285727875#gid=1285727875"",""Cost!A2:G""),7,0))"),428.0)</f>
        <v>428</v>
      </c>
      <c r="N819" s="62" t="str">
        <f t="shared" si="4"/>
        <v/>
      </c>
      <c r="O819" s="28"/>
      <c r="P819" s="28"/>
      <c r="Q819" s="28"/>
      <c r="R819" s="28"/>
      <c r="S819" s="28"/>
      <c r="T819" s="28"/>
      <c r="U819" s="65"/>
      <c r="V819" s="28"/>
      <c r="W819" s="65"/>
      <c r="X819" s="66" t="s">
        <v>130</v>
      </c>
      <c r="Y819" s="65" t="str">
        <f t="shared" si="6"/>
        <v>MIST 8528</v>
      </c>
    </row>
    <row r="820">
      <c r="A820" s="121" t="s">
        <v>1250</v>
      </c>
      <c r="B820" s="91">
        <f t="shared" si="103"/>
        <v>8550</v>
      </c>
      <c r="C820" s="15">
        <v>8550.0</v>
      </c>
      <c r="D820" s="18" t="s">
        <v>136</v>
      </c>
      <c r="E820" s="39">
        <v>5980.0</v>
      </c>
      <c r="F820" s="83" t="s">
        <v>202</v>
      </c>
      <c r="G820" s="50" t="str">
        <f t="shared" si="98"/>
        <v/>
      </c>
      <c r="H820" s="28"/>
      <c r="I820" s="55">
        <f t="shared" si="2"/>
        <v>6700.204128</v>
      </c>
      <c r="J820" s="81"/>
      <c r="K820" s="60">
        <f>IFERROR(__xludf.DUMMYFUNCTION("IFERROR(VLOOKUP(C820,IMPORTRANGE(""https://docs.google.com/spreadsheets/d/1HZUHB8NvANAZR0sHDmHYVAm2WE9kNv0pGIQA48Ryim8/edit?gid=1285727875#gid=1285727875"",""Sheet1!A2:G""),7,0))"),1543.15)</f>
        <v>1543.15</v>
      </c>
      <c r="L820" s="62">
        <f t="shared" si="99"/>
        <v>3.875190357</v>
      </c>
      <c r="M820" s="60">
        <f>IFERROR(__xludf.DUMMYFUNCTION("IFERROR(VLOOKUP(C820,IMPORTRANGE(""https://docs.google.com/spreadsheets/d/1HZUHB8NvANAZR0sHDmHYVAm2WE9kNv0pGIQA48Ryim8/edit?gid=1285727875#gid=1285727875"",""Cost!A2:G""),7,0))"),1729.0)</f>
        <v>1729</v>
      </c>
      <c r="N820" s="62" t="str">
        <f t="shared" si="4"/>
        <v/>
      </c>
      <c r="O820" s="28"/>
      <c r="P820" s="28"/>
      <c r="Q820" s="28"/>
      <c r="R820" s="28"/>
      <c r="S820" s="28"/>
      <c r="T820" s="28"/>
      <c r="U820" s="65"/>
      <c r="V820" s="28"/>
      <c r="W820" s="65"/>
      <c r="X820" s="66" t="s">
        <v>134</v>
      </c>
      <c r="Y820" s="65" t="str">
        <f t="shared" si="6"/>
        <v>MIST 8550</v>
      </c>
    </row>
    <row r="821">
      <c r="A821" s="121" t="s">
        <v>1250</v>
      </c>
      <c r="B821" s="91">
        <f t="shared" si="103"/>
        <v>8555</v>
      </c>
      <c r="C821" s="15">
        <v>8555.0</v>
      </c>
      <c r="D821" s="18" t="s">
        <v>164</v>
      </c>
      <c r="E821" s="75">
        <v>6360.0</v>
      </c>
      <c r="F821" s="83" t="s">
        <v>202</v>
      </c>
      <c r="G821" s="50" t="str">
        <f t="shared" si="98"/>
        <v/>
      </c>
      <c r="H821" s="28"/>
      <c r="I821" s="55">
        <f t="shared" si="2"/>
        <v>7383.996714</v>
      </c>
      <c r="J821" s="81"/>
      <c r="K821" s="60">
        <f>IFERROR(__xludf.DUMMYFUNCTION("IFERROR(VLOOKUP(C821,IMPORTRANGE(""https://docs.google.com/spreadsheets/d/1HZUHB8NvANAZR0sHDmHYVAm2WE9kNv0pGIQA48Ryim8/edit?gid=1285727875#gid=1285727875"",""Sheet1!A2:G""),7,0))"),1850.12)</f>
        <v>1850.12</v>
      </c>
      <c r="L821" s="62">
        <f t="shared" si="99"/>
        <v>3.437614857</v>
      </c>
      <c r="M821" s="60">
        <f>IFERROR(__xludf.DUMMYFUNCTION("IFERROR(VLOOKUP(C821,IMPORTRANGE(""https://docs.google.com/spreadsheets/d/1HZUHB8NvANAZR0sHDmHYVAm2WE9kNv0pGIQA48Ryim8/edit?gid=1285727875#gid=1285727875"",""Cost!A2:G""),7,0))"),2148.0)</f>
        <v>2148</v>
      </c>
      <c r="N821" s="62" t="str">
        <f t="shared" si="4"/>
        <v/>
      </c>
      <c r="O821" s="28"/>
      <c r="P821" s="28"/>
      <c r="Q821" s="28"/>
      <c r="R821" s="28"/>
      <c r="S821" s="28"/>
      <c r="T821" s="28"/>
      <c r="U821" s="65"/>
      <c r="V821" s="28"/>
      <c r="W821" s="65"/>
      <c r="X821" s="66" t="s">
        <v>162</v>
      </c>
      <c r="Y821" s="65" t="str">
        <f t="shared" si="6"/>
        <v>MIST 8555</v>
      </c>
    </row>
    <row r="822">
      <c r="A822" s="121" t="s">
        <v>1250</v>
      </c>
      <c r="B822" s="91">
        <f t="shared" si="103"/>
        <v>8570</v>
      </c>
      <c r="C822" s="15">
        <v>8570.0</v>
      </c>
      <c r="D822" s="18" t="s">
        <v>186</v>
      </c>
      <c r="E822" s="39">
        <v>7980.0</v>
      </c>
      <c r="F822" s="83" t="s">
        <v>202</v>
      </c>
      <c r="G822" s="50" t="str">
        <f t="shared" si="98"/>
        <v/>
      </c>
      <c r="H822" s="28"/>
      <c r="I822" s="55">
        <f t="shared" si="2"/>
        <v>9155.3468</v>
      </c>
      <c r="J822" s="81"/>
      <c r="K822" s="60">
        <f>IFERROR(__xludf.DUMMYFUNCTION("IFERROR(VLOOKUP(C822,IMPORTRANGE(""https://docs.google.com/spreadsheets/d/1HZUHB8NvANAZR0sHDmHYVAm2WE9kNv0pGIQA48Ryim8/edit?gid=1285727875#gid=1285727875"",""Sheet1!A2:G""),7,0))"),2429.21)</f>
        <v>2429.21</v>
      </c>
      <c r="L822" s="62">
        <f t="shared" si="99"/>
        <v>3.285018586</v>
      </c>
      <c r="M822" s="60">
        <f>IFERROR(__xludf.DUMMYFUNCTION("IFERROR(VLOOKUP(C822,IMPORTRANGE(""https://docs.google.com/spreadsheets/d/1HZUHB8NvANAZR0sHDmHYVAm2WE9kNv0pGIQA48Ryim8/edit?gid=1285727875#gid=1285727875"",""Cost!A2:G""),7,0))"),2787.0)</f>
        <v>2787</v>
      </c>
      <c r="N822" s="62" t="str">
        <f t="shared" si="4"/>
        <v/>
      </c>
      <c r="O822" s="28"/>
      <c r="P822" s="28"/>
      <c r="Q822" s="28"/>
      <c r="R822" s="28"/>
      <c r="S822" s="28"/>
      <c r="T822" s="28"/>
      <c r="U822" s="65"/>
      <c r="V822" s="28"/>
      <c r="W822" s="65"/>
      <c r="X822" s="66" t="s">
        <v>184</v>
      </c>
      <c r="Y822" s="65" t="str">
        <f t="shared" si="6"/>
        <v>MIST 8570</v>
      </c>
    </row>
    <row r="823">
      <c r="A823" s="121" t="s">
        <v>1250</v>
      </c>
      <c r="B823" s="91">
        <f t="shared" si="103"/>
        <v>8575</v>
      </c>
      <c r="C823" s="15">
        <v>8575.0</v>
      </c>
      <c r="D823" s="18" t="s">
        <v>196</v>
      </c>
      <c r="E823" s="39">
        <v>7980.0</v>
      </c>
      <c r="F823" s="83" t="s">
        <v>202</v>
      </c>
      <c r="G823" s="50" t="str">
        <f t="shared" si="98"/>
        <v/>
      </c>
      <c r="H823" s="28"/>
      <c r="I823" s="55">
        <f t="shared" si="2"/>
        <v>9148.068858</v>
      </c>
      <c r="J823" s="81"/>
      <c r="K823" s="60">
        <f>IFERROR(__xludf.DUMMYFUNCTION("IFERROR(VLOOKUP(C823,IMPORTRANGE(""https://docs.google.com/spreadsheets/d/1HZUHB8NvANAZR0sHDmHYVAm2WE9kNv0pGIQA48Ryim8/edit?gid=1285727875#gid=1285727875"",""Sheet1!A2:G""),7,0))"),2396.25)</f>
        <v>2396.25</v>
      </c>
      <c r="L823" s="62">
        <f t="shared" si="99"/>
        <v>3.330203443</v>
      </c>
      <c r="M823" s="60">
        <f>IFERROR(__xludf.DUMMYFUNCTION("IFERROR(VLOOKUP(C823,IMPORTRANGE(""https://docs.google.com/spreadsheets/d/1HZUHB8NvANAZR0sHDmHYVAm2WE9kNv0pGIQA48Ryim8/edit?gid=1285727875#gid=1285727875"",""Cost!A2:G""),7,0))"),2747.0)</f>
        <v>2747</v>
      </c>
      <c r="N823" s="62" t="str">
        <f t="shared" si="4"/>
        <v/>
      </c>
      <c r="O823" s="28"/>
      <c r="P823" s="28"/>
      <c r="Q823" s="28"/>
      <c r="R823" s="28"/>
      <c r="S823" s="28"/>
      <c r="T823" s="28"/>
      <c r="U823" s="65"/>
      <c r="V823" s="28"/>
      <c r="W823" s="65"/>
      <c r="X823" s="66" t="s">
        <v>194</v>
      </c>
      <c r="Y823" s="65" t="str">
        <f t="shared" si="6"/>
        <v>MIST 8575</v>
      </c>
    </row>
    <row r="824">
      <c r="A824" s="121" t="s">
        <v>1250</v>
      </c>
      <c r="B824" s="91">
        <f t="shared" si="103"/>
        <v>8580</v>
      </c>
      <c r="C824" s="15">
        <v>8580.0</v>
      </c>
      <c r="D824" s="18" t="s">
        <v>205</v>
      </c>
      <c r="E824" s="75">
        <v>8950.0</v>
      </c>
      <c r="F824" s="83" t="s">
        <v>202</v>
      </c>
      <c r="G824" s="50" t="str">
        <f t="shared" si="98"/>
        <v/>
      </c>
      <c r="H824" s="28"/>
      <c r="I824" s="55">
        <f t="shared" si="2"/>
        <v>10220.87113</v>
      </c>
      <c r="J824" s="81"/>
      <c r="K824" s="60">
        <f>IFERROR(__xludf.DUMMYFUNCTION("IFERROR(VLOOKUP(C824,IMPORTRANGE(""https://docs.google.com/spreadsheets/d/1HZUHB8NvANAZR0sHDmHYVAm2WE9kNv0pGIQA48Ryim8/edit?gid=1285727875#gid=1285727875"",""Sheet1!A2:G""),7,0))"),2703.16)</f>
        <v>2703.16</v>
      </c>
      <c r="L824" s="62">
        <f t="shared" si="99"/>
        <v>3.310939789</v>
      </c>
      <c r="M824" s="60">
        <f>IFERROR(__xludf.DUMMYFUNCTION("IFERROR(VLOOKUP(C824,IMPORTRANGE(""https://docs.google.com/spreadsheets/d/1HZUHB8NvANAZR0sHDmHYVAm2WE9kNv0pGIQA48Ryim8/edit?gid=1285727875#gid=1285727875"",""Cost!A2:G""),7,0))"),3087.0)</f>
        <v>3087</v>
      </c>
      <c r="N824" s="62" t="str">
        <f t="shared" si="4"/>
        <v/>
      </c>
      <c r="O824" s="28"/>
      <c r="P824" s="28"/>
      <c r="Q824" s="28"/>
      <c r="R824" s="28"/>
      <c r="S824" s="28"/>
      <c r="T824" s="28"/>
      <c r="U824" s="65"/>
      <c r="V824" s="28"/>
      <c r="W824" s="65"/>
      <c r="X824" s="66" t="s">
        <v>203</v>
      </c>
      <c r="Y824" s="65" t="str">
        <f t="shared" si="6"/>
        <v>MIST 8580</v>
      </c>
    </row>
    <row r="825">
      <c r="A825" s="121" t="s">
        <v>1250</v>
      </c>
      <c r="B825" s="91">
        <f t="shared" si="103"/>
        <v>8594</v>
      </c>
      <c r="C825" s="15">
        <v>8594.0</v>
      </c>
      <c r="D825" s="18" t="s">
        <v>263</v>
      </c>
      <c r="E825" s="39">
        <v>9480.0</v>
      </c>
      <c r="F825" s="83" t="s">
        <v>202</v>
      </c>
      <c r="G825" s="50" t="str">
        <f t="shared" si="98"/>
        <v/>
      </c>
      <c r="H825" s="28"/>
      <c r="I825" s="55">
        <f t="shared" si="2"/>
        <v>0</v>
      </c>
      <c r="J825" s="81"/>
      <c r="K825" s="60" t="str">
        <f>IFERROR(__xludf.DUMMYFUNCTION("IFERROR(VLOOKUP(C825,IMPORTRANGE(""https://docs.google.com/spreadsheets/d/1HZUHB8NvANAZR0sHDmHYVAm2WE9kNv0pGIQA48Ryim8/edit?gid=1285727875#gid=1285727875"",""Sheet1!A2:G""),7,0))"),"")</f>
        <v/>
      </c>
      <c r="L825" s="62" t="str">
        <f t="shared" si="99"/>
        <v/>
      </c>
      <c r="M825" s="60" t="str">
        <f>IFERROR(__xludf.DUMMYFUNCTION("IFERROR(VLOOKUP(C825,IMPORTRANGE(""https://docs.google.com/spreadsheets/d/1HZUHB8NvANAZR0sHDmHYVAm2WE9kNv0pGIQA48Ryim8/edit?gid=1285727875#gid=1285727875"",""Cost!A2:G""),7,0))"),"")</f>
        <v/>
      </c>
      <c r="N825" s="62" t="str">
        <f t="shared" si="4"/>
        <v/>
      </c>
      <c r="O825" s="28"/>
      <c r="P825" s="28"/>
      <c r="Q825" s="28"/>
      <c r="R825" s="28"/>
      <c r="S825" s="28"/>
      <c r="T825" s="28"/>
      <c r="U825" s="65"/>
      <c r="V825" s="28"/>
      <c r="W825" s="65"/>
      <c r="X825" s="66" t="s">
        <v>260</v>
      </c>
      <c r="Y825" s="65" t="str">
        <f t="shared" si="6"/>
        <v>MIST 8594</v>
      </c>
    </row>
    <row r="826">
      <c r="A826" s="121" t="s">
        <v>1250</v>
      </c>
      <c r="B826" s="91">
        <f t="shared" si="103"/>
        <v>8598</v>
      </c>
      <c r="C826" s="15">
        <v>8598.0</v>
      </c>
      <c r="D826" s="18" t="s">
        <v>272</v>
      </c>
      <c r="E826" s="75">
        <v>3770.0</v>
      </c>
      <c r="F826" s="83" t="s">
        <v>202</v>
      </c>
      <c r="G826" s="50" t="str">
        <f t="shared" si="98"/>
        <v/>
      </c>
      <c r="H826" s="28"/>
      <c r="I826" s="55">
        <f t="shared" si="2"/>
        <v>4087.454682</v>
      </c>
      <c r="J826" s="81"/>
      <c r="K826" s="60">
        <f>IFERROR(__xludf.DUMMYFUNCTION("IFERROR(VLOOKUP(C826,IMPORTRANGE(""https://docs.google.com/spreadsheets/d/1HZUHB8NvANAZR0sHDmHYVAm2WE9kNv0pGIQA48Ryim8/edit?gid=1285727875#gid=1285727875"",""Sheet1!A2:G""),7,0))"),1169.52)</f>
        <v>1169.52</v>
      </c>
      <c r="L826" s="62">
        <f t="shared" si="99"/>
        <v>3.223544702</v>
      </c>
      <c r="M826" s="60">
        <f>IFERROR(__xludf.DUMMYFUNCTION("IFERROR(VLOOKUP(C826,IMPORTRANGE(""https://docs.google.com/spreadsheets/d/1HZUHB8NvANAZR0sHDmHYVAm2WE9kNv0pGIQA48Ryim8/edit?gid=1285727875#gid=1285727875"",""Cost!A2:G""),7,0))"),1268.0)</f>
        <v>1268</v>
      </c>
      <c r="N826" s="62" t="str">
        <f t="shared" si="4"/>
        <v/>
      </c>
      <c r="O826" s="28"/>
      <c r="P826" s="28"/>
      <c r="Q826" s="28"/>
      <c r="R826" s="28"/>
      <c r="S826" s="28"/>
      <c r="T826" s="28"/>
      <c r="U826" s="65"/>
      <c r="V826" s="28"/>
      <c r="W826" s="65"/>
      <c r="X826" s="66" t="s">
        <v>271</v>
      </c>
      <c r="Y826" s="65" t="str">
        <f t="shared" si="6"/>
        <v>MIST 8598</v>
      </c>
    </row>
    <row r="827">
      <c r="A827" s="121" t="s">
        <v>1256</v>
      </c>
      <c r="B827" s="91">
        <f t="shared" si="103"/>
        <v>8902</v>
      </c>
      <c r="C827" s="15">
        <v>8902.0</v>
      </c>
      <c r="D827" s="18" t="s">
        <v>15</v>
      </c>
      <c r="E827" s="39">
        <v>2380.0</v>
      </c>
      <c r="F827" s="83" t="s">
        <v>202</v>
      </c>
      <c r="G827" s="50" t="str">
        <f t="shared" si="98"/>
        <v/>
      </c>
      <c r="H827" s="28"/>
      <c r="I827" s="55">
        <f t="shared" si="2"/>
        <v>2637.555175</v>
      </c>
      <c r="J827" s="80"/>
      <c r="K827" s="60">
        <f>IFERROR(__xludf.DUMMYFUNCTION("IFERROR(VLOOKUP(C827,IMPORTRANGE(""https://docs.google.com/spreadsheets/d/1HZUHB8NvANAZR0sHDmHYVAm2WE9kNv0pGIQA48Ryim8/edit?gid=1285727875#gid=1285727875"",""Sheet1!A2:G""),7,0))"),740.83)</f>
        <v>740.83</v>
      </c>
      <c r="L827" s="62">
        <f t="shared" si="99"/>
        <v>3.21261288</v>
      </c>
      <c r="M827" s="60">
        <f>IFERROR(__xludf.DUMMYFUNCTION("IFERROR(VLOOKUP(C827,IMPORTRANGE(""https://docs.google.com/spreadsheets/d/1HZUHB8NvANAZR0sHDmHYVAm2WE9kNv0pGIQA48Ryim8/edit?gid=1285727875#gid=1285727875"",""Cost!A2:G""),7,0))"),821.0)</f>
        <v>821</v>
      </c>
      <c r="N827" s="62" t="str">
        <f t="shared" si="4"/>
        <v/>
      </c>
      <c r="O827" s="28"/>
      <c r="P827" s="28"/>
      <c r="Q827" s="28"/>
      <c r="R827" s="28"/>
      <c r="S827" s="28"/>
      <c r="T827" s="28"/>
      <c r="U827" s="65"/>
      <c r="V827" s="28"/>
      <c r="W827" s="65"/>
      <c r="X827" s="66" t="s">
        <v>303</v>
      </c>
      <c r="Y827" s="65" t="str">
        <f t="shared" si="6"/>
        <v>OPUS 8902</v>
      </c>
    </row>
    <row r="828">
      <c r="A828" s="121" t="s">
        <v>1256</v>
      </c>
      <c r="B828" s="91">
        <f t="shared" si="103"/>
        <v>8903</v>
      </c>
      <c r="C828" s="15">
        <v>8903.0</v>
      </c>
      <c r="D828" s="18" t="s">
        <v>30</v>
      </c>
      <c r="E828" s="75">
        <v>4470.0</v>
      </c>
      <c r="F828" s="83" t="s">
        <v>202</v>
      </c>
      <c r="G828" s="50" t="str">
        <f t="shared" si="98"/>
        <v/>
      </c>
      <c r="H828" s="28"/>
      <c r="I828" s="55">
        <f t="shared" si="2"/>
        <v>4966.211212</v>
      </c>
      <c r="J828" s="81"/>
      <c r="K828" s="60">
        <f>IFERROR(__xludf.DUMMYFUNCTION("IFERROR(VLOOKUP(C828,IMPORTRANGE(""https://docs.google.com/spreadsheets/d/1HZUHB8NvANAZR0sHDmHYVAm2WE9kNv0pGIQA48Ryim8/edit?gid=1285727875#gid=1285727875"",""Sheet1!A2:G""),7,0))"),1417.63)</f>
        <v>1417.63</v>
      </c>
      <c r="L828" s="62">
        <f t="shared" si="99"/>
        <v>3.153149976</v>
      </c>
      <c r="M828" s="60">
        <f>IFERROR(__xludf.DUMMYFUNCTION("IFERROR(VLOOKUP(C828,IMPORTRANGE(""https://docs.google.com/spreadsheets/d/1HZUHB8NvANAZR0sHDmHYVAm2WE9kNv0pGIQA48Ryim8/edit?gid=1285727875#gid=1285727875"",""Cost!A2:G""),7,0))"),1575.0)</f>
        <v>1575</v>
      </c>
      <c r="N828" s="62" t="str">
        <f t="shared" si="4"/>
        <v/>
      </c>
      <c r="O828" s="28"/>
      <c r="P828" s="28"/>
      <c r="Q828" s="28"/>
      <c r="R828" s="28"/>
      <c r="S828" s="28"/>
      <c r="T828" s="28"/>
      <c r="U828" s="65"/>
      <c r="V828" s="28"/>
      <c r="W828" s="65"/>
      <c r="X828" s="66" t="s">
        <v>306</v>
      </c>
      <c r="Y828" s="65" t="str">
        <f t="shared" si="6"/>
        <v>OPUS 8903</v>
      </c>
    </row>
    <row r="829">
      <c r="A829" s="121" t="s">
        <v>1256</v>
      </c>
      <c r="B829" s="91">
        <f t="shared" si="103"/>
        <v>8908</v>
      </c>
      <c r="C829" s="15">
        <v>8908.0</v>
      </c>
      <c r="D829" s="18" t="s">
        <v>81</v>
      </c>
      <c r="E829" s="75">
        <v>2130.0</v>
      </c>
      <c r="F829" s="83" t="s">
        <v>202</v>
      </c>
      <c r="G829" s="50" t="str">
        <f t="shared" si="98"/>
        <v/>
      </c>
      <c r="H829" s="28"/>
      <c r="I829" s="55">
        <f t="shared" si="2"/>
        <v>2342.506464</v>
      </c>
      <c r="J829" s="81"/>
      <c r="K829" s="60">
        <f>IFERROR(__xludf.DUMMYFUNCTION("IFERROR(VLOOKUP(C829,IMPORTRANGE(""https://docs.google.com/spreadsheets/d/1HZUHB8NvANAZR0sHDmHYVAm2WE9kNv0pGIQA48Ryim8/edit?gid=1285727875#gid=1285727875"",""Sheet1!A2:G""),7,0))"),595.58)</f>
        <v>595.58</v>
      </c>
      <c r="L829" s="62">
        <f t="shared" si="99"/>
        <v>3.576345747</v>
      </c>
      <c r="M829" s="60">
        <f>IFERROR(__xludf.DUMMYFUNCTION("IFERROR(VLOOKUP(C829,IMPORTRANGE(""https://docs.google.com/spreadsheets/d/1HZUHB8NvANAZR0sHDmHYVAm2WE9kNv0pGIQA48Ryim8/edit?gid=1285727875#gid=1285727875"",""Cost!A2:G""),7,0))"),655.0)</f>
        <v>655</v>
      </c>
      <c r="N829" s="62" t="str">
        <f t="shared" si="4"/>
        <v/>
      </c>
      <c r="O829" s="28"/>
      <c r="P829" s="28"/>
      <c r="Q829" s="28"/>
      <c r="R829" s="28"/>
      <c r="S829" s="28"/>
      <c r="T829" s="28"/>
      <c r="U829" s="65"/>
      <c r="V829" s="28"/>
      <c r="W829" s="65"/>
      <c r="X829" s="66" t="s">
        <v>321</v>
      </c>
      <c r="Y829" s="65" t="str">
        <f t="shared" si="6"/>
        <v>OPUS 8908</v>
      </c>
    </row>
    <row r="830">
      <c r="A830" s="121" t="s">
        <v>1256</v>
      </c>
      <c r="B830" s="91">
        <f t="shared" si="103"/>
        <v>8910</v>
      </c>
      <c r="C830" s="15">
        <v>8910.0</v>
      </c>
      <c r="D830" s="18" t="s">
        <v>89</v>
      </c>
      <c r="E830" s="39">
        <v>1490.0</v>
      </c>
      <c r="F830" s="83" t="s">
        <v>202</v>
      </c>
      <c r="G830" s="50" t="str">
        <f t="shared" si="98"/>
        <v/>
      </c>
      <c r="H830" s="28"/>
      <c r="I830" s="55">
        <f t="shared" si="2"/>
        <v>1626.134827</v>
      </c>
      <c r="J830" s="81"/>
      <c r="K830" s="60">
        <f>IFERROR(__xludf.DUMMYFUNCTION("IFERROR(VLOOKUP(C830,IMPORTRANGE(""https://docs.google.com/spreadsheets/d/1HZUHB8NvANAZR0sHDmHYVAm2WE9kNv0pGIQA48Ryim8/edit?gid=1285727875#gid=1285727875"",""Sheet1!A2:G""),7,0))"),414.16)</f>
        <v>414.16</v>
      </c>
      <c r="L830" s="62">
        <f t="shared" si="99"/>
        <v>3.597643423</v>
      </c>
      <c r="M830" s="60">
        <f>IFERROR(__xludf.DUMMYFUNCTION("IFERROR(VLOOKUP(C830,IMPORTRANGE(""https://docs.google.com/spreadsheets/d/1HZUHB8NvANAZR0sHDmHYVAm2WE9kNv0pGIQA48Ryim8/edit?gid=1285727875#gid=1285727875"",""Cost!A2:G""),7,0))"),452.0)</f>
        <v>452</v>
      </c>
      <c r="N830" s="62" t="str">
        <f t="shared" si="4"/>
        <v/>
      </c>
      <c r="O830" s="28"/>
      <c r="P830" s="28"/>
      <c r="Q830" s="28"/>
      <c r="R830" s="28"/>
      <c r="S830" s="28"/>
      <c r="T830" s="28"/>
      <c r="U830" s="65"/>
      <c r="V830" s="28"/>
      <c r="W830" s="65"/>
      <c r="X830" s="66" t="s">
        <v>87</v>
      </c>
      <c r="Y830" s="65" t="str">
        <f t="shared" si="6"/>
        <v>OPUS 8910</v>
      </c>
    </row>
    <row r="831">
      <c r="A831" s="121" t="s">
        <v>1256</v>
      </c>
      <c r="B831" s="91">
        <f t="shared" si="103"/>
        <v>8911</v>
      </c>
      <c r="C831" s="15">
        <v>8911.0</v>
      </c>
      <c r="D831" s="18" t="s">
        <v>94</v>
      </c>
      <c r="E831" s="39">
        <v>2390.0</v>
      </c>
      <c r="F831" s="83" t="s">
        <v>202</v>
      </c>
      <c r="G831" s="50" t="str">
        <f t="shared" si="98"/>
        <v/>
      </c>
      <c r="H831" s="28"/>
      <c r="I831" s="55">
        <f t="shared" si="2"/>
        <v>2646.837382</v>
      </c>
      <c r="J831" s="81"/>
      <c r="K831" s="60">
        <f>IFERROR(__xludf.DUMMYFUNCTION("IFERROR(VLOOKUP(C831,IMPORTRANGE(""https://docs.google.com/spreadsheets/d/1HZUHB8NvANAZR0sHDmHYVAm2WE9kNv0pGIQA48Ryim8/edit?gid=1285727875#gid=1285727875"",""Sheet1!A2:G""),7,0))"),685.35)</f>
        <v>685.35</v>
      </c>
      <c r="L831" s="62">
        <f t="shared" si="99"/>
        <v>3.487269278</v>
      </c>
      <c r="M831" s="60">
        <f>IFERROR(__xludf.DUMMYFUNCTION("IFERROR(VLOOKUP(C831,IMPORTRANGE(""https://docs.google.com/spreadsheets/d/1HZUHB8NvANAZR0sHDmHYVAm2WE9kNv0pGIQA48Ryim8/edit?gid=1285727875#gid=1285727875"",""Cost!A2:G""),7,0))"),759.0)</f>
        <v>759</v>
      </c>
      <c r="N831" s="62" t="str">
        <f t="shared" si="4"/>
        <v/>
      </c>
      <c r="O831" s="28"/>
      <c r="P831" s="28"/>
      <c r="Q831" s="28"/>
      <c r="R831" s="28"/>
      <c r="S831" s="28"/>
      <c r="T831" s="28"/>
      <c r="U831" s="65"/>
      <c r="V831" s="28"/>
      <c r="W831" s="65"/>
      <c r="X831" s="66" t="s">
        <v>91</v>
      </c>
      <c r="Y831" s="65" t="str">
        <f t="shared" si="6"/>
        <v>OPUS 8911</v>
      </c>
    </row>
    <row r="832">
      <c r="A832" s="121" t="s">
        <v>1256</v>
      </c>
      <c r="B832" s="91">
        <f t="shared" si="103"/>
        <v>8912</v>
      </c>
      <c r="C832" s="15">
        <v>8912.0</v>
      </c>
      <c r="D832" s="18" t="s">
        <v>97</v>
      </c>
      <c r="E832" s="39">
        <v>2870.0</v>
      </c>
      <c r="F832" s="83" t="s">
        <v>202</v>
      </c>
      <c r="G832" s="50" t="str">
        <f t="shared" si="98"/>
        <v/>
      </c>
      <c r="H832" s="28"/>
      <c r="I832" s="55">
        <f t="shared" si="2"/>
        <v>3173.130078</v>
      </c>
      <c r="J832" s="81"/>
      <c r="K832" s="60">
        <f>IFERROR(__xludf.DUMMYFUNCTION("IFERROR(VLOOKUP(C832,IMPORTRANGE(""https://docs.google.com/spreadsheets/d/1HZUHB8NvANAZR0sHDmHYVAm2WE9kNv0pGIQA48Ryim8/edit?gid=1285727875#gid=1285727875"",""Sheet1!A2:G""),7,0))"),835.73)</f>
        <v>835.73</v>
      </c>
      <c r="L832" s="62">
        <f t="shared" si="99"/>
        <v>3.434123461</v>
      </c>
      <c r="M832" s="60">
        <f>IFERROR(__xludf.DUMMYFUNCTION("IFERROR(VLOOKUP(C832,IMPORTRANGE(""https://docs.google.com/spreadsheets/d/1HZUHB8NvANAZR0sHDmHYVAm2WE9kNv0pGIQA48Ryim8/edit?gid=1285727875#gid=1285727875"",""Cost!A2:G""),7,0))"),924.0)</f>
        <v>924</v>
      </c>
      <c r="N832" s="62" t="str">
        <f t="shared" si="4"/>
        <v/>
      </c>
      <c r="O832" s="28"/>
      <c r="P832" s="28"/>
      <c r="Q832" s="28"/>
      <c r="R832" s="28"/>
      <c r="S832" s="28"/>
      <c r="T832" s="28"/>
      <c r="U832" s="65"/>
      <c r="V832" s="28"/>
      <c r="W832" s="65"/>
      <c r="X832" s="66" t="s">
        <v>95</v>
      </c>
      <c r="Y832" s="65" t="str">
        <f t="shared" si="6"/>
        <v>OPUS 8912</v>
      </c>
    </row>
    <row r="833">
      <c r="A833" s="121" t="s">
        <v>1256</v>
      </c>
      <c r="B833" s="91">
        <f t="shared" si="103"/>
        <v>8914</v>
      </c>
      <c r="C833" s="15">
        <v>8914.0</v>
      </c>
      <c r="D833" s="18" t="s">
        <v>106</v>
      </c>
      <c r="E833" s="39">
        <v>3180.0</v>
      </c>
      <c r="F833" s="83" t="s">
        <v>202</v>
      </c>
      <c r="G833" s="50" t="str">
        <f t="shared" si="98"/>
        <v/>
      </c>
      <c r="H833" s="28"/>
      <c r="I833" s="55">
        <f t="shared" si="2"/>
        <v>3414.395497</v>
      </c>
      <c r="J833" s="81"/>
      <c r="K833" s="60">
        <f>IFERROR(__xludf.DUMMYFUNCTION("IFERROR(VLOOKUP(C833,IMPORTRANGE(""https://docs.google.com/spreadsheets/d/1HZUHB8NvANAZR0sHDmHYVAm2WE9kNv0pGIQA48Ryim8/edit?gid=1285727875#gid=1285727875"",""Sheet1!A2:G""),7,0))"),923.9)</f>
        <v>923.9</v>
      </c>
      <c r="L833" s="62">
        <f t="shared" si="99"/>
        <v>3.441930945</v>
      </c>
      <c r="M833" s="60">
        <f>IFERROR(__xludf.DUMMYFUNCTION("IFERROR(VLOOKUP(C833,IMPORTRANGE(""https://docs.google.com/spreadsheets/d/1HZUHB8NvANAZR0sHDmHYVAm2WE9kNv0pGIQA48Ryim8/edit?gid=1285727875#gid=1285727875"",""Cost!A2:G""),7,0))"),992.0)</f>
        <v>992</v>
      </c>
      <c r="N833" s="62" t="str">
        <f t="shared" si="4"/>
        <v/>
      </c>
      <c r="O833" s="28"/>
      <c r="P833" s="28"/>
      <c r="Q833" s="28"/>
      <c r="R833" s="28"/>
      <c r="S833" s="28"/>
      <c r="T833" s="28"/>
      <c r="U833" s="65"/>
      <c r="V833" s="28"/>
      <c r="W833" s="65"/>
      <c r="X833" s="66" t="s">
        <v>104</v>
      </c>
      <c r="Y833" s="65" t="str">
        <f t="shared" si="6"/>
        <v>OPUS 8914</v>
      </c>
    </row>
    <row r="834">
      <c r="A834" s="121" t="s">
        <v>1256</v>
      </c>
      <c r="B834" s="91">
        <f t="shared" si="103"/>
        <v>8916</v>
      </c>
      <c r="C834" s="15">
        <v>8916.0</v>
      </c>
      <c r="D834" s="18" t="s">
        <v>112</v>
      </c>
      <c r="E834" s="39">
        <v>2690.0</v>
      </c>
      <c r="F834" s="83" t="s">
        <v>202</v>
      </c>
      <c r="G834" s="50" t="str">
        <f t="shared" si="98"/>
        <v/>
      </c>
      <c r="H834" s="28"/>
      <c r="I834" s="55">
        <f t="shared" si="2"/>
        <v>2934.261865</v>
      </c>
      <c r="J834" s="81"/>
      <c r="K834" s="60">
        <f>IFERROR(__xludf.DUMMYFUNCTION("IFERROR(VLOOKUP(C834,IMPORTRANGE(""https://docs.google.com/spreadsheets/d/1HZUHB8NvANAZR0sHDmHYVAm2WE9kNv0pGIQA48Ryim8/edit?gid=1285727875#gid=1285727875"",""Sheet1!A2:G""),7,0))"),827.83)</f>
        <v>827.83</v>
      </c>
      <c r="L834" s="62">
        <f t="shared" si="99"/>
        <v>3.24945943</v>
      </c>
      <c r="M834" s="60">
        <f>IFERROR(__xludf.DUMMYFUNCTION("IFERROR(VLOOKUP(C834,IMPORTRANGE(""https://docs.google.com/spreadsheets/d/1HZUHB8NvANAZR0sHDmHYVAm2WE9kNv0pGIQA48Ryim8/edit?gid=1285727875#gid=1285727875"",""Cost!A2:G""),7,0))"),903.0)</f>
        <v>903</v>
      </c>
      <c r="N834" s="62" t="str">
        <f t="shared" si="4"/>
        <v/>
      </c>
      <c r="O834" s="28"/>
      <c r="P834" s="28"/>
      <c r="Q834" s="28"/>
      <c r="R834" s="28"/>
      <c r="S834" s="28"/>
      <c r="T834" s="28"/>
      <c r="U834" s="65"/>
      <c r="V834" s="28"/>
      <c r="W834" s="65"/>
      <c r="X834" s="66" t="s">
        <v>110</v>
      </c>
      <c r="Y834" s="65" t="str">
        <f t="shared" si="6"/>
        <v>OPUS 8916</v>
      </c>
    </row>
    <row r="835">
      <c r="A835" s="121" t="s">
        <v>1256</v>
      </c>
      <c r="B835" s="91">
        <f t="shared" si="103"/>
        <v>8918</v>
      </c>
      <c r="C835" s="15">
        <v>8918.0</v>
      </c>
      <c r="D835" s="18" t="s">
        <v>119</v>
      </c>
      <c r="E835" s="39">
        <v>1930.0</v>
      </c>
      <c r="F835" s="83" t="s">
        <v>202</v>
      </c>
      <c r="G835" s="50" t="str">
        <f t="shared" si="98"/>
        <v/>
      </c>
      <c r="H835" s="28"/>
      <c r="I835" s="55">
        <f t="shared" si="2"/>
        <v>2148.030472</v>
      </c>
      <c r="J835" s="81"/>
      <c r="K835" s="60">
        <f>IFERROR(__xludf.DUMMYFUNCTION("IFERROR(VLOOKUP(C835,IMPORTRANGE(""https://docs.google.com/spreadsheets/d/1HZUHB8NvANAZR0sHDmHYVAm2WE9kNv0pGIQA48Ryim8/edit?gid=1285727875#gid=1285727875"",""Sheet1!A2:G""),7,0))"),538.2)</f>
        <v>538.2</v>
      </c>
      <c r="L835" s="62">
        <f t="shared" si="99"/>
        <v>3.586027499</v>
      </c>
      <c r="M835" s="60">
        <f>IFERROR(__xludf.DUMMYFUNCTION("IFERROR(VLOOKUP(C835,IMPORTRANGE(""https://docs.google.com/spreadsheets/d/1HZUHB8NvANAZR0sHDmHYVAm2WE9kNv0pGIQA48Ryim8/edit?gid=1285727875#gid=1285727875"",""Cost!A2:G""),7,0))"),599.0)</f>
        <v>599</v>
      </c>
      <c r="N835" s="62" t="str">
        <f t="shared" si="4"/>
        <v/>
      </c>
      <c r="O835" s="28"/>
      <c r="P835" s="28"/>
      <c r="Q835" s="28"/>
      <c r="R835" s="28"/>
      <c r="S835" s="28"/>
      <c r="T835" s="28"/>
      <c r="U835" s="65"/>
      <c r="V835" s="28"/>
      <c r="W835" s="65"/>
      <c r="X835" s="66" t="s">
        <v>117</v>
      </c>
      <c r="Y835" s="65" t="str">
        <f t="shared" si="6"/>
        <v>OPUS 8918</v>
      </c>
    </row>
    <row r="836">
      <c r="A836" s="121" t="s">
        <v>1256</v>
      </c>
      <c r="B836" s="91">
        <f t="shared" si="103"/>
        <v>8920</v>
      </c>
      <c r="C836" s="15">
        <v>8920.0</v>
      </c>
      <c r="D836" s="18" t="s">
        <v>122</v>
      </c>
      <c r="E836" s="39">
        <v>1990.0</v>
      </c>
      <c r="F836" s="83" t="s">
        <v>202</v>
      </c>
      <c r="G836" s="50" t="str">
        <f t="shared" si="98"/>
        <v/>
      </c>
      <c r="H836" s="28"/>
      <c r="I836" s="55">
        <f t="shared" si="2"/>
        <v>2215.429688</v>
      </c>
      <c r="J836" s="81"/>
      <c r="K836" s="60">
        <f>IFERROR(__xludf.DUMMYFUNCTION("IFERROR(VLOOKUP(C836,IMPORTRANGE(""https://docs.google.com/spreadsheets/d/1HZUHB8NvANAZR0sHDmHYVAm2WE9kNv0pGIQA48Ryim8/edit?gid=1285727875#gid=1285727875"",""Sheet1!A2:G""),7,0))"),563.2)</f>
        <v>563.2</v>
      </c>
      <c r="L836" s="62">
        <f t="shared" si="99"/>
        <v>3.533380682</v>
      </c>
      <c r="M836" s="60">
        <f>IFERROR(__xludf.DUMMYFUNCTION("IFERROR(VLOOKUP(C836,IMPORTRANGE(""https://docs.google.com/spreadsheets/d/1HZUHB8NvANAZR0sHDmHYVAm2WE9kNv0pGIQA48Ryim8/edit?gid=1285727875#gid=1285727875"",""Cost!A2:G""),7,0))"),627.0)</f>
        <v>627</v>
      </c>
      <c r="N836" s="62" t="str">
        <f t="shared" si="4"/>
        <v/>
      </c>
      <c r="O836" s="28"/>
      <c r="P836" s="28"/>
      <c r="Q836" s="28"/>
      <c r="R836" s="28"/>
      <c r="S836" s="28"/>
      <c r="T836" s="28"/>
      <c r="U836" s="65"/>
      <c r="V836" s="28"/>
      <c r="W836" s="65"/>
      <c r="X836" s="66" t="s">
        <v>120</v>
      </c>
      <c r="Y836" s="65" t="str">
        <f t="shared" si="6"/>
        <v>OPUS 8920</v>
      </c>
    </row>
    <row r="837">
      <c r="A837" s="121" t="s">
        <v>1256</v>
      </c>
      <c r="B837" s="91">
        <f t="shared" si="103"/>
        <v>8951</v>
      </c>
      <c r="C837" s="15">
        <v>8951.0</v>
      </c>
      <c r="D837" s="18" t="s">
        <v>141</v>
      </c>
      <c r="E837" s="75">
        <v>4740.0</v>
      </c>
      <c r="F837" s="83" t="s">
        <v>202</v>
      </c>
      <c r="G837" s="50" t="str">
        <f t="shared" si="98"/>
        <v/>
      </c>
      <c r="H837" s="28"/>
      <c r="I837" s="55">
        <f t="shared" si="2"/>
        <v>5315.560629</v>
      </c>
      <c r="J837" s="81"/>
      <c r="K837" s="60">
        <f>IFERROR(__xludf.DUMMYFUNCTION("IFERROR(VLOOKUP(C837,IMPORTRANGE(""https://docs.google.com/spreadsheets/d/1HZUHB8NvANAZR0sHDmHYVAm2WE9kNv0pGIQA48Ryim8/edit?gid=1285727875#gid=1285727875"",""Sheet1!A2:G""),7,0))"),1191.34)</f>
        <v>1191.34</v>
      </c>
      <c r="L837" s="62">
        <f t="shared" si="99"/>
        <v>3.978713046</v>
      </c>
      <c r="M837" s="60">
        <f>IFERROR(__xludf.DUMMYFUNCTION("IFERROR(VLOOKUP(C837,IMPORTRANGE(""https://docs.google.com/spreadsheets/d/1HZUHB8NvANAZR0sHDmHYVAm2WE9kNv0pGIQA48Ryim8/edit?gid=1285727875#gid=1285727875"",""Cost!A2:G""),7,0))"),1336.0)</f>
        <v>1336</v>
      </c>
      <c r="N837" s="62" t="str">
        <f t="shared" si="4"/>
        <v/>
      </c>
      <c r="O837" s="28"/>
      <c r="P837" s="28"/>
      <c r="Q837" s="28"/>
      <c r="R837" s="28"/>
      <c r="S837" s="28"/>
      <c r="T837" s="28"/>
      <c r="U837" s="65"/>
      <c r="V837" s="28"/>
      <c r="W837" s="65"/>
      <c r="X837" s="66" t="s">
        <v>139</v>
      </c>
      <c r="Y837" s="65" t="str">
        <f t="shared" si="6"/>
        <v>OPUS 8951</v>
      </c>
    </row>
    <row r="838">
      <c r="A838" s="121" t="s">
        <v>1256</v>
      </c>
      <c r="B838" s="91">
        <f t="shared" si="103"/>
        <v>8952</v>
      </c>
      <c r="C838" s="15">
        <v>8952.0</v>
      </c>
      <c r="D838" s="18" t="s">
        <v>147</v>
      </c>
      <c r="E838" s="75">
        <v>6690.0</v>
      </c>
      <c r="F838" s="83" t="s">
        <v>202</v>
      </c>
      <c r="G838" s="50" t="str">
        <f t="shared" si="98"/>
        <v/>
      </c>
      <c r="H838" s="28"/>
      <c r="I838" s="55">
        <f t="shared" si="2"/>
        <v>7302.819304</v>
      </c>
      <c r="J838" s="81"/>
      <c r="K838" s="60">
        <f>IFERROR(__xludf.DUMMYFUNCTION("IFERROR(VLOOKUP(C838,IMPORTRANGE(""https://docs.google.com/spreadsheets/d/1HZUHB8NvANAZR0sHDmHYVAm2WE9kNv0pGIQA48Ryim8/edit?gid=1285727875#gid=1285727875"",""Sheet1!A2:G""),7,0))"),1993.4)</f>
        <v>1993.4</v>
      </c>
      <c r="L838" s="62">
        <f t="shared" si="99"/>
        <v>3.356075048</v>
      </c>
      <c r="M838" s="60">
        <f>IFERROR(__xludf.DUMMYFUNCTION("IFERROR(VLOOKUP(C838,IMPORTRANGE(""https://docs.google.com/spreadsheets/d/1HZUHB8NvANAZR0sHDmHYVAm2WE9kNv0pGIQA48Ryim8/edit?gid=1285727875#gid=1285727875"",""Cost!A2:G""),7,0))"),2176.0)</f>
        <v>2176</v>
      </c>
      <c r="N838" s="62" t="str">
        <f t="shared" si="4"/>
        <v/>
      </c>
      <c r="O838" s="28"/>
      <c r="P838" s="28"/>
      <c r="Q838" s="28"/>
      <c r="R838" s="28"/>
      <c r="S838" s="28"/>
      <c r="T838" s="28"/>
      <c r="U838" s="65"/>
      <c r="V838" s="28"/>
      <c r="W838" s="65"/>
      <c r="X838" s="66" t="s">
        <v>144</v>
      </c>
      <c r="Y838" s="65" t="str">
        <f t="shared" si="6"/>
        <v>OPUS 8952</v>
      </c>
    </row>
    <row r="839">
      <c r="A839" s="121" t="s">
        <v>1256</v>
      </c>
      <c r="B839" s="91">
        <f t="shared" si="103"/>
        <v>8954</v>
      </c>
      <c r="C839" s="15">
        <v>8954.0</v>
      </c>
      <c r="D839" s="18" t="s">
        <v>152</v>
      </c>
      <c r="E839" s="75">
        <f>SUM(E840:E841)</f>
        <v>6420</v>
      </c>
      <c r="F839" s="83" t="s">
        <v>202</v>
      </c>
      <c r="G839" s="50" t="str">
        <f t="shared" si="98"/>
        <v/>
      </c>
      <c r="H839" s="28"/>
      <c r="I839" s="55">
        <f t="shared" si="2"/>
        <v>6976.600604</v>
      </c>
      <c r="J839" s="81"/>
      <c r="K839" s="60">
        <f>IFERROR(__xludf.DUMMYFUNCTION("IFERROR(VLOOKUP(C839,IMPORTRANGE(""https://docs.google.com/spreadsheets/d/1HZUHB8NvANAZR0sHDmHYVAm2WE9kNv0pGIQA48Ryim8/edit?gid=1285727875#gid=1285727875"",""Sheet1!A2:G""),7,0))"),1681.24)</f>
        <v>1681.24</v>
      </c>
      <c r="L839" s="62">
        <f t="shared" si="99"/>
        <v>3.818610074</v>
      </c>
      <c r="M839" s="60">
        <f>IFERROR(__xludf.DUMMYFUNCTION("IFERROR(VLOOKUP(C839,IMPORTRANGE(""https://docs.google.com/spreadsheets/d/1HZUHB8NvANAZR0sHDmHYVAm2WE9kNv0pGIQA48Ryim8/edit?gid=1285727875#gid=1285727875"",""Cost!A2:G""),7,0))"),1827.0)</f>
        <v>1827</v>
      </c>
      <c r="N839" s="62" t="str">
        <f t="shared" si="4"/>
        <v/>
      </c>
      <c r="O839" s="28"/>
      <c r="P839" s="28"/>
      <c r="Q839" s="28"/>
      <c r="R839" s="28"/>
      <c r="S839" s="28"/>
      <c r="T839" s="28"/>
      <c r="U839" s="65"/>
      <c r="V839" s="28"/>
      <c r="W839" s="65"/>
      <c r="X839" s="66" t="s">
        <v>150</v>
      </c>
      <c r="Y839" s="65" t="str">
        <f t="shared" si="6"/>
        <v>OPUS 8954</v>
      </c>
    </row>
    <row r="840">
      <c r="A840" s="121" t="s">
        <v>1256</v>
      </c>
      <c r="B840" s="91" t="str">
        <f t="shared" si="103"/>
        <v>BD-40</v>
      </c>
      <c r="C840" s="15" t="s">
        <v>154</v>
      </c>
      <c r="D840" s="18" t="s">
        <v>156</v>
      </c>
      <c r="E840" s="39">
        <v>3680.0</v>
      </c>
      <c r="F840" s="83" t="s">
        <v>202</v>
      </c>
      <c r="G840" s="50" t="str">
        <f t="shared" si="98"/>
        <v/>
      </c>
      <c r="H840" s="28"/>
      <c r="I840" s="55">
        <f t="shared" si="2"/>
        <v>4075.59981</v>
      </c>
      <c r="J840" s="81"/>
      <c r="K840" s="60">
        <f>IFERROR(__xludf.DUMMYFUNCTION("IFERROR(VLOOKUP(C840,IMPORTRANGE(""https://docs.google.com/spreadsheets/d/1HZUHB8NvANAZR0sHDmHYVAm2WE9kNv0pGIQA48Ryim8/edit?gid=1285727875#gid=1285727875"",""Sheet1!A2:G""),7,0))"),966.14)</f>
        <v>966.14</v>
      </c>
      <c r="L840" s="62">
        <f t="shared" si="99"/>
        <v>3.808971785</v>
      </c>
      <c r="M840" s="60">
        <f>IFERROR(__xludf.DUMMYFUNCTION("IFERROR(VLOOKUP(C840,IMPORTRANGE(""https://docs.google.com/spreadsheets/d/1HZUHB8NvANAZR0sHDmHYVAm2WE9kNv0pGIQA48Ryim8/edit?gid=1285727875#gid=1285727875"",""Cost!A2:G""),7,0))"),1070.0)</f>
        <v>1070</v>
      </c>
      <c r="N840" s="62" t="str">
        <f t="shared" si="4"/>
        <v/>
      </c>
      <c r="O840" s="28"/>
      <c r="P840" s="28"/>
      <c r="Q840" s="28"/>
      <c r="R840" s="28"/>
      <c r="S840" s="28"/>
      <c r="T840" s="28"/>
      <c r="U840" s="65"/>
      <c r="V840" s="28"/>
      <c r="W840" s="65"/>
      <c r="X840" s="66" t="s">
        <v>154</v>
      </c>
      <c r="Y840" s="65" t="str">
        <f t="shared" si="6"/>
        <v>OPUS 89BD-40</v>
      </c>
    </row>
    <row r="841">
      <c r="A841" s="121" t="s">
        <v>1256</v>
      </c>
      <c r="B841" s="91" t="str">
        <f t="shared" si="103"/>
        <v>BB-89</v>
      </c>
      <c r="C841" s="15" t="s">
        <v>1257</v>
      </c>
      <c r="D841" s="18" t="s">
        <v>78</v>
      </c>
      <c r="E841" s="39">
        <v>2740.0</v>
      </c>
      <c r="F841" s="83" t="s">
        <v>202</v>
      </c>
      <c r="G841" s="50" t="str">
        <f t="shared" si="98"/>
        <v/>
      </c>
      <c r="H841" s="28"/>
      <c r="I841" s="55">
        <f t="shared" si="2"/>
        <v>2994.36191</v>
      </c>
      <c r="J841" s="81"/>
      <c r="K841" s="60">
        <f>IFERROR(__xludf.DUMMYFUNCTION("IFERROR(VLOOKUP(C841,IMPORTRANGE(""https://docs.google.com/spreadsheets/d/1HZUHB8NvANAZR0sHDmHYVAm2WE9kNv0pGIQA48Ryim8/edit?gid=1285727875#gid=1285727875"",""Sheet1!A2:G""),7,0))"),689.95)</f>
        <v>689.95</v>
      </c>
      <c r="L841" s="62">
        <f t="shared" si="99"/>
        <v>3.971302268</v>
      </c>
      <c r="M841" s="60">
        <f>IFERROR(__xludf.DUMMYFUNCTION("IFERROR(VLOOKUP(C841,IMPORTRANGE(""https://docs.google.com/spreadsheets/d/1HZUHB8NvANAZR0sHDmHYVAm2WE9kNv0pGIQA48Ryim8/edit?gid=1285727875#gid=1285727875"",""Cost!A2:G""),7,0))"),754.0)</f>
        <v>754</v>
      </c>
      <c r="N841" s="62" t="str">
        <f t="shared" si="4"/>
        <v/>
      </c>
      <c r="O841" s="28"/>
      <c r="P841" s="28"/>
      <c r="Q841" s="28"/>
      <c r="R841" s="28"/>
      <c r="S841" s="28"/>
      <c r="T841" s="28"/>
      <c r="U841" s="65"/>
      <c r="V841" s="28"/>
      <c r="W841" s="65"/>
      <c r="X841" s="66" t="s">
        <v>159</v>
      </c>
      <c r="Y841" s="65" t="str">
        <f t="shared" si="6"/>
        <v>OPUS 89BB</v>
      </c>
    </row>
    <row r="842">
      <c r="A842" s="121" t="s">
        <v>1256</v>
      </c>
      <c r="B842" s="91">
        <f t="shared" si="103"/>
        <v>8955</v>
      </c>
      <c r="C842" s="15">
        <v>8955.0</v>
      </c>
      <c r="D842" s="18" t="s">
        <v>164</v>
      </c>
      <c r="E842" s="39">
        <v>5480.0</v>
      </c>
      <c r="F842" s="83" t="s">
        <v>202</v>
      </c>
      <c r="G842" s="50" t="str">
        <f t="shared" si="98"/>
        <v/>
      </c>
      <c r="H842" s="28"/>
      <c r="I842" s="55">
        <f t="shared" si="2"/>
        <v>6299.605275</v>
      </c>
      <c r="J842" s="81"/>
      <c r="K842" s="60">
        <f>IFERROR(__xludf.DUMMYFUNCTION("IFERROR(VLOOKUP(C842,IMPORTRANGE(""https://docs.google.com/spreadsheets/d/1HZUHB8NvANAZR0sHDmHYVAm2WE9kNv0pGIQA48Ryim8/edit?gid=1285727875#gid=1285727875"",""Sheet1!A2:G""),7,0))"),1502.31)</f>
        <v>1502.31</v>
      </c>
      <c r="L842" s="62">
        <f t="shared" si="99"/>
        <v>3.647715851</v>
      </c>
      <c r="M842" s="60">
        <f>IFERROR(__xludf.DUMMYFUNCTION("IFERROR(VLOOKUP(C842,IMPORTRANGE(""https://docs.google.com/spreadsheets/d/1HZUHB8NvANAZR0sHDmHYVAm2WE9kNv0pGIQA48Ryim8/edit?gid=1285727875#gid=1285727875"",""Cost!A2:G""),7,0))"),1727.0)</f>
        <v>1727</v>
      </c>
      <c r="N842" s="62" t="str">
        <f t="shared" si="4"/>
        <v/>
      </c>
      <c r="O842" s="28"/>
      <c r="P842" s="28"/>
      <c r="Q842" s="28"/>
      <c r="R842" s="28"/>
      <c r="S842" s="28"/>
      <c r="T842" s="28"/>
      <c r="U842" s="65"/>
      <c r="V842" s="28"/>
      <c r="W842" s="65"/>
      <c r="X842" s="66" t="s">
        <v>162</v>
      </c>
      <c r="Y842" s="65" t="str">
        <f t="shared" si="6"/>
        <v>OPUS 8955</v>
      </c>
    </row>
    <row r="843">
      <c r="A843" s="121" t="s">
        <v>1256</v>
      </c>
      <c r="B843" s="91">
        <f t="shared" si="103"/>
        <v>8956</v>
      </c>
      <c r="C843" s="15">
        <v>8956.0</v>
      </c>
      <c r="D843" s="18" t="s">
        <v>170</v>
      </c>
      <c r="E843" s="75">
        <v>7280.0</v>
      </c>
      <c r="F843" s="83" t="s">
        <v>202</v>
      </c>
      <c r="G843" s="50" t="str">
        <f t="shared" si="98"/>
        <v/>
      </c>
      <c r="H843" s="28"/>
      <c r="I843" s="55">
        <f t="shared" si="2"/>
        <v>8319.206372</v>
      </c>
      <c r="J843" s="81"/>
      <c r="K843" s="60">
        <f>IFERROR(__xludf.DUMMYFUNCTION("IFERROR(VLOOKUP(C843,IMPORTRANGE(""https://docs.google.com/spreadsheets/d/1HZUHB8NvANAZR0sHDmHYVAm2WE9kNv0pGIQA48Ryim8/edit?gid=1285727875#gid=1285727875"",""Sheet1!A2:G""),7,0))"),2096.7)</f>
        <v>2096.7</v>
      </c>
      <c r="L843" s="62">
        <f t="shared" si="99"/>
        <v>3.47212286</v>
      </c>
      <c r="M843" s="60">
        <f>IFERROR(__xludf.DUMMYFUNCTION("IFERROR(VLOOKUP(C843,IMPORTRANGE(""https://docs.google.com/spreadsheets/d/1HZUHB8NvANAZR0sHDmHYVAm2WE9kNv0pGIQA48Ryim8/edit?gid=1285727875#gid=1285727875"",""Cost!A2:G""),7,0))"),2396.0)</f>
        <v>2396</v>
      </c>
      <c r="N843" s="62" t="str">
        <f t="shared" si="4"/>
        <v/>
      </c>
      <c r="O843" s="28"/>
      <c r="P843" s="28"/>
      <c r="Q843" s="28"/>
      <c r="R843" s="28"/>
      <c r="S843" s="28"/>
      <c r="T843" s="28"/>
      <c r="U843" s="65"/>
      <c r="V843" s="28"/>
      <c r="W843" s="65"/>
      <c r="X843" s="66" t="s">
        <v>167</v>
      </c>
      <c r="Y843" s="65" t="str">
        <f t="shared" si="6"/>
        <v>OPUS 8956</v>
      </c>
    </row>
    <row r="844">
      <c r="A844" s="121" t="s">
        <v>1256</v>
      </c>
      <c r="B844" s="91">
        <f t="shared" si="103"/>
        <v>8961</v>
      </c>
      <c r="C844" s="15">
        <v>8961.0</v>
      </c>
      <c r="D844" s="18" t="s">
        <v>179</v>
      </c>
      <c r="E844" s="75">
        <v>7430.0</v>
      </c>
      <c r="F844" s="83" t="s">
        <v>202</v>
      </c>
      <c r="G844" s="50" t="str">
        <f t="shared" si="98"/>
        <v/>
      </c>
      <c r="H844" s="28"/>
      <c r="I844" s="55">
        <f t="shared" si="2"/>
        <v>7551.630774</v>
      </c>
      <c r="J844" s="81"/>
      <c r="K844" s="60">
        <f>IFERROR(__xludf.DUMMYFUNCTION("IFERROR(VLOOKUP(C844,IMPORTRANGE(""https://docs.google.com/spreadsheets/d/1HZUHB8NvANAZR0sHDmHYVAm2WE9kNv0pGIQA48Ryim8/edit?gid=1285727875#gid=1285727875"",""Sheet1!A2:G""),7,0))"),1920.56)</f>
        <v>1920.56</v>
      </c>
      <c r="L844" s="62">
        <f t="shared" si="99"/>
        <v>3.868663307</v>
      </c>
      <c r="M844" s="60">
        <f>IFERROR(__xludf.DUMMYFUNCTION("IFERROR(VLOOKUP(C844,IMPORTRANGE(""https://docs.google.com/spreadsheets/d/1HZUHB8NvANAZR0sHDmHYVAm2WE9kNv0pGIQA48Ryim8/edit?gid=1285727875#gid=1285727875"",""Cost!A2:G""),7,0))"),1952.0)</f>
        <v>1952</v>
      </c>
      <c r="N844" s="62" t="str">
        <f t="shared" si="4"/>
        <v/>
      </c>
      <c r="O844" s="28"/>
      <c r="P844" s="28"/>
      <c r="Q844" s="28"/>
      <c r="R844" s="28"/>
      <c r="S844" s="28"/>
      <c r="T844" s="28"/>
      <c r="U844" s="65"/>
      <c r="V844" s="28"/>
      <c r="W844" s="65"/>
      <c r="X844" s="66" t="s">
        <v>177</v>
      </c>
      <c r="Y844" s="65" t="str">
        <f t="shared" si="6"/>
        <v>OPUS 8961</v>
      </c>
    </row>
    <row r="845">
      <c r="A845" s="121" t="s">
        <v>1256</v>
      </c>
      <c r="B845" s="91">
        <f t="shared" si="103"/>
        <v>8970</v>
      </c>
      <c r="C845" s="15">
        <v>8970.0</v>
      </c>
      <c r="D845" s="18" t="s">
        <v>186</v>
      </c>
      <c r="E845" s="39">
        <v>7640.0</v>
      </c>
      <c r="F845" s="83" t="s">
        <v>202</v>
      </c>
      <c r="G845" s="50" t="str">
        <f t="shared" si="98"/>
        <v/>
      </c>
      <c r="H845" s="28"/>
      <c r="I845" s="55">
        <f t="shared" si="2"/>
        <v>8788.65148</v>
      </c>
      <c r="J845" s="81"/>
      <c r="K845" s="60">
        <f>IFERROR(__xludf.DUMMYFUNCTION("IFERROR(VLOOKUP(C845,IMPORTRANGE(""https://docs.google.com/spreadsheets/d/1HZUHB8NvANAZR0sHDmHYVAm2WE9kNv0pGIQA48Ryim8/edit?gid=1285727875#gid=1285727875"",""Sheet1!A2:G""),7,0))"),2207.16)</f>
        <v>2207.16</v>
      </c>
      <c r="L845" s="62">
        <f t="shared" si="99"/>
        <v>3.461461788</v>
      </c>
      <c r="M845" s="60">
        <f>IFERROR(__xludf.DUMMYFUNCTION("IFERROR(VLOOKUP(C845,IMPORTRANGE(""https://docs.google.com/spreadsheets/d/1HZUHB8NvANAZR0sHDmHYVAm2WE9kNv0pGIQA48Ryim8/edit?gid=1285727875#gid=1285727875"",""Cost!A2:G""),7,0))"),2539.0)</f>
        <v>2539</v>
      </c>
      <c r="N845" s="62" t="str">
        <f t="shared" si="4"/>
        <v/>
      </c>
      <c r="O845" s="28"/>
      <c r="P845" s="28"/>
      <c r="Q845" s="28"/>
      <c r="R845" s="28"/>
      <c r="S845" s="28"/>
      <c r="T845" s="28"/>
      <c r="U845" s="65"/>
      <c r="V845" s="28"/>
      <c r="W845" s="65"/>
      <c r="X845" s="66" t="s">
        <v>184</v>
      </c>
      <c r="Y845" s="65" t="str">
        <f t="shared" si="6"/>
        <v>OPUS 8970</v>
      </c>
    </row>
    <row r="846">
      <c r="A846" s="121" t="s">
        <v>1256</v>
      </c>
      <c r="B846" s="91">
        <f t="shared" si="103"/>
        <v>8971</v>
      </c>
      <c r="C846" s="15">
        <v>8971.0</v>
      </c>
      <c r="D846" s="18" t="s">
        <v>192</v>
      </c>
      <c r="E846" s="75">
        <v>6470.0</v>
      </c>
      <c r="F846" s="83" t="s">
        <v>202</v>
      </c>
      <c r="G846" s="50" t="str">
        <f t="shared" si="98"/>
        <v/>
      </c>
      <c r="H846" s="28"/>
      <c r="I846" s="55">
        <f t="shared" si="2"/>
        <v>7397.850944</v>
      </c>
      <c r="J846" s="81"/>
      <c r="K846" s="60">
        <f>IFERROR(__xludf.DUMMYFUNCTION("IFERROR(VLOOKUP(C846,IMPORTRANGE(""https://docs.google.com/spreadsheets/d/1HZUHB8NvANAZR0sHDmHYVAm2WE9kNv0pGIQA48Ryim8/edit?gid=1285727875#gid=1285727875"",""Sheet1!A2:G""),7,0))"),1742.16)</f>
        <v>1742.16</v>
      </c>
      <c r="L846" s="62">
        <f t="shared" si="99"/>
        <v>3.713780594</v>
      </c>
      <c r="M846" s="60">
        <f>IFERROR(__xludf.DUMMYFUNCTION("IFERROR(VLOOKUP(C846,IMPORTRANGE(""https://docs.google.com/spreadsheets/d/1HZUHB8NvANAZR0sHDmHYVAm2WE9kNv0pGIQA48Ryim8/edit?gid=1285727875#gid=1285727875"",""Cost!A2:G""),7,0))"),1992.0)</f>
        <v>1992</v>
      </c>
      <c r="N846" s="62" t="str">
        <f t="shared" si="4"/>
        <v/>
      </c>
      <c r="O846" s="28"/>
      <c r="P846" s="28"/>
      <c r="Q846" s="28"/>
      <c r="R846" s="28"/>
      <c r="S846" s="28"/>
      <c r="T846" s="28"/>
      <c r="U846" s="65"/>
      <c r="V846" s="28"/>
      <c r="W846" s="65"/>
      <c r="X846" s="66" t="s">
        <v>190</v>
      </c>
      <c r="Y846" s="65" t="str">
        <f t="shared" si="6"/>
        <v>OPUS 8971</v>
      </c>
    </row>
    <row r="847">
      <c r="A847" s="121" t="s">
        <v>1256</v>
      </c>
      <c r="B847" s="91">
        <f t="shared" si="103"/>
        <v>8975</v>
      </c>
      <c r="C847" s="15">
        <v>8975.0</v>
      </c>
      <c r="D847" s="18" t="s">
        <v>196</v>
      </c>
      <c r="E847" s="39">
        <v>7640.0</v>
      </c>
      <c r="F847" s="83" t="s">
        <v>202</v>
      </c>
      <c r="G847" s="50" t="str">
        <f t="shared" si="98"/>
        <v/>
      </c>
      <c r="H847" s="28"/>
      <c r="I847" s="55">
        <f t="shared" si="2"/>
        <v>8782.093725</v>
      </c>
      <c r="J847" s="81"/>
      <c r="K847" s="60">
        <f>IFERROR(__xludf.DUMMYFUNCTION("IFERROR(VLOOKUP(C847,IMPORTRANGE(""https://docs.google.com/spreadsheets/d/1HZUHB8NvANAZR0sHDmHYVAm2WE9kNv0pGIQA48Ryim8/edit?gid=1285727875#gid=1285727875"",""Sheet1!A2:G""),7,0))"),2174.88)</f>
        <v>2174.88</v>
      </c>
      <c r="L847" s="62">
        <f t="shared" si="99"/>
        <v>3.51283749</v>
      </c>
      <c r="M847" s="60">
        <f>IFERROR(__xludf.DUMMYFUNCTION("IFERROR(VLOOKUP(C847,IMPORTRANGE(""https://docs.google.com/spreadsheets/d/1HZUHB8NvANAZR0sHDmHYVAm2WE9kNv0pGIQA48Ryim8/edit?gid=1285727875#gid=1285727875"",""Cost!A2:G""),7,0))"),2500.0)</f>
        <v>2500</v>
      </c>
      <c r="N847" s="62" t="str">
        <f t="shared" si="4"/>
        <v/>
      </c>
      <c r="O847" s="28"/>
      <c r="P847" s="28"/>
      <c r="Q847" s="28"/>
      <c r="R847" s="28"/>
      <c r="S847" s="28"/>
      <c r="T847" s="28"/>
      <c r="U847" s="65"/>
      <c r="V847" s="28"/>
      <c r="W847" s="65"/>
      <c r="X847" s="66" t="s">
        <v>194</v>
      </c>
      <c r="Y847" s="65" t="str">
        <f t="shared" si="6"/>
        <v>OPUS 8975</v>
      </c>
    </row>
    <row r="848">
      <c r="A848" s="121" t="s">
        <v>1256</v>
      </c>
      <c r="B848" s="91">
        <f t="shared" si="103"/>
        <v>8976</v>
      </c>
      <c r="C848" s="15">
        <v>8976.0</v>
      </c>
      <c r="D848" s="18" t="s">
        <v>200</v>
      </c>
      <c r="E848" s="39">
        <v>9980.0</v>
      </c>
      <c r="F848" s="83" t="s">
        <v>202</v>
      </c>
      <c r="G848" s="50" t="str">
        <f t="shared" si="98"/>
        <v/>
      </c>
      <c r="H848" s="28"/>
      <c r="I848" s="55">
        <f t="shared" si="2"/>
        <v>11234.6463</v>
      </c>
      <c r="J848" s="81"/>
      <c r="K848" s="60">
        <f>IFERROR(__xludf.DUMMYFUNCTION("IFERROR(VLOOKUP(C848,IMPORTRANGE(""https://docs.google.com/spreadsheets/d/1HZUHB8NvANAZR0sHDmHYVAm2WE9kNv0pGIQA48Ryim8/edit?gid=1285727875#gid=1285727875"",""Sheet1!A2:G""),7,0))"),3152.66)</f>
        <v>3152.66</v>
      </c>
      <c r="L848" s="62">
        <f t="shared" si="99"/>
        <v>3.165580811</v>
      </c>
      <c r="M848" s="60">
        <f>IFERROR(__xludf.DUMMYFUNCTION("IFERROR(VLOOKUP(C848,IMPORTRANGE(""https://docs.google.com/spreadsheets/d/1HZUHB8NvANAZR0sHDmHYVAm2WE9kNv0pGIQA48Ryim8/edit?gid=1285727875#gid=1285727875"",""Cost!A2:G""),7,0))"),3549.0)</f>
        <v>3549</v>
      </c>
      <c r="N848" s="62" t="str">
        <f t="shared" si="4"/>
        <v/>
      </c>
      <c r="O848" s="28"/>
      <c r="P848" s="28"/>
      <c r="Q848" s="28"/>
      <c r="R848" s="28"/>
      <c r="S848" s="28"/>
      <c r="T848" s="28"/>
      <c r="U848" s="65"/>
      <c r="V848" s="28"/>
      <c r="W848" s="65"/>
      <c r="X848" s="66" t="s">
        <v>198</v>
      </c>
      <c r="Y848" s="65" t="str">
        <f t="shared" si="6"/>
        <v>OPUS 8976</v>
      </c>
    </row>
    <row r="849">
      <c r="A849" s="121" t="s">
        <v>1256</v>
      </c>
      <c r="B849" s="91">
        <f t="shared" si="103"/>
        <v>8980</v>
      </c>
      <c r="C849" s="15">
        <v>8980.0</v>
      </c>
      <c r="D849" s="18" t="s">
        <v>205</v>
      </c>
      <c r="E849" s="39">
        <v>8480.0</v>
      </c>
      <c r="F849" s="83" t="s">
        <v>202</v>
      </c>
      <c r="G849" s="50" t="str">
        <f t="shared" si="98"/>
        <v/>
      </c>
      <c r="H849" s="28"/>
      <c r="I849" s="55">
        <f t="shared" si="2"/>
        <v>9677.428153</v>
      </c>
      <c r="J849" s="81"/>
      <c r="K849" s="60">
        <f>IFERROR(__xludf.DUMMYFUNCTION("IFERROR(VLOOKUP(C849,IMPORTRANGE(""https://docs.google.com/spreadsheets/d/1HZUHB8NvANAZR0sHDmHYVAm2WE9kNv0pGIQA48Ryim8/edit?gid=1285727875#gid=1285727875"",""Sheet1!A2:G""),7,0))"),2346.64)</f>
        <v>2346.64</v>
      </c>
      <c r="L849" s="62">
        <f t="shared" si="99"/>
        <v>3.613677428</v>
      </c>
      <c r="M849" s="60">
        <f>IFERROR(__xludf.DUMMYFUNCTION("IFERROR(VLOOKUP(C849,IMPORTRANGE(""https://docs.google.com/spreadsheets/d/1HZUHB8NvANAZR0sHDmHYVAm2WE9kNv0pGIQA48Ryim8/edit?gid=1285727875#gid=1285727875"",""Cost!A2:G""),7,0))"),2678.0)</f>
        <v>2678</v>
      </c>
      <c r="N849" s="62" t="str">
        <f t="shared" si="4"/>
        <v/>
      </c>
      <c r="O849" s="28"/>
      <c r="P849" s="28"/>
      <c r="Q849" s="28"/>
      <c r="R849" s="28"/>
      <c r="S849" s="28"/>
      <c r="T849" s="28"/>
      <c r="U849" s="65"/>
      <c r="V849" s="28"/>
      <c r="W849" s="65"/>
      <c r="X849" s="66" t="s">
        <v>203</v>
      </c>
      <c r="Y849" s="65" t="str">
        <f t="shared" si="6"/>
        <v>OPUS 8980</v>
      </c>
    </row>
    <row r="850">
      <c r="A850" s="121" t="s">
        <v>1256</v>
      </c>
      <c r="B850" s="91" t="str">
        <f t="shared" si="103"/>
        <v>8991-N</v>
      </c>
      <c r="C850" s="15" t="s">
        <v>1259</v>
      </c>
      <c r="D850" s="18" t="s">
        <v>210</v>
      </c>
      <c r="E850" s="75">
        <f>SUM(E851:E852)</f>
        <v>6310</v>
      </c>
      <c r="F850" s="83" t="s">
        <v>202</v>
      </c>
      <c r="G850" s="50" t="str">
        <f t="shared" si="98"/>
        <v/>
      </c>
      <c r="H850" s="28"/>
      <c r="I850" s="55">
        <f t="shared" si="2"/>
        <v>6943.528883</v>
      </c>
      <c r="J850" s="81"/>
      <c r="K850" s="60">
        <f>IFERROR(__xludf.DUMMYFUNCTION("IFERROR(VLOOKUP(C850,IMPORTRANGE(""https://docs.google.com/spreadsheets/d/1HZUHB8NvANAZR0sHDmHYVAm2WE9kNv0pGIQA48Ryim8/edit?gid=1285727875#gid=1285727875"",""Sheet1!A2:G""),7,0))"),1736.64)</f>
        <v>1736.64</v>
      </c>
      <c r="L850" s="62">
        <f t="shared" si="99"/>
        <v>3.633453105</v>
      </c>
      <c r="M850" s="60">
        <f>IFERROR(__xludf.DUMMYFUNCTION("IFERROR(VLOOKUP(C850,IMPORTRANGE(""https://docs.google.com/spreadsheets/d/1HZUHB8NvANAZR0sHDmHYVAm2WE9kNv0pGIQA48Ryim8/edit?gid=1285727875#gid=1285727875"",""Cost!A2:G""),7,0))"),1911.0)</f>
        <v>1911</v>
      </c>
      <c r="N850" s="62" t="str">
        <f t="shared" si="4"/>
        <v/>
      </c>
      <c r="O850" s="28"/>
      <c r="P850" s="28"/>
      <c r="Q850" s="28"/>
      <c r="R850" s="28"/>
      <c r="S850" s="28"/>
      <c r="T850" s="28"/>
      <c r="U850" s="65"/>
      <c r="V850" s="28"/>
      <c r="W850" s="65"/>
      <c r="X850" s="66" t="s">
        <v>209</v>
      </c>
      <c r="Y850" s="65" t="str">
        <f t="shared" si="6"/>
        <v>OPUS 8991</v>
      </c>
    </row>
    <row r="851">
      <c r="A851" s="121" t="s">
        <v>1256</v>
      </c>
      <c r="B851" s="91" t="str">
        <f t="shared" si="103"/>
        <v>PD-40-N</v>
      </c>
      <c r="C851" s="15" t="s">
        <v>212</v>
      </c>
      <c r="D851" s="18" t="s">
        <v>214</v>
      </c>
      <c r="E851" s="39">
        <v>4240.0</v>
      </c>
      <c r="F851" s="83" t="s">
        <v>202</v>
      </c>
      <c r="G851" s="50" t="str">
        <f t="shared" si="98"/>
        <v/>
      </c>
      <c r="H851" s="28"/>
      <c r="I851" s="55">
        <f t="shared" si="2"/>
        <v>4549.622554</v>
      </c>
      <c r="J851" s="81"/>
      <c r="K851" s="60">
        <f>IFERROR(__xludf.DUMMYFUNCTION("IFERROR(VLOOKUP(C851,IMPORTRANGE(""https://docs.google.com/spreadsheets/d/1HZUHB8NvANAZR0sHDmHYVAm2WE9kNv0pGIQA48Ryim8/edit?gid=1285727875#gid=1285727875"",""Sheet1!A2:G""),7,0))"),1298.2)</f>
        <v>1298.2</v>
      </c>
      <c r="L851" s="62">
        <f t="shared" si="99"/>
        <v>3.266060699</v>
      </c>
      <c r="M851" s="60">
        <f>IFERROR(__xludf.DUMMYFUNCTION("IFERROR(VLOOKUP(C851,IMPORTRANGE(""https://docs.google.com/spreadsheets/d/1HZUHB8NvANAZR0sHDmHYVAm2WE9kNv0pGIQA48Ryim8/edit?gid=1285727875#gid=1285727875"",""Cost!A2:G""),7,0))"),1393.0)</f>
        <v>1393</v>
      </c>
      <c r="N851" s="62" t="str">
        <f t="shared" si="4"/>
        <v/>
      </c>
      <c r="O851" s="28"/>
      <c r="P851" s="28"/>
      <c r="Q851" s="28"/>
      <c r="R851" s="28"/>
      <c r="S851" s="28"/>
      <c r="T851" s="28"/>
      <c r="U851" s="65"/>
      <c r="V851" s="28"/>
      <c r="W851" s="65"/>
      <c r="X851" s="66" t="s">
        <v>212</v>
      </c>
      <c r="Y851" s="65" t="str">
        <f t="shared" si="6"/>
        <v>OPUS 89PD-40-N</v>
      </c>
    </row>
    <row r="852">
      <c r="A852" s="121" t="s">
        <v>1256</v>
      </c>
      <c r="B852" s="91" t="str">
        <f t="shared" si="103"/>
        <v>DB-89-N</v>
      </c>
      <c r="C852" s="15" t="s">
        <v>1260</v>
      </c>
      <c r="D852" s="18" t="s">
        <v>217</v>
      </c>
      <c r="E852" s="39">
        <v>2070.0</v>
      </c>
      <c r="F852" s="83" t="s">
        <v>202</v>
      </c>
      <c r="G852" s="50" t="str">
        <f t="shared" si="98"/>
        <v/>
      </c>
      <c r="H852" s="28"/>
      <c r="I852" s="55">
        <f t="shared" si="2"/>
        <v>2441.54324</v>
      </c>
      <c r="J852" s="81"/>
      <c r="K852" s="60">
        <f>IFERROR(__xludf.DUMMYFUNCTION("IFERROR(VLOOKUP(C852,IMPORTRANGE(""https://docs.google.com/spreadsheets/d/1HZUHB8NvANAZR0sHDmHYVAm2WE9kNv0pGIQA48Ryim8/edit?gid=1285727875#gid=1285727875"",""Sheet1!A2:G""),7,0))"),444.26)</f>
        <v>444.26</v>
      </c>
      <c r="L852" s="62">
        <f t="shared" si="99"/>
        <v>4.659433665</v>
      </c>
      <c r="M852" s="60">
        <f>IFERROR(__xludf.DUMMYFUNCTION("IFERROR(VLOOKUP(C852,IMPORTRANGE(""https://docs.google.com/spreadsheets/d/1HZUHB8NvANAZR0sHDmHYVAm2WE9kNv0pGIQA48Ryim8/edit?gid=1285727875#gid=1285727875"",""Cost!A2:G""),7,0))"),524.0)</f>
        <v>524</v>
      </c>
      <c r="N852" s="62" t="str">
        <f t="shared" si="4"/>
        <v/>
      </c>
      <c r="O852" s="28"/>
      <c r="P852" s="28"/>
      <c r="Q852" s="28"/>
      <c r="R852" s="28"/>
      <c r="S852" s="28"/>
      <c r="T852" s="28"/>
      <c r="U852" s="65"/>
      <c r="V852" s="28"/>
      <c r="W852" s="65"/>
      <c r="X852" s="66" t="s">
        <v>358</v>
      </c>
      <c r="Y852" s="65" t="str">
        <f t="shared" si="6"/>
        <v>OPUS 89DB</v>
      </c>
    </row>
    <row r="853">
      <c r="A853" s="121" t="s">
        <v>1256</v>
      </c>
      <c r="B853" s="91" t="str">
        <f t="shared" si="103"/>
        <v>8992-N</v>
      </c>
      <c r="C853" s="15" t="s">
        <v>1261</v>
      </c>
      <c r="D853" s="18" t="s">
        <v>220</v>
      </c>
      <c r="E853" s="75">
        <f>SUM(E854:E855)</f>
        <v>7050</v>
      </c>
      <c r="F853" s="83" t="s">
        <v>202</v>
      </c>
      <c r="G853" s="50" t="str">
        <f t="shared" si="98"/>
        <v/>
      </c>
      <c r="H853" s="28"/>
      <c r="I853" s="55">
        <f t="shared" si="2"/>
        <v>7906.007121</v>
      </c>
      <c r="J853" s="81"/>
      <c r="K853" s="60">
        <f>IFERROR(__xludf.DUMMYFUNCTION("IFERROR(VLOOKUP(C853,IMPORTRANGE(""https://docs.google.com/spreadsheets/d/1HZUHB8NvANAZR0sHDmHYVAm2WE9kNv0pGIQA48Ryim8/edit?gid=1285727875#gid=1285727875"",""Sheet1!A2:G""),7,0))"),1182.43)</f>
        <v>1182.43</v>
      </c>
      <c r="L853" s="62">
        <f t="shared" si="99"/>
        <v>5.96229798</v>
      </c>
      <c r="M853" s="60">
        <f>IFERROR(__xludf.DUMMYFUNCTION("IFERROR(VLOOKUP(C853,IMPORTRANGE(""https://docs.google.com/spreadsheets/d/1HZUHB8NvANAZR0sHDmHYVAm2WE9kNv0pGIQA48Ryim8/edit?gid=1285727875#gid=1285727875"",""Cost!A2:G""),7,0))"),1326.0)</f>
        <v>1326</v>
      </c>
      <c r="N853" s="62" t="str">
        <f t="shared" si="4"/>
        <v/>
      </c>
      <c r="O853" s="28"/>
      <c r="P853" s="28"/>
      <c r="Q853" s="28"/>
      <c r="R853" s="28"/>
      <c r="S853" s="28"/>
      <c r="T853" s="28"/>
      <c r="U853" s="65"/>
      <c r="V853" s="28"/>
      <c r="W853" s="65"/>
      <c r="X853" s="66" t="s">
        <v>219</v>
      </c>
      <c r="Y853" s="65" t="str">
        <f t="shared" si="6"/>
        <v>OPUS 8992</v>
      </c>
    </row>
    <row r="854">
      <c r="A854" s="121" t="s">
        <v>1256</v>
      </c>
      <c r="B854" s="91" t="str">
        <f t="shared" si="103"/>
        <v>PD-46-H-N</v>
      </c>
      <c r="C854" s="15" t="s">
        <v>223</v>
      </c>
      <c r="D854" s="18" t="s">
        <v>224</v>
      </c>
      <c r="E854" s="39">
        <v>4980.0</v>
      </c>
      <c r="F854" s="83" t="s">
        <v>202</v>
      </c>
      <c r="G854" s="50" t="str">
        <f t="shared" si="98"/>
        <v/>
      </c>
      <c r="H854" s="28"/>
      <c r="I854" s="55">
        <f t="shared" si="2"/>
        <v>5513.426362</v>
      </c>
      <c r="J854" s="81"/>
      <c r="K854" s="60">
        <f>IFERROR(__xludf.DUMMYFUNCTION("IFERROR(VLOOKUP(C854,IMPORTRANGE(""https://docs.google.com/spreadsheets/d/1HZUHB8NvANAZR0sHDmHYVAm2WE9kNv0pGIQA48Ryim8/edit?gid=1285727875#gid=1285727875"",""Sheet1!A2:G""),7,0))"),1581.59)</f>
        <v>1581.59</v>
      </c>
      <c r="L854" s="62">
        <f t="shared" si="99"/>
        <v>3.148730075</v>
      </c>
      <c r="M854" s="60">
        <f>IFERROR(__xludf.DUMMYFUNCTION("IFERROR(VLOOKUP(C854,IMPORTRANGE(""https://docs.google.com/spreadsheets/d/1HZUHB8NvANAZR0sHDmHYVAm2WE9kNv0pGIQA48Ryim8/edit?gid=1285727875#gid=1285727875"",""Cost!A2:G""),7,0))"),1751.0)</f>
        <v>1751</v>
      </c>
      <c r="N854" s="62" t="str">
        <f t="shared" si="4"/>
        <v/>
      </c>
      <c r="O854" s="28"/>
      <c r="P854" s="28"/>
      <c r="Q854" s="28"/>
      <c r="R854" s="28"/>
      <c r="S854" s="28"/>
      <c r="T854" s="28"/>
      <c r="U854" s="65"/>
      <c r="V854" s="28"/>
      <c r="W854" s="65"/>
      <c r="X854" s="66" t="s">
        <v>223</v>
      </c>
      <c r="Y854" s="65" t="str">
        <f t="shared" si="6"/>
        <v>OPUS 89PD-46-H-N</v>
      </c>
    </row>
    <row r="855">
      <c r="A855" s="121" t="s">
        <v>1256</v>
      </c>
      <c r="B855" s="91" t="str">
        <f t="shared" si="103"/>
        <v>DB-89-H-N</v>
      </c>
      <c r="C855" s="15" t="s">
        <v>1262</v>
      </c>
      <c r="D855" s="18" t="s">
        <v>217</v>
      </c>
      <c r="E855" s="39">
        <v>2070.0</v>
      </c>
      <c r="F855" s="83" t="s">
        <v>202</v>
      </c>
      <c r="G855" s="50" t="str">
        <f t="shared" si="98"/>
        <v/>
      </c>
      <c r="H855" s="28"/>
      <c r="I855" s="55">
        <f t="shared" si="2"/>
        <v>2448.377048</v>
      </c>
      <c r="J855" s="81"/>
      <c r="K855" s="60">
        <f>IFERROR(__xludf.DUMMYFUNCTION("IFERROR(VLOOKUP(C855,IMPORTRANGE(""https://docs.google.com/spreadsheets/d/1HZUHB8NvANAZR0sHDmHYVAm2WE9kNv0pGIQA48Ryim8/edit?gid=1285727875#gid=1285727875"",""Sheet1!A2:G""),7,0))"),443.02)</f>
        <v>443.02</v>
      </c>
      <c r="L855" s="62">
        <f t="shared" si="99"/>
        <v>4.672475283</v>
      </c>
      <c r="M855" s="60">
        <f>IFERROR(__xludf.DUMMYFUNCTION("IFERROR(VLOOKUP(C855,IMPORTRANGE(""https://docs.google.com/spreadsheets/d/1HZUHB8NvANAZR0sHDmHYVAm2WE9kNv0pGIQA48Ryim8/edit?gid=1285727875#gid=1285727875"",""Cost!A2:G""),7,0))"),524.0)</f>
        <v>524</v>
      </c>
      <c r="N855" s="62" t="str">
        <f t="shared" si="4"/>
        <v/>
      </c>
      <c r="O855" s="28"/>
      <c r="P855" s="28"/>
      <c r="Q855" s="28"/>
      <c r="R855" s="28"/>
      <c r="S855" s="28"/>
      <c r="T855" s="28"/>
      <c r="U855" s="65"/>
      <c r="V855" s="28"/>
      <c r="W855" s="65"/>
      <c r="X855" s="66" t="s">
        <v>358</v>
      </c>
      <c r="Y855" s="65" t="str">
        <f t="shared" si="6"/>
        <v>OPUS 89DB</v>
      </c>
    </row>
    <row r="856">
      <c r="A856" s="121" t="s">
        <v>1256</v>
      </c>
      <c r="B856" s="91" t="str">
        <f t="shared" si="103"/>
        <v>8992-ON-OFF-N</v>
      </c>
      <c r="C856" s="15" t="s">
        <v>1263</v>
      </c>
      <c r="D856" s="18" t="s">
        <v>229</v>
      </c>
      <c r="E856" s="75">
        <f>SUM(E857:E858)</f>
        <v>7050</v>
      </c>
      <c r="F856" s="83" t="s">
        <v>202</v>
      </c>
      <c r="G856" s="50" t="str">
        <f t="shared" si="98"/>
        <v/>
      </c>
      <c r="H856" s="28"/>
      <c r="I856" s="55">
        <f t="shared" si="2"/>
        <v>8003.460837</v>
      </c>
      <c r="J856" s="81"/>
      <c r="K856" s="60">
        <f>IFERROR(__xludf.DUMMYFUNCTION("IFERROR(VLOOKUP(C856,IMPORTRANGE(""https://docs.google.com/spreadsheets/d/1HZUHB8NvANAZR0sHDmHYVAm2WE9kNv0pGIQA48Ryim8/edit?gid=1285727875#gid=1285727875"",""Sheet1!A2:G""),7,0))"),1814.59)</f>
        <v>1814.59</v>
      </c>
      <c r="L856" s="62">
        <f t="shared" si="99"/>
        <v>3.885175164</v>
      </c>
      <c r="M856" s="60">
        <f>IFERROR(__xludf.DUMMYFUNCTION("IFERROR(VLOOKUP(C856,IMPORTRANGE(""https://docs.google.com/spreadsheets/d/1HZUHB8NvANAZR0sHDmHYVAm2WE9kNv0pGIQA48Ryim8/edit?gid=1285727875#gid=1285727875"",""Cost!A2:G""),7,0))"),2060.0)</f>
        <v>2060</v>
      </c>
      <c r="N856" s="62" t="str">
        <f t="shared" si="4"/>
        <v/>
      </c>
      <c r="O856" s="28"/>
      <c r="P856" s="28"/>
      <c r="Q856" s="28"/>
      <c r="R856" s="28"/>
      <c r="S856" s="28"/>
      <c r="T856" s="28"/>
      <c r="U856" s="65"/>
      <c r="V856" s="28"/>
      <c r="W856" s="65"/>
      <c r="X856" s="66" t="s">
        <v>368</v>
      </c>
      <c r="Y856" s="65" t="str">
        <f t="shared" si="6"/>
        <v>OPUS 8992-ON-OFF</v>
      </c>
    </row>
    <row r="857">
      <c r="A857" s="121" t="s">
        <v>1256</v>
      </c>
      <c r="B857" s="91" t="str">
        <f t="shared" si="103"/>
        <v>PD-46-H-ON-OFF-N</v>
      </c>
      <c r="C857" s="15" t="s">
        <v>234</v>
      </c>
      <c r="D857" s="18" t="s">
        <v>235</v>
      </c>
      <c r="E857" s="39">
        <f>E854-240</f>
        <v>4740</v>
      </c>
      <c r="F857" s="83" t="s">
        <v>202</v>
      </c>
      <c r="G857" s="50" t="str">
        <f t="shared" si="98"/>
        <v/>
      </c>
      <c r="H857" s="28"/>
      <c r="I857" s="55">
        <f t="shared" si="2"/>
        <v>5306.797906</v>
      </c>
      <c r="J857" s="81"/>
      <c r="K857" s="60">
        <f>IFERROR(__xludf.DUMMYFUNCTION("IFERROR(VLOOKUP(C857,IMPORTRANGE(""https://docs.google.com/spreadsheets/d/1HZUHB8NvANAZR0sHDmHYVAm2WE9kNv0pGIQA48Ryim8/edit?gid=1285727875#gid=1285727875"",""Sheet1!A2:G""),7,0))"),1367.48)</f>
        <v>1367.48</v>
      </c>
      <c r="L857" s="62">
        <f t="shared" si="99"/>
        <v>3.466229853</v>
      </c>
      <c r="M857" s="60">
        <f>IFERROR(__xludf.DUMMYFUNCTION("IFERROR(VLOOKUP(C857,IMPORTRANGE(""https://docs.google.com/spreadsheets/d/1HZUHB8NvANAZR0sHDmHYVAm2WE9kNv0pGIQA48Ryim8/edit?gid=1285727875#gid=1285727875"",""Cost!A2:G""),7,0))"),1531.0)</f>
        <v>1531</v>
      </c>
      <c r="N857" s="62" t="str">
        <f t="shared" si="4"/>
        <v/>
      </c>
      <c r="O857" s="28"/>
      <c r="P857" s="28"/>
      <c r="Q857" s="28"/>
      <c r="R857" s="28"/>
      <c r="S857" s="28"/>
      <c r="T857" s="28"/>
      <c r="U857" s="65"/>
      <c r="V857" s="28"/>
      <c r="W857" s="65"/>
      <c r="X857" s="66" t="s">
        <v>371</v>
      </c>
      <c r="Y857" s="65" t="str">
        <f t="shared" si="6"/>
        <v>OPUS 89PD-ON-OFF</v>
      </c>
    </row>
    <row r="858">
      <c r="A858" s="121" t="s">
        <v>1256</v>
      </c>
      <c r="B858" s="91" t="str">
        <f t="shared" si="103"/>
        <v>DB-89-H-ON-OFF-N</v>
      </c>
      <c r="C858" s="15" t="s">
        <v>1264</v>
      </c>
      <c r="D858" s="18" t="s">
        <v>217</v>
      </c>
      <c r="E858" s="75">
        <f>E855+240</f>
        <v>2310</v>
      </c>
      <c r="F858" s="83" t="s">
        <v>202</v>
      </c>
      <c r="G858" s="50" t="str">
        <f t="shared" si="98"/>
        <v/>
      </c>
      <c r="H858" s="28"/>
      <c r="I858" s="55">
        <f t="shared" si="2"/>
        <v>2735.227558</v>
      </c>
      <c r="J858" s="81"/>
      <c r="K858" s="60">
        <f>IFERROR(__xludf.DUMMYFUNCTION("IFERROR(VLOOKUP(C858,IMPORTRANGE(""https://docs.google.com/spreadsheets/d/1HZUHB8NvANAZR0sHDmHYVAm2WE9kNv0pGIQA48Ryim8/edit?gid=1285727875#gid=1285727875"",""Sheet1!A2:G""),7,0))"),437.47)</f>
        <v>437.47</v>
      </c>
      <c r="L858" s="62">
        <f t="shared" si="99"/>
        <v>5.280362082</v>
      </c>
      <c r="M858" s="60">
        <f>IFERROR(__xludf.DUMMYFUNCTION("IFERROR(VLOOKUP(C858,IMPORTRANGE(""https://docs.google.com/spreadsheets/d/1HZUHB8NvANAZR0sHDmHYVAm2WE9kNv0pGIQA48Ryim8/edit?gid=1285727875#gid=1285727875"",""Cost!A2:G""),7,0))"),518.0)</f>
        <v>518</v>
      </c>
      <c r="N858" s="62" t="str">
        <f t="shared" si="4"/>
        <v/>
      </c>
      <c r="O858" s="28"/>
      <c r="P858" s="28"/>
      <c r="Q858" s="28"/>
      <c r="R858" s="28"/>
      <c r="S858" s="28"/>
      <c r="T858" s="28"/>
      <c r="U858" s="65"/>
      <c r="V858" s="28"/>
      <c r="W858" s="65"/>
      <c r="X858" s="66" t="s">
        <v>375</v>
      </c>
      <c r="Y858" s="65" t="str">
        <f t="shared" si="6"/>
        <v>OPUS 89DB-ON-OFF</v>
      </c>
    </row>
    <row r="859">
      <c r="A859" s="121" t="s">
        <v>1256</v>
      </c>
      <c r="B859" s="91" t="str">
        <f t="shared" si="103"/>
        <v>8993-N</v>
      </c>
      <c r="C859" s="15" t="s">
        <v>1265</v>
      </c>
      <c r="D859" s="18" t="s">
        <v>241</v>
      </c>
      <c r="E859" s="75">
        <f>SUM(E860:E861)</f>
        <v>7050</v>
      </c>
      <c r="F859" s="83" t="s">
        <v>202</v>
      </c>
      <c r="G859" s="50" t="str">
        <f t="shared" si="98"/>
        <v/>
      </c>
      <c r="H859" s="28"/>
      <c r="I859" s="55">
        <f t="shared" si="2"/>
        <v>7796.792657</v>
      </c>
      <c r="J859" s="81"/>
      <c r="K859" s="60">
        <f>IFERROR(__xludf.DUMMYFUNCTION("IFERROR(VLOOKUP(C859,IMPORTRANGE(""https://docs.google.com/spreadsheets/d/1HZUHB8NvANAZR0sHDmHYVAm2WE9kNv0pGIQA48Ryim8/edit?gid=1285727875#gid=1285727875"",""Sheet1!A2:G""),7,0))"),1982.95)</f>
        <v>1982.95</v>
      </c>
      <c r="L859" s="62">
        <f t="shared" si="99"/>
        <v>3.555309009</v>
      </c>
      <c r="M859" s="60">
        <f>IFERROR(__xludf.DUMMYFUNCTION("IFERROR(VLOOKUP(C859,IMPORTRANGE(""https://docs.google.com/spreadsheets/d/1HZUHB8NvANAZR0sHDmHYVAm2WE9kNv0pGIQA48Ryim8/edit?gid=1285727875#gid=1285727875"",""Cost!A2:G""),7,0))"),2193.0)</f>
        <v>2193</v>
      </c>
      <c r="N859" s="62" t="str">
        <f t="shared" si="4"/>
        <v/>
      </c>
      <c r="O859" s="28"/>
      <c r="P859" s="28"/>
      <c r="Q859" s="28"/>
      <c r="R859" s="28"/>
      <c r="S859" s="28"/>
      <c r="T859" s="28"/>
      <c r="U859" s="65"/>
      <c r="V859" s="28"/>
      <c r="W859" s="65"/>
      <c r="X859" s="66" t="s">
        <v>239</v>
      </c>
      <c r="Y859" s="65" t="str">
        <f t="shared" si="6"/>
        <v>OPUS 8993</v>
      </c>
    </row>
    <row r="860">
      <c r="A860" s="121" t="s">
        <v>1256</v>
      </c>
      <c r="B860" s="91" t="str">
        <f t="shared" si="103"/>
        <v>PD-3 IN-N</v>
      </c>
      <c r="C860" s="15" t="s">
        <v>243</v>
      </c>
      <c r="D860" s="18" t="s">
        <v>244</v>
      </c>
      <c r="E860" s="39">
        <v>4980.0</v>
      </c>
      <c r="F860" s="83" t="s">
        <v>202</v>
      </c>
      <c r="G860" s="50" t="str">
        <f t="shared" si="98"/>
        <v/>
      </c>
      <c r="H860" s="28"/>
      <c r="I860" s="55">
        <f t="shared" si="2"/>
        <v>5395.785272</v>
      </c>
      <c r="J860" s="81"/>
      <c r="K860" s="60">
        <f>IFERROR(__xludf.DUMMYFUNCTION("IFERROR(VLOOKUP(C860,IMPORTRANGE(""https://docs.google.com/spreadsheets/d/1HZUHB8NvANAZR0sHDmHYVAm2WE9kNv0pGIQA48Ryim8/edit?gid=1285727875#gid=1285727875"",""Sheet1!A2:G""),7,0))"),1543.16)</f>
        <v>1543.16</v>
      </c>
      <c r="L860" s="62">
        <f t="shared" si="99"/>
        <v>3.227144301</v>
      </c>
      <c r="M860" s="60">
        <f>IFERROR(__xludf.DUMMYFUNCTION("IFERROR(VLOOKUP(C860,IMPORTRANGE(""https://docs.google.com/spreadsheets/d/1HZUHB8NvANAZR0sHDmHYVAm2WE9kNv0pGIQA48Ryim8/edit?gid=1285727875#gid=1285727875"",""Cost!A2:G""),7,0))"),1672.0)</f>
        <v>1672</v>
      </c>
      <c r="N860" s="62" t="str">
        <f t="shared" si="4"/>
        <v/>
      </c>
      <c r="O860" s="28"/>
      <c r="P860" s="28"/>
      <c r="Q860" s="28"/>
      <c r="R860" s="28"/>
      <c r="S860" s="28"/>
      <c r="T860" s="28"/>
      <c r="U860" s="65"/>
      <c r="V860" s="28"/>
      <c r="W860" s="65"/>
      <c r="X860" s="66" t="s">
        <v>243</v>
      </c>
      <c r="Y860" s="65" t="str">
        <f t="shared" si="6"/>
        <v>OPUS 89PD-3 IN-N</v>
      </c>
    </row>
    <row r="861">
      <c r="A861" s="121" t="s">
        <v>1256</v>
      </c>
      <c r="B861" s="91" t="str">
        <f t="shared" si="103"/>
        <v>DB-89-3 IN-N</v>
      </c>
      <c r="C861" s="15" t="s">
        <v>1266</v>
      </c>
      <c r="D861" s="18" t="s">
        <v>217</v>
      </c>
      <c r="E861" s="39">
        <v>2070.0</v>
      </c>
      <c r="F861" s="83" t="s">
        <v>202</v>
      </c>
      <c r="G861" s="50" t="str">
        <f t="shared" si="98"/>
        <v/>
      </c>
      <c r="H861" s="28"/>
      <c r="I861" s="55">
        <f t="shared" si="2"/>
        <v>2451.048072</v>
      </c>
      <c r="J861" s="81"/>
      <c r="K861" s="60">
        <f>IFERROR(__xludf.DUMMYFUNCTION("IFERROR(VLOOKUP(C861,IMPORTRANGE(""https://docs.google.com/spreadsheets/d/1HZUHB8NvANAZR0sHDmHYVAm2WE9kNv0pGIQA48Ryim8/edit?gid=1285727875#gid=1285727875"",""Sheet1!A2:G""),7,0))"),437.47)</f>
        <v>437.47</v>
      </c>
      <c r="L861" s="62">
        <f t="shared" si="99"/>
        <v>4.731753034</v>
      </c>
      <c r="M861" s="60">
        <f>IFERROR(__xludf.DUMMYFUNCTION("IFERROR(VLOOKUP(C861,IMPORTRANGE(""https://docs.google.com/spreadsheets/d/1HZUHB8NvANAZR0sHDmHYVAm2WE9kNv0pGIQA48Ryim8/edit?gid=1285727875#gid=1285727875"",""Cost!A2:G""),7,0))"),518.0)</f>
        <v>518</v>
      </c>
      <c r="N861" s="62" t="str">
        <f t="shared" si="4"/>
        <v/>
      </c>
      <c r="O861" s="28"/>
      <c r="P861" s="28"/>
      <c r="Q861" s="28"/>
      <c r="R861" s="28"/>
      <c r="S861" s="28"/>
      <c r="T861" s="28"/>
      <c r="U861" s="65"/>
      <c r="V861" s="28"/>
      <c r="W861" s="65"/>
      <c r="X861" s="66" t="s">
        <v>358</v>
      </c>
      <c r="Y861" s="65" t="str">
        <f t="shared" si="6"/>
        <v>OPUS 89DB</v>
      </c>
    </row>
    <row r="862">
      <c r="A862" s="121" t="s">
        <v>1256</v>
      </c>
      <c r="B862" s="91" t="str">
        <f t="shared" si="103"/>
        <v>8993-ON-OFF-N</v>
      </c>
      <c r="C862" s="15" t="s">
        <v>1267</v>
      </c>
      <c r="D862" s="18" t="s">
        <v>250</v>
      </c>
      <c r="E862" s="75">
        <f>SUM(E863:E864)</f>
        <v>7050</v>
      </c>
      <c r="F862" s="83" t="s">
        <v>202</v>
      </c>
      <c r="G862" s="50" t="str">
        <f t="shared" si="98"/>
        <v/>
      </c>
      <c r="H862" s="28"/>
      <c r="I862" s="55">
        <f t="shared" si="2"/>
        <v>7889.985376</v>
      </c>
      <c r="J862" s="81"/>
      <c r="K862" s="60">
        <f>IFERROR(__xludf.DUMMYFUNCTION("IFERROR(VLOOKUP(C862,IMPORTRANGE(""https://docs.google.com/spreadsheets/d/1HZUHB8NvANAZR0sHDmHYVAm2WE9kNv0pGIQA48Ryim8/edit?gid=1285727875#gid=1285727875"",""Sheet1!A2:G""),7,0))"),2010.46)</f>
        <v>2010.46</v>
      </c>
      <c r="L862" s="62">
        <f t="shared" si="99"/>
        <v>3.506660167</v>
      </c>
      <c r="M862" s="60">
        <f>IFERROR(__xludf.DUMMYFUNCTION("IFERROR(VLOOKUP(C862,IMPORTRANGE(""https://docs.google.com/spreadsheets/d/1HZUHB8NvANAZR0sHDmHYVAm2WE9kNv0pGIQA48Ryim8/edit?gid=1285727875#gid=1285727875"",""Cost!A2:G""),7,0))"),2250.0)</f>
        <v>2250</v>
      </c>
      <c r="N862" s="62" t="str">
        <f t="shared" si="4"/>
        <v/>
      </c>
      <c r="O862" s="28"/>
      <c r="P862" s="28"/>
      <c r="Q862" s="28"/>
      <c r="R862" s="28"/>
      <c r="S862" s="28"/>
      <c r="T862" s="28"/>
      <c r="U862" s="65"/>
      <c r="V862" s="28"/>
      <c r="W862" s="65"/>
      <c r="X862" s="66" t="s">
        <v>410</v>
      </c>
      <c r="Y862" s="65" t="str">
        <f t="shared" si="6"/>
        <v>OPUS 8993-ON-OFF</v>
      </c>
    </row>
    <row r="863">
      <c r="A863" s="121" t="s">
        <v>1256</v>
      </c>
      <c r="B863" s="91" t="str">
        <f t="shared" si="103"/>
        <v>PD-3 IN-ON-OFF-N</v>
      </c>
      <c r="C863" s="15" t="s">
        <v>253</v>
      </c>
      <c r="D863" s="18" t="s">
        <v>256</v>
      </c>
      <c r="E863" s="39">
        <f>E860-240</f>
        <v>4740</v>
      </c>
      <c r="F863" s="83" t="s">
        <v>202</v>
      </c>
      <c r="G863" s="50" t="str">
        <f t="shared" si="98"/>
        <v/>
      </c>
      <c r="H863" s="28"/>
      <c r="I863" s="55">
        <f t="shared" si="2"/>
        <v>5217.019108</v>
      </c>
      <c r="J863" s="81"/>
      <c r="K863" s="60">
        <f>IFERROR(__xludf.DUMMYFUNCTION("IFERROR(VLOOKUP(C863,IMPORTRANGE(""https://docs.google.com/spreadsheets/d/1HZUHB8NvANAZR0sHDmHYVAm2WE9kNv0pGIQA48Ryim8/edit?gid=1285727875#gid=1285727875"",""Sheet1!A2:G""),7,0))"),1570.0)</f>
        <v>1570</v>
      </c>
      <c r="L863" s="62">
        <f t="shared" si="99"/>
        <v>3.01910828</v>
      </c>
      <c r="M863" s="60">
        <f>IFERROR(__xludf.DUMMYFUNCTION("IFERROR(VLOOKUP(C863,IMPORTRANGE(""https://docs.google.com/spreadsheets/d/1HZUHB8NvANAZR0sHDmHYVAm2WE9kNv0pGIQA48Ryim8/edit?gid=1285727875#gid=1285727875"",""Cost!A2:G""),7,0))"),1728.0)</f>
        <v>1728</v>
      </c>
      <c r="N863" s="62" t="str">
        <f t="shared" si="4"/>
        <v/>
      </c>
      <c r="O863" s="28"/>
      <c r="P863" s="28"/>
      <c r="Q863" s="28"/>
      <c r="R863" s="28"/>
      <c r="S863" s="28"/>
      <c r="T863" s="28"/>
      <c r="U863" s="65"/>
      <c r="V863" s="28"/>
      <c r="W863" s="65"/>
      <c r="X863" s="66" t="s">
        <v>371</v>
      </c>
      <c r="Y863" s="65" t="str">
        <f t="shared" si="6"/>
        <v>OPUS 89PD-ON-OFF</v>
      </c>
    </row>
    <row r="864">
      <c r="A864" s="121" t="s">
        <v>1256</v>
      </c>
      <c r="B864" s="91" t="str">
        <f t="shared" si="103"/>
        <v>DB-89-3 IN-ON-OFF-N</v>
      </c>
      <c r="C864" s="15" t="s">
        <v>1268</v>
      </c>
      <c r="D864" s="18" t="s">
        <v>217</v>
      </c>
      <c r="E864" s="75">
        <f>E861+240</f>
        <v>2310</v>
      </c>
      <c r="F864" s="83" t="s">
        <v>202</v>
      </c>
      <c r="G864" s="50" t="str">
        <f t="shared" si="98"/>
        <v/>
      </c>
      <c r="H864" s="28"/>
      <c r="I864" s="55">
        <f t="shared" si="2"/>
        <v>2735.227558</v>
      </c>
      <c r="J864" s="81"/>
      <c r="K864" s="60">
        <f>IFERROR(__xludf.DUMMYFUNCTION("IFERROR(VLOOKUP(C864,IMPORTRANGE(""https://docs.google.com/spreadsheets/d/1HZUHB8NvANAZR0sHDmHYVAm2WE9kNv0pGIQA48Ryim8/edit?gid=1285727875#gid=1285727875"",""Sheet1!A2:G""),7,0))"),437.47)</f>
        <v>437.47</v>
      </c>
      <c r="L864" s="62">
        <f t="shared" si="99"/>
        <v>5.280362082</v>
      </c>
      <c r="M864" s="60">
        <f>IFERROR(__xludf.DUMMYFUNCTION("IFERROR(VLOOKUP(C864,IMPORTRANGE(""https://docs.google.com/spreadsheets/d/1HZUHB8NvANAZR0sHDmHYVAm2WE9kNv0pGIQA48Ryim8/edit?gid=1285727875#gid=1285727875"",""Cost!A2:G""),7,0))"),518.0)</f>
        <v>518</v>
      </c>
      <c r="N864" s="62" t="str">
        <f t="shared" si="4"/>
        <v/>
      </c>
      <c r="O864" s="28"/>
      <c r="P864" s="28"/>
      <c r="Q864" s="28"/>
      <c r="R864" s="28"/>
      <c r="S864" s="28"/>
      <c r="T864" s="28"/>
      <c r="U864" s="65"/>
      <c r="V864" s="28"/>
      <c r="W864" s="65"/>
      <c r="X864" s="66" t="s">
        <v>375</v>
      </c>
      <c r="Y864" s="65" t="str">
        <f t="shared" si="6"/>
        <v>OPUS 89DB-ON-OFF</v>
      </c>
    </row>
    <row r="865">
      <c r="A865" s="18" t="s">
        <v>1269</v>
      </c>
      <c r="B865" s="91">
        <f t="shared" si="103"/>
        <v>8702</v>
      </c>
      <c r="C865" s="15">
        <v>8702.0</v>
      </c>
      <c r="D865" s="18" t="s">
        <v>15</v>
      </c>
      <c r="E865" s="39">
        <v>1690.0</v>
      </c>
      <c r="F865" s="39">
        <v>1880.0</v>
      </c>
      <c r="G865" s="50">
        <f t="shared" si="98"/>
        <v>0.1124260355</v>
      </c>
      <c r="H865" s="28"/>
      <c r="I865" s="55">
        <f t="shared" si="2"/>
        <v>1876.040703</v>
      </c>
      <c r="J865" s="81"/>
      <c r="K865" s="60">
        <f>IFERROR(__xludf.DUMMYFUNCTION("IFERROR(VLOOKUP(C865,IMPORTRANGE(""https://docs.google.com/spreadsheets/d/1HZUHB8NvANAZR0sHDmHYVAm2WE9kNv0pGIQA48Ryim8/edit?gid=1285727875#gid=1285727875"",""Sheet1!A2:G""),7,0))"),540.5)</f>
        <v>540.5</v>
      </c>
      <c r="L865" s="62">
        <f t="shared" si="99"/>
        <v>3.126734505</v>
      </c>
      <c r="M865" s="60">
        <f>IFERROR(__xludf.DUMMYFUNCTION("IFERROR(VLOOKUP(C865,IMPORTRANGE(""https://docs.google.com/spreadsheets/d/1HZUHB8NvANAZR0sHDmHYVAm2WE9kNv0pGIQA48Ryim8/edit?gid=1285727875#gid=1285727875"",""Cost!A2:G""),7,0))"),600.0)</f>
        <v>600</v>
      </c>
      <c r="N865" s="62">
        <f t="shared" si="4"/>
        <v>3.133333333</v>
      </c>
      <c r="O865" s="28"/>
      <c r="P865" s="28"/>
      <c r="Q865" s="28"/>
      <c r="R865" s="28"/>
      <c r="S865" s="28"/>
      <c r="T865" s="28"/>
      <c r="U865" s="65"/>
      <c r="V865" s="28"/>
      <c r="W865" s="65"/>
      <c r="X865" s="66" t="s">
        <v>303</v>
      </c>
      <c r="Y865" s="65" t="str">
        <f t="shared" si="6"/>
        <v>EVIAN 8702</v>
      </c>
    </row>
    <row r="866">
      <c r="A866" s="18" t="s">
        <v>1269</v>
      </c>
      <c r="B866" s="91">
        <f t="shared" si="103"/>
        <v>8703</v>
      </c>
      <c r="C866" s="15">
        <v>8703.0</v>
      </c>
      <c r="D866" s="18" t="s">
        <v>30</v>
      </c>
      <c r="E866" s="39">
        <v>3780.0</v>
      </c>
      <c r="F866" s="39">
        <v>4220.0</v>
      </c>
      <c r="G866" s="50">
        <f t="shared" si="98"/>
        <v>0.1164021164</v>
      </c>
      <c r="H866" s="28"/>
      <c r="I866" s="55">
        <f t="shared" si="2"/>
        <v>4218.927933</v>
      </c>
      <c r="J866" s="81"/>
      <c r="K866" s="60">
        <f>IFERROR(__xludf.DUMMYFUNCTION("IFERROR(VLOOKUP(C866,IMPORTRANGE(""https://docs.google.com/spreadsheets/d/1HZUHB8NvANAZR0sHDmHYVAm2WE9kNv0pGIQA48Ryim8/edit?gid=1285727875#gid=1285727875"",""Sheet1!A2:G""),7,0))"),1280.33)</f>
        <v>1280.33</v>
      </c>
      <c r="L866" s="62">
        <f t="shared" si="99"/>
        <v>2.952363844</v>
      </c>
      <c r="M866" s="60">
        <f>IFERROR(__xludf.DUMMYFUNCTION("IFERROR(VLOOKUP(C866,IMPORTRANGE(""https://docs.google.com/spreadsheets/d/1HZUHB8NvANAZR0sHDmHYVAm2WE9kNv0pGIQA48Ryim8/edit?gid=1285727875#gid=1285727875"",""Cost!A2:G""),7,0))"),1429.0)</f>
        <v>1429</v>
      </c>
      <c r="N866" s="62">
        <f t="shared" si="4"/>
        <v>2.953114066</v>
      </c>
      <c r="O866" s="28"/>
      <c r="P866" s="28"/>
      <c r="Q866" s="28"/>
      <c r="R866" s="28"/>
      <c r="S866" s="28"/>
      <c r="T866" s="28"/>
      <c r="U866" s="65"/>
      <c r="V866" s="28"/>
      <c r="W866" s="65"/>
      <c r="X866" s="66" t="s">
        <v>306</v>
      </c>
      <c r="Y866" s="65" t="str">
        <f t="shared" si="6"/>
        <v>EVIAN 8703</v>
      </c>
    </row>
    <row r="867">
      <c r="A867" s="18" t="s">
        <v>1269</v>
      </c>
      <c r="B867" s="91">
        <f t="shared" si="103"/>
        <v>8704</v>
      </c>
      <c r="C867" s="15">
        <v>8704.0</v>
      </c>
      <c r="D867" s="18" t="s">
        <v>46</v>
      </c>
      <c r="E867" s="75">
        <v>2550.0</v>
      </c>
      <c r="F867" s="39">
        <v>2840.0</v>
      </c>
      <c r="G867" s="50">
        <f t="shared" si="98"/>
        <v>0.1137254902</v>
      </c>
      <c r="H867" s="28"/>
      <c r="I867" s="55">
        <f t="shared" si="2"/>
        <v>2843.073493</v>
      </c>
      <c r="J867" s="81"/>
      <c r="K867" s="60">
        <f>IFERROR(__xludf.DUMMYFUNCTION("IFERROR(VLOOKUP(C867,IMPORTRANGE(""https://docs.google.com/spreadsheets/d/1HZUHB8NvANAZR0sHDmHYVAm2WE9kNv0pGIQA48Ryim8/edit?gid=1285727875#gid=1285727875"",""Sheet1!A2:G""),7,0))"),753.41)</f>
        <v>753.41</v>
      </c>
      <c r="L867" s="62">
        <f t="shared" si="99"/>
        <v>3.384611301</v>
      </c>
      <c r="M867" s="60">
        <f>IFERROR(__xludf.DUMMYFUNCTION("IFERROR(VLOOKUP(C867,IMPORTRANGE(""https://docs.google.com/spreadsheets/d/1HZUHB8NvANAZR0sHDmHYVAm2WE9kNv0pGIQA48Ryim8/edit?gid=1285727875#gid=1285727875"",""Cost!A2:G""),7,0))"),840.0)</f>
        <v>840</v>
      </c>
      <c r="N867" s="62">
        <f t="shared" si="4"/>
        <v>3.380952381</v>
      </c>
      <c r="O867" s="28"/>
      <c r="P867" s="28"/>
      <c r="Q867" s="28"/>
      <c r="R867" s="28"/>
      <c r="S867" s="28"/>
      <c r="T867" s="28"/>
      <c r="U867" s="65"/>
      <c r="V867" s="28"/>
      <c r="W867" s="65"/>
      <c r="X867" s="66" t="s">
        <v>309</v>
      </c>
      <c r="Y867" s="65" t="str">
        <f t="shared" si="6"/>
        <v>EVIAN 8704</v>
      </c>
    </row>
    <row r="868">
      <c r="A868" s="18" t="s">
        <v>1269</v>
      </c>
      <c r="B868" s="91">
        <f t="shared" si="103"/>
        <v>8706</v>
      </c>
      <c r="C868" s="15">
        <v>8706.0</v>
      </c>
      <c r="D868" s="18" t="s">
        <v>67</v>
      </c>
      <c r="E868" s="39">
        <v>1690.0</v>
      </c>
      <c r="F868" s="39">
        <v>1860.0</v>
      </c>
      <c r="G868" s="50">
        <f t="shared" si="98"/>
        <v>0.100591716</v>
      </c>
      <c r="H868" s="28"/>
      <c r="I868" s="55">
        <f t="shared" si="2"/>
        <v>1862.355423</v>
      </c>
      <c r="J868" s="81"/>
      <c r="K868" s="60">
        <f>IFERROR(__xludf.DUMMYFUNCTION("IFERROR(VLOOKUP(C868,IMPORTRANGE(""https://docs.google.com/spreadsheets/d/1HZUHB8NvANAZR0sHDmHYVAm2WE9kNv0pGIQA48Ryim8/edit?gid=1285727875#gid=1285727875"",""Sheet1!A2:G""),7,0))"),530.86)</f>
        <v>530.86</v>
      </c>
      <c r="L868" s="62">
        <f t="shared" si="99"/>
        <v>3.183513544</v>
      </c>
      <c r="M868" s="60">
        <f>IFERROR(__xludf.DUMMYFUNCTION("IFERROR(VLOOKUP(C868,IMPORTRANGE(""https://docs.google.com/spreadsheets/d/1HZUHB8NvANAZR0sHDmHYVAm2WE9kNv0pGIQA48Ryim8/edit?gid=1285727875#gid=1285727875"",""Cost!A2:G""),7,0))"),585.0)</f>
        <v>585</v>
      </c>
      <c r="N868" s="62">
        <f t="shared" si="4"/>
        <v>3.179487179</v>
      </c>
      <c r="O868" s="28"/>
      <c r="P868" s="28"/>
      <c r="Q868" s="28"/>
      <c r="R868" s="28"/>
      <c r="S868" s="28"/>
      <c r="T868" s="28"/>
      <c r="U868" s="65"/>
      <c r="V868" s="28"/>
      <c r="W868" s="65"/>
      <c r="X868" s="66" t="s">
        <v>311</v>
      </c>
      <c r="Y868" s="65" t="str">
        <f t="shared" si="6"/>
        <v>EVIAN 8706</v>
      </c>
    </row>
    <row r="869">
      <c r="A869" s="18" t="s">
        <v>1269</v>
      </c>
      <c r="B869" s="91">
        <f t="shared" si="103"/>
        <v>8708</v>
      </c>
      <c r="C869" s="15">
        <v>8708.0</v>
      </c>
      <c r="D869" s="18" t="s">
        <v>81</v>
      </c>
      <c r="E869" s="75">
        <v>1930.0</v>
      </c>
      <c r="F869" s="39">
        <v>2080.0</v>
      </c>
      <c r="G869" s="50">
        <f t="shared" si="98"/>
        <v>0.07772020725</v>
      </c>
      <c r="H869" s="28"/>
      <c r="I869" s="55">
        <f t="shared" si="2"/>
        <v>2118.19038</v>
      </c>
      <c r="J869" s="81"/>
      <c r="K869" s="60">
        <f>IFERROR(__xludf.DUMMYFUNCTION("IFERROR(VLOOKUP(C869,IMPORTRANGE(""https://docs.google.com/spreadsheets/d/1HZUHB8NvANAZR0sHDmHYVAm2WE9kNv0pGIQA48Ryim8/edit?gid=1285727875#gid=1285727875"",""Sheet1!A2:G""),7,0))"),552.16)</f>
        <v>552.16</v>
      </c>
      <c r="L869" s="62">
        <f t="shared" si="99"/>
        <v>3.495363663</v>
      </c>
      <c r="M869" s="60">
        <f>IFERROR(__xludf.DUMMYFUNCTION("IFERROR(VLOOKUP(C869,IMPORTRANGE(""https://docs.google.com/spreadsheets/d/1HZUHB8NvANAZR0sHDmHYVAm2WE9kNv0pGIQA48Ryim8/edit?gid=1285727875#gid=1285727875"",""Cost!A2:G""),7,0))"),606.0)</f>
        <v>606</v>
      </c>
      <c r="N869" s="62">
        <f t="shared" si="4"/>
        <v>3.432343234</v>
      </c>
      <c r="O869" s="28"/>
      <c r="P869" s="28"/>
      <c r="Q869" s="28"/>
      <c r="R869" s="28"/>
      <c r="S869" s="28"/>
      <c r="T869" s="28"/>
      <c r="U869" s="65"/>
      <c r="V869" s="28"/>
      <c r="W869" s="65"/>
      <c r="X869" s="66" t="s">
        <v>321</v>
      </c>
      <c r="Y869" s="65" t="str">
        <f t="shared" si="6"/>
        <v>EVIAN 8708</v>
      </c>
    </row>
    <row r="870">
      <c r="A870" s="18" t="s">
        <v>1269</v>
      </c>
      <c r="B870" s="91">
        <f t="shared" si="103"/>
        <v>8710</v>
      </c>
      <c r="C870" s="15">
        <v>8710.0</v>
      </c>
      <c r="D870" s="18" t="s">
        <v>89</v>
      </c>
      <c r="E870" s="39">
        <v>1460.0</v>
      </c>
      <c r="F870" s="39">
        <v>1590.0</v>
      </c>
      <c r="G870" s="50">
        <f t="shared" si="98"/>
        <v>0.08904109589</v>
      </c>
      <c r="H870" s="28"/>
      <c r="I870" s="55">
        <f t="shared" si="2"/>
        <v>1599.908469</v>
      </c>
      <c r="J870" s="81"/>
      <c r="K870" s="60">
        <f>IFERROR(__xludf.DUMMYFUNCTION("IFERROR(VLOOKUP(C870,IMPORTRANGE(""https://docs.google.com/spreadsheets/d/1HZUHB8NvANAZR0sHDmHYVAm2WE9kNv0pGIQA48Ryim8/edit?gid=1285727875#gid=1285727875"",""Sheet1!A2:G""),7,0))"),393.31)</f>
        <v>393.31</v>
      </c>
      <c r="L870" s="62">
        <f t="shared" si="99"/>
        <v>3.712084615</v>
      </c>
      <c r="M870" s="60">
        <f>IFERROR(__xludf.DUMMYFUNCTION("IFERROR(VLOOKUP(C870,IMPORTRANGE(""https://docs.google.com/spreadsheets/d/1HZUHB8NvANAZR0sHDmHYVAm2WE9kNv0pGIQA48Ryim8/edit?gid=1285727875#gid=1285727875"",""Cost!A2:G""),7,0))"),431.0)</f>
        <v>431</v>
      </c>
      <c r="N870" s="62">
        <f t="shared" si="4"/>
        <v>3.689095128</v>
      </c>
      <c r="O870" s="28"/>
      <c r="P870" s="28"/>
      <c r="Q870" s="28"/>
      <c r="R870" s="28"/>
      <c r="S870" s="28"/>
      <c r="T870" s="28"/>
      <c r="U870" s="65"/>
      <c r="V870" s="28"/>
      <c r="W870" s="65"/>
      <c r="X870" s="66" t="s">
        <v>87</v>
      </c>
      <c r="Y870" s="65" t="str">
        <f t="shared" si="6"/>
        <v>EVIAN 8710</v>
      </c>
    </row>
    <row r="871">
      <c r="A871" s="18" t="s">
        <v>1269</v>
      </c>
      <c r="B871" s="91">
        <f t="shared" si="103"/>
        <v>8711</v>
      </c>
      <c r="C871" s="15">
        <v>8711.0</v>
      </c>
      <c r="D871" s="18" t="s">
        <v>94</v>
      </c>
      <c r="E871" s="39">
        <v>2190.0</v>
      </c>
      <c r="F871" s="39">
        <v>2440.0</v>
      </c>
      <c r="G871" s="50">
        <f t="shared" si="98"/>
        <v>0.1141552511</v>
      </c>
      <c r="H871" s="28"/>
      <c r="I871" s="55">
        <f t="shared" si="2"/>
        <v>2442.973666</v>
      </c>
      <c r="J871" s="81"/>
      <c r="K871" s="60">
        <f>IFERROR(__xludf.DUMMYFUNCTION("IFERROR(VLOOKUP(C871,IMPORTRANGE(""https://docs.google.com/spreadsheets/d/1HZUHB8NvANAZR0sHDmHYVAm2WE9kNv0pGIQA48Ryim8/edit?gid=1285727875#gid=1285727875"",""Sheet1!A2:G""),7,0))"),643.65)</f>
        <v>643.65</v>
      </c>
      <c r="L871" s="62">
        <f t="shared" si="99"/>
        <v>3.402470287</v>
      </c>
      <c r="M871" s="60">
        <f>IFERROR(__xludf.DUMMYFUNCTION("IFERROR(VLOOKUP(C871,IMPORTRANGE(""https://docs.google.com/spreadsheets/d/1HZUHB8NvANAZR0sHDmHYVAm2WE9kNv0pGIQA48Ryim8/edit?gid=1285727875#gid=1285727875"",""Cost!A2:G""),7,0))"),718.0)</f>
        <v>718</v>
      </c>
      <c r="N871" s="62">
        <f t="shared" si="4"/>
        <v>3.398328691</v>
      </c>
      <c r="O871" s="28"/>
      <c r="P871" s="28"/>
      <c r="Q871" s="28"/>
      <c r="R871" s="28"/>
      <c r="S871" s="28"/>
      <c r="T871" s="28"/>
      <c r="U871" s="65"/>
      <c r="V871" s="28"/>
      <c r="W871" s="65"/>
      <c r="X871" s="66" t="s">
        <v>91</v>
      </c>
      <c r="Y871" s="65" t="str">
        <f t="shared" si="6"/>
        <v>EVIAN 8711</v>
      </c>
    </row>
    <row r="872">
      <c r="A872" s="18" t="s">
        <v>1269</v>
      </c>
      <c r="B872" s="91">
        <f t="shared" si="103"/>
        <v>8712</v>
      </c>
      <c r="C872" s="15">
        <v>8712.0</v>
      </c>
      <c r="D872" s="18" t="s">
        <v>97</v>
      </c>
      <c r="E872" s="75">
        <v>2580.0</v>
      </c>
      <c r="F872" s="39">
        <v>2870.0</v>
      </c>
      <c r="G872" s="50">
        <f t="shared" si="98"/>
        <v>0.1124031008</v>
      </c>
      <c r="H872" s="28"/>
      <c r="I872" s="55">
        <f t="shared" si="2"/>
        <v>2873.375837</v>
      </c>
      <c r="J872" s="81"/>
      <c r="K872" s="60">
        <f>IFERROR(__xludf.DUMMYFUNCTION("IFERROR(VLOOKUP(C872,IMPORTRANGE(""https://docs.google.com/spreadsheets/d/1HZUHB8NvANAZR0sHDmHYVAm2WE9kNv0pGIQA48Ryim8/edit?gid=1285727875#gid=1285727875"",""Sheet1!A2:G""),7,0))"),743.46)</f>
        <v>743.46</v>
      </c>
      <c r="L872" s="62">
        <f t="shared" si="99"/>
        <v>3.470260673</v>
      </c>
      <c r="M872" s="60">
        <f>IFERROR(__xludf.DUMMYFUNCTION("IFERROR(VLOOKUP(C872,IMPORTRANGE(""https://docs.google.com/spreadsheets/d/1HZUHB8NvANAZR0sHDmHYVAm2WE9kNv0pGIQA48Ryim8/edit?gid=1285727875#gid=1285727875"",""Cost!A2:G""),7,0))"),828.0)</f>
        <v>828</v>
      </c>
      <c r="N872" s="62">
        <f t="shared" si="4"/>
        <v>3.466183575</v>
      </c>
      <c r="O872" s="28"/>
      <c r="P872" s="28"/>
      <c r="Q872" s="28"/>
      <c r="R872" s="28"/>
      <c r="S872" s="28"/>
      <c r="T872" s="28"/>
      <c r="U872" s="65"/>
      <c r="V872" s="28"/>
      <c r="W872" s="65"/>
      <c r="X872" s="66" t="s">
        <v>95</v>
      </c>
      <c r="Y872" s="65" t="str">
        <f t="shared" si="6"/>
        <v>EVIAN 8712</v>
      </c>
    </row>
    <row r="873">
      <c r="A873" s="18" t="s">
        <v>1269</v>
      </c>
      <c r="B873" s="91">
        <f t="shared" si="103"/>
        <v>8714</v>
      </c>
      <c r="C873" s="15">
        <v>8714.0</v>
      </c>
      <c r="D873" s="18" t="s">
        <v>106</v>
      </c>
      <c r="E873" s="39">
        <v>2880.0</v>
      </c>
      <c r="F873" s="39">
        <v>3140.0</v>
      </c>
      <c r="G873" s="50">
        <f t="shared" si="98"/>
        <v>0.09027777778</v>
      </c>
      <c r="H873" s="28"/>
      <c r="I873" s="55">
        <f t="shared" si="2"/>
        <v>3096.313259</v>
      </c>
      <c r="J873" s="81"/>
      <c r="K873" s="60">
        <f>IFERROR(__xludf.DUMMYFUNCTION("IFERROR(VLOOKUP(C873,IMPORTRANGE(""https://docs.google.com/spreadsheets/d/1HZUHB8NvANAZR0sHDmHYVAm2WE9kNv0pGIQA48Ryim8/edit?gid=1285727875#gid=1285727875"",""Sheet1!A2:G""),7,0))"),873.4)</f>
        <v>873.4</v>
      </c>
      <c r="L873" s="62">
        <f t="shared" si="99"/>
        <v>3.297458209</v>
      </c>
      <c r="M873" s="60">
        <f>IFERROR(__xludf.DUMMYFUNCTION("IFERROR(VLOOKUP(C873,IMPORTRANGE(""https://docs.google.com/spreadsheets/d/1HZUHB8NvANAZR0sHDmHYVAm2WE9kNv0pGIQA48Ryim8/edit?gid=1285727875#gid=1285727875"",""Cost!A2:G""),7,0))"),939.0)</f>
        <v>939</v>
      </c>
      <c r="N873" s="62">
        <f t="shared" si="4"/>
        <v>3.343982961</v>
      </c>
      <c r="O873" s="28"/>
      <c r="P873" s="28"/>
      <c r="Q873" s="28"/>
      <c r="R873" s="28"/>
      <c r="S873" s="28"/>
      <c r="T873" s="28"/>
      <c r="U873" s="65"/>
      <c r="V873" s="28"/>
      <c r="W873" s="65"/>
      <c r="X873" s="66" t="s">
        <v>104</v>
      </c>
      <c r="Y873" s="65" t="str">
        <f t="shared" si="6"/>
        <v>EVIAN 8714</v>
      </c>
    </row>
    <row r="874">
      <c r="A874" s="18" t="s">
        <v>1269</v>
      </c>
      <c r="B874" s="91">
        <f t="shared" si="103"/>
        <v>8716</v>
      </c>
      <c r="C874" s="15">
        <v>8716.0</v>
      </c>
      <c r="D874" s="18" t="s">
        <v>112</v>
      </c>
      <c r="E874" s="75">
        <v>2690.0</v>
      </c>
      <c r="F874" s="39">
        <v>2970.0</v>
      </c>
      <c r="G874" s="50">
        <f t="shared" si="98"/>
        <v>0.1040892193</v>
      </c>
      <c r="H874" s="28"/>
      <c r="I874" s="55">
        <f t="shared" si="2"/>
        <v>2945.122477</v>
      </c>
      <c r="J874" s="81"/>
      <c r="K874" s="60">
        <f>IFERROR(__xludf.DUMMYFUNCTION("IFERROR(VLOOKUP(C874,IMPORTRANGE(""https://docs.google.com/spreadsheets/d/1HZUHB8NvANAZR0sHDmHYVAm2WE9kNv0pGIQA48Ryim8/edit?gid=1285727875#gid=1285727875"",""Sheet1!A2:G""),7,0))"),811.99)</f>
        <v>811.99</v>
      </c>
      <c r="L874" s="62">
        <f t="shared" si="99"/>
        <v>3.31284868</v>
      </c>
      <c r="M874" s="60">
        <f>IFERROR(__xludf.DUMMYFUNCTION("IFERROR(VLOOKUP(C874,IMPORTRANGE(""https://docs.google.com/spreadsheets/d/1HZUHB8NvANAZR0sHDmHYVAm2WE9kNv0pGIQA48Ryim8/edit?gid=1285727875#gid=1285727875"",""Cost!A2:G""),7,0))"),889.0)</f>
        <v>889</v>
      </c>
      <c r="N874" s="62">
        <f t="shared" si="4"/>
        <v>3.340832396</v>
      </c>
      <c r="O874" s="28"/>
      <c r="P874" s="28"/>
      <c r="Q874" s="28"/>
      <c r="R874" s="28"/>
      <c r="S874" s="28"/>
      <c r="T874" s="28"/>
      <c r="U874" s="65"/>
      <c r="V874" s="28"/>
      <c r="W874" s="65"/>
      <c r="X874" s="66" t="s">
        <v>110</v>
      </c>
      <c r="Y874" s="65" t="str">
        <f t="shared" si="6"/>
        <v>EVIAN 8716</v>
      </c>
    </row>
    <row r="875">
      <c r="A875" s="18" t="s">
        <v>1269</v>
      </c>
      <c r="B875" s="91">
        <f t="shared" si="103"/>
        <v>8718</v>
      </c>
      <c r="C875" s="15">
        <v>8718.0</v>
      </c>
      <c r="D875" s="18" t="s">
        <v>119</v>
      </c>
      <c r="E875" s="39">
        <v>1930.0</v>
      </c>
      <c r="F875" s="39">
        <v>2120.0</v>
      </c>
      <c r="G875" s="50">
        <f t="shared" si="98"/>
        <v>0.09844559585</v>
      </c>
      <c r="H875" s="28"/>
      <c r="I875" s="55">
        <f t="shared" si="2"/>
        <v>2151.125215</v>
      </c>
      <c r="J875" s="81"/>
      <c r="K875" s="60">
        <f>IFERROR(__xludf.DUMMYFUNCTION("IFERROR(VLOOKUP(C875,IMPORTRANGE(""https://docs.google.com/spreadsheets/d/1HZUHB8NvANAZR0sHDmHYVAm2WE9kNv0pGIQA48Ryim8/edit?gid=1285727875#gid=1285727875"",""Sheet1!A2:G""),7,0))"),516.79)</f>
        <v>516.79</v>
      </c>
      <c r="L875" s="62">
        <f t="shared" si="99"/>
        <v>3.734592388</v>
      </c>
      <c r="M875" s="60">
        <f>IFERROR(__xludf.DUMMYFUNCTION("IFERROR(VLOOKUP(C875,IMPORTRANGE(""https://docs.google.com/spreadsheets/d/1HZUHB8NvANAZR0sHDmHYVAm2WE9kNv0pGIQA48Ryim8/edit?gid=1285727875#gid=1285727875"",""Cost!A2:G""),7,0))"),576.0)</f>
        <v>576</v>
      </c>
      <c r="N875" s="62">
        <f t="shared" si="4"/>
        <v>3.680555556</v>
      </c>
      <c r="O875" s="28"/>
      <c r="P875" s="28"/>
      <c r="Q875" s="28"/>
      <c r="R875" s="28"/>
      <c r="S875" s="28"/>
      <c r="T875" s="28"/>
      <c r="U875" s="65"/>
      <c r="V875" s="28"/>
      <c r="W875" s="65"/>
      <c r="X875" s="66" t="s">
        <v>117</v>
      </c>
      <c r="Y875" s="65" t="str">
        <f t="shared" si="6"/>
        <v>EVIAN 8718</v>
      </c>
    </row>
    <row r="876">
      <c r="A876" s="18" t="s">
        <v>1269</v>
      </c>
      <c r="B876" s="91">
        <f t="shared" si="103"/>
        <v>8720</v>
      </c>
      <c r="C876" s="15">
        <v>8720.0</v>
      </c>
      <c r="D876" s="18" t="s">
        <v>122</v>
      </c>
      <c r="E876" s="39">
        <v>1990.0</v>
      </c>
      <c r="F876" s="39">
        <v>2180.0</v>
      </c>
      <c r="G876" s="50">
        <f t="shared" si="98"/>
        <v>0.09547738693</v>
      </c>
      <c r="H876" s="28"/>
      <c r="I876" s="55">
        <f t="shared" si="2"/>
        <v>2222.170952</v>
      </c>
      <c r="J876" s="81"/>
      <c r="K876" s="60">
        <f>IFERROR(__xludf.DUMMYFUNCTION("IFERROR(VLOOKUP(C876,IMPORTRANGE(""https://docs.google.com/spreadsheets/d/1HZUHB8NvANAZR0sHDmHYVAm2WE9kNv0pGIQA48Ryim8/edit?gid=1285727875#gid=1285727875"",""Sheet1!A2:G""),7,0))"),541.79)</f>
        <v>541.79</v>
      </c>
      <c r="L876" s="62">
        <f t="shared" si="99"/>
        <v>3.673009838</v>
      </c>
      <c r="M876" s="60">
        <f>IFERROR(__xludf.DUMMYFUNCTION("IFERROR(VLOOKUP(C876,IMPORTRANGE(""https://docs.google.com/spreadsheets/d/1HZUHB8NvANAZR0sHDmHYVAm2WE9kNv0pGIQA48Ryim8/edit?gid=1285727875#gid=1285727875"",""Cost!A2:G""),7,0))"),605.0)</f>
        <v>605</v>
      </c>
      <c r="N876" s="62">
        <f t="shared" si="4"/>
        <v>3.603305785</v>
      </c>
      <c r="O876" s="28"/>
      <c r="P876" s="28"/>
      <c r="Q876" s="28"/>
      <c r="R876" s="28"/>
      <c r="S876" s="28"/>
      <c r="T876" s="28"/>
      <c r="U876" s="65"/>
      <c r="V876" s="28"/>
      <c r="W876" s="65"/>
      <c r="X876" s="66" t="s">
        <v>120</v>
      </c>
      <c r="Y876" s="65" t="str">
        <f t="shared" si="6"/>
        <v>EVIAN 8720</v>
      </c>
    </row>
    <row r="877">
      <c r="A877" s="18" t="s">
        <v>1269</v>
      </c>
      <c r="B877" s="91">
        <f t="shared" si="103"/>
        <v>8750</v>
      </c>
      <c r="C877" s="15">
        <v>8750.0</v>
      </c>
      <c r="D877" s="18" t="s">
        <v>136</v>
      </c>
      <c r="E877" s="39">
        <v>4980.0</v>
      </c>
      <c r="F877" s="39">
        <v>5450.0</v>
      </c>
      <c r="G877" s="50">
        <f t="shared" si="98"/>
        <v>0.09437751004</v>
      </c>
      <c r="H877" s="28"/>
      <c r="I877" s="55">
        <f t="shared" si="2"/>
        <v>5453.131408</v>
      </c>
      <c r="J877" s="81"/>
      <c r="K877" s="60">
        <f>IFERROR(__xludf.DUMMYFUNCTION("IFERROR(VLOOKUP(C877,IMPORTRANGE(""https://docs.google.com/spreadsheets/d/1HZUHB8NvANAZR0sHDmHYVAm2WE9kNv0pGIQA48Ryim8/edit?gid=1285727875#gid=1285727875"",""Sheet1!A2:G""),7,0))"),1292.23)</f>
        <v>1292.23</v>
      </c>
      <c r="L877" s="62">
        <f t="shared" si="99"/>
        <v>3.853803116</v>
      </c>
      <c r="M877" s="60">
        <f>IFERROR(__xludf.DUMMYFUNCTION("IFERROR(VLOOKUP(C877,IMPORTRANGE(""https://docs.google.com/spreadsheets/d/1HZUHB8NvANAZR0sHDmHYVAm2WE9kNv0pGIQA48Ryim8/edit?gid=1285727875#gid=1285727875"",""Cost!A2:G""),7,0))"),1415.0)</f>
        <v>1415</v>
      </c>
      <c r="N877" s="62">
        <f t="shared" si="4"/>
        <v>3.851590106</v>
      </c>
      <c r="O877" s="28"/>
      <c r="P877" s="28"/>
      <c r="Q877" s="28"/>
      <c r="R877" s="28"/>
      <c r="S877" s="28"/>
      <c r="T877" s="28"/>
      <c r="U877" s="65"/>
      <c r="V877" s="28"/>
      <c r="W877" s="65"/>
      <c r="X877" s="66" t="s">
        <v>134</v>
      </c>
      <c r="Y877" s="65" t="str">
        <f t="shared" si="6"/>
        <v>EVIAN 8750</v>
      </c>
    </row>
    <row r="878">
      <c r="A878" s="18" t="s">
        <v>1269</v>
      </c>
      <c r="B878" s="91">
        <f t="shared" si="103"/>
        <v>8751</v>
      </c>
      <c r="C878" s="15">
        <v>8751.0</v>
      </c>
      <c r="D878" s="18" t="s">
        <v>141</v>
      </c>
      <c r="E878" s="39">
        <v>4290.0</v>
      </c>
      <c r="F878" s="39">
        <v>4680.0</v>
      </c>
      <c r="G878" s="50">
        <f t="shared" si="98"/>
        <v>0.09090909091</v>
      </c>
      <c r="H878" s="28"/>
      <c r="I878" s="55">
        <f t="shared" si="2"/>
        <v>4791.103516</v>
      </c>
      <c r="J878" s="81"/>
      <c r="K878" s="60">
        <f>IFERROR(__xludf.DUMMYFUNCTION("IFERROR(VLOOKUP(C878,IMPORTRANGE(""https://docs.google.com/spreadsheets/d/1HZUHB8NvANAZR0sHDmHYVAm2WE9kNv0pGIQA48Ryim8/edit?gid=1285727875#gid=1285727875"",""Sheet1!A2:G""),7,0))"),1158.66)</f>
        <v>1158.66</v>
      </c>
      <c r="L878" s="62">
        <f t="shared" si="99"/>
        <v>3.702552949</v>
      </c>
      <c r="M878" s="60">
        <f>IFERROR(__xludf.DUMMYFUNCTION("IFERROR(VLOOKUP(C878,IMPORTRANGE(""https://docs.google.com/spreadsheets/d/1HZUHB8NvANAZR0sHDmHYVAm2WE9kNv0pGIQA48Ryim8/edit?gid=1285727875#gid=1285727875"",""Cost!A2:G""),7,0))"),1294.0)</f>
        <v>1294</v>
      </c>
      <c r="N878" s="62">
        <f t="shared" si="4"/>
        <v>3.616692427</v>
      </c>
      <c r="O878" s="28"/>
      <c r="P878" s="28"/>
      <c r="Q878" s="28"/>
      <c r="R878" s="28"/>
      <c r="S878" s="28"/>
      <c r="T878" s="28"/>
      <c r="U878" s="65"/>
      <c r="V878" s="28"/>
      <c r="W878" s="65"/>
      <c r="X878" s="66" t="s">
        <v>139</v>
      </c>
      <c r="Y878" s="65" t="str">
        <f t="shared" si="6"/>
        <v>EVIAN 8751</v>
      </c>
    </row>
    <row r="879">
      <c r="A879" s="18" t="s">
        <v>1269</v>
      </c>
      <c r="B879" s="91">
        <f t="shared" si="103"/>
        <v>8752</v>
      </c>
      <c r="C879" s="15">
        <v>8752.0</v>
      </c>
      <c r="D879" s="18" t="s">
        <v>147</v>
      </c>
      <c r="E879" s="75">
        <v>6240.0</v>
      </c>
      <c r="F879" s="39">
        <v>6760.0</v>
      </c>
      <c r="G879" s="50">
        <f t="shared" si="98"/>
        <v>0.08333333333</v>
      </c>
      <c r="H879" s="28"/>
      <c r="I879" s="55">
        <f t="shared" si="2"/>
        <v>6958.548625</v>
      </c>
      <c r="J879" s="81"/>
      <c r="K879" s="60">
        <f>IFERROR(__xludf.DUMMYFUNCTION("IFERROR(VLOOKUP(C879,IMPORTRANGE(""https://docs.google.com/spreadsheets/d/1HZUHB8NvANAZR0sHDmHYVAm2WE9kNv0pGIQA48Ryim8/edit?gid=1285727875#gid=1285727875"",""Sheet1!A2:G""),7,0))"),1908.26)</f>
        <v>1908.26</v>
      </c>
      <c r="L879" s="62">
        <f t="shared" si="99"/>
        <v>3.269994655</v>
      </c>
      <c r="M879" s="60">
        <f>IFERROR(__xludf.DUMMYFUNCTION("IFERROR(VLOOKUP(C879,IMPORTRANGE(""https://docs.google.com/spreadsheets/d/1HZUHB8NvANAZR0sHDmHYVAm2WE9kNv0pGIQA48Ryim8/edit?gid=1285727875#gid=1285727875"",""Cost!A2:G""),7,0))"),2128.0)</f>
        <v>2128</v>
      </c>
      <c r="N879" s="62">
        <f t="shared" si="4"/>
        <v>3.176691729</v>
      </c>
      <c r="O879" s="28"/>
      <c r="P879" s="28"/>
      <c r="Q879" s="28"/>
      <c r="R879" s="28"/>
      <c r="S879" s="28"/>
      <c r="T879" s="28"/>
      <c r="U879" s="65"/>
      <c r="V879" s="28"/>
      <c r="W879" s="65"/>
      <c r="X879" s="66" t="s">
        <v>144</v>
      </c>
      <c r="Y879" s="65" t="str">
        <f t="shared" si="6"/>
        <v>EVIAN 8752</v>
      </c>
    </row>
    <row r="880">
      <c r="A880" s="18" t="s">
        <v>1269</v>
      </c>
      <c r="B880" s="91">
        <f t="shared" si="103"/>
        <v>8754</v>
      </c>
      <c r="C880" s="15">
        <v>8754.0</v>
      </c>
      <c r="D880" s="18" t="s">
        <v>152</v>
      </c>
      <c r="E880" s="75">
        <f t="shared" ref="E880:F880" si="122">SUM(E881:E882)</f>
        <v>6420</v>
      </c>
      <c r="F880" s="75">
        <f t="shared" si="122"/>
        <v>6980</v>
      </c>
      <c r="G880" s="50">
        <f t="shared" si="98"/>
        <v>0.08722741433</v>
      </c>
      <c r="H880" s="28"/>
      <c r="I880" s="55">
        <f t="shared" si="2"/>
        <v>6971.121288</v>
      </c>
      <c r="J880" s="81"/>
      <c r="K880" s="60">
        <f>IFERROR(__xludf.DUMMYFUNCTION("IFERROR(VLOOKUP(C880,IMPORTRANGE(""https://docs.google.com/spreadsheets/d/1HZUHB8NvANAZR0sHDmHYVAm2WE9kNv0pGIQA48Ryim8/edit?gid=1285727875#gid=1285727875"",""Sheet1!A2:G""),7,0))"),1642.04)</f>
        <v>1642.04</v>
      </c>
      <c r="L880" s="62">
        <f t="shared" si="99"/>
        <v>3.909770773</v>
      </c>
      <c r="M880" s="60">
        <f>IFERROR(__xludf.DUMMYFUNCTION("IFERROR(VLOOKUP(C880,IMPORTRANGE(""https://docs.google.com/spreadsheets/d/1HZUHB8NvANAZR0sHDmHYVAm2WE9kNv0pGIQA48Ryim8/edit?gid=1285727875#gid=1285727875"",""Cost!A2:G""),7,0))"),1783.0)</f>
        <v>1783</v>
      </c>
      <c r="N880" s="62">
        <f t="shared" si="4"/>
        <v>3.914750421</v>
      </c>
      <c r="O880" s="28"/>
      <c r="P880" s="28"/>
      <c r="Q880" s="28"/>
      <c r="R880" s="28"/>
      <c r="S880" s="28"/>
      <c r="T880" s="28"/>
      <c r="U880" s="65"/>
      <c r="V880" s="28"/>
      <c r="W880" s="65"/>
      <c r="X880" s="66" t="s">
        <v>150</v>
      </c>
      <c r="Y880" s="65" t="str">
        <f t="shared" si="6"/>
        <v>EVIAN 8754</v>
      </c>
    </row>
    <row r="881">
      <c r="A881" s="18" t="s">
        <v>1269</v>
      </c>
      <c r="B881" s="91" t="str">
        <f t="shared" si="103"/>
        <v>BD-40</v>
      </c>
      <c r="C881" s="15" t="s">
        <v>154</v>
      </c>
      <c r="D881" s="18" t="s">
        <v>156</v>
      </c>
      <c r="E881" s="39">
        <v>3680.0</v>
      </c>
      <c r="F881" s="39">
        <v>3990.0</v>
      </c>
      <c r="G881" s="50">
        <f t="shared" si="98"/>
        <v>0.08423913043</v>
      </c>
      <c r="H881" s="28"/>
      <c r="I881" s="55">
        <f t="shared" si="2"/>
        <v>4075.59981</v>
      </c>
      <c r="J881" s="81"/>
      <c r="K881" s="60">
        <f>IFERROR(__xludf.DUMMYFUNCTION("IFERROR(VLOOKUP(C881,IMPORTRANGE(""https://docs.google.com/spreadsheets/d/1HZUHB8NvANAZR0sHDmHYVAm2WE9kNv0pGIQA48Ryim8/edit?gid=1285727875#gid=1285727875"",""Sheet1!A2:G""),7,0))"),966.14)</f>
        <v>966.14</v>
      </c>
      <c r="L881" s="62">
        <f t="shared" si="99"/>
        <v>3.808971785</v>
      </c>
      <c r="M881" s="60">
        <f>IFERROR(__xludf.DUMMYFUNCTION("IFERROR(VLOOKUP(C881,IMPORTRANGE(""https://docs.google.com/spreadsheets/d/1HZUHB8NvANAZR0sHDmHYVAm2WE9kNv0pGIQA48Ryim8/edit?gid=1285727875#gid=1285727875"",""Cost!A2:G""),7,0))"),1070.0)</f>
        <v>1070</v>
      </c>
      <c r="N881" s="62">
        <f t="shared" si="4"/>
        <v>3.728971963</v>
      </c>
      <c r="O881" s="28"/>
      <c r="P881" s="28"/>
      <c r="Q881" s="28"/>
      <c r="R881" s="28"/>
      <c r="S881" s="28"/>
      <c r="T881" s="28"/>
      <c r="U881" s="65"/>
      <c r="V881" s="28"/>
      <c r="W881" s="65"/>
      <c r="X881" s="66" t="s">
        <v>154</v>
      </c>
      <c r="Y881" s="65" t="str">
        <f t="shared" si="6"/>
        <v>EVIAN 87BD-40</v>
      </c>
    </row>
    <row r="882">
      <c r="A882" s="18" t="s">
        <v>1269</v>
      </c>
      <c r="B882" s="91" t="str">
        <f t="shared" si="103"/>
        <v>BB-87</v>
      </c>
      <c r="C882" s="15" t="s">
        <v>1270</v>
      </c>
      <c r="D882" s="18" t="s">
        <v>78</v>
      </c>
      <c r="E882" s="39">
        <v>2740.0</v>
      </c>
      <c r="F882" s="39">
        <v>2990.0</v>
      </c>
      <c r="G882" s="50">
        <f t="shared" si="98"/>
        <v>0.09124087591</v>
      </c>
      <c r="H882" s="28"/>
      <c r="I882" s="55">
        <f t="shared" si="2"/>
        <v>2987.490967</v>
      </c>
      <c r="J882" s="81"/>
      <c r="K882" s="60">
        <f>IFERROR(__xludf.DUMMYFUNCTION("IFERROR(VLOOKUP(C882,IMPORTRANGE(""https://docs.google.com/spreadsheets/d/1HZUHB8NvANAZR0sHDmHYVAm2WE9kNv0pGIQA48Ryim8/edit?gid=1285727875#gid=1285727875"",""Sheet1!A2:G""),7,0))"),622.75)</f>
        <v>622.75</v>
      </c>
      <c r="L882" s="62">
        <f t="shared" si="99"/>
        <v>4.399839422</v>
      </c>
      <c r="M882" s="60">
        <f>IFERROR(__xludf.DUMMYFUNCTION("IFERROR(VLOOKUP(C882,IMPORTRANGE(""https://docs.google.com/spreadsheets/d/1HZUHB8NvANAZR0sHDmHYVAm2WE9kNv0pGIQA48Ryim8/edit?gid=1285727875#gid=1285727875"",""Cost!A2:G""),7,0))"),679.0)</f>
        <v>679</v>
      </c>
      <c r="N882" s="62">
        <f t="shared" si="4"/>
        <v>4.40353461</v>
      </c>
      <c r="O882" s="28"/>
      <c r="P882" s="28"/>
      <c r="Q882" s="28"/>
      <c r="R882" s="28"/>
      <c r="S882" s="28"/>
      <c r="T882" s="28"/>
      <c r="U882" s="65"/>
      <c r="V882" s="28"/>
      <c r="W882" s="65"/>
      <c r="X882" s="66" t="s">
        <v>159</v>
      </c>
      <c r="Y882" s="65" t="str">
        <f t="shared" si="6"/>
        <v>EVIAN 87BB</v>
      </c>
    </row>
    <row r="883">
      <c r="A883" s="18" t="s">
        <v>1269</v>
      </c>
      <c r="B883" s="91">
        <f t="shared" si="103"/>
        <v>8755</v>
      </c>
      <c r="C883" s="15">
        <v>8755.0</v>
      </c>
      <c r="D883" s="18" t="s">
        <v>164</v>
      </c>
      <c r="E883" s="75">
        <v>5360.0</v>
      </c>
      <c r="F883" s="39">
        <v>5780.0</v>
      </c>
      <c r="G883" s="50">
        <f t="shared" si="98"/>
        <v>0.07835820896</v>
      </c>
      <c r="H883" s="28"/>
      <c r="I883" s="55">
        <f t="shared" si="2"/>
        <v>6165.095405</v>
      </c>
      <c r="J883" s="81"/>
      <c r="K883" s="60">
        <f>IFERROR(__xludf.DUMMYFUNCTION("IFERROR(VLOOKUP(C883,IMPORTRANGE(""https://docs.google.com/spreadsheets/d/1HZUHB8NvANAZR0sHDmHYVAm2WE9kNv0pGIQA48Ryim8/edit?gid=1285727875#gid=1285727875"",""Sheet1!A2:G""),7,0))"),1460.61)</f>
        <v>1460.61</v>
      </c>
      <c r="L883" s="62">
        <f t="shared" si="99"/>
        <v>3.669699646</v>
      </c>
      <c r="M883" s="60">
        <f>IFERROR(__xludf.DUMMYFUNCTION("IFERROR(VLOOKUP(C883,IMPORTRANGE(""https://docs.google.com/spreadsheets/d/1HZUHB8NvANAZR0sHDmHYVAm2WE9kNv0pGIQA48Ryim8/edit?gid=1285727875#gid=1285727875"",""Cost!A2:G""),7,0))"),1680.0)</f>
        <v>1680</v>
      </c>
      <c r="N883" s="62">
        <f t="shared" si="4"/>
        <v>3.44047619</v>
      </c>
      <c r="O883" s="28"/>
      <c r="P883" s="28"/>
      <c r="Q883" s="28"/>
      <c r="R883" s="28"/>
      <c r="S883" s="28"/>
      <c r="T883" s="28"/>
      <c r="U883" s="65"/>
      <c r="V883" s="28"/>
      <c r="W883" s="65"/>
      <c r="X883" s="66" t="s">
        <v>162</v>
      </c>
      <c r="Y883" s="65" t="str">
        <f t="shared" si="6"/>
        <v>EVIAN 8755</v>
      </c>
    </row>
    <row r="884">
      <c r="A884" s="18" t="s">
        <v>1269</v>
      </c>
      <c r="B884" s="91">
        <f t="shared" si="103"/>
        <v>8756</v>
      </c>
      <c r="C884" s="15">
        <v>8756.0</v>
      </c>
      <c r="D884" s="18" t="s">
        <v>170</v>
      </c>
      <c r="E884" s="75">
        <v>7440.0</v>
      </c>
      <c r="F884" s="39">
        <v>8180.0</v>
      </c>
      <c r="G884" s="50">
        <f t="shared" si="98"/>
        <v>0.09946236559</v>
      </c>
      <c r="H884" s="28"/>
      <c r="I884" s="55">
        <f t="shared" si="2"/>
        <v>8508.617886</v>
      </c>
      <c r="J884" s="81"/>
      <c r="K884" s="60">
        <f>IFERROR(__xludf.DUMMYFUNCTION("IFERROR(VLOOKUP(C884,IMPORTRANGE(""https://docs.google.com/spreadsheets/d/1HZUHB8NvANAZR0sHDmHYVAm2WE9kNv0pGIQA48Ryim8/edit?gid=1285727875#gid=1285727875"",""Sheet1!A2:G""),7,0))"),2029.5)</f>
        <v>2029.5</v>
      </c>
      <c r="L884" s="62">
        <f t="shared" si="99"/>
        <v>3.665927568</v>
      </c>
      <c r="M884" s="60">
        <f>IFERROR(__xludf.DUMMYFUNCTION("IFERROR(VLOOKUP(C884,IMPORTRANGE(""https://docs.google.com/spreadsheets/d/1HZUHB8NvANAZR0sHDmHYVAm2WE9kNv0pGIQA48Ryim8/edit?gid=1285727875#gid=1285727875"",""Cost!A2:G""),7,0))"),2321.0)</f>
        <v>2321</v>
      </c>
      <c r="N884" s="62">
        <f t="shared" si="4"/>
        <v>3.524342956</v>
      </c>
      <c r="O884" s="28"/>
      <c r="P884" s="28"/>
      <c r="Q884" s="28"/>
      <c r="R884" s="28"/>
      <c r="S884" s="28"/>
      <c r="T884" s="28"/>
      <c r="U884" s="65"/>
      <c r="V884" s="28"/>
      <c r="W884" s="65"/>
      <c r="X884" s="66" t="s">
        <v>167</v>
      </c>
      <c r="Y884" s="65" t="str">
        <f t="shared" si="6"/>
        <v>EVIAN 8756</v>
      </c>
    </row>
    <row r="885">
      <c r="A885" s="18" t="s">
        <v>1269</v>
      </c>
      <c r="B885" s="91">
        <f t="shared" si="103"/>
        <v>8770</v>
      </c>
      <c r="C885" s="15">
        <v>8770.0</v>
      </c>
      <c r="D885" s="18" t="s">
        <v>186</v>
      </c>
      <c r="E885" s="39">
        <v>7440.0</v>
      </c>
      <c r="F885" s="39">
        <v>8180.0</v>
      </c>
      <c r="G885" s="50">
        <f t="shared" si="98"/>
        <v>0.09946236559</v>
      </c>
      <c r="H885" s="28"/>
      <c r="I885" s="55">
        <f t="shared" si="2"/>
        <v>8582.923856</v>
      </c>
      <c r="J885" s="81"/>
      <c r="K885" s="60">
        <f>IFERROR(__xludf.DUMMYFUNCTION("IFERROR(VLOOKUP(C885,IMPORTRANGE(""https://docs.google.com/spreadsheets/d/1HZUHB8NvANAZR0sHDmHYVAm2WE9kNv0pGIQA48Ryim8/edit?gid=1285727875#gid=1285727875"",""Sheet1!A2:G""),7,0))"),2165.36)</f>
        <v>2165.36</v>
      </c>
      <c r="L885" s="62">
        <f t="shared" si="99"/>
        <v>3.435918277</v>
      </c>
      <c r="M885" s="60">
        <f>IFERROR(__xludf.DUMMYFUNCTION("IFERROR(VLOOKUP(C885,IMPORTRANGE(""https://docs.google.com/spreadsheets/d/1HZUHB8NvANAZR0sHDmHYVAm2WE9kNv0pGIQA48Ryim8/edit?gid=1285727875#gid=1285727875"",""Cost!A2:G""),7,0))"),2498.0)</f>
        <v>2498</v>
      </c>
      <c r="N885" s="62">
        <f t="shared" si="4"/>
        <v>3.274619696</v>
      </c>
      <c r="O885" s="28"/>
      <c r="P885" s="28"/>
      <c r="Q885" s="28"/>
      <c r="R885" s="28"/>
      <c r="S885" s="28"/>
      <c r="T885" s="28"/>
      <c r="U885" s="65"/>
      <c r="V885" s="28"/>
      <c r="W885" s="65"/>
      <c r="X885" s="66" t="s">
        <v>184</v>
      </c>
      <c r="Y885" s="65" t="str">
        <f t="shared" si="6"/>
        <v>EVIAN 8770</v>
      </c>
    </row>
    <row r="886">
      <c r="A886" s="18" t="s">
        <v>1269</v>
      </c>
      <c r="B886" s="91">
        <f t="shared" si="103"/>
        <v>8771</v>
      </c>
      <c r="C886" s="15">
        <v>8771.0</v>
      </c>
      <c r="D886" s="18" t="s">
        <v>192</v>
      </c>
      <c r="E886" s="75">
        <v>6450.0</v>
      </c>
      <c r="F886" s="39">
        <v>7180.0</v>
      </c>
      <c r="G886" s="50">
        <f t="shared" si="98"/>
        <v>0.1131782946</v>
      </c>
      <c r="H886" s="28"/>
      <c r="I886" s="55">
        <f t="shared" si="2"/>
        <v>7376.59224</v>
      </c>
      <c r="J886" s="81"/>
      <c r="K886" s="60">
        <f>IFERROR(__xludf.DUMMYFUNCTION("IFERROR(VLOOKUP(C886,IMPORTRANGE(""https://docs.google.com/spreadsheets/d/1HZUHB8NvANAZR0sHDmHYVAm2WE9kNv0pGIQA48Ryim8/edit?gid=1285727875#gid=1285727875"",""Sheet1!A2:G""),7,0))"),1705.93)</f>
        <v>1705.93</v>
      </c>
      <c r="L886" s="62">
        <f t="shared" si="99"/>
        <v>3.780928878</v>
      </c>
      <c r="M886" s="60">
        <f>IFERROR(__xludf.DUMMYFUNCTION("IFERROR(VLOOKUP(C886,IMPORTRANGE(""https://docs.google.com/spreadsheets/d/1HZUHB8NvANAZR0sHDmHYVAm2WE9kNv0pGIQA48Ryim8/edit?gid=1285727875#gid=1285727875"",""Cost!A2:G""),7,0))"),1951.0)</f>
        <v>1951</v>
      </c>
      <c r="N886" s="62">
        <f t="shared" si="4"/>
        <v>3.680164018</v>
      </c>
      <c r="O886" s="28"/>
      <c r="P886" s="28"/>
      <c r="Q886" s="28"/>
      <c r="R886" s="28"/>
      <c r="S886" s="28"/>
      <c r="T886" s="28"/>
      <c r="U886" s="65"/>
      <c r="V886" s="28"/>
      <c r="W886" s="65"/>
      <c r="X886" s="66" t="s">
        <v>190</v>
      </c>
      <c r="Y886" s="65" t="str">
        <f t="shared" si="6"/>
        <v>EVIAN 8771</v>
      </c>
    </row>
    <row r="887">
      <c r="A887" s="18" t="s">
        <v>1269</v>
      </c>
      <c r="B887" s="91">
        <f t="shared" si="103"/>
        <v>8775</v>
      </c>
      <c r="C887" s="15">
        <v>8775.0</v>
      </c>
      <c r="D887" s="18" t="s">
        <v>196</v>
      </c>
      <c r="E887" s="39">
        <v>7440.0</v>
      </c>
      <c r="F887" s="39">
        <v>8180.0</v>
      </c>
      <c r="G887" s="50">
        <f t="shared" si="98"/>
        <v>0.09946236559</v>
      </c>
      <c r="H887" s="28"/>
      <c r="I887" s="55">
        <f t="shared" si="2"/>
        <v>8576.780993</v>
      </c>
      <c r="J887" s="81"/>
      <c r="K887" s="60">
        <f>IFERROR(__xludf.DUMMYFUNCTION("IFERROR(VLOOKUP(C887,IMPORTRANGE(""https://docs.google.com/spreadsheets/d/1HZUHB8NvANAZR0sHDmHYVAm2WE9kNv0pGIQA48Ryim8/edit?gid=1285727875#gid=1285727875"",""Sheet1!A2:G""),7,0))"),2133.08)</f>
        <v>2133.08</v>
      </c>
      <c r="L887" s="62">
        <f t="shared" si="99"/>
        <v>3.48791419</v>
      </c>
      <c r="M887" s="60">
        <f>IFERROR(__xludf.DUMMYFUNCTION("IFERROR(VLOOKUP(C887,IMPORTRANGE(""https://docs.google.com/spreadsheets/d/1HZUHB8NvANAZR0sHDmHYVAm2WE9kNv0pGIQA48Ryim8/edit?gid=1285727875#gid=1285727875"",""Cost!A2:G""),7,0))"),2459.0)</f>
        <v>2459</v>
      </c>
      <c r="N887" s="62">
        <f t="shared" si="4"/>
        <v>3.32655551</v>
      </c>
      <c r="O887" s="28"/>
      <c r="P887" s="28"/>
      <c r="Q887" s="28"/>
      <c r="R887" s="28"/>
      <c r="S887" s="28"/>
      <c r="T887" s="28"/>
      <c r="U887" s="65"/>
      <c r="V887" s="28"/>
      <c r="W887" s="65"/>
      <c r="X887" s="66" t="s">
        <v>194</v>
      </c>
      <c r="Y887" s="65" t="str">
        <f t="shared" si="6"/>
        <v>EVIAN 8775</v>
      </c>
    </row>
    <row r="888">
      <c r="A888" s="18" t="s">
        <v>1269</v>
      </c>
      <c r="B888" s="91">
        <f t="shared" si="103"/>
        <v>8776</v>
      </c>
      <c r="C888" s="15">
        <v>8776.0</v>
      </c>
      <c r="D888" s="18" t="s">
        <v>200</v>
      </c>
      <c r="E888" s="39">
        <v>9980.0</v>
      </c>
      <c r="F888" s="39">
        <v>10980.0</v>
      </c>
      <c r="G888" s="50">
        <f t="shared" si="98"/>
        <v>0.1002004008</v>
      </c>
      <c r="H888" s="28"/>
      <c r="I888" s="55">
        <f t="shared" si="2"/>
        <v>11236.0338</v>
      </c>
      <c r="J888" s="81"/>
      <c r="K888" s="60">
        <f>IFERROR(__xludf.DUMMYFUNCTION("IFERROR(VLOOKUP(C888,IMPORTRANGE(""https://docs.google.com/spreadsheets/d/1HZUHB8NvANAZR0sHDmHYVAm2WE9kNv0pGIQA48Ryim8/edit?gid=1285727875#gid=1285727875"",""Sheet1!A2:G""),7,0))"),3107.86)</f>
        <v>3107.86</v>
      </c>
      <c r="L888" s="62">
        <f t="shared" si="99"/>
        <v>3.21121286</v>
      </c>
      <c r="M888" s="60">
        <f>IFERROR(__xludf.DUMMYFUNCTION("IFERROR(VLOOKUP(C888,IMPORTRANGE(""https://docs.google.com/spreadsheets/d/1HZUHB8NvANAZR0sHDmHYVAm2WE9kNv0pGIQA48Ryim8/edit?gid=1285727875#gid=1285727875"",""Cost!A2:G""),7,0))"),3499.0)</f>
        <v>3499</v>
      </c>
      <c r="N888" s="62">
        <f t="shared" si="4"/>
        <v>3.13803944</v>
      </c>
      <c r="O888" s="28"/>
      <c r="P888" s="28"/>
      <c r="Q888" s="28"/>
      <c r="R888" s="28"/>
      <c r="S888" s="28"/>
      <c r="T888" s="28"/>
      <c r="U888" s="65"/>
      <c r="V888" s="28"/>
      <c r="W888" s="65"/>
      <c r="X888" s="66" t="s">
        <v>198</v>
      </c>
      <c r="Y888" s="65" t="str">
        <f t="shared" si="6"/>
        <v>EVIAN 8776</v>
      </c>
    </row>
    <row r="889">
      <c r="A889" s="18" t="s">
        <v>1269</v>
      </c>
      <c r="B889" s="91">
        <f t="shared" si="103"/>
        <v>8780</v>
      </c>
      <c r="C889" s="15">
        <v>8780.0</v>
      </c>
      <c r="D889" s="18" t="s">
        <v>205</v>
      </c>
      <c r="E889" s="39">
        <v>8280.0</v>
      </c>
      <c r="F889" s="39">
        <v>9280.0</v>
      </c>
      <c r="G889" s="50">
        <f t="shared" si="98"/>
        <v>0.1207729469</v>
      </c>
      <c r="H889" s="28"/>
      <c r="I889" s="55">
        <f t="shared" si="2"/>
        <v>9473.264955</v>
      </c>
      <c r="J889" s="81"/>
      <c r="K889" s="60">
        <f>IFERROR(__xludf.DUMMYFUNCTION("IFERROR(VLOOKUP(C889,IMPORTRANGE(""https://docs.google.com/spreadsheets/d/1HZUHB8NvANAZR0sHDmHYVAm2WE9kNv0pGIQA48Ryim8/edit?gid=1285727875#gid=1285727875"",""Sheet1!A2:G""),7,0))"),2304.84)</f>
        <v>2304.84</v>
      </c>
      <c r="L889" s="62">
        <f t="shared" si="99"/>
        <v>3.592440256</v>
      </c>
      <c r="M889" s="60">
        <f>IFERROR(__xludf.DUMMYFUNCTION("IFERROR(VLOOKUP(C889,IMPORTRANGE(""https://docs.google.com/spreadsheets/d/1HZUHB8NvANAZR0sHDmHYVAm2WE9kNv0pGIQA48Ryim8/edit?gid=1285727875#gid=1285727875"",""Cost!A2:G""),7,0))"),2637.0)</f>
        <v>2637</v>
      </c>
      <c r="N889" s="62">
        <f t="shared" si="4"/>
        <v>3.51915055</v>
      </c>
      <c r="O889" s="28"/>
      <c r="P889" s="28"/>
      <c r="Q889" s="28"/>
      <c r="R889" s="28"/>
      <c r="S889" s="28"/>
      <c r="T889" s="28"/>
      <c r="U889" s="65"/>
      <c r="V889" s="28"/>
      <c r="W889" s="65"/>
      <c r="X889" s="66" t="s">
        <v>203</v>
      </c>
      <c r="Y889" s="65" t="str">
        <f t="shared" si="6"/>
        <v>EVIAN 8780</v>
      </c>
    </row>
    <row r="890">
      <c r="A890" s="18" t="s">
        <v>1269</v>
      </c>
      <c r="B890" s="91" t="str">
        <f t="shared" si="103"/>
        <v>8791-N</v>
      </c>
      <c r="C890" s="15" t="s">
        <v>1278</v>
      </c>
      <c r="D890" s="18" t="s">
        <v>210</v>
      </c>
      <c r="E890" s="75">
        <f t="shared" ref="E890:F890" si="123">SUM(E891:E892)</f>
        <v>6310</v>
      </c>
      <c r="F890" s="75">
        <f t="shared" si="123"/>
        <v>6860</v>
      </c>
      <c r="G890" s="50">
        <f t="shared" si="98"/>
        <v>0.08716323296</v>
      </c>
      <c r="H890" s="28"/>
      <c r="I890" s="55">
        <f t="shared" si="2"/>
        <v>6433.021085</v>
      </c>
      <c r="J890" s="81"/>
      <c r="K890" s="60">
        <f>IFERROR(__xludf.DUMMYFUNCTION("IFERROR(VLOOKUP(C890,IMPORTRANGE(""https://docs.google.com/spreadsheets/d/1HZUHB8NvANAZR0sHDmHYVAm2WE9kNv0pGIQA48Ryim8/edit?gid=1285727875#gid=1285727875"",""Sheet1!A2:G""),7,0))"),1812.66)</f>
        <v>1812.66</v>
      </c>
      <c r="L890" s="62">
        <f t="shared" si="99"/>
        <v>3.481072016</v>
      </c>
      <c r="M890" s="60">
        <f>IFERROR(__xludf.DUMMYFUNCTION("IFERROR(VLOOKUP(C890,IMPORTRANGE(""https://docs.google.com/spreadsheets/d/1HZUHB8NvANAZR0sHDmHYVAm2WE9kNv0pGIQA48Ryim8/edit?gid=1285727875#gid=1285727875"",""Cost!A2:G""),7,0))"),1848.0)</f>
        <v>1848</v>
      </c>
      <c r="N890" s="62">
        <f t="shared" si="4"/>
        <v>3.712121212</v>
      </c>
      <c r="O890" s="28"/>
      <c r="P890" s="28"/>
      <c r="Q890" s="28"/>
      <c r="R890" s="28"/>
      <c r="S890" s="28"/>
      <c r="T890" s="28"/>
      <c r="U890" s="65"/>
      <c r="V890" s="28"/>
      <c r="W890" s="65"/>
      <c r="X890" s="66" t="s">
        <v>209</v>
      </c>
      <c r="Y890" s="65" t="str">
        <f t="shared" si="6"/>
        <v>EVIAN 8791</v>
      </c>
    </row>
    <row r="891">
      <c r="A891" s="18" t="s">
        <v>1269</v>
      </c>
      <c r="B891" s="91" t="str">
        <f t="shared" si="103"/>
        <v>PD-40-N</v>
      </c>
      <c r="C891" s="15" t="s">
        <v>212</v>
      </c>
      <c r="D891" s="18" t="s">
        <v>214</v>
      </c>
      <c r="E891" s="39">
        <v>4240.0</v>
      </c>
      <c r="F891" s="39">
        <v>4580.0</v>
      </c>
      <c r="G891" s="50">
        <f t="shared" si="98"/>
        <v>0.08018867925</v>
      </c>
      <c r="H891" s="28"/>
      <c r="I891" s="55">
        <f t="shared" si="2"/>
        <v>4549.622554</v>
      </c>
      <c r="J891" s="81"/>
      <c r="K891" s="60">
        <f>IFERROR(__xludf.DUMMYFUNCTION("IFERROR(VLOOKUP(C891,IMPORTRANGE(""https://docs.google.com/spreadsheets/d/1HZUHB8NvANAZR0sHDmHYVAm2WE9kNv0pGIQA48Ryim8/edit?gid=1285727875#gid=1285727875"",""Sheet1!A2:G""),7,0))"),1298.2)</f>
        <v>1298.2</v>
      </c>
      <c r="L891" s="62">
        <f t="shared" si="99"/>
        <v>3.266060699</v>
      </c>
      <c r="M891" s="60">
        <f>IFERROR(__xludf.DUMMYFUNCTION("IFERROR(VLOOKUP(C891,IMPORTRANGE(""https://docs.google.com/spreadsheets/d/1HZUHB8NvANAZR0sHDmHYVAm2WE9kNv0pGIQA48Ryim8/edit?gid=1285727875#gid=1285727875"",""Cost!A2:G""),7,0))"),1393.0)</f>
        <v>1393</v>
      </c>
      <c r="N891" s="62">
        <f t="shared" si="4"/>
        <v>3.287867911</v>
      </c>
      <c r="O891" s="28"/>
      <c r="P891" s="28"/>
      <c r="Q891" s="28"/>
      <c r="R891" s="28"/>
      <c r="S891" s="28"/>
      <c r="T891" s="28"/>
      <c r="U891" s="65"/>
      <c r="V891" s="28"/>
      <c r="W891" s="65"/>
      <c r="X891" s="66" t="s">
        <v>212</v>
      </c>
      <c r="Y891" s="65" t="str">
        <f t="shared" si="6"/>
        <v>EVIAN 87PD-40-N</v>
      </c>
    </row>
    <row r="892">
      <c r="A892" s="18" t="s">
        <v>1269</v>
      </c>
      <c r="B892" s="91" t="str">
        <f t="shared" si="103"/>
        <v>DB-87-N</v>
      </c>
      <c r="C892" s="15" t="s">
        <v>1279</v>
      </c>
      <c r="D892" s="18" t="s">
        <v>217</v>
      </c>
      <c r="E892" s="39">
        <v>2070.0</v>
      </c>
      <c r="F892" s="39">
        <v>2280.0</v>
      </c>
      <c r="G892" s="50">
        <f t="shared" si="98"/>
        <v>0.1014492754</v>
      </c>
      <c r="H892" s="28"/>
      <c r="I892" s="55">
        <f t="shared" si="2"/>
        <v>1800.59414</v>
      </c>
      <c r="J892" s="81"/>
      <c r="K892" s="60">
        <f>IFERROR(__xludf.DUMMYFUNCTION("IFERROR(VLOOKUP(C892,IMPORTRANGE(""https://docs.google.com/spreadsheets/d/1HZUHB8NvANAZR0sHDmHYVAm2WE9kNv0pGIQA48Ryim8/edit?gid=1285727875#gid=1285727875"",""Sheet1!A2:G""),7,0))"),515.03)</f>
        <v>515.03</v>
      </c>
      <c r="L892" s="62">
        <f t="shared" si="99"/>
        <v>4.019183349</v>
      </c>
      <c r="M892" s="60">
        <f>IFERROR(__xludf.DUMMYFUNCTION("IFERROR(VLOOKUP(C892,IMPORTRANGE(""https://docs.google.com/spreadsheets/d/1HZUHB8NvANAZR0sHDmHYVAm2WE9kNv0pGIQA48Ryim8/edit?gid=1285727875#gid=1285727875"",""Cost!A2:G""),7,0))"),448.0)</f>
        <v>448</v>
      </c>
      <c r="N892" s="62">
        <f t="shared" si="4"/>
        <v>5.089285714</v>
      </c>
      <c r="O892" s="28"/>
      <c r="P892" s="28"/>
      <c r="Q892" s="28"/>
      <c r="R892" s="28"/>
      <c r="S892" s="28"/>
      <c r="T892" s="28"/>
      <c r="U892" s="65"/>
      <c r="V892" s="28"/>
      <c r="W892" s="65"/>
      <c r="X892" s="66" t="s">
        <v>358</v>
      </c>
      <c r="Y892" s="65" t="str">
        <f t="shared" si="6"/>
        <v>EVIAN 87DB</v>
      </c>
    </row>
    <row r="893">
      <c r="A893" s="18" t="s">
        <v>1269</v>
      </c>
      <c r="B893" s="91" t="str">
        <f t="shared" si="103"/>
        <v>8792-N</v>
      </c>
      <c r="C893" s="15" t="s">
        <v>1280</v>
      </c>
      <c r="D893" s="18" t="s">
        <v>220</v>
      </c>
      <c r="E893" s="75">
        <f t="shared" ref="E893:F893" si="124">SUM(E894:E895)</f>
        <v>7050</v>
      </c>
      <c r="F893" s="75">
        <f t="shared" si="124"/>
        <v>7770</v>
      </c>
      <c r="G893" s="50">
        <f t="shared" si="98"/>
        <v>0.1021276596</v>
      </c>
      <c r="H893" s="28"/>
      <c r="I893" s="55">
        <f t="shared" si="2"/>
        <v>7424.664659</v>
      </c>
      <c r="J893" s="81"/>
      <c r="K893" s="60">
        <f>IFERROR(__xludf.DUMMYFUNCTION("IFERROR(VLOOKUP(C893,IMPORTRANGE(""https://docs.google.com/spreadsheets/d/1HZUHB8NvANAZR0sHDmHYVAm2WE9kNv0pGIQA48Ryim8/edit?gid=1285727875#gid=1285727875"",""Sheet1!A2:G""),7,0))"),2095.63)</f>
        <v>2095.63</v>
      </c>
      <c r="L893" s="62">
        <f t="shared" si="99"/>
        <v>3.36414348</v>
      </c>
      <c r="M893" s="60">
        <f>IFERROR(__xludf.DUMMYFUNCTION("IFERROR(VLOOKUP(C893,IMPORTRANGE(""https://docs.google.com/spreadsheets/d/1HZUHB8NvANAZR0sHDmHYVAm2WE9kNv0pGIQA48Ryim8/edit?gid=1285727875#gid=1285727875"",""Cost!A2:G""),7,0))"),2207.0)</f>
        <v>2207</v>
      </c>
      <c r="N893" s="62">
        <f t="shared" si="4"/>
        <v>3.520616221</v>
      </c>
      <c r="O893" s="28"/>
      <c r="P893" s="28"/>
      <c r="Q893" s="28"/>
      <c r="R893" s="28"/>
      <c r="S893" s="28"/>
      <c r="T893" s="28"/>
      <c r="U893" s="65"/>
      <c r="V893" s="28"/>
      <c r="W893" s="65"/>
      <c r="X893" s="66" t="s">
        <v>219</v>
      </c>
      <c r="Y893" s="65" t="str">
        <f t="shared" si="6"/>
        <v>EVIAN 8792</v>
      </c>
    </row>
    <row r="894">
      <c r="A894" s="18" t="s">
        <v>1269</v>
      </c>
      <c r="B894" s="91" t="str">
        <f t="shared" si="103"/>
        <v>PD-46-H-N</v>
      </c>
      <c r="C894" s="15" t="s">
        <v>223</v>
      </c>
      <c r="D894" s="18" t="s">
        <v>224</v>
      </c>
      <c r="E894" s="39">
        <v>4980.0</v>
      </c>
      <c r="F894" s="39">
        <v>5490.0</v>
      </c>
      <c r="G894" s="50">
        <f t="shared" si="98"/>
        <v>0.1024096386</v>
      </c>
      <c r="H894" s="28"/>
      <c r="I894" s="55">
        <f t="shared" si="2"/>
        <v>5513.426362</v>
      </c>
      <c r="J894" s="81"/>
      <c r="K894" s="60">
        <f>IFERROR(__xludf.DUMMYFUNCTION("IFERROR(VLOOKUP(C894,IMPORTRANGE(""https://docs.google.com/spreadsheets/d/1HZUHB8NvANAZR0sHDmHYVAm2WE9kNv0pGIQA48Ryim8/edit?gid=1285727875#gid=1285727875"",""Sheet1!A2:G""),7,0))"),1581.59)</f>
        <v>1581.59</v>
      </c>
      <c r="L894" s="62">
        <f t="shared" si="99"/>
        <v>3.148730075</v>
      </c>
      <c r="M894" s="60">
        <f>IFERROR(__xludf.DUMMYFUNCTION("IFERROR(VLOOKUP(C894,IMPORTRANGE(""https://docs.google.com/spreadsheets/d/1HZUHB8NvANAZR0sHDmHYVAm2WE9kNv0pGIQA48Ryim8/edit?gid=1285727875#gid=1285727875"",""Cost!A2:G""),7,0))"),1751.0)</f>
        <v>1751</v>
      </c>
      <c r="N894" s="62">
        <f t="shared" si="4"/>
        <v>3.135351228</v>
      </c>
      <c r="O894" s="28"/>
      <c r="P894" s="28"/>
      <c r="Q894" s="28"/>
      <c r="R894" s="28"/>
      <c r="S894" s="28"/>
      <c r="T894" s="28"/>
      <c r="U894" s="65"/>
      <c r="V894" s="28"/>
      <c r="W894" s="65"/>
      <c r="X894" s="66" t="s">
        <v>223</v>
      </c>
      <c r="Y894" s="65" t="str">
        <f t="shared" si="6"/>
        <v>EVIAN 87PD-46-H-N</v>
      </c>
    </row>
    <row r="895">
      <c r="A895" s="18" t="s">
        <v>1269</v>
      </c>
      <c r="B895" s="91" t="str">
        <f t="shared" si="103"/>
        <v>DB-87-H-N</v>
      </c>
      <c r="C895" s="15" t="s">
        <v>1281</v>
      </c>
      <c r="D895" s="18" t="s">
        <v>217</v>
      </c>
      <c r="E895" s="39">
        <v>2070.0</v>
      </c>
      <c r="F895" s="39">
        <f>F892</f>
        <v>2280</v>
      </c>
      <c r="G895" s="50">
        <f t="shared" si="98"/>
        <v>0.1014492754</v>
      </c>
      <c r="H895" s="28"/>
      <c r="I895" s="55">
        <f t="shared" si="2"/>
        <v>1836.884815</v>
      </c>
      <c r="J895" s="81"/>
      <c r="K895" s="60">
        <f>IFERROR(__xludf.DUMMYFUNCTION("IFERROR(VLOOKUP(C895,IMPORTRANGE(""https://docs.google.com/spreadsheets/d/1HZUHB8NvANAZR0sHDmHYVAm2WE9kNv0pGIQA48Ryim8/edit?gid=1285727875#gid=1285727875"",""Sheet1!A2:G""),7,0))"),513.87)</f>
        <v>513.87</v>
      </c>
      <c r="L895" s="62">
        <f t="shared" si="99"/>
        <v>4.028256174</v>
      </c>
      <c r="M895" s="60">
        <f>IFERROR(__xludf.DUMMYFUNCTION("IFERROR(VLOOKUP(C895,IMPORTRANGE(""https://docs.google.com/spreadsheets/d/1HZUHB8NvANAZR0sHDmHYVAm2WE9kNv0pGIQA48Ryim8/edit?gid=1285727875#gid=1285727875"",""Cost!A2:G""),7,0))"),456.0)</f>
        <v>456</v>
      </c>
      <c r="N895" s="62">
        <f t="shared" si="4"/>
        <v>5</v>
      </c>
      <c r="O895" s="28"/>
      <c r="P895" s="28"/>
      <c r="Q895" s="28"/>
      <c r="R895" s="28"/>
      <c r="S895" s="28"/>
      <c r="T895" s="28"/>
      <c r="U895" s="65"/>
      <c r="V895" s="28"/>
      <c r="W895" s="65"/>
      <c r="X895" s="66" t="s">
        <v>358</v>
      </c>
      <c r="Y895" s="65" t="str">
        <f t="shared" si="6"/>
        <v>EVIAN 87DB</v>
      </c>
    </row>
    <row r="896">
      <c r="A896" s="18" t="s">
        <v>1269</v>
      </c>
      <c r="B896" s="91" t="str">
        <f t="shared" si="103"/>
        <v>8792-ON-OFF-N</v>
      </c>
      <c r="C896" s="15" t="s">
        <v>1282</v>
      </c>
      <c r="D896" s="18" t="s">
        <v>229</v>
      </c>
      <c r="E896" s="75">
        <f t="shared" ref="E896:F896" si="125">SUM(E897:E898)</f>
        <v>7050</v>
      </c>
      <c r="F896" s="75">
        <f t="shared" si="125"/>
        <v>7770</v>
      </c>
      <c r="G896" s="50">
        <f t="shared" si="98"/>
        <v>0.1021276596</v>
      </c>
      <c r="H896" s="28"/>
      <c r="I896" s="55">
        <f t="shared" si="2"/>
        <v>7443.603602</v>
      </c>
      <c r="J896" s="81"/>
      <c r="K896" s="60">
        <f>IFERROR(__xludf.DUMMYFUNCTION("IFERROR(VLOOKUP(C896,IMPORTRANGE(""https://docs.google.com/spreadsheets/d/1HZUHB8NvANAZR0sHDmHYVAm2WE9kNv0pGIQA48Ryim8/edit?gid=1285727875#gid=1285727875"",""Sheet1!A2:G""),7,0))"),1872.46)</f>
        <v>1872.46</v>
      </c>
      <c r="L896" s="62">
        <f t="shared" si="99"/>
        <v>3.765100456</v>
      </c>
      <c r="M896" s="60">
        <f>IFERROR(__xludf.DUMMYFUNCTION("IFERROR(VLOOKUP(C896,IMPORTRANGE(""https://docs.google.com/spreadsheets/d/1HZUHB8NvANAZR0sHDmHYVAm2WE9kNv0pGIQA48Ryim8/edit?gid=1285727875#gid=1285727875"",""Cost!A2:G""),7,0))"),1977.0)</f>
        <v>1977</v>
      </c>
      <c r="N896" s="62">
        <f t="shared" si="4"/>
        <v>3.930197269</v>
      </c>
      <c r="O896" s="28"/>
      <c r="P896" s="28"/>
      <c r="Q896" s="28"/>
      <c r="R896" s="28"/>
      <c r="S896" s="28"/>
      <c r="T896" s="28"/>
      <c r="U896" s="65"/>
      <c r="V896" s="28"/>
      <c r="W896" s="65"/>
      <c r="X896" s="66" t="s">
        <v>368</v>
      </c>
      <c r="Y896" s="65" t="str">
        <f t="shared" si="6"/>
        <v>EVIAN 8792-ON-OFF</v>
      </c>
    </row>
    <row r="897">
      <c r="A897" s="18" t="s">
        <v>1269</v>
      </c>
      <c r="B897" s="91" t="str">
        <f t="shared" si="103"/>
        <v>PD-46-H-ON-OFF-N</v>
      </c>
      <c r="C897" s="15" t="s">
        <v>234</v>
      </c>
      <c r="D897" s="18" t="s">
        <v>235</v>
      </c>
      <c r="E897" s="39">
        <f>E894-240</f>
        <v>4740</v>
      </c>
      <c r="F897" s="75">
        <f>F894-$X$1</f>
        <v>5250</v>
      </c>
      <c r="G897" s="50">
        <f t="shared" si="98"/>
        <v>0.1075949367</v>
      </c>
      <c r="H897" s="28"/>
      <c r="I897" s="55">
        <f t="shared" si="2"/>
        <v>5306.797906</v>
      </c>
      <c r="J897" s="81"/>
      <c r="K897" s="60">
        <f>IFERROR(__xludf.DUMMYFUNCTION("IFERROR(VLOOKUP(C897,IMPORTRANGE(""https://docs.google.com/spreadsheets/d/1HZUHB8NvANAZR0sHDmHYVAm2WE9kNv0pGIQA48Ryim8/edit?gid=1285727875#gid=1285727875"",""Sheet1!A2:G""),7,0))"),1367.48)</f>
        <v>1367.48</v>
      </c>
      <c r="L897" s="62">
        <f t="shared" si="99"/>
        <v>3.466229853</v>
      </c>
      <c r="M897" s="60">
        <f>IFERROR(__xludf.DUMMYFUNCTION("IFERROR(VLOOKUP(C897,IMPORTRANGE(""https://docs.google.com/spreadsheets/d/1HZUHB8NvANAZR0sHDmHYVAm2WE9kNv0pGIQA48Ryim8/edit?gid=1285727875#gid=1285727875"",""Cost!A2:G""),7,0))"),1531.0)</f>
        <v>1531</v>
      </c>
      <c r="N897" s="62">
        <f t="shared" si="4"/>
        <v>3.429131287</v>
      </c>
      <c r="O897" s="28"/>
      <c r="P897" s="28"/>
      <c r="Q897" s="28"/>
      <c r="R897" s="28"/>
      <c r="S897" s="28"/>
      <c r="T897" s="28"/>
      <c r="U897" s="65"/>
      <c r="V897" s="28"/>
      <c r="W897" s="65"/>
      <c r="X897" s="66" t="s">
        <v>371</v>
      </c>
      <c r="Y897" s="65" t="str">
        <f t="shared" si="6"/>
        <v>EVIAN 87PD-ON-OFF</v>
      </c>
    </row>
    <row r="898">
      <c r="A898" s="18" t="s">
        <v>1269</v>
      </c>
      <c r="B898" s="91" t="str">
        <f t="shared" si="103"/>
        <v>DB-87-H-ON-OFF-N</v>
      </c>
      <c r="C898" s="15" t="s">
        <v>1283</v>
      </c>
      <c r="D898" s="18" t="s">
        <v>217</v>
      </c>
      <c r="E898" s="75">
        <f>E895+240</f>
        <v>2310</v>
      </c>
      <c r="F898" s="75">
        <f>F895+$X$1</f>
        <v>2520</v>
      </c>
      <c r="G898" s="50">
        <f t="shared" si="98"/>
        <v>0.09090909091</v>
      </c>
      <c r="H898" s="28"/>
      <c r="I898" s="55">
        <f t="shared" si="2"/>
        <v>2050.255951</v>
      </c>
      <c r="J898" s="81"/>
      <c r="K898" s="60">
        <f>IFERROR(__xludf.DUMMYFUNCTION("IFERROR(VLOOKUP(C898,IMPORTRANGE(""https://docs.google.com/spreadsheets/d/1HZUHB8NvANAZR0sHDmHYVAm2WE9kNv0pGIQA48Ryim8/edit?gid=1285727875#gid=1285727875"",""Sheet1!A2:G""),7,0))"),513.77)</f>
        <v>513.77</v>
      </c>
      <c r="L898" s="62">
        <f t="shared" si="99"/>
        <v>4.496175331</v>
      </c>
      <c r="M898" s="60">
        <f>IFERROR(__xludf.DUMMYFUNCTION("IFERROR(VLOOKUP(C898,IMPORTRANGE(""https://docs.google.com/spreadsheets/d/1HZUHB8NvANAZR0sHDmHYVAm2WE9kNv0pGIQA48Ryim8/edit?gid=1285727875#gid=1285727875"",""Cost!A2:G""),7,0))"),456.0)</f>
        <v>456</v>
      </c>
      <c r="N898" s="62">
        <f t="shared" si="4"/>
        <v>5.526315789</v>
      </c>
      <c r="O898" s="28"/>
      <c r="P898" s="28"/>
      <c r="Q898" s="28"/>
      <c r="R898" s="28"/>
      <c r="S898" s="28"/>
      <c r="T898" s="28"/>
      <c r="U898" s="65"/>
      <c r="V898" s="28"/>
      <c r="W898" s="65"/>
      <c r="X898" s="66" t="s">
        <v>375</v>
      </c>
      <c r="Y898" s="65" t="str">
        <f t="shared" si="6"/>
        <v>EVIAN 87DB-ON-OFF</v>
      </c>
    </row>
    <row r="899">
      <c r="A899" s="18" t="s">
        <v>1269</v>
      </c>
      <c r="B899" s="91"/>
      <c r="C899" s="15" t="s">
        <v>1284</v>
      </c>
      <c r="D899" s="18" t="s">
        <v>220</v>
      </c>
      <c r="E899" s="97" t="s">
        <v>377</v>
      </c>
      <c r="F899" s="75">
        <f>SUM(F900:F901)</f>
        <v>7770</v>
      </c>
      <c r="G899" s="50"/>
      <c r="H899" s="28"/>
      <c r="I899" s="55">
        <f t="shared" si="2"/>
        <v>0</v>
      </c>
      <c r="J899" s="81"/>
      <c r="K899" s="60"/>
      <c r="L899" s="62"/>
      <c r="M899" s="60">
        <f>SUM(M900:M901)</f>
        <v>2189.39</v>
      </c>
      <c r="N899" s="62">
        <f t="shared" si="4"/>
        <v>3.548933721</v>
      </c>
      <c r="O899" s="28"/>
      <c r="P899" s="28"/>
      <c r="Q899" s="28"/>
      <c r="R899" s="28"/>
      <c r="S899" s="28"/>
      <c r="T899" s="28"/>
      <c r="U899" s="65"/>
      <c r="V899" s="28"/>
      <c r="W899" s="65"/>
      <c r="X899" s="66" t="s">
        <v>380</v>
      </c>
      <c r="Y899" s="65" t="str">
        <f t="shared" si="6"/>
        <v>EVIAN 8792-P</v>
      </c>
    </row>
    <row r="900">
      <c r="A900" s="18" t="s">
        <v>1269</v>
      </c>
      <c r="B900" s="91"/>
      <c r="C900" s="15" t="s">
        <v>381</v>
      </c>
      <c r="D900" s="18" t="s">
        <v>382</v>
      </c>
      <c r="E900" s="97" t="s">
        <v>377</v>
      </c>
      <c r="F900" s="39">
        <f>F894-$Y$1</f>
        <v>4990</v>
      </c>
      <c r="G900" s="50"/>
      <c r="H900" s="28"/>
      <c r="I900" s="55">
        <f t="shared" si="2"/>
        <v>0</v>
      </c>
      <c r="J900" s="81"/>
      <c r="K900" s="60"/>
      <c r="L900" s="62"/>
      <c r="M900" s="60">
        <f>IFERROR(__xludf.DUMMYFUNCTION("IFERROR(VLOOKUP(C900,IMPORTRANGE(""https://docs.google.com/spreadsheets/d/1HZUHB8NvANAZR0sHDmHYVAm2WE9kNv0pGIQA48Ryim8/edit?gid=1285727875#gid=1285727875"",""Diverter &amp; Upper!A2:B""),2,0))"),1585.45)</f>
        <v>1585.45</v>
      </c>
      <c r="N900" s="62">
        <f t="shared" si="4"/>
        <v>3.147371409</v>
      </c>
      <c r="O900" s="28"/>
      <c r="P900" s="28"/>
      <c r="Q900" s="28"/>
      <c r="R900" s="28"/>
      <c r="S900" s="28"/>
      <c r="T900" s="28"/>
      <c r="U900" s="65"/>
      <c r="V900" s="28"/>
      <c r="W900" s="65"/>
      <c r="X900" s="66" t="s">
        <v>381</v>
      </c>
      <c r="Y900" s="65" t="str">
        <f t="shared" si="6"/>
        <v>EVIAN 87PD-46-H-P</v>
      </c>
    </row>
    <row r="901">
      <c r="A901" s="18" t="s">
        <v>1269</v>
      </c>
      <c r="B901" s="91"/>
      <c r="C901" s="15" t="s">
        <v>1285</v>
      </c>
      <c r="D901" s="18" t="s">
        <v>386</v>
      </c>
      <c r="E901" s="97" t="s">
        <v>377</v>
      </c>
      <c r="F901" s="39">
        <f>F895+$Y$1</f>
        <v>2780</v>
      </c>
      <c r="G901" s="50"/>
      <c r="H901" s="28"/>
      <c r="I901" s="55">
        <f t="shared" si="2"/>
        <v>0</v>
      </c>
      <c r="J901" s="81"/>
      <c r="K901" s="60"/>
      <c r="L901" s="62"/>
      <c r="M901" s="60">
        <f>IFERROR(__xludf.DUMMYFUNCTION("IFERROR(VLOOKUP(C901,IMPORTRANGE(""https://docs.google.com/spreadsheets/d/1HZUHB8NvANAZR0sHDmHYVAm2WE9kNv0pGIQA48Ryim8/edit?gid=1285727875#gid=1285727875"",""Diverter &amp; Upper!A2:B""),2,0))"),603.94)</f>
        <v>603.94</v>
      </c>
      <c r="N901" s="62">
        <f t="shared" si="4"/>
        <v>4.603106269</v>
      </c>
      <c r="O901" s="28"/>
      <c r="P901" s="28"/>
      <c r="Q901" s="28"/>
      <c r="R901" s="28"/>
      <c r="S901" s="28"/>
      <c r="T901" s="28"/>
      <c r="U901" s="65"/>
      <c r="V901" s="28"/>
      <c r="W901" s="65"/>
      <c r="X901" s="66" t="s">
        <v>387</v>
      </c>
      <c r="Y901" s="65" t="str">
        <f t="shared" si="6"/>
        <v>EVIAN 87DB-P</v>
      </c>
    </row>
    <row r="902">
      <c r="A902" s="18" t="s">
        <v>1269</v>
      </c>
      <c r="B902" s="91"/>
      <c r="C902" s="15" t="s">
        <v>1286</v>
      </c>
      <c r="D902" s="18" t="s">
        <v>229</v>
      </c>
      <c r="E902" s="97" t="s">
        <v>377</v>
      </c>
      <c r="F902" s="75">
        <f>SUM(F903:F904)</f>
        <v>7770</v>
      </c>
      <c r="G902" s="50"/>
      <c r="H902" s="28"/>
      <c r="I902" s="55">
        <f t="shared" si="2"/>
        <v>0</v>
      </c>
      <c r="J902" s="81"/>
      <c r="K902" s="60"/>
      <c r="L902" s="62"/>
      <c r="M902" s="60">
        <f>SUM(M903:M904)</f>
        <v>1972.93</v>
      </c>
      <c r="N902" s="62">
        <f t="shared" si="4"/>
        <v>3.938304958</v>
      </c>
      <c r="O902" s="28"/>
      <c r="P902" s="28"/>
      <c r="Q902" s="28"/>
      <c r="R902" s="28"/>
      <c r="S902" s="28"/>
      <c r="T902" s="28"/>
      <c r="U902" s="65"/>
      <c r="V902" s="28"/>
      <c r="W902" s="65"/>
      <c r="X902" s="66" t="s">
        <v>391</v>
      </c>
      <c r="Y902" s="65" t="str">
        <f t="shared" si="6"/>
        <v>EVIAN 8792-ON-OFF-P</v>
      </c>
    </row>
    <row r="903">
      <c r="A903" s="18" t="s">
        <v>1269</v>
      </c>
      <c r="B903" s="91"/>
      <c r="C903" s="15" t="s">
        <v>392</v>
      </c>
      <c r="D903" s="18" t="s">
        <v>393</v>
      </c>
      <c r="E903" s="97" t="s">
        <v>377</v>
      </c>
      <c r="F903" s="39">
        <f>F900-$X$1</f>
        <v>4750</v>
      </c>
      <c r="G903" s="50"/>
      <c r="H903" s="28"/>
      <c r="I903" s="55">
        <f t="shared" si="2"/>
        <v>0</v>
      </c>
      <c r="J903" s="81"/>
      <c r="K903" s="60"/>
      <c r="L903" s="62"/>
      <c r="M903" s="60">
        <f>IFERROR(__xludf.DUMMYFUNCTION("IFERROR(VLOOKUP(C903,IMPORTRANGE(""https://docs.google.com/spreadsheets/d/1HZUHB8NvANAZR0sHDmHYVAm2WE9kNv0pGIQA48Ryim8/edit?gid=1285727875#gid=1285727875"",""Diverter &amp; Upper!A2:B""),2,0))"),1357.68)</f>
        <v>1357.68</v>
      </c>
      <c r="N903" s="62">
        <f t="shared" si="4"/>
        <v>3.498615285</v>
      </c>
      <c r="O903" s="28"/>
      <c r="P903" s="28"/>
      <c r="Q903" s="28"/>
      <c r="R903" s="28"/>
      <c r="S903" s="28"/>
      <c r="T903" s="28"/>
      <c r="U903" s="65"/>
      <c r="V903" s="28"/>
      <c r="W903" s="65"/>
      <c r="X903" s="66" t="s">
        <v>396</v>
      </c>
      <c r="Y903" s="65" t="str">
        <f t="shared" si="6"/>
        <v>EVIAN 87PD-ON-OFF-P</v>
      </c>
    </row>
    <row r="904">
      <c r="A904" s="18" t="s">
        <v>1269</v>
      </c>
      <c r="B904" s="91"/>
      <c r="C904" s="15" t="s">
        <v>1287</v>
      </c>
      <c r="D904" s="18" t="s">
        <v>386</v>
      </c>
      <c r="E904" s="97" t="s">
        <v>377</v>
      </c>
      <c r="F904" s="39">
        <f>F901+$X$1</f>
        <v>3020</v>
      </c>
      <c r="G904" s="50"/>
      <c r="H904" s="28"/>
      <c r="I904" s="55">
        <f t="shared" si="2"/>
        <v>0</v>
      </c>
      <c r="J904" s="81"/>
      <c r="K904" s="60"/>
      <c r="L904" s="62"/>
      <c r="M904" s="60">
        <f>IFERROR(__xludf.DUMMYFUNCTION("IFERROR(VLOOKUP(C904,IMPORTRANGE(""https://docs.google.com/spreadsheets/d/1HZUHB8NvANAZR0sHDmHYVAm2WE9kNv0pGIQA48Ryim8/edit?gid=1285727875#gid=1285727875"",""Diverter &amp; Upper!A2:B""),2,0))"),615.25)</f>
        <v>615.25</v>
      </c>
      <c r="N904" s="62">
        <f t="shared" si="4"/>
        <v>4.908573751</v>
      </c>
      <c r="O904" s="28"/>
      <c r="P904" s="28"/>
      <c r="Q904" s="28"/>
      <c r="R904" s="28"/>
      <c r="S904" s="28"/>
      <c r="T904" s="28"/>
      <c r="U904" s="65"/>
      <c r="V904" s="28"/>
      <c r="W904" s="65"/>
      <c r="X904" s="66" t="s">
        <v>400</v>
      </c>
      <c r="Y904" s="65" t="str">
        <f t="shared" si="6"/>
        <v>EVIAN 87DB-ON-OFF-P</v>
      </c>
    </row>
    <row r="905">
      <c r="A905" s="18" t="s">
        <v>1269</v>
      </c>
      <c r="B905" s="91" t="str">
        <f t="shared" ref="B905:B1031" si="127">C905</f>
        <v>8793-N</v>
      </c>
      <c r="C905" s="15" t="s">
        <v>1288</v>
      </c>
      <c r="D905" s="18" t="s">
        <v>241</v>
      </c>
      <c r="E905" s="75">
        <f t="shared" ref="E905:F905" si="126">SUM(E906:E907)</f>
        <v>7050</v>
      </c>
      <c r="F905" s="75">
        <f t="shared" si="126"/>
        <v>7770</v>
      </c>
      <c r="G905" s="50">
        <f t="shared" ref="G905:G1031" si="128">IFERROR((F905-E905)/E905,"")</f>
        <v>0.1021276596</v>
      </c>
      <c r="H905" s="28"/>
      <c r="I905" s="55">
        <f t="shared" si="2"/>
        <v>7293.779358</v>
      </c>
      <c r="J905" s="81"/>
      <c r="K905" s="60">
        <f>IFERROR(__xludf.DUMMYFUNCTION("IFERROR(VLOOKUP(C905,IMPORTRANGE(""https://docs.google.com/spreadsheets/d/1HZUHB8NvANAZR0sHDmHYVAm2WE9kNv0pGIQA48Ryim8/edit?gid=1285727875#gid=1285727875"",""Sheet1!A2:G""),7,0))"),2050.11)</f>
        <v>2050.11</v>
      </c>
      <c r="L905" s="62">
        <f t="shared" ref="L905:L1031" si="129">IFERROR(E905/$K905,"")</f>
        <v>3.438839867</v>
      </c>
      <c r="M905" s="60">
        <f>IFERROR(__xludf.DUMMYFUNCTION("IFERROR(VLOOKUP(C905,IMPORTRANGE(""https://docs.google.com/spreadsheets/d/1HZUHB8NvANAZR0sHDmHYVAm2WE9kNv0pGIQA48Ryim8/edit?gid=1285727875#gid=1285727875"",""Cost!A2:G""),7,0))"),2121.0)</f>
        <v>2121</v>
      </c>
      <c r="N905" s="62">
        <f t="shared" si="4"/>
        <v>3.663366337</v>
      </c>
      <c r="O905" s="28"/>
      <c r="P905" s="28"/>
      <c r="Q905" s="28"/>
      <c r="R905" s="28"/>
      <c r="S905" s="28"/>
      <c r="T905" s="28"/>
      <c r="U905" s="65"/>
      <c r="V905" s="28"/>
      <c r="W905" s="65"/>
      <c r="X905" s="66" t="s">
        <v>239</v>
      </c>
      <c r="Y905" s="65" t="str">
        <f t="shared" si="6"/>
        <v>EVIAN 8793</v>
      </c>
    </row>
    <row r="906">
      <c r="A906" s="18" t="s">
        <v>1269</v>
      </c>
      <c r="B906" s="91" t="str">
        <f t="shared" si="127"/>
        <v>PD-3 IN-N</v>
      </c>
      <c r="C906" s="15" t="s">
        <v>243</v>
      </c>
      <c r="D906" s="18" t="s">
        <v>244</v>
      </c>
      <c r="E906" s="39">
        <v>4980.0</v>
      </c>
      <c r="F906" s="39">
        <v>5490.0</v>
      </c>
      <c r="G906" s="50">
        <f t="shared" si="128"/>
        <v>0.1024096386</v>
      </c>
      <c r="H906" s="28"/>
      <c r="I906" s="55">
        <f t="shared" si="2"/>
        <v>5395.785272</v>
      </c>
      <c r="J906" s="81"/>
      <c r="K906" s="60">
        <f>IFERROR(__xludf.DUMMYFUNCTION("IFERROR(VLOOKUP(C906,IMPORTRANGE(""https://docs.google.com/spreadsheets/d/1HZUHB8NvANAZR0sHDmHYVAm2WE9kNv0pGIQA48Ryim8/edit?gid=1285727875#gid=1285727875"",""Sheet1!A2:G""),7,0))"),1543.16)</f>
        <v>1543.16</v>
      </c>
      <c r="L906" s="62">
        <f t="shared" si="129"/>
        <v>3.227144301</v>
      </c>
      <c r="M906" s="60">
        <f>IFERROR(__xludf.DUMMYFUNCTION("IFERROR(VLOOKUP(C906,IMPORTRANGE(""https://docs.google.com/spreadsheets/d/1HZUHB8NvANAZR0sHDmHYVAm2WE9kNv0pGIQA48Ryim8/edit?gid=1285727875#gid=1285727875"",""Cost!A2:G""),7,0))"),1672.0)</f>
        <v>1672</v>
      </c>
      <c r="N906" s="62">
        <f t="shared" si="4"/>
        <v>3.283492823</v>
      </c>
      <c r="O906" s="28"/>
      <c r="P906" s="28"/>
      <c r="Q906" s="28"/>
      <c r="R906" s="28"/>
      <c r="S906" s="28"/>
      <c r="T906" s="28"/>
      <c r="U906" s="65"/>
      <c r="V906" s="28"/>
      <c r="W906" s="65"/>
      <c r="X906" s="66" t="s">
        <v>243</v>
      </c>
      <c r="Y906" s="65" t="str">
        <f t="shared" si="6"/>
        <v>EVIAN 87PD-3 IN-N</v>
      </c>
    </row>
    <row r="907">
      <c r="A907" s="18" t="s">
        <v>1269</v>
      </c>
      <c r="B907" s="91" t="str">
        <f t="shared" si="127"/>
        <v>DB-87-3 IN-N</v>
      </c>
      <c r="C907" s="15" t="s">
        <v>1289</v>
      </c>
      <c r="D907" s="18" t="s">
        <v>217</v>
      </c>
      <c r="E907" s="39">
        <v>2070.0</v>
      </c>
      <c r="F907" s="39">
        <f>F892</f>
        <v>2280</v>
      </c>
      <c r="G907" s="50">
        <f t="shared" si="128"/>
        <v>0.1014492754</v>
      </c>
      <c r="H907" s="28"/>
      <c r="I907" s="55">
        <f t="shared" si="2"/>
        <v>1837.242346</v>
      </c>
      <c r="J907" s="81"/>
      <c r="K907" s="60">
        <f>IFERROR(__xludf.DUMMYFUNCTION("IFERROR(VLOOKUP(C907,IMPORTRANGE(""https://docs.google.com/spreadsheets/d/1HZUHB8NvANAZR0sHDmHYVAm2WE9kNv0pGIQA48Ryim8/edit?gid=1285727875#gid=1285727875"",""Sheet1!A2:G""),7,0))"),513.77)</f>
        <v>513.77</v>
      </c>
      <c r="L907" s="62">
        <f t="shared" si="129"/>
        <v>4.029040232</v>
      </c>
      <c r="M907" s="60">
        <f>IFERROR(__xludf.DUMMYFUNCTION("IFERROR(VLOOKUP(C907,IMPORTRANGE(""https://docs.google.com/spreadsheets/d/1HZUHB8NvANAZR0sHDmHYVAm2WE9kNv0pGIQA48Ryim8/edit?gid=1285727875#gid=1285727875"",""Cost!A2:G""),7,0))"),456.0)</f>
        <v>456</v>
      </c>
      <c r="N907" s="62">
        <f t="shared" si="4"/>
        <v>5</v>
      </c>
      <c r="O907" s="28"/>
      <c r="P907" s="28"/>
      <c r="Q907" s="28"/>
      <c r="R907" s="28"/>
      <c r="S907" s="28"/>
      <c r="T907" s="28"/>
      <c r="U907" s="65"/>
      <c r="V907" s="28"/>
      <c r="W907" s="65"/>
      <c r="X907" s="66" t="s">
        <v>358</v>
      </c>
      <c r="Y907" s="65" t="str">
        <f t="shared" si="6"/>
        <v>EVIAN 87DB</v>
      </c>
    </row>
    <row r="908">
      <c r="A908" s="18" t="s">
        <v>1269</v>
      </c>
      <c r="B908" s="91" t="str">
        <f t="shared" si="127"/>
        <v>8793-ON-OFF-N</v>
      </c>
      <c r="C908" s="15" t="s">
        <v>1290</v>
      </c>
      <c r="D908" s="18" t="s">
        <v>250</v>
      </c>
      <c r="E908" s="75">
        <f t="shared" ref="E908:F908" si="130">SUM(E909:E910)</f>
        <v>7050</v>
      </c>
      <c r="F908" s="75">
        <f t="shared" si="130"/>
        <v>7770</v>
      </c>
      <c r="G908" s="50">
        <f t="shared" si="128"/>
        <v>0.1021276596</v>
      </c>
      <c r="H908" s="28"/>
      <c r="I908" s="55">
        <f t="shared" si="2"/>
        <v>7390.620036</v>
      </c>
      <c r="J908" s="81"/>
      <c r="K908" s="60">
        <f>IFERROR(__xludf.DUMMYFUNCTION("IFERROR(VLOOKUP(C908,IMPORTRANGE(""https://docs.google.com/spreadsheets/d/1HZUHB8NvANAZR0sHDmHYVAm2WE9kNv0pGIQA48Ryim8/edit?gid=1285727875#gid=1285727875"",""Sheet1!A2:G""),7,0))"),2077.62)</f>
        <v>2077.62</v>
      </c>
      <c r="L908" s="62">
        <f t="shared" si="129"/>
        <v>3.393305802</v>
      </c>
      <c r="M908" s="60">
        <f>IFERROR(__xludf.DUMMYFUNCTION("IFERROR(VLOOKUP(C908,IMPORTRANGE(""https://docs.google.com/spreadsheets/d/1HZUHB8NvANAZR0sHDmHYVAm2WE9kNv0pGIQA48Ryim8/edit?gid=1285727875#gid=1285727875"",""Cost!A2:G""),7,0))"),2178.0)</f>
        <v>2178</v>
      </c>
      <c r="N908" s="62">
        <f t="shared" si="4"/>
        <v>3.567493113</v>
      </c>
      <c r="O908" s="28"/>
      <c r="P908" s="28"/>
      <c r="Q908" s="28"/>
      <c r="R908" s="28"/>
      <c r="S908" s="28"/>
      <c r="T908" s="28"/>
      <c r="U908" s="65"/>
      <c r="V908" s="28"/>
      <c r="W908" s="65"/>
      <c r="X908" s="66" t="s">
        <v>410</v>
      </c>
      <c r="Y908" s="65" t="str">
        <f t="shared" si="6"/>
        <v>EVIAN 8793-ON-OFF</v>
      </c>
    </row>
    <row r="909">
      <c r="A909" s="18" t="s">
        <v>1269</v>
      </c>
      <c r="B909" s="91" t="str">
        <f t="shared" si="127"/>
        <v>PD-3 IN-ON-OFF-N</v>
      </c>
      <c r="C909" s="15" t="s">
        <v>253</v>
      </c>
      <c r="D909" s="18" t="s">
        <v>256</v>
      </c>
      <c r="E909" s="39">
        <f>E906-240</f>
        <v>4740</v>
      </c>
      <c r="F909" s="39">
        <f>F906-$X$1</f>
        <v>5250</v>
      </c>
      <c r="G909" s="50">
        <f t="shared" si="128"/>
        <v>0.1075949367</v>
      </c>
      <c r="H909" s="28"/>
      <c r="I909" s="55">
        <f t="shared" si="2"/>
        <v>5217.019108</v>
      </c>
      <c r="J909" s="81"/>
      <c r="K909" s="60">
        <f>IFERROR(__xludf.DUMMYFUNCTION("IFERROR(VLOOKUP(C909,IMPORTRANGE(""https://docs.google.com/spreadsheets/d/1HZUHB8NvANAZR0sHDmHYVAm2WE9kNv0pGIQA48Ryim8/edit?gid=1285727875#gid=1285727875"",""Sheet1!A2:G""),7,0))"),1570.0)</f>
        <v>1570</v>
      </c>
      <c r="L909" s="62">
        <f t="shared" si="129"/>
        <v>3.01910828</v>
      </c>
      <c r="M909" s="60">
        <f>IFERROR(__xludf.DUMMYFUNCTION("IFERROR(VLOOKUP(C909,IMPORTRANGE(""https://docs.google.com/spreadsheets/d/1HZUHB8NvANAZR0sHDmHYVAm2WE9kNv0pGIQA48Ryim8/edit?gid=1285727875#gid=1285727875"",""Cost!A2:G""),7,0))"),1728.0)</f>
        <v>1728</v>
      </c>
      <c r="N909" s="62">
        <f t="shared" si="4"/>
        <v>3.038194444</v>
      </c>
      <c r="O909" s="28"/>
      <c r="P909" s="28"/>
      <c r="Q909" s="28"/>
      <c r="R909" s="28"/>
      <c r="S909" s="28"/>
      <c r="T909" s="28"/>
      <c r="U909" s="65"/>
      <c r="V909" s="28"/>
      <c r="W909" s="65"/>
      <c r="X909" s="66" t="s">
        <v>371</v>
      </c>
      <c r="Y909" s="65" t="str">
        <f t="shared" si="6"/>
        <v>EVIAN 87PD-ON-OFF</v>
      </c>
    </row>
    <row r="910">
      <c r="A910" s="18" t="s">
        <v>1269</v>
      </c>
      <c r="B910" s="91" t="str">
        <f t="shared" si="127"/>
        <v>DB-87-3 IN-ON-OFF-N</v>
      </c>
      <c r="C910" s="15" t="s">
        <v>1291</v>
      </c>
      <c r="D910" s="18" t="s">
        <v>217</v>
      </c>
      <c r="E910" s="75">
        <f>E907+240</f>
        <v>2310</v>
      </c>
      <c r="F910" s="75">
        <f>F907+$X$1</f>
        <v>2520</v>
      </c>
      <c r="G910" s="50">
        <f t="shared" si="128"/>
        <v>0.09090909091</v>
      </c>
      <c r="H910" s="28"/>
      <c r="I910" s="55">
        <f t="shared" si="2"/>
        <v>2050.255951</v>
      </c>
      <c r="J910" s="81"/>
      <c r="K910" s="60">
        <f>IFERROR(__xludf.DUMMYFUNCTION("IFERROR(VLOOKUP(C910,IMPORTRANGE(""https://docs.google.com/spreadsheets/d/1HZUHB8NvANAZR0sHDmHYVAm2WE9kNv0pGIQA48Ryim8/edit?gid=1285727875#gid=1285727875"",""Sheet1!A2:G""),7,0))"),513.77)</f>
        <v>513.77</v>
      </c>
      <c r="L910" s="62">
        <f t="shared" si="129"/>
        <v>4.496175331</v>
      </c>
      <c r="M910" s="60">
        <f>IFERROR(__xludf.DUMMYFUNCTION("IFERROR(VLOOKUP(C910,IMPORTRANGE(""https://docs.google.com/spreadsheets/d/1HZUHB8NvANAZR0sHDmHYVAm2WE9kNv0pGIQA48Ryim8/edit?gid=1285727875#gid=1285727875"",""Cost!A2:G""),7,0))"),456.0)</f>
        <v>456</v>
      </c>
      <c r="N910" s="62">
        <f t="shared" si="4"/>
        <v>5.526315789</v>
      </c>
      <c r="O910" s="28"/>
      <c r="P910" s="28"/>
      <c r="Q910" s="28"/>
      <c r="R910" s="28"/>
      <c r="S910" s="28"/>
      <c r="T910" s="28"/>
      <c r="U910" s="65"/>
      <c r="V910" s="28"/>
      <c r="W910" s="65"/>
      <c r="X910" s="66" t="s">
        <v>375</v>
      </c>
      <c r="Y910" s="65" t="str">
        <f t="shared" si="6"/>
        <v>EVIAN 87DB-ON-OFF</v>
      </c>
    </row>
    <row r="911">
      <c r="A911" s="18" t="s">
        <v>1269</v>
      </c>
      <c r="B911" s="91">
        <f t="shared" si="127"/>
        <v>8794</v>
      </c>
      <c r="C911" s="15">
        <v>8794.0</v>
      </c>
      <c r="D911" s="18" t="s">
        <v>263</v>
      </c>
      <c r="E911" s="39">
        <v>8980.0</v>
      </c>
      <c r="F911" s="39">
        <v>9820.0</v>
      </c>
      <c r="G911" s="50">
        <f t="shared" si="128"/>
        <v>0.09354120267</v>
      </c>
      <c r="H911" s="28"/>
      <c r="I911" s="55">
        <f t="shared" si="2"/>
        <v>9817.836928</v>
      </c>
      <c r="J911" s="81"/>
      <c r="K911" s="60">
        <f>IFERROR(__xludf.DUMMYFUNCTION("IFERROR(VLOOKUP(C911,IMPORTRANGE(""https://docs.google.com/spreadsheets/d/1HZUHB8NvANAZR0sHDmHYVAm2WE9kNv0pGIQA48Ryim8/edit?gid=1285727875#gid=1285727875"",""Sheet1!A2:G""),7,0))"),2609.53)</f>
        <v>2609.53</v>
      </c>
      <c r="L911" s="62">
        <f t="shared" si="129"/>
        <v>3.441232712</v>
      </c>
      <c r="M911" s="60">
        <f>IFERROR(__xludf.DUMMYFUNCTION("IFERROR(VLOOKUP(C911,IMPORTRANGE(""https://docs.google.com/spreadsheets/d/1HZUHB8NvANAZR0sHDmHYVAm2WE9kNv0pGIQA48Ryim8/edit?gid=1285727875#gid=1285727875"",""Cost!A2:G""),7,0))"),2853.0)</f>
        <v>2853</v>
      </c>
      <c r="N911" s="62">
        <f t="shared" si="4"/>
        <v>3.441990887</v>
      </c>
      <c r="O911" s="28"/>
      <c r="P911" s="28"/>
      <c r="Q911" s="28"/>
      <c r="R911" s="28"/>
      <c r="S911" s="28"/>
      <c r="T911" s="28"/>
      <c r="U911" s="65"/>
      <c r="V911" s="28"/>
      <c r="W911" s="65"/>
      <c r="X911" s="66" t="s">
        <v>260</v>
      </c>
      <c r="Y911" s="65" t="str">
        <f t="shared" si="6"/>
        <v>EVIAN 8794</v>
      </c>
    </row>
    <row r="912">
      <c r="A912" s="18" t="s">
        <v>1269</v>
      </c>
      <c r="B912" s="91">
        <f t="shared" si="127"/>
        <v>8795</v>
      </c>
      <c r="C912" s="15">
        <v>8795.0</v>
      </c>
      <c r="D912" s="18" t="s">
        <v>265</v>
      </c>
      <c r="E912" s="39">
        <v>1640.0</v>
      </c>
      <c r="F912" s="39">
        <v>1830.0</v>
      </c>
      <c r="G912" s="50">
        <f t="shared" si="128"/>
        <v>0.1158536585</v>
      </c>
      <c r="H912" s="28"/>
      <c r="I912" s="55">
        <f t="shared" si="2"/>
        <v>1823.42773</v>
      </c>
      <c r="J912" s="81"/>
      <c r="K912" s="60">
        <f>IFERROR(__xludf.DUMMYFUNCTION("IFERROR(VLOOKUP(C912,IMPORTRANGE(""https://docs.google.com/spreadsheets/d/1HZUHB8NvANAZR0sHDmHYVAm2WE9kNv0pGIQA48Ryim8/edit?gid=1285727875#gid=1285727875"",""Sheet1!A2:G""),7,0))"),468.59)</f>
        <v>468.59</v>
      </c>
      <c r="L912" s="62">
        <f t="shared" si="129"/>
        <v>3.499861286</v>
      </c>
      <c r="M912" s="60">
        <f>IFERROR(__xludf.DUMMYFUNCTION("IFERROR(VLOOKUP(C912,IMPORTRANGE(""https://docs.google.com/spreadsheets/d/1HZUHB8NvANAZR0sHDmHYVAm2WE9kNv0pGIQA48Ryim8/edit?gid=1285727875#gid=1285727875"",""Cost!A2:G""),7,0))"),521.0)</f>
        <v>521</v>
      </c>
      <c r="N912" s="62">
        <f t="shared" si="4"/>
        <v>3.512476008</v>
      </c>
      <c r="O912" s="28"/>
      <c r="P912" s="28"/>
      <c r="Q912" s="28"/>
      <c r="R912" s="28"/>
      <c r="S912" s="28"/>
      <c r="T912" s="28"/>
      <c r="U912" s="65"/>
      <c r="V912" s="28"/>
      <c r="W912" s="65"/>
      <c r="X912" s="66" t="s">
        <v>264</v>
      </c>
      <c r="Y912" s="65" t="str">
        <f t="shared" si="6"/>
        <v>EVIAN 8795</v>
      </c>
    </row>
    <row r="913">
      <c r="A913" s="18" t="s">
        <v>1269</v>
      </c>
      <c r="B913" s="91">
        <f t="shared" si="127"/>
        <v>8796</v>
      </c>
      <c r="C913" s="15">
        <v>8796.0</v>
      </c>
      <c r="D913" s="18" t="s">
        <v>268</v>
      </c>
      <c r="E913" s="75">
        <v>2350.0</v>
      </c>
      <c r="F913" s="39">
        <v>2590.0</v>
      </c>
      <c r="G913" s="50">
        <f t="shared" si="128"/>
        <v>0.1021276596</v>
      </c>
      <c r="H913" s="28"/>
      <c r="I913" s="55">
        <f t="shared" si="2"/>
        <v>2601.58748</v>
      </c>
      <c r="J913" s="81"/>
      <c r="K913" s="60">
        <f>IFERROR(__xludf.DUMMYFUNCTION("IFERROR(VLOOKUP(C913,IMPORTRANGE(""https://docs.google.com/spreadsheets/d/1HZUHB8NvANAZR0sHDmHYVAm2WE9kNv0pGIQA48Ryim8/edit?gid=1285727875#gid=1285727875"",""Sheet1!A2:G""),7,0))"),622.37)</f>
        <v>622.37</v>
      </c>
      <c r="L913" s="62">
        <f t="shared" si="129"/>
        <v>3.775888941</v>
      </c>
      <c r="M913" s="60">
        <f>IFERROR(__xludf.DUMMYFUNCTION("IFERROR(VLOOKUP(C913,IMPORTRANGE(""https://docs.google.com/spreadsheets/d/1HZUHB8NvANAZR0sHDmHYVAm2WE9kNv0pGIQA48Ryim8/edit?gid=1285727875#gid=1285727875"",""Cost!A2:G""),7,0))"),689.0)</f>
        <v>689</v>
      </c>
      <c r="N913" s="62">
        <f t="shared" si="4"/>
        <v>3.759071118</v>
      </c>
      <c r="O913" s="28"/>
      <c r="P913" s="28"/>
      <c r="Q913" s="28"/>
      <c r="R913" s="28"/>
      <c r="S913" s="28"/>
      <c r="T913" s="28"/>
      <c r="U913" s="65"/>
      <c r="V913" s="28"/>
      <c r="W913" s="65"/>
      <c r="X913" s="66" t="s">
        <v>267</v>
      </c>
      <c r="Y913" s="65" t="str">
        <f t="shared" si="6"/>
        <v>EVIAN 8796</v>
      </c>
    </row>
    <row r="914">
      <c r="A914" s="18" t="s">
        <v>1269</v>
      </c>
      <c r="B914" s="91">
        <f t="shared" si="127"/>
        <v>8798</v>
      </c>
      <c r="C914" s="15">
        <v>8798.0</v>
      </c>
      <c r="D914" s="18" t="s">
        <v>272</v>
      </c>
      <c r="E914" s="39">
        <v>3280.0</v>
      </c>
      <c r="F914" s="39">
        <v>3540.0</v>
      </c>
      <c r="G914" s="50">
        <f t="shared" si="128"/>
        <v>0.07926829268</v>
      </c>
      <c r="H914" s="28"/>
      <c r="I914" s="55">
        <f t="shared" si="2"/>
        <v>3536.146045</v>
      </c>
      <c r="J914" s="81"/>
      <c r="K914" s="60">
        <f>IFERROR(__xludf.DUMMYFUNCTION("IFERROR(VLOOKUP(C914,IMPORTRANGE(""https://docs.google.com/spreadsheets/d/1HZUHB8NvANAZR0sHDmHYVAm2WE9kNv0pGIQA48Ryim8/edit?gid=1285727875#gid=1285727875"",""Sheet1!A2:G""),7,0))"),986.0)</f>
        <v>986</v>
      </c>
      <c r="L914" s="62">
        <f t="shared" si="129"/>
        <v>3.326572008</v>
      </c>
      <c r="M914" s="60">
        <f>IFERROR(__xludf.DUMMYFUNCTION("IFERROR(VLOOKUP(C914,IMPORTRANGE(""https://docs.google.com/spreadsheets/d/1HZUHB8NvANAZR0sHDmHYVAm2WE9kNv0pGIQA48Ryim8/edit?gid=1285727875#gid=1285727875"",""Cost!A2:G""),7,0))"),1063.0)</f>
        <v>1063</v>
      </c>
      <c r="N914" s="62">
        <f t="shared" si="4"/>
        <v>3.330197554</v>
      </c>
      <c r="O914" s="28"/>
      <c r="P914" s="28"/>
      <c r="Q914" s="28"/>
      <c r="R914" s="28"/>
      <c r="S914" s="28"/>
      <c r="T914" s="28"/>
      <c r="U914" s="65"/>
      <c r="V914" s="28"/>
      <c r="W914" s="65"/>
      <c r="X914" s="66" t="s">
        <v>271</v>
      </c>
      <c r="Y914" s="65" t="str">
        <f t="shared" si="6"/>
        <v>EVIAN 8798</v>
      </c>
    </row>
    <row r="915">
      <c r="A915" s="216" t="s">
        <v>1271</v>
      </c>
      <c r="B915" s="91">
        <f t="shared" si="127"/>
        <v>8102</v>
      </c>
      <c r="C915" s="15">
        <v>8102.0</v>
      </c>
      <c r="D915" s="18" t="s">
        <v>15</v>
      </c>
      <c r="E915" s="39">
        <v>3090.0</v>
      </c>
      <c r="F915" s="39">
        <v>3470.0</v>
      </c>
      <c r="G915" s="50">
        <f t="shared" si="128"/>
        <v>0.1229773463</v>
      </c>
      <c r="H915" s="28"/>
      <c r="I915" s="55">
        <f t="shared" si="2"/>
        <v>3464.394388</v>
      </c>
      <c r="J915" s="81"/>
      <c r="K915" s="60">
        <f>IFERROR(__xludf.DUMMYFUNCTION("IFERROR(VLOOKUP(C915,IMPORTRANGE(""https://docs.google.com/spreadsheets/d/1HZUHB8NvANAZR0sHDmHYVAm2WE9kNv0pGIQA48Ryim8/edit?gid=1285727875#gid=1285727875"",""Sheet1!A2:G""),7,0))"),979.34)</f>
        <v>979.34</v>
      </c>
      <c r="L915" s="62">
        <f t="shared" si="129"/>
        <v>3.155186146</v>
      </c>
      <c r="M915" s="60">
        <f>IFERROR(__xludf.DUMMYFUNCTION("IFERROR(VLOOKUP(C915,IMPORTRANGE(""https://docs.google.com/spreadsheets/d/1HZUHB8NvANAZR0sHDmHYVAm2WE9kNv0pGIQA48Ryim8/edit?gid=1285727875#gid=1285727875"",""Cost!A2:G""),7,0))"),1098.0)</f>
        <v>1098</v>
      </c>
      <c r="N915" s="62">
        <f t="shared" si="4"/>
        <v>3.160291439</v>
      </c>
      <c r="O915" s="28"/>
      <c r="P915" s="28"/>
      <c r="Q915" s="28"/>
      <c r="R915" s="28"/>
      <c r="S915" s="28"/>
      <c r="T915" s="28"/>
      <c r="U915" s="65"/>
      <c r="V915" s="28"/>
      <c r="W915" s="65"/>
      <c r="X915" s="66" t="s">
        <v>303</v>
      </c>
      <c r="Y915" s="65" t="str">
        <f t="shared" si="6"/>
        <v>NIAGARA 8102</v>
      </c>
    </row>
    <row r="916">
      <c r="A916" s="216" t="s">
        <v>1271</v>
      </c>
      <c r="B916" s="91">
        <f t="shared" si="127"/>
        <v>8103</v>
      </c>
      <c r="C916" s="15">
        <v>8103.0</v>
      </c>
      <c r="D916" s="18" t="s">
        <v>30</v>
      </c>
      <c r="E916" s="75">
        <v>4620.0</v>
      </c>
      <c r="F916" s="39">
        <v>5160.0</v>
      </c>
      <c r="G916" s="50">
        <f t="shared" si="128"/>
        <v>0.1168831169</v>
      </c>
      <c r="H916" s="28"/>
      <c r="I916" s="55">
        <f t="shared" si="2"/>
        <v>5162.611022</v>
      </c>
      <c r="J916" s="81"/>
      <c r="K916" s="60">
        <f>IFERROR(__xludf.DUMMYFUNCTION("IFERROR(VLOOKUP(C916,IMPORTRANGE(""https://docs.google.com/spreadsheets/d/1HZUHB8NvANAZR0sHDmHYVAm2WE9kNv0pGIQA48Ryim8/edit?gid=1285727875#gid=1285727875"",""Sheet1!A2:G""),7,0))"),1592.02)</f>
        <v>1592.02</v>
      </c>
      <c r="L916" s="62">
        <f t="shared" si="129"/>
        <v>2.901973593</v>
      </c>
      <c r="M916" s="60">
        <f>IFERROR(__xludf.DUMMYFUNCTION("IFERROR(VLOOKUP(C916,IMPORTRANGE(""https://docs.google.com/spreadsheets/d/1HZUHB8NvANAZR0sHDmHYVAm2WE9kNv0pGIQA48Ryim8/edit?gid=1285727875#gid=1285727875"",""Cost!A2:G""),7,0))"),1779.0)</f>
        <v>1779</v>
      </c>
      <c r="N916" s="62">
        <f t="shared" si="4"/>
        <v>2.900505902</v>
      </c>
      <c r="O916" s="28"/>
      <c r="P916" s="28"/>
      <c r="Q916" s="28"/>
      <c r="R916" s="28"/>
      <c r="S916" s="28"/>
      <c r="T916" s="28"/>
      <c r="U916" s="65"/>
      <c r="V916" s="28"/>
      <c r="W916" s="65"/>
      <c r="X916" s="66" t="s">
        <v>306</v>
      </c>
      <c r="Y916" s="65" t="str">
        <f t="shared" si="6"/>
        <v>NIAGARA 8103</v>
      </c>
    </row>
    <row r="917">
      <c r="A917" s="216" t="s">
        <v>1271</v>
      </c>
      <c r="B917" s="91">
        <f t="shared" si="127"/>
        <v>8106</v>
      </c>
      <c r="C917" s="15">
        <v>8106.0</v>
      </c>
      <c r="D917" s="18" t="s">
        <v>67</v>
      </c>
      <c r="E917" s="39">
        <v>2090.0</v>
      </c>
      <c r="F917" s="39">
        <v>2320.0</v>
      </c>
      <c r="G917" s="50">
        <f t="shared" si="128"/>
        <v>0.1100478469</v>
      </c>
      <c r="H917" s="28"/>
      <c r="I917" s="55">
        <f t="shared" si="2"/>
        <v>2316.583628</v>
      </c>
      <c r="J917" s="81"/>
      <c r="K917" s="60">
        <f>IFERROR(__xludf.DUMMYFUNCTION("IFERROR(VLOOKUP(C917,IMPORTRANGE(""https://docs.google.com/spreadsheets/d/1HZUHB8NvANAZR0sHDmHYVAm2WE9kNv0pGIQA48Ryim8/edit?gid=1285727875#gid=1285727875"",""Sheet1!A2:G""),7,0))"),634.24)</f>
        <v>634.24</v>
      </c>
      <c r="L917" s="62">
        <f t="shared" si="129"/>
        <v>3.295282543</v>
      </c>
      <c r="M917" s="60">
        <f>IFERROR(__xludf.DUMMYFUNCTION("IFERROR(VLOOKUP(C917,IMPORTRANGE(""https://docs.google.com/spreadsheets/d/1HZUHB8NvANAZR0sHDmHYVAm2WE9kNv0pGIQA48Ryim8/edit?gid=1285727875#gid=1285727875"",""Cost!A2:G""),7,0))"),703.0)</f>
        <v>703</v>
      </c>
      <c r="N917" s="62">
        <f t="shared" si="4"/>
        <v>3.300142248</v>
      </c>
      <c r="O917" s="28"/>
      <c r="P917" s="28"/>
      <c r="Q917" s="28"/>
      <c r="R917" s="28"/>
      <c r="S917" s="28"/>
      <c r="T917" s="28"/>
      <c r="U917" s="65"/>
      <c r="V917" s="28"/>
      <c r="W917" s="65"/>
      <c r="X917" s="66" t="s">
        <v>311</v>
      </c>
      <c r="Y917" s="65" t="str">
        <f t="shared" si="6"/>
        <v>NIAGARA 8106</v>
      </c>
    </row>
    <row r="918">
      <c r="A918" s="216" t="s">
        <v>1271</v>
      </c>
      <c r="B918" s="91">
        <f t="shared" si="127"/>
        <v>8108</v>
      </c>
      <c r="C918" s="15">
        <v>8108.0</v>
      </c>
      <c r="D918" s="18" t="s">
        <v>81</v>
      </c>
      <c r="E918" s="39">
        <v>2290.0</v>
      </c>
      <c r="F918" s="39">
        <v>2530.0</v>
      </c>
      <c r="G918" s="50">
        <f t="shared" si="128"/>
        <v>0.1048034934</v>
      </c>
      <c r="H918" s="28"/>
      <c r="I918" s="55">
        <f t="shared" si="2"/>
        <v>2528.485129</v>
      </c>
      <c r="J918" s="81"/>
      <c r="K918" s="60">
        <f>IFERROR(__xludf.DUMMYFUNCTION("IFERROR(VLOOKUP(C918,IMPORTRANGE(""https://docs.google.com/spreadsheets/d/1HZUHB8NvANAZR0sHDmHYVAm2WE9kNv0pGIQA48Ryim8/edit?gid=1285727875#gid=1285727875"",""Sheet1!A2:G""),7,0))"),691.94)</f>
        <v>691.94</v>
      </c>
      <c r="L918" s="62">
        <f t="shared" si="129"/>
        <v>3.309535509</v>
      </c>
      <c r="M918" s="60">
        <f>IFERROR(__xludf.DUMMYFUNCTION("IFERROR(VLOOKUP(C918,IMPORTRANGE(""https://docs.google.com/spreadsheets/d/1HZUHB8NvANAZR0sHDmHYVAm2WE9kNv0pGIQA48Ryim8/edit?gid=1285727875#gid=1285727875"",""Cost!A2:G""),7,0))"),764.0)</f>
        <v>764</v>
      </c>
      <c r="N918" s="62">
        <f t="shared" si="4"/>
        <v>3.311518325</v>
      </c>
      <c r="O918" s="28"/>
      <c r="P918" s="28"/>
      <c r="Q918" s="28"/>
      <c r="R918" s="28"/>
      <c r="S918" s="28"/>
      <c r="T918" s="28"/>
      <c r="U918" s="65"/>
      <c r="V918" s="28"/>
      <c r="W918" s="65"/>
      <c r="X918" s="66" t="s">
        <v>321</v>
      </c>
      <c r="Y918" s="65" t="str">
        <f t="shared" si="6"/>
        <v>NIAGARA 8108</v>
      </c>
    </row>
    <row r="919">
      <c r="A919" s="216" t="s">
        <v>1271</v>
      </c>
      <c r="B919" s="91">
        <f t="shared" si="127"/>
        <v>8110</v>
      </c>
      <c r="C919" s="15">
        <v>8110.0</v>
      </c>
      <c r="D919" s="18" t="s">
        <v>89</v>
      </c>
      <c r="E919" s="39">
        <v>1780.0</v>
      </c>
      <c r="F919" s="39">
        <v>1970.0</v>
      </c>
      <c r="G919" s="50">
        <f t="shared" si="128"/>
        <v>0.106741573</v>
      </c>
      <c r="H919" s="28"/>
      <c r="I919" s="55">
        <f t="shared" si="2"/>
        <v>1968.350082</v>
      </c>
      <c r="J919" s="81"/>
      <c r="K919" s="60">
        <f>IFERROR(__xludf.DUMMYFUNCTION("IFERROR(VLOOKUP(C919,IMPORTRANGE(""https://docs.google.com/spreadsheets/d/1HZUHB8NvANAZR0sHDmHYVAm2WE9kNv0pGIQA48Ryim8/edit?gid=1285727875#gid=1285727875"",""Sheet1!A2:G""),7,0))"),465.72)</f>
        <v>465.72</v>
      </c>
      <c r="L919" s="62">
        <f t="shared" si="129"/>
        <v>3.822038993</v>
      </c>
      <c r="M919" s="60">
        <f>IFERROR(__xludf.DUMMYFUNCTION("IFERROR(VLOOKUP(C919,IMPORTRANGE(""https://docs.google.com/spreadsheets/d/1HZUHB8NvANAZR0sHDmHYVAm2WE9kNv0pGIQA48Ryim8/edit?gid=1285727875#gid=1285727875"",""Cost!A2:G""),7,0))"),515.0)</f>
        <v>515</v>
      </c>
      <c r="N919" s="62">
        <f t="shared" si="4"/>
        <v>3.825242718</v>
      </c>
      <c r="O919" s="28"/>
      <c r="P919" s="28"/>
      <c r="Q919" s="28"/>
      <c r="R919" s="28"/>
      <c r="S919" s="28"/>
      <c r="T919" s="28"/>
      <c r="U919" s="65"/>
      <c r="V919" s="28"/>
      <c r="W919" s="65"/>
      <c r="X919" s="66" t="s">
        <v>87</v>
      </c>
      <c r="Y919" s="65" t="str">
        <f t="shared" si="6"/>
        <v>NIAGARA 8110</v>
      </c>
    </row>
    <row r="920">
      <c r="A920" s="216" t="s">
        <v>1271</v>
      </c>
      <c r="B920" s="91">
        <f t="shared" si="127"/>
        <v>8111</v>
      </c>
      <c r="C920" s="15">
        <v>8111.0</v>
      </c>
      <c r="D920" s="18" t="s">
        <v>94</v>
      </c>
      <c r="E920" s="39">
        <v>2580.0</v>
      </c>
      <c r="F920" s="39">
        <v>2880.0</v>
      </c>
      <c r="G920" s="50">
        <f t="shared" si="128"/>
        <v>0.1162790698</v>
      </c>
      <c r="H920" s="28"/>
      <c r="I920" s="55">
        <f t="shared" si="2"/>
        <v>2910.059122</v>
      </c>
      <c r="J920" s="81"/>
      <c r="K920" s="60">
        <f>IFERROR(__xludf.DUMMYFUNCTION("IFERROR(VLOOKUP(C920,IMPORTRANGE(""https://docs.google.com/spreadsheets/d/1HZUHB8NvANAZR0sHDmHYVAm2WE9kNv0pGIQA48Ryim8/edit?gid=1285727875#gid=1285727875"",""Sheet1!A2:G""),7,0))"),715.47)</f>
        <v>715.47</v>
      </c>
      <c r="L920" s="62">
        <f t="shared" si="129"/>
        <v>3.606021217</v>
      </c>
      <c r="M920" s="60">
        <f>IFERROR(__xludf.DUMMYFUNCTION("IFERROR(VLOOKUP(C920,IMPORTRANGE(""https://docs.google.com/spreadsheets/d/1HZUHB8NvANAZR0sHDmHYVAm2WE9kNv0pGIQA48Ryim8/edit?gid=1285727875#gid=1285727875"",""Cost!A2:G""),7,0))"),807.0)</f>
        <v>807</v>
      </c>
      <c r="N920" s="62">
        <f t="shared" si="4"/>
        <v>3.568773234</v>
      </c>
      <c r="O920" s="28"/>
      <c r="P920" s="28"/>
      <c r="Q920" s="28"/>
      <c r="R920" s="28"/>
      <c r="S920" s="28"/>
      <c r="T920" s="28"/>
      <c r="U920" s="65"/>
      <c r="V920" s="28"/>
      <c r="W920" s="65"/>
      <c r="X920" s="66" t="s">
        <v>91</v>
      </c>
      <c r="Y920" s="65" t="str">
        <f t="shared" si="6"/>
        <v>NIAGARA 8111</v>
      </c>
    </row>
    <row r="921">
      <c r="A921" s="216" t="s">
        <v>1271</v>
      </c>
      <c r="B921" s="91">
        <f t="shared" si="127"/>
        <v>8112</v>
      </c>
      <c r="C921" s="15">
        <v>8112.0</v>
      </c>
      <c r="D921" s="18" t="s">
        <v>97</v>
      </c>
      <c r="E921" s="39">
        <v>3490.0</v>
      </c>
      <c r="F921" s="39">
        <v>3880.0</v>
      </c>
      <c r="G921" s="50">
        <f t="shared" si="128"/>
        <v>0.111747851</v>
      </c>
      <c r="H921" s="28"/>
      <c r="I921" s="55">
        <f t="shared" si="2"/>
        <v>3916.032834</v>
      </c>
      <c r="J921" s="81"/>
      <c r="K921" s="60">
        <f>IFERROR(__xludf.DUMMYFUNCTION("IFERROR(VLOOKUP(C921,IMPORTRANGE(""https://docs.google.com/spreadsheets/d/1HZUHB8NvANAZR0sHDmHYVAm2WE9kNv0pGIQA48Ryim8/edit?gid=1285727875#gid=1285727875"",""Sheet1!A2:G""),7,0))"),1062.32)</f>
        <v>1062.32</v>
      </c>
      <c r="L921" s="62">
        <f t="shared" si="129"/>
        <v>3.285262444</v>
      </c>
      <c r="M921" s="60">
        <f>IFERROR(__xludf.DUMMYFUNCTION("IFERROR(VLOOKUP(C921,IMPORTRANGE(""https://docs.google.com/spreadsheets/d/1HZUHB8NvANAZR0sHDmHYVAm2WE9kNv0pGIQA48Ryim8/edit?gid=1285727875#gid=1285727875"",""Cost!A2:G""),7,0))"),1192.0)</f>
        <v>1192</v>
      </c>
      <c r="N921" s="62">
        <f t="shared" si="4"/>
        <v>3.255033557</v>
      </c>
      <c r="O921" s="28"/>
      <c r="P921" s="28"/>
      <c r="Q921" s="28"/>
      <c r="R921" s="28"/>
      <c r="S921" s="28"/>
      <c r="T921" s="28"/>
      <c r="U921" s="65"/>
      <c r="V921" s="28"/>
      <c r="W921" s="65"/>
      <c r="X921" s="66" t="s">
        <v>95</v>
      </c>
      <c r="Y921" s="65" t="str">
        <f t="shared" si="6"/>
        <v>NIAGARA 8112</v>
      </c>
    </row>
    <row r="922">
      <c r="A922" s="216" t="s">
        <v>1271</v>
      </c>
      <c r="B922" s="91">
        <f t="shared" si="127"/>
        <v>8114</v>
      </c>
      <c r="C922" s="15">
        <v>8114.0</v>
      </c>
      <c r="D922" s="18" t="s">
        <v>106</v>
      </c>
      <c r="E922" s="39">
        <v>3180.0</v>
      </c>
      <c r="F922" s="39">
        <v>3480.0</v>
      </c>
      <c r="G922" s="50">
        <f t="shared" si="128"/>
        <v>0.09433962264</v>
      </c>
      <c r="H922" s="28"/>
      <c r="I922" s="55">
        <f t="shared" si="2"/>
        <v>3483.414114</v>
      </c>
      <c r="J922" s="81"/>
      <c r="K922" s="60">
        <f>IFERROR(__xludf.DUMMYFUNCTION("IFERROR(VLOOKUP(C922,IMPORTRANGE(""https://docs.google.com/spreadsheets/d/1HZUHB8NvANAZR0sHDmHYVAm2WE9kNv0pGIQA48Ryim8/edit?gid=1285727875#gid=1285727875"",""Sheet1!A2:G""),7,0))"),872.73)</f>
        <v>872.73</v>
      </c>
      <c r="L922" s="62">
        <f t="shared" si="129"/>
        <v>3.643738613</v>
      </c>
      <c r="M922" s="60">
        <f>IFERROR(__xludf.DUMMYFUNCTION("IFERROR(VLOOKUP(C922,IMPORTRANGE(""https://docs.google.com/spreadsheets/d/1HZUHB8NvANAZR0sHDmHYVAm2WE9kNv0pGIQA48Ryim8/edit?gid=1285727875#gid=1285727875"",""Cost!A2:G""),7,0))"),956.0)</f>
        <v>956</v>
      </c>
      <c r="N922" s="62">
        <f t="shared" si="4"/>
        <v>3.640167364</v>
      </c>
      <c r="O922" s="28"/>
      <c r="P922" s="28"/>
      <c r="Q922" s="28"/>
      <c r="R922" s="28"/>
      <c r="S922" s="28"/>
      <c r="T922" s="28"/>
      <c r="U922" s="65"/>
      <c r="V922" s="28"/>
      <c r="W922" s="65"/>
      <c r="X922" s="66" t="s">
        <v>104</v>
      </c>
      <c r="Y922" s="65" t="str">
        <f t="shared" si="6"/>
        <v>NIAGARA 8114</v>
      </c>
    </row>
    <row r="923">
      <c r="A923" s="216" t="s">
        <v>1271</v>
      </c>
      <c r="B923" s="91">
        <f t="shared" si="127"/>
        <v>8116</v>
      </c>
      <c r="C923" s="15">
        <v>8116.0</v>
      </c>
      <c r="D923" s="18" t="s">
        <v>112</v>
      </c>
      <c r="E923" s="75">
        <v>2760.0</v>
      </c>
      <c r="F923" s="39">
        <v>2940.0</v>
      </c>
      <c r="G923" s="50">
        <f t="shared" si="128"/>
        <v>0.0652173913</v>
      </c>
      <c r="H923" s="28"/>
      <c r="I923" s="55">
        <f t="shared" si="2"/>
        <v>2934.568246</v>
      </c>
      <c r="J923" s="81"/>
      <c r="K923" s="60">
        <f>IFERROR(__xludf.DUMMYFUNCTION("IFERROR(VLOOKUP(C923,IMPORTRANGE(""https://docs.google.com/spreadsheets/d/1HZUHB8NvANAZR0sHDmHYVAm2WE9kNv0pGIQA48Ryim8/edit?gid=1285727875#gid=1285727875"",""Sheet1!A2:G""),7,0))"),751.47)</f>
        <v>751.47</v>
      </c>
      <c r="L923" s="62">
        <f t="shared" si="129"/>
        <v>3.672801309</v>
      </c>
      <c r="M923" s="60">
        <f>IFERROR(__xludf.DUMMYFUNCTION("IFERROR(VLOOKUP(C923,IMPORTRANGE(""https://docs.google.com/spreadsheets/d/1HZUHB8NvANAZR0sHDmHYVAm2WE9kNv0pGIQA48Ryim8/edit?gid=1285727875#gid=1285727875"",""Cost!A2:G""),7,0))"),799.0)</f>
        <v>799</v>
      </c>
      <c r="N923" s="62">
        <f t="shared" si="4"/>
        <v>3.679599499</v>
      </c>
      <c r="O923" s="28"/>
      <c r="P923" s="28"/>
      <c r="Q923" s="28"/>
      <c r="R923" s="28"/>
      <c r="S923" s="28"/>
      <c r="T923" s="28"/>
      <c r="U923" s="65"/>
      <c r="V923" s="28"/>
      <c r="W923" s="65"/>
      <c r="X923" s="66" t="s">
        <v>110</v>
      </c>
      <c r="Y923" s="65" t="str">
        <f t="shared" si="6"/>
        <v>NIAGARA 8116</v>
      </c>
    </row>
    <row r="924">
      <c r="A924" s="216" t="s">
        <v>1271</v>
      </c>
      <c r="B924" s="91">
        <f t="shared" si="127"/>
        <v>8118</v>
      </c>
      <c r="C924" s="15">
        <v>8118.0</v>
      </c>
      <c r="D924" s="18" t="s">
        <v>119</v>
      </c>
      <c r="E924" s="39">
        <v>1930.0</v>
      </c>
      <c r="F924" s="39">
        <v>2190.0</v>
      </c>
      <c r="G924" s="50">
        <f t="shared" si="128"/>
        <v>0.1347150259</v>
      </c>
      <c r="H924" s="28"/>
      <c r="I924" s="55">
        <f t="shared" si="2"/>
        <v>2194.051993</v>
      </c>
      <c r="J924" s="81"/>
      <c r="K924" s="60">
        <f>IFERROR(__xludf.DUMMYFUNCTION("IFERROR(VLOOKUP(C924,IMPORTRANGE(""https://docs.google.com/spreadsheets/d/1HZUHB8NvANAZR0sHDmHYVAm2WE9kNv0pGIQA48Ryim8/edit?gid=1285727875#gid=1285727875"",""Sheet1!A2:G""),7,0))"),579.69)</f>
        <v>579.69</v>
      </c>
      <c r="L924" s="62">
        <f t="shared" si="129"/>
        <v>3.329365695</v>
      </c>
      <c r="M924" s="60">
        <f>IFERROR(__xludf.DUMMYFUNCTION("IFERROR(VLOOKUP(C924,IMPORTRANGE(""https://docs.google.com/spreadsheets/d/1HZUHB8NvANAZR0sHDmHYVAm2WE9kNv0pGIQA48Ryim8/edit?gid=1285727875#gid=1285727875"",""Cost!A2:G""),7,0))"),659.0)</f>
        <v>659</v>
      </c>
      <c r="N924" s="62">
        <f t="shared" si="4"/>
        <v>3.323216995</v>
      </c>
      <c r="O924" s="28"/>
      <c r="P924" s="28"/>
      <c r="Q924" s="28"/>
      <c r="R924" s="28"/>
      <c r="S924" s="28"/>
      <c r="T924" s="28"/>
      <c r="U924" s="65"/>
      <c r="V924" s="28"/>
      <c r="W924" s="65"/>
      <c r="X924" s="66" t="s">
        <v>117</v>
      </c>
      <c r="Y924" s="65" t="str">
        <f t="shared" si="6"/>
        <v>NIAGARA 8118</v>
      </c>
    </row>
    <row r="925">
      <c r="A925" s="216" t="s">
        <v>1271</v>
      </c>
      <c r="B925" s="91">
        <f t="shared" si="127"/>
        <v>8120</v>
      </c>
      <c r="C925" s="15">
        <v>8120.0</v>
      </c>
      <c r="D925" s="18" t="s">
        <v>122</v>
      </c>
      <c r="E925" s="39">
        <v>1990.0</v>
      </c>
      <c r="F925" s="39">
        <v>2250.0</v>
      </c>
      <c r="G925" s="50">
        <f t="shared" si="128"/>
        <v>0.1306532663</v>
      </c>
      <c r="H925" s="28"/>
      <c r="I925" s="55">
        <f t="shared" si="2"/>
        <v>2264.168417</v>
      </c>
      <c r="J925" s="81"/>
      <c r="K925" s="60">
        <f>IFERROR(__xludf.DUMMYFUNCTION("IFERROR(VLOOKUP(C925,IMPORTRANGE(""https://docs.google.com/spreadsheets/d/1HZUHB8NvANAZR0sHDmHYVAm2WE9kNv0pGIQA48Ryim8/edit?gid=1285727875#gid=1285727875"",""Sheet1!A2:G""),7,0))"),604.69)</f>
        <v>604.69</v>
      </c>
      <c r="L925" s="62">
        <f t="shared" si="129"/>
        <v>3.290942466</v>
      </c>
      <c r="M925" s="60">
        <f>IFERROR(__xludf.DUMMYFUNCTION("IFERROR(VLOOKUP(C925,IMPORTRANGE(""https://docs.google.com/spreadsheets/d/1HZUHB8NvANAZR0sHDmHYVAm2WE9kNv0pGIQA48Ryim8/edit?gid=1285727875#gid=1285727875"",""Cost!A2:G""),7,0))"),688.0)</f>
        <v>688</v>
      </c>
      <c r="N925" s="62">
        <f t="shared" si="4"/>
        <v>3.270348837</v>
      </c>
      <c r="O925" s="28"/>
      <c r="P925" s="28"/>
      <c r="Q925" s="28"/>
      <c r="R925" s="28"/>
      <c r="S925" s="28"/>
      <c r="T925" s="28"/>
      <c r="U925" s="65"/>
      <c r="V925" s="28"/>
      <c r="W925" s="65"/>
      <c r="X925" s="66" t="s">
        <v>120</v>
      </c>
      <c r="Y925" s="65" t="str">
        <f t="shared" si="6"/>
        <v>NIAGARA 8120</v>
      </c>
    </row>
    <row r="926">
      <c r="A926" s="216" t="s">
        <v>1271</v>
      </c>
      <c r="B926" s="91">
        <f t="shared" si="127"/>
        <v>8151</v>
      </c>
      <c r="C926" s="15">
        <v>8151.0</v>
      </c>
      <c r="D926" s="18" t="s">
        <v>141</v>
      </c>
      <c r="E926" s="75">
        <v>6970.0</v>
      </c>
      <c r="F926" s="39">
        <v>7780.0</v>
      </c>
      <c r="G926" s="50">
        <f t="shared" si="128"/>
        <v>0.1162123386</v>
      </c>
      <c r="H926" s="28"/>
      <c r="I926" s="55">
        <f t="shared" si="2"/>
        <v>7780.914329</v>
      </c>
      <c r="J926" s="81"/>
      <c r="K926" s="60">
        <f>IFERROR(__xludf.DUMMYFUNCTION("IFERROR(VLOOKUP(C926,IMPORTRANGE(""https://docs.google.com/spreadsheets/d/1HZUHB8NvANAZR0sHDmHYVAm2WE9kNv0pGIQA48Ryim8/edit?gid=1285727875#gid=1285727875"",""Sheet1!A2:G""),7,0))"),1919.66)</f>
        <v>1919.66</v>
      </c>
      <c r="L926" s="62">
        <f t="shared" si="129"/>
        <v>3.630851297</v>
      </c>
      <c r="M926" s="60">
        <f>IFERROR(__xludf.DUMMYFUNCTION("IFERROR(VLOOKUP(C926,IMPORTRANGE(""https://docs.google.com/spreadsheets/d/1HZUHB8NvANAZR0sHDmHYVAm2WE9kNv0pGIQA48Ryim8/edit?gid=1285727875#gid=1285727875"",""Cost!A2:G""),7,0))"),2143.0)</f>
        <v>2143</v>
      </c>
      <c r="N926" s="62">
        <f t="shared" si="4"/>
        <v>3.630424638</v>
      </c>
      <c r="O926" s="28"/>
      <c r="P926" s="28"/>
      <c r="Q926" s="28"/>
      <c r="R926" s="28"/>
      <c r="S926" s="28"/>
      <c r="T926" s="28"/>
      <c r="U926" s="65"/>
      <c r="V926" s="28"/>
      <c r="W926" s="65"/>
      <c r="X926" s="66" t="s">
        <v>139</v>
      </c>
      <c r="Y926" s="65" t="str">
        <f t="shared" si="6"/>
        <v>NIAGARA 8151</v>
      </c>
    </row>
    <row r="927">
      <c r="A927" s="216" t="s">
        <v>1271</v>
      </c>
      <c r="B927" s="91">
        <f t="shared" si="127"/>
        <v>8152</v>
      </c>
      <c r="C927" s="15">
        <v>8152.0</v>
      </c>
      <c r="D927" s="18" t="s">
        <v>147</v>
      </c>
      <c r="E927" s="75">
        <v>9710.0</v>
      </c>
      <c r="F927" s="39">
        <v>10850.0</v>
      </c>
      <c r="G927" s="50">
        <f t="shared" si="128"/>
        <v>0.1174047374</v>
      </c>
      <c r="H927" s="28"/>
      <c r="I927" s="55">
        <f t="shared" si="2"/>
        <v>10844.35261</v>
      </c>
      <c r="J927" s="81"/>
      <c r="K927" s="60">
        <f>IFERROR(__xludf.DUMMYFUNCTION("IFERROR(VLOOKUP(C927,IMPORTRANGE(""https://docs.google.com/spreadsheets/d/1HZUHB8NvANAZR0sHDmHYVAm2WE9kNv0pGIQA48Ryim8/edit?gid=1285727875#gid=1285727875"",""Sheet1!A2:G""),7,0))"),2797.22)</f>
        <v>2797.22</v>
      </c>
      <c r="L927" s="62">
        <f t="shared" si="129"/>
        <v>3.471303651</v>
      </c>
      <c r="M927" s="60">
        <f>IFERROR(__xludf.DUMMYFUNCTION("IFERROR(VLOOKUP(C927,IMPORTRANGE(""https://docs.google.com/spreadsheets/d/1HZUHB8NvANAZR0sHDmHYVAm2WE9kNv0pGIQA48Ryim8/edit?gid=1285727875#gid=1285727875"",""Cost!A2:G""),7,0))"),3124.0)</f>
        <v>3124</v>
      </c>
      <c r="N927" s="62">
        <f t="shared" si="4"/>
        <v>3.473111396</v>
      </c>
      <c r="O927" s="28"/>
      <c r="P927" s="28"/>
      <c r="Q927" s="28"/>
      <c r="R927" s="28"/>
      <c r="S927" s="28"/>
      <c r="T927" s="28"/>
      <c r="U927" s="65"/>
      <c r="V927" s="28"/>
      <c r="W927" s="65"/>
      <c r="X927" s="66" t="s">
        <v>144</v>
      </c>
      <c r="Y927" s="65" t="str">
        <f t="shared" si="6"/>
        <v>NIAGARA 8152</v>
      </c>
    </row>
    <row r="928">
      <c r="A928" s="216" t="s">
        <v>1271</v>
      </c>
      <c r="B928" s="91">
        <f t="shared" si="127"/>
        <v>8154</v>
      </c>
      <c r="C928" s="15">
        <v>8154.0</v>
      </c>
      <c r="D928" s="18" t="s">
        <v>152</v>
      </c>
      <c r="E928" s="75">
        <f t="shared" ref="E928:F928" si="131">SUM(E929:E930)</f>
        <v>7870</v>
      </c>
      <c r="F928" s="39">
        <f t="shared" si="131"/>
        <v>8650</v>
      </c>
      <c r="G928" s="50">
        <f t="shared" si="128"/>
        <v>0.09911054638</v>
      </c>
      <c r="H928" s="28"/>
      <c r="I928" s="55">
        <f t="shared" si="2"/>
        <v>8647.978385</v>
      </c>
      <c r="J928" s="81"/>
      <c r="K928" s="60">
        <f>IFERROR(__xludf.DUMMYFUNCTION("IFERROR(VLOOKUP(C928,IMPORTRANGE(""https://docs.google.com/spreadsheets/d/1HZUHB8NvANAZR0sHDmHYVAm2WE9kNv0pGIQA48Ryim8/edit?gid=1285727875#gid=1285727875"",""Sheet1!A2:G""),7,0))"),2316.96)</f>
        <v>2316.96</v>
      </c>
      <c r="L928" s="62">
        <f t="shared" si="129"/>
        <v>3.396692217</v>
      </c>
      <c r="M928" s="60">
        <f>IFERROR(__xludf.DUMMYFUNCTION("IFERROR(VLOOKUP(C928,IMPORTRANGE(""https://docs.google.com/spreadsheets/d/1HZUHB8NvANAZR0sHDmHYVAm2WE9kNv0pGIQA48Ryim8/edit?gid=1285727875#gid=1285727875"",""Cost!A2:G""),7,0))"),2546.0)</f>
        <v>2546</v>
      </c>
      <c r="N928" s="62">
        <f t="shared" si="4"/>
        <v>3.397486253</v>
      </c>
      <c r="O928" s="28"/>
      <c r="P928" s="28"/>
      <c r="Q928" s="28"/>
      <c r="R928" s="28"/>
      <c r="S928" s="28"/>
      <c r="T928" s="28"/>
      <c r="U928" s="65"/>
      <c r="V928" s="28"/>
      <c r="W928" s="65"/>
      <c r="X928" s="66" t="s">
        <v>150</v>
      </c>
      <c r="Y928" s="65" t="str">
        <f t="shared" si="6"/>
        <v>NIAGARA 8154</v>
      </c>
    </row>
    <row r="929">
      <c r="A929" s="216" t="s">
        <v>1271</v>
      </c>
      <c r="B929" s="91" t="str">
        <f t="shared" si="127"/>
        <v>BD-40</v>
      </c>
      <c r="C929" s="15" t="s">
        <v>154</v>
      </c>
      <c r="D929" s="18" t="s">
        <v>156</v>
      </c>
      <c r="E929" s="39">
        <v>3680.0</v>
      </c>
      <c r="F929" s="39">
        <v>3990.0</v>
      </c>
      <c r="G929" s="50">
        <f t="shared" si="128"/>
        <v>0.08423913043</v>
      </c>
      <c r="H929" s="28"/>
      <c r="I929" s="55">
        <f t="shared" si="2"/>
        <v>4075.59981</v>
      </c>
      <c r="J929" s="81"/>
      <c r="K929" s="60">
        <f>IFERROR(__xludf.DUMMYFUNCTION("IFERROR(VLOOKUP(C929,IMPORTRANGE(""https://docs.google.com/spreadsheets/d/1HZUHB8NvANAZR0sHDmHYVAm2WE9kNv0pGIQA48Ryim8/edit?gid=1285727875#gid=1285727875"",""Sheet1!A2:G""),7,0))"),966.14)</f>
        <v>966.14</v>
      </c>
      <c r="L929" s="62">
        <f t="shared" si="129"/>
        <v>3.808971785</v>
      </c>
      <c r="M929" s="60">
        <f>IFERROR(__xludf.DUMMYFUNCTION("IFERROR(VLOOKUP(C929,IMPORTRANGE(""https://docs.google.com/spreadsheets/d/1HZUHB8NvANAZR0sHDmHYVAm2WE9kNv0pGIQA48Ryim8/edit?gid=1285727875#gid=1285727875"",""Cost!A2:G""),7,0))"),1070.0)</f>
        <v>1070</v>
      </c>
      <c r="N929" s="62">
        <f t="shared" si="4"/>
        <v>3.728971963</v>
      </c>
      <c r="O929" s="28"/>
      <c r="P929" s="28"/>
      <c r="Q929" s="28"/>
      <c r="R929" s="28"/>
      <c r="S929" s="28"/>
      <c r="T929" s="28"/>
      <c r="U929" s="65"/>
      <c r="V929" s="28"/>
      <c r="W929" s="65"/>
      <c r="X929" s="66" t="s">
        <v>154</v>
      </c>
      <c r="Y929" s="65" t="str">
        <f t="shared" si="6"/>
        <v>NIAGARA 81BD-40</v>
      </c>
    </row>
    <row r="930">
      <c r="A930" s="216" t="s">
        <v>1271</v>
      </c>
      <c r="B930" s="91" t="str">
        <f t="shared" si="127"/>
        <v>BB-81</v>
      </c>
      <c r="C930" s="15" t="s">
        <v>1272</v>
      </c>
      <c r="D930" s="18" t="s">
        <v>78</v>
      </c>
      <c r="E930" s="75">
        <v>4190.0</v>
      </c>
      <c r="F930" s="39">
        <v>4660.0</v>
      </c>
      <c r="G930" s="50">
        <f t="shared" si="128"/>
        <v>0.1121718377</v>
      </c>
      <c r="H930" s="28"/>
      <c r="I930" s="55">
        <f t="shared" si="2"/>
        <v>4658.331509</v>
      </c>
      <c r="J930" s="81"/>
      <c r="K930" s="60">
        <f>IFERROR(__xludf.DUMMYFUNCTION("IFERROR(VLOOKUP(C930,IMPORTRANGE(""https://docs.google.com/spreadsheets/d/1HZUHB8NvANAZR0sHDmHYVAm2WE9kNv0pGIQA48Ryim8/edit?gid=1285727875#gid=1285727875"",""Sheet1!A2:G""),7,0))"),1324.91)</f>
        <v>1324.91</v>
      </c>
      <c r="L930" s="62">
        <f t="shared" si="129"/>
        <v>3.162478961</v>
      </c>
      <c r="M930" s="60">
        <f>IFERROR(__xludf.DUMMYFUNCTION("IFERROR(VLOOKUP(C930,IMPORTRANGE(""https://docs.google.com/spreadsheets/d/1HZUHB8NvANAZR0sHDmHYVAm2WE9kNv0pGIQA48Ryim8/edit?gid=1285727875#gid=1285727875"",""Cost!A2:G""),7,0))"),1473.0)</f>
        <v>1473</v>
      </c>
      <c r="N930" s="62">
        <f t="shared" si="4"/>
        <v>3.163611677</v>
      </c>
      <c r="O930" s="28"/>
      <c r="P930" s="28"/>
      <c r="Q930" s="28"/>
      <c r="R930" s="28"/>
      <c r="S930" s="28"/>
      <c r="T930" s="28"/>
      <c r="U930" s="65"/>
      <c r="V930" s="28"/>
      <c r="W930" s="65"/>
      <c r="X930" s="66" t="s">
        <v>159</v>
      </c>
      <c r="Y930" s="65" t="str">
        <f t="shared" si="6"/>
        <v>NIAGARA 81BB</v>
      </c>
    </row>
    <row r="931">
      <c r="A931" s="216" t="s">
        <v>1271</v>
      </c>
      <c r="B931" s="91">
        <f t="shared" si="127"/>
        <v>8155</v>
      </c>
      <c r="C931" s="15">
        <v>8155.0</v>
      </c>
      <c r="D931" s="18" t="s">
        <v>164</v>
      </c>
      <c r="E931" s="39">
        <v>5980.0</v>
      </c>
      <c r="F931" s="39">
        <v>6590.0</v>
      </c>
      <c r="G931" s="50">
        <f t="shared" si="128"/>
        <v>0.102006689</v>
      </c>
      <c r="H931" s="28"/>
      <c r="I931" s="55">
        <f t="shared" si="2"/>
        <v>6903.087248</v>
      </c>
      <c r="J931" s="81"/>
      <c r="K931" s="60">
        <f>IFERROR(__xludf.DUMMYFUNCTION("IFERROR(VLOOKUP(C931,IMPORTRANGE(""https://docs.google.com/spreadsheets/d/1HZUHB8NvANAZR0sHDmHYVAm2WE9kNv0pGIQA48Ryim8/edit?gid=1285727875#gid=1285727875"",""Sheet1!A2:G""),7,0))"),1527.25)</f>
        <v>1527.25</v>
      </c>
      <c r="L931" s="62">
        <f t="shared" si="129"/>
        <v>3.915534457</v>
      </c>
      <c r="M931" s="60">
        <f>IFERROR(__xludf.DUMMYFUNCTION("IFERROR(VLOOKUP(C931,IMPORTRANGE(""https://docs.google.com/spreadsheets/d/1HZUHB8NvANAZR0sHDmHYVAm2WE9kNv0pGIQA48Ryim8/edit?gid=1285727875#gid=1285727875"",""Cost!A2:G""),7,0))"),1763.0)</f>
        <v>1763</v>
      </c>
      <c r="N931" s="62">
        <f t="shared" si="4"/>
        <v>3.737946682</v>
      </c>
      <c r="O931" s="28"/>
      <c r="P931" s="28"/>
      <c r="Q931" s="28"/>
      <c r="R931" s="28"/>
      <c r="S931" s="28"/>
      <c r="T931" s="28"/>
      <c r="U931" s="65"/>
      <c r="V931" s="28"/>
      <c r="W931" s="65"/>
      <c r="X931" s="66" t="s">
        <v>162</v>
      </c>
      <c r="Y931" s="65" t="str">
        <f t="shared" si="6"/>
        <v>NIAGARA 8155</v>
      </c>
    </row>
    <row r="932">
      <c r="A932" s="216" t="s">
        <v>1271</v>
      </c>
      <c r="B932" s="91">
        <f t="shared" si="127"/>
        <v>8156</v>
      </c>
      <c r="C932" s="15">
        <v>8156.0</v>
      </c>
      <c r="D932" s="18" t="s">
        <v>170</v>
      </c>
      <c r="E932" s="75">
        <v>8620.0</v>
      </c>
      <c r="F932" s="39">
        <v>9480.0</v>
      </c>
      <c r="G932" s="50">
        <f t="shared" si="128"/>
        <v>0.09976798144</v>
      </c>
      <c r="H932" s="28"/>
      <c r="I932" s="55">
        <f t="shared" si="2"/>
        <v>9832.80051</v>
      </c>
      <c r="J932" s="81"/>
      <c r="K932" s="60">
        <f>IFERROR(__xludf.DUMMYFUNCTION("IFERROR(VLOOKUP(C932,IMPORTRANGE(""https://docs.google.com/spreadsheets/d/1HZUHB8NvANAZR0sHDmHYVAm2WE9kNv0pGIQA48Ryim8/edit?gid=1285727875#gid=1285727875"",""Sheet1!A2:G""),7,0))"),2274.05)</f>
        <v>2274.05</v>
      </c>
      <c r="L932" s="62">
        <f t="shared" si="129"/>
        <v>3.790593874</v>
      </c>
      <c r="M932" s="60">
        <f>IFERROR(__xludf.DUMMYFUNCTION("IFERROR(VLOOKUP(C932,IMPORTRANGE(""https://docs.google.com/spreadsheets/d/1HZUHB8NvANAZR0sHDmHYVAm2WE9kNv0pGIQA48Ryim8/edit?gid=1285727875#gid=1285727875"",""Cost!A2:G""),7,0))"),2594.0)</f>
        <v>2594</v>
      </c>
      <c r="N932" s="62">
        <f t="shared" si="4"/>
        <v>3.65458751</v>
      </c>
      <c r="O932" s="28"/>
      <c r="P932" s="28"/>
      <c r="Q932" s="28"/>
      <c r="R932" s="28"/>
      <c r="S932" s="28"/>
      <c r="T932" s="28"/>
      <c r="U932" s="65"/>
      <c r="V932" s="28"/>
      <c r="W932" s="65"/>
      <c r="X932" s="66" t="s">
        <v>167</v>
      </c>
      <c r="Y932" s="65" t="str">
        <f t="shared" si="6"/>
        <v>NIAGARA 8156</v>
      </c>
    </row>
    <row r="933">
      <c r="A933" s="216" t="s">
        <v>1271</v>
      </c>
      <c r="B933" s="91">
        <f t="shared" si="127"/>
        <v>8170</v>
      </c>
      <c r="C933" s="15">
        <v>8170.0</v>
      </c>
      <c r="D933" s="18" t="s">
        <v>186</v>
      </c>
      <c r="E933" s="39">
        <v>7980.0</v>
      </c>
      <c r="F933" s="39">
        <v>8790.0</v>
      </c>
      <c r="G933" s="50">
        <f t="shared" si="128"/>
        <v>0.1015037594</v>
      </c>
      <c r="H933" s="28"/>
      <c r="I933" s="55">
        <f t="shared" si="2"/>
        <v>9159.239605</v>
      </c>
      <c r="J933" s="81"/>
      <c r="K933" s="60">
        <f>IFERROR(__xludf.DUMMYFUNCTION("IFERROR(VLOOKUP(C933,IMPORTRANGE(""https://docs.google.com/spreadsheets/d/1HZUHB8NvANAZR0sHDmHYVAm2WE9kNv0pGIQA48Ryim8/edit?gid=1285727875#gid=1285727875"",""Sheet1!A2:G""),7,0))"),2395.07)</f>
        <v>2395.07</v>
      </c>
      <c r="L933" s="62">
        <f t="shared" si="129"/>
        <v>3.331844163</v>
      </c>
      <c r="M933" s="60">
        <f>IFERROR(__xludf.DUMMYFUNCTION("IFERROR(VLOOKUP(C933,IMPORTRANGE(""https://docs.google.com/spreadsheets/d/1HZUHB8NvANAZR0sHDmHYVAm2WE9kNv0pGIQA48Ryim8/edit?gid=1285727875#gid=1285727875"",""Cost!A2:G""),7,0))"),2749.0)</f>
        <v>2749</v>
      </c>
      <c r="N933" s="62">
        <f t="shared" si="4"/>
        <v>3.197526373</v>
      </c>
      <c r="O933" s="28"/>
      <c r="P933" s="28"/>
      <c r="Q933" s="28"/>
      <c r="R933" s="28"/>
      <c r="S933" s="28"/>
      <c r="T933" s="28"/>
      <c r="U933" s="65"/>
      <c r="V933" s="28"/>
      <c r="W933" s="65"/>
      <c r="X933" s="66" t="s">
        <v>184</v>
      </c>
      <c r="Y933" s="65" t="str">
        <f t="shared" si="6"/>
        <v>NIAGARA 8170</v>
      </c>
    </row>
    <row r="934">
      <c r="A934" s="216" t="s">
        <v>1271</v>
      </c>
      <c r="B934" s="91">
        <f t="shared" si="127"/>
        <v>8171</v>
      </c>
      <c r="C934" s="15">
        <v>8171.0</v>
      </c>
      <c r="D934" s="18" t="s">
        <v>192</v>
      </c>
      <c r="E934" s="39">
        <v>6980.0</v>
      </c>
      <c r="F934" s="39">
        <v>7760.0</v>
      </c>
      <c r="G934" s="50">
        <f t="shared" si="128"/>
        <v>0.111747851</v>
      </c>
      <c r="H934" s="28"/>
      <c r="I934" s="55">
        <f t="shared" si="2"/>
        <v>7962.184262</v>
      </c>
      <c r="J934" s="81"/>
      <c r="K934" s="60">
        <f>IFERROR(__xludf.DUMMYFUNCTION("IFERROR(VLOOKUP(C934,IMPORTRANGE(""https://docs.google.com/spreadsheets/d/1HZUHB8NvANAZR0sHDmHYVAm2WE9kNv0pGIQA48Ryim8/edit?gid=1285727875#gid=1285727875"",""Sheet1!A2:G""),7,0))"),1922.48)</f>
        <v>1922.48</v>
      </c>
      <c r="L934" s="62">
        <f t="shared" si="129"/>
        <v>3.630726978</v>
      </c>
      <c r="M934" s="60">
        <f>IFERROR(__xludf.DUMMYFUNCTION("IFERROR(VLOOKUP(C934,IMPORTRANGE(""https://docs.google.com/spreadsheets/d/1HZUHB8NvANAZR0sHDmHYVAm2WE9kNv0pGIQA48Ryim8/edit?gid=1285727875#gid=1285727875"",""Cost!A2:G""),7,0))"),2193.0)</f>
        <v>2193</v>
      </c>
      <c r="N934" s="62">
        <f t="shared" si="4"/>
        <v>3.538531692</v>
      </c>
      <c r="O934" s="28"/>
      <c r="P934" s="28"/>
      <c r="Q934" s="28"/>
      <c r="R934" s="28"/>
      <c r="S934" s="28"/>
      <c r="T934" s="28"/>
      <c r="U934" s="65"/>
      <c r="V934" s="28"/>
      <c r="W934" s="65"/>
      <c r="X934" s="66" t="s">
        <v>190</v>
      </c>
      <c r="Y934" s="65" t="str">
        <f t="shared" si="6"/>
        <v>NIAGARA 8171</v>
      </c>
    </row>
    <row r="935">
      <c r="A935" s="216" t="s">
        <v>1271</v>
      </c>
      <c r="B935" s="91">
        <f t="shared" si="127"/>
        <v>8175</v>
      </c>
      <c r="C935" s="15">
        <v>8175.0</v>
      </c>
      <c r="D935" s="18" t="s">
        <v>196</v>
      </c>
      <c r="E935" s="39">
        <v>7980.0</v>
      </c>
      <c r="F935" s="39">
        <v>8790.0</v>
      </c>
      <c r="G935" s="50">
        <f t="shared" si="128"/>
        <v>0.1015037594</v>
      </c>
      <c r="H935" s="28"/>
      <c r="I935" s="55">
        <f t="shared" si="2"/>
        <v>9149.630597</v>
      </c>
      <c r="J935" s="81"/>
      <c r="K935" s="60">
        <f>IFERROR(__xludf.DUMMYFUNCTION("IFERROR(VLOOKUP(C935,IMPORTRANGE(""https://docs.google.com/spreadsheets/d/1HZUHB8NvANAZR0sHDmHYVAm2WE9kNv0pGIQA48Ryim8/edit?gid=1285727875#gid=1285727875"",""Sheet1!A2:G""),7,0))"),2359.21)</f>
        <v>2359.21</v>
      </c>
      <c r="L935" s="62">
        <f t="shared" si="129"/>
        <v>3.382488206</v>
      </c>
      <c r="M935" s="60">
        <f>IFERROR(__xludf.DUMMYFUNCTION("IFERROR(VLOOKUP(C935,IMPORTRANGE(""https://docs.google.com/spreadsheets/d/1HZUHB8NvANAZR0sHDmHYVAm2WE9kNv0pGIQA48Ryim8/edit?gid=1285727875#gid=1285727875"",""Cost!A2:G""),7,0))"),2705.0)</f>
        <v>2705</v>
      </c>
      <c r="N935" s="62">
        <f t="shared" si="4"/>
        <v>3.249537893</v>
      </c>
      <c r="O935" s="28"/>
      <c r="P935" s="28"/>
      <c r="Q935" s="28"/>
      <c r="R935" s="28"/>
      <c r="S935" s="28"/>
      <c r="T935" s="28"/>
      <c r="U935" s="65"/>
      <c r="V935" s="28"/>
      <c r="W935" s="65"/>
      <c r="X935" s="66" t="s">
        <v>194</v>
      </c>
      <c r="Y935" s="65" t="str">
        <f t="shared" si="6"/>
        <v>NIAGARA 8175</v>
      </c>
    </row>
    <row r="936">
      <c r="A936" s="216" t="s">
        <v>1271</v>
      </c>
      <c r="B936" s="91">
        <f t="shared" si="127"/>
        <v>8176</v>
      </c>
      <c r="C936" s="15">
        <v>8176.0</v>
      </c>
      <c r="D936" s="18" t="s">
        <v>200</v>
      </c>
      <c r="E936" s="39">
        <v>9980.0</v>
      </c>
      <c r="F936" s="39">
        <v>11430.0</v>
      </c>
      <c r="G936" s="50">
        <f t="shared" si="128"/>
        <v>0.1452905812</v>
      </c>
      <c r="H936" s="28"/>
      <c r="I936" s="55">
        <f t="shared" si="2"/>
        <v>11231.10099</v>
      </c>
      <c r="J936" s="81"/>
      <c r="K936" s="60">
        <f>IFERROR(__xludf.DUMMYFUNCTION("IFERROR(VLOOKUP(C936,IMPORTRANGE(""https://docs.google.com/spreadsheets/d/1HZUHB8NvANAZR0sHDmHYVAm2WE9kNv0pGIQA48Ryim8/edit?gid=1285727875#gid=1285727875"",""Sheet1!A2:G""),7,0))"),3246.07)</f>
        <v>3246.07</v>
      </c>
      <c r="L936" s="62">
        <f t="shared" si="129"/>
        <v>3.074486995</v>
      </c>
      <c r="M936" s="60">
        <f>IFERROR(__xludf.DUMMYFUNCTION("IFERROR(VLOOKUP(C936,IMPORTRANGE(""https://docs.google.com/spreadsheets/d/1HZUHB8NvANAZR0sHDmHYVAm2WE9kNv0pGIQA48Ryim8/edit?gid=1285727875#gid=1285727875"",""Cost!A2:G""),7,0))"),3653.0)</f>
        <v>3653</v>
      </c>
      <c r="N936" s="62">
        <f t="shared" si="4"/>
        <v>3.128935122</v>
      </c>
      <c r="O936" s="28"/>
      <c r="P936" s="28"/>
      <c r="Q936" s="28"/>
      <c r="R936" s="28"/>
      <c r="S936" s="28"/>
      <c r="T936" s="28"/>
      <c r="U936" s="65"/>
      <c r="V936" s="28"/>
      <c r="W936" s="65"/>
      <c r="X936" s="66" t="s">
        <v>198</v>
      </c>
      <c r="Y936" s="65" t="str">
        <f t="shared" si="6"/>
        <v>NIAGARA 8176</v>
      </c>
    </row>
    <row r="937">
      <c r="A937" s="216" t="s">
        <v>1271</v>
      </c>
      <c r="B937" s="91">
        <f t="shared" si="127"/>
        <v>8180</v>
      </c>
      <c r="C937" s="15">
        <v>8180.0</v>
      </c>
      <c r="D937" s="18" t="s">
        <v>205</v>
      </c>
      <c r="E937" s="39">
        <v>8880.0</v>
      </c>
      <c r="F937" s="39">
        <v>9980.0</v>
      </c>
      <c r="G937" s="50">
        <f t="shared" si="128"/>
        <v>0.1238738739</v>
      </c>
      <c r="H937" s="28"/>
      <c r="I937" s="55">
        <f t="shared" si="2"/>
        <v>10151.57058</v>
      </c>
      <c r="J937" s="81"/>
      <c r="K937" s="60">
        <f>IFERROR(__xludf.DUMMYFUNCTION("IFERROR(VLOOKUP(C937,IMPORTRANGE(""https://docs.google.com/spreadsheets/d/1HZUHB8NvANAZR0sHDmHYVAm2WE9kNv0pGIQA48Ryim8/edit?gid=1285727875#gid=1285727875"",""Sheet1!A2:G""),7,0))"),2673.21)</f>
        <v>2673.21</v>
      </c>
      <c r="L937" s="62">
        <f t="shared" si="129"/>
        <v>3.321849013</v>
      </c>
      <c r="M937" s="60">
        <f>IFERROR(__xludf.DUMMYFUNCTION("IFERROR(VLOOKUP(C937,IMPORTRANGE(""https://docs.google.com/spreadsheets/d/1HZUHB8NvANAZR0sHDmHYVAm2WE9kNv0pGIQA48Ryim8/edit?gid=1285727875#gid=1285727875"",""Cost!A2:G""),7,0))"),3056.0)</f>
        <v>3056</v>
      </c>
      <c r="N937" s="62">
        <f t="shared" si="4"/>
        <v>3.265706806</v>
      </c>
      <c r="O937" s="28"/>
      <c r="P937" s="28"/>
      <c r="Q937" s="28"/>
      <c r="R937" s="28"/>
      <c r="S937" s="28"/>
      <c r="T937" s="28"/>
      <c r="U937" s="65"/>
      <c r="V937" s="28"/>
      <c r="W937" s="65"/>
      <c r="X937" s="66" t="s">
        <v>203</v>
      </c>
      <c r="Y937" s="65" t="str">
        <f t="shared" si="6"/>
        <v>NIAGARA 8180</v>
      </c>
    </row>
    <row r="938">
      <c r="A938" s="216" t="s">
        <v>1271</v>
      </c>
      <c r="B938" s="91" t="str">
        <f t="shared" si="127"/>
        <v>8191-N</v>
      </c>
      <c r="C938" s="15" t="s">
        <v>1292</v>
      </c>
      <c r="D938" s="18" t="s">
        <v>210</v>
      </c>
      <c r="E938" s="75">
        <f t="shared" ref="E938:F938" si="132">SUM(E939:E940)</f>
        <v>6720</v>
      </c>
      <c r="F938" s="39">
        <f t="shared" si="132"/>
        <v>7250</v>
      </c>
      <c r="G938" s="50">
        <f t="shared" si="128"/>
        <v>0.07886904762</v>
      </c>
      <c r="H938" s="28"/>
      <c r="I938" s="55">
        <f t="shared" si="2"/>
        <v>7218.729916</v>
      </c>
      <c r="J938" s="81"/>
      <c r="K938" s="60">
        <f>IFERROR(__xludf.DUMMYFUNCTION("IFERROR(VLOOKUP(C938,IMPORTRANGE(""https://docs.google.com/spreadsheets/d/1HZUHB8NvANAZR0sHDmHYVAm2WE9kNv0pGIQA48Ryim8/edit?gid=1285727875#gid=1285727875"",""Sheet1!A2:G""),7,0))"),1960.5)</f>
        <v>1960.5</v>
      </c>
      <c r="L938" s="62">
        <f t="shared" si="129"/>
        <v>3.427697016</v>
      </c>
      <c r="M938" s="60">
        <f>IFERROR(__xludf.DUMMYFUNCTION("IFERROR(VLOOKUP(C938,IMPORTRANGE(""https://docs.google.com/spreadsheets/d/1HZUHB8NvANAZR0sHDmHYVAm2WE9kNv0pGIQA48Ryim8/edit?gid=1285727875#gid=1285727875"",""Cost!A2:G""),7,0))"),2106.0)</f>
        <v>2106</v>
      </c>
      <c r="N938" s="62">
        <f t="shared" si="4"/>
        <v>3.442545109</v>
      </c>
      <c r="O938" s="28"/>
      <c r="P938" s="28"/>
      <c r="Q938" s="28"/>
      <c r="R938" s="28"/>
      <c r="S938" s="28"/>
      <c r="T938" s="28"/>
      <c r="U938" s="65"/>
      <c r="V938" s="28"/>
      <c r="W938" s="65"/>
      <c r="X938" s="66" t="s">
        <v>209</v>
      </c>
      <c r="Y938" s="65" t="str">
        <f t="shared" si="6"/>
        <v>NIAGARA 8191</v>
      </c>
    </row>
    <row r="939">
      <c r="A939" s="216" t="s">
        <v>1271</v>
      </c>
      <c r="B939" s="91" t="str">
        <f t="shared" si="127"/>
        <v>PD-40-N</v>
      </c>
      <c r="C939" s="15" t="s">
        <v>212</v>
      </c>
      <c r="D939" s="18" t="s">
        <v>214</v>
      </c>
      <c r="E939" s="39">
        <v>4240.0</v>
      </c>
      <c r="F939" s="39">
        <v>4580.0</v>
      </c>
      <c r="G939" s="50">
        <f t="shared" si="128"/>
        <v>0.08018867925</v>
      </c>
      <c r="H939" s="28"/>
      <c r="I939" s="55">
        <f t="shared" si="2"/>
        <v>4549.622554</v>
      </c>
      <c r="J939" s="81"/>
      <c r="K939" s="60">
        <f>IFERROR(__xludf.DUMMYFUNCTION("IFERROR(VLOOKUP(C939,IMPORTRANGE(""https://docs.google.com/spreadsheets/d/1HZUHB8NvANAZR0sHDmHYVAm2WE9kNv0pGIQA48Ryim8/edit?gid=1285727875#gid=1285727875"",""Sheet1!A2:G""),7,0))"),1298.2)</f>
        <v>1298.2</v>
      </c>
      <c r="L939" s="62">
        <f t="shared" si="129"/>
        <v>3.266060699</v>
      </c>
      <c r="M939" s="60">
        <f>IFERROR(__xludf.DUMMYFUNCTION("IFERROR(VLOOKUP(C939,IMPORTRANGE(""https://docs.google.com/spreadsheets/d/1HZUHB8NvANAZR0sHDmHYVAm2WE9kNv0pGIQA48Ryim8/edit?gid=1285727875#gid=1285727875"",""Cost!A2:G""),7,0))"),1393.0)</f>
        <v>1393</v>
      </c>
      <c r="N939" s="62">
        <f t="shared" si="4"/>
        <v>3.287867911</v>
      </c>
      <c r="O939" s="28"/>
      <c r="P939" s="28"/>
      <c r="Q939" s="28"/>
      <c r="R939" s="28"/>
      <c r="S939" s="28"/>
      <c r="T939" s="28"/>
      <c r="U939" s="65"/>
      <c r="V939" s="28"/>
      <c r="W939" s="65"/>
      <c r="X939" s="66" t="s">
        <v>212</v>
      </c>
      <c r="Y939" s="65" t="str">
        <f t="shared" si="6"/>
        <v>NIAGARA 81PD-40-N</v>
      </c>
    </row>
    <row r="940">
      <c r="A940" s="216" t="s">
        <v>1271</v>
      </c>
      <c r="B940" s="91" t="str">
        <f t="shared" si="127"/>
        <v>DB-81-N</v>
      </c>
      <c r="C940" s="15" t="s">
        <v>1293</v>
      </c>
      <c r="D940" s="18" t="s">
        <v>217</v>
      </c>
      <c r="E940" s="39">
        <v>2480.0</v>
      </c>
      <c r="F940" s="39">
        <v>2670.0</v>
      </c>
      <c r="G940" s="50">
        <f t="shared" si="128"/>
        <v>0.07661290323</v>
      </c>
      <c r="H940" s="28"/>
      <c r="I940" s="55">
        <f t="shared" si="2"/>
        <v>2669.021674</v>
      </c>
      <c r="J940" s="81"/>
      <c r="K940" s="60">
        <f>IFERROR(__xludf.DUMMYFUNCTION("IFERROR(VLOOKUP(C940,IMPORTRANGE(""https://docs.google.com/spreadsheets/d/1HZUHB8NvANAZR0sHDmHYVAm2WE9kNv0pGIQA48Ryim8/edit?gid=1285727875#gid=1285727875"",""Sheet1!A2:G""),7,0))"),668.08)</f>
        <v>668.08</v>
      </c>
      <c r="L940" s="62">
        <f t="shared" si="129"/>
        <v>3.712130284</v>
      </c>
      <c r="M940" s="60">
        <f>IFERROR(__xludf.DUMMYFUNCTION("IFERROR(VLOOKUP(C940,IMPORTRANGE(""https://docs.google.com/spreadsheets/d/1HZUHB8NvANAZR0sHDmHYVAm2WE9kNv0pGIQA48Ryim8/edit?gid=1285727875#gid=1285727875"",""Cost!A2:G""),7,0))"),719.0)</f>
        <v>719</v>
      </c>
      <c r="N940" s="62">
        <f t="shared" si="4"/>
        <v>3.71349096</v>
      </c>
      <c r="O940" s="28"/>
      <c r="P940" s="28"/>
      <c r="Q940" s="28"/>
      <c r="R940" s="28"/>
      <c r="S940" s="28"/>
      <c r="T940" s="28"/>
      <c r="U940" s="65"/>
      <c r="V940" s="28"/>
      <c r="W940" s="65"/>
      <c r="X940" s="66" t="s">
        <v>358</v>
      </c>
      <c r="Y940" s="65" t="str">
        <f t="shared" si="6"/>
        <v>NIAGARA 81DB</v>
      </c>
    </row>
    <row r="941">
      <c r="A941" s="216" t="s">
        <v>1271</v>
      </c>
      <c r="B941" s="91" t="str">
        <f t="shared" si="127"/>
        <v>8192-N</v>
      </c>
      <c r="C941" s="15" t="s">
        <v>1294</v>
      </c>
      <c r="D941" s="18" t="s">
        <v>220</v>
      </c>
      <c r="E941" s="75">
        <f t="shared" ref="E941:F941" si="133">SUM(E942:E943)</f>
        <v>7460</v>
      </c>
      <c r="F941" s="39">
        <f t="shared" si="133"/>
        <v>8160</v>
      </c>
      <c r="G941" s="50">
        <f t="shared" si="128"/>
        <v>0.09383378016</v>
      </c>
      <c r="H941" s="28"/>
      <c r="I941" s="55">
        <f t="shared" si="2"/>
        <v>8194.198896</v>
      </c>
      <c r="J941" s="81"/>
      <c r="K941" s="60">
        <f>IFERROR(__xludf.DUMMYFUNCTION("IFERROR(VLOOKUP(C941,IMPORTRANGE(""https://docs.google.com/spreadsheets/d/1HZUHB8NvANAZR0sHDmHYVAm2WE9kNv0pGIQA48Ryim8/edit?gid=1285727875#gid=1285727875"",""Sheet1!A2:G""),7,0))"),2252.33)</f>
        <v>2252.33</v>
      </c>
      <c r="L941" s="62">
        <f t="shared" si="129"/>
        <v>3.312125665</v>
      </c>
      <c r="M941" s="60">
        <f>IFERROR(__xludf.DUMMYFUNCTION("IFERROR(VLOOKUP(C941,IMPORTRANGE(""https://docs.google.com/spreadsheets/d/1HZUHB8NvANAZR0sHDmHYVAm2WE9kNv0pGIQA48Ryim8/edit?gid=1285727875#gid=1285727875"",""Cost!A2:G""),7,0))"),2474.0)</f>
        <v>2474</v>
      </c>
      <c r="N941" s="62">
        <f t="shared" si="4"/>
        <v>3.298302344</v>
      </c>
      <c r="O941" s="28"/>
      <c r="P941" s="28"/>
      <c r="Q941" s="28"/>
      <c r="R941" s="28"/>
      <c r="S941" s="28"/>
      <c r="T941" s="28"/>
      <c r="U941" s="65"/>
      <c r="V941" s="28"/>
      <c r="W941" s="65"/>
      <c r="X941" s="66" t="s">
        <v>219</v>
      </c>
      <c r="Y941" s="65" t="str">
        <f t="shared" si="6"/>
        <v>NIAGARA 8192</v>
      </c>
    </row>
    <row r="942">
      <c r="A942" s="216" t="s">
        <v>1271</v>
      </c>
      <c r="B942" s="91" t="str">
        <f t="shared" si="127"/>
        <v>PD-46-H-N</v>
      </c>
      <c r="C942" s="15" t="s">
        <v>223</v>
      </c>
      <c r="D942" s="18" t="s">
        <v>224</v>
      </c>
      <c r="E942" s="39">
        <v>4980.0</v>
      </c>
      <c r="F942" s="39">
        <v>5490.0</v>
      </c>
      <c r="G942" s="50">
        <f t="shared" si="128"/>
        <v>0.1024096386</v>
      </c>
      <c r="H942" s="28"/>
      <c r="I942" s="55">
        <f t="shared" si="2"/>
        <v>5513.426362</v>
      </c>
      <c r="J942" s="81"/>
      <c r="K942" s="60">
        <f>IFERROR(__xludf.DUMMYFUNCTION("IFERROR(VLOOKUP(C942,IMPORTRANGE(""https://docs.google.com/spreadsheets/d/1HZUHB8NvANAZR0sHDmHYVAm2WE9kNv0pGIQA48Ryim8/edit?gid=1285727875#gid=1285727875"",""Sheet1!A2:G""),7,0))"),1581.59)</f>
        <v>1581.59</v>
      </c>
      <c r="L942" s="62">
        <f t="shared" si="129"/>
        <v>3.148730075</v>
      </c>
      <c r="M942" s="60">
        <f>IFERROR(__xludf.DUMMYFUNCTION("IFERROR(VLOOKUP(C942,IMPORTRANGE(""https://docs.google.com/spreadsheets/d/1HZUHB8NvANAZR0sHDmHYVAm2WE9kNv0pGIQA48Ryim8/edit?gid=1285727875#gid=1285727875"",""Cost!A2:G""),7,0))"),1751.0)</f>
        <v>1751</v>
      </c>
      <c r="N942" s="62">
        <f t="shared" si="4"/>
        <v>3.135351228</v>
      </c>
      <c r="O942" s="28"/>
      <c r="P942" s="28"/>
      <c r="Q942" s="28"/>
      <c r="R942" s="28"/>
      <c r="S942" s="28"/>
      <c r="T942" s="28"/>
      <c r="U942" s="65"/>
      <c r="V942" s="28"/>
      <c r="W942" s="65"/>
      <c r="X942" s="66" t="s">
        <v>223</v>
      </c>
      <c r="Y942" s="65" t="str">
        <f t="shared" si="6"/>
        <v>NIAGARA 81PD-46-H-N</v>
      </c>
    </row>
    <row r="943">
      <c r="A943" s="216" t="s">
        <v>1271</v>
      </c>
      <c r="B943" s="91" t="str">
        <f t="shared" si="127"/>
        <v>DB-81-H-N</v>
      </c>
      <c r="C943" s="15" t="s">
        <v>1295</v>
      </c>
      <c r="D943" s="18" t="s">
        <v>217</v>
      </c>
      <c r="E943" s="39">
        <v>2480.0</v>
      </c>
      <c r="F943" s="39">
        <f>F940</f>
        <v>2670</v>
      </c>
      <c r="G943" s="50">
        <f t="shared" si="128"/>
        <v>0.07661290323</v>
      </c>
      <c r="H943" s="28"/>
      <c r="I943" s="55">
        <f t="shared" si="2"/>
        <v>2673.824376</v>
      </c>
      <c r="J943" s="81"/>
      <c r="K943" s="60">
        <f>IFERROR(__xludf.DUMMYFUNCTION("IFERROR(VLOOKUP(C943,IMPORTRANGE(""https://docs.google.com/spreadsheets/d/1HZUHB8NvANAZR0sHDmHYVAm2WE9kNv0pGIQA48Ryim8/edit?gid=1285727875#gid=1285727875"",""Sheet1!A2:G""),7,0))"),666.88)</f>
        <v>666.88</v>
      </c>
      <c r="L943" s="62">
        <f t="shared" si="129"/>
        <v>3.718809981</v>
      </c>
      <c r="M943" s="60">
        <f>IFERROR(__xludf.DUMMYFUNCTION("IFERROR(VLOOKUP(C943,IMPORTRANGE(""https://docs.google.com/spreadsheets/d/1HZUHB8NvANAZR0sHDmHYVAm2WE9kNv0pGIQA48Ryim8/edit?gid=1285727875#gid=1285727875"",""Cost!A2:G""),7,0))"),719.0)</f>
        <v>719</v>
      </c>
      <c r="N943" s="62">
        <f t="shared" si="4"/>
        <v>3.71349096</v>
      </c>
      <c r="O943" s="28"/>
      <c r="P943" s="28"/>
      <c r="Q943" s="28"/>
      <c r="R943" s="28"/>
      <c r="S943" s="28"/>
      <c r="T943" s="28"/>
      <c r="U943" s="65"/>
      <c r="V943" s="28"/>
      <c r="W943" s="65"/>
      <c r="X943" s="66" t="s">
        <v>358</v>
      </c>
      <c r="Y943" s="65" t="str">
        <f t="shared" si="6"/>
        <v>NIAGARA 81DB</v>
      </c>
    </row>
    <row r="944">
      <c r="A944" s="216" t="s">
        <v>1271</v>
      </c>
      <c r="B944" s="91" t="str">
        <f t="shared" si="127"/>
        <v>8192-ON-OFF-N</v>
      </c>
      <c r="C944" s="15" t="s">
        <v>1296</v>
      </c>
      <c r="D944" s="18" t="s">
        <v>229</v>
      </c>
      <c r="E944" s="75">
        <f t="shared" ref="E944:F944" si="134">SUM(E945:E946)</f>
        <v>7460</v>
      </c>
      <c r="F944" s="39">
        <f t="shared" si="134"/>
        <v>8160</v>
      </c>
      <c r="G944" s="50">
        <f t="shared" si="128"/>
        <v>0.09383378016</v>
      </c>
      <c r="H944" s="28"/>
      <c r="I944" s="55">
        <f t="shared" si="2"/>
        <v>8252.495769</v>
      </c>
      <c r="J944" s="81"/>
      <c r="K944" s="60">
        <f>IFERROR(__xludf.DUMMYFUNCTION("IFERROR(VLOOKUP(C944,IMPORTRANGE(""https://docs.google.com/spreadsheets/d/1HZUHB8NvANAZR0sHDmHYVAm2WE9kNv0pGIQA48Ryim8/edit?gid=1285727875#gid=1285727875"",""Sheet1!A2:G""),7,0))"),2038.45)</f>
        <v>2038.45</v>
      </c>
      <c r="L944" s="62">
        <f t="shared" si="129"/>
        <v>3.659643356</v>
      </c>
      <c r="M944" s="60">
        <f>IFERROR(__xludf.DUMMYFUNCTION("IFERROR(VLOOKUP(C944,IMPORTRANGE(""https://docs.google.com/spreadsheets/d/1HZUHB8NvANAZR0sHDmHYVAm2WE9kNv0pGIQA48Ryim8/edit?gid=1285727875#gid=1285727875"",""Cost!A2:G""),7,0))"),2255.0)</f>
        <v>2255</v>
      </c>
      <c r="N944" s="62">
        <f t="shared" si="4"/>
        <v>3.618625277</v>
      </c>
      <c r="O944" s="28"/>
      <c r="P944" s="28"/>
      <c r="Q944" s="28"/>
      <c r="R944" s="28"/>
      <c r="S944" s="28"/>
      <c r="T944" s="28"/>
      <c r="U944" s="65"/>
      <c r="V944" s="28"/>
      <c r="W944" s="65"/>
      <c r="X944" s="66" t="s">
        <v>368</v>
      </c>
      <c r="Y944" s="65" t="str">
        <f t="shared" si="6"/>
        <v>NIAGARA 8192-ON-OFF</v>
      </c>
    </row>
    <row r="945">
      <c r="A945" s="216" t="s">
        <v>1271</v>
      </c>
      <c r="B945" s="91" t="str">
        <f t="shared" si="127"/>
        <v>PD-46-H-ON-OFF-N</v>
      </c>
      <c r="C945" s="15" t="s">
        <v>234</v>
      </c>
      <c r="D945" s="18" t="s">
        <v>235</v>
      </c>
      <c r="E945" s="39">
        <f>E942-240</f>
        <v>4740</v>
      </c>
      <c r="F945" s="39">
        <f>F942-$X$1</f>
        <v>5250</v>
      </c>
      <c r="G945" s="50">
        <f t="shared" si="128"/>
        <v>0.1075949367</v>
      </c>
      <c r="H945" s="28"/>
      <c r="I945" s="55">
        <f t="shared" si="2"/>
        <v>5306.797906</v>
      </c>
      <c r="J945" s="81"/>
      <c r="K945" s="60">
        <f>IFERROR(__xludf.DUMMYFUNCTION("IFERROR(VLOOKUP(C945,IMPORTRANGE(""https://docs.google.com/spreadsheets/d/1HZUHB8NvANAZR0sHDmHYVAm2WE9kNv0pGIQA48Ryim8/edit?gid=1285727875#gid=1285727875"",""Sheet1!A2:G""),7,0))"),1367.48)</f>
        <v>1367.48</v>
      </c>
      <c r="L945" s="62">
        <f t="shared" si="129"/>
        <v>3.466229853</v>
      </c>
      <c r="M945" s="60">
        <f>IFERROR(__xludf.DUMMYFUNCTION("IFERROR(VLOOKUP(C945,IMPORTRANGE(""https://docs.google.com/spreadsheets/d/1HZUHB8NvANAZR0sHDmHYVAm2WE9kNv0pGIQA48Ryim8/edit?gid=1285727875#gid=1285727875"",""Cost!A2:G""),7,0))"),1531.0)</f>
        <v>1531</v>
      </c>
      <c r="N945" s="62">
        <f t="shared" si="4"/>
        <v>3.429131287</v>
      </c>
      <c r="O945" s="28"/>
      <c r="P945" s="28"/>
      <c r="Q945" s="28"/>
      <c r="R945" s="28"/>
      <c r="S945" s="28"/>
      <c r="T945" s="28"/>
      <c r="U945" s="65"/>
      <c r="V945" s="28"/>
      <c r="W945" s="65"/>
      <c r="X945" s="66" t="s">
        <v>371</v>
      </c>
      <c r="Y945" s="65" t="str">
        <f t="shared" si="6"/>
        <v>NIAGARA 81PD-ON-OFF</v>
      </c>
    </row>
    <row r="946">
      <c r="A946" s="216" t="s">
        <v>1271</v>
      </c>
      <c r="B946" s="91" t="str">
        <f t="shared" si="127"/>
        <v>DB-81-H-ON-OFF-N</v>
      </c>
      <c r="C946" s="15" t="s">
        <v>1297</v>
      </c>
      <c r="D946" s="18" t="s">
        <v>217</v>
      </c>
      <c r="E946" s="75">
        <f>E943+240</f>
        <v>2720</v>
      </c>
      <c r="F946" s="39">
        <f>F943+$X$1</f>
        <v>2910</v>
      </c>
      <c r="G946" s="50">
        <f t="shared" si="128"/>
        <v>0.06985294118</v>
      </c>
      <c r="H946" s="28"/>
      <c r="I946" s="55">
        <f t="shared" si="2"/>
        <v>2928.94208</v>
      </c>
      <c r="J946" s="81"/>
      <c r="K946" s="60">
        <f>IFERROR(__xludf.DUMMYFUNCTION("IFERROR(VLOOKUP(C946,IMPORTRANGE(""https://docs.google.com/spreadsheets/d/1HZUHB8NvANAZR0sHDmHYVAm2WE9kNv0pGIQA48Ryim8/edit?gid=1285727875#gid=1285727875"",""Sheet1!A2:G""),7,0))"),666.78)</f>
        <v>666.78</v>
      </c>
      <c r="L946" s="62">
        <f t="shared" si="129"/>
        <v>4.079306518</v>
      </c>
      <c r="M946" s="60">
        <f>IFERROR(__xludf.DUMMYFUNCTION("IFERROR(VLOOKUP(C946,IMPORTRANGE(""https://docs.google.com/spreadsheets/d/1HZUHB8NvANAZR0sHDmHYVAm2WE9kNv0pGIQA48Ryim8/edit?gid=1285727875#gid=1285727875"",""Cost!A2:G""),7,0))"),718.0)</f>
        <v>718</v>
      </c>
      <c r="N946" s="62">
        <f t="shared" si="4"/>
        <v>4.052924791</v>
      </c>
      <c r="O946" s="28"/>
      <c r="P946" s="28"/>
      <c r="Q946" s="28"/>
      <c r="R946" s="28"/>
      <c r="S946" s="28"/>
      <c r="T946" s="28"/>
      <c r="U946" s="65"/>
      <c r="V946" s="28"/>
      <c r="W946" s="65"/>
      <c r="X946" s="66" t="s">
        <v>375</v>
      </c>
      <c r="Y946" s="65" t="str">
        <f t="shared" si="6"/>
        <v>NIAGARA 81DB-ON-OFF</v>
      </c>
    </row>
    <row r="947">
      <c r="A947" s="216" t="s">
        <v>1271</v>
      </c>
      <c r="B947" s="91" t="str">
        <f t="shared" si="127"/>
        <v>8193-N</v>
      </c>
      <c r="C947" s="15" t="s">
        <v>1298</v>
      </c>
      <c r="D947" s="18" t="s">
        <v>241</v>
      </c>
      <c r="E947" s="75">
        <f t="shared" ref="E947:F947" si="135">SUM(E948:E949)</f>
        <v>7460</v>
      </c>
      <c r="F947" s="39">
        <f t="shared" si="135"/>
        <v>8160</v>
      </c>
      <c r="G947" s="50">
        <f t="shared" si="128"/>
        <v>0.09383378016</v>
      </c>
      <c r="H947" s="28"/>
      <c r="I947" s="55">
        <f t="shared" si="2"/>
        <v>8071.63226</v>
      </c>
      <c r="J947" s="81"/>
      <c r="K947" s="60">
        <f>IFERROR(__xludf.DUMMYFUNCTION("IFERROR(VLOOKUP(C947,IMPORTRANGE(""https://docs.google.com/spreadsheets/d/1HZUHB8NvANAZR0sHDmHYVAm2WE9kNv0pGIQA48Ryim8/edit?gid=1285727875#gid=1285727875"",""Sheet1!A2:G""),7,0))"),2198.73)</f>
        <v>2198.73</v>
      </c>
      <c r="L947" s="62">
        <f t="shared" si="129"/>
        <v>3.392867701</v>
      </c>
      <c r="M947" s="60">
        <f>IFERROR(__xludf.DUMMYFUNCTION("IFERROR(VLOOKUP(C947,IMPORTRANGE(""https://docs.google.com/spreadsheets/d/1HZUHB8NvANAZR0sHDmHYVAm2WE9kNv0pGIQA48Ryim8/edit?gid=1285727875#gid=1285727875"",""Cost!A2:G""),7,0))"),2379.0)</f>
        <v>2379</v>
      </c>
      <c r="N947" s="62">
        <f t="shared" si="4"/>
        <v>3.43001261</v>
      </c>
      <c r="O947" s="28"/>
      <c r="P947" s="28"/>
      <c r="Q947" s="28"/>
      <c r="R947" s="28"/>
      <c r="S947" s="28"/>
      <c r="T947" s="28"/>
      <c r="U947" s="65"/>
      <c r="V947" s="28"/>
      <c r="W947" s="65"/>
      <c r="X947" s="66" t="s">
        <v>239</v>
      </c>
      <c r="Y947" s="65" t="str">
        <f t="shared" si="6"/>
        <v>NIAGARA 8193</v>
      </c>
    </row>
    <row r="948">
      <c r="A948" s="216" t="s">
        <v>1271</v>
      </c>
      <c r="B948" s="91" t="str">
        <f t="shared" si="127"/>
        <v>PD-3 IN-N</v>
      </c>
      <c r="C948" s="15" t="s">
        <v>243</v>
      </c>
      <c r="D948" s="18" t="s">
        <v>244</v>
      </c>
      <c r="E948" s="39">
        <v>4980.0</v>
      </c>
      <c r="F948" s="39">
        <v>5490.0</v>
      </c>
      <c r="G948" s="50">
        <f t="shared" si="128"/>
        <v>0.1024096386</v>
      </c>
      <c r="H948" s="28"/>
      <c r="I948" s="55">
        <f t="shared" si="2"/>
        <v>5395.785272</v>
      </c>
      <c r="J948" s="81"/>
      <c r="K948" s="60">
        <f>IFERROR(__xludf.DUMMYFUNCTION("IFERROR(VLOOKUP(C948,IMPORTRANGE(""https://docs.google.com/spreadsheets/d/1HZUHB8NvANAZR0sHDmHYVAm2WE9kNv0pGIQA48Ryim8/edit?gid=1285727875#gid=1285727875"",""Sheet1!A2:G""),7,0))"),1543.16)</f>
        <v>1543.16</v>
      </c>
      <c r="L948" s="62">
        <f t="shared" si="129"/>
        <v>3.227144301</v>
      </c>
      <c r="M948" s="60">
        <f>IFERROR(__xludf.DUMMYFUNCTION("IFERROR(VLOOKUP(C948,IMPORTRANGE(""https://docs.google.com/spreadsheets/d/1HZUHB8NvANAZR0sHDmHYVAm2WE9kNv0pGIQA48Ryim8/edit?gid=1285727875#gid=1285727875"",""Cost!A2:G""),7,0))"),1672.0)</f>
        <v>1672</v>
      </c>
      <c r="N948" s="62">
        <f t="shared" si="4"/>
        <v>3.283492823</v>
      </c>
      <c r="O948" s="28"/>
      <c r="P948" s="28"/>
      <c r="Q948" s="28"/>
      <c r="R948" s="28"/>
      <c r="S948" s="28"/>
      <c r="T948" s="28"/>
      <c r="U948" s="65"/>
      <c r="V948" s="28"/>
      <c r="W948" s="65"/>
      <c r="X948" s="66" t="s">
        <v>243</v>
      </c>
      <c r="Y948" s="65" t="str">
        <f t="shared" si="6"/>
        <v>NIAGARA 81PD-3 IN-N</v>
      </c>
    </row>
    <row r="949">
      <c r="A949" s="216" t="s">
        <v>1271</v>
      </c>
      <c r="B949" s="91" t="str">
        <f t="shared" si="127"/>
        <v>DB-81-3 IN-N</v>
      </c>
      <c r="C949" s="15" t="s">
        <v>1299</v>
      </c>
      <c r="D949" s="18" t="s">
        <v>217</v>
      </c>
      <c r="E949" s="39">
        <v>2480.0</v>
      </c>
      <c r="F949" s="39">
        <f>F940</f>
        <v>2670</v>
      </c>
      <c r="G949" s="50">
        <f t="shared" si="128"/>
        <v>0.07661290323</v>
      </c>
      <c r="H949" s="28"/>
      <c r="I949" s="55">
        <f t="shared" si="2"/>
        <v>2670.506014</v>
      </c>
      <c r="J949" s="81"/>
      <c r="K949" s="60">
        <f>IFERROR(__xludf.DUMMYFUNCTION("IFERROR(VLOOKUP(C949,IMPORTRANGE(""https://docs.google.com/spreadsheets/d/1HZUHB8NvANAZR0sHDmHYVAm2WE9kNv0pGIQA48Ryim8/edit?gid=1285727875#gid=1285727875"",""Sheet1!A2:G""),7,0))"),666.78)</f>
        <v>666.78</v>
      </c>
      <c r="L949" s="62">
        <f t="shared" si="129"/>
        <v>3.719367707</v>
      </c>
      <c r="M949" s="60">
        <f>IFERROR(__xludf.DUMMYFUNCTION("IFERROR(VLOOKUP(C949,IMPORTRANGE(""https://docs.google.com/spreadsheets/d/1HZUHB8NvANAZR0sHDmHYVAm2WE9kNv0pGIQA48Ryim8/edit?gid=1285727875#gid=1285727875"",""Cost!A2:G""),7,0))"),718.0)</f>
        <v>718</v>
      </c>
      <c r="N949" s="62">
        <f t="shared" si="4"/>
        <v>3.718662953</v>
      </c>
      <c r="O949" s="28"/>
      <c r="P949" s="28"/>
      <c r="Q949" s="28"/>
      <c r="R949" s="28"/>
      <c r="S949" s="28"/>
      <c r="T949" s="28"/>
      <c r="U949" s="65"/>
      <c r="V949" s="28"/>
      <c r="W949" s="65"/>
      <c r="X949" s="66" t="s">
        <v>358</v>
      </c>
      <c r="Y949" s="65" t="str">
        <f t="shared" si="6"/>
        <v>NIAGARA 81DB</v>
      </c>
    </row>
    <row r="950">
      <c r="A950" s="216" t="s">
        <v>1271</v>
      </c>
      <c r="B950" s="91" t="str">
        <f t="shared" si="127"/>
        <v>8193-ON-OFF-N</v>
      </c>
      <c r="C950" s="15" t="s">
        <v>1300</v>
      </c>
      <c r="D950" s="18" t="s">
        <v>250</v>
      </c>
      <c r="E950" s="75">
        <f t="shared" ref="E950:F950" si="136">SUM(E951:E952)</f>
        <v>7460</v>
      </c>
      <c r="F950" s="39">
        <f t="shared" si="136"/>
        <v>8160</v>
      </c>
      <c r="G950" s="50">
        <f t="shared" si="128"/>
        <v>0.09383378016</v>
      </c>
      <c r="H950" s="28"/>
      <c r="I950" s="55">
        <f t="shared" si="2"/>
        <v>8161.471627</v>
      </c>
      <c r="J950" s="81"/>
      <c r="K950" s="60">
        <f>IFERROR(__xludf.DUMMYFUNCTION("IFERROR(VLOOKUP(C950,IMPORTRANGE(""https://docs.google.com/spreadsheets/d/1HZUHB8NvANAZR0sHDmHYVAm2WE9kNv0pGIQA48Ryim8/edit?gid=1285727875#gid=1285727875"",""Sheet1!A2:G""),7,0))"),2229.37)</f>
        <v>2229.37</v>
      </c>
      <c r="L950" s="62">
        <f t="shared" si="129"/>
        <v>3.346236829</v>
      </c>
      <c r="M950" s="60">
        <f>IFERROR(__xludf.DUMMYFUNCTION("IFERROR(VLOOKUP(C950,IMPORTRANGE(""https://docs.google.com/spreadsheets/d/1HZUHB8NvANAZR0sHDmHYVAm2WE9kNv0pGIQA48Ryim8/edit?gid=1285727875#gid=1285727875"",""Cost!A2:G""),7,0))"),2439.0)</f>
        <v>2439</v>
      </c>
      <c r="N950" s="62">
        <f t="shared" si="4"/>
        <v>3.345633456</v>
      </c>
      <c r="O950" s="28"/>
      <c r="P950" s="28"/>
      <c r="Q950" s="28"/>
      <c r="R950" s="28"/>
      <c r="S950" s="28"/>
      <c r="T950" s="28"/>
      <c r="U950" s="65"/>
      <c r="V950" s="28"/>
      <c r="W950" s="65"/>
      <c r="X950" s="66" t="s">
        <v>410</v>
      </c>
      <c r="Y950" s="65" t="str">
        <f t="shared" si="6"/>
        <v>NIAGARA 8193-ON-OFF</v>
      </c>
    </row>
    <row r="951">
      <c r="A951" s="216" t="s">
        <v>1271</v>
      </c>
      <c r="B951" s="91" t="str">
        <f t="shared" si="127"/>
        <v>PD-3 IN-ON-OFF-N</v>
      </c>
      <c r="C951" s="15" t="s">
        <v>253</v>
      </c>
      <c r="D951" s="18" t="s">
        <v>256</v>
      </c>
      <c r="E951" s="39">
        <f>E948-240</f>
        <v>4740</v>
      </c>
      <c r="F951" s="39">
        <f>F948-$X$1</f>
        <v>5250</v>
      </c>
      <c r="G951" s="50">
        <f t="shared" si="128"/>
        <v>0.1075949367</v>
      </c>
      <c r="H951" s="28"/>
      <c r="I951" s="55">
        <f t="shared" si="2"/>
        <v>5217.019108</v>
      </c>
      <c r="J951" s="81"/>
      <c r="K951" s="60">
        <f>IFERROR(__xludf.DUMMYFUNCTION("IFERROR(VLOOKUP(C951,IMPORTRANGE(""https://docs.google.com/spreadsheets/d/1HZUHB8NvANAZR0sHDmHYVAm2WE9kNv0pGIQA48Ryim8/edit?gid=1285727875#gid=1285727875"",""Sheet1!A2:G""),7,0))"),1570.0)</f>
        <v>1570</v>
      </c>
      <c r="L951" s="62">
        <f t="shared" si="129"/>
        <v>3.01910828</v>
      </c>
      <c r="M951" s="60">
        <f>IFERROR(__xludf.DUMMYFUNCTION("IFERROR(VLOOKUP(C951,IMPORTRANGE(""https://docs.google.com/spreadsheets/d/1HZUHB8NvANAZR0sHDmHYVAm2WE9kNv0pGIQA48Ryim8/edit?gid=1285727875#gid=1285727875"",""Cost!A2:G""),7,0))"),1728.0)</f>
        <v>1728</v>
      </c>
      <c r="N951" s="62">
        <f t="shared" si="4"/>
        <v>3.038194444</v>
      </c>
      <c r="O951" s="28"/>
      <c r="P951" s="28"/>
      <c r="Q951" s="28"/>
      <c r="R951" s="28"/>
      <c r="S951" s="28"/>
      <c r="T951" s="28"/>
      <c r="U951" s="65"/>
      <c r="V951" s="28"/>
      <c r="W951" s="65"/>
      <c r="X951" s="66" t="s">
        <v>371</v>
      </c>
      <c r="Y951" s="65" t="str">
        <f t="shared" si="6"/>
        <v>NIAGARA 81PD-ON-OFF</v>
      </c>
    </row>
    <row r="952">
      <c r="A952" s="216" t="s">
        <v>1271</v>
      </c>
      <c r="B952" s="91" t="str">
        <f t="shared" si="127"/>
        <v>DB-81-3 IN-ON-OFF-N</v>
      </c>
      <c r="C952" s="15" t="s">
        <v>1301</v>
      </c>
      <c r="D952" s="18" t="s">
        <v>217</v>
      </c>
      <c r="E952" s="75">
        <f>E949+240</f>
        <v>2720</v>
      </c>
      <c r="F952" s="39">
        <f>F949+$X$1</f>
        <v>2910</v>
      </c>
      <c r="G952" s="50">
        <f t="shared" si="128"/>
        <v>0.06985294118</v>
      </c>
      <c r="H952" s="28"/>
      <c r="I952" s="55">
        <f t="shared" si="2"/>
        <v>2932.337421</v>
      </c>
      <c r="J952" s="81"/>
      <c r="K952" s="60">
        <f>IFERROR(__xludf.DUMMYFUNCTION("IFERROR(VLOOKUP(C952,IMPORTRANGE(""https://docs.google.com/spreadsheets/d/1HZUHB8NvANAZR0sHDmHYVAm2WE9kNv0pGIQA48Ryim8/edit?gid=1285727875#gid=1285727875"",""Sheet1!A2:G""),7,0))"),661.37)</f>
        <v>661.37</v>
      </c>
      <c r="L952" s="62">
        <f t="shared" si="129"/>
        <v>4.112675204</v>
      </c>
      <c r="M952" s="60">
        <f>IFERROR(__xludf.DUMMYFUNCTION("IFERROR(VLOOKUP(C952,IMPORTRANGE(""https://docs.google.com/spreadsheets/d/1HZUHB8NvANAZR0sHDmHYVAm2WE9kNv0pGIQA48Ryim8/edit?gid=1285727875#gid=1285727875"",""Cost!A2:G""),7,0))"),713.0)</f>
        <v>713</v>
      </c>
      <c r="N952" s="62">
        <f t="shared" si="4"/>
        <v>4.081346424</v>
      </c>
      <c r="O952" s="28"/>
      <c r="P952" s="28"/>
      <c r="Q952" s="28"/>
      <c r="R952" s="28"/>
      <c r="S952" s="28"/>
      <c r="T952" s="28"/>
      <c r="U952" s="65"/>
      <c r="V952" s="28"/>
      <c r="W952" s="65"/>
      <c r="X952" s="66" t="s">
        <v>375</v>
      </c>
      <c r="Y952" s="65" t="str">
        <f t="shared" si="6"/>
        <v>NIAGARA 81DB-ON-OFF</v>
      </c>
    </row>
    <row r="953">
      <c r="A953" s="216" t="s">
        <v>1271</v>
      </c>
      <c r="B953" s="91">
        <f t="shared" si="127"/>
        <v>8195</v>
      </c>
      <c r="C953" s="15">
        <v>8195.0</v>
      </c>
      <c r="D953" s="18" t="s">
        <v>265</v>
      </c>
      <c r="E953" s="39">
        <v>1890.0</v>
      </c>
      <c r="F953" s="39">
        <v>2070.0</v>
      </c>
      <c r="G953" s="50">
        <f t="shared" si="128"/>
        <v>0.09523809524</v>
      </c>
      <c r="H953" s="28"/>
      <c r="I953" s="55">
        <f t="shared" si="2"/>
        <v>2068.111574</v>
      </c>
      <c r="J953" s="81"/>
      <c r="K953" s="60">
        <f>IFERROR(__xludf.DUMMYFUNCTION("IFERROR(VLOOKUP(C953,IMPORTRANGE(""https://docs.google.com/spreadsheets/d/1HZUHB8NvANAZR0sHDmHYVAm2WE9kNv0pGIQA48Ryim8/edit?gid=1285727875#gid=1285727875"",""Sheet1!A2:G""),7,0))"),520.91)</f>
        <v>520.91</v>
      </c>
      <c r="L953" s="62">
        <f t="shared" si="129"/>
        <v>3.628265919</v>
      </c>
      <c r="M953" s="60">
        <f>IFERROR(__xludf.DUMMYFUNCTION("IFERROR(VLOOKUP(C953,IMPORTRANGE(""https://docs.google.com/spreadsheets/d/1HZUHB8NvANAZR0sHDmHYVAm2WE9kNv0pGIQA48Ryim8/edit?gid=1285727875#gid=1285727875"",""Cost!A2:G""),7,0))"),570.0)</f>
        <v>570</v>
      </c>
      <c r="N953" s="62">
        <f t="shared" si="4"/>
        <v>3.631578947</v>
      </c>
      <c r="O953" s="28"/>
      <c r="P953" s="28"/>
      <c r="Q953" s="28"/>
      <c r="R953" s="28"/>
      <c r="S953" s="28"/>
      <c r="T953" s="28"/>
      <c r="U953" s="65"/>
      <c r="V953" s="28"/>
      <c r="W953" s="65"/>
      <c r="X953" s="66" t="s">
        <v>264</v>
      </c>
      <c r="Y953" s="65" t="str">
        <f t="shared" si="6"/>
        <v>NIAGARA 8195</v>
      </c>
    </row>
    <row r="954">
      <c r="A954" s="216" t="s">
        <v>1271</v>
      </c>
      <c r="B954" s="91">
        <f t="shared" si="127"/>
        <v>8196</v>
      </c>
      <c r="C954" s="15">
        <v>8196.0</v>
      </c>
      <c r="D954" s="18" t="s">
        <v>268</v>
      </c>
      <c r="E954" s="75">
        <v>2570.0</v>
      </c>
      <c r="F954" s="39">
        <v>2830.0</v>
      </c>
      <c r="G954" s="50">
        <f t="shared" si="128"/>
        <v>0.1011673152</v>
      </c>
      <c r="H954" s="28"/>
      <c r="I954" s="55">
        <f t="shared" si="2"/>
        <v>2828.022386</v>
      </c>
      <c r="J954" s="81"/>
      <c r="K954" s="60">
        <f>IFERROR(__xludf.DUMMYFUNCTION("IFERROR(VLOOKUP(C954,IMPORTRANGE(""https://docs.google.com/spreadsheets/d/1HZUHB8NvANAZR0sHDmHYVAm2WE9kNv0pGIQA48Ryim8/edit?gid=1285727875#gid=1285727875"",""Sheet1!A2:G""),7,0))"),741.55)</f>
        <v>741.55</v>
      </c>
      <c r="L954" s="62">
        <f t="shared" si="129"/>
        <v>3.465713708</v>
      </c>
      <c r="M954" s="60">
        <f>IFERROR(__xludf.DUMMYFUNCTION("IFERROR(VLOOKUP(C954,IMPORTRANGE(""https://docs.google.com/spreadsheets/d/1HZUHB8NvANAZR0sHDmHYVAm2WE9kNv0pGIQA48Ryim8/edit?gid=1285727875#gid=1285727875"",""Cost!A2:G""),7,0))"),816.0)</f>
        <v>816</v>
      </c>
      <c r="N954" s="62">
        <f t="shared" si="4"/>
        <v>3.468137255</v>
      </c>
      <c r="O954" s="28"/>
      <c r="P954" s="28"/>
      <c r="Q954" s="28"/>
      <c r="R954" s="28"/>
      <c r="S954" s="28"/>
      <c r="T954" s="28"/>
      <c r="U954" s="65"/>
      <c r="V954" s="28"/>
      <c r="W954" s="65"/>
      <c r="X954" s="66" t="s">
        <v>267</v>
      </c>
      <c r="Y954" s="65" t="str">
        <f t="shared" si="6"/>
        <v>NIAGARA 8196</v>
      </c>
    </row>
    <row r="955">
      <c r="A955" s="216" t="s">
        <v>1271</v>
      </c>
      <c r="B955" s="91">
        <f t="shared" si="127"/>
        <v>8198</v>
      </c>
      <c r="C955" s="15">
        <v>8198.0</v>
      </c>
      <c r="D955" s="18" t="s">
        <v>272</v>
      </c>
      <c r="E955" s="75">
        <v>3540.0</v>
      </c>
      <c r="F955" s="39">
        <v>3860.0</v>
      </c>
      <c r="G955" s="50">
        <f t="shared" si="128"/>
        <v>0.09039548023</v>
      </c>
      <c r="H955" s="28"/>
      <c r="I955" s="55">
        <f t="shared" si="2"/>
        <v>3858.972404</v>
      </c>
      <c r="J955" s="81"/>
      <c r="K955" s="60">
        <f>IFERROR(__xludf.DUMMYFUNCTION("IFERROR(VLOOKUP(C955,IMPORTRANGE(""https://docs.google.com/spreadsheets/d/1HZUHB8NvANAZR0sHDmHYVAm2WE9kNv0pGIQA48Ryim8/edit?gid=1285727875#gid=1285727875"",""Sheet1!A2:G""),7,0))"),1049.44)</f>
        <v>1049.44</v>
      </c>
      <c r="L955" s="62">
        <f t="shared" si="129"/>
        <v>3.373227626</v>
      </c>
      <c r="M955" s="60">
        <f>IFERROR(__xludf.DUMMYFUNCTION("IFERROR(VLOOKUP(C955,IMPORTRANGE(""https://docs.google.com/spreadsheets/d/1HZUHB8NvANAZR0sHDmHYVAm2WE9kNv0pGIQA48Ryim8/edit?gid=1285727875#gid=1285727875"",""Cost!A2:G""),7,0))"),1144.0)</f>
        <v>1144</v>
      </c>
      <c r="N955" s="62">
        <f t="shared" si="4"/>
        <v>3.374125874</v>
      </c>
      <c r="O955" s="28"/>
      <c r="P955" s="28"/>
      <c r="Q955" s="28"/>
      <c r="R955" s="28"/>
      <c r="S955" s="28"/>
      <c r="T955" s="28"/>
      <c r="U955" s="65"/>
      <c r="V955" s="28"/>
      <c r="W955" s="65"/>
      <c r="X955" s="66" t="s">
        <v>271</v>
      </c>
      <c r="Y955" s="65" t="str">
        <f t="shared" si="6"/>
        <v>NIAGARA 8198</v>
      </c>
    </row>
    <row r="956">
      <c r="A956" s="216" t="s">
        <v>1273</v>
      </c>
      <c r="B956" s="91">
        <f t="shared" si="127"/>
        <v>9002</v>
      </c>
      <c r="C956" s="15">
        <v>9002.0</v>
      </c>
      <c r="D956" s="18" t="s">
        <v>15</v>
      </c>
      <c r="E956" s="39">
        <v>2590.0</v>
      </c>
      <c r="F956" s="39">
        <v>2890.0</v>
      </c>
      <c r="G956" s="50">
        <f t="shared" si="128"/>
        <v>0.1158301158</v>
      </c>
      <c r="H956" s="28"/>
      <c r="I956" s="55">
        <f t="shared" si="2"/>
        <v>2886.273063</v>
      </c>
      <c r="J956" s="81"/>
      <c r="K956" s="60">
        <f>IFERROR(__xludf.DUMMYFUNCTION("IFERROR(VLOOKUP(C956,IMPORTRANGE(""https://docs.google.com/spreadsheets/d/1HZUHB8NvANAZR0sHDmHYVAm2WE9kNv0pGIQA48Ryim8/edit?gid=1285727875#gid=1285727875"",""Sheet1!A2:G""),7,0))"),813.0)</f>
        <v>813</v>
      </c>
      <c r="L956" s="62">
        <f t="shared" si="129"/>
        <v>3.185731857</v>
      </c>
      <c r="M956" s="60">
        <f>IFERROR(__xludf.DUMMYFUNCTION("IFERROR(VLOOKUP(C956,IMPORTRANGE(""https://docs.google.com/spreadsheets/d/1HZUHB8NvANAZR0sHDmHYVAm2WE9kNv0pGIQA48Ryim8/edit?gid=1285727875#gid=1285727875"",""Cost!A2:G""),7,0))"),906.0)</f>
        <v>906</v>
      </c>
      <c r="N956" s="62">
        <f t="shared" si="4"/>
        <v>3.189845475</v>
      </c>
      <c r="O956" s="28"/>
      <c r="P956" s="28"/>
      <c r="Q956" s="28"/>
      <c r="R956" s="28"/>
      <c r="S956" s="28"/>
      <c r="T956" s="28"/>
      <c r="U956" s="65"/>
      <c r="V956" s="28"/>
      <c r="W956" s="65"/>
      <c r="X956" s="66" t="s">
        <v>303</v>
      </c>
      <c r="Y956" s="65" t="str">
        <f t="shared" si="6"/>
        <v>EUROPA 9002</v>
      </c>
    </row>
    <row r="957">
      <c r="A957" s="18" t="s">
        <v>1273</v>
      </c>
      <c r="B957" s="91">
        <f t="shared" si="127"/>
        <v>9003</v>
      </c>
      <c r="C957" s="15">
        <v>9003.0</v>
      </c>
      <c r="D957" s="18" t="s">
        <v>30</v>
      </c>
      <c r="E957" s="75">
        <v>4840.0</v>
      </c>
      <c r="F957" s="39">
        <v>5390.0</v>
      </c>
      <c r="G957" s="50">
        <f t="shared" si="128"/>
        <v>0.1136363636</v>
      </c>
      <c r="H957" s="28"/>
      <c r="I957" s="55">
        <f t="shared" si="2"/>
        <v>5393.680197</v>
      </c>
      <c r="J957" s="81"/>
      <c r="K957" s="60">
        <f>IFERROR(__xludf.DUMMYFUNCTION("IFERROR(VLOOKUP(C957,IMPORTRANGE(""https://docs.google.com/spreadsheets/d/1HZUHB8NvANAZR0sHDmHYVAm2WE9kNv0pGIQA48Ryim8/edit?gid=1285727875#gid=1285727875"",""Sheet1!A2:G""),7,0))"),1636.76)</f>
        <v>1636.76</v>
      </c>
      <c r="L957" s="62">
        <f t="shared" si="129"/>
        <v>2.957061512</v>
      </c>
      <c r="M957" s="60">
        <f>IFERROR(__xludf.DUMMYFUNCTION("IFERROR(VLOOKUP(C957,IMPORTRANGE(""https://docs.google.com/spreadsheets/d/1HZUHB8NvANAZR0sHDmHYVAm2WE9kNv0pGIQA48Ryim8/edit?gid=1285727875#gid=1285727875"",""Cost!A2:G""),7,0))"),1824.0)</f>
        <v>1824</v>
      </c>
      <c r="N957" s="62">
        <f t="shared" si="4"/>
        <v>2.95504386</v>
      </c>
      <c r="O957" s="28"/>
      <c r="P957" s="28"/>
      <c r="Q957" s="28"/>
      <c r="R957" s="28"/>
      <c r="S957" s="28"/>
      <c r="T957" s="28"/>
      <c r="U957" s="65"/>
      <c r="V957" s="28"/>
      <c r="W957" s="65"/>
      <c r="X957" s="66" t="s">
        <v>306</v>
      </c>
      <c r="Y957" s="65" t="str">
        <f t="shared" si="6"/>
        <v>EUROPA 9003</v>
      </c>
    </row>
    <row r="958">
      <c r="A958" s="18" t="s">
        <v>1273</v>
      </c>
      <c r="B958" s="91">
        <f t="shared" si="127"/>
        <v>9004</v>
      </c>
      <c r="C958" s="15">
        <v>9004.0</v>
      </c>
      <c r="D958" s="18" t="s">
        <v>46</v>
      </c>
      <c r="E958" s="39">
        <v>2990.0</v>
      </c>
      <c r="F958" s="39">
        <v>3340.0</v>
      </c>
      <c r="G958" s="50">
        <f t="shared" si="128"/>
        <v>0.1170568562</v>
      </c>
      <c r="H958" s="28"/>
      <c r="I958" s="55">
        <f t="shared" si="2"/>
        <v>3336.676093</v>
      </c>
      <c r="J958" s="81"/>
      <c r="K958" s="60">
        <f>IFERROR(__xludf.DUMMYFUNCTION("IFERROR(VLOOKUP(C958,IMPORTRANGE(""https://docs.google.com/spreadsheets/d/1HZUHB8NvANAZR0sHDmHYVAm2WE9kNv0pGIQA48Ryim8/edit?gid=1285727875#gid=1285727875"",""Sheet1!A2:G""),7,0))"),919.4)</f>
        <v>919.4</v>
      </c>
      <c r="L958" s="62">
        <f t="shared" si="129"/>
        <v>3.252120948</v>
      </c>
      <c r="M958" s="60">
        <f>IFERROR(__xludf.DUMMYFUNCTION("IFERROR(VLOOKUP(C958,IMPORTRANGE(""https://docs.google.com/spreadsheets/d/1HZUHB8NvANAZR0sHDmHYVAm2WE9kNv0pGIQA48Ryim8/edit?gid=1285727875#gid=1285727875"",""Cost!A2:G""),7,0))"),1026.0)</f>
        <v>1026</v>
      </c>
      <c r="N958" s="62">
        <f t="shared" si="4"/>
        <v>3.255360624</v>
      </c>
      <c r="O958" s="28"/>
      <c r="P958" s="28"/>
      <c r="Q958" s="28"/>
      <c r="R958" s="28"/>
      <c r="S958" s="28"/>
      <c r="T958" s="28"/>
      <c r="U958" s="65"/>
      <c r="V958" s="28"/>
      <c r="W958" s="65"/>
      <c r="X958" s="66" t="s">
        <v>309</v>
      </c>
      <c r="Y958" s="65" t="str">
        <f t="shared" si="6"/>
        <v>EUROPA 9004</v>
      </c>
    </row>
    <row r="959">
      <c r="A959" s="18" t="s">
        <v>1273</v>
      </c>
      <c r="B959" s="91">
        <f t="shared" si="127"/>
        <v>9006</v>
      </c>
      <c r="C959" s="15">
        <v>9006.0</v>
      </c>
      <c r="D959" s="18" t="s">
        <v>67</v>
      </c>
      <c r="E959" s="75">
        <v>1990.0</v>
      </c>
      <c r="F959" s="39">
        <v>2190.0</v>
      </c>
      <c r="G959" s="50">
        <f t="shared" si="128"/>
        <v>0.1005025126</v>
      </c>
      <c r="H959" s="28"/>
      <c r="I959" s="55">
        <f t="shared" si="2"/>
        <v>2199.389878</v>
      </c>
      <c r="J959" s="81"/>
      <c r="K959" s="60">
        <f>IFERROR(__xludf.DUMMYFUNCTION("IFERROR(VLOOKUP(C959,IMPORTRANGE(""https://docs.google.com/spreadsheets/d/1HZUHB8NvANAZR0sHDmHYVAm2WE9kNv0pGIQA48Ryim8/edit?gid=1285727875#gid=1285727875"",""Sheet1!A2:G""),7,0))"),599.88)</f>
        <v>599.88</v>
      </c>
      <c r="L959" s="62">
        <f t="shared" si="129"/>
        <v>3.317330133</v>
      </c>
      <c r="M959" s="60">
        <f>IFERROR(__xludf.DUMMYFUNCTION("IFERROR(VLOOKUP(C959,IMPORTRANGE(""https://docs.google.com/spreadsheets/d/1HZUHB8NvANAZR0sHDmHYVAm2WE9kNv0pGIQA48Ryim8/edit?gid=1285727875#gid=1285727875"",""Cost!A2:G""),7,0))"),663.0)</f>
        <v>663</v>
      </c>
      <c r="N959" s="62">
        <f t="shared" si="4"/>
        <v>3.303167421</v>
      </c>
      <c r="O959" s="28"/>
      <c r="P959" s="28"/>
      <c r="Q959" s="28"/>
      <c r="R959" s="28"/>
      <c r="S959" s="28"/>
      <c r="T959" s="28"/>
      <c r="U959" s="65"/>
      <c r="V959" s="28"/>
      <c r="W959" s="65"/>
      <c r="X959" s="66" t="s">
        <v>311</v>
      </c>
      <c r="Y959" s="65" t="str">
        <f t="shared" si="6"/>
        <v>EUROPA 9006</v>
      </c>
    </row>
    <row r="960">
      <c r="A960" s="18" t="s">
        <v>1273</v>
      </c>
      <c r="B960" s="91">
        <f t="shared" si="127"/>
        <v>9008</v>
      </c>
      <c r="C960" s="15">
        <v>9008.0</v>
      </c>
      <c r="D960" s="18" t="s">
        <v>81</v>
      </c>
      <c r="E960" s="39">
        <v>2280.0</v>
      </c>
      <c r="F960" s="39">
        <v>2510.0</v>
      </c>
      <c r="G960" s="50">
        <f t="shared" si="128"/>
        <v>0.100877193</v>
      </c>
      <c r="H960" s="28"/>
      <c r="I960" s="55">
        <f t="shared" si="2"/>
        <v>2512.999085</v>
      </c>
      <c r="J960" s="81"/>
      <c r="K960" s="60">
        <f>IFERROR(__xludf.DUMMYFUNCTION("IFERROR(VLOOKUP(C960,IMPORTRANGE(""https://docs.google.com/spreadsheets/d/1HZUHB8NvANAZR0sHDmHYVAm2WE9kNv0pGIQA48Ryim8/edit?gid=1285727875#gid=1285727875"",""Sheet1!A2:G""),7,0))"),677.74)</f>
        <v>677.74</v>
      </c>
      <c r="L960" s="62">
        <f t="shared" si="129"/>
        <v>3.364121935</v>
      </c>
      <c r="M960" s="60">
        <f>IFERROR(__xludf.DUMMYFUNCTION("IFERROR(VLOOKUP(C960,IMPORTRANGE(""https://docs.google.com/spreadsheets/d/1HZUHB8NvANAZR0sHDmHYVAm2WE9kNv0pGIQA48Ryim8/edit?gid=1285727875#gid=1285727875"",""Cost!A2:G""),7,0))"),747.0)</f>
        <v>747</v>
      </c>
      <c r="N960" s="62">
        <f t="shared" si="4"/>
        <v>3.360107095</v>
      </c>
      <c r="O960" s="28"/>
      <c r="P960" s="28"/>
      <c r="Q960" s="28"/>
      <c r="R960" s="28"/>
      <c r="S960" s="28"/>
      <c r="T960" s="28"/>
      <c r="U960" s="65"/>
      <c r="V960" s="28"/>
      <c r="W960" s="65"/>
      <c r="X960" s="66" t="s">
        <v>321</v>
      </c>
      <c r="Y960" s="65" t="str">
        <f t="shared" si="6"/>
        <v>EUROPA 9008</v>
      </c>
    </row>
    <row r="961">
      <c r="A961" s="18" t="s">
        <v>1273</v>
      </c>
      <c r="B961" s="91">
        <f t="shared" si="127"/>
        <v>9010</v>
      </c>
      <c r="C961" s="15">
        <v>9010.0</v>
      </c>
      <c r="D961" s="18" t="s">
        <v>89</v>
      </c>
      <c r="E961" s="39">
        <v>1740.0</v>
      </c>
      <c r="F961" s="39">
        <v>1920.0</v>
      </c>
      <c r="G961" s="50">
        <f t="shared" si="128"/>
        <v>0.1034482759</v>
      </c>
      <c r="H961" s="28"/>
      <c r="I961" s="55">
        <f t="shared" si="2"/>
        <v>1919.117647</v>
      </c>
      <c r="J961" s="81"/>
      <c r="K961" s="60">
        <f>IFERROR(__xludf.DUMMYFUNCTION("IFERROR(VLOOKUP(C961,IMPORTRANGE(""https://docs.google.com/spreadsheets/d/1HZUHB8NvANAZR0sHDmHYVAm2WE9kNv0pGIQA48Ryim8/edit?gid=1285727875#gid=1285727875"",""Sheet1!A2:G""),7,0))"),451.52)</f>
        <v>451.52</v>
      </c>
      <c r="L961" s="62">
        <f t="shared" si="129"/>
        <v>3.853649894</v>
      </c>
      <c r="M961" s="60">
        <f>IFERROR(__xludf.DUMMYFUNCTION("IFERROR(VLOOKUP(C961,IMPORTRANGE(""https://docs.google.com/spreadsheets/d/1HZUHB8NvANAZR0sHDmHYVAm2WE9kNv0pGIQA48Ryim8/edit?gid=1285727875#gid=1285727875"",""Cost!A2:G""),7,0))"),498.0)</f>
        <v>498</v>
      </c>
      <c r="N961" s="62">
        <f t="shared" si="4"/>
        <v>3.855421687</v>
      </c>
      <c r="O961" s="28"/>
      <c r="P961" s="28"/>
      <c r="Q961" s="28"/>
      <c r="R961" s="28"/>
      <c r="S961" s="28"/>
      <c r="T961" s="28"/>
      <c r="U961" s="65"/>
      <c r="V961" s="28"/>
      <c r="W961" s="65"/>
      <c r="X961" s="66" t="s">
        <v>87</v>
      </c>
      <c r="Y961" s="65" t="str">
        <f t="shared" si="6"/>
        <v>EUROPA 9010</v>
      </c>
    </row>
    <row r="962">
      <c r="A962" s="18" t="s">
        <v>1273</v>
      </c>
      <c r="B962" s="91">
        <f t="shared" si="127"/>
        <v>9011</v>
      </c>
      <c r="C962" s="15">
        <v>9011.0</v>
      </c>
      <c r="D962" s="18" t="s">
        <v>94</v>
      </c>
      <c r="E962" s="75">
        <v>2570.0</v>
      </c>
      <c r="F962" s="39">
        <v>2880.0</v>
      </c>
      <c r="G962" s="50">
        <f t="shared" si="128"/>
        <v>0.1206225681</v>
      </c>
      <c r="H962" s="28"/>
      <c r="I962" s="55">
        <f t="shared" si="2"/>
        <v>2877.736657</v>
      </c>
      <c r="J962" s="81"/>
      <c r="K962" s="60">
        <f>IFERROR(__xludf.DUMMYFUNCTION("IFERROR(VLOOKUP(C962,IMPORTRANGE(""https://docs.google.com/spreadsheets/d/1HZUHB8NvANAZR0sHDmHYVAm2WE9kNv0pGIQA48Ryim8/edit?gid=1285727875#gid=1285727875"",""Sheet1!A2:G""),7,0))"),737.67)</f>
        <v>737.67</v>
      </c>
      <c r="L962" s="62">
        <f t="shared" si="129"/>
        <v>3.483942684</v>
      </c>
      <c r="M962" s="60">
        <f>IFERROR(__xludf.DUMMYFUNCTION("IFERROR(VLOOKUP(C962,IMPORTRANGE(""https://docs.google.com/spreadsheets/d/1HZUHB8NvANAZR0sHDmHYVAm2WE9kNv0pGIQA48Ryim8/edit?gid=1285727875#gid=1285727875"",""Cost!A2:G""),7,0))"),826.0)</f>
        <v>826</v>
      </c>
      <c r="N962" s="62">
        <f t="shared" si="4"/>
        <v>3.486682809</v>
      </c>
      <c r="O962" s="28"/>
      <c r="P962" s="28"/>
      <c r="Q962" s="28"/>
      <c r="R962" s="28"/>
      <c r="S962" s="28"/>
      <c r="T962" s="28"/>
      <c r="U962" s="65"/>
      <c r="V962" s="28"/>
      <c r="W962" s="65"/>
      <c r="X962" s="66" t="s">
        <v>91</v>
      </c>
      <c r="Y962" s="65" t="str">
        <f t="shared" si="6"/>
        <v>EUROPA 9011</v>
      </c>
    </row>
    <row r="963">
      <c r="A963" s="18" t="s">
        <v>1273</v>
      </c>
      <c r="B963" s="91">
        <f t="shared" si="127"/>
        <v>9013</v>
      </c>
      <c r="C963" s="15">
        <v>9013.0</v>
      </c>
      <c r="D963" s="18" t="s">
        <v>101</v>
      </c>
      <c r="E963" s="75">
        <v>2790.0</v>
      </c>
      <c r="F963" s="39">
        <v>3130.0</v>
      </c>
      <c r="G963" s="50">
        <f t="shared" si="128"/>
        <v>0.1218637993</v>
      </c>
      <c r="H963" s="28"/>
      <c r="I963" s="55">
        <f t="shared" si="2"/>
        <v>3129.049429</v>
      </c>
      <c r="J963" s="81"/>
      <c r="K963" s="60">
        <f>IFERROR(__xludf.DUMMYFUNCTION("IFERROR(VLOOKUP(C963,IMPORTRANGE(""https://docs.google.com/spreadsheets/d/1HZUHB8NvANAZR0sHDmHYVAm2WE9kNv0pGIQA48Ryim8/edit?gid=1285727875#gid=1285727875"",""Sheet1!A2:G""),7,0))"),807.83)</f>
        <v>807.83</v>
      </c>
      <c r="L963" s="62">
        <f t="shared" si="129"/>
        <v>3.453696941</v>
      </c>
      <c r="M963" s="60">
        <f>IFERROR(__xludf.DUMMYFUNCTION("IFERROR(VLOOKUP(C963,IMPORTRANGE(""https://docs.google.com/spreadsheets/d/1HZUHB8NvANAZR0sHDmHYVAm2WE9kNv0pGIQA48Ryim8/edit?gid=1285727875#gid=1285727875"",""Cost!A2:G""),7,0))"),906.0)</f>
        <v>906</v>
      </c>
      <c r="N963" s="62">
        <f t="shared" si="4"/>
        <v>3.454746137</v>
      </c>
      <c r="O963" s="28"/>
      <c r="P963" s="28"/>
      <c r="Q963" s="28"/>
      <c r="R963" s="28"/>
      <c r="S963" s="28"/>
      <c r="T963" s="28"/>
      <c r="U963" s="65"/>
      <c r="V963" s="28"/>
      <c r="W963" s="65"/>
      <c r="X963" s="66" t="s">
        <v>100</v>
      </c>
      <c r="Y963" s="65" t="str">
        <f t="shared" si="6"/>
        <v>EUROPA 9013</v>
      </c>
    </row>
    <row r="964">
      <c r="A964" s="18" t="s">
        <v>1273</v>
      </c>
      <c r="B964" s="91">
        <f t="shared" si="127"/>
        <v>9014</v>
      </c>
      <c r="C964" s="15">
        <v>9014.0</v>
      </c>
      <c r="D964" s="18" t="s">
        <v>106</v>
      </c>
      <c r="E964" s="39">
        <v>3290.0</v>
      </c>
      <c r="F964" s="39">
        <v>3560.0</v>
      </c>
      <c r="G964" s="50">
        <f t="shared" si="128"/>
        <v>0.0820668693</v>
      </c>
      <c r="H964" s="28"/>
      <c r="I964" s="55">
        <f t="shared" si="2"/>
        <v>3558.329815</v>
      </c>
      <c r="J964" s="81"/>
      <c r="K964" s="60">
        <f>IFERROR(__xludf.DUMMYFUNCTION("IFERROR(VLOOKUP(C964,IMPORTRANGE(""https://docs.google.com/spreadsheets/d/1HZUHB8NvANAZR0sHDmHYVAm2WE9kNv0pGIQA48Ryim8/edit?gid=1285727875#gid=1285727875"",""Sheet1!A2:G""),7,0))"),994.86)</f>
        <v>994.86</v>
      </c>
      <c r="L964" s="62">
        <f t="shared" si="129"/>
        <v>3.30699797</v>
      </c>
      <c r="M964" s="60">
        <f>IFERROR(__xludf.DUMMYFUNCTION("IFERROR(VLOOKUP(C964,IMPORTRANGE(""https://docs.google.com/spreadsheets/d/1HZUHB8NvANAZR0sHDmHYVAm2WE9kNv0pGIQA48Ryim8/edit?gid=1285727875#gid=1285727875"",""Cost!A2:G""),7,0))"),1076.0)</f>
        <v>1076</v>
      </c>
      <c r="N964" s="62">
        <f t="shared" si="4"/>
        <v>3.308550186</v>
      </c>
      <c r="O964" s="28"/>
      <c r="P964" s="28"/>
      <c r="Q964" s="28"/>
      <c r="R964" s="28"/>
      <c r="S964" s="28"/>
      <c r="T964" s="28"/>
      <c r="U964" s="65"/>
      <c r="V964" s="28"/>
      <c r="W964" s="65"/>
      <c r="X964" s="66" t="s">
        <v>104</v>
      </c>
      <c r="Y964" s="65" t="str">
        <f t="shared" si="6"/>
        <v>EUROPA 9014</v>
      </c>
    </row>
    <row r="965">
      <c r="A965" s="18" t="s">
        <v>1273</v>
      </c>
      <c r="B965" s="91">
        <f t="shared" si="127"/>
        <v>9016</v>
      </c>
      <c r="C965" s="15">
        <v>9016.0</v>
      </c>
      <c r="D965" s="18" t="s">
        <v>112</v>
      </c>
      <c r="E965" s="75">
        <v>2890.0</v>
      </c>
      <c r="F965" s="39">
        <v>3170.0</v>
      </c>
      <c r="G965" s="50">
        <f t="shared" si="128"/>
        <v>0.09688581315</v>
      </c>
      <c r="H965" s="28"/>
      <c r="I965" s="55">
        <f t="shared" si="2"/>
        <v>3171.668979</v>
      </c>
      <c r="J965" s="81"/>
      <c r="K965" s="60">
        <f>IFERROR(__xludf.DUMMYFUNCTION("IFERROR(VLOOKUP(C965,IMPORTRANGE(""https://docs.google.com/spreadsheets/d/1HZUHB8NvANAZR0sHDmHYVAm2WE9kNv0pGIQA48Ryim8/edit?gid=1285727875#gid=1285727875"",""Sheet1!A2:G""),7,0))"),886.59)</f>
        <v>886.59</v>
      </c>
      <c r="L965" s="62">
        <f t="shared" si="129"/>
        <v>3.259680348</v>
      </c>
      <c r="M965" s="60">
        <f>IFERROR(__xludf.DUMMYFUNCTION("IFERROR(VLOOKUP(C965,IMPORTRANGE(""https://docs.google.com/spreadsheets/d/1HZUHB8NvANAZR0sHDmHYVAm2WE9kNv0pGIQA48Ryim8/edit?gid=1285727875#gid=1285727875"",""Cost!A2:G""),7,0))"),973.0)</f>
        <v>973</v>
      </c>
      <c r="N965" s="62">
        <f t="shared" si="4"/>
        <v>3.257965057</v>
      </c>
      <c r="O965" s="28"/>
      <c r="P965" s="28"/>
      <c r="Q965" s="28"/>
      <c r="R965" s="28"/>
      <c r="S965" s="28"/>
      <c r="T965" s="28"/>
      <c r="U965" s="65"/>
      <c r="V965" s="28"/>
      <c r="W965" s="65"/>
      <c r="X965" s="66" t="s">
        <v>110</v>
      </c>
      <c r="Y965" s="65" t="str">
        <f t="shared" si="6"/>
        <v>EUROPA 9016</v>
      </c>
    </row>
    <row r="966">
      <c r="A966" s="18" t="s">
        <v>1273</v>
      </c>
      <c r="B966" s="91">
        <f t="shared" si="127"/>
        <v>9018</v>
      </c>
      <c r="C966" s="15">
        <v>9018.0</v>
      </c>
      <c r="D966" s="18" t="s">
        <v>119</v>
      </c>
      <c r="E966" s="39">
        <v>1930.0</v>
      </c>
      <c r="F966" s="39">
        <v>2160.0</v>
      </c>
      <c r="G966" s="50">
        <f t="shared" si="128"/>
        <v>0.1191709845</v>
      </c>
      <c r="H966" s="28"/>
      <c r="I966" s="55">
        <f t="shared" si="2"/>
        <v>2156.81579</v>
      </c>
      <c r="J966" s="81"/>
      <c r="K966" s="60">
        <f>IFERROR(__xludf.DUMMYFUNCTION("IFERROR(VLOOKUP(C966,IMPORTRANGE(""https://docs.google.com/spreadsheets/d/1HZUHB8NvANAZR0sHDmHYVAm2WE9kNv0pGIQA48Ryim8/edit?gid=1285727875#gid=1285727875"",""Sheet1!A2:G""),7,0))"),551.22)</f>
        <v>551.22</v>
      </c>
      <c r="L966" s="62">
        <f t="shared" si="129"/>
        <v>3.501324335</v>
      </c>
      <c r="M966" s="60">
        <f>IFERROR(__xludf.DUMMYFUNCTION("IFERROR(VLOOKUP(C966,IMPORTRANGE(""https://docs.google.com/spreadsheets/d/1HZUHB8NvANAZR0sHDmHYVAm2WE9kNv0pGIQA48Ryim8/edit?gid=1285727875#gid=1285727875"",""Cost!A2:G""),7,0))"),616.0)</f>
        <v>616</v>
      </c>
      <c r="N966" s="62">
        <f t="shared" si="4"/>
        <v>3.506493506</v>
      </c>
      <c r="O966" s="28"/>
      <c r="P966" s="28"/>
      <c r="Q966" s="28"/>
      <c r="R966" s="28"/>
      <c r="S966" s="28"/>
      <c r="T966" s="28"/>
      <c r="U966" s="65"/>
      <c r="V966" s="28"/>
      <c r="W966" s="65"/>
      <c r="X966" s="66" t="s">
        <v>117</v>
      </c>
      <c r="Y966" s="65" t="str">
        <f t="shared" si="6"/>
        <v>EUROPA 9018</v>
      </c>
    </row>
    <row r="967">
      <c r="A967" s="18" t="s">
        <v>1273</v>
      </c>
      <c r="B967" s="91">
        <f t="shared" si="127"/>
        <v>9020</v>
      </c>
      <c r="C967" s="15">
        <v>9020.0</v>
      </c>
      <c r="D967" s="18" t="s">
        <v>122</v>
      </c>
      <c r="E967" s="39">
        <v>1990.0</v>
      </c>
      <c r="F967" s="39">
        <v>2220.0</v>
      </c>
      <c r="G967" s="50">
        <f t="shared" si="128"/>
        <v>0.1155778894</v>
      </c>
      <c r="H967" s="28"/>
      <c r="I967" s="55">
        <f t="shared" si="2"/>
        <v>2227.534622</v>
      </c>
      <c r="J967" s="81"/>
      <c r="K967" s="60">
        <f>IFERROR(__xludf.DUMMYFUNCTION("IFERROR(VLOOKUP(C967,IMPORTRANGE(""https://docs.google.com/spreadsheets/d/1HZUHB8NvANAZR0sHDmHYVAm2WE9kNv0pGIQA48Ryim8/edit?gid=1285727875#gid=1285727875"",""Sheet1!A2:G""),7,0))"),576.22)</f>
        <v>576.22</v>
      </c>
      <c r="L967" s="62">
        <f t="shared" si="129"/>
        <v>3.45354205</v>
      </c>
      <c r="M967" s="60">
        <f>IFERROR(__xludf.DUMMYFUNCTION("IFERROR(VLOOKUP(C967,IMPORTRANGE(""https://docs.google.com/spreadsheets/d/1HZUHB8NvANAZR0sHDmHYVAm2WE9kNv0pGIQA48Ryim8/edit?gid=1285727875#gid=1285727875"",""Cost!A2:G""),7,0))"),645.0)</f>
        <v>645</v>
      </c>
      <c r="N967" s="62">
        <f t="shared" si="4"/>
        <v>3.441860465</v>
      </c>
      <c r="O967" s="28"/>
      <c r="P967" s="28"/>
      <c r="Q967" s="28"/>
      <c r="R967" s="28"/>
      <c r="S967" s="28"/>
      <c r="T967" s="28"/>
      <c r="U967" s="65"/>
      <c r="V967" s="28"/>
      <c r="W967" s="65"/>
      <c r="X967" s="66" t="s">
        <v>120</v>
      </c>
      <c r="Y967" s="65" t="str">
        <f t="shared" si="6"/>
        <v>EUROPA 9020</v>
      </c>
    </row>
    <row r="968">
      <c r="A968" s="18" t="s">
        <v>1273</v>
      </c>
      <c r="B968" s="91">
        <f t="shared" si="127"/>
        <v>9051</v>
      </c>
      <c r="C968" s="15">
        <v>9051.0</v>
      </c>
      <c r="D968" s="18" t="s">
        <v>141</v>
      </c>
      <c r="E968" s="39">
        <v>4980.0</v>
      </c>
      <c r="F968" s="39">
        <v>5590.0</v>
      </c>
      <c r="G968" s="50">
        <f t="shared" si="128"/>
        <v>0.1224899598</v>
      </c>
      <c r="H968" s="28"/>
      <c r="I968" s="55">
        <f t="shared" si="2"/>
        <v>5590.082032</v>
      </c>
      <c r="J968" s="81"/>
      <c r="K968" s="60">
        <f>IFERROR(__xludf.DUMMYFUNCTION("IFERROR(VLOOKUP(C968,IMPORTRANGE(""https://docs.google.com/spreadsheets/d/1HZUHB8NvANAZR0sHDmHYVAm2WE9kNv0pGIQA48Ryim8/edit?gid=1285727875#gid=1285727875"",""Sheet1!A2:G""),7,0))"),1403.11)</f>
        <v>1403.11</v>
      </c>
      <c r="L968" s="62">
        <f t="shared" si="129"/>
        <v>3.549258433</v>
      </c>
      <c r="M968" s="60">
        <f>IFERROR(__xludf.DUMMYFUNCTION("IFERROR(VLOOKUP(C968,IMPORTRANGE(""https://docs.google.com/spreadsheets/d/1HZUHB8NvANAZR0sHDmHYVAm2WE9kNv0pGIQA48Ryim8/edit?gid=1285727875#gid=1285727875"",""Cost!A2:G""),7,0))"),1575.0)</f>
        <v>1575</v>
      </c>
      <c r="N968" s="62">
        <f t="shared" si="4"/>
        <v>3.549206349</v>
      </c>
      <c r="O968" s="28"/>
      <c r="P968" s="28"/>
      <c r="Q968" s="28"/>
      <c r="R968" s="28"/>
      <c r="S968" s="28"/>
      <c r="T968" s="28"/>
      <c r="U968" s="65"/>
      <c r="V968" s="28"/>
      <c r="W968" s="65"/>
      <c r="X968" s="66" t="s">
        <v>139</v>
      </c>
      <c r="Y968" s="65" t="str">
        <f t="shared" si="6"/>
        <v>EUROPA 9051</v>
      </c>
    </row>
    <row r="969">
      <c r="A969" s="18" t="s">
        <v>1273</v>
      </c>
      <c r="B969" s="91">
        <f t="shared" si="127"/>
        <v>9052</v>
      </c>
      <c r="C969" s="15">
        <v>9052.0</v>
      </c>
      <c r="D969" s="18" t="s">
        <v>147</v>
      </c>
      <c r="E969" s="75">
        <v>7430.0</v>
      </c>
      <c r="F969" s="39">
        <v>7980.0</v>
      </c>
      <c r="G969" s="50">
        <f t="shared" si="128"/>
        <v>0.07402422611</v>
      </c>
      <c r="H969" s="28"/>
      <c r="I969" s="55">
        <f t="shared" si="2"/>
        <v>8099.413941</v>
      </c>
      <c r="J969" s="81"/>
      <c r="K969" s="60">
        <f>IFERROR(__xludf.DUMMYFUNCTION("IFERROR(VLOOKUP(C969,IMPORTRANGE(""https://docs.google.com/spreadsheets/d/1HZUHB8NvANAZR0sHDmHYVAm2WE9kNv0pGIQA48Ryim8/edit?gid=1285727875#gid=1285727875"",""Sheet1!A2:G""),7,0))"),2267.69)</f>
        <v>2267.69</v>
      </c>
      <c r="L969" s="62">
        <f t="shared" si="129"/>
        <v>3.27646195</v>
      </c>
      <c r="M969" s="60">
        <f>IFERROR(__xludf.DUMMYFUNCTION("IFERROR(VLOOKUP(C969,IMPORTRANGE(""https://docs.google.com/spreadsheets/d/1HZUHB8NvANAZR0sHDmHYVAm2WE9kNv0pGIQA48Ryim8/edit?gid=1285727875#gid=1285727875"",""Cost!A2:G""),7,0))"),2472.0)</f>
        <v>2472</v>
      </c>
      <c r="N969" s="62">
        <f t="shared" si="4"/>
        <v>3.22815534</v>
      </c>
      <c r="O969" s="28"/>
      <c r="P969" s="28"/>
      <c r="Q969" s="28"/>
      <c r="R969" s="28"/>
      <c r="S969" s="28"/>
      <c r="T969" s="28"/>
      <c r="U969" s="65"/>
      <c r="V969" s="28"/>
      <c r="W969" s="65"/>
      <c r="X969" s="66" t="s">
        <v>144</v>
      </c>
      <c r="Y969" s="65" t="str">
        <f t="shared" si="6"/>
        <v>EUROPA 9052</v>
      </c>
    </row>
    <row r="970">
      <c r="A970" s="18" t="s">
        <v>1273</v>
      </c>
      <c r="B970" s="91">
        <f t="shared" si="127"/>
        <v>9054</v>
      </c>
      <c r="C970" s="15">
        <v>9054.0</v>
      </c>
      <c r="D970" s="18" t="s">
        <v>152</v>
      </c>
      <c r="E970" s="75">
        <f t="shared" ref="E970:F970" si="137">SUM(E971:E972)</f>
        <v>6560</v>
      </c>
      <c r="F970" s="75">
        <f t="shared" si="137"/>
        <v>7140</v>
      </c>
      <c r="G970" s="50">
        <f t="shared" si="128"/>
        <v>0.08841463415</v>
      </c>
      <c r="H970" s="28"/>
      <c r="I970" s="55">
        <f t="shared" si="2"/>
        <v>7201.34592</v>
      </c>
      <c r="J970" s="81"/>
      <c r="K970" s="60">
        <f>IFERROR(__xludf.DUMMYFUNCTION("IFERROR(VLOOKUP(C970,IMPORTRANGE(""https://docs.google.com/spreadsheets/d/1HZUHB8NvANAZR0sHDmHYVAm2WE9kNv0pGIQA48Ryim8/edit?gid=1285727875#gid=1285727875"",""Sheet1!A2:G""),7,0))"),2139.8)</f>
        <v>2139.8</v>
      </c>
      <c r="L970" s="62">
        <f t="shared" si="129"/>
        <v>3.065707075</v>
      </c>
      <c r="M970" s="60">
        <f>IFERROR(__xludf.DUMMYFUNCTION("IFERROR(VLOOKUP(C970,IMPORTRANGE(""https://docs.google.com/spreadsheets/d/1HZUHB8NvANAZR0sHDmHYVAm2WE9kNv0pGIQA48Ryim8/edit?gid=1285727875#gid=1285727875"",""Cost!A2:G""),7,0))"),2349.0)</f>
        <v>2349</v>
      </c>
      <c r="N970" s="62">
        <f t="shared" si="4"/>
        <v>3.039591315</v>
      </c>
      <c r="O970" s="28"/>
      <c r="P970" s="28"/>
      <c r="Q970" s="28"/>
      <c r="R970" s="28"/>
      <c r="S970" s="28"/>
      <c r="T970" s="28"/>
      <c r="U970" s="65"/>
      <c r="V970" s="28"/>
      <c r="W970" s="65"/>
      <c r="X970" s="66" t="s">
        <v>150</v>
      </c>
      <c r="Y970" s="65" t="str">
        <f t="shared" si="6"/>
        <v>EUROPA 9054</v>
      </c>
    </row>
    <row r="971">
      <c r="A971" s="18" t="s">
        <v>1273</v>
      </c>
      <c r="B971" s="91" t="str">
        <f t="shared" si="127"/>
        <v>BD-40</v>
      </c>
      <c r="C971" s="15" t="s">
        <v>154</v>
      </c>
      <c r="D971" s="18" t="s">
        <v>156</v>
      </c>
      <c r="E971" s="39">
        <v>3680.0</v>
      </c>
      <c r="F971" s="39">
        <v>3990.0</v>
      </c>
      <c r="G971" s="50">
        <f t="shared" si="128"/>
        <v>0.08423913043</v>
      </c>
      <c r="H971" s="28"/>
      <c r="I971" s="55">
        <f t="shared" si="2"/>
        <v>4075.59981</v>
      </c>
      <c r="J971" s="81"/>
      <c r="K971" s="60">
        <f>IFERROR(__xludf.DUMMYFUNCTION("IFERROR(VLOOKUP(C971,IMPORTRANGE(""https://docs.google.com/spreadsheets/d/1HZUHB8NvANAZR0sHDmHYVAm2WE9kNv0pGIQA48Ryim8/edit?gid=1285727875#gid=1285727875"",""Sheet1!A2:G""),7,0))"),966.14)</f>
        <v>966.14</v>
      </c>
      <c r="L971" s="62">
        <f t="shared" si="129"/>
        <v>3.808971785</v>
      </c>
      <c r="M971" s="60">
        <f>IFERROR(__xludf.DUMMYFUNCTION("IFERROR(VLOOKUP(C971,IMPORTRANGE(""https://docs.google.com/spreadsheets/d/1HZUHB8NvANAZR0sHDmHYVAm2WE9kNv0pGIQA48Ryim8/edit?gid=1285727875#gid=1285727875"",""Cost!A2:G""),7,0))"),1070.0)</f>
        <v>1070</v>
      </c>
      <c r="N971" s="62">
        <f t="shared" si="4"/>
        <v>3.728971963</v>
      </c>
      <c r="O971" s="28"/>
      <c r="P971" s="28"/>
      <c r="Q971" s="28"/>
      <c r="R971" s="28"/>
      <c r="S971" s="28"/>
      <c r="T971" s="28"/>
      <c r="U971" s="65"/>
      <c r="V971" s="28"/>
      <c r="W971" s="65"/>
      <c r="X971" s="66" t="s">
        <v>154</v>
      </c>
      <c r="Y971" s="65" t="str">
        <f t="shared" si="6"/>
        <v>EUROPA 90BD-40</v>
      </c>
    </row>
    <row r="972">
      <c r="A972" s="18" t="s">
        <v>1273</v>
      </c>
      <c r="B972" s="91" t="str">
        <f t="shared" si="127"/>
        <v>BB-90</v>
      </c>
      <c r="C972" s="15" t="s">
        <v>1274</v>
      </c>
      <c r="D972" s="18" t="s">
        <v>78</v>
      </c>
      <c r="E972" s="39">
        <v>2880.0</v>
      </c>
      <c r="F972" s="39">
        <v>3150.0</v>
      </c>
      <c r="G972" s="50">
        <f t="shared" si="128"/>
        <v>0.09375</v>
      </c>
      <c r="H972" s="28"/>
      <c r="I972" s="55">
        <f t="shared" si="2"/>
        <v>3150.425013</v>
      </c>
      <c r="J972" s="81"/>
      <c r="K972" s="60">
        <f>IFERROR(__xludf.DUMMYFUNCTION("IFERROR(VLOOKUP(C972,IMPORTRANGE(""https://docs.google.com/spreadsheets/d/1HZUHB8NvANAZR0sHDmHYVAm2WE9kNv0pGIQA48Ryim8/edit?gid=1285727875#gid=1285727875"",""Sheet1!A2:G""),7,0))"),709.39)</f>
        <v>709.39</v>
      </c>
      <c r="L972" s="62">
        <f t="shared" si="129"/>
        <v>4.059826048</v>
      </c>
      <c r="M972" s="60">
        <f>IFERROR(__xludf.DUMMYFUNCTION("IFERROR(VLOOKUP(C972,IMPORTRANGE(""https://docs.google.com/spreadsheets/d/1HZUHB8NvANAZR0sHDmHYVAm2WE9kNv0pGIQA48Ryim8/edit?gid=1285727875#gid=1285727875"",""Cost!A2:G""),7,0))"),776.0)</f>
        <v>776</v>
      </c>
      <c r="N972" s="62">
        <f t="shared" si="4"/>
        <v>4.059278351</v>
      </c>
      <c r="O972" s="28"/>
      <c r="P972" s="28"/>
      <c r="Q972" s="28"/>
      <c r="R972" s="28"/>
      <c r="S972" s="28"/>
      <c r="T972" s="28"/>
      <c r="U972" s="65"/>
      <c r="V972" s="28"/>
      <c r="W972" s="65"/>
      <c r="X972" s="66" t="s">
        <v>159</v>
      </c>
      <c r="Y972" s="65" t="str">
        <f t="shared" si="6"/>
        <v>EUROPA 90BB</v>
      </c>
    </row>
    <row r="973">
      <c r="A973" s="18" t="s">
        <v>1273</v>
      </c>
      <c r="B973" s="91">
        <f t="shared" si="127"/>
        <v>9055</v>
      </c>
      <c r="C973" s="15">
        <v>9055.0</v>
      </c>
      <c r="D973" s="18" t="s">
        <v>164</v>
      </c>
      <c r="E973" s="75">
        <v>6460.0</v>
      </c>
      <c r="F973" s="39">
        <v>6980.0</v>
      </c>
      <c r="G973" s="50">
        <f t="shared" si="128"/>
        <v>0.08049535604</v>
      </c>
      <c r="H973" s="28"/>
      <c r="I973" s="55">
        <f t="shared" si="2"/>
        <v>7417.540199</v>
      </c>
      <c r="J973" s="81"/>
      <c r="K973" s="60">
        <f>IFERROR(__xludf.DUMMYFUNCTION("IFERROR(VLOOKUP(C973,IMPORTRANGE(""https://docs.google.com/spreadsheets/d/1HZUHB8NvANAZR0sHDmHYVAm2WE9kNv0pGIQA48Ryim8/edit?gid=1285727875#gid=1285727875"",""Sheet1!A2:G""),7,0))"),1840.23)</f>
        <v>1840.23</v>
      </c>
      <c r="L973" s="62">
        <f t="shared" si="129"/>
        <v>3.510430761</v>
      </c>
      <c r="M973" s="60">
        <f>IFERROR(__xludf.DUMMYFUNCTION("IFERROR(VLOOKUP(C973,IMPORTRANGE(""https://docs.google.com/spreadsheets/d/1HZUHB8NvANAZR0sHDmHYVAm2WE9kNv0pGIQA48Ryim8/edit?gid=1285727875#gid=1285727875"",""Cost!A2:G""),7,0))"),2113.0)</f>
        <v>2113</v>
      </c>
      <c r="N973" s="62">
        <f t="shared" si="4"/>
        <v>3.303360151</v>
      </c>
      <c r="O973" s="28"/>
      <c r="P973" s="28"/>
      <c r="Q973" s="28"/>
      <c r="R973" s="28"/>
      <c r="S973" s="28"/>
      <c r="T973" s="28"/>
      <c r="U973" s="65"/>
      <c r="V973" s="28"/>
      <c r="W973" s="65"/>
      <c r="X973" s="66" t="s">
        <v>162</v>
      </c>
      <c r="Y973" s="65" t="str">
        <f t="shared" si="6"/>
        <v>EUROPA 9055</v>
      </c>
    </row>
    <row r="974">
      <c r="A974" s="18" t="s">
        <v>1273</v>
      </c>
      <c r="B974" s="91">
        <f t="shared" si="127"/>
        <v>9061</v>
      </c>
      <c r="C974" s="15">
        <v>9061.0</v>
      </c>
      <c r="D974" s="18" t="s">
        <v>179</v>
      </c>
      <c r="E974" s="75">
        <v>7540.0</v>
      </c>
      <c r="F974" s="39">
        <v>7890.0</v>
      </c>
      <c r="G974" s="50">
        <f t="shared" si="128"/>
        <v>0.04641909814</v>
      </c>
      <c r="H974" s="28"/>
      <c r="I974" s="55">
        <f t="shared" si="2"/>
        <v>7669.297992</v>
      </c>
      <c r="J974" s="81"/>
      <c r="K974" s="60">
        <f>IFERROR(__xludf.DUMMYFUNCTION("IFERROR(VLOOKUP(C974,IMPORTRANGE(""https://docs.google.com/spreadsheets/d/1HZUHB8NvANAZR0sHDmHYVAm2WE9kNv0pGIQA48Ryim8/edit?gid=1285727875#gid=1285727875"",""Sheet1!A2:G""),7,0))"),1940.72)</f>
        <v>1940.72</v>
      </c>
      <c r="L974" s="62">
        <f t="shared" si="129"/>
        <v>3.885156025</v>
      </c>
      <c r="M974" s="60">
        <f>IFERROR(__xludf.DUMMYFUNCTION("IFERROR(VLOOKUP(C974,IMPORTRANGE(""https://docs.google.com/spreadsheets/d/1HZUHB8NvANAZR0sHDmHYVAm2WE9kNv0pGIQA48Ryim8/edit?gid=1285727875#gid=1285727875"",""Cost!A2:G""),7,0))"),1974.0)</f>
        <v>1974</v>
      </c>
      <c r="N974" s="62">
        <f t="shared" si="4"/>
        <v>3.996960486</v>
      </c>
      <c r="O974" s="28"/>
      <c r="P974" s="28"/>
      <c r="Q974" s="28"/>
      <c r="R974" s="28"/>
      <c r="S974" s="28"/>
      <c r="T974" s="28"/>
      <c r="U974" s="65"/>
      <c r="V974" s="28"/>
      <c r="W974" s="65"/>
      <c r="X974" s="66" t="s">
        <v>177</v>
      </c>
      <c r="Y974" s="65" t="str">
        <f t="shared" si="6"/>
        <v>EUROPA 9061</v>
      </c>
    </row>
    <row r="975">
      <c r="A975" s="18" t="s">
        <v>1273</v>
      </c>
      <c r="B975" s="91">
        <f t="shared" si="127"/>
        <v>9070</v>
      </c>
      <c r="C975" s="15">
        <v>9070.0</v>
      </c>
      <c r="D975" s="18" t="s">
        <v>186</v>
      </c>
      <c r="E975" s="39">
        <v>8590.0</v>
      </c>
      <c r="F975" s="39">
        <v>9490.0</v>
      </c>
      <c r="G975" s="50">
        <f t="shared" si="128"/>
        <v>0.1047729919</v>
      </c>
      <c r="H975" s="28"/>
      <c r="I975" s="55">
        <f t="shared" si="2"/>
        <v>9797.721167</v>
      </c>
      <c r="J975" s="81"/>
      <c r="K975" s="60">
        <f>IFERROR(__xludf.DUMMYFUNCTION("IFERROR(VLOOKUP(C975,IMPORTRANGE(""https://docs.google.com/spreadsheets/d/1HZUHB8NvANAZR0sHDmHYVAm2WE9kNv0pGIQA48Ryim8/edit?gid=1285727875#gid=1285727875"",""Sheet1!A2:G""),7,0))"),2542.53)</f>
        <v>2542.53</v>
      </c>
      <c r="L975" s="62">
        <f t="shared" si="129"/>
        <v>3.378524541</v>
      </c>
      <c r="M975" s="60">
        <f>IFERROR(__xludf.DUMMYFUNCTION("IFERROR(VLOOKUP(C975,IMPORTRANGE(""https://docs.google.com/spreadsheets/d/1HZUHB8NvANAZR0sHDmHYVAm2WE9kNv0pGIQA48Ryim8/edit?gid=1285727875#gid=1285727875"",""Cost!A2:G""),7,0))"),2900.0)</f>
        <v>2900</v>
      </c>
      <c r="N975" s="62">
        <f t="shared" si="4"/>
        <v>3.272413793</v>
      </c>
      <c r="O975" s="28"/>
      <c r="P975" s="28"/>
      <c r="Q975" s="28"/>
      <c r="R975" s="28"/>
      <c r="S975" s="28"/>
      <c r="T975" s="28"/>
      <c r="U975" s="65"/>
      <c r="V975" s="28"/>
      <c r="W975" s="65"/>
      <c r="X975" s="66" t="s">
        <v>184</v>
      </c>
      <c r="Y975" s="65" t="str">
        <f t="shared" si="6"/>
        <v>EUROPA 9070</v>
      </c>
    </row>
    <row r="976">
      <c r="A976" s="18" t="s">
        <v>1273</v>
      </c>
      <c r="B976" s="91">
        <f t="shared" si="127"/>
        <v>9071</v>
      </c>
      <c r="C976" s="15">
        <v>9071.0</v>
      </c>
      <c r="D976" s="18" t="s">
        <v>192</v>
      </c>
      <c r="E976" s="75">
        <v>6350.0</v>
      </c>
      <c r="F976" s="39">
        <v>7260.0</v>
      </c>
      <c r="G976" s="50">
        <f t="shared" si="128"/>
        <v>0.1433070866</v>
      </c>
      <c r="H976" s="28"/>
      <c r="I976" s="55">
        <f t="shared" si="2"/>
        <v>7256.854601</v>
      </c>
      <c r="J976" s="81"/>
      <c r="K976" s="60">
        <f>IFERROR(__xludf.DUMMYFUNCTION("IFERROR(VLOOKUP(C976,IMPORTRANGE(""https://docs.google.com/spreadsheets/d/1HZUHB8NvANAZR0sHDmHYVAm2WE9kNv0pGIQA48Ryim8/edit?gid=1285727875#gid=1285727875"",""Sheet1!A2:G""),7,0))"),1762.32)</f>
        <v>1762.32</v>
      </c>
      <c r="L976" s="62">
        <f t="shared" si="129"/>
        <v>3.603204866</v>
      </c>
      <c r="M976" s="60">
        <f>IFERROR(__xludf.DUMMYFUNCTION("IFERROR(VLOOKUP(C976,IMPORTRANGE(""https://docs.google.com/spreadsheets/d/1HZUHB8NvANAZR0sHDmHYVAm2WE9kNv0pGIQA48Ryim8/edit?gid=1285727875#gid=1285727875"",""Cost!A2:G""),7,0))"),2014.0)</f>
        <v>2014</v>
      </c>
      <c r="N976" s="62">
        <f t="shared" si="4"/>
        <v>3.604766634</v>
      </c>
      <c r="O976" s="28"/>
      <c r="P976" s="28"/>
      <c r="Q976" s="28"/>
      <c r="R976" s="28"/>
      <c r="S976" s="28"/>
      <c r="T976" s="28"/>
      <c r="U976" s="65"/>
      <c r="V976" s="28"/>
      <c r="W976" s="65"/>
      <c r="X976" s="66" t="s">
        <v>190</v>
      </c>
      <c r="Y976" s="65" t="str">
        <f t="shared" si="6"/>
        <v>EUROPA 9071</v>
      </c>
    </row>
    <row r="977">
      <c r="A977" s="18" t="s">
        <v>1273</v>
      </c>
      <c r="B977" s="91">
        <f t="shared" si="127"/>
        <v>9075</v>
      </c>
      <c r="C977" s="15">
        <v>9075.0</v>
      </c>
      <c r="D977" s="18" t="s">
        <v>196</v>
      </c>
      <c r="E977" s="39">
        <v>8590.0</v>
      </c>
      <c r="F977" s="39">
        <v>9490.0</v>
      </c>
      <c r="G977" s="50">
        <f t="shared" si="128"/>
        <v>0.1047729919</v>
      </c>
      <c r="H977" s="28"/>
      <c r="I977" s="55">
        <f t="shared" si="2"/>
        <v>9803.94383</v>
      </c>
      <c r="J977" s="81"/>
      <c r="K977" s="60">
        <f>IFERROR(__xludf.DUMMYFUNCTION("IFERROR(VLOOKUP(C977,IMPORTRANGE(""https://docs.google.com/spreadsheets/d/1HZUHB8NvANAZR0sHDmHYVAm2WE9kNv0pGIQA48Ryim8/edit?gid=1285727875#gid=1285727875"",""Sheet1!A2:G""),7,0))"),2510.25)</f>
        <v>2510.25</v>
      </c>
      <c r="L977" s="62">
        <f t="shared" si="129"/>
        <v>3.421969923</v>
      </c>
      <c r="M977" s="60">
        <f>IFERROR(__xludf.DUMMYFUNCTION("IFERROR(VLOOKUP(C977,IMPORTRANGE(""https://docs.google.com/spreadsheets/d/1HZUHB8NvANAZR0sHDmHYVAm2WE9kNv0pGIQA48Ryim8/edit?gid=1285727875#gid=1285727875"",""Cost!A2:G""),7,0))"),2865.0)</f>
        <v>2865</v>
      </c>
      <c r="N977" s="62">
        <f t="shared" si="4"/>
        <v>3.312390925</v>
      </c>
      <c r="O977" s="28"/>
      <c r="P977" s="28"/>
      <c r="Q977" s="28"/>
      <c r="R977" s="28"/>
      <c r="S977" s="28"/>
      <c r="T977" s="28"/>
      <c r="U977" s="65"/>
      <c r="V977" s="28"/>
      <c r="W977" s="65"/>
      <c r="X977" s="66" t="s">
        <v>194</v>
      </c>
      <c r="Y977" s="65" t="str">
        <f t="shared" si="6"/>
        <v>EUROPA 9075</v>
      </c>
    </row>
    <row r="978">
      <c r="A978" s="18" t="s">
        <v>1273</v>
      </c>
      <c r="B978" s="91">
        <f t="shared" si="127"/>
        <v>9076</v>
      </c>
      <c r="C978" s="15">
        <v>9076.0</v>
      </c>
      <c r="D978" s="18" t="s">
        <v>200</v>
      </c>
      <c r="E978" s="39">
        <v>9990.0</v>
      </c>
      <c r="F978" s="39">
        <v>11240.0</v>
      </c>
      <c r="G978" s="50">
        <f t="shared" si="128"/>
        <v>0.1251251251</v>
      </c>
      <c r="H978" s="28"/>
      <c r="I978" s="55">
        <f t="shared" si="2"/>
        <v>11243.33984</v>
      </c>
      <c r="J978" s="81"/>
      <c r="K978" s="60">
        <f>IFERROR(__xludf.DUMMYFUNCTION("IFERROR(VLOOKUP(C978,IMPORTRANGE(""https://docs.google.com/spreadsheets/d/1HZUHB8NvANAZR0sHDmHYVAm2WE9kNv0pGIQA48Ryim8/edit?gid=1285727875#gid=1285727875"",""Sheet1!A2:G""),7,0))"),3158.71)</f>
        <v>3158.71</v>
      </c>
      <c r="L978" s="62">
        <f t="shared" si="129"/>
        <v>3.162683501</v>
      </c>
      <c r="M978" s="60">
        <f>IFERROR(__xludf.DUMMYFUNCTION("IFERROR(VLOOKUP(C978,IMPORTRANGE(""https://docs.google.com/spreadsheets/d/1HZUHB8NvANAZR0sHDmHYVAm2WE9kNv0pGIQA48Ryim8/edit?gid=1285727875#gid=1285727875"",""Cost!A2:G""),7,0))"),3555.0)</f>
        <v>3555</v>
      </c>
      <c r="N978" s="62">
        <f t="shared" si="4"/>
        <v>3.161744023</v>
      </c>
      <c r="O978" s="28"/>
      <c r="P978" s="28"/>
      <c r="Q978" s="28"/>
      <c r="R978" s="28"/>
      <c r="S978" s="28"/>
      <c r="T978" s="28"/>
      <c r="U978" s="65"/>
      <c r="V978" s="28"/>
      <c r="W978" s="65"/>
      <c r="X978" s="66" t="s">
        <v>198</v>
      </c>
      <c r="Y978" s="65" t="str">
        <f t="shared" si="6"/>
        <v>EUROPA 9076</v>
      </c>
    </row>
    <row r="979">
      <c r="A979" s="18" t="s">
        <v>1273</v>
      </c>
      <c r="B979" s="91">
        <f t="shared" si="127"/>
        <v>9080</v>
      </c>
      <c r="C979" s="15">
        <v>9080.0</v>
      </c>
      <c r="D979" s="18" t="s">
        <v>205</v>
      </c>
      <c r="E979" s="39">
        <v>9490.0</v>
      </c>
      <c r="F979" s="39">
        <v>10790.0</v>
      </c>
      <c r="G979" s="50">
        <f t="shared" si="128"/>
        <v>0.1369863014</v>
      </c>
      <c r="H979" s="28"/>
      <c r="I979" s="55">
        <f t="shared" si="2"/>
        <v>10805.05803</v>
      </c>
      <c r="J979" s="81"/>
      <c r="K979" s="60">
        <f>IFERROR(__xludf.DUMMYFUNCTION("IFERROR(VLOOKUP(C979,IMPORTRANGE(""https://docs.google.com/spreadsheets/d/1HZUHB8NvANAZR0sHDmHYVAm2WE9kNv0pGIQA48Ryim8/edit?gid=1285727875#gid=1285727875"",""Sheet1!A2:G""),7,0))"),2715.68)</f>
        <v>2715.68</v>
      </c>
      <c r="L979" s="62">
        <f t="shared" si="129"/>
        <v>3.494520709</v>
      </c>
      <c r="M979" s="60">
        <f>IFERROR(__xludf.DUMMYFUNCTION("IFERROR(VLOOKUP(C979,IMPORTRANGE(""https://docs.google.com/spreadsheets/d/1HZUHB8NvANAZR0sHDmHYVAm2WE9kNv0pGIQA48Ryim8/edit?gid=1285727875#gid=1285727875"",""Cost!A2:G""),7,0))"),3092.0)</f>
        <v>3092</v>
      </c>
      <c r="N979" s="62">
        <f t="shared" si="4"/>
        <v>3.489650712</v>
      </c>
      <c r="O979" s="28"/>
      <c r="P979" s="28"/>
      <c r="Q979" s="28"/>
      <c r="R979" s="28"/>
      <c r="S979" s="28"/>
      <c r="T979" s="28"/>
      <c r="U979" s="65"/>
      <c r="V979" s="28"/>
      <c r="W979" s="65"/>
      <c r="X979" s="66" t="s">
        <v>203</v>
      </c>
      <c r="Y979" s="65" t="str">
        <f t="shared" si="6"/>
        <v>EUROPA 9080</v>
      </c>
    </row>
    <row r="980">
      <c r="A980" s="18" t="s">
        <v>1273</v>
      </c>
      <c r="B980" s="91" t="str">
        <f t="shared" si="127"/>
        <v>9091-N</v>
      </c>
      <c r="C980" s="15" t="s">
        <v>1302</v>
      </c>
      <c r="D980" s="18" t="s">
        <v>210</v>
      </c>
      <c r="E980" s="75">
        <f t="shared" ref="E980:F980" si="138">SUM(E981:E982)</f>
        <v>6310</v>
      </c>
      <c r="F980" s="75">
        <f t="shared" si="138"/>
        <v>6800</v>
      </c>
      <c r="G980" s="50">
        <f t="shared" si="128"/>
        <v>0.07765451664</v>
      </c>
      <c r="H980" s="28"/>
      <c r="I980" s="55">
        <f t="shared" si="2"/>
        <v>6766.378481</v>
      </c>
      <c r="J980" s="81"/>
      <c r="K980" s="60">
        <f>IFERROR(__xludf.DUMMYFUNCTION("IFERROR(VLOOKUP(C980,IMPORTRANGE(""https://docs.google.com/spreadsheets/d/1HZUHB8NvANAZR0sHDmHYVAm2WE9kNv0pGIQA48Ryim8/edit?gid=1285727875#gid=1285727875"",""Sheet1!A2:G""),7,0))"),1881.89)</f>
        <v>1881.89</v>
      </c>
      <c r="L980" s="62">
        <f t="shared" si="129"/>
        <v>3.353012131</v>
      </c>
      <c r="M980" s="60">
        <f>IFERROR(__xludf.DUMMYFUNCTION("IFERROR(VLOOKUP(C980,IMPORTRANGE(""https://docs.google.com/spreadsheets/d/1HZUHB8NvANAZR0sHDmHYVAm2WE9kNv0pGIQA48Ryim8/edit?gid=1285727875#gid=1285727875"",""Cost!A2:G""),7,0))"),2018.0)</f>
        <v>2018</v>
      </c>
      <c r="N980" s="62">
        <f t="shared" si="4"/>
        <v>3.369672944</v>
      </c>
      <c r="O980" s="28"/>
      <c r="P980" s="28"/>
      <c r="Q980" s="28"/>
      <c r="R980" s="28"/>
      <c r="S980" s="28"/>
      <c r="T980" s="28"/>
      <c r="U980" s="65"/>
      <c r="V980" s="28"/>
      <c r="W980" s="65"/>
      <c r="X980" s="66" t="s">
        <v>209</v>
      </c>
      <c r="Y980" s="65" t="str">
        <f t="shared" si="6"/>
        <v>EUROPA 9091</v>
      </c>
    </row>
    <row r="981">
      <c r="A981" s="18" t="s">
        <v>1273</v>
      </c>
      <c r="B981" s="91" t="str">
        <f t="shared" si="127"/>
        <v>PD-40-N</v>
      </c>
      <c r="C981" s="15" t="s">
        <v>212</v>
      </c>
      <c r="D981" s="18" t="s">
        <v>214</v>
      </c>
      <c r="E981" s="39">
        <v>4240.0</v>
      </c>
      <c r="F981" s="39">
        <v>4580.0</v>
      </c>
      <c r="G981" s="50">
        <f t="shared" si="128"/>
        <v>0.08018867925</v>
      </c>
      <c r="H981" s="28"/>
      <c r="I981" s="55">
        <f t="shared" si="2"/>
        <v>4549.622554</v>
      </c>
      <c r="J981" s="81"/>
      <c r="K981" s="60">
        <f>IFERROR(__xludf.DUMMYFUNCTION("IFERROR(VLOOKUP(C981,IMPORTRANGE(""https://docs.google.com/spreadsheets/d/1HZUHB8NvANAZR0sHDmHYVAm2WE9kNv0pGIQA48Ryim8/edit?gid=1285727875#gid=1285727875"",""Sheet1!A2:G""),7,0))"),1298.2)</f>
        <v>1298.2</v>
      </c>
      <c r="L981" s="62">
        <f t="shared" si="129"/>
        <v>3.266060699</v>
      </c>
      <c r="M981" s="60">
        <f>IFERROR(__xludf.DUMMYFUNCTION("IFERROR(VLOOKUP(C981,IMPORTRANGE(""https://docs.google.com/spreadsheets/d/1HZUHB8NvANAZR0sHDmHYVAm2WE9kNv0pGIQA48Ryim8/edit?gid=1285727875#gid=1285727875"",""Cost!A2:G""),7,0))"),1393.0)</f>
        <v>1393</v>
      </c>
      <c r="N981" s="62">
        <f t="shared" si="4"/>
        <v>3.287867911</v>
      </c>
      <c r="O981" s="28"/>
      <c r="P981" s="28"/>
      <c r="Q981" s="28"/>
      <c r="R981" s="28"/>
      <c r="S981" s="28"/>
      <c r="T981" s="28"/>
      <c r="U981" s="65"/>
      <c r="V981" s="28"/>
      <c r="W981" s="65"/>
      <c r="X981" s="66" t="s">
        <v>212</v>
      </c>
      <c r="Y981" s="65" t="str">
        <f t="shared" si="6"/>
        <v>EUROPA 90PD-40-N</v>
      </c>
    </row>
    <row r="982">
      <c r="A982" s="18" t="s">
        <v>1273</v>
      </c>
      <c r="B982" s="91" t="str">
        <f t="shared" si="127"/>
        <v>DB-90-N</v>
      </c>
      <c r="C982" s="15" t="s">
        <v>1303</v>
      </c>
      <c r="D982" s="18" t="s">
        <v>217</v>
      </c>
      <c r="E982" s="39">
        <v>2070.0</v>
      </c>
      <c r="F982" s="39">
        <v>2220.0</v>
      </c>
      <c r="G982" s="50">
        <f t="shared" si="128"/>
        <v>0.07246376812</v>
      </c>
      <c r="H982" s="28"/>
      <c r="I982" s="55">
        <f t="shared" si="2"/>
        <v>2217.564286</v>
      </c>
      <c r="J982" s="81"/>
      <c r="K982" s="60">
        <f>IFERROR(__xludf.DUMMYFUNCTION("IFERROR(VLOOKUP(C982,IMPORTRANGE(""https://docs.google.com/spreadsheets/d/1HZUHB8NvANAZR0sHDmHYVAm2WE9kNv0pGIQA48Ryim8/edit?gid=1285727875#gid=1285727875"",""Sheet1!A2:G""),7,0))"),580.61)</f>
        <v>580.61</v>
      </c>
      <c r="L982" s="62">
        <f t="shared" si="129"/>
        <v>3.565215894</v>
      </c>
      <c r="M982" s="60">
        <f>IFERROR(__xludf.DUMMYFUNCTION("IFERROR(VLOOKUP(C982,IMPORTRANGE(""https://docs.google.com/spreadsheets/d/1HZUHB8NvANAZR0sHDmHYVAm2WE9kNv0pGIQA48Ryim8/edit?gid=1285727875#gid=1285727875"",""Cost!A2:G""),7,0))"),622.0)</f>
        <v>622</v>
      </c>
      <c r="N982" s="62">
        <f t="shared" si="4"/>
        <v>3.569131833</v>
      </c>
      <c r="O982" s="28"/>
      <c r="P982" s="28"/>
      <c r="Q982" s="28"/>
      <c r="R982" s="28"/>
      <c r="S982" s="28"/>
      <c r="T982" s="28"/>
      <c r="U982" s="65"/>
      <c r="V982" s="28"/>
      <c r="W982" s="65"/>
      <c r="X982" s="66" t="s">
        <v>358</v>
      </c>
      <c r="Y982" s="65" t="str">
        <f t="shared" si="6"/>
        <v>EUROPA 90DB</v>
      </c>
    </row>
    <row r="983">
      <c r="A983" s="18" t="s">
        <v>1273</v>
      </c>
      <c r="B983" s="91" t="str">
        <f t="shared" si="127"/>
        <v>9092-N</v>
      </c>
      <c r="C983" s="15" t="s">
        <v>1304</v>
      </c>
      <c r="D983" s="18" t="s">
        <v>220</v>
      </c>
      <c r="E983" s="75">
        <f t="shared" ref="E983:F983" si="139">SUM(E984:E985)</f>
        <v>7050</v>
      </c>
      <c r="F983" s="75">
        <f t="shared" si="139"/>
        <v>7710</v>
      </c>
      <c r="G983" s="50">
        <f t="shared" si="128"/>
        <v>0.09361702128</v>
      </c>
      <c r="H983" s="28"/>
      <c r="I983" s="55">
        <f t="shared" si="2"/>
        <v>7740.846983</v>
      </c>
      <c r="J983" s="81"/>
      <c r="K983" s="60">
        <f>IFERROR(__xludf.DUMMYFUNCTION("IFERROR(VLOOKUP(C983,IMPORTRANGE(""https://docs.google.com/spreadsheets/d/1HZUHB8NvANAZR0sHDmHYVAm2WE9kNv0pGIQA48Ryim8/edit?gid=1285727875#gid=1285727875"",""Sheet1!A2:G""),7,0))"),2164.86)</f>
        <v>2164.86</v>
      </c>
      <c r="L983" s="62">
        <f t="shared" si="129"/>
        <v>3.256561625</v>
      </c>
      <c r="M983" s="60">
        <f>IFERROR(__xludf.DUMMYFUNCTION("IFERROR(VLOOKUP(C983,IMPORTRANGE(""https://docs.google.com/spreadsheets/d/1HZUHB8NvANAZR0sHDmHYVAm2WE9kNv0pGIQA48Ryim8/edit?gid=1285727875#gid=1285727875"",""Cost!A2:G""),7,0))"),2377.0)</f>
        <v>2377</v>
      </c>
      <c r="N983" s="62">
        <f t="shared" si="4"/>
        <v>3.24358435</v>
      </c>
      <c r="O983" s="28"/>
      <c r="P983" s="28"/>
      <c r="Q983" s="28"/>
      <c r="R983" s="28"/>
      <c r="S983" s="28"/>
      <c r="T983" s="28"/>
      <c r="U983" s="65"/>
      <c r="V983" s="28"/>
      <c r="W983" s="65"/>
      <c r="X983" s="66" t="s">
        <v>219</v>
      </c>
      <c r="Y983" s="65" t="str">
        <f t="shared" si="6"/>
        <v>EUROPA 9092</v>
      </c>
    </row>
    <row r="984">
      <c r="A984" s="18" t="s">
        <v>1273</v>
      </c>
      <c r="B984" s="91" t="str">
        <f t="shared" si="127"/>
        <v>PD-46-H-N</v>
      </c>
      <c r="C984" s="15" t="s">
        <v>223</v>
      </c>
      <c r="D984" s="18" t="s">
        <v>224</v>
      </c>
      <c r="E984" s="39">
        <v>4980.0</v>
      </c>
      <c r="F984" s="39">
        <v>5490.0</v>
      </c>
      <c r="G984" s="50">
        <f t="shared" si="128"/>
        <v>0.1024096386</v>
      </c>
      <c r="H984" s="28"/>
      <c r="I984" s="55">
        <f t="shared" si="2"/>
        <v>5513.426362</v>
      </c>
      <c r="J984" s="81"/>
      <c r="K984" s="60">
        <f>IFERROR(__xludf.DUMMYFUNCTION("IFERROR(VLOOKUP(C984,IMPORTRANGE(""https://docs.google.com/spreadsheets/d/1HZUHB8NvANAZR0sHDmHYVAm2WE9kNv0pGIQA48Ryim8/edit?gid=1285727875#gid=1285727875"",""Sheet1!A2:G""),7,0))"),1581.59)</f>
        <v>1581.59</v>
      </c>
      <c r="L984" s="62">
        <f t="shared" si="129"/>
        <v>3.148730075</v>
      </c>
      <c r="M984" s="60">
        <f>IFERROR(__xludf.DUMMYFUNCTION("IFERROR(VLOOKUP(C984,IMPORTRANGE(""https://docs.google.com/spreadsheets/d/1HZUHB8NvANAZR0sHDmHYVAm2WE9kNv0pGIQA48Ryim8/edit?gid=1285727875#gid=1285727875"",""Cost!A2:G""),7,0))"),1751.0)</f>
        <v>1751</v>
      </c>
      <c r="N984" s="62">
        <f t="shared" si="4"/>
        <v>3.135351228</v>
      </c>
      <c r="O984" s="28"/>
      <c r="P984" s="28"/>
      <c r="Q984" s="28"/>
      <c r="R984" s="28"/>
      <c r="S984" s="28"/>
      <c r="T984" s="28"/>
      <c r="U984" s="65"/>
      <c r="V984" s="28"/>
      <c r="W984" s="65"/>
      <c r="X984" s="66" t="s">
        <v>223</v>
      </c>
      <c r="Y984" s="65" t="str">
        <f t="shared" si="6"/>
        <v>EUROPA 90PD-46-H-N</v>
      </c>
    </row>
    <row r="985">
      <c r="A985" s="18" t="s">
        <v>1273</v>
      </c>
      <c r="B985" s="91" t="str">
        <f t="shared" si="127"/>
        <v>DB-90-H-N</v>
      </c>
      <c r="C985" s="15" t="s">
        <v>1305</v>
      </c>
      <c r="D985" s="18" t="s">
        <v>217</v>
      </c>
      <c r="E985" s="39">
        <v>2070.0</v>
      </c>
      <c r="F985" s="39">
        <f>F982</f>
        <v>2220</v>
      </c>
      <c r="G985" s="50">
        <f t="shared" si="128"/>
        <v>0.07246376812</v>
      </c>
      <c r="H985" s="28"/>
      <c r="I985" s="55">
        <f t="shared" si="2"/>
        <v>2218.584422</v>
      </c>
      <c r="J985" s="81"/>
      <c r="K985" s="60">
        <f>IFERROR(__xludf.DUMMYFUNCTION("IFERROR(VLOOKUP(C985,IMPORTRANGE(""https://docs.google.com/spreadsheets/d/1HZUHB8NvANAZR0sHDmHYVAm2WE9kNv0pGIQA48Ryim8/edit?gid=1285727875#gid=1285727875"",""Sheet1!A2:G""),7,0))"),579.41)</f>
        <v>579.41</v>
      </c>
      <c r="L985" s="62">
        <f t="shared" si="129"/>
        <v>3.572599714</v>
      </c>
      <c r="M985" s="60">
        <f>IFERROR(__xludf.DUMMYFUNCTION("IFERROR(VLOOKUP(C985,IMPORTRANGE(""https://docs.google.com/spreadsheets/d/1HZUHB8NvANAZR0sHDmHYVAm2WE9kNv0pGIQA48Ryim8/edit?gid=1285727875#gid=1285727875"",""Cost!A2:G""),7,0))"),621.0)</f>
        <v>621</v>
      </c>
      <c r="N985" s="62">
        <f t="shared" si="4"/>
        <v>3.574879227</v>
      </c>
      <c r="O985" s="28"/>
      <c r="P985" s="28"/>
      <c r="Q985" s="28"/>
      <c r="R985" s="28"/>
      <c r="S985" s="28"/>
      <c r="T985" s="28"/>
      <c r="U985" s="65"/>
      <c r="V985" s="28"/>
      <c r="W985" s="65"/>
      <c r="X985" s="66" t="s">
        <v>358</v>
      </c>
      <c r="Y985" s="65" t="str">
        <f t="shared" si="6"/>
        <v>EUROPA 90DB</v>
      </c>
    </row>
    <row r="986">
      <c r="A986" s="18" t="s">
        <v>1273</v>
      </c>
      <c r="B986" s="91" t="str">
        <f t="shared" si="127"/>
        <v>9092-ON-OFF-N</v>
      </c>
      <c r="C986" s="15" t="s">
        <v>1306</v>
      </c>
      <c r="D986" s="18" t="s">
        <v>229</v>
      </c>
      <c r="E986" s="75">
        <f t="shared" ref="E986:F986" si="140">SUM(E987:E988)</f>
        <v>7050</v>
      </c>
      <c r="F986" s="75">
        <f t="shared" si="140"/>
        <v>7710</v>
      </c>
      <c r="G986" s="50">
        <f t="shared" si="128"/>
        <v>0.09361702128</v>
      </c>
      <c r="H986" s="28"/>
      <c r="I986" s="55">
        <f t="shared" si="2"/>
        <v>7705.88646</v>
      </c>
      <c r="J986" s="81"/>
      <c r="K986" s="60">
        <f>IFERROR(__xludf.DUMMYFUNCTION("IFERROR(VLOOKUP(C986,IMPORTRANGE(""https://docs.google.com/spreadsheets/d/1HZUHB8NvANAZR0sHDmHYVAm2WE9kNv0pGIQA48Ryim8/edit?gid=1285727875#gid=1285727875"",""Sheet1!A2:G""),7,0))"),2148.15)</f>
        <v>2148.15</v>
      </c>
      <c r="L986" s="62">
        <f t="shared" si="129"/>
        <v>3.281893723</v>
      </c>
      <c r="M986" s="60">
        <f>IFERROR(__xludf.DUMMYFUNCTION("IFERROR(VLOOKUP(C986,IMPORTRANGE(""https://docs.google.com/spreadsheets/d/1HZUHB8NvANAZR0sHDmHYVAm2WE9kNv0pGIQA48Ryim8/edit?gid=1285727875#gid=1285727875"",""Cost!A2:G""),7,0))"),2348.0)</f>
        <v>2348</v>
      </c>
      <c r="N986" s="62">
        <f t="shared" si="4"/>
        <v>3.283645656</v>
      </c>
      <c r="O986" s="28"/>
      <c r="P986" s="28"/>
      <c r="Q986" s="28"/>
      <c r="R986" s="28"/>
      <c r="S986" s="28"/>
      <c r="T986" s="28"/>
      <c r="U986" s="65"/>
      <c r="V986" s="28"/>
      <c r="W986" s="65"/>
      <c r="X986" s="66" t="s">
        <v>368</v>
      </c>
      <c r="Y986" s="65" t="str">
        <f t="shared" si="6"/>
        <v>EUROPA 9092-ON-OFF</v>
      </c>
    </row>
    <row r="987">
      <c r="A987" s="18" t="s">
        <v>1273</v>
      </c>
      <c r="B987" s="91" t="str">
        <f t="shared" si="127"/>
        <v>PD-46-H-ON-OFF-N</v>
      </c>
      <c r="C987" s="15" t="s">
        <v>234</v>
      </c>
      <c r="D987" s="18" t="s">
        <v>235</v>
      </c>
      <c r="E987" s="39">
        <f>E984-240</f>
        <v>4740</v>
      </c>
      <c r="F987" s="75">
        <f>F984-$X$1</f>
        <v>5250</v>
      </c>
      <c r="G987" s="50">
        <f t="shared" si="128"/>
        <v>0.1075949367</v>
      </c>
      <c r="H987" s="28"/>
      <c r="I987" s="55">
        <f t="shared" si="2"/>
        <v>5306.797906</v>
      </c>
      <c r="J987" s="81"/>
      <c r="K987" s="60">
        <f>IFERROR(__xludf.DUMMYFUNCTION("IFERROR(VLOOKUP(C987,IMPORTRANGE(""https://docs.google.com/spreadsheets/d/1HZUHB8NvANAZR0sHDmHYVAm2WE9kNv0pGIQA48Ryim8/edit?gid=1285727875#gid=1285727875"",""Sheet1!A2:G""),7,0))"),1367.48)</f>
        <v>1367.48</v>
      </c>
      <c r="L987" s="62">
        <f t="shared" si="129"/>
        <v>3.466229853</v>
      </c>
      <c r="M987" s="60">
        <f>IFERROR(__xludf.DUMMYFUNCTION("IFERROR(VLOOKUP(C987,IMPORTRANGE(""https://docs.google.com/spreadsheets/d/1HZUHB8NvANAZR0sHDmHYVAm2WE9kNv0pGIQA48Ryim8/edit?gid=1285727875#gid=1285727875"",""Cost!A2:G""),7,0))"),1531.0)</f>
        <v>1531</v>
      </c>
      <c r="N987" s="62">
        <f t="shared" si="4"/>
        <v>3.429131287</v>
      </c>
      <c r="O987" s="28"/>
      <c r="P987" s="28"/>
      <c r="Q987" s="28"/>
      <c r="R987" s="28"/>
      <c r="S987" s="28"/>
      <c r="T987" s="28"/>
      <c r="U987" s="65"/>
      <c r="V987" s="28"/>
      <c r="W987" s="65"/>
      <c r="X987" s="66" t="s">
        <v>371</v>
      </c>
      <c r="Y987" s="65" t="str">
        <f t="shared" si="6"/>
        <v>EUROPA 90PD-ON-OFF</v>
      </c>
    </row>
    <row r="988">
      <c r="A988" s="18" t="s">
        <v>1273</v>
      </c>
      <c r="B988" s="91" t="str">
        <f t="shared" si="127"/>
        <v>DB-90-H-ON-OFF-N</v>
      </c>
      <c r="C988" s="15" t="s">
        <v>1307</v>
      </c>
      <c r="D988" s="18" t="s">
        <v>217</v>
      </c>
      <c r="E988" s="75">
        <f>E985+240</f>
        <v>2310</v>
      </c>
      <c r="F988" s="75">
        <f>F985+$X$1</f>
        <v>2460</v>
      </c>
      <c r="G988" s="50">
        <f t="shared" si="128"/>
        <v>0.06493506494</v>
      </c>
      <c r="H988" s="28"/>
      <c r="I988" s="55">
        <f t="shared" si="2"/>
        <v>2476.238974</v>
      </c>
      <c r="J988" s="81"/>
      <c r="K988" s="60">
        <f>IFERROR(__xludf.DUMMYFUNCTION("IFERROR(VLOOKUP(C988,IMPORTRANGE(""https://docs.google.com/spreadsheets/d/1HZUHB8NvANAZR0sHDmHYVAm2WE9kNv0pGIQA48Ryim8/edit?gid=1285727875#gid=1285727875"",""Sheet1!A2:G""),7,0))"),579.31)</f>
        <v>579.31</v>
      </c>
      <c r="L988" s="62">
        <f t="shared" si="129"/>
        <v>3.987502374</v>
      </c>
      <c r="M988" s="60">
        <f>IFERROR(__xludf.DUMMYFUNCTION("IFERROR(VLOOKUP(C988,IMPORTRANGE(""https://docs.google.com/spreadsheets/d/1HZUHB8NvANAZR0sHDmHYVAm2WE9kNv0pGIQA48Ryim8/edit?gid=1285727875#gid=1285727875"",""Cost!A2:G""),7,0))"),621.0)</f>
        <v>621</v>
      </c>
      <c r="N988" s="62">
        <f t="shared" si="4"/>
        <v>3.961352657</v>
      </c>
      <c r="O988" s="28"/>
      <c r="P988" s="28"/>
      <c r="Q988" s="28"/>
      <c r="R988" s="28"/>
      <c r="S988" s="28"/>
      <c r="T988" s="28"/>
      <c r="U988" s="65"/>
      <c r="V988" s="28"/>
      <c r="W988" s="65"/>
      <c r="X988" s="66" t="s">
        <v>375</v>
      </c>
      <c r="Y988" s="65" t="str">
        <f t="shared" si="6"/>
        <v>EUROPA 90DB-ON-OFF</v>
      </c>
    </row>
    <row r="989">
      <c r="A989" s="18" t="s">
        <v>1273</v>
      </c>
      <c r="B989" s="91" t="str">
        <f t="shared" si="127"/>
        <v>9093-N</v>
      </c>
      <c r="C989" s="15" t="s">
        <v>1310</v>
      </c>
      <c r="D989" s="18" t="s">
        <v>241</v>
      </c>
      <c r="E989" s="75">
        <f t="shared" ref="E989:F989" si="141">SUM(E990:E991)</f>
        <v>7050</v>
      </c>
      <c r="F989" s="75">
        <f t="shared" si="141"/>
        <v>7710</v>
      </c>
      <c r="G989" s="50">
        <f t="shared" si="128"/>
        <v>0.09361702128</v>
      </c>
      <c r="H989" s="28"/>
      <c r="I989" s="55">
        <f t="shared" si="2"/>
        <v>7619.158812</v>
      </c>
      <c r="J989" s="81"/>
      <c r="K989" s="60">
        <f>IFERROR(__xludf.DUMMYFUNCTION("IFERROR(VLOOKUP(C989,IMPORTRANGE(""https://docs.google.com/spreadsheets/d/1HZUHB8NvANAZR0sHDmHYVAm2WE9kNv0pGIQA48Ryim8/edit?gid=1285727875#gid=1285727875"",""Sheet1!A2:G""),7,0))"),2119.86)</f>
        <v>2119.86</v>
      </c>
      <c r="L989" s="62">
        <f t="shared" si="129"/>
        <v>3.325691319</v>
      </c>
      <c r="M989" s="60">
        <f>IFERROR(__xludf.DUMMYFUNCTION("IFERROR(VLOOKUP(C989,IMPORTRANGE(""https://docs.google.com/spreadsheets/d/1HZUHB8NvANAZR0sHDmHYVAm2WE9kNv0pGIQA48Ryim8/edit?gid=1285727875#gid=1285727875"",""Cost!A2:G""),7,0))"),2291.0)</f>
        <v>2291</v>
      </c>
      <c r="N989" s="62">
        <f t="shared" si="4"/>
        <v>3.365342645</v>
      </c>
      <c r="O989" s="28"/>
      <c r="P989" s="28"/>
      <c r="Q989" s="28"/>
      <c r="R989" s="28"/>
      <c r="S989" s="28"/>
      <c r="T989" s="28"/>
      <c r="U989" s="65"/>
      <c r="V989" s="28"/>
      <c r="W989" s="65"/>
      <c r="X989" s="66" t="s">
        <v>239</v>
      </c>
      <c r="Y989" s="65" t="str">
        <f t="shared" si="6"/>
        <v>EUROPA 9093</v>
      </c>
    </row>
    <row r="990">
      <c r="A990" s="18" t="s">
        <v>1273</v>
      </c>
      <c r="B990" s="91" t="str">
        <f t="shared" si="127"/>
        <v>PD-3 IN-N</v>
      </c>
      <c r="C990" s="15" t="s">
        <v>243</v>
      </c>
      <c r="D990" s="18" t="s">
        <v>244</v>
      </c>
      <c r="E990" s="39">
        <v>4980.0</v>
      </c>
      <c r="F990" s="39">
        <v>5490.0</v>
      </c>
      <c r="G990" s="50">
        <f t="shared" si="128"/>
        <v>0.1024096386</v>
      </c>
      <c r="H990" s="28"/>
      <c r="I990" s="55">
        <f t="shared" si="2"/>
        <v>5395.785272</v>
      </c>
      <c r="J990" s="81"/>
      <c r="K990" s="60">
        <f>IFERROR(__xludf.DUMMYFUNCTION("IFERROR(VLOOKUP(C990,IMPORTRANGE(""https://docs.google.com/spreadsheets/d/1HZUHB8NvANAZR0sHDmHYVAm2WE9kNv0pGIQA48Ryim8/edit?gid=1285727875#gid=1285727875"",""Sheet1!A2:G""),7,0))"),1543.16)</f>
        <v>1543.16</v>
      </c>
      <c r="L990" s="62">
        <f t="shared" si="129"/>
        <v>3.227144301</v>
      </c>
      <c r="M990" s="60">
        <f>IFERROR(__xludf.DUMMYFUNCTION("IFERROR(VLOOKUP(C990,IMPORTRANGE(""https://docs.google.com/spreadsheets/d/1HZUHB8NvANAZR0sHDmHYVAm2WE9kNv0pGIQA48Ryim8/edit?gid=1285727875#gid=1285727875"",""Cost!A2:G""),7,0))"),1672.0)</f>
        <v>1672</v>
      </c>
      <c r="N990" s="62">
        <f t="shared" si="4"/>
        <v>3.283492823</v>
      </c>
      <c r="O990" s="28"/>
      <c r="P990" s="28"/>
      <c r="Q990" s="28"/>
      <c r="R990" s="28"/>
      <c r="S990" s="28"/>
      <c r="T990" s="28"/>
      <c r="U990" s="65"/>
      <c r="V990" s="28"/>
      <c r="W990" s="65"/>
      <c r="X990" s="66" t="s">
        <v>243</v>
      </c>
      <c r="Y990" s="65" t="str">
        <f t="shared" si="6"/>
        <v>EUROPA 90PD-3 IN-N</v>
      </c>
    </row>
    <row r="991">
      <c r="A991" s="18" t="s">
        <v>1273</v>
      </c>
      <c r="B991" s="91" t="str">
        <f t="shared" si="127"/>
        <v>DB-90-3 IN-N</v>
      </c>
      <c r="C991" s="15" t="s">
        <v>1308</v>
      </c>
      <c r="D991" s="18" t="s">
        <v>217</v>
      </c>
      <c r="E991" s="39">
        <v>2070.0</v>
      </c>
      <c r="F991" s="39">
        <f>F982</f>
        <v>2220</v>
      </c>
      <c r="G991" s="50">
        <f t="shared" si="128"/>
        <v>0.07246376812</v>
      </c>
      <c r="H991" s="28"/>
      <c r="I991" s="55">
        <f t="shared" si="2"/>
        <v>2218.967392</v>
      </c>
      <c r="J991" s="81"/>
      <c r="K991" s="60">
        <f>IFERROR(__xludf.DUMMYFUNCTION("IFERROR(VLOOKUP(C991,IMPORTRANGE(""https://docs.google.com/spreadsheets/d/1HZUHB8NvANAZR0sHDmHYVAm2WE9kNv0pGIQA48Ryim8/edit?gid=1285727875#gid=1285727875"",""Sheet1!A2:G""),7,0))"),579.31)</f>
        <v>579.31</v>
      </c>
      <c r="L991" s="62">
        <f t="shared" si="129"/>
        <v>3.573216413</v>
      </c>
      <c r="M991" s="60">
        <f>IFERROR(__xludf.DUMMYFUNCTION("IFERROR(VLOOKUP(C991,IMPORTRANGE(""https://docs.google.com/spreadsheets/d/1HZUHB8NvANAZR0sHDmHYVAm2WE9kNv0pGIQA48Ryim8/edit?gid=1285727875#gid=1285727875"",""Cost!A2:G""),7,0))"),621.0)</f>
        <v>621</v>
      </c>
      <c r="N991" s="62">
        <f t="shared" si="4"/>
        <v>3.574879227</v>
      </c>
      <c r="O991" s="28"/>
      <c r="P991" s="28"/>
      <c r="Q991" s="28"/>
      <c r="R991" s="28"/>
      <c r="S991" s="28"/>
      <c r="T991" s="28"/>
      <c r="U991" s="65"/>
      <c r="V991" s="28"/>
      <c r="W991" s="65"/>
      <c r="X991" s="66" t="s">
        <v>358</v>
      </c>
      <c r="Y991" s="65" t="str">
        <f t="shared" si="6"/>
        <v>EUROPA 90DB</v>
      </c>
    </row>
    <row r="992">
      <c r="A992" s="18" t="s">
        <v>1273</v>
      </c>
      <c r="B992" s="91" t="str">
        <f t="shared" si="127"/>
        <v>9093-ON-OFF-N</v>
      </c>
      <c r="C992" s="15" t="s">
        <v>1313</v>
      </c>
      <c r="D992" s="18" t="s">
        <v>250</v>
      </c>
      <c r="E992" s="75">
        <f t="shared" ref="E992:F992" si="142">SUM(E993:E994)</f>
        <v>7050</v>
      </c>
      <c r="F992" s="75">
        <f t="shared" si="142"/>
        <v>7710</v>
      </c>
      <c r="G992" s="50">
        <f t="shared" si="128"/>
        <v>0.09361702128</v>
      </c>
      <c r="H992" s="28"/>
      <c r="I992" s="55">
        <f t="shared" si="2"/>
        <v>7710.55267</v>
      </c>
      <c r="J992" s="81"/>
      <c r="K992" s="60">
        <f>IFERROR(__xludf.DUMMYFUNCTION("IFERROR(VLOOKUP(C992,IMPORTRANGE(""https://docs.google.com/spreadsheets/d/1HZUHB8NvANAZR0sHDmHYVAm2WE9kNv0pGIQA48Ryim8/edit?gid=1285727875#gid=1285727875"",""Sheet1!A2:G""),7,0))"),2146.85)</f>
        <v>2146.85</v>
      </c>
      <c r="L992" s="62">
        <f t="shared" si="129"/>
        <v>3.283881035</v>
      </c>
      <c r="M992" s="60">
        <f>IFERROR(__xludf.DUMMYFUNCTION("IFERROR(VLOOKUP(C992,IMPORTRANGE(""https://docs.google.com/spreadsheets/d/1HZUHB8NvANAZR0sHDmHYVAm2WE9kNv0pGIQA48Ryim8/edit?gid=1285727875#gid=1285727875"",""Cost!A2:G""),7,0))"),2348.0)</f>
        <v>2348</v>
      </c>
      <c r="N992" s="62">
        <f t="shared" si="4"/>
        <v>3.283645656</v>
      </c>
      <c r="O992" s="28"/>
      <c r="P992" s="28"/>
      <c r="Q992" s="28"/>
      <c r="R992" s="28"/>
      <c r="S992" s="28"/>
      <c r="T992" s="28"/>
      <c r="U992" s="65"/>
      <c r="V992" s="28"/>
      <c r="W992" s="65"/>
      <c r="X992" s="66" t="s">
        <v>410</v>
      </c>
      <c r="Y992" s="65" t="str">
        <f t="shared" si="6"/>
        <v>EUROPA 9093-ON-OFF</v>
      </c>
    </row>
    <row r="993">
      <c r="A993" s="18" t="s">
        <v>1273</v>
      </c>
      <c r="B993" s="91" t="str">
        <f t="shared" si="127"/>
        <v>PD-3 IN-ON-OFF-N</v>
      </c>
      <c r="C993" s="15" t="s">
        <v>253</v>
      </c>
      <c r="D993" s="18" t="s">
        <v>256</v>
      </c>
      <c r="E993" s="39">
        <f>E990-240</f>
        <v>4740</v>
      </c>
      <c r="F993" s="39">
        <f>F990-$X$1</f>
        <v>5250</v>
      </c>
      <c r="G993" s="50">
        <f t="shared" si="128"/>
        <v>0.1075949367</v>
      </c>
      <c r="H993" s="28"/>
      <c r="I993" s="55">
        <f t="shared" si="2"/>
        <v>5217.019108</v>
      </c>
      <c r="J993" s="81"/>
      <c r="K993" s="60">
        <f>IFERROR(__xludf.DUMMYFUNCTION("IFERROR(VLOOKUP(C993,IMPORTRANGE(""https://docs.google.com/spreadsheets/d/1HZUHB8NvANAZR0sHDmHYVAm2WE9kNv0pGIQA48Ryim8/edit?gid=1285727875#gid=1285727875"",""Sheet1!A2:G""),7,0))"),1570.0)</f>
        <v>1570</v>
      </c>
      <c r="L993" s="62">
        <f t="shared" si="129"/>
        <v>3.01910828</v>
      </c>
      <c r="M993" s="60">
        <f>IFERROR(__xludf.DUMMYFUNCTION("IFERROR(VLOOKUP(C993,IMPORTRANGE(""https://docs.google.com/spreadsheets/d/1HZUHB8NvANAZR0sHDmHYVAm2WE9kNv0pGIQA48Ryim8/edit?gid=1285727875#gid=1285727875"",""Cost!A2:G""),7,0))"),1728.0)</f>
        <v>1728</v>
      </c>
      <c r="N993" s="62">
        <f t="shared" si="4"/>
        <v>3.038194444</v>
      </c>
      <c r="O993" s="28"/>
      <c r="P993" s="28"/>
      <c r="Q993" s="28"/>
      <c r="R993" s="28"/>
      <c r="S993" s="28"/>
      <c r="T993" s="28"/>
      <c r="U993" s="65"/>
      <c r="V993" s="28"/>
      <c r="W993" s="65"/>
      <c r="X993" s="66" t="s">
        <v>371</v>
      </c>
      <c r="Y993" s="65" t="str">
        <f t="shared" si="6"/>
        <v>EUROPA 90PD-ON-OFF</v>
      </c>
    </row>
    <row r="994">
      <c r="A994" s="18" t="s">
        <v>1273</v>
      </c>
      <c r="B994" s="91" t="str">
        <f t="shared" si="127"/>
        <v>DB-90-3 IN-ON-OFF-N</v>
      </c>
      <c r="C994" s="15" t="s">
        <v>1309</v>
      </c>
      <c r="D994" s="18" t="s">
        <v>217</v>
      </c>
      <c r="E994" s="75">
        <f>E991+240</f>
        <v>2310</v>
      </c>
      <c r="F994" s="75">
        <f>F991+$X$1</f>
        <v>2460</v>
      </c>
      <c r="G994" s="50">
        <f t="shared" si="128"/>
        <v>0.06493506494</v>
      </c>
      <c r="H994" s="28"/>
      <c r="I994" s="55">
        <f t="shared" si="2"/>
        <v>2476.238974</v>
      </c>
      <c r="J994" s="81"/>
      <c r="K994" s="60">
        <f>IFERROR(__xludf.DUMMYFUNCTION("IFERROR(VLOOKUP(C994,IMPORTRANGE(""https://docs.google.com/spreadsheets/d/1HZUHB8NvANAZR0sHDmHYVAm2WE9kNv0pGIQA48Ryim8/edit?gid=1285727875#gid=1285727875"",""Sheet1!A2:G""),7,0))"),579.31)</f>
        <v>579.31</v>
      </c>
      <c r="L994" s="62">
        <f t="shared" si="129"/>
        <v>3.987502374</v>
      </c>
      <c r="M994" s="60">
        <f>IFERROR(__xludf.DUMMYFUNCTION("IFERROR(VLOOKUP(C994,IMPORTRANGE(""https://docs.google.com/spreadsheets/d/1HZUHB8NvANAZR0sHDmHYVAm2WE9kNv0pGIQA48Ryim8/edit?gid=1285727875#gid=1285727875"",""Cost!A2:G""),7,0))"),621.0)</f>
        <v>621</v>
      </c>
      <c r="N994" s="62">
        <f t="shared" si="4"/>
        <v>3.961352657</v>
      </c>
      <c r="O994" s="28"/>
      <c r="P994" s="28"/>
      <c r="Q994" s="28"/>
      <c r="R994" s="28"/>
      <c r="S994" s="28"/>
      <c r="T994" s="28"/>
      <c r="U994" s="65"/>
      <c r="V994" s="28"/>
      <c r="W994" s="65"/>
      <c r="X994" s="66" t="s">
        <v>375</v>
      </c>
      <c r="Y994" s="65" t="str">
        <f t="shared" si="6"/>
        <v>EUROPA 90DB-ON-OFF</v>
      </c>
    </row>
    <row r="995">
      <c r="A995" s="18" t="s">
        <v>1273</v>
      </c>
      <c r="B995" s="91">
        <f t="shared" si="127"/>
        <v>9095</v>
      </c>
      <c r="C995" s="15">
        <v>9095.0</v>
      </c>
      <c r="D995" s="18" t="s">
        <v>265</v>
      </c>
      <c r="E995" s="39">
        <v>1490.0</v>
      </c>
      <c r="F995" s="39">
        <v>1650.0</v>
      </c>
      <c r="G995" s="50">
        <f t="shared" si="128"/>
        <v>0.1073825503</v>
      </c>
      <c r="H995" s="28"/>
      <c r="I995" s="55">
        <f t="shared" si="2"/>
        <v>1651.185377</v>
      </c>
      <c r="J995" s="81"/>
      <c r="K995" s="60">
        <f>IFERROR(__xludf.DUMMYFUNCTION("IFERROR(VLOOKUP(C995,IMPORTRANGE(""https://docs.google.com/spreadsheets/d/1HZUHB8NvANAZR0sHDmHYVAm2WE9kNv0pGIQA48Ryim8/edit?gid=1285727875#gid=1285727875"",""Sheet1!A2:G""),7,0))"),401.56)</f>
        <v>401.56</v>
      </c>
      <c r="L995" s="62">
        <f t="shared" si="129"/>
        <v>3.710528937</v>
      </c>
      <c r="M995" s="60">
        <f>IFERROR(__xludf.DUMMYFUNCTION("IFERROR(VLOOKUP(C995,IMPORTRANGE(""https://docs.google.com/spreadsheets/d/1HZUHB8NvANAZR0sHDmHYVAm2WE9kNv0pGIQA48Ryim8/edit?gid=1285727875#gid=1285727875"",""Cost!A2:G""),7,0))"),445.0)</f>
        <v>445</v>
      </c>
      <c r="N995" s="62">
        <f t="shared" si="4"/>
        <v>3.707865169</v>
      </c>
      <c r="O995" s="28"/>
      <c r="P995" s="28"/>
      <c r="Q995" s="28"/>
      <c r="R995" s="28"/>
      <c r="S995" s="28"/>
      <c r="T995" s="28"/>
      <c r="U995" s="65"/>
      <c r="V995" s="28"/>
      <c r="W995" s="65"/>
      <c r="X995" s="66" t="s">
        <v>264</v>
      </c>
      <c r="Y995" s="65" t="str">
        <f t="shared" si="6"/>
        <v>EUROPA 9095</v>
      </c>
    </row>
    <row r="996">
      <c r="A996" s="18" t="s">
        <v>1273</v>
      </c>
      <c r="B996" s="91">
        <f t="shared" si="127"/>
        <v>9096</v>
      </c>
      <c r="C996" s="15">
        <v>9096.0</v>
      </c>
      <c r="D996" s="18" t="s">
        <v>268</v>
      </c>
      <c r="E996" s="75">
        <v>2120.0</v>
      </c>
      <c r="F996" s="39">
        <v>2340.0</v>
      </c>
      <c r="G996" s="50">
        <f t="shared" si="128"/>
        <v>0.1037735849</v>
      </c>
      <c r="H996" s="28"/>
      <c r="I996" s="55">
        <f t="shared" si="2"/>
        <v>2339.796923</v>
      </c>
      <c r="J996" s="81"/>
      <c r="K996" s="60">
        <f>IFERROR(__xludf.DUMMYFUNCTION("IFERROR(VLOOKUP(C996,IMPORTRANGE(""https://docs.google.com/spreadsheets/d/1HZUHB8NvANAZR0sHDmHYVAm2WE9kNv0pGIQA48Ryim8/edit?gid=1285727875#gid=1285727875"",""Sheet1!A2:G""),7,0))"),588.94)</f>
        <v>588.94</v>
      </c>
      <c r="L996" s="62">
        <f t="shared" si="129"/>
        <v>3.599687574</v>
      </c>
      <c r="M996" s="60">
        <f>IFERROR(__xludf.DUMMYFUNCTION("IFERROR(VLOOKUP(C996,IMPORTRANGE(""https://docs.google.com/spreadsheets/d/1HZUHB8NvANAZR0sHDmHYVAm2WE9kNv0pGIQA48Ryim8/edit?gid=1285727875#gid=1285727875"",""Cost!A2:G""),7,0))"),650.0)</f>
        <v>650</v>
      </c>
      <c r="N996" s="62">
        <f t="shared" si="4"/>
        <v>3.6</v>
      </c>
      <c r="O996" s="28"/>
      <c r="P996" s="28"/>
      <c r="Q996" s="28"/>
      <c r="R996" s="28"/>
      <c r="S996" s="28"/>
      <c r="T996" s="28"/>
      <c r="U996" s="65"/>
      <c r="V996" s="28"/>
      <c r="W996" s="65"/>
      <c r="X996" s="66" t="s">
        <v>267</v>
      </c>
      <c r="Y996" s="65" t="str">
        <f t="shared" si="6"/>
        <v>EUROPA 9096</v>
      </c>
    </row>
    <row r="997">
      <c r="A997" s="18" t="s">
        <v>1273</v>
      </c>
      <c r="B997" s="91">
        <f t="shared" si="127"/>
        <v>9098</v>
      </c>
      <c r="C997" s="15">
        <v>9098.0</v>
      </c>
      <c r="D997" s="18" t="s">
        <v>272</v>
      </c>
      <c r="E997" s="39">
        <v>3380.0</v>
      </c>
      <c r="F997" s="39">
        <v>3650.0</v>
      </c>
      <c r="G997" s="50">
        <f t="shared" si="128"/>
        <v>0.0798816568</v>
      </c>
      <c r="H997" s="28"/>
      <c r="I997" s="55">
        <f t="shared" si="2"/>
        <v>3648.876818</v>
      </c>
      <c r="J997" s="81"/>
      <c r="K997" s="60">
        <f>IFERROR(__xludf.DUMMYFUNCTION("IFERROR(VLOOKUP(C997,IMPORTRANGE(""https://docs.google.com/spreadsheets/d/1HZUHB8NvANAZR0sHDmHYVAm2WE9kNv0pGIQA48Ryim8/edit?gid=1285727875#gid=1285727875"",""Sheet1!A2:G""),7,0))"),1019.87)</f>
        <v>1019.87</v>
      </c>
      <c r="L997" s="62">
        <f t="shared" si="129"/>
        <v>3.314147882</v>
      </c>
      <c r="M997" s="60">
        <f>IFERROR(__xludf.DUMMYFUNCTION("IFERROR(VLOOKUP(C997,IMPORTRANGE(""https://docs.google.com/spreadsheets/d/1HZUHB8NvANAZR0sHDmHYVAm2WE9kNv0pGIQA48Ryim8/edit?gid=1285727875#gid=1285727875"",""Cost!A2:G""),7,0))"),1101.0)</f>
        <v>1101</v>
      </c>
      <c r="N997" s="62">
        <f t="shared" si="4"/>
        <v>3.315168029</v>
      </c>
      <c r="O997" s="28"/>
      <c r="P997" s="28"/>
      <c r="Q997" s="28"/>
      <c r="R997" s="28"/>
      <c r="S997" s="28"/>
      <c r="T997" s="28"/>
      <c r="U997" s="65"/>
      <c r="V997" s="28"/>
      <c r="W997" s="65"/>
      <c r="X997" s="66" t="s">
        <v>271</v>
      </c>
      <c r="Y997" s="65" t="str">
        <f t="shared" si="6"/>
        <v>EUROPA 9098</v>
      </c>
    </row>
    <row r="998">
      <c r="A998" s="18" t="s">
        <v>1275</v>
      </c>
      <c r="B998" s="91">
        <f t="shared" si="127"/>
        <v>9302</v>
      </c>
      <c r="C998" s="15">
        <v>9302.0</v>
      </c>
      <c r="D998" s="18" t="s">
        <v>15</v>
      </c>
      <c r="E998" s="39">
        <v>2490.0</v>
      </c>
      <c r="F998" s="39">
        <v>2770.0</v>
      </c>
      <c r="G998" s="50">
        <f t="shared" si="128"/>
        <v>0.1124497992</v>
      </c>
      <c r="H998" s="28"/>
      <c r="I998" s="55">
        <f t="shared" si="2"/>
        <v>2771.559667</v>
      </c>
      <c r="J998" s="81"/>
      <c r="K998" s="60">
        <f>IFERROR(__xludf.DUMMYFUNCTION("IFERROR(VLOOKUP(C998,IMPORTRANGE(""https://docs.google.com/spreadsheets/d/1HZUHB8NvANAZR0sHDmHYVAm2WE9kNv0pGIQA48Ryim8/edit?gid=1285727875#gid=1285727875"",""Sheet1!A2:G""),7,0))"),808.57)</f>
        <v>808.57</v>
      </c>
      <c r="L998" s="62">
        <f t="shared" si="129"/>
        <v>3.079510741</v>
      </c>
      <c r="M998" s="60">
        <f>IFERROR(__xludf.DUMMYFUNCTION("IFERROR(VLOOKUP(C998,IMPORTRANGE(""https://docs.google.com/spreadsheets/d/1HZUHB8NvANAZR0sHDmHYVAm2WE9kNv0pGIQA48Ryim8/edit?gid=1285727875#gid=1285727875"",""Cost!A2:G""),7,0))"),900.0)</f>
        <v>900</v>
      </c>
      <c r="N998" s="62">
        <f t="shared" si="4"/>
        <v>3.077777778</v>
      </c>
      <c r="O998" s="28"/>
      <c r="P998" s="28"/>
      <c r="Q998" s="28"/>
      <c r="R998" s="28"/>
      <c r="S998" s="28"/>
      <c r="T998" s="28"/>
      <c r="U998" s="65"/>
      <c r="V998" s="28"/>
      <c r="W998" s="65"/>
      <c r="X998" s="66" t="s">
        <v>303</v>
      </c>
      <c r="Y998" s="65" t="str">
        <f t="shared" si="6"/>
        <v>LAGUNA 9302</v>
      </c>
    </row>
    <row r="999">
      <c r="A999" s="18" t="s">
        <v>1275</v>
      </c>
      <c r="B999" s="91">
        <f t="shared" si="127"/>
        <v>9306</v>
      </c>
      <c r="C999" s="15">
        <v>9306.0</v>
      </c>
      <c r="D999" s="18" t="s">
        <v>67</v>
      </c>
      <c r="E999" s="39">
        <v>2090.0</v>
      </c>
      <c r="F999" s="39">
        <v>2320.0</v>
      </c>
      <c r="G999" s="50">
        <f t="shared" si="128"/>
        <v>0.1100478469</v>
      </c>
      <c r="H999" s="28"/>
      <c r="I999" s="55">
        <f t="shared" si="2"/>
        <v>2323.248911</v>
      </c>
      <c r="J999" s="81"/>
      <c r="K999" s="60">
        <f>IFERROR(__xludf.DUMMYFUNCTION("IFERROR(VLOOKUP(C999,IMPORTRANGE(""https://docs.google.com/spreadsheets/d/1HZUHB8NvANAZR0sHDmHYVAm2WE9kNv0pGIQA48Ryim8/edit?gid=1285727875#gid=1285727875"",""Sheet1!A2:G""),7,0))"),633.32)</f>
        <v>633.32</v>
      </c>
      <c r="L999" s="62">
        <f t="shared" si="129"/>
        <v>3.300069475</v>
      </c>
      <c r="M999" s="60">
        <f>IFERROR(__xludf.DUMMYFUNCTION("IFERROR(VLOOKUP(C999,IMPORTRANGE(""https://docs.google.com/spreadsheets/d/1HZUHB8NvANAZR0sHDmHYVAm2WE9kNv0pGIQA48Ryim8/edit?gid=1285727875#gid=1285727875"",""Cost!A2:G""),7,0))"),704.0)</f>
        <v>704</v>
      </c>
      <c r="N999" s="62">
        <f t="shared" si="4"/>
        <v>3.295454545</v>
      </c>
      <c r="O999" s="28"/>
      <c r="P999" s="28"/>
      <c r="Q999" s="28"/>
      <c r="R999" s="28"/>
      <c r="S999" s="28"/>
      <c r="T999" s="28"/>
      <c r="U999" s="65"/>
      <c r="V999" s="28"/>
      <c r="W999" s="65"/>
      <c r="X999" s="66" t="s">
        <v>311</v>
      </c>
      <c r="Y999" s="65" t="str">
        <f t="shared" si="6"/>
        <v>LAGUNA 9306</v>
      </c>
    </row>
    <row r="1000">
      <c r="A1000" s="18" t="s">
        <v>1275</v>
      </c>
      <c r="B1000" s="91">
        <f t="shared" si="127"/>
        <v>9308</v>
      </c>
      <c r="C1000" s="15">
        <v>9308.0</v>
      </c>
      <c r="D1000" s="18" t="s">
        <v>81</v>
      </c>
      <c r="E1000" s="39">
        <v>2390.0</v>
      </c>
      <c r="F1000" s="39">
        <v>2650.0</v>
      </c>
      <c r="G1000" s="50">
        <f t="shared" si="128"/>
        <v>0.1087866109</v>
      </c>
      <c r="H1000" s="28"/>
      <c r="I1000" s="55">
        <f t="shared" si="2"/>
        <v>2652.955852</v>
      </c>
      <c r="J1000" s="81"/>
      <c r="K1000" s="60">
        <f>IFERROR(__xludf.DUMMYFUNCTION("IFERROR(VLOOKUP(C1000,IMPORTRANGE(""https://docs.google.com/spreadsheets/d/1HZUHB8NvANAZR0sHDmHYVAm2WE9kNv0pGIQA48Ryim8/edit?gid=1285727875#gid=1285727875"",""Sheet1!A2:G""),7,0))"),633.32)</f>
        <v>633.32</v>
      </c>
      <c r="L1000" s="62">
        <f t="shared" si="129"/>
        <v>3.773763658</v>
      </c>
      <c r="M1000" s="60">
        <f>IFERROR(__xludf.DUMMYFUNCTION("IFERROR(VLOOKUP(C1000,IMPORTRANGE(""https://docs.google.com/spreadsheets/d/1HZUHB8NvANAZR0sHDmHYVAm2WE9kNv0pGIQA48Ryim8/edit?gid=1285727875#gid=1285727875"",""Cost!A2:G""),7,0))"),703.0)</f>
        <v>703</v>
      </c>
      <c r="N1000" s="62">
        <f t="shared" si="4"/>
        <v>3.769559033</v>
      </c>
      <c r="O1000" s="28"/>
      <c r="P1000" s="28"/>
      <c r="Q1000" s="28"/>
      <c r="R1000" s="28"/>
      <c r="S1000" s="28"/>
      <c r="T1000" s="28"/>
      <c r="U1000" s="65"/>
      <c r="V1000" s="28"/>
      <c r="W1000" s="65"/>
      <c r="X1000" s="66" t="s">
        <v>321</v>
      </c>
      <c r="Y1000" s="65" t="str">
        <f t="shared" si="6"/>
        <v>LAGUNA 9308</v>
      </c>
    </row>
    <row r="1001">
      <c r="A1001" s="18" t="s">
        <v>1275</v>
      </c>
      <c r="B1001" s="91">
        <f t="shared" si="127"/>
        <v>9310</v>
      </c>
      <c r="C1001" s="15">
        <v>9310.0</v>
      </c>
      <c r="D1001" s="18" t="s">
        <v>89</v>
      </c>
      <c r="E1001" s="39">
        <v>1790.0</v>
      </c>
      <c r="F1001" s="39">
        <v>1980.0</v>
      </c>
      <c r="G1001" s="50">
        <f t="shared" si="128"/>
        <v>0.1061452514</v>
      </c>
      <c r="H1001" s="28"/>
      <c r="I1001" s="55">
        <f t="shared" si="2"/>
        <v>2078.770987</v>
      </c>
      <c r="J1001" s="81"/>
      <c r="K1001" s="60">
        <f>IFERROR(__xludf.DUMMYFUNCTION("IFERROR(VLOOKUP(C1001,IMPORTRANGE(""https://docs.google.com/spreadsheets/d/1HZUHB8NvANAZR0sHDmHYVAm2WE9kNv0pGIQA48Ryim8/edit?gid=1285727875#gid=1285727875"",""Sheet1!A2:G""),7,0))"),452.07)</f>
        <v>452.07</v>
      </c>
      <c r="L1001" s="62">
        <f t="shared" si="129"/>
        <v>3.959563784</v>
      </c>
      <c r="M1001" s="60">
        <f>IFERROR(__xludf.DUMMYFUNCTION("IFERROR(VLOOKUP(C1001,IMPORTRANGE(""https://docs.google.com/spreadsheets/d/1HZUHB8NvANAZR0sHDmHYVAm2WE9kNv0pGIQA48Ryim8/edit?gid=1285727875#gid=1285727875"",""Cost!A2:G""),7,0))"),525.0)</f>
        <v>525</v>
      </c>
      <c r="N1001" s="62">
        <f t="shared" si="4"/>
        <v>3.771428571</v>
      </c>
      <c r="O1001" s="28"/>
      <c r="P1001" s="28"/>
      <c r="Q1001" s="28"/>
      <c r="R1001" s="28"/>
      <c r="S1001" s="28"/>
      <c r="T1001" s="28"/>
      <c r="U1001" s="65"/>
      <c r="V1001" s="28"/>
      <c r="W1001" s="65"/>
      <c r="X1001" s="66" t="s">
        <v>87</v>
      </c>
      <c r="Y1001" s="65" t="str">
        <f t="shared" si="6"/>
        <v>LAGUNA 9310</v>
      </c>
    </row>
    <row r="1002">
      <c r="A1002" s="18" t="s">
        <v>1275</v>
      </c>
      <c r="B1002" s="91">
        <f t="shared" si="127"/>
        <v>9311</v>
      </c>
      <c r="C1002" s="15">
        <v>9311.0</v>
      </c>
      <c r="D1002" s="18" t="s">
        <v>94</v>
      </c>
      <c r="E1002" s="75">
        <v>2850.0</v>
      </c>
      <c r="F1002" s="39">
        <v>3080.0</v>
      </c>
      <c r="G1002" s="50">
        <f t="shared" si="128"/>
        <v>0.08070175439</v>
      </c>
      <c r="H1002" s="28"/>
      <c r="I1002" s="55">
        <f t="shared" si="2"/>
        <v>3200.575426</v>
      </c>
      <c r="J1002" s="81"/>
      <c r="K1002" s="60">
        <f>IFERROR(__xludf.DUMMYFUNCTION("IFERROR(VLOOKUP(C1002,IMPORTRANGE(""https://docs.google.com/spreadsheets/d/1HZUHB8NvANAZR0sHDmHYVAm2WE9kNv0pGIQA48Ryim8/edit?gid=1285727875#gid=1285727875"",""Sheet1!A2:G""),7,0))"),861.97)</f>
        <v>861.97</v>
      </c>
      <c r="L1002" s="62">
        <f t="shared" si="129"/>
        <v>3.306379572</v>
      </c>
      <c r="M1002" s="60">
        <f>IFERROR(__xludf.DUMMYFUNCTION("IFERROR(VLOOKUP(C1002,IMPORTRANGE(""https://docs.google.com/spreadsheets/d/1HZUHB8NvANAZR0sHDmHYVAm2WE9kNv0pGIQA48Ryim8/edit?gid=1285727875#gid=1285727875"",""Cost!A2:G""),7,0))"),968.0)</f>
        <v>968</v>
      </c>
      <c r="N1002" s="62">
        <f t="shared" si="4"/>
        <v>3.181818182</v>
      </c>
      <c r="O1002" s="28"/>
      <c r="P1002" s="28"/>
      <c r="Q1002" s="28"/>
      <c r="R1002" s="28"/>
      <c r="S1002" s="28"/>
      <c r="T1002" s="28"/>
      <c r="U1002" s="65"/>
      <c r="V1002" s="28"/>
      <c r="W1002" s="65"/>
      <c r="X1002" s="66" t="s">
        <v>91</v>
      </c>
      <c r="Y1002" s="65" t="str">
        <f t="shared" si="6"/>
        <v>LAGUNA 9311</v>
      </c>
    </row>
    <row r="1003">
      <c r="A1003" s="18" t="s">
        <v>1275</v>
      </c>
      <c r="B1003" s="91">
        <f t="shared" si="127"/>
        <v>9312</v>
      </c>
      <c r="C1003" s="15">
        <v>9312.0</v>
      </c>
      <c r="D1003" s="18" t="s">
        <v>97</v>
      </c>
      <c r="E1003" s="39">
        <v>3280.0</v>
      </c>
      <c r="F1003" s="39">
        <v>3540.0</v>
      </c>
      <c r="G1003" s="50">
        <f t="shared" si="128"/>
        <v>0.07926829268</v>
      </c>
      <c r="H1003" s="28"/>
      <c r="I1003" s="55">
        <f t="shared" si="2"/>
        <v>3679.086802</v>
      </c>
      <c r="J1003" s="81"/>
      <c r="K1003" s="60">
        <f>IFERROR(__xludf.DUMMYFUNCTION("IFERROR(VLOOKUP(C1003,IMPORTRANGE(""https://docs.google.com/spreadsheets/d/1HZUHB8NvANAZR0sHDmHYVAm2WE9kNv0pGIQA48Ryim8/edit?gid=1285727875#gid=1285727875"",""Sheet1!A2:G""),7,0))"),958.39)</f>
        <v>958.39</v>
      </c>
      <c r="L1003" s="62">
        <f t="shared" si="129"/>
        <v>3.422406327</v>
      </c>
      <c r="M1003" s="60">
        <f>IFERROR(__xludf.DUMMYFUNCTION("IFERROR(VLOOKUP(C1003,IMPORTRANGE(""https://docs.google.com/spreadsheets/d/1HZUHB8NvANAZR0sHDmHYVAm2WE9kNv0pGIQA48Ryim8/edit?gid=1285727875#gid=1285727875"",""Cost!A2:G""),7,0))"),1075.0)</f>
        <v>1075</v>
      </c>
      <c r="N1003" s="62">
        <f t="shared" si="4"/>
        <v>3.293023256</v>
      </c>
      <c r="O1003" s="28"/>
      <c r="P1003" s="28"/>
      <c r="Q1003" s="28"/>
      <c r="R1003" s="28"/>
      <c r="S1003" s="28"/>
      <c r="T1003" s="28"/>
      <c r="U1003" s="65"/>
      <c r="V1003" s="28"/>
      <c r="W1003" s="65"/>
      <c r="X1003" s="66" t="s">
        <v>95</v>
      </c>
      <c r="Y1003" s="65" t="str">
        <f t="shared" si="6"/>
        <v>LAGUNA 9312</v>
      </c>
    </row>
    <row r="1004">
      <c r="A1004" s="18" t="s">
        <v>1275</v>
      </c>
      <c r="B1004" s="91">
        <f t="shared" si="127"/>
        <v>9313</v>
      </c>
      <c r="C1004" s="15">
        <v>9313.0</v>
      </c>
      <c r="D1004" s="18" t="s">
        <v>101</v>
      </c>
      <c r="E1004" s="39">
        <v>2580.0</v>
      </c>
      <c r="F1004" s="39">
        <v>2720.0</v>
      </c>
      <c r="G1004" s="50">
        <f t="shared" si="128"/>
        <v>0.05426356589</v>
      </c>
      <c r="H1004" s="28"/>
      <c r="I1004" s="55">
        <f t="shared" si="2"/>
        <v>2616.083916</v>
      </c>
      <c r="J1004" s="81"/>
      <c r="K1004" s="60">
        <f>IFERROR(__xludf.DUMMYFUNCTION("IFERROR(VLOOKUP(C1004,IMPORTRANGE(""https://docs.google.com/spreadsheets/d/1HZUHB8NvANAZR0sHDmHYVAm2WE9kNv0pGIQA48Ryim8/edit?gid=1285727875#gid=1285727875"",""Sheet1!A2:G""),7,0))"),715.0)</f>
        <v>715</v>
      </c>
      <c r="L1004" s="62">
        <f t="shared" si="129"/>
        <v>3.608391608</v>
      </c>
      <c r="M1004" s="60">
        <f>IFERROR(__xludf.DUMMYFUNCTION("IFERROR(VLOOKUP(C1004,IMPORTRANGE(""https://docs.google.com/spreadsheets/d/1HZUHB8NvANAZR0sHDmHYVAm2WE9kNv0pGIQA48Ryim8/edit?gid=1285727875#gid=1285727875"",""Cost!A2:G""),7,0))"),725.0)</f>
        <v>725</v>
      </c>
      <c r="N1004" s="62">
        <f t="shared" si="4"/>
        <v>3.751724138</v>
      </c>
      <c r="O1004" s="28"/>
      <c r="P1004" s="28"/>
      <c r="Q1004" s="28"/>
      <c r="R1004" s="28"/>
      <c r="S1004" s="28"/>
      <c r="T1004" s="28"/>
      <c r="U1004" s="65"/>
      <c r="V1004" s="28"/>
      <c r="W1004" s="65"/>
      <c r="X1004" s="66" t="s">
        <v>100</v>
      </c>
      <c r="Y1004" s="65" t="str">
        <f t="shared" si="6"/>
        <v>LAGUNA 9313</v>
      </c>
    </row>
    <row r="1005">
      <c r="A1005" s="18" t="s">
        <v>1275</v>
      </c>
      <c r="B1005" s="91">
        <f t="shared" si="127"/>
        <v>9314</v>
      </c>
      <c r="C1005" s="15">
        <v>9314.0</v>
      </c>
      <c r="D1005" s="18" t="s">
        <v>106</v>
      </c>
      <c r="E1005" s="39">
        <v>3490.0</v>
      </c>
      <c r="F1005" s="39">
        <v>3780.0</v>
      </c>
      <c r="G1005" s="50">
        <f t="shared" si="128"/>
        <v>0.08309455587</v>
      </c>
      <c r="H1005" s="28"/>
      <c r="I1005" s="55">
        <f t="shared" si="2"/>
        <v>3779.342864</v>
      </c>
      <c r="J1005" s="81"/>
      <c r="K1005" s="60">
        <f>IFERROR(__xludf.DUMMYFUNCTION("IFERROR(VLOOKUP(C1005,IMPORTRANGE(""https://docs.google.com/spreadsheets/d/1HZUHB8NvANAZR0sHDmHYVAm2WE9kNv0pGIQA48Ryim8/edit?gid=1285727875#gid=1285727875"",""Sheet1!A2:G""),7,0))"),1001.01)</f>
        <v>1001.01</v>
      </c>
      <c r="L1005" s="62">
        <f t="shared" si="129"/>
        <v>3.486478657</v>
      </c>
      <c r="M1005" s="60">
        <f>IFERROR(__xludf.DUMMYFUNCTION("IFERROR(VLOOKUP(C1005,IMPORTRANGE(""https://docs.google.com/spreadsheets/d/1HZUHB8NvANAZR0sHDmHYVAm2WE9kNv0pGIQA48Ryim8/edit?gid=1285727875#gid=1285727875"",""Cost!A2:G""),7,0))"),1084.0)</f>
        <v>1084</v>
      </c>
      <c r="N1005" s="62">
        <f t="shared" si="4"/>
        <v>3.487084871</v>
      </c>
      <c r="O1005" s="28"/>
      <c r="P1005" s="28"/>
      <c r="Q1005" s="28"/>
      <c r="R1005" s="28"/>
      <c r="S1005" s="28"/>
      <c r="T1005" s="28"/>
      <c r="U1005" s="65"/>
      <c r="V1005" s="28"/>
      <c r="W1005" s="65"/>
      <c r="X1005" s="66" t="s">
        <v>104</v>
      </c>
      <c r="Y1005" s="65" t="str">
        <f t="shared" si="6"/>
        <v>LAGUNA 9314</v>
      </c>
    </row>
    <row r="1006">
      <c r="A1006" s="18" t="s">
        <v>1275</v>
      </c>
      <c r="B1006" s="91">
        <f t="shared" si="127"/>
        <v>9316</v>
      </c>
      <c r="C1006" s="15">
        <v>9316.0</v>
      </c>
      <c r="D1006" s="18" t="s">
        <v>112</v>
      </c>
      <c r="E1006" s="39">
        <v>2990.0</v>
      </c>
      <c r="F1006" s="39">
        <v>3380.0</v>
      </c>
      <c r="G1006" s="50">
        <f t="shared" si="128"/>
        <v>0.1304347826</v>
      </c>
      <c r="H1006" s="28"/>
      <c r="I1006" s="55">
        <f t="shared" si="2"/>
        <v>3287.91554</v>
      </c>
      <c r="J1006" s="81"/>
      <c r="K1006" s="60">
        <f>IFERROR(__xludf.DUMMYFUNCTION("IFERROR(VLOOKUP(C1006,IMPORTRANGE(""https://docs.google.com/spreadsheets/d/1HZUHB8NvANAZR0sHDmHYVAm2WE9kNv0pGIQA48Ryim8/edit?gid=1285727875#gid=1285727875"",""Sheet1!A2:G""),7,0))"),865.74)</f>
        <v>865.74</v>
      </c>
      <c r="L1006" s="62">
        <f t="shared" si="129"/>
        <v>3.453692795</v>
      </c>
      <c r="M1006" s="60">
        <f>IFERROR(__xludf.DUMMYFUNCTION("IFERROR(VLOOKUP(C1006,IMPORTRANGE(""https://docs.google.com/spreadsheets/d/1HZUHB8NvANAZR0sHDmHYVAm2WE9kNv0pGIQA48Ryim8/edit?gid=1285727875#gid=1285727875"",""Cost!A2:G""),7,0))"),952.0)</f>
        <v>952</v>
      </c>
      <c r="N1006" s="62">
        <f t="shared" si="4"/>
        <v>3.550420168</v>
      </c>
      <c r="O1006" s="28"/>
      <c r="P1006" s="28"/>
      <c r="Q1006" s="28"/>
      <c r="R1006" s="28"/>
      <c r="S1006" s="28"/>
      <c r="T1006" s="28"/>
      <c r="U1006" s="65"/>
      <c r="V1006" s="28"/>
      <c r="W1006" s="65"/>
      <c r="X1006" s="66" t="s">
        <v>110</v>
      </c>
      <c r="Y1006" s="65" t="str">
        <f t="shared" si="6"/>
        <v>LAGUNA 9316</v>
      </c>
    </row>
    <row r="1007">
      <c r="A1007" s="18" t="s">
        <v>1275</v>
      </c>
      <c r="B1007" s="91">
        <f t="shared" si="127"/>
        <v>9318</v>
      </c>
      <c r="C1007" s="15">
        <v>9318.0</v>
      </c>
      <c r="D1007" s="18" t="s">
        <v>119</v>
      </c>
      <c r="E1007" s="39">
        <v>1930.0</v>
      </c>
      <c r="F1007" s="39">
        <v>2130.0</v>
      </c>
      <c r="G1007" s="50">
        <f t="shared" si="128"/>
        <v>0.103626943</v>
      </c>
      <c r="H1007" s="28"/>
      <c r="I1007" s="55">
        <f t="shared" si="2"/>
        <v>2154.693315</v>
      </c>
      <c r="J1007" s="81"/>
      <c r="K1007" s="60">
        <f>IFERROR(__xludf.DUMMYFUNCTION("IFERROR(VLOOKUP(C1007,IMPORTRANGE(""https://docs.google.com/spreadsheets/d/1HZUHB8NvANAZR0sHDmHYVAm2WE9kNv0pGIQA48Ryim8/edit?gid=1285727875#gid=1285727875"",""Sheet1!A2:G""),7,0))"),529.37)</f>
        <v>529.37</v>
      </c>
      <c r="L1007" s="62">
        <f t="shared" si="129"/>
        <v>3.645843172</v>
      </c>
      <c r="M1007" s="60">
        <f>IFERROR(__xludf.DUMMYFUNCTION("IFERROR(VLOOKUP(C1007,IMPORTRANGE(""https://docs.google.com/spreadsheets/d/1HZUHB8NvANAZR0sHDmHYVAm2WE9kNv0pGIQA48Ryim8/edit?gid=1285727875#gid=1285727875"",""Cost!A2:G""),7,0))"),591.0)</f>
        <v>591</v>
      </c>
      <c r="N1007" s="62">
        <f t="shared" si="4"/>
        <v>3.604060914</v>
      </c>
      <c r="O1007" s="28"/>
      <c r="P1007" s="28"/>
      <c r="Q1007" s="28"/>
      <c r="R1007" s="28"/>
      <c r="S1007" s="28"/>
      <c r="T1007" s="28"/>
      <c r="U1007" s="65"/>
      <c r="V1007" s="28"/>
      <c r="W1007" s="65"/>
      <c r="X1007" s="66" t="s">
        <v>117</v>
      </c>
      <c r="Y1007" s="65" t="str">
        <f t="shared" si="6"/>
        <v>LAGUNA 9318</v>
      </c>
    </row>
    <row r="1008">
      <c r="A1008" s="18" t="s">
        <v>1275</v>
      </c>
      <c r="B1008" s="91">
        <f t="shared" si="127"/>
        <v>9320</v>
      </c>
      <c r="C1008" s="15">
        <v>9320.0</v>
      </c>
      <c r="D1008" s="18" t="s">
        <v>122</v>
      </c>
      <c r="E1008" s="39">
        <v>1990.0</v>
      </c>
      <c r="F1008" s="39">
        <v>2190.0</v>
      </c>
      <c r="G1008" s="50">
        <f t="shared" si="128"/>
        <v>0.1005025126</v>
      </c>
      <c r="H1008" s="28"/>
      <c r="I1008" s="55">
        <f t="shared" si="2"/>
        <v>2225.589408</v>
      </c>
      <c r="J1008" s="81"/>
      <c r="K1008" s="60">
        <f>IFERROR(__xludf.DUMMYFUNCTION("IFERROR(VLOOKUP(C1008,IMPORTRANGE(""https://docs.google.com/spreadsheets/d/1HZUHB8NvANAZR0sHDmHYVAm2WE9kNv0pGIQA48Ryim8/edit?gid=1285727875#gid=1285727875"",""Sheet1!A2:G""),7,0))"),554.37)</f>
        <v>554.37</v>
      </c>
      <c r="L1008" s="62">
        <f t="shared" si="129"/>
        <v>3.589660335</v>
      </c>
      <c r="M1008" s="60">
        <f>IFERROR(__xludf.DUMMYFUNCTION("IFERROR(VLOOKUP(C1008,IMPORTRANGE(""https://docs.google.com/spreadsheets/d/1HZUHB8NvANAZR0sHDmHYVAm2WE9kNv0pGIQA48Ryim8/edit?gid=1285727875#gid=1285727875"",""Cost!A2:G""),7,0))"),620.0)</f>
        <v>620</v>
      </c>
      <c r="N1008" s="62">
        <f t="shared" si="4"/>
        <v>3.532258065</v>
      </c>
      <c r="O1008" s="28"/>
      <c r="P1008" s="28"/>
      <c r="Q1008" s="28"/>
      <c r="R1008" s="28"/>
      <c r="S1008" s="28"/>
      <c r="T1008" s="28"/>
      <c r="U1008" s="65"/>
      <c r="V1008" s="28"/>
      <c r="W1008" s="65"/>
      <c r="X1008" s="66" t="s">
        <v>120</v>
      </c>
      <c r="Y1008" s="65" t="str">
        <f t="shared" si="6"/>
        <v>LAGUNA 9320</v>
      </c>
    </row>
    <row r="1009">
      <c r="A1009" s="18" t="s">
        <v>1275</v>
      </c>
      <c r="B1009" s="91">
        <f t="shared" si="127"/>
        <v>9350</v>
      </c>
      <c r="C1009" s="15">
        <v>9350.0</v>
      </c>
      <c r="D1009" s="18" t="s">
        <v>136</v>
      </c>
      <c r="E1009" s="39">
        <v>5740.0</v>
      </c>
      <c r="F1009" s="39">
        <v>6350.0</v>
      </c>
      <c r="G1009" s="50">
        <f t="shared" si="128"/>
        <v>0.106271777</v>
      </c>
      <c r="H1009" s="28"/>
      <c r="I1009" s="55">
        <f t="shared" si="2"/>
        <v>6350.916424</v>
      </c>
      <c r="J1009" s="81"/>
      <c r="K1009" s="60">
        <f>IFERROR(__xludf.DUMMYFUNCTION("IFERROR(VLOOKUP(C1009,IMPORTRANGE(""https://docs.google.com/spreadsheets/d/1HZUHB8NvANAZR0sHDmHYVAm2WE9kNv0pGIQA48Ryim8/edit?gid=1285727875#gid=1285727875"",""Sheet1!A2:G""),7,0))"),1457.84)</f>
        <v>1457.84</v>
      </c>
      <c r="L1009" s="62">
        <f t="shared" si="129"/>
        <v>3.937331943</v>
      </c>
      <c r="M1009" s="60">
        <f>IFERROR(__xludf.DUMMYFUNCTION("IFERROR(VLOOKUP(C1009,IMPORTRANGE(""https://docs.google.com/spreadsheets/d/1HZUHB8NvANAZR0sHDmHYVAm2WE9kNv0pGIQA48Ryim8/edit?gid=1285727875#gid=1285727875"",""Cost!A2:G""),7,0))"),1613.0)</f>
        <v>1613</v>
      </c>
      <c r="N1009" s="62">
        <f t="shared" si="4"/>
        <v>3.936763794</v>
      </c>
      <c r="O1009" s="28"/>
      <c r="P1009" s="28"/>
      <c r="Q1009" s="28"/>
      <c r="R1009" s="28"/>
      <c r="S1009" s="28"/>
      <c r="T1009" s="28"/>
      <c r="U1009" s="65"/>
      <c r="V1009" s="28"/>
      <c r="W1009" s="65"/>
      <c r="X1009" s="66" t="s">
        <v>134</v>
      </c>
      <c r="Y1009" s="65" t="str">
        <f t="shared" si="6"/>
        <v>LAGUNA 9350</v>
      </c>
    </row>
    <row r="1010">
      <c r="A1010" s="18" t="s">
        <v>1275</v>
      </c>
      <c r="B1010" s="91">
        <f t="shared" si="127"/>
        <v>9351</v>
      </c>
      <c r="C1010" s="15">
        <v>9351.0</v>
      </c>
      <c r="D1010" s="18" t="s">
        <v>141</v>
      </c>
      <c r="E1010" s="39">
        <v>4980.0</v>
      </c>
      <c r="F1010" s="39">
        <v>5520.0</v>
      </c>
      <c r="G1010" s="50">
        <f t="shared" si="128"/>
        <v>0.1084337349</v>
      </c>
      <c r="H1010" s="28"/>
      <c r="I1010" s="55">
        <f t="shared" si="2"/>
        <v>5521.754185</v>
      </c>
      <c r="J1010" s="81"/>
      <c r="K1010" s="60">
        <f>IFERROR(__xludf.DUMMYFUNCTION("IFERROR(VLOOKUP(C1010,IMPORTRANGE(""https://docs.google.com/spreadsheets/d/1HZUHB8NvANAZR0sHDmHYVAm2WE9kNv0pGIQA48Ryim8/edit?gid=1285727875#gid=1285727875"",""Sheet1!A2:G""),7,0))"),1328.48)</f>
        <v>1328.48</v>
      </c>
      <c r="L1010" s="62">
        <f t="shared" si="129"/>
        <v>3.748645068</v>
      </c>
      <c r="M1010" s="60">
        <f>IFERROR(__xludf.DUMMYFUNCTION("IFERROR(VLOOKUP(C1010,IMPORTRANGE(""https://docs.google.com/spreadsheets/d/1HZUHB8NvANAZR0sHDmHYVAm2WE9kNv0pGIQA48Ryim8/edit?gid=1285727875#gid=1285727875"",""Cost!A2:G""),7,0))"),1473.0)</f>
        <v>1473</v>
      </c>
      <c r="N1010" s="62">
        <f t="shared" si="4"/>
        <v>3.747454175</v>
      </c>
      <c r="O1010" s="28"/>
      <c r="P1010" s="28"/>
      <c r="Q1010" s="28"/>
      <c r="R1010" s="28"/>
      <c r="S1010" s="28"/>
      <c r="T1010" s="28"/>
      <c r="U1010" s="65"/>
      <c r="V1010" s="28"/>
      <c r="W1010" s="65"/>
      <c r="X1010" s="66" t="s">
        <v>139</v>
      </c>
      <c r="Y1010" s="65" t="str">
        <f t="shared" si="6"/>
        <v>LAGUNA 9351</v>
      </c>
    </row>
    <row r="1011">
      <c r="A1011" s="18" t="s">
        <v>1275</v>
      </c>
      <c r="B1011" s="91">
        <f t="shared" si="127"/>
        <v>9352</v>
      </c>
      <c r="C1011" s="15">
        <v>9352.0</v>
      </c>
      <c r="D1011" s="18" t="s">
        <v>147</v>
      </c>
      <c r="E1011" s="75">
        <v>7390.0</v>
      </c>
      <c r="F1011" s="39">
        <v>8220.0</v>
      </c>
      <c r="G1011" s="50">
        <f t="shared" si="128"/>
        <v>0.1123139378</v>
      </c>
      <c r="H1011" s="28"/>
      <c r="I1011" s="55">
        <f t="shared" si="2"/>
        <v>8220.789745</v>
      </c>
      <c r="J1011" s="81"/>
      <c r="K1011" s="60">
        <f>IFERROR(__xludf.DUMMYFUNCTION("IFERROR(VLOOKUP(C1011,IMPORTRANGE(""https://docs.google.com/spreadsheets/d/1HZUHB8NvANAZR0sHDmHYVAm2WE9kNv0pGIQA48Ryim8/edit?gid=1285727875#gid=1285727875"",""Sheet1!A2:G""),7,0))"),2036.1)</f>
        <v>2036.1</v>
      </c>
      <c r="L1011" s="62">
        <f t="shared" si="129"/>
        <v>3.629487746</v>
      </c>
      <c r="M1011" s="60">
        <f>IFERROR(__xludf.DUMMYFUNCTION("IFERROR(VLOOKUP(C1011,IMPORTRANGE(""https://docs.google.com/spreadsheets/d/1HZUHB8NvANAZR0sHDmHYVAm2WE9kNv0pGIQA48Ryim8/edit?gid=1285727875#gid=1285727875"",""Cost!A2:G""),7,0))"),2265.0)</f>
        <v>2265</v>
      </c>
      <c r="N1011" s="62">
        <f t="shared" si="4"/>
        <v>3.629139073</v>
      </c>
      <c r="O1011" s="28"/>
      <c r="P1011" s="28"/>
      <c r="Q1011" s="28"/>
      <c r="R1011" s="28"/>
      <c r="S1011" s="28"/>
      <c r="T1011" s="28"/>
      <c r="U1011" s="65"/>
      <c r="V1011" s="28"/>
      <c r="W1011" s="65"/>
      <c r="X1011" s="66" t="s">
        <v>144</v>
      </c>
      <c r="Y1011" s="65" t="str">
        <f t="shared" si="6"/>
        <v>LAGUNA 9352</v>
      </c>
    </row>
    <row r="1012">
      <c r="A1012" s="18" t="s">
        <v>1275</v>
      </c>
      <c r="B1012" s="91">
        <f t="shared" si="127"/>
        <v>9354</v>
      </c>
      <c r="C1012" s="15">
        <v>9354.0</v>
      </c>
      <c r="D1012" s="18" t="s">
        <v>152</v>
      </c>
      <c r="E1012" s="75">
        <f t="shared" ref="E1012:F1012" si="143">SUM(E1013:E1014)</f>
        <v>6620</v>
      </c>
      <c r="F1012" s="75">
        <f t="shared" si="143"/>
        <v>7200</v>
      </c>
      <c r="G1012" s="50">
        <f t="shared" si="128"/>
        <v>0.08761329305</v>
      </c>
      <c r="H1012" s="28"/>
      <c r="I1012" s="55">
        <f t="shared" si="2"/>
        <v>7188.290176</v>
      </c>
      <c r="J1012" s="81"/>
      <c r="K1012" s="60">
        <f>IFERROR(__xludf.DUMMYFUNCTION("IFERROR(VLOOKUP(C1012,IMPORTRANGE(""https://docs.google.com/spreadsheets/d/1HZUHB8NvANAZR0sHDmHYVAm2WE9kNv0pGIQA48Ryim8/edit?gid=1285727875#gid=1285727875"",""Sheet1!A2:G""),7,0))"),1642.04)</f>
        <v>1642.04</v>
      </c>
      <c r="L1012" s="62">
        <f t="shared" si="129"/>
        <v>4.031570485</v>
      </c>
      <c r="M1012" s="60">
        <f>IFERROR(__xludf.DUMMYFUNCTION("IFERROR(VLOOKUP(C1012,IMPORTRANGE(""https://docs.google.com/spreadsheets/d/1HZUHB8NvANAZR0sHDmHYVAm2WE9kNv0pGIQA48Ryim8/edit?gid=1285727875#gid=1285727875"",""Cost!A2:G""),7,0))"),1783.0)</f>
        <v>1783</v>
      </c>
      <c r="N1012" s="62">
        <f t="shared" si="4"/>
        <v>4.03813797</v>
      </c>
      <c r="O1012" s="28"/>
      <c r="P1012" s="28"/>
      <c r="Q1012" s="28"/>
      <c r="R1012" s="28"/>
      <c r="S1012" s="28"/>
      <c r="T1012" s="28"/>
      <c r="U1012" s="65"/>
      <c r="V1012" s="28"/>
      <c r="W1012" s="65"/>
      <c r="X1012" s="66" t="s">
        <v>150</v>
      </c>
      <c r="Y1012" s="65" t="str">
        <f t="shared" si="6"/>
        <v>LAGUNA 9354</v>
      </c>
    </row>
    <row r="1013">
      <c r="A1013" s="18" t="s">
        <v>1275</v>
      </c>
      <c r="B1013" s="91" t="str">
        <f t="shared" si="127"/>
        <v>BD-40</v>
      </c>
      <c r="C1013" s="15" t="s">
        <v>154</v>
      </c>
      <c r="D1013" s="18" t="s">
        <v>156</v>
      </c>
      <c r="E1013" s="39">
        <v>3680.0</v>
      </c>
      <c r="F1013" s="39">
        <v>3990.0</v>
      </c>
      <c r="G1013" s="50">
        <f t="shared" si="128"/>
        <v>0.08423913043</v>
      </c>
      <c r="H1013" s="28"/>
      <c r="I1013" s="55">
        <f t="shared" si="2"/>
        <v>4075.59981</v>
      </c>
      <c r="J1013" s="81"/>
      <c r="K1013" s="60">
        <f>IFERROR(__xludf.DUMMYFUNCTION("IFERROR(VLOOKUP(C1013,IMPORTRANGE(""https://docs.google.com/spreadsheets/d/1HZUHB8NvANAZR0sHDmHYVAm2WE9kNv0pGIQA48Ryim8/edit?gid=1285727875#gid=1285727875"",""Sheet1!A2:G""),7,0))"),966.14)</f>
        <v>966.14</v>
      </c>
      <c r="L1013" s="62">
        <f t="shared" si="129"/>
        <v>3.808971785</v>
      </c>
      <c r="M1013" s="60">
        <f>IFERROR(__xludf.DUMMYFUNCTION("IFERROR(VLOOKUP(C1013,IMPORTRANGE(""https://docs.google.com/spreadsheets/d/1HZUHB8NvANAZR0sHDmHYVAm2WE9kNv0pGIQA48Ryim8/edit?gid=1285727875#gid=1285727875"",""Cost!A2:G""),7,0))"),1070.0)</f>
        <v>1070</v>
      </c>
      <c r="N1013" s="62">
        <f t="shared" si="4"/>
        <v>3.728971963</v>
      </c>
      <c r="O1013" s="28"/>
      <c r="P1013" s="28"/>
      <c r="Q1013" s="28"/>
      <c r="R1013" s="28"/>
      <c r="S1013" s="28"/>
      <c r="T1013" s="28"/>
      <c r="U1013" s="65"/>
      <c r="V1013" s="28"/>
      <c r="W1013" s="65"/>
      <c r="X1013" s="66" t="s">
        <v>154</v>
      </c>
      <c r="Y1013" s="65" t="str">
        <f t="shared" si="6"/>
        <v>LAGUNA 93BD-40</v>
      </c>
    </row>
    <row r="1014">
      <c r="A1014" s="18" t="s">
        <v>1275</v>
      </c>
      <c r="B1014" s="91" t="str">
        <f t="shared" si="127"/>
        <v>BB-93</v>
      </c>
      <c r="C1014" s="15" t="s">
        <v>1276</v>
      </c>
      <c r="D1014" s="18" t="s">
        <v>78</v>
      </c>
      <c r="E1014" s="39">
        <v>2940.0</v>
      </c>
      <c r="F1014" s="39">
        <v>3210.0</v>
      </c>
      <c r="G1014" s="50">
        <f t="shared" si="128"/>
        <v>0.09183673469</v>
      </c>
      <c r="H1014" s="28"/>
      <c r="I1014" s="55">
        <f t="shared" si="2"/>
        <v>3209.266434</v>
      </c>
      <c r="J1014" s="81"/>
      <c r="K1014" s="60">
        <f>IFERROR(__xludf.DUMMYFUNCTION("IFERROR(VLOOKUP(C1014,IMPORTRANGE(""https://docs.google.com/spreadsheets/d/1HZUHB8NvANAZR0sHDmHYVAm2WE9kNv0pGIQA48Ryim8/edit?gid=1285727875#gid=1285727875"",""Sheet1!A2:G""),7,0))"),622.03)</f>
        <v>622.03</v>
      </c>
      <c r="L1014" s="62">
        <f t="shared" si="129"/>
        <v>4.726460139</v>
      </c>
      <c r="M1014" s="60">
        <f>IFERROR(__xludf.DUMMYFUNCTION("IFERROR(VLOOKUP(C1014,IMPORTRANGE(""https://docs.google.com/spreadsheets/d/1HZUHB8NvANAZR0sHDmHYVAm2WE9kNv0pGIQA48Ryim8/edit?gid=1285727875#gid=1285727875"",""Cost!A2:G""),7,0))"),679.0)</f>
        <v>679</v>
      </c>
      <c r="N1014" s="62">
        <f t="shared" si="4"/>
        <v>4.727540501</v>
      </c>
      <c r="O1014" s="28"/>
      <c r="P1014" s="28"/>
      <c r="Q1014" s="28"/>
      <c r="R1014" s="28"/>
      <c r="S1014" s="28"/>
      <c r="T1014" s="28"/>
      <c r="U1014" s="65"/>
      <c r="V1014" s="28"/>
      <c r="W1014" s="65"/>
      <c r="X1014" s="66" t="s">
        <v>159</v>
      </c>
      <c r="Y1014" s="65" t="str">
        <f t="shared" si="6"/>
        <v>LAGUNA 93BB</v>
      </c>
    </row>
    <row r="1015">
      <c r="A1015" s="18" t="s">
        <v>1275</v>
      </c>
      <c r="B1015" s="91">
        <f t="shared" si="127"/>
        <v>9355</v>
      </c>
      <c r="C1015" s="15">
        <v>9355.0</v>
      </c>
      <c r="D1015" s="18" t="s">
        <v>164</v>
      </c>
      <c r="E1015" s="39">
        <v>6280.0</v>
      </c>
      <c r="F1015" s="39">
        <v>6980.0</v>
      </c>
      <c r="G1015" s="50">
        <f t="shared" si="128"/>
        <v>0.1114649682</v>
      </c>
      <c r="H1015" s="28"/>
      <c r="I1015" s="55">
        <f t="shared" si="2"/>
        <v>7239.450122</v>
      </c>
      <c r="J1015" s="81"/>
      <c r="K1015" s="60">
        <f>IFERROR(__xludf.DUMMYFUNCTION("IFERROR(VLOOKUP(C1015,IMPORTRANGE(""https://docs.google.com/spreadsheets/d/1HZUHB8NvANAZR0sHDmHYVAm2WE9kNv0pGIQA48Ryim8/edit?gid=1285727875#gid=1285727875"",""Sheet1!A2:G""),7,0))"),1689.83)</f>
        <v>1689.83</v>
      </c>
      <c r="L1015" s="62">
        <f t="shared" si="129"/>
        <v>3.716350165</v>
      </c>
      <c r="M1015" s="60">
        <f>IFERROR(__xludf.DUMMYFUNCTION("IFERROR(VLOOKUP(C1015,IMPORTRANGE(""https://docs.google.com/spreadsheets/d/1HZUHB8NvANAZR0sHDmHYVAm2WE9kNv0pGIQA48Ryim8/edit?gid=1285727875#gid=1285727875"",""Cost!A2:G""),7,0))"),1948.0)</f>
        <v>1948</v>
      </c>
      <c r="N1015" s="62">
        <f t="shared" si="4"/>
        <v>3.583162218</v>
      </c>
      <c r="O1015" s="28"/>
      <c r="P1015" s="28"/>
      <c r="Q1015" s="28"/>
      <c r="R1015" s="28"/>
      <c r="S1015" s="28"/>
      <c r="T1015" s="28"/>
      <c r="U1015" s="65"/>
      <c r="V1015" s="28"/>
      <c r="W1015" s="65"/>
      <c r="X1015" s="66" t="s">
        <v>162</v>
      </c>
      <c r="Y1015" s="65" t="str">
        <f t="shared" si="6"/>
        <v>LAGUNA 9355</v>
      </c>
    </row>
    <row r="1016">
      <c r="A1016" s="18" t="s">
        <v>1275</v>
      </c>
      <c r="B1016" s="91">
        <f t="shared" si="127"/>
        <v>9360</v>
      </c>
      <c r="C1016" s="15">
        <v>9360.0</v>
      </c>
      <c r="D1016" s="18" t="s">
        <v>1317</v>
      </c>
      <c r="E1016" s="39">
        <v>5980.0</v>
      </c>
      <c r="F1016" s="39">
        <v>6480.0</v>
      </c>
      <c r="G1016" s="50">
        <f t="shared" si="128"/>
        <v>0.08361204013</v>
      </c>
      <c r="H1016" s="28"/>
      <c r="I1016" s="55">
        <f t="shared" si="2"/>
        <v>6644.534865</v>
      </c>
      <c r="J1016" s="81"/>
      <c r="K1016" s="60">
        <f>IFERROR(__xludf.DUMMYFUNCTION("IFERROR(VLOOKUP(C1016,IMPORTRANGE(""https://docs.google.com/spreadsheets/d/1HZUHB8NvANAZR0sHDmHYVAm2WE9kNv0pGIQA48Ryim8/edit?gid=1285727875#gid=1285727875"",""Sheet1!A2:G""),7,0))"),1469.68)</f>
        <v>1469.68</v>
      </c>
      <c r="L1016" s="62">
        <f t="shared" si="129"/>
        <v>4.068912961</v>
      </c>
      <c r="M1016" s="60">
        <f>IFERROR(__xludf.DUMMYFUNCTION("IFERROR(VLOOKUP(C1016,IMPORTRANGE(""https://docs.google.com/spreadsheets/d/1HZUHB8NvANAZR0sHDmHYVAm2WE9kNv0pGIQA48Ryim8/edit?gid=1285727875#gid=1285727875"",""Cost!A2:G""),7,0))"),1633.0)</f>
        <v>1633</v>
      </c>
      <c r="N1016" s="62">
        <f t="shared" si="4"/>
        <v>3.968156767</v>
      </c>
      <c r="O1016" s="28"/>
      <c r="P1016" s="28"/>
      <c r="Q1016" s="28"/>
      <c r="R1016" s="28"/>
      <c r="S1016" s="28"/>
      <c r="T1016" s="28"/>
      <c r="U1016" s="65"/>
      <c r="V1016" s="28"/>
      <c r="W1016" s="65"/>
      <c r="X1016" s="66" t="s">
        <v>173</v>
      </c>
      <c r="Y1016" s="65" t="str">
        <f t="shared" si="6"/>
        <v>LAGUNA 9360</v>
      </c>
    </row>
    <row r="1017">
      <c r="A1017" s="18" t="s">
        <v>1275</v>
      </c>
      <c r="B1017" s="91">
        <f t="shared" si="127"/>
        <v>9365</v>
      </c>
      <c r="C1017" s="15">
        <v>9365.0</v>
      </c>
      <c r="D1017" s="18" t="s">
        <v>182</v>
      </c>
      <c r="E1017" s="39">
        <v>6780.0</v>
      </c>
      <c r="F1017" s="39">
        <v>7440.0</v>
      </c>
      <c r="G1017" s="50">
        <f t="shared" si="128"/>
        <v>0.09734513274</v>
      </c>
      <c r="H1017" s="28"/>
      <c r="I1017" s="55">
        <f t="shared" si="2"/>
        <v>7809.039239</v>
      </c>
      <c r="J1017" s="81"/>
      <c r="K1017" s="60">
        <f>IFERROR(__xludf.DUMMYFUNCTION("IFERROR(VLOOKUP(C1017,IMPORTRANGE(""https://docs.google.com/spreadsheets/d/1HZUHB8NvANAZR0sHDmHYVAm2WE9kNv0pGIQA48Ryim8/edit?gid=1285727875#gid=1285727875"",""Sheet1!A2:G""),7,0))"),1863.21)</f>
        <v>1863.21</v>
      </c>
      <c r="L1017" s="62">
        <f t="shared" si="129"/>
        <v>3.638881286</v>
      </c>
      <c r="M1017" s="60">
        <f>IFERROR(__xludf.DUMMYFUNCTION("IFERROR(VLOOKUP(C1017,IMPORTRANGE(""https://docs.google.com/spreadsheets/d/1HZUHB8NvANAZR0sHDmHYVAm2WE9kNv0pGIQA48Ryim8/edit?gid=1285727875#gid=1285727875"",""Cost!A2:G""),7,0))"),2146.0)</f>
        <v>2146</v>
      </c>
      <c r="N1017" s="62">
        <f t="shared" si="4"/>
        <v>3.466915191</v>
      </c>
      <c r="O1017" s="28"/>
      <c r="P1017" s="28"/>
      <c r="Q1017" s="28"/>
      <c r="R1017" s="28"/>
      <c r="S1017" s="28"/>
      <c r="T1017" s="28"/>
      <c r="U1017" s="65"/>
      <c r="V1017" s="28"/>
      <c r="W1017" s="65"/>
      <c r="X1017" s="66" t="s">
        <v>181</v>
      </c>
      <c r="Y1017" s="65" t="str">
        <f t="shared" si="6"/>
        <v>LAGUNA 9365</v>
      </c>
    </row>
    <row r="1018">
      <c r="A1018" s="18" t="s">
        <v>1275</v>
      </c>
      <c r="B1018" s="91">
        <f t="shared" si="127"/>
        <v>9370</v>
      </c>
      <c r="C1018" s="15">
        <v>9370.0</v>
      </c>
      <c r="D1018" s="18" t="s">
        <v>186</v>
      </c>
      <c r="E1018" s="39">
        <v>8980.0</v>
      </c>
      <c r="F1018" s="39">
        <v>9840.0</v>
      </c>
      <c r="G1018" s="50">
        <f t="shared" si="128"/>
        <v>0.09576837416</v>
      </c>
      <c r="H1018" s="28"/>
      <c r="I1018" s="55">
        <f t="shared" si="2"/>
        <v>10027.24052</v>
      </c>
      <c r="J1018" s="81"/>
      <c r="K1018" s="60">
        <f>IFERROR(__xludf.DUMMYFUNCTION("IFERROR(VLOOKUP(C1018,IMPORTRANGE(""https://docs.google.com/spreadsheets/d/1HZUHB8NvANAZR0sHDmHYVAm2WE9kNv0pGIQA48Ryim8/edit?gid=1285727875#gid=1285727875"",""Sheet1!A2:G""),7,0))"),2644.59)</f>
        <v>2644.59</v>
      </c>
      <c r="L1018" s="62">
        <f t="shared" si="129"/>
        <v>3.395611418</v>
      </c>
      <c r="M1018" s="60">
        <f>IFERROR(__xludf.DUMMYFUNCTION("IFERROR(VLOOKUP(C1018,IMPORTRANGE(""https://docs.google.com/spreadsheets/d/1HZUHB8NvANAZR0sHDmHYVAm2WE9kNv0pGIQA48Ryim8/edit?gid=1285727875#gid=1285727875"",""Cost!A2:G""),7,0))"),2953.0)</f>
        <v>2953</v>
      </c>
      <c r="N1018" s="62">
        <f t="shared" si="4"/>
        <v>3.332204538</v>
      </c>
      <c r="O1018" s="28"/>
      <c r="P1018" s="28"/>
      <c r="Q1018" s="28"/>
      <c r="R1018" s="28"/>
      <c r="S1018" s="28"/>
      <c r="T1018" s="28"/>
      <c r="U1018" s="65"/>
      <c r="V1018" s="28"/>
      <c r="W1018" s="65"/>
      <c r="X1018" s="66" t="s">
        <v>184</v>
      </c>
      <c r="Y1018" s="65" t="str">
        <f t="shared" si="6"/>
        <v>LAGUNA 9370</v>
      </c>
    </row>
    <row r="1019">
      <c r="A1019" s="18" t="s">
        <v>1275</v>
      </c>
      <c r="B1019" s="91">
        <f t="shared" si="127"/>
        <v>9371</v>
      </c>
      <c r="C1019" s="15">
        <v>9371.0</v>
      </c>
      <c r="D1019" s="18" t="s">
        <v>192</v>
      </c>
      <c r="E1019" s="39">
        <v>6680.0</v>
      </c>
      <c r="F1019" s="39">
        <v>7440.0</v>
      </c>
      <c r="G1019" s="50">
        <f t="shared" si="128"/>
        <v>0.1137724551</v>
      </c>
      <c r="H1019" s="28"/>
      <c r="I1019" s="55">
        <f t="shared" si="2"/>
        <v>7642.688582</v>
      </c>
      <c r="J1019" s="81"/>
      <c r="K1019" s="60">
        <f>IFERROR(__xludf.DUMMYFUNCTION("IFERROR(VLOOKUP(C1019,IMPORTRANGE(""https://docs.google.com/spreadsheets/d/1HZUHB8NvANAZR0sHDmHYVAm2WE9kNv0pGIQA48Ryim8/edit?gid=1285727875#gid=1285727875"",""Sheet1!A2:G""),7,0))"),1703.5)</f>
        <v>1703.5</v>
      </c>
      <c r="L1019" s="62">
        <f t="shared" si="129"/>
        <v>3.921338421</v>
      </c>
      <c r="M1019" s="60">
        <f>IFERROR(__xludf.DUMMYFUNCTION("IFERROR(VLOOKUP(C1019,IMPORTRANGE(""https://docs.google.com/spreadsheets/d/1HZUHB8NvANAZR0sHDmHYVAm2WE9kNv0pGIQA48Ryim8/edit?gid=1285727875#gid=1285727875"",""Cost!A2:G""),7,0))"),1949.0)</f>
        <v>1949</v>
      </c>
      <c r="N1019" s="62">
        <f t="shared" si="4"/>
        <v>3.817342227</v>
      </c>
      <c r="O1019" s="28"/>
      <c r="P1019" s="28"/>
      <c r="Q1019" s="28"/>
      <c r="R1019" s="28"/>
      <c r="S1019" s="28"/>
      <c r="T1019" s="28"/>
      <c r="U1019" s="65"/>
      <c r="V1019" s="28"/>
      <c r="W1019" s="65"/>
      <c r="X1019" s="66" t="s">
        <v>190</v>
      </c>
      <c r="Y1019" s="65" t="str">
        <f t="shared" si="6"/>
        <v>LAGUNA 9371</v>
      </c>
    </row>
    <row r="1020">
      <c r="A1020" s="18" t="s">
        <v>1275</v>
      </c>
      <c r="B1020" s="91">
        <f t="shared" si="127"/>
        <v>9375</v>
      </c>
      <c r="C1020" s="15">
        <v>9375.0</v>
      </c>
      <c r="D1020" s="18" t="s">
        <v>196</v>
      </c>
      <c r="E1020" s="39">
        <v>8980.0</v>
      </c>
      <c r="F1020" s="39">
        <v>9840.0</v>
      </c>
      <c r="G1020" s="50">
        <f t="shared" si="128"/>
        <v>0.09576837416</v>
      </c>
      <c r="H1020" s="28"/>
      <c r="I1020" s="55">
        <f t="shared" si="2"/>
        <v>10017.08067</v>
      </c>
      <c r="J1020" s="81"/>
      <c r="K1020" s="60">
        <f>IFERROR(__xludf.DUMMYFUNCTION("IFERROR(VLOOKUP(C1020,IMPORTRANGE(""https://docs.google.com/spreadsheets/d/1HZUHB8NvANAZR0sHDmHYVAm2WE9kNv0pGIQA48Ryim8/edit?gid=1285727875#gid=1285727875"",""Sheet1!A2:G""),7,0))"),2612.31)</f>
        <v>2612.31</v>
      </c>
      <c r="L1020" s="62">
        <f t="shared" si="129"/>
        <v>3.437570579</v>
      </c>
      <c r="M1020" s="60">
        <f>IFERROR(__xludf.DUMMYFUNCTION("IFERROR(VLOOKUP(C1020,IMPORTRANGE(""https://docs.google.com/spreadsheets/d/1HZUHB8NvANAZR0sHDmHYVAm2WE9kNv0pGIQA48Ryim8/edit?gid=1285727875#gid=1285727875"",""Cost!A2:G""),7,0))"),2914.0)</f>
        <v>2914</v>
      </c>
      <c r="N1020" s="62">
        <f t="shared" si="4"/>
        <v>3.376801647</v>
      </c>
      <c r="O1020" s="28"/>
      <c r="P1020" s="28"/>
      <c r="Q1020" s="28"/>
      <c r="R1020" s="28"/>
      <c r="S1020" s="28"/>
      <c r="T1020" s="28"/>
      <c r="U1020" s="65"/>
      <c r="V1020" s="28"/>
      <c r="W1020" s="65"/>
      <c r="X1020" s="66" t="s">
        <v>194</v>
      </c>
      <c r="Y1020" s="65" t="str">
        <f t="shared" si="6"/>
        <v>LAGUNA 9375</v>
      </c>
    </row>
    <row r="1021">
      <c r="A1021" s="18" t="s">
        <v>1275</v>
      </c>
      <c r="B1021" s="91">
        <f t="shared" si="127"/>
        <v>9376</v>
      </c>
      <c r="C1021" s="15">
        <v>9376.0</v>
      </c>
      <c r="D1021" s="18" t="s">
        <v>200</v>
      </c>
      <c r="E1021" s="39">
        <v>9980.0</v>
      </c>
      <c r="F1021" s="39">
        <v>11240.0</v>
      </c>
      <c r="G1021" s="50">
        <f t="shared" si="128"/>
        <v>0.126252505</v>
      </c>
      <c r="H1021" s="28"/>
      <c r="I1021" s="55">
        <f t="shared" si="2"/>
        <v>11236.0338</v>
      </c>
      <c r="J1021" s="81"/>
      <c r="K1021" s="60">
        <f>IFERROR(__xludf.DUMMYFUNCTION("IFERROR(VLOOKUP(C1021,IMPORTRANGE(""https://docs.google.com/spreadsheets/d/1HZUHB8NvANAZR0sHDmHYVAm2WE9kNv0pGIQA48Ryim8/edit?gid=1285727875#gid=1285727875"",""Sheet1!A2:G""),7,0))"),3107.86)</f>
        <v>3107.86</v>
      </c>
      <c r="L1021" s="62">
        <f t="shared" si="129"/>
        <v>3.21121286</v>
      </c>
      <c r="M1021" s="60">
        <f>IFERROR(__xludf.DUMMYFUNCTION("IFERROR(VLOOKUP(C1021,IMPORTRANGE(""https://docs.google.com/spreadsheets/d/1HZUHB8NvANAZR0sHDmHYVAm2WE9kNv0pGIQA48Ryim8/edit?gid=1285727875#gid=1285727875"",""Cost!A2:G""),7,0))"),3499.0)</f>
        <v>3499</v>
      </c>
      <c r="N1021" s="62">
        <f t="shared" si="4"/>
        <v>3.212346385</v>
      </c>
      <c r="O1021" s="28"/>
      <c r="P1021" s="28"/>
      <c r="Q1021" s="28"/>
      <c r="R1021" s="28"/>
      <c r="S1021" s="28"/>
      <c r="T1021" s="28"/>
      <c r="U1021" s="65"/>
      <c r="V1021" s="28"/>
      <c r="W1021" s="65"/>
      <c r="X1021" s="66" t="s">
        <v>198</v>
      </c>
      <c r="Y1021" s="65" t="str">
        <f t="shared" si="6"/>
        <v>LAGUNA 9376</v>
      </c>
    </row>
    <row r="1022">
      <c r="A1022" s="18" t="s">
        <v>1275</v>
      </c>
      <c r="B1022" s="91">
        <f t="shared" si="127"/>
        <v>9380</v>
      </c>
      <c r="C1022" s="15">
        <v>9380.0</v>
      </c>
      <c r="D1022" s="18" t="s">
        <v>205</v>
      </c>
      <c r="E1022" s="39">
        <v>9980.0</v>
      </c>
      <c r="F1022" s="39">
        <v>10980.0</v>
      </c>
      <c r="G1022" s="50">
        <f t="shared" si="128"/>
        <v>0.1002004008</v>
      </c>
      <c r="H1022" s="28"/>
      <c r="I1022" s="55">
        <f t="shared" si="2"/>
        <v>11125.93533</v>
      </c>
      <c r="J1022" s="81"/>
      <c r="K1022" s="60">
        <f>IFERROR(__xludf.DUMMYFUNCTION("IFERROR(VLOOKUP(C1022,IMPORTRANGE(""https://docs.google.com/spreadsheets/d/1HZUHB8NvANAZR0sHDmHYVAm2WE9kNv0pGIQA48Ryim8/edit?gid=1285727875#gid=1285727875"",""Sheet1!A2:G""),7,0))"),2771.74)</f>
        <v>2771.74</v>
      </c>
      <c r="L1022" s="62">
        <f t="shared" si="129"/>
        <v>3.600626321</v>
      </c>
      <c r="M1022" s="60">
        <f>IFERROR(__xludf.DUMMYFUNCTION("IFERROR(VLOOKUP(C1022,IMPORTRANGE(""https://docs.google.com/spreadsheets/d/1HZUHB8NvANAZR0sHDmHYVAm2WE9kNv0pGIQA48Ryim8/edit?gid=1285727875#gid=1285727875"",""Cost!A2:G""),7,0))"),3090.0)</f>
        <v>3090</v>
      </c>
      <c r="N1022" s="62">
        <f t="shared" si="4"/>
        <v>3.553398058</v>
      </c>
      <c r="O1022" s="28"/>
      <c r="P1022" s="28"/>
      <c r="Q1022" s="28"/>
      <c r="R1022" s="28"/>
      <c r="S1022" s="28"/>
      <c r="T1022" s="28"/>
      <c r="U1022" s="65"/>
      <c r="V1022" s="28"/>
      <c r="W1022" s="65"/>
      <c r="X1022" s="66" t="s">
        <v>203</v>
      </c>
      <c r="Y1022" s="65" t="str">
        <f t="shared" si="6"/>
        <v>LAGUNA 9380</v>
      </c>
    </row>
    <row r="1023">
      <c r="A1023" s="18" t="s">
        <v>1275</v>
      </c>
      <c r="B1023" s="91" t="str">
        <f t="shared" si="127"/>
        <v>9391-N</v>
      </c>
      <c r="C1023" s="15" t="s">
        <v>1318</v>
      </c>
      <c r="D1023" s="18" t="s">
        <v>210</v>
      </c>
      <c r="E1023" s="75">
        <f t="shared" ref="E1023:F1023" si="144">SUM(E1024:E1025)</f>
        <v>6310</v>
      </c>
      <c r="F1023" s="75">
        <f t="shared" si="144"/>
        <v>6860</v>
      </c>
      <c r="G1023" s="50">
        <f t="shared" si="128"/>
        <v>0.08716323296</v>
      </c>
      <c r="H1023" s="28"/>
      <c r="I1023" s="55">
        <f t="shared" si="2"/>
        <v>6433.021085</v>
      </c>
      <c r="J1023" s="81"/>
      <c r="K1023" s="60">
        <f>IFERROR(__xludf.DUMMYFUNCTION("IFERROR(VLOOKUP(C1023,IMPORTRANGE(""https://docs.google.com/spreadsheets/d/1HZUHB8NvANAZR0sHDmHYVAm2WE9kNv0pGIQA48Ryim8/edit?gid=1285727875#gid=1285727875"",""Sheet1!A2:G""),7,0))"),1812.66)</f>
        <v>1812.66</v>
      </c>
      <c r="L1023" s="62">
        <f t="shared" si="129"/>
        <v>3.481072016</v>
      </c>
      <c r="M1023" s="60">
        <f>IFERROR(__xludf.DUMMYFUNCTION("IFERROR(VLOOKUP(C1023,IMPORTRANGE(""https://docs.google.com/spreadsheets/d/1HZUHB8NvANAZR0sHDmHYVAm2WE9kNv0pGIQA48Ryim8/edit?gid=1285727875#gid=1285727875"",""Cost!A2:G""),7,0))"),1848.0)</f>
        <v>1848</v>
      </c>
      <c r="N1023" s="62">
        <f t="shared" si="4"/>
        <v>3.712121212</v>
      </c>
      <c r="O1023" s="28"/>
      <c r="P1023" s="28"/>
      <c r="Q1023" s="28"/>
      <c r="R1023" s="28"/>
      <c r="S1023" s="28"/>
      <c r="T1023" s="28"/>
      <c r="U1023" s="65"/>
      <c r="V1023" s="28"/>
      <c r="W1023" s="65"/>
      <c r="X1023" s="66" t="s">
        <v>209</v>
      </c>
      <c r="Y1023" s="65" t="str">
        <f t="shared" si="6"/>
        <v>LAGUNA 9391</v>
      </c>
    </row>
    <row r="1024">
      <c r="A1024" s="18" t="s">
        <v>1275</v>
      </c>
      <c r="B1024" s="91" t="str">
        <f t="shared" si="127"/>
        <v>PD-40-N</v>
      </c>
      <c r="C1024" s="15" t="s">
        <v>212</v>
      </c>
      <c r="D1024" s="18" t="s">
        <v>214</v>
      </c>
      <c r="E1024" s="39">
        <v>4240.0</v>
      </c>
      <c r="F1024" s="39">
        <v>4580.0</v>
      </c>
      <c r="G1024" s="50">
        <f t="shared" si="128"/>
        <v>0.08018867925</v>
      </c>
      <c r="H1024" s="28"/>
      <c r="I1024" s="55">
        <f t="shared" si="2"/>
        <v>4549.622554</v>
      </c>
      <c r="J1024" s="81"/>
      <c r="K1024" s="60">
        <f>IFERROR(__xludf.DUMMYFUNCTION("IFERROR(VLOOKUP(C1024,IMPORTRANGE(""https://docs.google.com/spreadsheets/d/1HZUHB8NvANAZR0sHDmHYVAm2WE9kNv0pGIQA48Ryim8/edit?gid=1285727875#gid=1285727875"",""Sheet1!A2:G""),7,0))"),1298.2)</f>
        <v>1298.2</v>
      </c>
      <c r="L1024" s="62">
        <f t="shared" si="129"/>
        <v>3.266060699</v>
      </c>
      <c r="M1024" s="60">
        <f>IFERROR(__xludf.DUMMYFUNCTION("IFERROR(VLOOKUP(C1024,IMPORTRANGE(""https://docs.google.com/spreadsheets/d/1HZUHB8NvANAZR0sHDmHYVAm2WE9kNv0pGIQA48Ryim8/edit?gid=1285727875#gid=1285727875"",""Cost!A2:G""),7,0))"),1393.0)</f>
        <v>1393</v>
      </c>
      <c r="N1024" s="62">
        <f t="shared" si="4"/>
        <v>3.287867911</v>
      </c>
      <c r="O1024" s="28"/>
      <c r="P1024" s="28"/>
      <c r="Q1024" s="28"/>
      <c r="R1024" s="28"/>
      <c r="S1024" s="28"/>
      <c r="T1024" s="28"/>
      <c r="U1024" s="65"/>
      <c r="V1024" s="28"/>
      <c r="W1024" s="65"/>
      <c r="X1024" s="66" t="s">
        <v>212</v>
      </c>
      <c r="Y1024" s="65" t="str">
        <f t="shared" si="6"/>
        <v>LAGUNA 93PD-40-N</v>
      </c>
    </row>
    <row r="1025">
      <c r="A1025" s="18" t="s">
        <v>1275</v>
      </c>
      <c r="B1025" s="91" t="str">
        <f t="shared" si="127"/>
        <v>DB-93-N</v>
      </c>
      <c r="C1025" s="15" t="s">
        <v>1311</v>
      </c>
      <c r="D1025" s="18" t="s">
        <v>217</v>
      </c>
      <c r="E1025" s="39">
        <v>2070.0</v>
      </c>
      <c r="F1025" s="39">
        <v>2280.0</v>
      </c>
      <c r="G1025" s="50">
        <f t="shared" si="128"/>
        <v>0.1014492754</v>
      </c>
      <c r="H1025" s="28"/>
      <c r="I1025" s="55">
        <f t="shared" si="2"/>
        <v>1836.624148</v>
      </c>
      <c r="J1025" s="81"/>
      <c r="K1025" s="60">
        <f>IFERROR(__xludf.DUMMYFUNCTION("IFERROR(VLOOKUP(C1025,IMPORTRANGE(""https://docs.google.com/spreadsheets/d/1HZUHB8NvANAZR0sHDmHYVAm2WE9kNv0pGIQA48Ryim8/edit?gid=1285727875#gid=1285727875"",""Sheet1!A2:G""),7,0))"),515.07)</f>
        <v>515.07</v>
      </c>
      <c r="L1025" s="62">
        <f t="shared" si="129"/>
        <v>4.018871221</v>
      </c>
      <c r="M1025" s="60">
        <f>IFERROR(__xludf.DUMMYFUNCTION("IFERROR(VLOOKUP(C1025,IMPORTRANGE(""https://docs.google.com/spreadsheets/d/1HZUHB8NvANAZR0sHDmHYVAm2WE9kNv0pGIQA48Ryim8/edit?gid=1285727875#gid=1285727875"",""Cost!A2:G""),7,0))"),457.0)</f>
        <v>457</v>
      </c>
      <c r="N1025" s="62">
        <f t="shared" si="4"/>
        <v>4.989059081</v>
      </c>
      <c r="O1025" s="28"/>
      <c r="P1025" s="28"/>
      <c r="Q1025" s="28"/>
      <c r="R1025" s="28"/>
      <c r="S1025" s="28"/>
      <c r="T1025" s="28"/>
      <c r="U1025" s="65"/>
      <c r="V1025" s="28"/>
      <c r="W1025" s="65"/>
      <c r="X1025" s="66" t="s">
        <v>358</v>
      </c>
      <c r="Y1025" s="65" t="str">
        <f t="shared" si="6"/>
        <v>LAGUNA 93DB</v>
      </c>
    </row>
    <row r="1026">
      <c r="A1026" s="18" t="s">
        <v>1275</v>
      </c>
      <c r="B1026" s="91" t="str">
        <f t="shared" si="127"/>
        <v>9392-N</v>
      </c>
      <c r="C1026" s="15" t="s">
        <v>1319</v>
      </c>
      <c r="D1026" s="18" t="s">
        <v>220</v>
      </c>
      <c r="E1026" s="75">
        <f t="shared" ref="E1026:F1026" si="145">SUM(E1027:E1028)</f>
        <v>7050</v>
      </c>
      <c r="F1026" s="75">
        <f t="shared" si="145"/>
        <v>7770</v>
      </c>
      <c r="G1026" s="50">
        <f t="shared" si="128"/>
        <v>0.1021276596</v>
      </c>
      <c r="H1026" s="28"/>
      <c r="I1026" s="55">
        <f t="shared" si="2"/>
        <v>7424.664659</v>
      </c>
      <c r="J1026" s="81"/>
      <c r="K1026" s="60">
        <f>IFERROR(__xludf.DUMMYFUNCTION("IFERROR(VLOOKUP(C1026,IMPORTRANGE(""https://docs.google.com/spreadsheets/d/1HZUHB8NvANAZR0sHDmHYVAm2WE9kNv0pGIQA48Ryim8/edit?gid=1285727875#gid=1285727875"",""Sheet1!A2:G""),7,0))"),2095.63)</f>
        <v>2095.63</v>
      </c>
      <c r="L1026" s="62">
        <f t="shared" si="129"/>
        <v>3.36414348</v>
      </c>
      <c r="M1026" s="60">
        <f>IFERROR(__xludf.DUMMYFUNCTION("IFERROR(VLOOKUP(C1026,IMPORTRANGE(""https://docs.google.com/spreadsheets/d/1HZUHB8NvANAZR0sHDmHYVAm2WE9kNv0pGIQA48Ryim8/edit?gid=1285727875#gid=1285727875"",""Cost!A2:G""),7,0))"),2207.0)</f>
        <v>2207</v>
      </c>
      <c r="N1026" s="62">
        <f t="shared" si="4"/>
        <v>3.520616221</v>
      </c>
      <c r="O1026" s="28"/>
      <c r="P1026" s="28"/>
      <c r="Q1026" s="28"/>
      <c r="R1026" s="28"/>
      <c r="S1026" s="28"/>
      <c r="T1026" s="28"/>
      <c r="U1026" s="65"/>
      <c r="V1026" s="28"/>
      <c r="W1026" s="65"/>
      <c r="X1026" s="66" t="s">
        <v>219</v>
      </c>
      <c r="Y1026" s="65" t="str">
        <f t="shared" si="6"/>
        <v>LAGUNA 9392</v>
      </c>
    </row>
    <row r="1027">
      <c r="A1027" s="18" t="s">
        <v>1275</v>
      </c>
      <c r="B1027" s="91" t="str">
        <f t="shared" si="127"/>
        <v>PD-46-H-N</v>
      </c>
      <c r="C1027" s="15" t="s">
        <v>223</v>
      </c>
      <c r="D1027" s="18" t="s">
        <v>224</v>
      </c>
      <c r="E1027" s="39">
        <v>4980.0</v>
      </c>
      <c r="F1027" s="39">
        <v>5490.0</v>
      </c>
      <c r="G1027" s="50">
        <f t="shared" si="128"/>
        <v>0.1024096386</v>
      </c>
      <c r="H1027" s="28"/>
      <c r="I1027" s="55">
        <f t="shared" si="2"/>
        <v>5513.426362</v>
      </c>
      <c r="J1027" s="81"/>
      <c r="K1027" s="60">
        <f>IFERROR(__xludf.DUMMYFUNCTION("IFERROR(VLOOKUP(C1027,IMPORTRANGE(""https://docs.google.com/spreadsheets/d/1HZUHB8NvANAZR0sHDmHYVAm2WE9kNv0pGIQA48Ryim8/edit?gid=1285727875#gid=1285727875"",""Sheet1!A2:G""),7,0))"),1581.59)</f>
        <v>1581.59</v>
      </c>
      <c r="L1027" s="62">
        <f t="shared" si="129"/>
        <v>3.148730075</v>
      </c>
      <c r="M1027" s="60">
        <f>IFERROR(__xludf.DUMMYFUNCTION("IFERROR(VLOOKUP(C1027,IMPORTRANGE(""https://docs.google.com/spreadsheets/d/1HZUHB8NvANAZR0sHDmHYVAm2WE9kNv0pGIQA48Ryim8/edit?gid=1285727875#gid=1285727875"",""Cost!A2:G""),7,0))"),1751.0)</f>
        <v>1751</v>
      </c>
      <c r="N1027" s="62">
        <f t="shared" si="4"/>
        <v>3.135351228</v>
      </c>
      <c r="O1027" s="28"/>
      <c r="P1027" s="28"/>
      <c r="Q1027" s="28"/>
      <c r="R1027" s="28"/>
      <c r="S1027" s="28"/>
      <c r="T1027" s="28"/>
      <c r="U1027" s="65"/>
      <c r="V1027" s="28"/>
      <c r="W1027" s="65"/>
      <c r="X1027" s="66" t="s">
        <v>223</v>
      </c>
      <c r="Y1027" s="65" t="str">
        <f t="shared" si="6"/>
        <v>LAGUNA 93PD-46-H-N</v>
      </c>
    </row>
    <row r="1028">
      <c r="A1028" s="18" t="s">
        <v>1275</v>
      </c>
      <c r="B1028" s="91" t="str">
        <f t="shared" si="127"/>
        <v>DB-93-H-N</v>
      </c>
      <c r="C1028" s="15" t="s">
        <v>1312</v>
      </c>
      <c r="D1028" s="18" t="s">
        <v>217</v>
      </c>
      <c r="E1028" s="39">
        <v>2070.0</v>
      </c>
      <c r="F1028" s="39">
        <f>F1025</f>
        <v>2280</v>
      </c>
      <c r="G1028" s="50">
        <f t="shared" si="128"/>
        <v>0.1014492754</v>
      </c>
      <c r="H1028" s="28"/>
      <c r="I1028" s="55">
        <f t="shared" si="2"/>
        <v>1836.884815</v>
      </c>
      <c r="J1028" s="81"/>
      <c r="K1028" s="60">
        <f>IFERROR(__xludf.DUMMYFUNCTION("IFERROR(VLOOKUP(C1028,IMPORTRANGE(""https://docs.google.com/spreadsheets/d/1HZUHB8NvANAZR0sHDmHYVAm2WE9kNv0pGIQA48Ryim8/edit?gid=1285727875#gid=1285727875"",""Sheet1!A2:G""),7,0))"),513.87)</f>
        <v>513.87</v>
      </c>
      <c r="L1028" s="62">
        <f t="shared" si="129"/>
        <v>4.028256174</v>
      </c>
      <c r="M1028" s="60">
        <f>IFERROR(__xludf.DUMMYFUNCTION("IFERROR(VLOOKUP(C1028,IMPORTRANGE(""https://docs.google.com/spreadsheets/d/1HZUHB8NvANAZR0sHDmHYVAm2WE9kNv0pGIQA48Ryim8/edit?gid=1285727875#gid=1285727875"",""Cost!A2:G""),7,0))"),456.0)</f>
        <v>456</v>
      </c>
      <c r="N1028" s="62">
        <f t="shared" si="4"/>
        <v>5</v>
      </c>
      <c r="O1028" s="28"/>
      <c r="P1028" s="28"/>
      <c r="Q1028" s="28"/>
      <c r="R1028" s="28"/>
      <c r="S1028" s="28"/>
      <c r="T1028" s="28"/>
      <c r="U1028" s="65"/>
      <c r="V1028" s="28"/>
      <c r="W1028" s="65"/>
      <c r="X1028" s="66" t="s">
        <v>358</v>
      </c>
      <c r="Y1028" s="65" t="str">
        <f t="shared" si="6"/>
        <v>LAGUNA 93DB</v>
      </c>
    </row>
    <row r="1029">
      <c r="A1029" s="18" t="s">
        <v>1275</v>
      </c>
      <c r="B1029" s="91" t="str">
        <f t="shared" si="127"/>
        <v>9392-ON-OFF-N</v>
      </c>
      <c r="C1029" s="15" t="s">
        <v>1321</v>
      </c>
      <c r="D1029" s="18" t="s">
        <v>229</v>
      </c>
      <c r="E1029" s="75">
        <f t="shared" ref="E1029:F1029" si="146">SUM(E1030:E1031)</f>
        <v>7050</v>
      </c>
      <c r="F1029" s="75">
        <f t="shared" si="146"/>
        <v>7770</v>
      </c>
      <c r="G1029" s="50">
        <f t="shared" si="128"/>
        <v>0.1021276596</v>
      </c>
      <c r="H1029" s="28"/>
      <c r="I1029" s="55">
        <f t="shared" si="2"/>
        <v>7445.895433</v>
      </c>
      <c r="J1029" s="81"/>
      <c r="K1029" s="60">
        <f>IFERROR(__xludf.DUMMYFUNCTION("IFERROR(VLOOKUP(C1029,IMPORTRANGE(""https://docs.google.com/spreadsheets/d/1HZUHB8NvANAZR0sHDmHYVAm2WE9kNv0pGIQA48Ryim8/edit?gid=1285727875#gid=1285727875"",""Sheet1!A2:G""),7,0))"),1869.99)</f>
        <v>1869.99</v>
      </c>
      <c r="L1029" s="62">
        <f t="shared" si="129"/>
        <v>3.770073637</v>
      </c>
      <c r="M1029" s="60">
        <f>IFERROR(__xludf.DUMMYFUNCTION("IFERROR(VLOOKUP(C1029,IMPORTRANGE(""https://docs.google.com/spreadsheets/d/1HZUHB8NvANAZR0sHDmHYVAm2WE9kNv0pGIQA48Ryim8/edit?gid=1285727875#gid=1285727875"",""Cost!A2:G""),7,0))"),1975.0)</f>
        <v>1975</v>
      </c>
      <c r="N1029" s="62">
        <f t="shared" si="4"/>
        <v>3.934177215</v>
      </c>
      <c r="O1029" s="28"/>
      <c r="P1029" s="28"/>
      <c r="Q1029" s="28"/>
      <c r="R1029" s="28"/>
      <c r="S1029" s="28"/>
      <c r="T1029" s="28"/>
      <c r="U1029" s="65"/>
      <c r="V1029" s="28"/>
      <c r="W1029" s="65"/>
      <c r="X1029" s="66" t="s">
        <v>368</v>
      </c>
      <c r="Y1029" s="65" t="str">
        <f t="shared" si="6"/>
        <v>LAGUNA 9392-ON-OFF</v>
      </c>
    </row>
    <row r="1030">
      <c r="A1030" s="18" t="s">
        <v>1275</v>
      </c>
      <c r="B1030" s="91" t="str">
        <f t="shared" si="127"/>
        <v>PD-46-H-ON-OFF-N</v>
      </c>
      <c r="C1030" s="15" t="s">
        <v>234</v>
      </c>
      <c r="D1030" s="18" t="s">
        <v>235</v>
      </c>
      <c r="E1030" s="39">
        <f>E1027-240</f>
        <v>4740</v>
      </c>
      <c r="F1030" s="75">
        <f>F1027-$X$1</f>
        <v>5250</v>
      </c>
      <c r="G1030" s="50">
        <f t="shared" si="128"/>
        <v>0.1075949367</v>
      </c>
      <c r="H1030" s="28"/>
      <c r="I1030" s="55">
        <f t="shared" si="2"/>
        <v>5306.797906</v>
      </c>
      <c r="J1030" s="81"/>
      <c r="K1030" s="60">
        <f>IFERROR(__xludf.DUMMYFUNCTION("IFERROR(VLOOKUP(C1030,IMPORTRANGE(""https://docs.google.com/spreadsheets/d/1HZUHB8NvANAZR0sHDmHYVAm2WE9kNv0pGIQA48Ryim8/edit?gid=1285727875#gid=1285727875"",""Sheet1!A2:G""),7,0))"),1367.48)</f>
        <v>1367.48</v>
      </c>
      <c r="L1030" s="62">
        <f t="shared" si="129"/>
        <v>3.466229853</v>
      </c>
      <c r="M1030" s="60">
        <f>IFERROR(__xludf.DUMMYFUNCTION("IFERROR(VLOOKUP(C1030,IMPORTRANGE(""https://docs.google.com/spreadsheets/d/1HZUHB8NvANAZR0sHDmHYVAm2WE9kNv0pGIQA48Ryim8/edit?gid=1285727875#gid=1285727875"",""Cost!A2:G""),7,0))"),1531.0)</f>
        <v>1531</v>
      </c>
      <c r="N1030" s="62">
        <f t="shared" si="4"/>
        <v>3.429131287</v>
      </c>
      <c r="O1030" s="28"/>
      <c r="P1030" s="28"/>
      <c r="Q1030" s="28"/>
      <c r="R1030" s="28"/>
      <c r="S1030" s="28"/>
      <c r="T1030" s="28"/>
      <c r="U1030" s="65"/>
      <c r="V1030" s="28"/>
      <c r="W1030" s="65"/>
      <c r="X1030" s="66" t="s">
        <v>371</v>
      </c>
      <c r="Y1030" s="65" t="str">
        <f t="shared" si="6"/>
        <v>LAGUNA 93PD-ON-OFF</v>
      </c>
    </row>
    <row r="1031">
      <c r="A1031" s="18" t="s">
        <v>1275</v>
      </c>
      <c r="B1031" s="91" t="str">
        <f t="shared" si="127"/>
        <v>DB-93-H-ON-OFF-N</v>
      </c>
      <c r="C1031" s="15" t="s">
        <v>1314</v>
      </c>
      <c r="D1031" s="18" t="s">
        <v>217</v>
      </c>
      <c r="E1031" s="75">
        <f>E1028+240</f>
        <v>2310</v>
      </c>
      <c r="F1031" s="75">
        <f>F1028+$X$1</f>
        <v>2520</v>
      </c>
      <c r="G1031" s="50">
        <f t="shared" si="128"/>
        <v>0.09090909091</v>
      </c>
      <c r="H1031" s="28"/>
      <c r="I1031" s="55">
        <f t="shared" si="2"/>
        <v>2050.255951</v>
      </c>
      <c r="J1031" s="81"/>
      <c r="K1031" s="60">
        <f>IFERROR(__xludf.DUMMYFUNCTION("IFERROR(VLOOKUP(C1031,IMPORTRANGE(""https://docs.google.com/spreadsheets/d/1HZUHB8NvANAZR0sHDmHYVAm2WE9kNv0pGIQA48Ryim8/edit?gid=1285727875#gid=1285727875"",""Sheet1!A2:G""),7,0))"),513.77)</f>
        <v>513.77</v>
      </c>
      <c r="L1031" s="62">
        <f t="shared" si="129"/>
        <v>4.496175331</v>
      </c>
      <c r="M1031" s="60">
        <f>IFERROR(__xludf.DUMMYFUNCTION("IFERROR(VLOOKUP(C1031,IMPORTRANGE(""https://docs.google.com/spreadsheets/d/1HZUHB8NvANAZR0sHDmHYVAm2WE9kNv0pGIQA48Ryim8/edit?gid=1285727875#gid=1285727875"",""Cost!A2:G""),7,0))"),456.0)</f>
        <v>456</v>
      </c>
      <c r="N1031" s="62">
        <f t="shared" si="4"/>
        <v>5.526315789</v>
      </c>
      <c r="O1031" s="28"/>
      <c r="P1031" s="28"/>
      <c r="Q1031" s="28"/>
      <c r="R1031" s="28"/>
      <c r="S1031" s="28"/>
      <c r="T1031" s="28"/>
      <c r="U1031" s="65"/>
      <c r="V1031" s="28"/>
      <c r="W1031" s="65"/>
      <c r="X1031" s="66" t="s">
        <v>375</v>
      </c>
      <c r="Y1031" s="65" t="str">
        <f t="shared" si="6"/>
        <v>LAGUNA 93DB-ON-OFF</v>
      </c>
    </row>
    <row r="1032">
      <c r="A1032" s="18" t="s">
        <v>1275</v>
      </c>
      <c r="B1032" s="91"/>
      <c r="C1032" s="15" t="s">
        <v>1322</v>
      </c>
      <c r="D1032" s="18" t="s">
        <v>220</v>
      </c>
      <c r="E1032" s="97" t="s">
        <v>377</v>
      </c>
      <c r="F1032" s="75">
        <f>SUM(F1033:F1034)</f>
        <v>7770</v>
      </c>
      <c r="G1032" s="50"/>
      <c r="H1032" s="28"/>
      <c r="I1032" s="55">
        <f t="shared" si="2"/>
        <v>0</v>
      </c>
      <c r="J1032" s="81"/>
      <c r="K1032" s="60"/>
      <c r="L1032" s="62"/>
      <c r="M1032" s="60">
        <f>SUM(M1033:M1034)</f>
        <v>2189.39</v>
      </c>
      <c r="N1032" s="62">
        <f t="shared" si="4"/>
        <v>3.548933721</v>
      </c>
      <c r="O1032" s="28"/>
      <c r="P1032" s="28"/>
      <c r="Q1032" s="28"/>
      <c r="R1032" s="28"/>
      <c r="S1032" s="28"/>
      <c r="T1032" s="28"/>
      <c r="U1032" s="65"/>
      <c r="V1032" s="28"/>
      <c r="W1032" s="65"/>
      <c r="X1032" s="66" t="s">
        <v>380</v>
      </c>
      <c r="Y1032" s="65" t="str">
        <f t="shared" si="6"/>
        <v>LAGUNA 9392-P</v>
      </c>
    </row>
    <row r="1033">
      <c r="A1033" s="18" t="s">
        <v>1275</v>
      </c>
      <c r="B1033" s="91"/>
      <c r="C1033" s="15" t="s">
        <v>381</v>
      </c>
      <c r="D1033" s="18" t="s">
        <v>382</v>
      </c>
      <c r="E1033" s="97" t="s">
        <v>377</v>
      </c>
      <c r="F1033" s="39">
        <f>F1027-$Y$1</f>
        <v>4990</v>
      </c>
      <c r="G1033" s="50"/>
      <c r="H1033" s="28"/>
      <c r="I1033" s="55">
        <f t="shared" si="2"/>
        <v>0</v>
      </c>
      <c r="J1033" s="81"/>
      <c r="K1033" s="60"/>
      <c r="L1033" s="62"/>
      <c r="M1033" s="60">
        <f>IFERROR(__xludf.DUMMYFUNCTION("IFERROR(VLOOKUP(C1033,IMPORTRANGE(""https://docs.google.com/spreadsheets/d/1HZUHB8NvANAZR0sHDmHYVAm2WE9kNv0pGIQA48Ryim8/edit?gid=1285727875#gid=1285727875"",""Diverter &amp; Upper!A2:B""),2,0))"),1585.45)</f>
        <v>1585.45</v>
      </c>
      <c r="N1033" s="62">
        <f t="shared" si="4"/>
        <v>3.147371409</v>
      </c>
      <c r="O1033" s="28"/>
      <c r="P1033" s="28"/>
      <c r="Q1033" s="28"/>
      <c r="R1033" s="28"/>
      <c r="S1033" s="28"/>
      <c r="T1033" s="28"/>
      <c r="U1033" s="65"/>
      <c r="V1033" s="28"/>
      <c r="W1033" s="65"/>
      <c r="X1033" s="66" t="s">
        <v>381</v>
      </c>
      <c r="Y1033" s="65" t="str">
        <f t="shared" si="6"/>
        <v>LAGUNA 93PD-46-H-P</v>
      </c>
    </row>
    <row r="1034">
      <c r="A1034" s="18" t="s">
        <v>1275</v>
      </c>
      <c r="B1034" s="91"/>
      <c r="C1034" s="15" t="s">
        <v>1323</v>
      </c>
      <c r="D1034" s="18" t="s">
        <v>386</v>
      </c>
      <c r="E1034" s="97" t="s">
        <v>377</v>
      </c>
      <c r="F1034" s="39">
        <f>F1028+$Y$1</f>
        <v>2780</v>
      </c>
      <c r="G1034" s="50"/>
      <c r="H1034" s="28"/>
      <c r="I1034" s="55">
        <f t="shared" si="2"/>
        <v>0</v>
      </c>
      <c r="J1034" s="81"/>
      <c r="K1034" s="60"/>
      <c r="L1034" s="62"/>
      <c r="M1034" s="60">
        <f>IFERROR(__xludf.DUMMYFUNCTION("IFERROR(VLOOKUP(C1034,IMPORTRANGE(""https://docs.google.com/spreadsheets/d/1HZUHB8NvANAZR0sHDmHYVAm2WE9kNv0pGIQA48Ryim8/edit?gid=1285727875#gid=1285727875"",""Diverter &amp; Upper!A2:B""),2,0))"),603.94)</f>
        <v>603.94</v>
      </c>
      <c r="N1034" s="62">
        <f t="shared" si="4"/>
        <v>4.603106269</v>
      </c>
      <c r="O1034" s="28"/>
      <c r="P1034" s="28"/>
      <c r="Q1034" s="28"/>
      <c r="R1034" s="28"/>
      <c r="S1034" s="28"/>
      <c r="T1034" s="28"/>
      <c r="U1034" s="65"/>
      <c r="V1034" s="28"/>
      <c r="W1034" s="65"/>
      <c r="X1034" s="66" t="s">
        <v>387</v>
      </c>
      <c r="Y1034" s="65" t="str">
        <f t="shared" si="6"/>
        <v>LAGUNA 93DB-P</v>
      </c>
    </row>
    <row r="1035">
      <c r="A1035" s="18" t="s">
        <v>1275</v>
      </c>
      <c r="B1035" s="91"/>
      <c r="C1035" s="15" t="s">
        <v>1324</v>
      </c>
      <c r="D1035" s="18" t="s">
        <v>229</v>
      </c>
      <c r="E1035" s="97" t="s">
        <v>377</v>
      </c>
      <c r="F1035" s="75">
        <f>SUM(F1036:F1037)</f>
        <v>7770</v>
      </c>
      <c r="G1035" s="50"/>
      <c r="H1035" s="28"/>
      <c r="I1035" s="55">
        <f t="shared" si="2"/>
        <v>0</v>
      </c>
      <c r="J1035" s="81"/>
      <c r="K1035" s="60"/>
      <c r="L1035" s="62"/>
      <c r="M1035" s="60">
        <f>SUM(M1036:M1037)</f>
        <v>1972.93</v>
      </c>
      <c r="N1035" s="62">
        <f t="shared" si="4"/>
        <v>3.938304958</v>
      </c>
      <c r="O1035" s="28"/>
      <c r="P1035" s="28"/>
      <c r="Q1035" s="28"/>
      <c r="R1035" s="28"/>
      <c r="S1035" s="28"/>
      <c r="T1035" s="28"/>
      <c r="U1035" s="65"/>
      <c r="V1035" s="28"/>
      <c r="W1035" s="65"/>
      <c r="X1035" s="66" t="s">
        <v>391</v>
      </c>
      <c r="Y1035" s="65" t="str">
        <f t="shared" si="6"/>
        <v>LAGUNA 9392-ON-OFF-P</v>
      </c>
    </row>
    <row r="1036">
      <c r="A1036" s="18" t="s">
        <v>1275</v>
      </c>
      <c r="B1036" s="91"/>
      <c r="C1036" s="15" t="s">
        <v>392</v>
      </c>
      <c r="D1036" s="18" t="s">
        <v>393</v>
      </c>
      <c r="E1036" s="97" t="s">
        <v>377</v>
      </c>
      <c r="F1036" s="39">
        <f>F1033-$X$1</f>
        <v>4750</v>
      </c>
      <c r="G1036" s="50"/>
      <c r="H1036" s="28"/>
      <c r="I1036" s="55">
        <f t="shared" si="2"/>
        <v>0</v>
      </c>
      <c r="J1036" s="81"/>
      <c r="K1036" s="60"/>
      <c r="L1036" s="62"/>
      <c r="M1036" s="60">
        <f>IFERROR(__xludf.DUMMYFUNCTION("IFERROR(VLOOKUP(C1036,IMPORTRANGE(""https://docs.google.com/spreadsheets/d/1HZUHB8NvANAZR0sHDmHYVAm2WE9kNv0pGIQA48Ryim8/edit?gid=1285727875#gid=1285727875"",""Diverter &amp; Upper!A2:B""),2,0))"),1357.68)</f>
        <v>1357.68</v>
      </c>
      <c r="N1036" s="62">
        <f t="shared" si="4"/>
        <v>3.498615285</v>
      </c>
      <c r="O1036" s="28"/>
      <c r="P1036" s="28"/>
      <c r="Q1036" s="28"/>
      <c r="R1036" s="28"/>
      <c r="S1036" s="28"/>
      <c r="T1036" s="28"/>
      <c r="U1036" s="65"/>
      <c r="V1036" s="28"/>
      <c r="W1036" s="65"/>
      <c r="X1036" s="66" t="s">
        <v>396</v>
      </c>
      <c r="Y1036" s="65" t="str">
        <f t="shared" si="6"/>
        <v>LAGUNA 93PD-ON-OFF-P</v>
      </c>
    </row>
    <row r="1037">
      <c r="A1037" s="18" t="s">
        <v>1275</v>
      </c>
      <c r="B1037" s="91"/>
      <c r="C1037" s="15" t="s">
        <v>1325</v>
      </c>
      <c r="D1037" s="18" t="s">
        <v>386</v>
      </c>
      <c r="E1037" s="97" t="s">
        <v>377</v>
      </c>
      <c r="F1037" s="39">
        <f>F1034+$X$1</f>
        <v>3020</v>
      </c>
      <c r="G1037" s="50"/>
      <c r="H1037" s="28"/>
      <c r="I1037" s="55">
        <f t="shared" si="2"/>
        <v>0</v>
      </c>
      <c r="J1037" s="81"/>
      <c r="K1037" s="60"/>
      <c r="L1037" s="62"/>
      <c r="M1037" s="60">
        <f>IFERROR(__xludf.DUMMYFUNCTION("IFERROR(VLOOKUP(C1037,IMPORTRANGE(""https://docs.google.com/spreadsheets/d/1HZUHB8NvANAZR0sHDmHYVAm2WE9kNv0pGIQA48Ryim8/edit?gid=1285727875#gid=1285727875"",""Diverter &amp; Upper!A2:B""),2,0))"),615.25)</f>
        <v>615.25</v>
      </c>
      <c r="N1037" s="62">
        <f t="shared" si="4"/>
        <v>4.908573751</v>
      </c>
      <c r="O1037" s="28"/>
      <c r="P1037" s="28"/>
      <c r="Q1037" s="28"/>
      <c r="R1037" s="28"/>
      <c r="S1037" s="28"/>
      <c r="T1037" s="28"/>
      <c r="U1037" s="65"/>
      <c r="V1037" s="28"/>
      <c r="W1037" s="65"/>
      <c r="X1037" s="66" t="s">
        <v>400</v>
      </c>
      <c r="Y1037" s="65" t="str">
        <f t="shared" si="6"/>
        <v>LAGUNA 93DB-ON-OFF-P</v>
      </c>
    </row>
    <row r="1038">
      <c r="A1038" s="18" t="s">
        <v>1275</v>
      </c>
      <c r="B1038" s="91" t="str">
        <f t="shared" ref="B1038:B1317" si="148">C1038</f>
        <v>9393-N</v>
      </c>
      <c r="C1038" s="15" t="s">
        <v>1326</v>
      </c>
      <c r="D1038" s="18" t="s">
        <v>241</v>
      </c>
      <c r="E1038" s="75">
        <f t="shared" ref="E1038:F1038" si="147">SUM(E1039:E1040)</f>
        <v>7050</v>
      </c>
      <c r="F1038" s="75">
        <f t="shared" si="147"/>
        <v>7770</v>
      </c>
      <c r="G1038" s="50">
        <f t="shared" ref="G1038:G1317" si="149">IFERROR((F1038-E1038)/E1038,"")</f>
        <v>0.1021276596</v>
      </c>
      <c r="H1038" s="28"/>
      <c r="I1038" s="55">
        <f t="shared" si="2"/>
        <v>7294.508077</v>
      </c>
      <c r="J1038" s="81"/>
      <c r="K1038" s="60">
        <f>IFERROR(__xludf.DUMMYFUNCTION("IFERROR(VLOOKUP(C1038,IMPORTRANGE(""https://docs.google.com/spreadsheets/d/1HZUHB8NvANAZR0sHDmHYVAm2WE9kNv0pGIQA48Ryim8/edit?gid=1285727875#gid=1285727875"",""Sheet1!A2:G""),7,0))"),2059.57)</f>
        <v>2059.57</v>
      </c>
      <c r="L1038" s="62">
        <f t="shared" ref="L1038:L1317" si="150">IFERROR(E1038/$K1038,"")</f>
        <v>3.423044616</v>
      </c>
      <c r="M1038" s="60">
        <f>IFERROR(__xludf.DUMMYFUNCTION("IFERROR(VLOOKUP(C1038,IMPORTRANGE(""https://docs.google.com/spreadsheets/d/1HZUHB8NvANAZR0sHDmHYVAm2WE9kNv0pGIQA48Ryim8/edit?gid=1285727875#gid=1285727875"",""Cost!A2:G""),7,0))"),2131.0)</f>
        <v>2131</v>
      </c>
      <c r="N1038" s="62">
        <f t="shared" si="4"/>
        <v>3.646175504</v>
      </c>
      <c r="O1038" s="28"/>
      <c r="P1038" s="28"/>
      <c r="Q1038" s="28"/>
      <c r="R1038" s="28"/>
      <c r="S1038" s="28"/>
      <c r="T1038" s="28"/>
      <c r="U1038" s="65"/>
      <c r="V1038" s="28"/>
      <c r="W1038" s="65"/>
      <c r="X1038" s="66" t="s">
        <v>239</v>
      </c>
      <c r="Y1038" s="65" t="str">
        <f t="shared" si="6"/>
        <v>LAGUNA 9393</v>
      </c>
    </row>
    <row r="1039">
      <c r="A1039" s="18" t="s">
        <v>1275</v>
      </c>
      <c r="B1039" s="91" t="str">
        <f t="shared" si="148"/>
        <v>PD-3 IN-N</v>
      </c>
      <c r="C1039" s="15" t="s">
        <v>243</v>
      </c>
      <c r="D1039" s="18" t="s">
        <v>244</v>
      </c>
      <c r="E1039" s="39">
        <v>4980.0</v>
      </c>
      <c r="F1039" s="39">
        <v>5490.0</v>
      </c>
      <c r="G1039" s="50">
        <f t="shared" si="149"/>
        <v>0.1024096386</v>
      </c>
      <c r="H1039" s="28"/>
      <c r="I1039" s="55">
        <f t="shared" si="2"/>
        <v>5395.785272</v>
      </c>
      <c r="J1039" s="81"/>
      <c r="K1039" s="60">
        <f>IFERROR(__xludf.DUMMYFUNCTION("IFERROR(VLOOKUP(C1039,IMPORTRANGE(""https://docs.google.com/spreadsheets/d/1HZUHB8NvANAZR0sHDmHYVAm2WE9kNv0pGIQA48Ryim8/edit?gid=1285727875#gid=1285727875"",""Sheet1!A2:G""),7,0))"),1543.16)</f>
        <v>1543.16</v>
      </c>
      <c r="L1039" s="62">
        <f t="shared" si="150"/>
        <v>3.227144301</v>
      </c>
      <c r="M1039" s="60">
        <f>IFERROR(__xludf.DUMMYFUNCTION("IFERROR(VLOOKUP(C1039,IMPORTRANGE(""https://docs.google.com/spreadsheets/d/1HZUHB8NvANAZR0sHDmHYVAm2WE9kNv0pGIQA48Ryim8/edit?gid=1285727875#gid=1285727875"",""Cost!A2:G""),7,0))"),1672.0)</f>
        <v>1672</v>
      </c>
      <c r="N1039" s="62">
        <f t="shared" si="4"/>
        <v>3.283492823</v>
      </c>
      <c r="O1039" s="28"/>
      <c r="P1039" s="28"/>
      <c r="Q1039" s="28"/>
      <c r="R1039" s="28"/>
      <c r="S1039" s="28"/>
      <c r="T1039" s="28"/>
      <c r="U1039" s="65"/>
      <c r="V1039" s="28"/>
      <c r="W1039" s="65"/>
      <c r="X1039" s="66" t="s">
        <v>243</v>
      </c>
      <c r="Y1039" s="65" t="str">
        <f t="shared" si="6"/>
        <v>LAGUNA 93PD-3 IN-N</v>
      </c>
    </row>
    <row r="1040">
      <c r="A1040" s="18" t="s">
        <v>1275</v>
      </c>
      <c r="B1040" s="91" t="str">
        <f t="shared" si="148"/>
        <v>DB-93-3 IN-N</v>
      </c>
      <c r="C1040" s="15" t="s">
        <v>1315</v>
      </c>
      <c r="D1040" s="18" t="s">
        <v>217</v>
      </c>
      <c r="E1040" s="39">
        <v>2070.0</v>
      </c>
      <c r="F1040" s="39">
        <f>F1025</f>
        <v>2280</v>
      </c>
      <c r="G1040" s="50">
        <f t="shared" si="149"/>
        <v>0.1014492754</v>
      </c>
      <c r="H1040" s="28"/>
      <c r="I1040" s="55">
        <f t="shared" si="2"/>
        <v>1837.242346</v>
      </c>
      <c r="J1040" s="81"/>
      <c r="K1040" s="60">
        <f>IFERROR(__xludf.DUMMYFUNCTION("IFERROR(VLOOKUP(C1040,IMPORTRANGE(""https://docs.google.com/spreadsheets/d/1HZUHB8NvANAZR0sHDmHYVAm2WE9kNv0pGIQA48Ryim8/edit?gid=1285727875#gid=1285727875"",""Sheet1!A2:G""),7,0))"),513.77)</f>
        <v>513.77</v>
      </c>
      <c r="L1040" s="62">
        <f t="shared" si="150"/>
        <v>4.029040232</v>
      </c>
      <c r="M1040" s="60">
        <f>IFERROR(__xludf.DUMMYFUNCTION("IFERROR(VLOOKUP(C1040,IMPORTRANGE(""https://docs.google.com/spreadsheets/d/1HZUHB8NvANAZR0sHDmHYVAm2WE9kNv0pGIQA48Ryim8/edit?gid=1285727875#gid=1285727875"",""Cost!A2:G""),7,0))"),456.0)</f>
        <v>456</v>
      </c>
      <c r="N1040" s="62">
        <f t="shared" si="4"/>
        <v>5</v>
      </c>
      <c r="O1040" s="28"/>
      <c r="P1040" s="28"/>
      <c r="Q1040" s="28"/>
      <c r="R1040" s="28"/>
      <c r="S1040" s="28"/>
      <c r="T1040" s="28"/>
      <c r="U1040" s="65"/>
      <c r="V1040" s="28"/>
      <c r="W1040" s="65"/>
      <c r="X1040" s="66" t="s">
        <v>358</v>
      </c>
      <c r="Y1040" s="65" t="str">
        <f t="shared" si="6"/>
        <v>LAGUNA 93DB</v>
      </c>
    </row>
    <row r="1041">
      <c r="A1041" s="18" t="s">
        <v>1275</v>
      </c>
      <c r="B1041" s="91" t="str">
        <f t="shared" si="148"/>
        <v>9393-ON-OFF-N</v>
      </c>
      <c r="C1041" s="15" t="s">
        <v>1327</v>
      </c>
      <c r="D1041" s="18" t="s">
        <v>250</v>
      </c>
      <c r="E1041" s="75">
        <f t="shared" ref="E1041:F1041" si="151">SUM(E1042:E1043)</f>
        <v>7050</v>
      </c>
      <c r="F1041" s="75">
        <f t="shared" si="151"/>
        <v>7770</v>
      </c>
      <c r="G1041" s="50">
        <f t="shared" si="149"/>
        <v>0.1021276596</v>
      </c>
      <c r="H1041" s="28"/>
      <c r="I1041" s="55">
        <f t="shared" si="2"/>
        <v>7390.620036</v>
      </c>
      <c r="J1041" s="81"/>
      <c r="K1041" s="60">
        <f>IFERROR(__xludf.DUMMYFUNCTION("IFERROR(VLOOKUP(C1041,IMPORTRANGE(""https://docs.google.com/spreadsheets/d/1HZUHB8NvANAZR0sHDmHYVAm2WE9kNv0pGIQA48Ryim8/edit?gid=1285727875#gid=1285727875"",""Sheet1!A2:G""),7,0))"),2077.62)</f>
        <v>2077.62</v>
      </c>
      <c r="L1041" s="62">
        <f t="shared" si="150"/>
        <v>3.393305802</v>
      </c>
      <c r="M1041" s="60">
        <f>IFERROR(__xludf.DUMMYFUNCTION("IFERROR(VLOOKUP(C1041,IMPORTRANGE(""https://docs.google.com/spreadsheets/d/1HZUHB8NvANAZR0sHDmHYVAm2WE9kNv0pGIQA48Ryim8/edit?gid=1285727875#gid=1285727875"",""Cost!A2:G""),7,0))"),2178.0)</f>
        <v>2178</v>
      </c>
      <c r="N1041" s="62">
        <f t="shared" si="4"/>
        <v>3.567493113</v>
      </c>
      <c r="O1041" s="28"/>
      <c r="P1041" s="28"/>
      <c r="Q1041" s="28"/>
      <c r="R1041" s="28"/>
      <c r="S1041" s="28"/>
      <c r="T1041" s="28"/>
      <c r="U1041" s="65"/>
      <c r="V1041" s="28"/>
      <c r="W1041" s="65"/>
      <c r="X1041" s="66" t="s">
        <v>410</v>
      </c>
      <c r="Y1041" s="65" t="str">
        <f t="shared" si="6"/>
        <v>LAGUNA 9393-ON-OFF</v>
      </c>
    </row>
    <row r="1042">
      <c r="A1042" s="18" t="s">
        <v>1275</v>
      </c>
      <c r="B1042" s="91" t="str">
        <f t="shared" si="148"/>
        <v>PD-3 IN-ON-OFF-N</v>
      </c>
      <c r="C1042" s="15" t="s">
        <v>253</v>
      </c>
      <c r="D1042" s="18" t="s">
        <v>256</v>
      </c>
      <c r="E1042" s="39">
        <f>E1039-240</f>
        <v>4740</v>
      </c>
      <c r="F1042" s="39">
        <f>F1039-$X$1</f>
        <v>5250</v>
      </c>
      <c r="G1042" s="50">
        <f t="shared" si="149"/>
        <v>0.1075949367</v>
      </c>
      <c r="H1042" s="28"/>
      <c r="I1042" s="55">
        <f t="shared" si="2"/>
        <v>5217.019108</v>
      </c>
      <c r="J1042" s="81"/>
      <c r="K1042" s="60">
        <f>IFERROR(__xludf.DUMMYFUNCTION("IFERROR(VLOOKUP(C1042,IMPORTRANGE(""https://docs.google.com/spreadsheets/d/1HZUHB8NvANAZR0sHDmHYVAm2WE9kNv0pGIQA48Ryim8/edit?gid=1285727875#gid=1285727875"",""Sheet1!A2:G""),7,0))"),1570.0)</f>
        <v>1570</v>
      </c>
      <c r="L1042" s="62">
        <f t="shared" si="150"/>
        <v>3.01910828</v>
      </c>
      <c r="M1042" s="60">
        <f>IFERROR(__xludf.DUMMYFUNCTION("IFERROR(VLOOKUP(C1042,IMPORTRANGE(""https://docs.google.com/spreadsheets/d/1HZUHB8NvANAZR0sHDmHYVAm2WE9kNv0pGIQA48Ryim8/edit?gid=1285727875#gid=1285727875"",""Cost!A2:G""),7,0))"),1728.0)</f>
        <v>1728</v>
      </c>
      <c r="N1042" s="62">
        <f t="shared" si="4"/>
        <v>3.038194444</v>
      </c>
      <c r="O1042" s="28"/>
      <c r="P1042" s="28"/>
      <c r="Q1042" s="28"/>
      <c r="R1042" s="28"/>
      <c r="S1042" s="28"/>
      <c r="T1042" s="28"/>
      <c r="U1042" s="65"/>
      <c r="V1042" s="28"/>
      <c r="W1042" s="65"/>
      <c r="X1042" s="66" t="s">
        <v>371</v>
      </c>
      <c r="Y1042" s="65" t="str">
        <f t="shared" si="6"/>
        <v>LAGUNA 93PD-ON-OFF</v>
      </c>
    </row>
    <row r="1043">
      <c r="A1043" s="18" t="s">
        <v>1275</v>
      </c>
      <c r="B1043" s="91" t="str">
        <f t="shared" si="148"/>
        <v>DB-93-3 IN-ON-OFF-N</v>
      </c>
      <c r="C1043" s="15" t="s">
        <v>1316</v>
      </c>
      <c r="D1043" s="18" t="s">
        <v>217</v>
      </c>
      <c r="E1043" s="75">
        <f>E1040+240</f>
        <v>2310</v>
      </c>
      <c r="F1043" s="75">
        <f>F1040+$X$1</f>
        <v>2520</v>
      </c>
      <c r="G1043" s="50">
        <f t="shared" si="149"/>
        <v>0.09090909091</v>
      </c>
      <c r="H1043" s="28"/>
      <c r="I1043" s="55">
        <f t="shared" si="2"/>
        <v>2050.255951</v>
      </c>
      <c r="J1043" s="81"/>
      <c r="K1043" s="60">
        <f>IFERROR(__xludf.DUMMYFUNCTION("IFERROR(VLOOKUP(C1043,IMPORTRANGE(""https://docs.google.com/spreadsheets/d/1HZUHB8NvANAZR0sHDmHYVAm2WE9kNv0pGIQA48Ryim8/edit?gid=1285727875#gid=1285727875"",""Sheet1!A2:G""),7,0))"),513.77)</f>
        <v>513.77</v>
      </c>
      <c r="L1043" s="62">
        <f t="shared" si="150"/>
        <v>4.496175331</v>
      </c>
      <c r="M1043" s="60">
        <f>IFERROR(__xludf.DUMMYFUNCTION("IFERROR(VLOOKUP(C1043,IMPORTRANGE(""https://docs.google.com/spreadsheets/d/1HZUHB8NvANAZR0sHDmHYVAm2WE9kNv0pGIQA48Ryim8/edit?gid=1285727875#gid=1285727875"",""Cost!A2:G""),7,0))"),456.0)</f>
        <v>456</v>
      </c>
      <c r="N1043" s="62">
        <f t="shared" si="4"/>
        <v>5.526315789</v>
      </c>
      <c r="O1043" s="28"/>
      <c r="P1043" s="28"/>
      <c r="Q1043" s="28"/>
      <c r="R1043" s="28"/>
      <c r="S1043" s="28"/>
      <c r="T1043" s="28"/>
      <c r="U1043" s="65"/>
      <c r="V1043" s="28"/>
      <c r="W1043" s="65"/>
      <c r="X1043" s="66" t="s">
        <v>375</v>
      </c>
      <c r="Y1043" s="65" t="str">
        <f t="shared" si="6"/>
        <v>LAGUNA 93DB-ON-OFF</v>
      </c>
    </row>
    <row r="1044">
      <c r="A1044" s="18" t="s">
        <v>1275</v>
      </c>
      <c r="B1044" s="91">
        <f t="shared" si="148"/>
        <v>9394</v>
      </c>
      <c r="C1044" s="15">
        <v>9394.0</v>
      </c>
      <c r="D1044" s="18" t="s">
        <v>263</v>
      </c>
      <c r="E1044" s="39">
        <v>9440.0</v>
      </c>
      <c r="F1044" s="39">
        <v>10320.0</v>
      </c>
      <c r="G1044" s="50">
        <f t="shared" si="149"/>
        <v>0.09322033898</v>
      </c>
      <c r="H1044" s="28"/>
      <c r="I1044" s="55">
        <f t="shared" si="2"/>
        <v>10320.75508</v>
      </c>
      <c r="J1044" s="81"/>
      <c r="K1044" s="60">
        <f>IFERROR(__xludf.DUMMYFUNCTION("IFERROR(VLOOKUP(C1044,IMPORTRANGE(""https://docs.google.com/spreadsheets/d/1HZUHB8NvANAZR0sHDmHYVAm2WE9kNv0pGIQA48Ryim8/edit?gid=1285727875#gid=1285727875"",""Sheet1!A2:G""),7,0))"),2609.53)</f>
        <v>2609.53</v>
      </c>
      <c r="L1044" s="62">
        <f t="shared" si="150"/>
        <v>3.617509666</v>
      </c>
      <c r="M1044" s="60">
        <f>IFERROR(__xludf.DUMMYFUNCTION("IFERROR(VLOOKUP(C1044,IMPORTRANGE(""https://docs.google.com/spreadsheets/d/1HZUHB8NvANAZR0sHDmHYVAm2WE9kNv0pGIQA48Ryim8/edit?gid=1285727875#gid=1285727875"",""Cost!A2:G""),7,0))"),2853.0)</f>
        <v>2853</v>
      </c>
      <c r="N1044" s="62">
        <f t="shared" si="4"/>
        <v>3.617245005</v>
      </c>
      <c r="O1044" s="28"/>
      <c r="P1044" s="28"/>
      <c r="Q1044" s="28"/>
      <c r="R1044" s="28"/>
      <c r="S1044" s="28"/>
      <c r="T1044" s="28"/>
      <c r="U1044" s="65"/>
      <c r="V1044" s="28"/>
      <c r="W1044" s="65"/>
      <c r="X1044" s="66" t="s">
        <v>260</v>
      </c>
      <c r="Y1044" s="65" t="str">
        <f t="shared" si="6"/>
        <v>LAGUNA 9394</v>
      </c>
    </row>
    <row r="1045">
      <c r="A1045" s="18" t="s">
        <v>1275</v>
      </c>
      <c r="B1045" s="91">
        <f t="shared" si="148"/>
        <v>9395</v>
      </c>
      <c r="C1045" s="15">
        <v>9395.0</v>
      </c>
      <c r="D1045" s="18" t="s">
        <v>265</v>
      </c>
      <c r="E1045" s="75">
        <v>2150.0</v>
      </c>
      <c r="F1045" s="39">
        <v>2380.0</v>
      </c>
      <c r="G1045" s="50">
        <f t="shared" si="149"/>
        <v>0.1069767442</v>
      </c>
      <c r="H1045" s="28"/>
      <c r="I1045" s="55">
        <f t="shared" si="2"/>
        <v>2374.615245</v>
      </c>
      <c r="J1045" s="81"/>
      <c r="K1045" s="60">
        <f>IFERROR(__xludf.DUMMYFUNCTION("IFERROR(VLOOKUP(C1045,IMPORTRANGE(""https://docs.google.com/spreadsheets/d/1HZUHB8NvANAZR0sHDmHYVAm2WE9kNv0pGIQA48Ryim8/edit?gid=1285727875#gid=1285727875"",""Sheet1!A2:G""),7,0))"),552.3)</f>
        <v>552.3</v>
      </c>
      <c r="L1045" s="62">
        <f t="shared" si="150"/>
        <v>3.892811878</v>
      </c>
      <c r="M1045" s="60">
        <f>IFERROR(__xludf.DUMMYFUNCTION("IFERROR(VLOOKUP(C1045,IMPORTRANGE(""https://docs.google.com/spreadsheets/d/1HZUHB8NvANAZR0sHDmHYVAm2WE9kNv0pGIQA48Ryim8/edit?gid=1285727875#gid=1285727875"",""Cost!A2:G""),7,0))"),610.0)</f>
        <v>610</v>
      </c>
      <c r="N1045" s="62">
        <f t="shared" si="4"/>
        <v>3.901639344</v>
      </c>
      <c r="O1045" s="28"/>
      <c r="P1045" s="28"/>
      <c r="Q1045" s="28"/>
      <c r="R1045" s="28"/>
      <c r="S1045" s="28"/>
      <c r="T1045" s="28"/>
      <c r="U1045" s="65"/>
      <c r="V1045" s="28"/>
      <c r="W1045" s="65"/>
      <c r="X1045" s="66" t="s">
        <v>264</v>
      </c>
      <c r="Y1045" s="65" t="str">
        <f t="shared" si="6"/>
        <v>LAGUNA 9395</v>
      </c>
    </row>
    <row r="1046">
      <c r="A1046" s="18" t="s">
        <v>1275</v>
      </c>
      <c r="B1046" s="91">
        <f t="shared" si="148"/>
        <v>9396</v>
      </c>
      <c r="C1046" s="15">
        <v>9396.0</v>
      </c>
      <c r="D1046" s="18" t="s">
        <v>268</v>
      </c>
      <c r="E1046" s="39">
        <v>2790.0</v>
      </c>
      <c r="F1046" s="39">
        <v>3090.0</v>
      </c>
      <c r="G1046" s="50">
        <f t="shared" si="149"/>
        <v>0.1075268817</v>
      </c>
      <c r="H1046" s="28"/>
      <c r="I1046" s="55">
        <f t="shared" si="2"/>
        <v>3093.075521</v>
      </c>
      <c r="J1046" s="81"/>
      <c r="K1046" s="60">
        <f>IFERROR(__xludf.DUMMYFUNCTION("IFERROR(VLOOKUP(C1046,IMPORTRANGE(""https://docs.google.com/spreadsheets/d/1HZUHB8NvANAZR0sHDmHYVAm2WE9kNv0pGIQA48Ryim8/edit?gid=1285727875#gid=1285727875"",""Sheet1!A2:G""),7,0))"),729.73)</f>
        <v>729.73</v>
      </c>
      <c r="L1046" s="62">
        <f t="shared" si="150"/>
        <v>3.823331917</v>
      </c>
      <c r="M1046" s="60">
        <f>IFERROR(__xludf.DUMMYFUNCTION("IFERROR(VLOOKUP(C1046,IMPORTRANGE(""https://docs.google.com/spreadsheets/d/1HZUHB8NvANAZR0sHDmHYVAm2WE9kNv0pGIQA48Ryim8/edit?gid=1285727875#gid=1285727875"",""Cost!A2:G""),7,0))"),809.0)</f>
        <v>809</v>
      </c>
      <c r="N1046" s="62">
        <f t="shared" si="4"/>
        <v>3.819530284</v>
      </c>
      <c r="O1046" s="28"/>
      <c r="P1046" s="28"/>
      <c r="Q1046" s="28"/>
      <c r="R1046" s="28"/>
      <c r="S1046" s="28"/>
      <c r="T1046" s="28"/>
      <c r="U1046" s="65"/>
      <c r="V1046" s="28"/>
      <c r="W1046" s="65"/>
      <c r="X1046" s="66" t="s">
        <v>267</v>
      </c>
      <c r="Y1046" s="65" t="str">
        <f t="shared" si="6"/>
        <v>LAGUNA 9396</v>
      </c>
    </row>
    <row r="1047">
      <c r="A1047" s="18" t="s">
        <v>1275</v>
      </c>
      <c r="B1047" s="91">
        <f t="shared" si="148"/>
        <v>9398</v>
      </c>
      <c r="C1047" s="15">
        <v>9398.0</v>
      </c>
      <c r="D1047" s="18" t="s">
        <v>272</v>
      </c>
      <c r="E1047" s="39">
        <v>3240.0</v>
      </c>
      <c r="F1047" s="39">
        <v>3490.0</v>
      </c>
      <c r="G1047" s="50">
        <f t="shared" si="149"/>
        <v>0.07716049383</v>
      </c>
      <c r="H1047" s="28"/>
      <c r="I1047" s="55">
        <f t="shared" si="2"/>
        <v>3499.649306</v>
      </c>
      <c r="J1047" s="81"/>
      <c r="K1047" s="60">
        <f>IFERROR(__xludf.DUMMYFUNCTION("IFERROR(VLOOKUP(C1047,IMPORTRANGE(""https://docs.google.com/spreadsheets/d/1HZUHB8NvANAZR0sHDmHYVAm2WE9kNv0pGIQA48Ryim8/edit?gid=1285727875#gid=1285727875"",""Sheet1!A2:G""),7,0))"),998.02)</f>
        <v>998.02</v>
      </c>
      <c r="L1047" s="62">
        <f t="shared" si="150"/>
        <v>3.246427927</v>
      </c>
      <c r="M1047" s="60">
        <f>IFERROR(__xludf.DUMMYFUNCTION("IFERROR(VLOOKUP(C1047,IMPORTRANGE(""https://docs.google.com/spreadsheets/d/1HZUHB8NvANAZR0sHDmHYVAm2WE9kNv0pGIQA48Ryim8/edit?gid=1285727875#gid=1285727875"",""Cost!A2:G""),7,0))"),1078.0)</f>
        <v>1078</v>
      </c>
      <c r="N1047" s="62">
        <f t="shared" si="4"/>
        <v>3.237476809</v>
      </c>
      <c r="O1047" s="28"/>
      <c r="P1047" s="28"/>
      <c r="Q1047" s="28"/>
      <c r="R1047" s="28"/>
      <c r="S1047" s="28"/>
      <c r="T1047" s="28"/>
      <c r="U1047" s="65"/>
      <c r="V1047" s="28"/>
      <c r="W1047" s="65"/>
      <c r="X1047" s="66" t="s">
        <v>271</v>
      </c>
      <c r="Y1047" s="65" t="str">
        <f t="shared" si="6"/>
        <v>LAGUNA 9398</v>
      </c>
    </row>
    <row r="1048">
      <c r="A1048" s="18" t="s">
        <v>1328</v>
      </c>
      <c r="B1048" s="91" t="str">
        <f t="shared" si="148"/>
        <v>BS-104</v>
      </c>
      <c r="C1048" s="46" t="s">
        <v>307</v>
      </c>
      <c r="D1048" s="48" t="s">
        <v>308</v>
      </c>
      <c r="E1048" s="39">
        <v>840.0</v>
      </c>
      <c r="F1048" s="172">
        <v>840.0</v>
      </c>
      <c r="G1048" s="50">
        <f t="shared" si="149"/>
        <v>0</v>
      </c>
      <c r="H1048" s="28"/>
      <c r="I1048" s="55">
        <f t="shared" si="2"/>
        <v>845.4651615</v>
      </c>
      <c r="J1048" s="81"/>
      <c r="K1048" s="60">
        <f>IFERROR(__xludf.DUMMYFUNCTION("IFERROR(VLOOKUP(C1048,IMPORTRANGE(""https://docs.google.com/spreadsheets/d/1HZUHB8NvANAZR0sHDmHYVAm2WE9kNv0pGIQA48Ryim8/edit?gid=1285727875#gid=1285727875"",""Sheet1!A2:G""),7,0))"),179.83)</f>
        <v>179.83</v>
      </c>
      <c r="L1048" s="62">
        <f t="shared" si="150"/>
        <v>4.671078241</v>
      </c>
      <c r="M1048" s="60">
        <f>IFERROR(__xludf.DUMMYFUNCTION("IFERROR(VLOOKUP(C1048,IMPORTRANGE(""https://docs.google.com/spreadsheets/d/1HZUHB8NvANAZR0sHDmHYVAm2WE9kNv0pGIQA48Ryim8/edit?gid=1285727875#gid=1285727875"",""Cost!A2:G""),7,0))"),181.0)</f>
        <v>181</v>
      </c>
      <c r="N1048" s="62">
        <f t="shared" si="4"/>
        <v>4.640883978</v>
      </c>
      <c r="O1048" s="28"/>
      <c r="P1048" s="28"/>
      <c r="Q1048" s="28"/>
      <c r="R1048" s="28"/>
      <c r="S1048" s="28"/>
      <c r="T1048" s="28"/>
      <c r="U1048" s="65"/>
      <c r="V1048" s="28"/>
      <c r="W1048" s="65"/>
      <c r="X1048" s="77"/>
      <c r="Y1048" s="28"/>
    </row>
    <row r="1049">
      <c r="A1049" s="18" t="s">
        <v>1328</v>
      </c>
      <c r="B1049" s="91" t="str">
        <f t="shared" si="148"/>
        <v>BS-41</v>
      </c>
      <c r="C1049" s="46" t="s">
        <v>310</v>
      </c>
      <c r="D1049" s="48" t="s">
        <v>312</v>
      </c>
      <c r="E1049" s="39">
        <v>690.0</v>
      </c>
      <c r="F1049" s="172">
        <v>690.0</v>
      </c>
      <c r="G1049" s="50">
        <f t="shared" si="149"/>
        <v>0</v>
      </c>
      <c r="H1049" s="28"/>
      <c r="I1049" s="55">
        <f t="shared" si="2"/>
        <v>700.1662558</v>
      </c>
      <c r="J1049" s="81"/>
      <c r="K1049" s="60">
        <f>IFERROR(__xludf.DUMMYFUNCTION("IFERROR(VLOOKUP(C1049,IMPORTRANGE(""https://docs.google.com/spreadsheets/d/1HZUHB8NvANAZR0sHDmHYVAm2WE9kNv0pGIQA48Ryim8/edit?gid=1285727875#gid=1285727875"",""Sheet1!A2:G""),7,0))"),174.43)</f>
        <v>174.43</v>
      </c>
      <c r="L1049" s="62">
        <f t="shared" si="150"/>
        <v>3.955741558</v>
      </c>
      <c r="M1049" s="60">
        <f>IFERROR(__xludf.DUMMYFUNCTION("IFERROR(VLOOKUP(C1049,IMPORTRANGE(""https://docs.google.com/spreadsheets/d/1HZUHB8NvANAZR0sHDmHYVAm2WE9kNv0pGIQA48Ryim8/edit?gid=1285727875#gid=1285727875"",""Cost!A2:G""),7,0))"),177.0)</f>
        <v>177</v>
      </c>
      <c r="N1049" s="62">
        <f t="shared" si="4"/>
        <v>3.898305085</v>
      </c>
      <c r="O1049" s="28"/>
      <c r="P1049" s="28"/>
      <c r="Q1049" s="28"/>
      <c r="R1049" s="28"/>
      <c r="S1049" s="28"/>
      <c r="T1049" s="28"/>
      <c r="U1049" s="65"/>
      <c r="V1049" s="28"/>
      <c r="W1049" s="65"/>
      <c r="X1049" s="77"/>
      <c r="Y1049" s="28"/>
    </row>
    <row r="1050">
      <c r="A1050" s="18" t="s">
        <v>1328</v>
      </c>
      <c r="B1050" s="91" t="str">
        <f t="shared" si="148"/>
        <v>BS-108</v>
      </c>
      <c r="C1050" s="46" t="s">
        <v>313</v>
      </c>
      <c r="D1050" s="48" t="s">
        <v>314</v>
      </c>
      <c r="E1050" s="39">
        <v>1730.0</v>
      </c>
      <c r="F1050" s="172">
        <v>1730.0</v>
      </c>
      <c r="G1050" s="50">
        <f t="shared" si="149"/>
        <v>0</v>
      </c>
      <c r="H1050" s="28"/>
      <c r="I1050" s="55">
        <f t="shared" si="2"/>
        <v>1732.775806</v>
      </c>
      <c r="J1050" s="81"/>
      <c r="K1050" s="60">
        <f>IFERROR(__xludf.DUMMYFUNCTION("IFERROR(VLOOKUP(C1050,IMPORTRANGE(""https://docs.google.com/spreadsheets/d/1HZUHB8NvANAZR0sHDmHYVAm2WE9kNv0pGIQA48Ryim8/edit?gid=1285727875#gid=1285727875"",""Sheet1!A2:G""),7,0))"),411.34)</f>
        <v>411.34</v>
      </c>
      <c r="L1050" s="62">
        <f t="shared" si="150"/>
        <v>4.205766519</v>
      </c>
      <c r="M1050" s="60">
        <f>IFERROR(__xludf.DUMMYFUNCTION("IFERROR(VLOOKUP(C1050,IMPORTRANGE(""https://docs.google.com/spreadsheets/d/1HZUHB8NvANAZR0sHDmHYVAm2WE9kNv0pGIQA48Ryim8/edit?gid=1285727875#gid=1285727875"",""Cost!A2:G""),7,0))"),412.0)</f>
        <v>412</v>
      </c>
      <c r="N1050" s="62">
        <f t="shared" si="4"/>
        <v>4.199029126</v>
      </c>
      <c r="O1050" s="28"/>
      <c r="P1050" s="28"/>
      <c r="Q1050" s="28"/>
      <c r="R1050" s="28"/>
      <c r="S1050" s="28"/>
      <c r="T1050" s="28"/>
      <c r="U1050" s="65"/>
      <c r="V1050" s="28"/>
      <c r="W1050" s="65"/>
      <c r="X1050" s="77"/>
      <c r="Y1050" s="28"/>
    </row>
    <row r="1051">
      <c r="A1051" s="18" t="s">
        <v>1328</v>
      </c>
      <c r="B1051" s="91" t="str">
        <f t="shared" si="148"/>
        <v>BS-1001</v>
      </c>
      <c r="C1051" s="46" t="s">
        <v>844</v>
      </c>
      <c r="D1051" s="48" t="s">
        <v>845</v>
      </c>
      <c r="E1051" s="39">
        <v>1030.0</v>
      </c>
      <c r="F1051" s="172">
        <v>1030.0</v>
      </c>
      <c r="G1051" s="50">
        <f t="shared" si="149"/>
        <v>0</v>
      </c>
      <c r="H1051" s="28"/>
      <c r="I1051" s="55">
        <f t="shared" si="2"/>
        <v>1028.693722</v>
      </c>
      <c r="J1051" s="81"/>
      <c r="K1051" s="60">
        <f>IFERROR(__xludf.DUMMYFUNCTION("IFERROR(VLOOKUP(C1051,IMPORTRANGE(""https://docs.google.com/spreadsheets/d/1HZUHB8NvANAZR0sHDmHYVAm2WE9kNv0pGIQA48Ryim8/edit?gid=1285727875#gid=1285727875"",""Sheet1!A2:G""),7,0))"),252.32)</f>
        <v>252.32</v>
      </c>
      <c r="L1051" s="62">
        <f t="shared" si="150"/>
        <v>4.082117945</v>
      </c>
      <c r="M1051" s="60">
        <f>IFERROR(__xludf.DUMMYFUNCTION("IFERROR(VLOOKUP(C1051,IMPORTRANGE(""https://docs.google.com/spreadsheets/d/1HZUHB8NvANAZR0sHDmHYVAm2WE9kNv0pGIQA48Ryim8/edit?gid=1285727875#gid=1285727875"",""Cost!A2:G""),7,0))"),252.0)</f>
        <v>252</v>
      </c>
      <c r="N1051" s="62">
        <f t="shared" si="4"/>
        <v>4.087301587</v>
      </c>
      <c r="O1051" s="28"/>
      <c r="P1051" s="28"/>
      <c r="Q1051" s="28"/>
      <c r="R1051" s="28"/>
      <c r="S1051" s="28"/>
      <c r="T1051" s="28"/>
      <c r="U1051" s="65"/>
      <c r="V1051" s="28"/>
      <c r="W1051" s="65"/>
      <c r="X1051" s="77"/>
      <c r="Y1051" s="28"/>
    </row>
    <row r="1052">
      <c r="A1052" s="18" t="s">
        <v>1328</v>
      </c>
      <c r="B1052" s="91" t="str">
        <f t="shared" si="148"/>
        <v>BS-1002</v>
      </c>
      <c r="C1052" s="46" t="s">
        <v>847</v>
      </c>
      <c r="D1052" s="48" t="s">
        <v>848</v>
      </c>
      <c r="E1052" s="39">
        <v>1030.0</v>
      </c>
      <c r="F1052" s="172">
        <v>1080.0</v>
      </c>
      <c r="G1052" s="50">
        <f t="shared" si="149"/>
        <v>0.04854368932</v>
      </c>
      <c r="H1052" s="28"/>
      <c r="I1052" s="55">
        <f t="shared" si="2"/>
        <v>1078.643054</v>
      </c>
      <c r="J1052" s="81"/>
      <c r="K1052" s="60">
        <f>IFERROR(__xludf.DUMMYFUNCTION("IFERROR(VLOOKUP(C1052,IMPORTRANGE(""https://docs.google.com/spreadsheets/d/1HZUHB8NvANAZR0sHDmHYVAm2WE9kNv0pGIQA48Ryim8/edit?gid=1285727875#gid=1285727875"",""Sheet1!A2:G""),7,0))"),247.32)</f>
        <v>247.32</v>
      </c>
      <c r="L1052" s="62">
        <f t="shared" si="150"/>
        <v>4.164644994</v>
      </c>
      <c r="M1052" s="60">
        <f>IFERROR(__xludf.DUMMYFUNCTION("IFERROR(VLOOKUP(C1052,IMPORTRANGE(""https://docs.google.com/spreadsheets/d/1HZUHB8NvANAZR0sHDmHYVAm2WE9kNv0pGIQA48Ryim8/edit?gid=1285727875#gid=1285727875"",""Cost!A2:G""),7,0))"),259.0)</f>
        <v>259</v>
      </c>
      <c r="N1052" s="62">
        <f t="shared" si="4"/>
        <v>4.16988417</v>
      </c>
      <c r="O1052" s="28"/>
      <c r="P1052" s="28"/>
      <c r="Q1052" s="28"/>
      <c r="R1052" s="28"/>
      <c r="S1052" s="28"/>
      <c r="T1052" s="28"/>
      <c r="U1052" s="65"/>
      <c r="V1052" s="28"/>
      <c r="W1052" s="65"/>
      <c r="X1052" s="77"/>
      <c r="Y1052" s="28"/>
    </row>
    <row r="1053">
      <c r="A1053" s="18" t="s">
        <v>1328</v>
      </c>
      <c r="B1053" s="91" t="str">
        <f t="shared" si="148"/>
        <v>BS-1003</v>
      </c>
      <c r="C1053" s="46" t="s">
        <v>850</v>
      </c>
      <c r="D1053" s="48" t="s">
        <v>851</v>
      </c>
      <c r="E1053" s="39">
        <v>1140.0</v>
      </c>
      <c r="F1053" s="172">
        <v>1190.0</v>
      </c>
      <c r="G1053" s="50">
        <f t="shared" si="149"/>
        <v>0.04385964912</v>
      </c>
      <c r="H1053" s="28"/>
      <c r="I1053" s="55">
        <f t="shared" si="2"/>
        <v>1194.278157</v>
      </c>
      <c r="J1053" s="81"/>
      <c r="K1053" s="60">
        <f>IFERROR(__xludf.DUMMYFUNCTION("IFERROR(VLOOKUP(C1053,IMPORTRANGE(""https://docs.google.com/spreadsheets/d/1HZUHB8NvANAZR0sHDmHYVAm2WE9kNv0pGIQA48Ryim8/edit?gid=1285727875#gid=1285727875"",""Sheet1!A2:G""),7,0))"),287.32)</f>
        <v>287.32</v>
      </c>
      <c r="L1053" s="62">
        <f t="shared" si="150"/>
        <v>3.967701517</v>
      </c>
      <c r="M1053" s="60">
        <f>IFERROR(__xludf.DUMMYFUNCTION("IFERROR(VLOOKUP(C1053,IMPORTRANGE(""https://docs.google.com/spreadsheets/d/1HZUHB8NvANAZR0sHDmHYVAm2WE9kNv0pGIQA48Ryim8/edit?gid=1285727875#gid=1285727875"",""Cost!A2:G""),7,0))"),301.0)</f>
        <v>301</v>
      </c>
      <c r="N1053" s="62">
        <f t="shared" si="4"/>
        <v>3.953488372</v>
      </c>
      <c r="O1053" s="28"/>
      <c r="P1053" s="28"/>
      <c r="Q1053" s="28"/>
      <c r="R1053" s="28"/>
      <c r="S1053" s="28"/>
      <c r="T1053" s="28"/>
      <c r="U1053" s="65"/>
      <c r="V1053" s="28"/>
      <c r="W1053" s="65"/>
      <c r="X1053" s="77"/>
      <c r="Y1053" s="28"/>
    </row>
    <row r="1054">
      <c r="A1054" s="18" t="s">
        <v>1328</v>
      </c>
      <c r="B1054" s="91" t="str">
        <f t="shared" si="148"/>
        <v>BS-1004</v>
      </c>
      <c r="C1054" s="46" t="s">
        <v>852</v>
      </c>
      <c r="D1054" s="48" t="s">
        <v>853</v>
      </c>
      <c r="E1054" s="39">
        <v>1140.0</v>
      </c>
      <c r="F1054" s="172">
        <v>1140.0</v>
      </c>
      <c r="G1054" s="50">
        <f t="shared" si="149"/>
        <v>0</v>
      </c>
      <c r="H1054" s="28"/>
      <c r="I1054" s="55">
        <f t="shared" si="2"/>
        <v>1142.422096</v>
      </c>
      <c r="J1054" s="81"/>
      <c r="K1054" s="60">
        <f>IFERROR(__xludf.DUMMYFUNCTION("IFERROR(VLOOKUP(C1054,IMPORTRANGE(""https://docs.google.com/spreadsheets/d/1HZUHB8NvANAZR0sHDmHYVAm2WE9kNv0pGIQA48Ryim8/edit?gid=1285727875#gid=1285727875"",""Sheet1!A2:G""),7,0))"),282.4)</f>
        <v>282.4</v>
      </c>
      <c r="L1054" s="62">
        <f t="shared" si="150"/>
        <v>4.036827195</v>
      </c>
      <c r="M1054" s="60">
        <f>IFERROR(__xludf.DUMMYFUNCTION("IFERROR(VLOOKUP(C1054,IMPORTRANGE(""https://docs.google.com/spreadsheets/d/1HZUHB8NvANAZR0sHDmHYVAm2WE9kNv0pGIQA48Ryim8/edit?gid=1285727875#gid=1285727875"",""Cost!A2:G""),7,0))"),283.0)</f>
        <v>283</v>
      </c>
      <c r="N1054" s="62">
        <f t="shared" si="4"/>
        <v>4.028268551</v>
      </c>
      <c r="O1054" s="28"/>
      <c r="P1054" s="28"/>
      <c r="Q1054" s="28"/>
      <c r="R1054" s="28"/>
      <c r="S1054" s="28"/>
      <c r="T1054" s="28"/>
      <c r="U1054" s="65"/>
      <c r="V1054" s="28"/>
      <c r="W1054" s="65"/>
      <c r="X1054" s="77"/>
      <c r="Y1054" s="28"/>
    </row>
    <row r="1055">
      <c r="A1055" s="18" t="s">
        <v>1328</v>
      </c>
      <c r="B1055" s="91" t="str">
        <f t="shared" si="148"/>
        <v>BS-109</v>
      </c>
      <c r="C1055" s="46" t="s">
        <v>317</v>
      </c>
      <c r="D1055" s="48" t="s">
        <v>318</v>
      </c>
      <c r="E1055" s="39">
        <v>930.0</v>
      </c>
      <c r="F1055" s="172">
        <v>990.0</v>
      </c>
      <c r="G1055" s="50">
        <f t="shared" si="149"/>
        <v>0.06451612903</v>
      </c>
      <c r="H1055" s="28"/>
      <c r="I1055" s="55">
        <f t="shared" si="2"/>
        <v>935.3991791</v>
      </c>
      <c r="J1055" s="81"/>
      <c r="K1055" s="60">
        <f>IFERROR(__xludf.DUMMYFUNCTION("IFERROR(VLOOKUP(C1055,IMPORTRANGE(""https://docs.google.com/spreadsheets/d/1HZUHB8NvANAZR0sHDmHYVAm2WE9kNv0pGIQA48Ryim8/edit?gid=1285727875#gid=1285727875"",""Sheet1!A2:G""),7,0))"),270.43)</f>
        <v>270.43</v>
      </c>
      <c r="L1055" s="62">
        <f t="shared" si="150"/>
        <v>3.43896757</v>
      </c>
      <c r="M1055" s="60">
        <f>IFERROR(__xludf.DUMMYFUNCTION("IFERROR(VLOOKUP(C1055,IMPORTRANGE(""https://docs.google.com/spreadsheets/d/1HZUHB8NvANAZR0sHDmHYVAm2WE9kNv0pGIQA48Ryim8/edit?gid=1285727875#gid=1285727875"",""Cost!A2:G""),7,0))"),272.0)</f>
        <v>272</v>
      </c>
      <c r="N1055" s="62">
        <f t="shared" si="4"/>
        <v>3.639705882</v>
      </c>
      <c r="O1055" s="28"/>
      <c r="P1055" s="28"/>
      <c r="Q1055" s="28"/>
      <c r="R1055" s="28"/>
      <c r="S1055" s="28"/>
      <c r="T1055" s="28"/>
      <c r="U1055" s="65"/>
      <c r="V1055" s="28"/>
      <c r="W1055" s="65"/>
      <c r="X1055" s="77"/>
      <c r="Y1055" s="28"/>
    </row>
    <row r="1056">
      <c r="A1056" s="18" t="s">
        <v>1328</v>
      </c>
      <c r="B1056" s="91" t="str">
        <f t="shared" si="148"/>
        <v>BS-112</v>
      </c>
      <c r="C1056" s="46" t="s">
        <v>319</v>
      </c>
      <c r="D1056" s="48" t="s">
        <v>320</v>
      </c>
      <c r="E1056" s="39">
        <v>940.0</v>
      </c>
      <c r="F1056" s="172">
        <v>990.0</v>
      </c>
      <c r="G1056" s="50">
        <f t="shared" si="149"/>
        <v>0.05319148936</v>
      </c>
      <c r="H1056" s="28"/>
      <c r="I1056" s="55">
        <f t="shared" si="2"/>
        <v>945.4572348</v>
      </c>
      <c r="J1056" s="81"/>
      <c r="K1056" s="60">
        <f>IFERROR(__xludf.DUMMYFUNCTION("IFERROR(VLOOKUP(C1056,IMPORTRANGE(""https://docs.google.com/spreadsheets/d/1HZUHB8NvANAZR0sHDmHYVAm2WE9kNv0pGIQA48Ryim8/edit?gid=1285727875#gid=1285727875"",""Sheet1!A2:G""),7,0))"),270.43)</f>
        <v>270.43</v>
      </c>
      <c r="L1056" s="62">
        <f t="shared" si="150"/>
        <v>3.475945716</v>
      </c>
      <c r="M1056" s="60">
        <f>IFERROR(__xludf.DUMMYFUNCTION("IFERROR(VLOOKUP(C1056,IMPORTRANGE(""https://docs.google.com/spreadsheets/d/1HZUHB8NvANAZR0sHDmHYVAm2WE9kNv0pGIQA48Ryim8/edit?gid=1285727875#gid=1285727875"",""Cost!A2:G""),7,0))"),272.0)</f>
        <v>272</v>
      </c>
      <c r="N1056" s="62">
        <f t="shared" si="4"/>
        <v>3.639705882</v>
      </c>
      <c r="O1056" s="28"/>
      <c r="P1056" s="28"/>
      <c r="Q1056" s="28"/>
      <c r="R1056" s="28"/>
      <c r="S1056" s="28"/>
      <c r="T1056" s="28"/>
      <c r="U1056" s="65"/>
      <c r="V1056" s="28"/>
      <c r="W1056" s="65"/>
      <c r="X1056" s="77"/>
      <c r="Y1056" s="28"/>
    </row>
    <row r="1057">
      <c r="A1057" s="18" t="s">
        <v>1328</v>
      </c>
      <c r="B1057" s="91" t="str">
        <f t="shared" si="148"/>
        <v>BS-73</v>
      </c>
      <c r="C1057" s="46" t="s">
        <v>278</v>
      </c>
      <c r="D1057" s="48" t="s">
        <v>279</v>
      </c>
      <c r="E1057" s="39">
        <v>1540.0</v>
      </c>
      <c r="F1057" s="172">
        <v>1540.0</v>
      </c>
      <c r="G1057" s="50">
        <f t="shared" si="149"/>
        <v>0</v>
      </c>
      <c r="H1057" s="28"/>
      <c r="I1057" s="55">
        <f t="shared" si="2"/>
        <v>1597.115106</v>
      </c>
      <c r="J1057" s="81"/>
      <c r="K1057" s="60">
        <f>IFERROR(__xludf.DUMMYFUNCTION("IFERROR(VLOOKUP(C1057,IMPORTRANGE(""https://docs.google.com/spreadsheets/d/1HZUHB8NvANAZR0sHDmHYVAm2WE9kNv0pGIQA48Ryim8/edit?gid=1285727875#gid=1285727875"",""Sheet1!A2:G""),7,0))"),379.91)</f>
        <v>379.91</v>
      </c>
      <c r="L1057" s="62">
        <f t="shared" si="150"/>
        <v>4.05359164</v>
      </c>
      <c r="M1057" s="60">
        <f>IFERROR(__xludf.DUMMYFUNCTION("IFERROR(VLOOKUP(C1057,IMPORTRANGE(""https://docs.google.com/spreadsheets/d/1HZUHB8NvANAZR0sHDmHYVAm2WE9kNv0pGIQA48Ryim8/edit?gid=1285727875#gid=1285727875"",""Cost!A2:G""),7,0))"),394.0)</f>
        <v>394</v>
      </c>
      <c r="N1057" s="62">
        <f t="shared" si="4"/>
        <v>3.908629442</v>
      </c>
      <c r="O1057" s="28"/>
      <c r="P1057" s="28"/>
      <c r="Q1057" s="28"/>
      <c r="R1057" s="28"/>
      <c r="S1057" s="28"/>
      <c r="T1057" s="28"/>
      <c r="U1057" s="65"/>
      <c r="V1057" s="28"/>
      <c r="W1057" s="65"/>
      <c r="X1057" s="77"/>
      <c r="Y1057" s="28"/>
    </row>
    <row r="1058">
      <c r="A1058" s="18" t="s">
        <v>1328</v>
      </c>
      <c r="B1058" s="91" t="str">
        <f t="shared" si="148"/>
        <v>BS-73SS</v>
      </c>
      <c r="C1058" s="46" t="s">
        <v>282</v>
      </c>
      <c r="D1058" s="48" t="s">
        <v>283</v>
      </c>
      <c r="E1058" s="39">
        <v>920.0</v>
      </c>
      <c r="F1058" s="172">
        <v>980.0</v>
      </c>
      <c r="G1058" s="50">
        <f t="shared" si="149"/>
        <v>0.0652173913</v>
      </c>
      <c r="H1058" s="28"/>
      <c r="I1058" s="55">
        <f t="shared" si="2"/>
        <v>1001.617769</v>
      </c>
      <c r="J1058" s="81"/>
      <c r="K1058" s="60">
        <f>IFERROR(__xludf.DUMMYFUNCTION("IFERROR(VLOOKUP(C1058,IMPORTRANGE(""https://docs.google.com/spreadsheets/d/1HZUHB8NvANAZR0sHDmHYVAm2WE9kNv0pGIQA48Ryim8/edit?gid=1285727875#gid=1285727875"",""Sheet1!A2:G""),7,0))"),228.71)</f>
        <v>228.71</v>
      </c>
      <c r="L1058" s="62">
        <f t="shared" si="150"/>
        <v>4.022561322</v>
      </c>
      <c r="M1058" s="60">
        <f>IFERROR(__xludf.DUMMYFUNCTION("IFERROR(VLOOKUP(C1058,IMPORTRANGE(""https://docs.google.com/spreadsheets/d/1HZUHB8NvANAZR0sHDmHYVAm2WE9kNv0pGIQA48Ryim8/edit?gid=1285727875#gid=1285727875"",""Cost!A2:G""),7,0))"),249.0)</f>
        <v>249</v>
      </c>
      <c r="N1058" s="62">
        <f t="shared" si="4"/>
        <v>3.935742972</v>
      </c>
      <c r="O1058" s="28"/>
      <c r="P1058" s="28"/>
      <c r="Q1058" s="28"/>
      <c r="R1058" s="28"/>
      <c r="S1058" s="28"/>
      <c r="T1058" s="28"/>
      <c r="U1058" s="65"/>
      <c r="V1058" s="28"/>
      <c r="W1058" s="65"/>
      <c r="X1058" s="77"/>
      <c r="Y1058" s="28"/>
    </row>
    <row r="1059">
      <c r="A1059" s="18" t="s">
        <v>1328</v>
      </c>
      <c r="B1059" s="91" t="str">
        <f t="shared" si="148"/>
        <v>BS-79</v>
      </c>
      <c r="C1059" s="46" t="s">
        <v>287</v>
      </c>
      <c r="D1059" s="48" t="s">
        <v>288</v>
      </c>
      <c r="E1059" s="39">
        <v>1680.0</v>
      </c>
      <c r="F1059" s="172">
        <v>1680.0</v>
      </c>
      <c r="G1059" s="50">
        <f t="shared" si="149"/>
        <v>0</v>
      </c>
      <c r="H1059" s="28"/>
      <c r="I1059" s="55">
        <f t="shared" si="2"/>
        <v>1732.343291</v>
      </c>
      <c r="J1059" s="81"/>
      <c r="K1059" s="60">
        <f>IFERROR(__xludf.DUMMYFUNCTION("IFERROR(VLOOKUP(C1059,IMPORTRANGE(""https://docs.google.com/spreadsheets/d/1HZUHB8NvANAZR0sHDmHYVAm2WE9kNv0pGIQA48Ryim8/edit?gid=1285727875#gid=1285727875"",""Sheet1!A2:G""),7,0))"),405.37)</f>
        <v>405.37</v>
      </c>
      <c r="L1059" s="62">
        <f t="shared" si="150"/>
        <v>4.144361941</v>
      </c>
      <c r="M1059" s="60">
        <f>IFERROR(__xludf.DUMMYFUNCTION("IFERROR(VLOOKUP(C1059,IMPORTRANGE(""https://docs.google.com/spreadsheets/d/1HZUHB8NvANAZR0sHDmHYVAm2WE9kNv0pGIQA48Ryim8/edit?gid=1285727875#gid=1285727875"",""Cost!A2:G""),7,0))"),418.0)</f>
        <v>418</v>
      </c>
      <c r="N1059" s="62">
        <f t="shared" si="4"/>
        <v>4.019138756</v>
      </c>
      <c r="O1059" s="28"/>
      <c r="P1059" s="28"/>
      <c r="Q1059" s="28"/>
      <c r="R1059" s="28"/>
      <c r="S1059" s="28"/>
      <c r="T1059" s="28"/>
      <c r="U1059" s="65"/>
      <c r="V1059" s="28"/>
      <c r="W1059" s="65"/>
      <c r="X1059" s="77"/>
      <c r="Y1059" s="28"/>
    </row>
    <row r="1060">
      <c r="A1060" s="18" t="s">
        <v>1328</v>
      </c>
      <c r="B1060" s="91" t="str">
        <f t="shared" si="148"/>
        <v>BS-79SS</v>
      </c>
      <c r="C1060" s="46" t="s">
        <v>291</v>
      </c>
      <c r="D1060" s="48" t="s">
        <v>292</v>
      </c>
      <c r="E1060" s="39">
        <v>1030.0</v>
      </c>
      <c r="F1060" s="172">
        <v>1090.0</v>
      </c>
      <c r="G1060" s="50">
        <f t="shared" si="149"/>
        <v>0.05825242718</v>
      </c>
      <c r="H1060" s="28"/>
      <c r="I1060" s="55">
        <f t="shared" si="2"/>
        <v>1106.306803</v>
      </c>
      <c r="J1060" s="81"/>
      <c r="K1060" s="60">
        <f>IFERROR(__xludf.DUMMYFUNCTION("IFERROR(VLOOKUP(C1060,IMPORTRANGE(""https://docs.google.com/spreadsheets/d/1HZUHB8NvANAZR0sHDmHYVAm2WE9kNv0pGIQA48Ryim8/edit?gid=1285727875#gid=1285727875"",""Sheet1!A2:G""),7,0))"),254.17)</f>
        <v>254.17</v>
      </c>
      <c r="L1060" s="62">
        <f t="shared" si="150"/>
        <v>4.05240587</v>
      </c>
      <c r="M1060" s="60">
        <f>IFERROR(__xludf.DUMMYFUNCTION("IFERROR(VLOOKUP(C1060,IMPORTRANGE(""https://docs.google.com/spreadsheets/d/1HZUHB8NvANAZR0sHDmHYVAm2WE9kNv0pGIQA48Ryim8/edit?gid=1285727875#gid=1285727875"",""Cost!A2:G""),7,0))"),273.0)</f>
        <v>273</v>
      </c>
      <c r="N1060" s="62">
        <f t="shared" si="4"/>
        <v>3.992673993</v>
      </c>
      <c r="O1060" s="28"/>
      <c r="P1060" s="28"/>
      <c r="Q1060" s="28"/>
      <c r="R1060" s="28"/>
      <c r="S1060" s="28"/>
      <c r="T1060" s="28"/>
      <c r="U1060" s="65"/>
      <c r="V1060" s="28"/>
      <c r="W1060" s="65"/>
      <c r="X1060" s="77"/>
      <c r="Y1060" s="28"/>
    </row>
    <row r="1061">
      <c r="A1061" s="18" t="s">
        <v>1328</v>
      </c>
      <c r="B1061" s="91" t="str">
        <f t="shared" si="148"/>
        <v>BS-78</v>
      </c>
      <c r="C1061" s="46" t="s">
        <v>295</v>
      </c>
      <c r="D1061" s="48" t="s">
        <v>296</v>
      </c>
      <c r="E1061" s="39">
        <v>1930.0</v>
      </c>
      <c r="F1061" s="172">
        <v>1990.0</v>
      </c>
      <c r="G1061" s="50">
        <f t="shared" si="149"/>
        <v>0.0310880829</v>
      </c>
      <c r="H1061" s="28"/>
      <c r="I1061" s="55">
        <f t="shared" si="2"/>
        <v>2029.617762</v>
      </c>
      <c r="J1061" s="81"/>
      <c r="K1061" s="60">
        <f>IFERROR(__xludf.DUMMYFUNCTION("IFERROR(VLOOKUP(C1061,IMPORTRANGE(""https://docs.google.com/spreadsheets/d/1HZUHB8NvANAZR0sHDmHYVAm2WE9kNv0pGIQA48Ryim8/edit?gid=1285727875#gid=1285727875"",""Sheet1!A2:G""),7,0))"),486.87)</f>
        <v>486.87</v>
      </c>
      <c r="L1061" s="62">
        <f t="shared" si="150"/>
        <v>3.964097192</v>
      </c>
      <c r="M1061" s="60">
        <f>IFERROR(__xludf.DUMMYFUNCTION("IFERROR(VLOOKUP(C1061,IMPORTRANGE(""https://docs.google.com/spreadsheets/d/1HZUHB8NvANAZR0sHDmHYVAm2WE9kNv0pGIQA48Ryim8/edit?gid=1285727875#gid=1285727875"",""Cost!A2:G""),7,0))"),512.0)</f>
        <v>512</v>
      </c>
      <c r="N1061" s="62">
        <f t="shared" si="4"/>
        <v>3.88671875</v>
      </c>
      <c r="O1061" s="28"/>
      <c r="P1061" s="28"/>
      <c r="Q1061" s="28"/>
      <c r="R1061" s="28"/>
      <c r="S1061" s="28"/>
      <c r="T1061" s="28"/>
      <c r="U1061" s="65"/>
      <c r="V1061" s="28"/>
      <c r="W1061" s="65"/>
      <c r="X1061" s="77"/>
      <c r="Y1061" s="28"/>
    </row>
    <row r="1062">
      <c r="A1062" s="18" t="s">
        <v>1328</v>
      </c>
      <c r="B1062" s="91" t="str">
        <f t="shared" si="148"/>
        <v>BS-78SS</v>
      </c>
      <c r="C1062" s="46" t="s">
        <v>298</v>
      </c>
      <c r="D1062" s="48" t="s">
        <v>299</v>
      </c>
      <c r="E1062" s="39">
        <v>1290.0</v>
      </c>
      <c r="F1062" s="172">
        <v>1390.0</v>
      </c>
      <c r="G1062" s="50">
        <f t="shared" si="149"/>
        <v>0.07751937984</v>
      </c>
      <c r="H1062" s="28"/>
      <c r="I1062" s="55">
        <f t="shared" si="2"/>
        <v>1410.490684</v>
      </c>
      <c r="J1062" s="81"/>
      <c r="K1062" s="60">
        <f>IFERROR(__xludf.DUMMYFUNCTION("IFERROR(VLOOKUP(C1062,IMPORTRANGE(""https://docs.google.com/spreadsheets/d/1HZUHB8NvANAZR0sHDmHYVAm2WE9kNv0pGIQA48Ryim8/edit?gid=1285727875#gid=1285727875"",""Sheet1!A2:G""),7,0))"),333.82)</f>
        <v>333.82</v>
      </c>
      <c r="L1062" s="62">
        <f t="shared" si="150"/>
        <v>3.864358037</v>
      </c>
      <c r="M1062" s="60">
        <f>IFERROR(__xludf.DUMMYFUNCTION("IFERROR(VLOOKUP(C1062,IMPORTRANGE(""https://docs.google.com/spreadsheets/d/1HZUHB8NvANAZR0sHDmHYVAm2WE9kNv0pGIQA48Ryim8/edit?gid=1285727875#gid=1285727875"",""Cost!A2:G""),7,0))"),365.0)</f>
        <v>365</v>
      </c>
      <c r="N1062" s="62">
        <f t="shared" si="4"/>
        <v>3.808219178</v>
      </c>
      <c r="O1062" s="28"/>
      <c r="P1062" s="28"/>
      <c r="Q1062" s="28"/>
      <c r="R1062" s="28"/>
      <c r="S1062" s="28"/>
      <c r="T1062" s="28"/>
      <c r="U1062" s="65"/>
      <c r="V1062" s="28"/>
      <c r="W1062" s="65"/>
      <c r="X1062" s="77"/>
      <c r="Y1062" s="28"/>
    </row>
    <row r="1063">
      <c r="A1063" s="18" t="s">
        <v>1328</v>
      </c>
      <c r="B1063" s="91" t="str">
        <f t="shared" si="148"/>
        <v>BS-89</v>
      </c>
      <c r="C1063" s="46" t="s">
        <v>301</v>
      </c>
      <c r="D1063" s="48" t="s">
        <v>302</v>
      </c>
      <c r="E1063" s="39">
        <v>2840.0</v>
      </c>
      <c r="F1063" s="172">
        <v>2840.0</v>
      </c>
      <c r="G1063" s="50">
        <f t="shared" si="149"/>
        <v>0</v>
      </c>
      <c r="H1063" s="28"/>
      <c r="I1063" s="55">
        <f t="shared" si="2"/>
        <v>2590.475212</v>
      </c>
      <c r="J1063" s="81"/>
      <c r="K1063" s="60">
        <f>IFERROR(__xludf.DUMMYFUNCTION("IFERROR(VLOOKUP(C1063,IMPORTRANGE(""https://docs.google.com/spreadsheets/d/1HZUHB8NvANAZR0sHDmHYVAm2WE9kNv0pGIQA48Ryim8/edit?gid=1285727875#gid=1285727875"",""Sheet1!A2:G""),7,0))"),778.39)</f>
        <v>778.39</v>
      </c>
      <c r="L1063" s="62">
        <f t="shared" si="150"/>
        <v>3.648556636</v>
      </c>
      <c r="M1063" s="60">
        <f>IFERROR(__xludf.DUMMYFUNCTION("IFERROR(VLOOKUP(C1063,IMPORTRANGE(""https://docs.google.com/spreadsheets/d/1HZUHB8NvANAZR0sHDmHYVAm2WE9kNv0pGIQA48Ryim8/edit?gid=1285727875#gid=1285727875"",""Cost!A2:G""),7,0))"),710.0)</f>
        <v>710</v>
      </c>
      <c r="N1063" s="62">
        <f t="shared" si="4"/>
        <v>4</v>
      </c>
      <c r="O1063" s="28"/>
      <c r="P1063" s="28"/>
      <c r="Q1063" s="28"/>
      <c r="R1063" s="28"/>
      <c r="S1063" s="28"/>
      <c r="T1063" s="28"/>
      <c r="U1063" s="65"/>
      <c r="V1063" s="28"/>
      <c r="W1063" s="65"/>
      <c r="X1063" s="77"/>
      <c r="Y1063" s="28"/>
    </row>
    <row r="1064">
      <c r="A1064" s="18" t="s">
        <v>1328</v>
      </c>
      <c r="B1064" s="91" t="str">
        <f t="shared" si="148"/>
        <v>BS-89SS</v>
      </c>
      <c r="C1064" s="46" t="s">
        <v>304</v>
      </c>
      <c r="D1064" s="48" t="s">
        <v>305</v>
      </c>
      <c r="E1064" s="39">
        <v>2190.0</v>
      </c>
      <c r="F1064" s="172">
        <v>2260.0</v>
      </c>
      <c r="G1064" s="50">
        <f t="shared" si="149"/>
        <v>0.03196347032</v>
      </c>
      <c r="H1064" s="28"/>
      <c r="I1064" s="55">
        <f t="shared" si="2"/>
        <v>2266.41407</v>
      </c>
      <c r="J1064" s="81"/>
      <c r="K1064" s="60">
        <f>IFERROR(__xludf.DUMMYFUNCTION("IFERROR(VLOOKUP(C1064,IMPORTRANGE(""https://docs.google.com/spreadsheets/d/1HZUHB8NvANAZR0sHDmHYVAm2WE9kNv0pGIQA48Ryim8/edit?gid=1285727875#gid=1285727875"",""Sheet1!A2:G""),7,0))"),530.49)</f>
        <v>530.49</v>
      </c>
      <c r="L1064" s="62">
        <f t="shared" si="150"/>
        <v>4.12825878</v>
      </c>
      <c r="M1064" s="60">
        <f>IFERROR(__xludf.DUMMYFUNCTION("IFERROR(VLOOKUP(C1064,IMPORTRANGE(""https://docs.google.com/spreadsheets/d/1HZUHB8NvANAZR0sHDmHYVAm2WE9kNv0pGIQA48Ryim8/edit?gid=1285727875#gid=1285727875"",""Cost!A2:G""),7,0))"),549.0)</f>
        <v>549</v>
      </c>
      <c r="N1064" s="62">
        <f t="shared" si="4"/>
        <v>4.116575592</v>
      </c>
      <c r="O1064" s="28"/>
      <c r="P1064" s="28"/>
      <c r="Q1064" s="28"/>
      <c r="R1064" s="28"/>
      <c r="S1064" s="28"/>
      <c r="T1064" s="28"/>
      <c r="U1064" s="65"/>
      <c r="V1064" s="28"/>
      <c r="W1064" s="65"/>
      <c r="X1064" s="77"/>
      <c r="Y1064" s="28"/>
    </row>
    <row r="1065">
      <c r="A1065" s="18" t="s">
        <v>1328</v>
      </c>
      <c r="B1065" s="91" t="str">
        <f t="shared" si="148"/>
        <v>BOS-04</v>
      </c>
      <c r="C1065" s="46" t="s">
        <v>323</v>
      </c>
      <c r="D1065" s="48" t="s">
        <v>324</v>
      </c>
      <c r="E1065" s="39">
        <v>2290.0</v>
      </c>
      <c r="F1065" s="172">
        <v>2460.0</v>
      </c>
      <c r="G1065" s="50">
        <f t="shared" si="149"/>
        <v>0.07423580786</v>
      </c>
      <c r="H1065" s="28"/>
      <c r="I1065" s="55">
        <f t="shared" si="2"/>
        <v>2454.860746</v>
      </c>
      <c r="J1065" s="81"/>
      <c r="K1065" s="60">
        <f>IFERROR(__xludf.DUMMYFUNCTION("IFERROR(VLOOKUP(C1065,IMPORTRANGE(""https://docs.google.com/spreadsheets/d/1HZUHB8NvANAZR0sHDmHYVAm2WE9kNv0pGIQA48Ryim8/edit?gid=1285727875#gid=1285727875"",""Sheet1!A2:G""),7,0))"),570.9)</f>
        <v>570.9</v>
      </c>
      <c r="L1065" s="62">
        <f t="shared" si="150"/>
        <v>4.01121037</v>
      </c>
      <c r="M1065" s="60">
        <f>IFERROR(__xludf.DUMMYFUNCTION("IFERROR(VLOOKUP(C1065,IMPORTRANGE(""https://docs.google.com/spreadsheets/d/1HZUHB8NvANAZR0sHDmHYVAm2WE9kNv0pGIQA48Ryim8/edit?gid=1285727875#gid=1285727875"",""Cost!A2:G""),7,0))"),612.0)</f>
        <v>612</v>
      </c>
      <c r="N1065" s="62">
        <f t="shared" si="4"/>
        <v>4.019607843</v>
      </c>
      <c r="O1065" s="28"/>
      <c r="P1065" s="28"/>
      <c r="Q1065" s="28"/>
      <c r="R1065" s="28"/>
      <c r="S1065" s="28"/>
      <c r="T1065" s="28"/>
      <c r="U1065" s="65"/>
      <c r="V1065" s="28"/>
      <c r="W1065" s="65"/>
      <c r="X1065" s="77"/>
      <c r="Y1065" s="28"/>
    </row>
    <row r="1066">
      <c r="A1066" s="18" t="s">
        <v>1328</v>
      </c>
      <c r="B1066" s="91" t="str">
        <f t="shared" si="148"/>
        <v>BS-30</v>
      </c>
      <c r="C1066" s="46" t="s">
        <v>325</v>
      </c>
      <c r="D1066" s="48" t="s">
        <v>326</v>
      </c>
      <c r="E1066" s="39">
        <v>1230.0</v>
      </c>
      <c r="F1066" s="172">
        <v>1290.0</v>
      </c>
      <c r="G1066" s="50">
        <f t="shared" si="149"/>
        <v>0.0487804878</v>
      </c>
      <c r="H1066" s="28"/>
      <c r="I1066" s="55">
        <f t="shared" si="2"/>
        <v>1308.597106</v>
      </c>
      <c r="J1066" s="81"/>
      <c r="K1066" s="60">
        <f>IFERROR(__xludf.DUMMYFUNCTION("IFERROR(VLOOKUP(C1066,IMPORTRANGE(""https://docs.google.com/spreadsheets/d/1HZUHB8NvANAZR0sHDmHYVAm2WE9kNv0pGIQA48Ryim8/edit?gid=1285727875#gid=1285727875"",""Sheet1!A2:G""),7,0))"),302.66)</f>
        <v>302.66</v>
      </c>
      <c r="L1066" s="62">
        <f t="shared" si="150"/>
        <v>4.063966167</v>
      </c>
      <c r="M1066" s="60">
        <f>IFERROR(__xludf.DUMMYFUNCTION("IFERROR(VLOOKUP(C1066,IMPORTRANGE(""https://docs.google.com/spreadsheets/d/1HZUHB8NvANAZR0sHDmHYVAm2WE9kNv0pGIQA48Ryim8/edit?gid=1285727875#gid=1285727875"",""Cost!A2:G""),7,0))"),322.0)</f>
        <v>322</v>
      </c>
      <c r="N1066" s="62">
        <f t="shared" si="4"/>
        <v>4.00621118</v>
      </c>
      <c r="O1066" s="28"/>
      <c r="P1066" s="28"/>
      <c r="Q1066" s="28"/>
      <c r="R1066" s="28"/>
      <c r="S1066" s="28"/>
      <c r="T1066" s="28"/>
      <c r="U1066" s="65"/>
      <c r="V1066" s="28"/>
      <c r="W1066" s="65"/>
      <c r="X1066" s="77"/>
      <c r="Y1066" s="28"/>
    </row>
    <row r="1067">
      <c r="A1067" s="18" t="s">
        <v>1328</v>
      </c>
      <c r="B1067" s="91" t="str">
        <f t="shared" si="148"/>
        <v>BS-30SS</v>
      </c>
      <c r="C1067" s="46" t="s">
        <v>327</v>
      </c>
      <c r="D1067" s="48" t="s">
        <v>328</v>
      </c>
      <c r="E1067" s="39">
        <v>920.0</v>
      </c>
      <c r="F1067" s="172">
        <v>920.0</v>
      </c>
      <c r="G1067" s="50">
        <f t="shared" si="149"/>
        <v>0</v>
      </c>
      <c r="H1067" s="28"/>
      <c r="I1067" s="55">
        <f t="shared" si="2"/>
        <v>873.9239218</v>
      </c>
      <c r="J1067" s="81"/>
      <c r="K1067" s="60">
        <f>IFERROR(__xludf.DUMMYFUNCTION("IFERROR(VLOOKUP(C1067,IMPORTRANGE(""https://docs.google.com/spreadsheets/d/1HZUHB8NvANAZR0sHDmHYVAm2WE9kNv0pGIQA48Ryim8/edit?gid=1285727875#gid=1285727875"",""Sheet1!A2:G""),7,0))"),235.81)</f>
        <v>235.81</v>
      </c>
      <c r="L1067" s="62">
        <f t="shared" si="150"/>
        <v>3.901446079</v>
      </c>
      <c r="M1067" s="60">
        <f>IFERROR(__xludf.DUMMYFUNCTION("IFERROR(VLOOKUP(C1067,IMPORTRANGE(""https://docs.google.com/spreadsheets/d/1HZUHB8NvANAZR0sHDmHYVAm2WE9kNv0pGIQA48Ryim8/edit?gid=1285727875#gid=1285727875"",""Cost!A2:G""),7,0))"),224.0)</f>
        <v>224</v>
      </c>
      <c r="N1067" s="62">
        <f t="shared" si="4"/>
        <v>4.107142857</v>
      </c>
      <c r="O1067" s="28"/>
      <c r="P1067" s="28"/>
      <c r="Q1067" s="28"/>
      <c r="R1067" s="28"/>
      <c r="S1067" s="28"/>
      <c r="T1067" s="28"/>
      <c r="U1067" s="65"/>
      <c r="V1067" s="28"/>
      <c r="W1067" s="65"/>
      <c r="X1067" s="77"/>
      <c r="Y1067" s="28"/>
    </row>
    <row r="1068">
      <c r="A1068" s="18" t="s">
        <v>1328</v>
      </c>
      <c r="B1068" s="91" t="str">
        <f t="shared" si="148"/>
        <v>BOS-41</v>
      </c>
      <c r="C1068" s="46" t="s">
        <v>331</v>
      </c>
      <c r="D1068" s="48" t="s">
        <v>332</v>
      </c>
      <c r="E1068" s="39">
        <v>1720.0</v>
      </c>
      <c r="F1068" s="172">
        <v>1840.0</v>
      </c>
      <c r="G1068" s="50">
        <f t="shared" si="149"/>
        <v>0.06976744186</v>
      </c>
      <c r="H1068" s="28"/>
      <c r="I1068" s="55">
        <f t="shared" si="2"/>
        <v>1834.839867</v>
      </c>
      <c r="J1068" s="81"/>
      <c r="K1068" s="60">
        <f>IFERROR(__xludf.DUMMYFUNCTION("IFERROR(VLOOKUP(C1068,IMPORTRANGE(""https://docs.google.com/spreadsheets/d/1HZUHB8NvANAZR0sHDmHYVAm2WE9kNv0pGIQA48Ryim8/edit?gid=1285727875#gid=1285727875"",""Sheet1!A2:G""),7,0))"),423.71)</f>
        <v>423.71</v>
      </c>
      <c r="L1068" s="62">
        <f t="shared" si="150"/>
        <v>4.059380236</v>
      </c>
      <c r="M1068" s="60">
        <f>IFERROR(__xludf.DUMMYFUNCTION("IFERROR(VLOOKUP(C1068,IMPORTRANGE(""https://docs.google.com/spreadsheets/d/1HZUHB8NvANAZR0sHDmHYVAm2WE9kNv0pGIQA48Ryim8/edit?gid=1285727875#gid=1285727875"",""Cost!A2:G""),7,0))"),452.0)</f>
        <v>452</v>
      </c>
      <c r="N1068" s="62">
        <f t="shared" si="4"/>
        <v>4.07079646</v>
      </c>
      <c r="O1068" s="28"/>
      <c r="P1068" s="28"/>
      <c r="Q1068" s="28"/>
      <c r="R1068" s="28"/>
      <c r="S1068" s="28"/>
      <c r="T1068" s="28"/>
      <c r="U1068" s="65"/>
      <c r="V1068" s="28"/>
      <c r="W1068" s="65"/>
      <c r="X1068" s="77"/>
      <c r="Y1068" s="28"/>
    </row>
    <row r="1069">
      <c r="A1069" s="18" t="s">
        <v>1328</v>
      </c>
      <c r="B1069" s="91" t="str">
        <f t="shared" si="148"/>
        <v>BOS-41SB</v>
      </c>
      <c r="C1069" s="46" t="s">
        <v>333</v>
      </c>
      <c r="D1069" s="48" t="s">
        <v>334</v>
      </c>
      <c r="E1069" s="39">
        <v>3090.0</v>
      </c>
      <c r="F1069" s="172">
        <v>3090.0</v>
      </c>
      <c r="G1069" s="50">
        <f t="shared" si="149"/>
        <v>0</v>
      </c>
      <c r="H1069" s="28"/>
      <c r="I1069" s="55">
        <f t="shared" si="2"/>
        <v>2919.230769</v>
      </c>
      <c r="J1069" s="81"/>
      <c r="K1069" s="60">
        <f>IFERROR(__xludf.DUMMYFUNCTION("IFERROR(VLOOKUP(C1069,IMPORTRANGE(""https://docs.google.com/spreadsheets/d/1HZUHB8NvANAZR0sHDmHYVAm2WE9kNv0pGIQA48Ryim8/edit?gid=1285727875#gid=1285727875"",""Sheet1!A2:G""),7,0))"),803.4)</f>
        <v>803.4</v>
      </c>
      <c r="L1069" s="62">
        <f t="shared" si="150"/>
        <v>3.846153846</v>
      </c>
      <c r="M1069" s="60">
        <f>IFERROR(__xludf.DUMMYFUNCTION("IFERROR(VLOOKUP(C1069,IMPORTRANGE(""https://docs.google.com/spreadsheets/d/1HZUHB8NvANAZR0sHDmHYVAm2WE9kNv0pGIQA48Ryim8/edit?gid=1285727875#gid=1285727875"",""Cost!A2:G""),7,0))"),759.0)</f>
        <v>759</v>
      </c>
      <c r="N1069" s="62">
        <f t="shared" si="4"/>
        <v>4.071146245</v>
      </c>
      <c r="O1069" s="28"/>
      <c r="P1069" s="28"/>
      <c r="Q1069" s="28"/>
      <c r="R1069" s="28"/>
      <c r="S1069" s="28"/>
      <c r="T1069" s="28"/>
      <c r="U1069" s="65"/>
      <c r="V1069" s="28"/>
      <c r="W1069" s="65"/>
      <c r="X1069" s="77"/>
      <c r="Y1069" s="28"/>
    </row>
    <row r="1070">
      <c r="A1070" s="18" t="s">
        <v>1328</v>
      </c>
      <c r="B1070" s="91" t="str">
        <f t="shared" si="148"/>
        <v>BOS-41SS</v>
      </c>
      <c r="C1070" s="46" t="s">
        <v>335</v>
      </c>
      <c r="D1070" s="48" t="s">
        <v>336</v>
      </c>
      <c r="E1070" s="39">
        <v>2290.0</v>
      </c>
      <c r="F1070" s="172">
        <v>2470.0</v>
      </c>
      <c r="G1070" s="50">
        <f t="shared" si="149"/>
        <v>0.07860262009</v>
      </c>
      <c r="H1070" s="28"/>
      <c r="I1070" s="55">
        <f t="shared" si="2"/>
        <v>2465.20252</v>
      </c>
      <c r="J1070" s="81"/>
      <c r="K1070" s="60">
        <f>IFERROR(__xludf.DUMMYFUNCTION("IFERROR(VLOOKUP(C1070,IMPORTRANGE(""https://docs.google.com/spreadsheets/d/1HZUHB8NvANAZR0sHDmHYVAm2WE9kNv0pGIQA48Ryim8/edit?gid=1285727875#gid=1285727875"",""Sheet1!A2:G""),7,0))"),555.5)</f>
        <v>555.5</v>
      </c>
      <c r="L1070" s="62">
        <f t="shared" si="150"/>
        <v>4.122412241</v>
      </c>
      <c r="M1070" s="60">
        <f>IFERROR(__xludf.DUMMYFUNCTION("IFERROR(VLOOKUP(C1070,IMPORTRANGE(""https://docs.google.com/spreadsheets/d/1HZUHB8NvANAZR0sHDmHYVAm2WE9kNv0pGIQA48Ryim8/edit?gid=1285727875#gid=1285727875"",""Cost!A2:G""),7,0))"),598.0)</f>
        <v>598</v>
      </c>
      <c r="N1070" s="62">
        <f t="shared" si="4"/>
        <v>4.130434783</v>
      </c>
      <c r="O1070" s="28"/>
      <c r="P1070" s="28"/>
      <c r="Q1070" s="28"/>
      <c r="R1070" s="28"/>
      <c r="S1070" s="28"/>
      <c r="T1070" s="28"/>
      <c r="U1070" s="65"/>
      <c r="V1070" s="28"/>
      <c r="W1070" s="65"/>
      <c r="X1070" s="77"/>
      <c r="Y1070" s="28"/>
    </row>
    <row r="1071">
      <c r="A1071" s="18" t="s">
        <v>1328</v>
      </c>
      <c r="B1071" s="91" t="str">
        <f t="shared" si="148"/>
        <v>BOS-42</v>
      </c>
      <c r="C1071" s="46" t="s">
        <v>337</v>
      </c>
      <c r="D1071" s="48" t="s">
        <v>338</v>
      </c>
      <c r="E1071" s="39">
        <v>1880.0</v>
      </c>
      <c r="F1071" s="172">
        <v>1960.0</v>
      </c>
      <c r="G1071" s="50">
        <f t="shared" si="149"/>
        <v>0.04255319149</v>
      </c>
      <c r="H1071" s="28"/>
      <c r="I1071" s="55">
        <f t="shared" si="2"/>
        <v>1954.79394</v>
      </c>
      <c r="J1071" s="81"/>
      <c r="K1071" s="60">
        <f>IFERROR(__xludf.DUMMYFUNCTION("IFERROR(VLOOKUP(C1071,IMPORTRANGE(""https://docs.google.com/spreadsheets/d/1HZUHB8NvANAZR0sHDmHYVAm2WE9kNv0pGIQA48Ryim8/edit?gid=1285727875#gid=1285727875"",""Sheet1!A2:G""),7,0))"),448.17)</f>
        <v>448.17</v>
      </c>
      <c r="L1071" s="62">
        <f t="shared" si="150"/>
        <v>4.194836781</v>
      </c>
      <c r="M1071" s="60">
        <f>IFERROR(__xludf.DUMMYFUNCTION("IFERROR(VLOOKUP(C1071,IMPORTRANGE(""https://docs.google.com/spreadsheets/d/1HZUHB8NvANAZR0sHDmHYVAm2WE9kNv0pGIQA48Ryim8/edit?gid=1285727875#gid=1285727875"",""Cost!A2:G""),7,0))"),466.0)</f>
        <v>466</v>
      </c>
      <c r="N1071" s="62">
        <f t="shared" si="4"/>
        <v>4.206008584</v>
      </c>
      <c r="O1071" s="28"/>
      <c r="P1071" s="28"/>
      <c r="Q1071" s="28"/>
      <c r="R1071" s="28"/>
      <c r="S1071" s="28"/>
      <c r="T1071" s="28"/>
      <c r="U1071" s="65"/>
      <c r="V1071" s="28"/>
      <c r="W1071" s="65"/>
      <c r="X1071" s="77"/>
      <c r="Y1071" s="28"/>
    </row>
    <row r="1072">
      <c r="A1072" s="18" t="s">
        <v>1328</v>
      </c>
      <c r="B1072" s="91" t="str">
        <f t="shared" si="148"/>
        <v>BOS-42SB</v>
      </c>
      <c r="C1072" s="46" t="s">
        <v>339</v>
      </c>
      <c r="D1072" s="48" t="s">
        <v>341</v>
      </c>
      <c r="E1072" s="39">
        <v>3450.0</v>
      </c>
      <c r="F1072" s="172">
        <v>3450.0</v>
      </c>
      <c r="G1072" s="50">
        <f t="shared" si="149"/>
        <v>0</v>
      </c>
      <c r="H1072" s="28"/>
      <c r="I1072" s="55">
        <f t="shared" si="2"/>
        <v>3223.442781</v>
      </c>
      <c r="J1072" s="81"/>
      <c r="K1072" s="60">
        <f>IFERROR(__xludf.DUMMYFUNCTION("IFERROR(VLOOKUP(C1072,IMPORTRANGE(""https://docs.google.com/spreadsheets/d/1HZUHB8NvANAZR0sHDmHYVAm2WE9kNv0pGIQA48Ryim8/edit?gid=1285727875#gid=1285727875"",""Sheet1!A2:G""),7,0))"),828.4)</f>
        <v>828.4</v>
      </c>
      <c r="L1072" s="62">
        <f t="shared" si="150"/>
        <v>4.164654756</v>
      </c>
      <c r="M1072" s="60">
        <f>IFERROR(__xludf.DUMMYFUNCTION("IFERROR(VLOOKUP(C1072,IMPORTRANGE(""https://docs.google.com/spreadsheets/d/1HZUHB8NvANAZR0sHDmHYVAm2WE9kNv0pGIQA48Ryim8/edit?gid=1285727875#gid=1285727875"",""Cost!A2:G""),7,0))"),774.0)</f>
        <v>774</v>
      </c>
      <c r="N1072" s="62">
        <f t="shared" si="4"/>
        <v>4.457364341</v>
      </c>
      <c r="O1072" s="28"/>
      <c r="P1072" s="28"/>
      <c r="Q1072" s="28"/>
      <c r="R1072" s="28"/>
      <c r="S1072" s="28"/>
      <c r="T1072" s="28"/>
      <c r="U1072" s="65"/>
      <c r="V1072" s="28"/>
      <c r="W1072" s="65"/>
      <c r="X1072" s="77"/>
      <c r="Y1072" s="28"/>
    </row>
    <row r="1073">
      <c r="A1073" s="18" t="s">
        <v>1328</v>
      </c>
      <c r="B1073" s="91" t="str">
        <f t="shared" si="148"/>
        <v>BOS-42SS</v>
      </c>
      <c r="C1073" s="46" t="s">
        <v>343</v>
      </c>
      <c r="D1073" s="48" t="s">
        <v>344</v>
      </c>
      <c r="E1073" s="39">
        <v>2380.0</v>
      </c>
      <c r="F1073" s="172">
        <v>2380.0</v>
      </c>
      <c r="G1073" s="50">
        <f t="shared" si="149"/>
        <v>0</v>
      </c>
      <c r="H1073" s="28"/>
      <c r="I1073" s="55">
        <f t="shared" si="2"/>
        <v>2513.247201</v>
      </c>
      <c r="J1073" s="81"/>
      <c r="K1073" s="60">
        <f>IFERROR(__xludf.DUMMYFUNCTION("IFERROR(VLOOKUP(C1073,IMPORTRANGE(""https://docs.google.com/spreadsheets/d/1HZUHB8NvANAZR0sHDmHYVAm2WE9kNv0pGIQA48Ryim8/edit?gid=1285727875#gid=1285727875"",""Sheet1!A2:G""),7,0))"),580.5)</f>
        <v>580.5</v>
      </c>
      <c r="L1073" s="62">
        <f t="shared" si="150"/>
        <v>4.099913867</v>
      </c>
      <c r="M1073" s="60">
        <f>IFERROR(__xludf.DUMMYFUNCTION("IFERROR(VLOOKUP(C1073,IMPORTRANGE(""https://docs.google.com/spreadsheets/d/1HZUHB8NvANAZR0sHDmHYVAm2WE9kNv0pGIQA48Ryim8/edit?gid=1285727875#gid=1285727875"",""Cost!A2:G""),7,0))"),613.0)</f>
        <v>613</v>
      </c>
      <c r="N1073" s="62">
        <f t="shared" si="4"/>
        <v>3.882544861</v>
      </c>
      <c r="O1073" s="28"/>
      <c r="P1073" s="28"/>
      <c r="Q1073" s="28"/>
      <c r="R1073" s="28"/>
      <c r="S1073" s="28"/>
      <c r="T1073" s="28"/>
      <c r="U1073" s="65"/>
      <c r="V1073" s="28"/>
      <c r="W1073" s="65"/>
      <c r="X1073" s="77"/>
      <c r="Y1073" s="28"/>
    </row>
    <row r="1074">
      <c r="A1074" s="18" t="s">
        <v>1328</v>
      </c>
      <c r="B1074" s="91" t="str">
        <f t="shared" si="148"/>
        <v>ECO-65</v>
      </c>
      <c r="C1074" s="46" t="s">
        <v>329</v>
      </c>
      <c r="D1074" s="48" t="s">
        <v>330</v>
      </c>
      <c r="E1074" s="39">
        <v>850.0</v>
      </c>
      <c r="F1074" s="172">
        <v>920.0</v>
      </c>
      <c r="G1074" s="50">
        <f t="shared" si="149"/>
        <v>0.08235294118</v>
      </c>
      <c r="H1074" s="28"/>
      <c r="I1074" s="55">
        <f t="shared" si="2"/>
        <v>852.6208969</v>
      </c>
      <c r="J1074" s="81"/>
      <c r="K1074" s="60">
        <f>IFERROR(__xludf.DUMMYFUNCTION("IFERROR(VLOOKUP(C1074,IMPORTRANGE(""https://docs.google.com/spreadsheets/d/1HZUHB8NvANAZR0sHDmHYVAm2WE9kNv0pGIQA48Ryim8/edit?gid=1285727875#gid=1285727875"",""Sheet1!A2:G""),7,0))"),256.21)</f>
        <v>256.21</v>
      </c>
      <c r="L1074" s="62">
        <f t="shared" si="150"/>
        <v>3.317591039</v>
      </c>
      <c r="M1074" s="60">
        <f>IFERROR(__xludf.DUMMYFUNCTION("IFERROR(VLOOKUP(C1074,IMPORTRANGE(""https://docs.google.com/spreadsheets/d/1HZUHB8NvANAZR0sHDmHYVAm2WE9kNv0pGIQA48Ryim8/edit?gid=1285727875#gid=1285727875"",""Cost!A2:G""),7,0))"),257.0)</f>
        <v>257</v>
      </c>
      <c r="N1074" s="62">
        <f t="shared" si="4"/>
        <v>3.579766537</v>
      </c>
      <c r="O1074" s="28"/>
      <c r="P1074" s="28"/>
      <c r="Q1074" s="28"/>
      <c r="R1074" s="28"/>
      <c r="S1074" s="28"/>
      <c r="T1074" s="28"/>
      <c r="U1074" s="65"/>
      <c r="V1074" s="28"/>
      <c r="W1074" s="65"/>
      <c r="X1074" s="77"/>
      <c r="Y1074" s="28"/>
    </row>
    <row r="1075">
      <c r="A1075" s="18" t="s">
        <v>1328</v>
      </c>
      <c r="B1075" s="91" t="str">
        <f t="shared" si="148"/>
        <v>ECO-63</v>
      </c>
      <c r="C1075" s="46" t="s">
        <v>347</v>
      </c>
      <c r="D1075" s="48" t="s">
        <v>348</v>
      </c>
      <c r="E1075" s="39">
        <v>830.0</v>
      </c>
      <c r="F1075" s="172">
        <v>890.0</v>
      </c>
      <c r="G1075" s="50">
        <f t="shared" si="149"/>
        <v>0.07228915663</v>
      </c>
      <c r="H1075" s="28"/>
      <c r="I1075" s="55">
        <f t="shared" si="2"/>
        <v>832.6311143</v>
      </c>
      <c r="J1075" s="81"/>
      <c r="K1075" s="60">
        <f>IFERROR(__xludf.DUMMYFUNCTION("IFERROR(VLOOKUP(C1075,IMPORTRANGE(""https://docs.google.com/spreadsheets/d/1HZUHB8NvANAZR0sHDmHYVAm2WE9kNv0pGIQA48Ryim8/edit?gid=1285727875#gid=1285727875"",""Sheet1!A2:G""),7,0))"),249.21)</f>
        <v>249.21</v>
      </c>
      <c r="L1075" s="62">
        <f t="shared" si="150"/>
        <v>3.330524457</v>
      </c>
      <c r="M1075" s="60">
        <f>IFERROR(__xludf.DUMMYFUNCTION("IFERROR(VLOOKUP(C1075,IMPORTRANGE(""https://docs.google.com/spreadsheets/d/1HZUHB8NvANAZR0sHDmHYVAm2WE9kNv0pGIQA48Ryim8/edit?gid=1285727875#gid=1285727875"",""Cost!A2:G""),7,0))"),250.0)</f>
        <v>250</v>
      </c>
      <c r="N1075" s="62">
        <f t="shared" si="4"/>
        <v>3.56</v>
      </c>
      <c r="O1075" s="28"/>
      <c r="P1075" s="28"/>
      <c r="Q1075" s="28"/>
      <c r="R1075" s="28"/>
      <c r="S1075" s="28"/>
      <c r="T1075" s="28"/>
      <c r="U1075" s="65"/>
      <c r="V1075" s="28"/>
      <c r="W1075" s="65"/>
      <c r="X1075" s="77"/>
      <c r="Y1075" s="28"/>
    </row>
    <row r="1076">
      <c r="A1076" s="18" t="s">
        <v>1328</v>
      </c>
      <c r="B1076" s="91" t="str">
        <f t="shared" si="148"/>
        <v>BS-66</v>
      </c>
      <c r="C1076" s="46" t="s">
        <v>349</v>
      </c>
      <c r="D1076" s="48" t="s">
        <v>350</v>
      </c>
      <c r="E1076" s="39">
        <v>1190.0</v>
      </c>
      <c r="F1076" s="172">
        <v>1290.0</v>
      </c>
      <c r="G1076" s="50">
        <f t="shared" si="149"/>
        <v>0.08403361345</v>
      </c>
      <c r="H1076" s="28"/>
      <c r="I1076" s="55">
        <f t="shared" si="2"/>
        <v>1194.200531</v>
      </c>
      <c r="J1076" s="81"/>
      <c r="K1076" s="60">
        <f>IFERROR(__xludf.DUMMYFUNCTION("IFERROR(VLOOKUP(C1076,IMPORTRANGE(""https://docs.google.com/spreadsheets/d/1HZUHB8NvANAZR0sHDmHYVAm2WE9kNv0pGIQA48Ryim8/edit?gid=1285727875#gid=1285727875"",""Sheet1!A2:G""),7,0))"),342.79)</f>
        <v>342.79</v>
      </c>
      <c r="L1076" s="62">
        <f t="shared" si="150"/>
        <v>3.471513171</v>
      </c>
      <c r="M1076" s="60">
        <f>IFERROR(__xludf.DUMMYFUNCTION("IFERROR(VLOOKUP(C1076,IMPORTRANGE(""https://docs.google.com/spreadsheets/d/1HZUHB8NvANAZR0sHDmHYVAm2WE9kNv0pGIQA48Ryim8/edit?gid=1285727875#gid=1285727875"",""Cost!A2:G""),7,0))"),344.0)</f>
        <v>344</v>
      </c>
      <c r="N1076" s="62">
        <f t="shared" si="4"/>
        <v>3.75</v>
      </c>
      <c r="O1076" s="28"/>
      <c r="P1076" s="28"/>
      <c r="Q1076" s="28"/>
      <c r="R1076" s="28"/>
      <c r="S1076" s="28"/>
      <c r="T1076" s="28"/>
      <c r="U1076" s="65"/>
      <c r="V1076" s="28"/>
      <c r="W1076" s="65"/>
      <c r="X1076" s="77"/>
      <c r="Y1076" s="28"/>
    </row>
    <row r="1077">
      <c r="A1077" s="18" t="s">
        <v>1328</v>
      </c>
      <c r="B1077" s="91" t="str">
        <f t="shared" si="148"/>
        <v>BS-69</v>
      </c>
      <c r="C1077" s="46" t="s">
        <v>351</v>
      </c>
      <c r="D1077" s="48" t="s">
        <v>350</v>
      </c>
      <c r="E1077" s="39">
        <v>940.0</v>
      </c>
      <c r="F1077" s="172">
        <v>990.0</v>
      </c>
      <c r="G1077" s="50">
        <f t="shared" si="149"/>
        <v>0.05319148936</v>
      </c>
      <c r="H1077" s="28"/>
      <c r="I1077" s="55">
        <f t="shared" si="2"/>
        <v>944.8268327</v>
      </c>
      <c r="J1077" s="81"/>
      <c r="K1077" s="60">
        <f>IFERROR(__xludf.DUMMYFUNCTION("IFERROR(VLOOKUP(C1077,IMPORTRANGE(""https://docs.google.com/spreadsheets/d/1HZUHB8NvANAZR0sHDmHYVAm2WE9kNv0pGIQA48Ryim8/edit?gid=1285727875#gid=1285727875"",""Sheet1!A2:G""),7,0))"),274.59)</f>
        <v>274.59</v>
      </c>
      <c r="L1077" s="62">
        <f t="shared" si="150"/>
        <v>3.423285626</v>
      </c>
      <c r="M1077" s="60">
        <f>IFERROR(__xludf.DUMMYFUNCTION("IFERROR(VLOOKUP(C1077,IMPORTRANGE(""https://docs.google.com/spreadsheets/d/1HZUHB8NvANAZR0sHDmHYVAm2WE9kNv0pGIQA48Ryim8/edit?gid=1285727875#gid=1285727875"",""Cost!A2:G""),7,0))"),276.0)</f>
        <v>276</v>
      </c>
      <c r="N1077" s="62">
        <f t="shared" si="4"/>
        <v>3.586956522</v>
      </c>
      <c r="O1077" s="28"/>
      <c r="P1077" s="28"/>
      <c r="Q1077" s="28"/>
      <c r="R1077" s="28"/>
      <c r="S1077" s="28"/>
      <c r="T1077" s="28"/>
      <c r="U1077" s="65"/>
      <c r="V1077" s="28"/>
      <c r="W1077" s="65"/>
      <c r="X1077" s="77"/>
      <c r="Y1077" s="28"/>
    </row>
    <row r="1078">
      <c r="A1078" s="18" t="s">
        <v>1328</v>
      </c>
      <c r="B1078" s="91" t="str">
        <f t="shared" si="148"/>
        <v>BOS-6003</v>
      </c>
      <c r="C1078" s="46" t="s">
        <v>352</v>
      </c>
      <c r="D1078" s="48" t="s">
        <v>353</v>
      </c>
      <c r="E1078" s="39">
        <v>980.0</v>
      </c>
      <c r="F1078" s="172">
        <v>1040.0</v>
      </c>
      <c r="G1078" s="50">
        <f t="shared" si="149"/>
        <v>0.0612244898</v>
      </c>
      <c r="H1078" s="28"/>
      <c r="I1078" s="55">
        <f t="shared" si="2"/>
        <v>1076.406747</v>
      </c>
      <c r="J1078" s="81"/>
      <c r="K1078" s="60">
        <f>IFERROR(__xludf.DUMMYFUNCTION("IFERROR(VLOOKUP(C1078,IMPORTRANGE(""https://docs.google.com/spreadsheets/d/1HZUHB8NvANAZR0sHDmHYVAm2WE9kNv0pGIQA48Ryim8/edit?gid=1285727875#gid=1285727875"",""Sheet1!A2:G""),7,0))"),229.43)</f>
        <v>229.43</v>
      </c>
      <c r="L1078" s="62">
        <f t="shared" si="150"/>
        <v>4.271455346</v>
      </c>
      <c r="M1078" s="60">
        <f>IFERROR(__xludf.DUMMYFUNCTION("IFERROR(VLOOKUP(C1078,IMPORTRANGE(""https://docs.google.com/spreadsheets/d/1HZUHB8NvANAZR0sHDmHYVAm2WE9kNv0pGIQA48Ryim8/edit?gid=1285727875#gid=1285727875"",""Cost!A2:G""),7,0))"),252.0)</f>
        <v>252</v>
      </c>
      <c r="N1078" s="62">
        <f t="shared" si="4"/>
        <v>4.126984127</v>
      </c>
      <c r="O1078" s="28"/>
      <c r="P1078" s="28"/>
      <c r="Q1078" s="28"/>
      <c r="R1078" s="28"/>
      <c r="S1078" s="28"/>
      <c r="T1078" s="28"/>
      <c r="U1078" s="65"/>
      <c r="V1078" s="28"/>
      <c r="W1078" s="65"/>
      <c r="X1078" s="77"/>
      <c r="Y1078" s="28"/>
    </row>
    <row r="1079">
      <c r="A1079" s="18" t="s">
        <v>1328</v>
      </c>
      <c r="B1079" s="91" t="str">
        <f t="shared" si="148"/>
        <v>BOS-4009</v>
      </c>
      <c r="C1079" s="46" t="s">
        <v>355</v>
      </c>
      <c r="D1079" s="48" t="s">
        <v>356</v>
      </c>
      <c r="E1079" s="39">
        <v>780.0</v>
      </c>
      <c r="F1079" s="172">
        <v>690.0</v>
      </c>
      <c r="G1079" s="50">
        <f t="shared" si="149"/>
        <v>-0.1153846154</v>
      </c>
      <c r="H1079" s="28"/>
      <c r="I1079" s="55">
        <f t="shared" si="2"/>
        <v>673.1927711</v>
      </c>
      <c r="J1079" s="81"/>
      <c r="K1079" s="60">
        <f>IFERROR(__xludf.DUMMYFUNCTION("IFERROR(VLOOKUP(C1079,IMPORTRANGE(""https://docs.google.com/spreadsheets/d/1HZUHB8NvANAZR0sHDmHYVAm2WE9kNv0pGIQA48Ryim8/edit?gid=1285727875#gid=1285727875"",""Sheet1!A2:G""),7,0))"),172.64)</f>
        <v>172.64</v>
      </c>
      <c r="L1079" s="62">
        <f t="shared" si="150"/>
        <v>4.518072289</v>
      </c>
      <c r="M1079" s="60">
        <f>IFERROR(__xludf.DUMMYFUNCTION("IFERROR(VLOOKUP(C1079,IMPORTRANGE(""https://docs.google.com/spreadsheets/d/1HZUHB8NvANAZR0sHDmHYVAm2WE9kNv0pGIQA48Ryim8/edit?gid=1285727875#gid=1285727875"",""Cost!A2:G""),7,0))"),149.0)</f>
        <v>149</v>
      </c>
      <c r="N1079" s="62">
        <f t="shared" si="4"/>
        <v>4.630872483</v>
      </c>
      <c r="O1079" s="28"/>
      <c r="P1079" s="28"/>
      <c r="Q1079" s="28"/>
      <c r="R1079" s="28"/>
      <c r="S1079" s="28"/>
      <c r="T1079" s="28"/>
      <c r="U1079" s="65"/>
      <c r="V1079" s="28"/>
      <c r="W1079" s="65"/>
      <c r="X1079" s="77"/>
      <c r="Y1079" s="28"/>
    </row>
    <row r="1080">
      <c r="A1080" s="18" t="s">
        <v>1328</v>
      </c>
      <c r="B1080" s="91" t="str">
        <f t="shared" si="148"/>
        <v>BOS-195</v>
      </c>
      <c r="C1080" s="46" t="s">
        <v>360</v>
      </c>
      <c r="D1080" s="48" t="s">
        <v>361</v>
      </c>
      <c r="E1080" s="39">
        <v>1690.0</v>
      </c>
      <c r="F1080" s="172">
        <v>1690.0</v>
      </c>
      <c r="G1080" s="50">
        <f t="shared" si="149"/>
        <v>0</v>
      </c>
      <c r="H1080" s="28"/>
      <c r="I1080" s="55">
        <f t="shared" si="2"/>
        <v>1694.976421</v>
      </c>
      <c r="J1080" s="81"/>
      <c r="K1080" s="60">
        <f>IFERROR(__xludf.DUMMYFUNCTION("IFERROR(VLOOKUP(C1080,IMPORTRANGE(""https://docs.google.com/spreadsheets/d/1HZUHB8NvANAZR0sHDmHYVAm2WE9kNv0pGIQA48Ryim8/edit?gid=1285727875#gid=1285727875"",""Sheet1!A2:G""),7,0))"),451.67)</f>
        <v>451.67</v>
      </c>
      <c r="L1080" s="62">
        <f t="shared" si="150"/>
        <v>3.741669803</v>
      </c>
      <c r="M1080" s="60">
        <f>IFERROR(__xludf.DUMMYFUNCTION("IFERROR(VLOOKUP(C1080,IMPORTRANGE(""https://docs.google.com/spreadsheets/d/1HZUHB8NvANAZR0sHDmHYVAm2WE9kNv0pGIQA48Ryim8/edit?gid=1285727875#gid=1285727875"",""Cost!A2:G""),7,0))"),453.0)</f>
        <v>453</v>
      </c>
      <c r="N1080" s="62">
        <f t="shared" si="4"/>
        <v>3.730684327</v>
      </c>
      <c r="O1080" s="28"/>
      <c r="P1080" s="28"/>
      <c r="Q1080" s="28"/>
      <c r="R1080" s="28"/>
      <c r="S1080" s="28"/>
      <c r="T1080" s="28"/>
      <c r="U1080" s="65"/>
      <c r="V1080" s="28"/>
      <c r="W1080" s="65"/>
      <c r="X1080" s="77"/>
      <c r="Y1080" s="28"/>
    </row>
    <row r="1081">
      <c r="A1081" s="18" t="s">
        <v>1328</v>
      </c>
      <c r="B1081" s="91" t="str">
        <f t="shared" si="148"/>
        <v>BOS-196</v>
      </c>
      <c r="C1081" s="46" t="s">
        <v>363</v>
      </c>
      <c r="D1081" s="48" t="s">
        <v>364</v>
      </c>
      <c r="E1081" s="39">
        <v>1690.0</v>
      </c>
      <c r="F1081" s="172">
        <v>2140.0</v>
      </c>
      <c r="G1081" s="50">
        <f t="shared" si="149"/>
        <v>0.2662721893</v>
      </c>
      <c r="H1081" s="28"/>
      <c r="I1081" s="55">
        <f t="shared" si="2"/>
        <v>1693.779743</v>
      </c>
      <c r="J1081" s="81"/>
      <c r="K1081" s="60">
        <f>IFERROR(__xludf.DUMMYFUNCTION("IFERROR(VLOOKUP(C1081,IMPORTRANGE(""https://docs.google.com/spreadsheets/d/1HZUHB8NvANAZR0sHDmHYVAm2WE9kNv0pGIQA48Ryim8/edit?gid=1285727875#gid=1285727875"",""Sheet1!A2:G""),7,0))"),594.67)</f>
        <v>594.67</v>
      </c>
      <c r="L1081" s="62">
        <f t="shared" si="150"/>
        <v>2.841912321</v>
      </c>
      <c r="M1081" s="60">
        <f>IFERROR(__xludf.DUMMYFUNCTION("IFERROR(VLOOKUP(C1081,IMPORTRANGE(""https://docs.google.com/spreadsheets/d/1HZUHB8NvANAZR0sHDmHYVAm2WE9kNv0pGIQA48Ryim8/edit?gid=1285727875#gid=1285727875"",""Cost!A2:G""),7,0))"),596.0)</f>
        <v>596</v>
      </c>
      <c r="N1081" s="62">
        <f t="shared" si="4"/>
        <v>3.590604027</v>
      </c>
      <c r="O1081" s="101"/>
      <c r="P1081" s="28"/>
      <c r="Q1081" s="28"/>
      <c r="R1081" s="28"/>
      <c r="S1081" s="28"/>
      <c r="T1081" s="28"/>
      <c r="U1081" s="65"/>
      <c r="V1081" s="28"/>
      <c r="W1081" s="65"/>
      <c r="X1081" s="77"/>
      <c r="Y1081" s="28"/>
    </row>
    <row r="1082">
      <c r="A1082" s="18" t="s">
        <v>1328</v>
      </c>
      <c r="B1082" s="91" t="str">
        <f t="shared" si="148"/>
        <v>BOS-107</v>
      </c>
      <c r="C1082" s="46" t="s">
        <v>366</v>
      </c>
      <c r="D1082" s="48" t="s">
        <v>367</v>
      </c>
      <c r="E1082" s="39">
        <v>1490.0</v>
      </c>
      <c r="F1082" s="172">
        <v>1490.0</v>
      </c>
      <c r="G1082" s="50">
        <f t="shared" si="149"/>
        <v>0</v>
      </c>
      <c r="H1082" s="28"/>
      <c r="I1082" s="55">
        <f t="shared" si="2"/>
        <v>1603.121138</v>
      </c>
      <c r="J1082" s="81"/>
      <c r="K1082" s="60">
        <f>IFERROR(__xludf.DUMMYFUNCTION("IFERROR(VLOOKUP(C1082,IMPORTRANGE(""https://docs.google.com/spreadsheets/d/1HZUHB8NvANAZR0sHDmHYVAm2WE9kNv0pGIQA48Ryim8/edit?gid=1285727875#gid=1285727875"",""Sheet1!A2:G""),7,0))"),412.67)</f>
        <v>412.67</v>
      </c>
      <c r="L1082" s="62">
        <f t="shared" si="150"/>
        <v>3.610633194</v>
      </c>
      <c r="M1082" s="60">
        <f>IFERROR(__xludf.DUMMYFUNCTION("IFERROR(VLOOKUP(C1082,IMPORTRANGE(""https://docs.google.com/spreadsheets/d/1HZUHB8NvANAZR0sHDmHYVAm2WE9kNv0pGIQA48Ryim8/edit?gid=1285727875#gid=1285727875"",""Cost!A2:G""),7,0))"),444.0)</f>
        <v>444</v>
      </c>
      <c r="N1082" s="62">
        <f t="shared" si="4"/>
        <v>3.355855856</v>
      </c>
      <c r="O1082" s="28"/>
      <c r="P1082" s="28"/>
      <c r="Q1082" s="28"/>
      <c r="R1082" s="28"/>
      <c r="S1082" s="28"/>
      <c r="T1082" s="28"/>
      <c r="U1082" s="65"/>
      <c r="V1082" s="28"/>
      <c r="W1082" s="65"/>
      <c r="X1082" s="77"/>
      <c r="Y1082" s="28"/>
    </row>
    <row r="1083">
      <c r="A1083" s="18" t="s">
        <v>1328</v>
      </c>
      <c r="B1083" s="91" t="str">
        <f t="shared" si="148"/>
        <v>BOS-108</v>
      </c>
      <c r="C1083" s="46" t="s">
        <v>369</v>
      </c>
      <c r="D1083" s="48" t="s">
        <v>370</v>
      </c>
      <c r="E1083" s="39">
        <v>1990.0</v>
      </c>
      <c r="F1083" s="172">
        <v>1190.0</v>
      </c>
      <c r="G1083" s="50">
        <f t="shared" si="149"/>
        <v>-0.4020100503</v>
      </c>
      <c r="H1083" s="28"/>
      <c r="I1083" s="55">
        <f t="shared" si="2"/>
        <v>2102.164711</v>
      </c>
      <c r="J1083" s="81"/>
      <c r="K1083" s="60">
        <f>IFERROR(__xludf.DUMMYFUNCTION("IFERROR(VLOOKUP(C1083,IMPORTRANGE(""https://docs.google.com/spreadsheets/d/1HZUHB8NvANAZR0sHDmHYVAm2WE9kNv0pGIQA48Ryim8/edit?gid=1285727875#gid=1285727875"",""Sheet1!A2:G""),7,0))"),538.64)</f>
        <v>538.64</v>
      </c>
      <c r="L1083" s="62">
        <f t="shared" si="150"/>
        <v>3.694489826</v>
      </c>
      <c r="M1083" s="60">
        <f>IFERROR(__xludf.DUMMYFUNCTION("IFERROR(VLOOKUP(C1083,IMPORTRANGE(""https://docs.google.com/spreadsheets/d/1HZUHB8NvANAZR0sHDmHYVAm2WE9kNv0pGIQA48Ryim8/edit?gid=1285727875#gid=1285727875"",""Cost!A2:G""),7,0))"),569.0)</f>
        <v>569</v>
      </c>
      <c r="N1083" s="62">
        <f t="shared" si="4"/>
        <v>2.091388401</v>
      </c>
      <c r="O1083" s="28"/>
      <c r="P1083" s="28"/>
      <c r="Q1083" s="28"/>
      <c r="R1083" s="28"/>
      <c r="S1083" s="28"/>
      <c r="T1083" s="28"/>
      <c r="U1083" s="65"/>
      <c r="V1083" s="28"/>
      <c r="W1083" s="65"/>
      <c r="X1083" s="77"/>
      <c r="Y1083" s="28"/>
    </row>
    <row r="1084">
      <c r="A1084" s="18" t="s">
        <v>1328</v>
      </c>
      <c r="B1084" s="91" t="str">
        <f t="shared" si="148"/>
        <v>BOS-502</v>
      </c>
      <c r="C1084" s="46" t="s">
        <v>373</v>
      </c>
      <c r="D1084" s="48" t="s">
        <v>374</v>
      </c>
      <c r="E1084" s="39">
        <v>590.0</v>
      </c>
      <c r="F1084" s="172">
        <v>590.0</v>
      </c>
      <c r="G1084" s="50">
        <f t="shared" si="149"/>
        <v>0</v>
      </c>
      <c r="H1084" s="28"/>
      <c r="I1084" s="55">
        <f t="shared" si="2"/>
        <v>587.8457825</v>
      </c>
      <c r="J1084" s="81"/>
      <c r="K1084" s="60">
        <f>IFERROR(__xludf.DUMMYFUNCTION("IFERROR(VLOOKUP(C1084,IMPORTRANGE(""https://docs.google.com/spreadsheets/d/1HZUHB8NvANAZR0sHDmHYVAm2WE9kNv0pGIQA48Ryim8/edit?gid=1285727875#gid=1285727875"",""Sheet1!A2:G""),7,0))"),161.59)</f>
        <v>161.59</v>
      </c>
      <c r="L1084" s="62">
        <f t="shared" si="150"/>
        <v>3.651216041</v>
      </c>
      <c r="M1084" s="60">
        <f>IFERROR(__xludf.DUMMYFUNCTION("IFERROR(VLOOKUP(C1084,IMPORTRANGE(""https://docs.google.com/spreadsheets/d/1HZUHB8NvANAZR0sHDmHYVAm2WE9kNv0pGIQA48Ryim8/edit?gid=1285727875#gid=1285727875"",""Cost!A2:G""),7,0))"),161.0)</f>
        <v>161</v>
      </c>
      <c r="N1084" s="62">
        <f t="shared" si="4"/>
        <v>3.664596273</v>
      </c>
      <c r="O1084" s="28"/>
      <c r="P1084" s="28"/>
      <c r="Q1084" s="28"/>
      <c r="R1084" s="28"/>
      <c r="S1084" s="28"/>
      <c r="T1084" s="28"/>
      <c r="U1084" s="65"/>
      <c r="V1084" s="28"/>
      <c r="W1084" s="65"/>
      <c r="X1084" s="77"/>
      <c r="Y1084" s="28"/>
    </row>
    <row r="1085">
      <c r="A1085" s="18" t="s">
        <v>1328</v>
      </c>
      <c r="B1085" s="91" t="str">
        <f t="shared" si="148"/>
        <v>BOS-118</v>
      </c>
      <c r="C1085" s="46" t="s">
        <v>378</v>
      </c>
      <c r="D1085" s="48" t="s">
        <v>379</v>
      </c>
      <c r="E1085" s="39">
        <v>1090.0</v>
      </c>
      <c r="F1085" s="172">
        <v>1090.1147489209388</v>
      </c>
      <c r="G1085" s="50">
        <f t="shared" si="149"/>
        <v>0.0001052742394</v>
      </c>
      <c r="H1085" s="28"/>
      <c r="I1085" s="55">
        <f t="shared" si="2"/>
        <v>1090.114749</v>
      </c>
      <c r="J1085" s="81"/>
      <c r="K1085" s="60">
        <f>IFERROR(__xludf.DUMMYFUNCTION("IFERROR(VLOOKUP(C1085,IMPORTRANGE(""https://docs.google.com/spreadsheets/d/1HZUHB8NvANAZR0sHDmHYVAm2WE9kNv0pGIQA48Ryim8/edit?gid=1285727875#gid=1285727875"",""Sheet1!A2:G""),7,0))"),284.97)</f>
        <v>284.97</v>
      </c>
      <c r="L1085" s="62">
        <f t="shared" si="150"/>
        <v>3.824964031</v>
      </c>
      <c r="M1085" s="60">
        <f>IFERROR(__xludf.DUMMYFUNCTION("IFERROR(VLOOKUP(C1085,IMPORTRANGE(""https://docs.google.com/spreadsheets/d/1HZUHB8NvANAZR0sHDmHYVAm2WE9kNv0pGIQA48Ryim8/edit?gid=1285727875#gid=1285727875"",""Cost!A2:G""),7,0))"),285.0)</f>
        <v>285</v>
      </c>
      <c r="N1085" s="62">
        <f t="shared" si="4"/>
        <v>3.824964031</v>
      </c>
      <c r="O1085" s="28"/>
      <c r="P1085" s="28"/>
      <c r="Q1085" s="28"/>
      <c r="R1085" s="28"/>
      <c r="S1085" s="28"/>
      <c r="T1085" s="28"/>
      <c r="U1085" s="65"/>
      <c r="V1085" s="28"/>
      <c r="W1085" s="65"/>
      <c r="X1085" s="77"/>
      <c r="Y1085" s="28"/>
    </row>
    <row r="1086">
      <c r="A1086" s="18" t="s">
        <v>1328</v>
      </c>
      <c r="B1086" s="91" t="str">
        <f t="shared" si="148"/>
        <v>BOS-119</v>
      </c>
      <c r="C1086" s="46" t="s">
        <v>383</v>
      </c>
      <c r="D1086" s="48" t="s">
        <v>384</v>
      </c>
      <c r="E1086" s="39">
        <v>1540.0</v>
      </c>
      <c r="F1086" s="172">
        <v>1550.0</v>
      </c>
      <c r="G1086" s="50">
        <f t="shared" si="149"/>
        <v>0.006493506494</v>
      </c>
      <c r="H1086" s="28"/>
      <c r="I1086" s="55">
        <f t="shared" si="2"/>
        <v>1548.9698</v>
      </c>
      <c r="J1086" s="81"/>
      <c r="K1086" s="60">
        <f>IFERROR(__xludf.DUMMYFUNCTION("IFERROR(VLOOKUP(C1086,IMPORTRANGE(""https://docs.google.com/spreadsheets/d/1HZUHB8NvANAZR0sHDmHYVAm2WE9kNv0pGIQA48Ryim8/edit?gid=1285727875#gid=1285727875"",""Sheet1!A2:G""),7,0))"),389.73)</f>
        <v>389.73</v>
      </c>
      <c r="L1086" s="62">
        <f t="shared" si="150"/>
        <v>3.95145357</v>
      </c>
      <c r="M1086" s="60">
        <f>IFERROR(__xludf.DUMMYFUNCTION("IFERROR(VLOOKUP(C1086,IMPORTRANGE(""https://docs.google.com/spreadsheets/d/1HZUHB8NvANAZR0sHDmHYVAm2WE9kNv0pGIQA48Ryim8/edit?gid=1285727875#gid=1285727875"",""Cost!A2:G""),7,0))"),392.0)</f>
        <v>392</v>
      </c>
      <c r="N1086" s="62">
        <f t="shared" si="4"/>
        <v>3.954081633</v>
      </c>
      <c r="O1086" s="28"/>
      <c r="P1086" s="28"/>
      <c r="Q1086" s="28"/>
      <c r="R1086" s="28"/>
      <c r="S1086" s="28"/>
      <c r="T1086" s="28"/>
      <c r="U1086" s="65"/>
      <c r="V1086" s="28"/>
      <c r="W1086" s="65"/>
      <c r="X1086" s="77"/>
      <c r="Y1086" s="28"/>
    </row>
    <row r="1087">
      <c r="A1087" s="18" t="s">
        <v>1328</v>
      </c>
      <c r="B1087" s="91" t="str">
        <f t="shared" si="148"/>
        <v>BOS-120</v>
      </c>
      <c r="C1087" s="46" t="s">
        <v>389</v>
      </c>
      <c r="D1087" s="48" t="s">
        <v>390</v>
      </c>
      <c r="E1087" s="39">
        <v>1940.0</v>
      </c>
      <c r="F1087" s="172">
        <v>1940.0</v>
      </c>
      <c r="G1087" s="50">
        <f t="shared" si="149"/>
        <v>0</v>
      </c>
      <c r="H1087" s="28"/>
      <c r="I1087" s="55">
        <f t="shared" si="2"/>
        <v>2220.893585</v>
      </c>
      <c r="J1087" s="81"/>
      <c r="K1087" s="60">
        <f>IFERROR(__xludf.DUMMYFUNCTION("IFERROR(VLOOKUP(C1087,IMPORTRANGE(""https://docs.google.com/spreadsheets/d/1HZUHB8NvANAZR0sHDmHYVAm2WE9kNv0pGIQA48Ryim8/edit?gid=1285727875#gid=1285727875"",""Sheet1!A2:G""),7,0))"),431.52)</f>
        <v>431.52</v>
      </c>
      <c r="L1087" s="62">
        <f t="shared" si="150"/>
        <v>4.495736003</v>
      </c>
      <c r="M1087" s="60">
        <f>IFERROR(__xludf.DUMMYFUNCTION("IFERROR(VLOOKUP(C1087,IMPORTRANGE(""https://docs.google.com/spreadsheets/d/1HZUHB8NvANAZR0sHDmHYVAm2WE9kNv0pGIQA48Ryim8/edit?gid=1285727875#gid=1285727875"",""Cost!A2:G""),7,0))"),494.0)</f>
        <v>494</v>
      </c>
      <c r="N1087" s="62">
        <f t="shared" si="4"/>
        <v>3.927125506</v>
      </c>
      <c r="O1087" s="28"/>
      <c r="P1087" s="28"/>
      <c r="Q1087" s="28"/>
      <c r="R1087" s="28"/>
      <c r="S1087" s="28"/>
      <c r="T1087" s="28"/>
      <c r="U1087" s="65"/>
      <c r="V1087" s="28"/>
      <c r="W1087" s="65"/>
      <c r="X1087" s="77"/>
      <c r="Y1087" s="28"/>
    </row>
    <row r="1088">
      <c r="A1088" s="18" t="s">
        <v>1328</v>
      </c>
      <c r="B1088" s="91" t="str">
        <f t="shared" si="148"/>
        <v>BOS-121</v>
      </c>
      <c r="C1088" s="46" t="s">
        <v>394</v>
      </c>
      <c r="D1088" s="48" t="s">
        <v>395</v>
      </c>
      <c r="E1088" s="39">
        <v>5880.0</v>
      </c>
      <c r="F1088" s="172">
        <v>4880.0</v>
      </c>
      <c r="G1088" s="50">
        <f t="shared" si="149"/>
        <v>-0.1700680272</v>
      </c>
      <c r="H1088" s="28"/>
      <c r="I1088" s="55">
        <f t="shared" si="2"/>
        <v>4829.300777</v>
      </c>
      <c r="J1088" s="81"/>
      <c r="K1088" s="60">
        <f>IFERROR(__xludf.DUMMYFUNCTION("IFERROR(VLOOKUP(C1088,IMPORTRANGE(""https://docs.google.com/spreadsheets/d/1HZUHB8NvANAZR0sHDmHYVAm2WE9kNv0pGIQA48Ryim8/edit?gid=1285727875#gid=1285727875"",""Sheet1!A2:G""),7,0))"),1396.55)</f>
        <v>1396.55</v>
      </c>
      <c r="L1088" s="62">
        <f t="shared" si="150"/>
        <v>4.210375568</v>
      </c>
      <c r="M1088" s="60">
        <f>IFERROR(__xludf.DUMMYFUNCTION("IFERROR(VLOOKUP(C1088,IMPORTRANGE(""https://docs.google.com/spreadsheets/d/1HZUHB8NvANAZR0sHDmHYVAm2WE9kNv0pGIQA48Ryim8/edit?gid=1285727875#gid=1285727875"",""Cost!A2:G""),7,0))"),1147.0)</f>
        <v>1147</v>
      </c>
      <c r="N1088" s="62">
        <f t="shared" si="4"/>
        <v>4.254577158</v>
      </c>
      <c r="O1088" s="28"/>
      <c r="P1088" s="28"/>
      <c r="Q1088" s="28"/>
      <c r="R1088" s="28"/>
      <c r="S1088" s="28"/>
      <c r="T1088" s="28"/>
      <c r="U1088" s="65"/>
      <c r="V1088" s="28"/>
      <c r="W1088" s="65"/>
      <c r="X1088" s="77"/>
      <c r="Y1088" s="28"/>
    </row>
    <row r="1089">
      <c r="A1089" s="18" t="s">
        <v>1328</v>
      </c>
      <c r="B1089" s="91" t="str">
        <f t="shared" si="148"/>
        <v>BOS-2001</v>
      </c>
      <c r="C1089" s="46" t="s">
        <v>398</v>
      </c>
      <c r="D1089" s="48" t="s">
        <v>399</v>
      </c>
      <c r="E1089" s="39">
        <v>940.0</v>
      </c>
      <c r="F1089" s="172">
        <v>940.0</v>
      </c>
      <c r="G1089" s="50">
        <f t="shared" si="149"/>
        <v>0</v>
      </c>
      <c r="H1089" s="28"/>
      <c r="I1089" s="55">
        <f t="shared" si="2"/>
        <v>937.7509226</v>
      </c>
      <c r="J1089" s="81"/>
      <c r="K1089" s="60">
        <f>IFERROR(__xludf.DUMMYFUNCTION("IFERROR(VLOOKUP(C1089,IMPORTRANGE(""https://docs.google.com/spreadsheets/d/1HZUHB8NvANAZR0sHDmHYVAm2WE9kNv0pGIQA48Ryim8/edit?gid=1285727875#gid=1285727875"",""Sheet1!A2:G""),7,0))"),246.59)</f>
        <v>246.59</v>
      </c>
      <c r="L1089" s="62">
        <f t="shared" si="150"/>
        <v>3.81199562</v>
      </c>
      <c r="M1089" s="60">
        <f>IFERROR(__xludf.DUMMYFUNCTION("IFERROR(VLOOKUP(C1089,IMPORTRANGE(""https://docs.google.com/spreadsheets/d/1HZUHB8NvANAZR0sHDmHYVAm2WE9kNv0pGIQA48Ryim8/edit?gid=1285727875#gid=1285727875"",""Cost!A2:G""),7,0))"),246.0)</f>
        <v>246</v>
      </c>
      <c r="N1089" s="62">
        <f t="shared" si="4"/>
        <v>3.821138211</v>
      </c>
      <c r="O1089" s="28"/>
      <c r="P1089" s="28"/>
      <c r="Q1089" s="28"/>
      <c r="R1089" s="28"/>
      <c r="S1089" s="28"/>
      <c r="T1089" s="28"/>
      <c r="U1089" s="65"/>
      <c r="V1089" s="28"/>
      <c r="W1089" s="65"/>
      <c r="X1089" s="77"/>
      <c r="Y1089" s="28"/>
    </row>
    <row r="1090">
      <c r="A1090" s="18" t="s">
        <v>1328</v>
      </c>
      <c r="B1090" s="91" t="str">
        <f t="shared" si="148"/>
        <v>BOS-2011</v>
      </c>
      <c r="C1090" s="46" t="s">
        <v>402</v>
      </c>
      <c r="D1090" s="48" t="s">
        <v>403</v>
      </c>
      <c r="E1090" s="39">
        <v>740.0</v>
      </c>
      <c r="F1090" s="172">
        <v>940.0</v>
      </c>
      <c r="G1090" s="50">
        <f t="shared" si="149"/>
        <v>0.2702702703</v>
      </c>
      <c r="H1090" s="28"/>
      <c r="I1090" s="55">
        <f t="shared" si="2"/>
        <v>745.3666398</v>
      </c>
      <c r="J1090" s="81"/>
      <c r="K1090" s="60">
        <f>IFERROR(__xludf.DUMMYFUNCTION("IFERROR(VLOOKUP(C1090,IMPORTRANGE(""https://docs.google.com/spreadsheets/d/1HZUHB8NvANAZR0sHDmHYVAm2WE9kNv0pGIQA48Ryim8/edit?gid=1285727875#gid=1285727875"",""Sheet1!A2:G""),7,0))"),173.74)</f>
        <v>173.74</v>
      </c>
      <c r="L1090" s="62">
        <f t="shared" si="150"/>
        <v>4.259237942</v>
      </c>
      <c r="M1090" s="60">
        <f>IFERROR(__xludf.DUMMYFUNCTION("IFERROR(VLOOKUP(C1090,IMPORTRANGE(""https://docs.google.com/spreadsheets/d/1HZUHB8NvANAZR0sHDmHYVAm2WE9kNv0pGIQA48Ryim8/edit?gid=1285727875#gid=1285727875"",""Cost!A2:G""),7,0))"),175.0)</f>
        <v>175</v>
      </c>
      <c r="N1090" s="62">
        <f t="shared" si="4"/>
        <v>5.371428571</v>
      </c>
      <c r="O1090" s="28"/>
      <c r="P1090" s="28"/>
      <c r="Q1090" s="28"/>
      <c r="R1090" s="28"/>
      <c r="S1090" s="28"/>
      <c r="T1090" s="28"/>
      <c r="U1090" s="65"/>
      <c r="V1090" s="28"/>
      <c r="W1090" s="65"/>
      <c r="X1090" s="77"/>
      <c r="Y1090" s="28"/>
    </row>
    <row r="1091">
      <c r="A1091" s="18" t="s">
        <v>1328</v>
      </c>
      <c r="B1091" s="91" t="str">
        <f t="shared" si="148"/>
        <v>BOS-802B</v>
      </c>
      <c r="C1091" s="46" t="s">
        <v>404</v>
      </c>
      <c r="D1091" s="48" t="s">
        <v>406</v>
      </c>
      <c r="E1091" s="39">
        <v>46990.0</v>
      </c>
      <c r="F1091" s="39">
        <v>46990.0</v>
      </c>
      <c r="G1091" s="50">
        <f t="shared" si="149"/>
        <v>0</v>
      </c>
      <c r="H1091" s="28"/>
      <c r="I1091" s="55">
        <f t="shared" si="2"/>
        <v>46988.65163</v>
      </c>
      <c r="J1091" s="81"/>
      <c r="K1091" s="60">
        <f>IFERROR(__xludf.DUMMYFUNCTION("IFERROR(VLOOKUP(C1091,IMPORTRANGE(""https://docs.google.com/spreadsheets/d/1HZUHB8NvANAZR0sHDmHYVAm2WE9kNv0pGIQA48Ryim8/edit?gid=1285727875#gid=1285727875"",""Sheet1!A2:G""),7,0))"),11500.33)</f>
        <v>11500.33</v>
      </c>
      <c r="L1091" s="62">
        <f t="shared" si="150"/>
        <v>4.085969707</v>
      </c>
      <c r="M1091" s="60">
        <f>IFERROR(__xludf.DUMMYFUNCTION("IFERROR(VLOOKUP(C1091,IMPORTRANGE(""https://docs.google.com/spreadsheets/d/1HZUHB8NvANAZR0sHDmHYVAm2WE9kNv0pGIQA48Ryim8/edit?gid=1285727875#gid=1285727875"",""Cost!A2:G""),7,0))"),11500.0)</f>
        <v>11500</v>
      </c>
      <c r="N1091" s="62">
        <f t="shared" si="4"/>
        <v>4.086086957</v>
      </c>
      <c r="O1091" s="28"/>
      <c r="P1091" s="28"/>
      <c r="Q1091" s="28"/>
      <c r="R1091" s="28"/>
      <c r="S1091" s="28"/>
      <c r="T1091" s="28"/>
      <c r="U1091" s="65"/>
      <c r="V1091" s="28"/>
      <c r="W1091" s="65"/>
      <c r="X1091" s="77"/>
      <c r="Y1091" s="28"/>
    </row>
    <row r="1092">
      <c r="A1092" s="18" t="s">
        <v>1328</v>
      </c>
      <c r="B1092" s="91" t="str">
        <f t="shared" si="148"/>
        <v>BOS-802RG</v>
      </c>
      <c r="C1092" s="46" t="s">
        <v>408</v>
      </c>
      <c r="D1092" s="48" t="s">
        <v>409</v>
      </c>
      <c r="E1092" s="39">
        <v>46990.0</v>
      </c>
      <c r="F1092" s="39">
        <v>46990.0</v>
      </c>
      <c r="G1092" s="50">
        <f t="shared" si="149"/>
        <v>0</v>
      </c>
      <c r="H1092" s="28"/>
      <c r="I1092" s="55">
        <f t="shared" si="2"/>
        <v>46988.65163</v>
      </c>
      <c r="J1092" s="81"/>
      <c r="K1092" s="60">
        <f>IFERROR(__xludf.DUMMYFUNCTION("IFERROR(VLOOKUP(C1092,IMPORTRANGE(""https://docs.google.com/spreadsheets/d/1HZUHB8NvANAZR0sHDmHYVAm2WE9kNv0pGIQA48Ryim8/edit?gid=1285727875#gid=1285727875"",""Sheet1!A2:G""),7,0))"),11500.33)</f>
        <v>11500.33</v>
      </c>
      <c r="L1092" s="62">
        <f t="shared" si="150"/>
        <v>4.085969707</v>
      </c>
      <c r="M1092" s="60">
        <f>IFERROR(__xludf.DUMMYFUNCTION("IFERROR(VLOOKUP(C1092,IMPORTRANGE(""https://docs.google.com/spreadsheets/d/1HZUHB8NvANAZR0sHDmHYVAm2WE9kNv0pGIQA48Ryim8/edit?gid=1285727875#gid=1285727875"",""Cost!A2:G""),7,0))"),11500.0)</f>
        <v>11500</v>
      </c>
      <c r="N1092" s="62">
        <f t="shared" si="4"/>
        <v>4.086086957</v>
      </c>
      <c r="O1092" s="28"/>
      <c r="P1092" s="28"/>
      <c r="Q1092" s="28"/>
      <c r="R1092" s="28"/>
      <c r="S1092" s="28"/>
      <c r="T1092" s="28"/>
      <c r="U1092" s="65"/>
      <c r="V1092" s="28"/>
      <c r="W1092" s="65"/>
      <c r="X1092" s="77"/>
      <c r="Y1092" s="28"/>
    </row>
    <row r="1093">
      <c r="A1093" s="18" t="s">
        <v>1328</v>
      </c>
      <c r="B1093" s="91" t="str">
        <f t="shared" si="148"/>
        <v>BOS-802G</v>
      </c>
      <c r="C1093" s="46" t="s">
        <v>411</v>
      </c>
      <c r="D1093" s="48" t="s">
        <v>412</v>
      </c>
      <c r="E1093" s="39">
        <v>46990.0</v>
      </c>
      <c r="F1093" s="39">
        <v>46990.0</v>
      </c>
      <c r="G1093" s="50">
        <f t="shared" si="149"/>
        <v>0</v>
      </c>
      <c r="H1093" s="28"/>
      <c r="I1093" s="55">
        <f t="shared" si="2"/>
        <v>46988.65163</v>
      </c>
      <c r="J1093" s="81"/>
      <c r="K1093" s="60">
        <f>IFERROR(__xludf.DUMMYFUNCTION("IFERROR(VLOOKUP(C1093,IMPORTRANGE(""https://docs.google.com/spreadsheets/d/1HZUHB8NvANAZR0sHDmHYVAm2WE9kNv0pGIQA48Ryim8/edit?gid=1285727875#gid=1285727875"",""Sheet1!A2:G""),7,0))"),11500.33)</f>
        <v>11500.33</v>
      </c>
      <c r="L1093" s="62">
        <f t="shared" si="150"/>
        <v>4.085969707</v>
      </c>
      <c r="M1093" s="60">
        <f>IFERROR(__xludf.DUMMYFUNCTION("IFERROR(VLOOKUP(C1093,IMPORTRANGE(""https://docs.google.com/spreadsheets/d/1HZUHB8NvANAZR0sHDmHYVAm2WE9kNv0pGIQA48Ryim8/edit?gid=1285727875#gid=1285727875"",""Cost!A2:G""),7,0))"),11500.0)</f>
        <v>11500</v>
      </c>
      <c r="N1093" s="62">
        <f t="shared" si="4"/>
        <v>4.086086957</v>
      </c>
      <c r="O1093" s="28"/>
      <c r="P1093" s="28"/>
      <c r="Q1093" s="28"/>
      <c r="R1093" s="28"/>
      <c r="S1093" s="28"/>
      <c r="T1093" s="28"/>
      <c r="U1093" s="65"/>
      <c r="V1093" s="28"/>
      <c r="W1093" s="65"/>
      <c r="X1093" s="77"/>
      <c r="Y1093" s="28"/>
    </row>
    <row r="1094">
      <c r="A1094" s="18" t="s">
        <v>1328</v>
      </c>
      <c r="B1094" s="91" t="str">
        <f t="shared" si="148"/>
        <v>BOS-803B</v>
      </c>
      <c r="C1094" s="46" t="s">
        <v>413</v>
      </c>
      <c r="D1094" s="48" t="s">
        <v>414</v>
      </c>
      <c r="E1094" s="39">
        <v>3430.0</v>
      </c>
      <c r="F1094" s="39">
        <v>3430.0</v>
      </c>
      <c r="G1094" s="50">
        <f t="shared" si="149"/>
        <v>0</v>
      </c>
      <c r="H1094" s="28"/>
      <c r="I1094" s="55">
        <f t="shared" si="2"/>
        <v>3440.746917</v>
      </c>
      <c r="J1094" s="81"/>
      <c r="K1094" s="60">
        <f>IFERROR(__xludf.DUMMYFUNCTION("IFERROR(VLOOKUP(C1094,IMPORTRANGE(""https://docs.google.com/spreadsheets/d/1HZUHB8NvANAZR0sHDmHYVAm2WE9kNv0pGIQA48Ryim8/edit?gid=1285727875#gid=1285727875"",""Sheet1!A2:G""),7,0))"),791.52)</f>
        <v>791.52</v>
      </c>
      <c r="L1094" s="62">
        <f t="shared" si="150"/>
        <v>4.333434405</v>
      </c>
      <c r="M1094" s="60">
        <f>IFERROR(__xludf.DUMMYFUNCTION("IFERROR(VLOOKUP(C1094,IMPORTRANGE(""https://docs.google.com/spreadsheets/d/1HZUHB8NvANAZR0sHDmHYVAm2WE9kNv0pGIQA48Ryim8/edit?gid=1285727875#gid=1285727875"",""Cost!A2:G""),7,0))"),794.0)</f>
        <v>794</v>
      </c>
      <c r="N1094" s="62">
        <f t="shared" si="4"/>
        <v>4.319899244</v>
      </c>
      <c r="O1094" s="28"/>
      <c r="P1094" s="28"/>
      <c r="Q1094" s="28"/>
      <c r="R1094" s="28"/>
      <c r="S1094" s="28"/>
      <c r="T1094" s="28"/>
      <c r="U1094" s="65"/>
      <c r="V1094" s="28"/>
      <c r="W1094" s="65"/>
      <c r="X1094" s="77"/>
      <c r="Y1094" s="28"/>
    </row>
    <row r="1095">
      <c r="A1095" s="18" t="s">
        <v>1328</v>
      </c>
      <c r="B1095" s="91" t="str">
        <f t="shared" si="148"/>
        <v>BOS-803RG</v>
      </c>
      <c r="C1095" s="46" t="s">
        <v>416</v>
      </c>
      <c r="D1095" s="48" t="s">
        <v>417</v>
      </c>
      <c r="E1095" s="39">
        <v>3430.0</v>
      </c>
      <c r="F1095" s="39">
        <v>3430.0</v>
      </c>
      <c r="G1095" s="50">
        <f t="shared" si="149"/>
        <v>0</v>
      </c>
      <c r="H1095" s="28"/>
      <c r="I1095" s="55">
        <f t="shared" si="2"/>
        <v>3438.194436</v>
      </c>
      <c r="J1095" s="81"/>
      <c r="K1095" s="60">
        <f>IFERROR(__xludf.DUMMYFUNCTION("IFERROR(VLOOKUP(C1095,IMPORTRANGE(""https://docs.google.com/spreadsheets/d/1HZUHB8NvANAZR0sHDmHYVAm2WE9kNv0pGIQA48Ryim8/edit?gid=1285727875#gid=1285727875"",""Sheet1!A2:G""),7,0))"),791.11)</f>
        <v>791.11</v>
      </c>
      <c r="L1095" s="62">
        <f t="shared" si="150"/>
        <v>4.335680247</v>
      </c>
      <c r="M1095" s="60">
        <f>IFERROR(__xludf.DUMMYFUNCTION("IFERROR(VLOOKUP(C1095,IMPORTRANGE(""https://docs.google.com/spreadsheets/d/1HZUHB8NvANAZR0sHDmHYVAm2WE9kNv0pGIQA48Ryim8/edit?gid=1285727875#gid=1285727875"",""Cost!A2:G""),7,0))"),793.0)</f>
        <v>793</v>
      </c>
      <c r="N1095" s="62">
        <f t="shared" si="4"/>
        <v>4.325346784</v>
      </c>
      <c r="O1095" s="28"/>
      <c r="P1095" s="28"/>
      <c r="Q1095" s="28"/>
      <c r="R1095" s="28"/>
      <c r="S1095" s="28"/>
      <c r="T1095" s="28"/>
      <c r="U1095" s="65"/>
      <c r="V1095" s="28"/>
      <c r="W1095" s="65"/>
      <c r="X1095" s="77"/>
      <c r="Y1095" s="28"/>
    </row>
    <row r="1096">
      <c r="A1096" s="18" t="s">
        <v>1328</v>
      </c>
      <c r="B1096" s="91" t="str">
        <f t="shared" si="148"/>
        <v>BOS-803G</v>
      </c>
      <c r="C1096" s="46" t="s">
        <v>418</v>
      </c>
      <c r="D1096" s="48" t="s">
        <v>419</v>
      </c>
      <c r="E1096" s="39">
        <v>3430.0</v>
      </c>
      <c r="F1096" s="39">
        <v>3430.0</v>
      </c>
      <c r="G1096" s="50">
        <f t="shared" si="149"/>
        <v>0</v>
      </c>
      <c r="H1096" s="28"/>
      <c r="I1096" s="55">
        <f t="shared" si="2"/>
        <v>3438.194436</v>
      </c>
      <c r="J1096" s="81"/>
      <c r="K1096" s="60">
        <f>IFERROR(__xludf.DUMMYFUNCTION("IFERROR(VLOOKUP(C1096,IMPORTRANGE(""https://docs.google.com/spreadsheets/d/1HZUHB8NvANAZR0sHDmHYVAm2WE9kNv0pGIQA48Ryim8/edit?gid=1285727875#gid=1285727875"",""Sheet1!A2:G""),7,0))"),791.11)</f>
        <v>791.11</v>
      </c>
      <c r="L1096" s="62">
        <f t="shared" si="150"/>
        <v>4.335680247</v>
      </c>
      <c r="M1096" s="60">
        <f>IFERROR(__xludf.DUMMYFUNCTION("IFERROR(VLOOKUP(C1096,IMPORTRANGE(""https://docs.google.com/spreadsheets/d/1HZUHB8NvANAZR0sHDmHYVAm2WE9kNv0pGIQA48Ryim8/edit?gid=1285727875#gid=1285727875"",""Cost!A2:G""),7,0))"),793.0)</f>
        <v>793</v>
      </c>
      <c r="N1096" s="62">
        <f t="shared" si="4"/>
        <v>4.325346784</v>
      </c>
      <c r="O1096" s="28"/>
      <c r="P1096" s="28"/>
      <c r="Q1096" s="28"/>
      <c r="R1096" s="28"/>
      <c r="S1096" s="28"/>
      <c r="T1096" s="28"/>
      <c r="U1096" s="65"/>
      <c r="V1096" s="28"/>
      <c r="W1096" s="65"/>
      <c r="X1096" s="77"/>
      <c r="Y1096" s="28"/>
    </row>
    <row r="1097">
      <c r="A1097" s="18" t="s">
        <v>1328</v>
      </c>
      <c r="B1097" s="91" t="str">
        <f t="shared" si="148"/>
        <v>BOS-8003B</v>
      </c>
      <c r="C1097" s="46" t="s">
        <v>420</v>
      </c>
      <c r="D1097" s="48" t="s">
        <v>421</v>
      </c>
      <c r="E1097" s="39">
        <v>6990.0</v>
      </c>
      <c r="F1097" s="39">
        <v>6990.0</v>
      </c>
      <c r="G1097" s="50">
        <f t="shared" si="149"/>
        <v>0</v>
      </c>
      <c r="H1097" s="28"/>
      <c r="I1097" s="55">
        <f t="shared" si="2"/>
        <v>6991.854057</v>
      </c>
      <c r="J1097" s="81"/>
      <c r="K1097" s="60">
        <f>IFERROR(__xludf.DUMMYFUNCTION("IFERROR(VLOOKUP(C1097,IMPORTRANGE(""https://docs.google.com/spreadsheets/d/1HZUHB8NvANAZR0sHDmHYVAm2WE9kNv0pGIQA48Ryim8/edit?gid=1285727875#gid=1285727875"",""Sheet1!A2:G""),7,0))"),1696.55)</f>
        <v>1696.55</v>
      </c>
      <c r="L1097" s="62">
        <f t="shared" si="150"/>
        <v>4.120126138</v>
      </c>
      <c r="M1097" s="60">
        <f>IFERROR(__xludf.DUMMYFUNCTION("IFERROR(VLOOKUP(C1097,IMPORTRANGE(""https://docs.google.com/spreadsheets/d/1HZUHB8NvANAZR0sHDmHYVAm2WE9kNv0pGIQA48Ryim8/edit?gid=1285727875#gid=1285727875"",""Cost!A2:G""),7,0))"),1697.0)</f>
        <v>1697</v>
      </c>
      <c r="N1097" s="62">
        <f t="shared" si="4"/>
        <v>4.119033589</v>
      </c>
      <c r="O1097" s="28"/>
      <c r="P1097" s="28"/>
      <c r="Q1097" s="28"/>
      <c r="R1097" s="28"/>
      <c r="S1097" s="28"/>
      <c r="T1097" s="28"/>
      <c r="U1097" s="65"/>
      <c r="V1097" s="28"/>
      <c r="W1097" s="65"/>
      <c r="X1097" s="77"/>
      <c r="Y1097" s="28"/>
    </row>
    <row r="1098">
      <c r="A1098" s="18" t="s">
        <v>1328</v>
      </c>
      <c r="B1098" s="91" t="str">
        <f t="shared" si="148"/>
        <v>BOS-8003RG</v>
      </c>
      <c r="C1098" s="46" t="s">
        <v>423</v>
      </c>
      <c r="D1098" s="48" t="s">
        <v>424</v>
      </c>
      <c r="E1098" s="39">
        <v>6990.0</v>
      </c>
      <c r="F1098" s="39">
        <v>6990.0</v>
      </c>
      <c r="G1098" s="50">
        <f t="shared" si="149"/>
        <v>0</v>
      </c>
      <c r="H1098" s="28"/>
      <c r="I1098" s="55">
        <f t="shared" si="2"/>
        <v>6991.854057</v>
      </c>
      <c r="J1098" s="81"/>
      <c r="K1098" s="60">
        <f>IFERROR(__xludf.DUMMYFUNCTION("IFERROR(VLOOKUP(C1098,IMPORTRANGE(""https://docs.google.com/spreadsheets/d/1HZUHB8NvANAZR0sHDmHYVAm2WE9kNv0pGIQA48Ryim8/edit?gid=1285727875#gid=1285727875"",""Sheet1!A2:G""),7,0))"),1696.55)</f>
        <v>1696.55</v>
      </c>
      <c r="L1098" s="62">
        <f t="shared" si="150"/>
        <v>4.120126138</v>
      </c>
      <c r="M1098" s="60">
        <f>IFERROR(__xludf.DUMMYFUNCTION("IFERROR(VLOOKUP(C1098,IMPORTRANGE(""https://docs.google.com/spreadsheets/d/1HZUHB8NvANAZR0sHDmHYVAm2WE9kNv0pGIQA48Ryim8/edit?gid=1285727875#gid=1285727875"",""Cost!A2:G""),7,0))"),1697.0)</f>
        <v>1697</v>
      </c>
      <c r="N1098" s="62">
        <f t="shared" si="4"/>
        <v>4.119033589</v>
      </c>
      <c r="O1098" s="28"/>
      <c r="P1098" s="28"/>
      <c r="Q1098" s="28"/>
      <c r="R1098" s="28"/>
      <c r="S1098" s="28"/>
      <c r="T1098" s="28"/>
      <c r="U1098" s="65"/>
      <c r="V1098" s="28"/>
      <c r="W1098" s="65"/>
      <c r="X1098" s="77"/>
      <c r="Y1098" s="28"/>
    </row>
    <row r="1099">
      <c r="A1099" s="18" t="s">
        <v>1328</v>
      </c>
      <c r="B1099" s="91" t="str">
        <f t="shared" si="148"/>
        <v>BOS-8003G</v>
      </c>
      <c r="C1099" s="46" t="s">
        <v>425</v>
      </c>
      <c r="D1099" s="48" t="s">
        <v>426</v>
      </c>
      <c r="E1099" s="39">
        <v>6990.0</v>
      </c>
      <c r="F1099" s="39">
        <v>6990.0</v>
      </c>
      <c r="G1099" s="50">
        <f t="shared" si="149"/>
        <v>0</v>
      </c>
      <c r="H1099" s="28"/>
      <c r="I1099" s="55">
        <f t="shared" si="2"/>
        <v>6991.854057</v>
      </c>
      <c r="J1099" s="81"/>
      <c r="K1099" s="60">
        <f>IFERROR(__xludf.DUMMYFUNCTION("IFERROR(VLOOKUP(C1099,IMPORTRANGE(""https://docs.google.com/spreadsheets/d/1HZUHB8NvANAZR0sHDmHYVAm2WE9kNv0pGIQA48Ryim8/edit?gid=1285727875#gid=1285727875"",""Sheet1!A2:G""),7,0))"),1696.55)</f>
        <v>1696.55</v>
      </c>
      <c r="L1099" s="62">
        <f t="shared" si="150"/>
        <v>4.120126138</v>
      </c>
      <c r="M1099" s="60">
        <f>IFERROR(__xludf.DUMMYFUNCTION("IFERROR(VLOOKUP(C1099,IMPORTRANGE(""https://docs.google.com/spreadsheets/d/1HZUHB8NvANAZR0sHDmHYVAm2WE9kNv0pGIQA48Ryim8/edit?gid=1285727875#gid=1285727875"",""Cost!A2:G""),7,0))"),1697.0)</f>
        <v>1697</v>
      </c>
      <c r="N1099" s="62">
        <f t="shared" si="4"/>
        <v>4.119033589</v>
      </c>
      <c r="O1099" s="28"/>
      <c r="P1099" s="28"/>
      <c r="Q1099" s="28"/>
      <c r="R1099" s="28"/>
      <c r="S1099" s="28"/>
      <c r="T1099" s="28"/>
      <c r="U1099" s="65"/>
      <c r="V1099" s="28"/>
      <c r="W1099" s="65"/>
      <c r="X1099" s="77"/>
      <c r="Y1099" s="28"/>
    </row>
    <row r="1100">
      <c r="A1100" s="18" t="s">
        <v>1328</v>
      </c>
      <c r="B1100" s="91" t="str">
        <f t="shared" si="148"/>
        <v>BOS-104</v>
      </c>
      <c r="C1100" s="46" t="s">
        <v>434</v>
      </c>
      <c r="D1100" s="48" t="s">
        <v>435</v>
      </c>
      <c r="E1100" s="39">
        <v>1970.0</v>
      </c>
      <c r="F1100" s="39">
        <v>1970.0</v>
      </c>
      <c r="G1100" s="50">
        <f t="shared" si="149"/>
        <v>0</v>
      </c>
      <c r="H1100" s="28"/>
      <c r="I1100" s="55">
        <f t="shared" si="2"/>
        <v>2042.956537</v>
      </c>
      <c r="J1100" s="81"/>
      <c r="K1100" s="60">
        <f>IFERROR(__xludf.DUMMYFUNCTION("IFERROR(VLOOKUP(C1100,IMPORTRANGE(""https://docs.google.com/spreadsheets/d/1HZUHB8NvANAZR0sHDmHYVAm2WE9kNv0pGIQA48Ryim8/edit?gid=1285727875#gid=1285727875"",""Sheet1!A2:G""),7,0))"),454.18)</f>
        <v>454.18</v>
      </c>
      <c r="L1100" s="62">
        <f t="shared" si="150"/>
        <v>4.33748734</v>
      </c>
      <c r="M1100" s="60">
        <f>IFERROR(__xludf.DUMMYFUNCTION("IFERROR(VLOOKUP(C1100,IMPORTRANGE(""https://docs.google.com/spreadsheets/d/1HZUHB8NvANAZR0sHDmHYVAm2WE9kNv0pGIQA48Ryim8/edit?gid=1285727875#gid=1285727875"",""Cost!A2:G""),7,0))"),471.0)</f>
        <v>471</v>
      </c>
      <c r="N1100" s="62">
        <f t="shared" si="4"/>
        <v>4.182590234</v>
      </c>
      <c r="O1100" s="28"/>
      <c r="P1100" s="28"/>
      <c r="Q1100" s="28"/>
      <c r="R1100" s="28"/>
      <c r="S1100" s="28"/>
      <c r="T1100" s="28"/>
      <c r="U1100" s="65"/>
      <c r="V1100" s="28"/>
      <c r="W1100" s="65"/>
      <c r="X1100" s="77"/>
      <c r="Y1100" s="28"/>
    </row>
    <row r="1101">
      <c r="A1101" s="18" t="s">
        <v>1328</v>
      </c>
      <c r="B1101" s="91" t="str">
        <f t="shared" si="148"/>
        <v>BOS-106</v>
      </c>
      <c r="C1101" s="46" t="s">
        <v>438</v>
      </c>
      <c r="D1101" s="48" t="s">
        <v>439</v>
      </c>
      <c r="E1101" s="39">
        <v>23520.0</v>
      </c>
      <c r="F1101" s="39">
        <v>24880.0</v>
      </c>
      <c r="G1101" s="50">
        <f t="shared" si="149"/>
        <v>0.05782312925</v>
      </c>
      <c r="H1101" s="28"/>
      <c r="I1101" s="55">
        <f t="shared" si="2"/>
        <v>0</v>
      </c>
      <c r="J1101" s="81"/>
      <c r="K1101" s="60" t="str">
        <f>IFERROR(__xludf.DUMMYFUNCTION("IFERROR(VLOOKUP(C1101,IMPORTRANGE(""https://docs.google.com/spreadsheets/d/1HZUHB8NvANAZR0sHDmHYVAm2WE9kNv0pGIQA48Ryim8/edit?gid=1285727875#gid=1285727875"",""Sheet1!A2:G""),7,0))"),"")</f>
        <v/>
      </c>
      <c r="L1101" s="62" t="str">
        <f t="shared" si="150"/>
        <v/>
      </c>
      <c r="M1101" s="60">
        <f>IFERROR(__xludf.DUMMYFUNCTION("IFERROR(VLOOKUP(C1101,IMPORTRANGE(""https://docs.google.com/spreadsheets/d/1HZUHB8NvANAZR0sHDmHYVAm2WE9kNv0pGIQA48Ryim8/edit?gid=1285727875#gid=1285727875"",""Cost!A2:G""),7,0))"),6200.0)</f>
        <v>6200</v>
      </c>
      <c r="N1101" s="62">
        <f t="shared" si="4"/>
        <v>4.012903226</v>
      </c>
      <c r="O1101" s="28"/>
      <c r="P1101" s="28"/>
      <c r="Q1101" s="28"/>
      <c r="R1101" s="28"/>
      <c r="S1101" s="28"/>
      <c r="T1101" s="28"/>
      <c r="U1101" s="65"/>
      <c r="V1101" s="28"/>
      <c r="W1101" s="65"/>
      <c r="X1101" s="77"/>
      <c r="Y1101" s="28"/>
    </row>
    <row r="1102">
      <c r="A1102" s="18" t="s">
        <v>1328</v>
      </c>
      <c r="B1102" s="91" t="str">
        <f t="shared" si="148"/>
        <v>BOS-104A</v>
      </c>
      <c r="C1102" s="46" t="s">
        <v>440</v>
      </c>
      <c r="D1102" s="48" t="s">
        <v>441</v>
      </c>
      <c r="E1102" s="39">
        <v>2490.0</v>
      </c>
      <c r="F1102" s="39">
        <v>2490.0</v>
      </c>
      <c r="G1102" s="50">
        <f t="shared" si="149"/>
        <v>0</v>
      </c>
      <c r="H1102" s="28"/>
      <c r="I1102" s="55">
        <f t="shared" si="2"/>
        <v>2460.113005</v>
      </c>
      <c r="J1102" s="81"/>
      <c r="K1102" s="60">
        <f>IFERROR(__xludf.DUMMYFUNCTION("IFERROR(VLOOKUP(C1102,IMPORTRANGE(""https://docs.google.com/spreadsheets/d/1HZUHB8NvANAZR0sHDmHYVAm2WE9kNv0pGIQA48Ryim8/edit?gid=1285727875#gid=1285727875"",""Sheet1!A2:G""),7,0))"),626.52)</f>
        <v>626.52</v>
      </c>
      <c r="L1102" s="62">
        <f t="shared" si="150"/>
        <v>3.974334419</v>
      </c>
      <c r="M1102" s="60">
        <f>IFERROR(__xludf.DUMMYFUNCTION("IFERROR(VLOOKUP(C1102,IMPORTRANGE(""https://docs.google.com/spreadsheets/d/1HZUHB8NvANAZR0sHDmHYVAm2WE9kNv0pGIQA48Ryim8/edit?gid=1285727875#gid=1285727875"",""Cost!A2:G""),7,0))"),619.0)</f>
        <v>619</v>
      </c>
      <c r="N1102" s="62">
        <f t="shared" si="4"/>
        <v>4.022617124</v>
      </c>
      <c r="O1102" s="28"/>
      <c r="P1102" s="28"/>
      <c r="Q1102" s="28"/>
      <c r="R1102" s="28"/>
      <c r="S1102" s="28"/>
      <c r="T1102" s="28"/>
      <c r="U1102" s="65"/>
      <c r="V1102" s="28"/>
      <c r="W1102" s="65"/>
      <c r="X1102" s="77"/>
      <c r="Y1102" s="28"/>
    </row>
    <row r="1103">
      <c r="A1103" s="18" t="s">
        <v>1328</v>
      </c>
      <c r="B1103" s="91" t="str">
        <f t="shared" si="148"/>
        <v>BOS-104B</v>
      </c>
      <c r="C1103" s="46" t="s">
        <v>444</v>
      </c>
      <c r="D1103" s="48" t="s">
        <v>445</v>
      </c>
      <c r="E1103" s="39">
        <v>6190.0</v>
      </c>
      <c r="F1103" s="39">
        <v>6190.0</v>
      </c>
      <c r="G1103" s="50">
        <f t="shared" si="149"/>
        <v>0</v>
      </c>
      <c r="H1103" s="28"/>
      <c r="I1103" s="55">
        <f t="shared" si="2"/>
        <v>5785.008708</v>
      </c>
      <c r="J1103" s="81"/>
      <c r="K1103" s="60">
        <f>IFERROR(__xludf.DUMMYFUNCTION("IFERROR(VLOOKUP(C1103,IMPORTRANGE(""https://docs.google.com/spreadsheets/d/1HZUHB8NvANAZR0sHDmHYVAm2WE9kNv0pGIQA48Ryim8/edit?gid=1285727875#gid=1285727875"",""Sheet1!A2:G""),7,0))"),1521.55)</f>
        <v>1521.55</v>
      </c>
      <c r="L1103" s="62">
        <f t="shared" si="150"/>
        <v>4.068219907</v>
      </c>
      <c r="M1103" s="60">
        <f>IFERROR(__xludf.DUMMYFUNCTION("IFERROR(VLOOKUP(C1103,IMPORTRANGE(""https://docs.google.com/spreadsheets/d/1HZUHB8NvANAZR0sHDmHYVAm2WE9kNv0pGIQA48Ryim8/edit?gid=1285727875#gid=1285727875"",""Cost!A2:G""),7,0))"),1422.0)</f>
        <v>1422</v>
      </c>
      <c r="N1103" s="62">
        <f t="shared" si="4"/>
        <v>4.35302391</v>
      </c>
      <c r="O1103" s="28"/>
      <c r="P1103" s="28"/>
      <c r="Q1103" s="28"/>
      <c r="R1103" s="28"/>
      <c r="S1103" s="28"/>
      <c r="T1103" s="28"/>
      <c r="U1103" s="65"/>
      <c r="V1103" s="28"/>
      <c r="W1103" s="65"/>
      <c r="X1103" s="77"/>
      <c r="Y1103" s="28"/>
    </row>
    <row r="1104">
      <c r="A1104" s="18" t="s">
        <v>1328</v>
      </c>
      <c r="B1104" s="91" t="str">
        <f t="shared" si="148"/>
        <v>BOS-104C</v>
      </c>
      <c r="C1104" s="46" t="s">
        <v>449</v>
      </c>
      <c r="D1104" s="48" t="s">
        <v>450</v>
      </c>
      <c r="E1104" s="39">
        <v>14110.0</v>
      </c>
      <c r="F1104" s="39">
        <v>13880.0</v>
      </c>
      <c r="G1104" s="50">
        <f t="shared" si="149"/>
        <v>-0.0163004961</v>
      </c>
      <c r="H1104" s="28"/>
      <c r="I1104" s="55">
        <f t="shared" si="2"/>
        <v>0</v>
      </c>
      <c r="J1104" s="81"/>
      <c r="K1104" s="60" t="str">
        <f>IFERROR(__xludf.DUMMYFUNCTION("IFERROR(VLOOKUP(C1104,IMPORTRANGE(""https://docs.google.com/spreadsheets/d/1HZUHB8NvANAZR0sHDmHYVAm2WE9kNv0pGIQA48Ryim8/edit?gid=1285727875#gid=1285727875"",""Sheet1!A2:G""),7,0))"),"")</f>
        <v/>
      </c>
      <c r="L1104" s="62" t="str">
        <f t="shared" si="150"/>
        <v/>
      </c>
      <c r="M1104" s="60">
        <f>IFERROR(__xludf.DUMMYFUNCTION("IFERROR(VLOOKUP(C1104,IMPORTRANGE(""https://docs.google.com/spreadsheets/d/1HZUHB8NvANAZR0sHDmHYVAm2WE9kNv0pGIQA48Ryim8/edit?gid=1285727875#gid=1285727875"",""Cost!A2:G""),7,0))"),3300.0)</f>
        <v>3300</v>
      </c>
      <c r="N1104" s="62">
        <f t="shared" si="4"/>
        <v>4.206060606</v>
      </c>
      <c r="O1104" s="28"/>
      <c r="P1104" s="28"/>
      <c r="Q1104" s="28"/>
      <c r="R1104" s="28"/>
      <c r="S1104" s="28"/>
      <c r="T1104" s="28"/>
      <c r="U1104" s="65"/>
      <c r="V1104" s="28"/>
      <c r="W1104" s="65"/>
      <c r="X1104" s="77"/>
      <c r="Y1104" s="28"/>
    </row>
    <row r="1105">
      <c r="A1105" s="18" t="s">
        <v>1328</v>
      </c>
      <c r="B1105" s="91" t="str">
        <f t="shared" si="148"/>
        <v>BOS-105</v>
      </c>
      <c r="C1105" s="46" t="s">
        <v>436</v>
      </c>
      <c r="D1105" s="48" t="s">
        <v>437</v>
      </c>
      <c r="E1105" s="39">
        <v>990.0</v>
      </c>
      <c r="F1105" s="39">
        <v>990.0</v>
      </c>
      <c r="G1105" s="50">
        <f t="shared" si="149"/>
        <v>0</v>
      </c>
      <c r="H1105" s="28"/>
      <c r="I1105" s="55">
        <f t="shared" si="2"/>
        <v>1116.525514</v>
      </c>
      <c r="J1105" s="81"/>
      <c r="K1105" s="60">
        <f>IFERROR(__xludf.DUMMYFUNCTION("IFERROR(VLOOKUP(C1105,IMPORTRANGE(""https://docs.google.com/spreadsheets/d/1HZUHB8NvANAZR0sHDmHYVAm2WE9kNv0pGIQA48Ryim8/edit?gid=1285727875#gid=1285727875"",""Sheet1!A2:G""),7,0))"),234.97)</f>
        <v>234.97</v>
      </c>
      <c r="L1105" s="62">
        <f t="shared" si="150"/>
        <v>4.213303826</v>
      </c>
      <c r="M1105" s="60">
        <f>IFERROR(__xludf.DUMMYFUNCTION("IFERROR(VLOOKUP(C1105,IMPORTRANGE(""https://docs.google.com/spreadsheets/d/1HZUHB8NvANAZR0sHDmHYVAm2WE9kNv0pGIQA48Ryim8/edit?gid=1285727875#gid=1285727875"",""Cost!A2:G""),7,0))"),265.0)</f>
        <v>265</v>
      </c>
      <c r="N1105" s="62">
        <f t="shared" si="4"/>
        <v>3.735849057</v>
      </c>
      <c r="O1105" s="28"/>
      <c r="P1105" s="28"/>
      <c r="Q1105" s="28"/>
      <c r="R1105" s="28"/>
      <c r="S1105" s="28"/>
      <c r="T1105" s="28"/>
      <c r="U1105" s="65"/>
      <c r="V1105" s="28"/>
      <c r="W1105" s="65"/>
      <c r="X1105" s="77"/>
      <c r="Y1105" s="28"/>
    </row>
    <row r="1106">
      <c r="A1106" s="18" t="s">
        <v>1328</v>
      </c>
      <c r="B1106" s="91" t="str">
        <f t="shared" si="148"/>
        <v>BOS-105A</v>
      </c>
      <c r="C1106" s="46" t="s">
        <v>442</v>
      </c>
      <c r="D1106" s="48" t="s">
        <v>443</v>
      </c>
      <c r="E1106" s="39">
        <v>1460.0</v>
      </c>
      <c r="F1106" s="39">
        <v>1460.0</v>
      </c>
      <c r="G1106" s="50">
        <f t="shared" si="149"/>
        <v>0</v>
      </c>
      <c r="H1106" s="28"/>
      <c r="I1106" s="55">
        <f t="shared" si="2"/>
        <v>1618.491656</v>
      </c>
      <c r="J1106" s="81"/>
      <c r="K1106" s="60">
        <f>IFERROR(__xludf.DUMMYFUNCTION("IFERROR(VLOOKUP(C1106,IMPORTRANGE(""https://docs.google.com/spreadsheets/d/1HZUHB8NvANAZR0sHDmHYVAm2WE9kNv0pGIQA48Ryim8/edit?gid=1285727875#gid=1285727875"",""Sheet1!A2:G""),7,0))"),339.18)</f>
        <v>339.18</v>
      </c>
      <c r="L1106" s="62">
        <f t="shared" si="150"/>
        <v>4.304499086</v>
      </c>
      <c r="M1106" s="60">
        <f>IFERROR(__xludf.DUMMYFUNCTION("IFERROR(VLOOKUP(C1106,IMPORTRANGE(""https://docs.google.com/spreadsheets/d/1HZUHB8NvANAZR0sHDmHYVAm2WE9kNv0pGIQA48Ryim8/edit?gid=1285727875#gid=1285727875"",""Cost!A2:G""),7,0))"),376.0)</f>
        <v>376</v>
      </c>
      <c r="N1106" s="62">
        <f t="shared" si="4"/>
        <v>3.882978723</v>
      </c>
      <c r="O1106" s="28"/>
      <c r="P1106" s="28"/>
      <c r="Q1106" s="28"/>
      <c r="R1106" s="28"/>
      <c r="S1106" s="28"/>
      <c r="T1106" s="28"/>
      <c r="U1106" s="65"/>
      <c r="V1106" s="28"/>
      <c r="W1106" s="65"/>
      <c r="X1106" s="77"/>
      <c r="Y1106" s="28"/>
    </row>
    <row r="1107">
      <c r="A1107" s="18" t="s">
        <v>1328</v>
      </c>
      <c r="B1107" s="91" t="str">
        <f t="shared" si="148"/>
        <v>BOS-105B</v>
      </c>
      <c r="C1107" s="46" t="s">
        <v>446</v>
      </c>
      <c r="D1107" s="48" t="s">
        <v>447</v>
      </c>
      <c r="E1107" s="39">
        <v>1980.0</v>
      </c>
      <c r="F1107" s="39">
        <v>1980.0</v>
      </c>
      <c r="G1107" s="50">
        <f t="shared" si="149"/>
        <v>0</v>
      </c>
      <c r="H1107" s="28"/>
      <c r="I1107" s="55">
        <f t="shared" si="2"/>
        <v>2215.346983</v>
      </c>
      <c r="J1107" s="81"/>
      <c r="K1107" s="60">
        <f>IFERROR(__xludf.DUMMYFUNCTION("IFERROR(VLOOKUP(C1107,IMPORTRANGE(""https://docs.google.com/spreadsheets/d/1HZUHB8NvANAZR0sHDmHYVAm2WE9kNv0pGIQA48Ryim8/edit?gid=1285727875#gid=1285727875"",""Sheet1!A2:G""),7,0))"),441.52)</f>
        <v>441.52</v>
      </c>
      <c r="L1107" s="62">
        <f t="shared" si="150"/>
        <v>4.484508063</v>
      </c>
      <c r="M1107" s="60">
        <f>IFERROR(__xludf.DUMMYFUNCTION("IFERROR(VLOOKUP(C1107,IMPORTRANGE(""https://docs.google.com/spreadsheets/d/1HZUHB8NvANAZR0sHDmHYVAm2WE9kNv0pGIQA48Ryim8/edit?gid=1285727875#gid=1285727875"",""Cost!A2:G""),7,0))"),494.0)</f>
        <v>494</v>
      </c>
      <c r="N1107" s="62">
        <f t="shared" si="4"/>
        <v>4.008097166</v>
      </c>
      <c r="O1107" s="28"/>
      <c r="P1107" s="28"/>
      <c r="Q1107" s="28"/>
      <c r="R1107" s="28"/>
      <c r="S1107" s="28"/>
      <c r="T1107" s="28"/>
      <c r="U1107" s="65"/>
      <c r="V1107" s="28"/>
      <c r="W1107" s="65"/>
      <c r="X1107" s="77"/>
      <c r="Y1107" s="28"/>
    </row>
    <row r="1108">
      <c r="A1108" s="18" t="s">
        <v>1328</v>
      </c>
      <c r="B1108" s="91" t="str">
        <f t="shared" si="148"/>
        <v>BOS-801B</v>
      </c>
      <c r="C1108" s="46" t="s">
        <v>533</v>
      </c>
      <c r="D1108" s="48" t="s">
        <v>534</v>
      </c>
      <c r="E1108" s="39">
        <v>3290.0</v>
      </c>
      <c r="F1108" s="39">
        <v>3290.0</v>
      </c>
      <c r="G1108" s="50">
        <f t="shared" si="149"/>
        <v>0</v>
      </c>
      <c r="H1108" s="28"/>
      <c r="I1108" s="55">
        <f t="shared" si="2"/>
        <v>3290.334469</v>
      </c>
      <c r="J1108" s="81"/>
      <c r="K1108" s="60">
        <f>IFERROR(__xludf.DUMMYFUNCTION("IFERROR(VLOOKUP(C1108,IMPORTRANGE(""https://docs.google.com/spreadsheets/d/1HZUHB8NvANAZR0sHDmHYVAm2WE9kNv0pGIQA48Ryim8/edit?gid=1285727875#gid=1285727875"",""Sheet1!A2:G""),7,0))"),786.92)</f>
        <v>786.92</v>
      </c>
      <c r="L1108" s="62">
        <f t="shared" si="150"/>
        <v>4.180857012</v>
      </c>
      <c r="M1108" s="60">
        <f>IFERROR(__xludf.DUMMYFUNCTION("IFERROR(VLOOKUP(C1108,IMPORTRANGE(""https://docs.google.com/spreadsheets/d/1HZUHB8NvANAZR0sHDmHYVAm2WE9kNv0pGIQA48Ryim8/edit?gid=1285727875#gid=1285727875"",""Cost!A2:G""),7,0))"),787.0)</f>
        <v>787</v>
      </c>
      <c r="N1108" s="62">
        <f t="shared" si="4"/>
        <v>4.18043202</v>
      </c>
      <c r="O1108" s="28"/>
      <c r="P1108" s="28"/>
      <c r="Q1108" s="28"/>
      <c r="R1108" s="28"/>
      <c r="S1108" s="28"/>
      <c r="T1108" s="28"/>
      <c r="U1108" s="65"/>
      <c r="V1108" s="28"/>
      <c r="W1108" s="65"/>
      <c r="X1108" s="77"/>
      <c r="Y1108" s="28"/>
    </row>
    <row r="1109">
      <c r="A1109" s="18" t="s">
        <v>1328</v>
      </c>
      <c r="B1109" s="91" t="str">
        <f t="shared" si="148"/>
        <v>BOS-801RG</v>
      </c>
      <c r="C1109" s="46" t="s">
        <v>535</v>
      </c>
      <c r="D1109" s="48" t="s">
        <v>536</v>
      </c>
      <c r="E1109" s="39">
        <v>3290.0</v>
      </c>
      <c r="F1109" s="39">
        <v>3290.0</v>
      </c>
      <c r="G1109" s="50">
        <f t="shared" si="149"/>
        <v>0</v>
      </c>
      <c r="H1109" s="28"/>
      <c r="I1109" s="55">
        <f t="shared" si="2"/>
        <v>3291.463802</v>
      </c>
      <c r="J1109" s="81"/>
      <c r="K1109" s="60">
        <f>IFERROR(__xludf.DUMMYFUNCTION("IFERROR(VLOOKUP(C1109,IMPORTRANGE(""https://docs.google.com/spreadsheets/d/1HZUHB8NvANAZR0sHDmHYVAm2WE9kNv0pGIQA48Ryim8/edit?gid=1285727875#gid=1285727875"",""Sheet1!A2:G""),7,0))"),786.65)</f>
        <v>786.65</v>
      </c>
      <c r="L1109" s="62">
        <f t="shared" si="150"/>
        <v>4.182291998</v>
      </c>
      <c r="M1109" s="60">
        <f>IFERROR(__xludf.DUMMYFUNCTION("IFERROR(VLOOKUP(C1109,IMPORTRANGE(""https://docs.google.com/spreadsheets/d/1HZUHB8NvANAZR0sHDmHYVAm2WE9kNv0pGIQA48Ryim8/edit?gid=1285727875#gid=1285727875"",""Cost!A2:G""),7,0))"),787.0)</f>
        <v>787</v>
      </c>
      <c r="N1109" s="62">
        <f t="shared" si="4"/>
        <v>4.18043202</v>
      </c>
      <c r="O1109" s="28"/>
      <c r="P1109" s="28"/>
      <c r="Q1109" s="28"/>
      <c r="R1109" s="28"/>
      <c r="S1109" s="28"/>
      <c r="T1109" s="28"/>
      <c r="U1109" s="65"/>
      <c r="V1109" s="28"/>
      <c r="W1109" s="65"/>
      <c r="X1109" s="77"/>
      <c r="Y1109" s="28"/>
    </row>
    <row r="1110">
      <c r="A1110" s="18" t="s">
        <v>1328</v>
      </c>
      <c r="B1110" s="91" t="str">
        <f t="shared" si="148"/>
        <v>BOS-801G</v>
      </c>
      <c r="C1110" s="46" t="s">
        <v>531</v>
      </c>
      <c r="D1110" s="48" t="s">
        <v>532</v>
      </c>
      <c r="E1110" s="39">
        <v>3290.0</v>
      </c>
      <c r="F1110" s="39">
        <v>3290.0</v>
      </c>
      <c r="G1110" s="50">
        <f t="shared" si="149"/>
        <v>0</v>
      </c>
      <c r="H1110" s="28"/>
      <c r="I1110" s="55">
        <f t="shared" si="2"/>
        <v>3291.463802</v>
      </c>
      <c r="J1110" s="81"/>
      <c r="K1110" s="60">
        <f>IFERROR(__xludf.DUMMYFUNCTION("IFERROR(VLOOKUP(C1110,IMPORTRANGE(""https://docs.google.com/spreadsheets/d/1HZUHB8NvANAZR0sHDmHYVAm2WE9kNv0pGIQA48Ryim8/edit?gid=1285727875#gid=1285727875"",""Sheet1!A2:G""),7,0))"),786.65)</f>
        <v>786.65</v>
      </c>
      <c r="L1110" s="62">
        <f t="shared" si="150"/>
        <v>4.182291998</v>
      </c>
      <c r="M1110" s="60">
        <f>IFERROR(__xludf.DUMMYFUNCTION("IFERROR(VLOOKUP(C1110,IMPORTRANGE(""https://docs.google.com/spreadsheets/d/1HZUHB8NvANAZR0sHDmHYVAm2WE9kNv0pGIQA48Ryim8/edit?gid=1285727875#gid=1285727875"",""Cost!A2:G""),7,0))"),787.0)</f>
        <v>787</v>
      </c>
      <c r="N1110" s="62">
        <f t="shared" si="4"/>
        <v>4.18043202</v>
      </c>
      <c r="O1110" s="28"/>
      <c r="P1110" s="28"/>
      <c r="Q1110" s="28"/>
      <c r="R1110" s="28"/>
      <c r="S1110" s="28"/>
      <c r="T1110" s="28"/>
      <c r="U1110" s="65"/>
      <c r="V1110" s="28"/>
      <c r="W1110" s="65"/>
      <c r="X1110" s="77"/>
      <c r="Y1110" s="28"/>
    </row>
    <row r="1111">
      <c r="A1111" s="18" t="s">
        <v>1328</v>
      </c>
      <c r="B1111" s="91" t="str">
        <f t="shared" si="148"/>
        <v>GBS-01</v>
      </c>
      <c r="C1111" s="15" t="s">
        <v>714</v>
      </c>
      <c r="D1111" s="48" t="s">
        <v>715</v>
      </c>
      <c r="E1111" s="39">
        <v>1290.0</v>
      </c>
      <c r="F1111" s="39">
        <v>1440.0</v>
      </c>
      <c r="G1111" s="50">
        <f t="shared" si="149"/>
        <v>0.1162790698</v>
      </c>
      <c r="H1111" s="28"/>
      <c r="I1111" s="55">
        <f t="shared" si="2"/>
        <v>0</v>
      </c>
      <c r="J1111" s="81"/>
      <c r="K1111" s="60" t="str">
        <f>IFERROR(__xludf.DUMMYFUNCTION("IFERROR(VLOOKUP(C1111,IMPORTRANGE(""https://docs.google.com/spreadsheets/d/1HZUHB8NvANAZR0sHDmHYVAm2WE9kNv0pGIQA48Ryim8/edit?gid=1285727875#gid=1285727875"",""Sheet1!A2:G""),7,0))"),"")</f>
        <v/>
      </c>
      <c r="L1111" s="62" t="str">
        <f t="shared" si="150"/>
        <v/>
      </c>
      <c r="M1111" s="60">
        <f>IFERROR(__xludf.DUMMYFUNCTION("IFERROR(VLOOKUP(C1111,IMPORTRANGE(""https://docs.google.com/spreadsheets/d/1HZUHB8NvANAZR0sHDmHYVAm2WE9kNv0pGIQA48Ryim8/edit?gid=1285727875#gid=1285727875"",""Cost!A2:G""),7,0))"),425.0)</f>
        <v>425</v>
      </c>
      <c r="N1111" s="62">
        <f t="shared" si="4"/>
        <v>3.388235294</v>
      </c>
      <c r="O1111" s="28"/>
      <c r="P1111" s="28"/>
      <c r="Q1111" s="28"/>
      <c r="R1111" s="28"/>
      <c r="S1111" s="28"/>
      <c r="T1111" s="28"/>
      <c r="U1111" s="65"/>
      <c r="V1111" s="28"/>
      <c r="W1111" s="65"/>
      <c r="X1111" s="77"/>
      <c r="Y1111" s="28"/>
    </row>
    <row r="1112">
      <c r="A1112" s="18" t="s">
        <v>1328</v>
      </c>
      <c r="B1112" s="91" t="str">
        <f t="shared" si="148"/>
        <v>GBS-02</v>
      </c>
      <c r="C1112" s="15" t="s">
        <v>717</v>
      </c>
      <c r="D1112" s="48" t="s">
        <v>718</v>
      </c>
      <c r="E1112" s="39">
        <v>1390.0</v>
      </c>
      <c r="F1112" s="39">
        <v>1680.0</v>
      </c>
      <c r="G1112" s="50">
        <f t="shared" si="149"/>
        <v>0.2086330935</v>
      </c>
      <c r="H1112" s="28"/>
      <c r="I1112" s="55">
        <f t="shared" si="2"/>
        <v>0</v>
      </c>
      <c r="J1112" s="81"/>
      <c r="K1112" s="60" t="str">
        <f>IFERROR(__xludf.DUMMYFUNCTION("IFERROR(VLOOKUP(C1112,IMPORTRANGE(""https://docs.google.com/spreadsheets/d/1HZUHB8NvANAZR0sHDmHYVAm2WE9kNv0pGIQA48Ryim8/edit?gid=1285727875#gid=1285727875"",""Sheet1!A2:G""),7,0))"),"")</f>
        <v/>
      </c>
      <c r="L1112" s="62" t="str">
        <f t="shared" si="150"/>
        <v/>
      </c>
      <c r="M1112" s="60">
        <f>IFERROR(__xludf.DUMMYFUNCTION("IFERROR(VLOOKUP(C1112,IMPORTRANGE(""https://docs.google.com/spreadsheets/d/1HZUHB8NvANAZR0sHDmHYVAm2WE9kNv0pGIQA48Ryim8/edit?gid=1285727875#gid=1285727875"",""Cost!A2:G""),7,0))"),470.0)</f>
        <v>470</v>
      </c>
      <c r="N1112" s="62">
        <f t="shared" si="4"/>
        <v>3.574468085</v>
      </c>
      <c r="O1112" s="28"/>
      <c r="P1112" s="28"/>
      <c r="Q1112" s="28"/>
      <c r="R1112" s="28"/>
      <c r="S1112" s="28"/>
      <c r="T1112" s="28"/>
      <c r="U1112" s="65"/>
      <c r="V1112" s="28"/>
      <c r="W1112" s="65"/>
      <c r="X1112" s="77"/>
      <c r="Y1112" s="28"/>
    </row>
    <row r="1113">
      <c r="A1113" s="18" t="s">
        <v>1328</v>
      </c>
      <c r="B1113" s="91" t="str">
        <f t="shared" si="148"/>
        <v>GBS-03</v>
      </c>
      <c r="C1113" s="15" t="s">
        <v>719</v>
      </c>
      <c r="D1113" s="48" t="s">
        <v>720</v>
      </c>
      <c r="E1113" s="39">
        <v>5490.0</v>
      </c>
      <c r="F1113" s="39">
        <v>5880.0</v>
      </c>
      <c r="G1113" s="50">
        <f t="shared" si="149"/>
        <v>0.07103825137</v>
      </c>
      <c r="H1113" s="28"/>
      <c r="I1113" s="55">
        <f t="shared" si="2"/>
        <v>0</v>
      </c>
      <c r="J1113" s="81"/>
      <c r="K1113" s="60" t="str">
        <f>IFERROR(__xludf.DUMMYFUNCTION("IFERROR(VLOOKUP(C1113,IMPORTRANGE(""https://docs.google.com/spreadsheets/d/1HZUHB8NvANAZR0sHDmHYVAm2WE9kNv0pGIQA48Ryim8/edit?gid=1285727875#gid=1285727875"",""Sheet1!A2:G""),7,0))"),"")</f>
        <v/>
      </c>
      <c r="L1113" s="62" t="str">
        <f t="shared" si="150"/>
        <v/>
      </c>
      <c r="M1113" s="60">
        <f>IFERROR(__xludf.DUMMYFUNCTION("IFERROR(VLOOKUP(C1113,IMPORTRANGE(""https://docs.google.com/spreadsheets/d/1HZUHB8NvANAZR0sHDmHYVAm2WE9kNv0pGIQA48Ryim8/edit?gid=1285727875#gid=1285727875"",""Cost!A2:G""),7,0))"),1650.0)</f>
        <v>1650</v>
      </c>
      <c r="N1113" s="62">
        <f t="shared" si="4"/>
        <v>3.563636364</v>
      </c>
      <c r="O1113" s="28"/>
      <c r="P1113" s="28"/>
      <c r="Q1113" s="28"/>
      <c r="R1113" s="28"/>
      <c r="S1113" s="28"/>
      <c r="T1113" s="28"/>
      <c r="U1113" s="65"/>
      <c r="V1113" s="28"/>
      <c r="W1113" s="65"/>
      <c r="X1113" s="77"/>
      <c r="Y1113" s="28"/>
    </row>
    <row r="1114">
      <c r="A1114" s="18" t="s">
        <v>1328</v>
      </c>
      <c r="B1114" s="91" t="str">
        <f t="shared" si="148"/>
        <v>BHS-50</v>
      </c>
      <c r="C1114" s="46" t="s">
        <v>721</v>
      </c>
      <c r="D1114" s="48" t="s">
        <v>722</v>
      </c>
      <c r="E1114" s="39">
        <v>1860.0</v>
      </c>
      <c r="F1114" s="172">
        <v>1860.0</v>
      </c>
      <c r="G1114" s="50">
        <f t="shared" si="149"/>
        <v>0</v>
      </c>
      <c r="H1114" s="28"/>
      <c r="I1114" s="55">
        <f t="shared" si="2"/>
        <v>1869.084795</v>
      </c>
      <c r="J1114" s="81"/>
      <c r="K1114" s="60">
        <f>IFERROR(__xludf.DUMMYFUNCTION("IFERROR(VLOOKUP(C1114,IMPORTRANGE(""https://docs.google.com/spreadsheets/d/1HZUHB8NvANAZR0sHDmHYVAm2WE9kNv0pGIQA48Ryim8/edit?gid=1285727875#gid=1285727875"",""Sheet1!A2:G""),7,0))"),499.56)</f>
        <v>499.56</v>
      </c>
      <c r="L1114" s="62">
        <f t="shared" si="150"/>
        <v>3.723276483</v>
      </c>
      <c r="M1114" s="60">
        <f>IFERROR(__xludf.DUMMYFUNCTION("IFERROR(VLOOKUP(C1114,IMPORTRANGE(""https://docs.google.com/spreadsheets/d/1HZUHB8NvANAZR0sHDmHYVAm2WE9kNv0pGIQA48Ryim8/edit?gid=1285727875#gid=1285727875"",""Cost!A2:G""),7,0))"),502.0)</f>
        <v>502</v>
      </c>
      <c r="N1114" s="62">
        <f t="shared" si="4"/>
        <v>3.705179283</v>
      </c>
      <c r="O1114" s="28"/>
      <c r="P1114" s="28"/>
      <c r="Q1114" s="28"/>
      <c r="R1114" s="28"/>
      <c r="S1114" s="28"/>
      <c r="T1114" s="28"/>
      <c r="U1114" s="65"/>
      <c r="V1114" s="28"/>
      <c r="W1114" s="65"/>
      <c r="X1114" s="77"/>
      <c r="Y1114" s="28"/>
    </row>
    <row r="1115">
      <c r="A1115" s="18" t="s">
        <v>1328</v>
      </c>
      <c r="B1115" s="91" t="str">
        <f t="shared" si="148"/>
        <v>BHS-51</v>
      </c>
      <c r="C1115" s="46" t="s">
        <v>724</v>
      </c>
      <c r="D1115" s="48" t="s">
        <v>725</v>
      </c>
      <c r="E1115" s="39">
        <v>2080.0</v>
      </c>
      <c r="F1115" s="172">
        <v>2080.0</v>
      </c>
      <c r="G1115" s="50">
        <f t="shared" si="149"/>
        <v>0</v>
      </c>
      <c r="H1115" s="28"/>
      <c r="I1115" s="55">
        <f t="shared" si="2"/>
        <v>2089.044959</v>
      </c>
      <c r="J1115" s="81"/>
      <c r="K1115" s="60">
        <f>IFERROR(__xludf.DUMMYFUNCTION("IFERROR(VLOOKUP(C1115,IMPORTRANGE(""https://docs.google.com/spreadsheets/d/1HZUHB8NvANAZR0sHDmHYVAm2WE9kNv0pGIQA48Ryim8/edit?gid=1285727875#gid=1285727875"",""Sheet1!A2:G""),7,0))"),549.61)</f>
        <v>549.61</v>
      </c>
      <c r="L1115" s="62">
        <f t="shared" si="150"/>
        <v>3.784501738</v>
      </c>
      <c r="M1115" s="60">
        <f>IFERROR(__xludf.DUMMYFUNCTION("IFERROR(VLOOKUP(C1115,IMPORTRANGE(""https://docs.google.com/spreadsheets/d/1HZUHB8NvANAZR0sHDmHYVAm2WE9kNv0pGIQA48Ryim8/edit?gid=1285727875#gid=1285727875"",""Cost!A2:G""),7,0))"),552.0)</f>
        <v>552</v>
      </c>
      <c r="N1115" s="62">
        <f t="shared" si="4"/>
        <v>3.768115942</v>
      </c>
      <c r="O1115" s="28"/>
      <c r="P1115" s="28"/>
      <c r="Q1115" s="28"/>
      <c r="R1115" s="28"/>
      <c r="S1115" s="28"/>
      <c r="T1115" s="28"/>
      <c r="U1115" s="65"/>
      <c r="V1115" s="28"/>
      <c r="W1115" s="65"/>
      <c r="X1115" s="77"/>
      <c r="Y1115" s="28"/>
    </row>
    <row r="1116">
      <c r="A1116" s="18" t="s">
        <v>1328</v>
      </c>
      <c r="B1116" s="91" t="str">
        <f t="shared" si="148"/>
        <v>BOS-49</v>
      </c>
      <c r="C1116" s="46" t="s">
        <v>512</v>
      </c>
      <c r="D1116" s="48" t="s">
        <v>513</v>
      </c>
      <c r="E1116" s="39">
        <v>1060.0</v>
      </c>
      <c r="F1116" s="172">
        <v>1060.0</v>
      </c>
      <c r="G1116" s="50">
        <f t="shared" si="149"/>
        <v>0</v>
      </c>
      <c r="H1116" s="28"/>
      <c r="I1116" s="55">
        <f t="shared" si="2"/>
        <v>1058.520844</v>
      </c>
      <c r="J1116" s="81"/>
      <c r="K1116" s="60">
        <f>IFERROR(__xludf.DUMMYFUNCTION("IFERROR(VLOOKUP(C1116,IMPORTRANGE(""https://docs.google.com/spreadsheets/d/1HZUHB8NvANAZR0sHDmHYVAm2WE9kNv0pGIQA48Ryim8/edit?gid=1285727875#gid=1285727875"",""Sheet1!A2:G""),7,0))"),229.32)</f>
        <v>229.32</v>
      </c>
      <c r="L1116" s="62">
        <f t="shared" si="150"/>
        <v>4.622361765</v>
      </c>
      <c r="M1116" s="60">
        <f>IFERROR(__xludf.DUMMYFUNCTION("IFERROR(VLOOKUP(C1116,IMPORTRANGE(""https://docs.google.com/spreadsheets/d/1HZUHB8NvANAZR0sHDmHYVAm2WE9kNv0pGIQA48Ryim8/edit?gid=1285727875#gid=1285727875"",""Cost!A2:G""),7,0))"),229.0)</f>
        <v>229</v>
      </c>
      <c r="N1116" s="62">
        <f t="shared" si="4"/>
        <v>4.628820961</v>
      </c>
      <c r="O1116" s="28"/>
      <c r="P1116" s="28"/>
      <c r="Q1116" s="28"/>
      <c r="R1116" s="28"/>
      <c r="S1116" s="28"/>
      <c r="T1116" s="28"/>
      <c r="U1116" s="65"/>
      <c r="V1116" s="28"/>
      <c r="W1116" s="65"/>
      <c r="X1116" s="77"/>
      <c r="Y1116" s="28"/>
    </row>
    <row r="1117">
      <c r="A1117" s="18" t="s">
        <v>1328</v>
      </c>
      <c r="B1117" s="91" t="str">
        <f t="shared" si="148"/>
        <v>BOS-49SR</v>
      </c>
      <c r="C1117" s="46" t="s">
        <v>514</v>
      </c>
      <c r="D1117" s="48" t="s">
        <v>515</v>
      </c>
      <c r="E1117" s="39">
        <v>405.0</v>
      </c>
      <c r="F1117" s="172">
        <v>390.0</v>
      </c>
      <c r="G1117" s="50">
        <f t="shared" si="149"/>
        <v>-0.03703703704</v>
      </c>
      <c r="H1117" s="28"/>
      <c r="I1117" s="55">
        <f t="shared" si="2"/>
        <v>435.483871</v>
      </c>
      <c r="J1117" s="81"/>
      <c r="K1117" s="60">
        <f>IFERROR(__xludf.DUMMYFUNCTION("IFERROR(VLOOKUP(C1117,IMPORTRANGE(""https://docs.google.com/spreadsheets/d/1HZUHB8NvANAZR0sHDmHYVAm2WE9kNv0pGIQA48Ryim8/edit?gid=1285727875#gid=1285727875"",""Sheet1!A2:G""),7,0))"),78.12)</f>
        <v>78.12</v>
      </c>
      <c r="L1117" s="62">
        <f t="shared" si="150"/>
        <v>5.184331797</v>
      </c>
      <c r="M1117" s="60">
        <f>IFERROR(__xludf.DUMMYFUNCTION("IFERROR(VLOOKUP(C1117,IMPORTRANGE(""https://docs.google.com/spreadsheets/d/1HZUHB8NvANAZR0sHDmHYVAm2WE9kNv0pGIQA48Ryim8/edit?gid=1285727875#gid=1285727875"",""Cost!A2:G""),7,0))"),84.0)</f>
        <v>84</v>
      </c>
      <c r="N1117" s="62">
        <f t="shared" si="4"/>
        <v>4.642857143</v>
      </c>
      <c r="O1117" s="28"/>
      <c r="P1117" s="28"/>
      <c r="Q1117" s="28"/>
      <c r="R1117" s="28"/>
      <c r="S1117" s="28"/>
      <c r="T1117" s="28"/>
      <c r="U1117" s="65"/>
      <c r="V1117" s="28"/>
      <c r="W1117" s="65"/>
      <c r="X1117" s="77"/>
      <c r="Y1117" s="28"/>
    </row>
    <row r="1118">
      <c r="A1118" s="18" t="s">
        <v>1328</v>
      </c>
      <c r="B1118" s="91" t="str">
        <f t="shared" si="148"/>
        <v>BOS-47</v>
      </c>
      <c r="C1118" s="46" t="s">
        <v>516</v>
      </c>
      <c r="D1118" s="48" t="s">
        <v>517</v>
      </c>
      <c r="E1118" s="39">
        <v>1290.0</v>
      </c>
      <c r="F1118" s="172">
        <v>1290.0</v>
      </c>
      <c r="G1118" s="50">
        <f t="shared" si="149"/>
        <v>0</v>
      </c>
      <c r="H1118" s="28"/>
      <c r="I1118" s="55">
        <f t="shared" si="2"/>
        <v>1640.52341</v>
      </c>
      <c r="J1118" s="81"/>
      <c r="K1118" s="60">
        <f>IFERROR(__xludf.DUMMYFUNCTION("IFERROR(VLOOKUP(C1118,IMPORTRANGE(""https://docs.google.com/spreadsheets/d/1HZUHB8NvANAZR0sHDmHYVAm2WE9kNv0pGIQA48Ryim8/edit?gid=1285727875#gid=1285727875"",""Sheet1!A2:G""),7,0))"),244.55)</f>
        <v>244.55</v>
      </c>
      <c r="L1118" s="62">
        <f t="shared" si="150"/>
        <v>5.274994889</v>
      </c>
      <c r="M1118" s="60">
        <f>IFERROR(__xludf.DUMMYFUNCTION("IFERROR(VLOOKUP(C1118,IMPORTRANGE(""https://docs.google.com/spreadsheets/d/1HZUHB8NvANAZR0sHDmHYVAm2WE9kNv0pGIQA48Ryim8/edit?gid=1285727875#gid=1285727875"",""Cost!A2:G""),7,0))"),311.0)</f>
        <v>311</v>
      </c>
      <c r="N1118" s="62">
        <f t="shared" si="4"/>
        <v>4.147909968</v>
      </c>
      <c r="O1118" s="28"/>
      <c r="P1118" s="28"/>
      <c r="Q1118" s="28"/>
      <c r="R1118" s="28"/>
      <c r="S1118" s="28"/>
      <c r="T1118" s="28"/>
      <c r="U1118" s="65"/>
      <c r="V1118" s="28"/>
      <c r="W1118" s="65"/>
      <c r="X1118" s="77"/>
      <c r="Y1118" s="28"/>
    </row>
    <row r="1119">
      <c r="A1119" s="18" t="s">
        <v>1328</v>
      </c>
      <c r="B1119" s="91" t="str">
        <f t="shared" si="148"/>
        <v>BOS-47SR</v>
      </c>
      <c r="C1119" s="46" t="s">
        <v>518</v>
      </c>
      <c r="D1119" s="48" t="s">
        <v>519</v>
      </c>
      <c r="E1119" s="39">
        <v>450.0</v>
      </c>
      <c r="F1119" s="39">
        <v>450.0</v>
      </c>
      <c r="G1119" s="50">
        <f t="shared" si="149"/>
        <v>0</v>
      </c>
      <c r="H1119" s="28"/>
      <c r="I1119" s="55">
        <f t="shared" si="2"/>
        <v>449.800973</v>
      </c>
      <c r="J1119" s="81"/>
      <c r="K1119" s="60">
        <f>IFERROR(__xludf.DUMMYFUNCTION("IFERROR(VLOOKUP(C1119,IMPORTRANGE(""https://docs.google.com/spreadsheets/d/1HZUHB8NvANAZR0sHDmHYVAm2WE9kNv0pGIQA48Ryim8/edit?gid=1285727875#gid=1285727875"",""Sheet1!A2:G""),7,0))"),113.05)</f>
        <v>113.05</v>
      </c>
      <c r="L1119" s="62">
        <f t="shared" si="150"/>
        <v>3.980539584</v>
      </c>
      <c r="M1119" s="60">
        <f>IFERROR(__xludf.DUMMYFUNCTION("IFERROR(VLOOKUP(C1119,IMPORTRANGE(""https://docs.google.com/spreadsheets/d/1HZUHB8NvANAZR0sHDmHYVAm2WE9kNv0pGIQA48Ryim8/edit?gid=1285727875#gid=1285727875"",""Cost!A2:G""),7,0))"),113.0)</f>
        <v>113</v>
      </c>
      <c r="N1119" s="62">
        <f t="shared" si="4"/>
        <v>3.982300885</v>
      </c>
      <c r="O1119" s="28"/>
      <c r="P1119" s="28"/>
      <c r="Q1119" s="28"/>
      <c r="R1119" s="28"/>
      <c r="S1119" s="28"/>
      <c r="T1119" s="28"/>
      <c r="U1119" s="65"/>
      <c r="V1119" s="28"/>
      <c r="W1119" s="65"/>
      <c r="X1119" s="77"/>
      <c r="Y1119" s="28"/>
    </row>
    <row r="1120">
      <c r="A1120" s="18" t="s">
        <v>1328</v>
      </c>
      <c r="B1120" s="91" t="str">
        <f t="shared" si="148"/>
        <v>BOS-50</v>
      </c>
      <c r="C1120" s="46" t="s">
        <v>521</v>
      </c>
      <c r="D1120" s="48" t="s">
        <v>522</v>
      </c>
      <c r="E1120" s="39">
        <v>1560.0</v>
      </c>
      <c r="F1120" s="39">
        <v>1560.0</v>
      </c>
      <c r="G1120" s="50">
        <f t="shared" si="149"/>
        <v>0</v>
      </c>
      <c r="H1120" s="28"/>
      <c r="I1120" s="55">
        <f t="shared" si="2"/>
        <v>1270.783029</v>
      </c>
      <c r="J1120" s="81"/>
      <c r="K1120" s="60">
        <f>IFERROR(__xludf.DUMMYFUNCTION("IFERROR(VLOOKUP(C1120,IMPORTRANGE(""https://docs.google.com/spreadsheets/d/1HZUHB8NvANAZR0sHDmHYVAm2WE9kNv0pGIQA48Ryim8/edit?gid=1285727875#gid=1285727875"",""Sheet1!A2:G""),7,0))"),376.87)</f>
        <v>376.87</v>
      </c>
      <c r="L1120" s="62">
        <f t="shared" si="150"/>
        <v>4.139358399</v>
      </c>
      <c r="M1120" s="60">
        <f>IFERROR(__xludf.DUMMYFUNCTION("IFERROR(VLOOKUP(C1120,IMPORTRANGE(""https://docs.google.com/spreadsheets/d/1HZUHB8NvANAZR0sHDmHYVAm2WE9kNv0pGIQA48Ryim8/edit?gid=1285727875#gid=1285727875"",""Cost!A2:G""),7,0))"),307.0)</f>
        <v>307</v>
      </c>
      <c r="N1120" s="62">
        <f t="shared" si="4"/>
        <v>5.081433225</v>
      </c>
      <c r="O1120" s="28"/>
      <c r="P1120" s="28"/>
      <c r="Q1120" s="28"/>
      <c r="R1120" s="28"/>
      <c r="S1120" s="28"/>
      <c r="T1120" s="28"/>
      <c r="U1120" s="65"/>
      <c r="V1120" s="28"/>
      <c r="W1120" s="65"/>
      <c r="X1120" s="77"/>
      <c r="Y1120" s="28"/>
    </row>
    <row r="1121">
      <c r="A1121" s="18" t="s">
        <v>1328</v>
      </c>
      <c r="B1121" s="91" t="str">
        <f t="shared" si="148"/>
        <v>BOS-50SR</v>
      </c>
      <c r="C1121" s="46" t="s">
        <v>523</v>
      </c>
      <c r="D1121" s="48" t="s">
        <v>524</v>
      </c>
      <c r="E1121" s="39">
        <v>560.0</v>
      </c>
      <c r="F1121" s="39">
        <v>560.0</v>
      </c>
      <c r="G1121" s="50">
        <f t="shared" si="149"/>
        <v>0</v>
      </c>
      <c r="H1121" s="28"/>
      <c r="I1121" s="55">
        <f t="shared" si="2"/>
        <v>629.6037838</v>
      </c>
      <c r="J1121" s="81"/>
      <c r="K1121" s="60">
        <f>IFERROR(__xludf.DUMMYFUNCTION("IFERROR(VLOOKUP(C1121,IMPORTRANGE(""https://docs.google.com/spreadsheets/d/1HZUHB8NvANAZR0sHDmHYVAm2WE9kNv0pGIQA48Ryim8/edit?gid=1285727875#gid=1285727875"",""Sheet1!A2:G""),7,0))"),128.97)</f>
        <v>128.97</v>
      </c>
      <c r="L1121" s="62">
        <f t="shared" si="150"/>
        <v>4.342095061</v>
      </c>
      <c r="M1121" s="60">
        <f>IFERROR(__xludf.DUMMYFUNCTION("IFERROR(VLOOKUP(C1121,IMPORTRANGE(""https://docs.google.com/spreadsheets/d/1HZUHB8NvANAZR0sHDmHYVAm2WE9kNv0pGIQA48Ryim8/edit?gid=1285727875#gid=1285727875"",""Cost!A2:G""),7,0))"),145.0)</f>
        <v>145</v>
      </c>
      <c r="N1121" s="62">
        <f t="shared" si="4"/>
        <v>3.862068966</v>
      </c>
      <c r="O1121" s="28"/>
      <c r="P1121" s="28"/>
      <c r="Q1121" s="28"/>
      <c r="R1121" s="28"/>
      <c r="S1121" s="28"/>
      <c r="T1121" s="28"/>
      <c r="U1121" s="65"/>
      <c r="V1121" s="28"/>
      <c r="W1121" s="65"/>
      <c r="X1121" s="77"/>
      <c r="Y1121" s="28"/>
    </row>
    <row r="1122">
      <c r="A1122" s="18" t="s">
        <v>1328</v>
      </c>
      <c r="B1122" s="91" t="str">
        <f t="shared" si="148"/>
        <v>BOS-48</v>
      </c>
      <c r="C1122" s="46" t="s">
        <v>525</v>
      </c>
      <c r="D1122" s="48" t="s">
        <v>526</v>
      </c>
      <c r="E1122" s="39">
        <v>750.0</v>
      </c>
      <c r="F1122" s="39">
        <v>750.0</v>
      </c>
      <c r="G1122" s="50">
        <f t="shared" si="149"/>
        <v>0</v>
      </c>
      <c r="H1122" s="28"/>
      <c r="I1122" s="55">
        <f t="shared" si="2"/>
        <v>951.4847344</v>
      </c>
      <c r="J1122" s="81"/>
      <c r="K1122" s="60">
        <f>IFERROR(__xludf.DUMMYFUNCTION("IFERROR(VLOOKUP(C1122,IMPORTRANGE(""https://docs.google.com/spreadsheets/d/1HZUHB8NvANAZR0sHDmHYVAm2WE9kNv0pGIQA48Ryim8/edit?gid=1285727875#gid=1285727875"",""Sheet1!A2:G""),7,0))"),143.46)</f>
        <v>143.46</v>
      </c>
      <c r="L1122" s="62">
        <f t="shared" si="150"/>
        <v>5.227938101</v>
      </c>
      <c r="M1122" s="60">
        <f>IFERROR(__xludf.DUMMYFUNCTION("IFERROR(VLOOKUP(C1122,IMPORTRANGE(""https://docs.google.com/spreadsheets/d/1HZUHB8NvANAZR0sHDmHYVAm2WE9kNv0pGIQA48Ryim8/edit?gid=1285727875#gid=1285727875"",""Cost!A2:G""),7,0))"),182.0)</f>
        <v>182</v>
      </c>
      <c r="N1122" s="62">
        <f t="shared" si="4"/>
        <v>4.120879121</v>
      </c>
      <c r="O1122" s="28"/>
      <c r="P1122" s="28"/>
      <c r="Q1122" s="28"/>
      <c r="R1122" s="28"/>
      <c r="S1122" s="28"/>
      <c r="T1122" s="28"/>
      <c r="U1122" s="65"/>
      <c r="V1122" s="28"/>
      <c r="W1122" s="65"/>
      <c r="X1122" s="77"/>
      <c r="Y1122" s="28"/>
    </row>
    <row r="1123">
      <c r="A1123" s="18" t="s">
        <v>1328</v>
      </c>
      <c r="B1123" s="91" t="str">
        <f t="shared" si="148"/>
        <v>BOS-51SR</v>
      </c>
      <c r="C1123" s="46" t="s">
        <v>527</v>
      </c>
      <c r="D1123" s="48" t="s">
        <v>528</v>
      </c>
      <c r="E1123" s="39">
        <v>570.0</v>
      </c>
      <c r="F1123" s="39">
        <v>570.0</v>
      </c>
      <c r="G1123" s="50">
        <f t="shared" si="149"/>
        <v>0</v>
      </c>
      <c r="H1123" s="28"/>
      <c r="I1123" s="55">
        <f t="shared" si="2"/>
        <v>679.1195477</v>
      </c>
      <c r="J1123" s="81"/>
      <c r="K1123" s="60">
        <f>IFERROR(__xludf.DUMMYFUNCTION("IFERROR(VLOOKUP(C1123,IMPORTRANGE(""https://docs.google.com/spreadsheets/d/1HZUHB8NvANAZR0sHDmHYVAm2WE9kNv0pGIQA48Ryim8/edit?gid=1285727875#gid=1285727875"",""Sheet1!A2:G""),7,0))"),148.56)</f>
        <v>148.56</v>
      </c>
      <c r="L1123" s="62">
        <f t="shared" si="150"/>
        <v>3.836833603</v>
      </c>
      <c r="M1123" s="60">
        <f>IFERROR(__xludf.DUMMYFUNCTION("IFERROR(VLOOKUP(C1123,IMPORTRANGE(""https://docs.google.com/spreadsheets/d/1HZUHB8NvANAZR0sHDmHYVAm2WE9kNv0pGIQA48Ryim8/edit?gid=1285727875#gid=1285727875"",""Cost!A2:G""),7,0))"),177.0)</f>
        <v>177</v>
      </c>
      <c r="N1123" s="62">
        <f t="shared" si="4"/>
        <v>3.220338983</v>
      </c>
      <c r="O1123" s="28"/>
      <c r="P1123" s="28"/>
      <c r="Q1123" s="28"/>
      <c r="R1123" s="28"/>
      <c r="S1123" s="28"/>
      <c r="T1123" s="28"/>
      <c r="U1123" s="65"/>
      <c r="V1123" s="28"/>
      <c r="W1123" s="65"/>
      <c r="X1123" s="77"/>
      <c r="Y1123" s="28"/>
    </row>
    <row r="1124">
      <c r="A1124" s="18" t="s">
        <v>1328</v>
      </c>
      <c r="B1124" s="91" t="str">
        <f t="shared" si="148"/>
        <v>BOS-52SR</v>
      </c>
      <c r="C1124" s="46" t="s">
        <v>529</v>
      </c>
      <c r="D1124" s="48" t="s">
        <v>530</v>
      </c>
      <c r="E1124" s="39">
        <v>880.0</v>
      </c>
      <c r="F1124" s="39">
        <v>880.0</v>
      </c>
      <c r="G1124" s="50">
        <f t="shared" si="149"/>
        <v>0</v>
      </c>
      <c r="H1124" s="28"/>
      <c r="I1124" s="55">
        <f t="shared" si="2"/>
        <v>888.4688091</v>
      </c>
      <c r="J1124" s="81"/>
      <c r="K1124" s="60">
        <f>IFERROR(__xludf.DUMMYFUNCTION("IFERROR(VLOOKUP(C1124,IMPORTRANGE(""https://docs.google.com/spreadsheets/d/1HZUHB8NvANAZR0sHDmHYVAm2WE9kNv0pGIQA48Ryim8/edit?gid=1285727875#gid=1285727875"",""Sheet1!A2:G""),7,0))"),232.76)</f>
        <v>232.76</v>
      </c>
      <c r="L1124" s="62">
        <f t="shared" si="150"/>
        <v>3.780718336</v>
      </c>
      <c r="M1124" s="60">
        <f>IFERROR(__xludf.DUMMYFUNCTION("IFERROR(VLOOKUP(C1124,IMPORTRANGE(""https://docs.google.com/spreadsheets/d/1HZUHB8NvANAZR0sHDmHYVAm2WE9kNv0pGIQA48Ryim8/edit?gid=1285727875#gid=1285727875"",""Cost!A2:G""),7,0))"),235.0)</f>
        <v>235</v>
      </c>
      <c r="N1124" s="62">
        <f t="shared" si="4"/>
        <v>3.744680851</v>
      </c>
      <c r="O1124" s="28"/>
      <c r="P1124" s="28"/>
      <c r="Q1124" s="28"/>
      <c r="R1124" s="28"/>
      <c r="S1124" s="28"/>
      <c r="T1124" s="28"/>
      <c r="U1124" s="65"/>
      <c r="V1124" s="28"/>
      <c r="W1124" s="65"/>
      <c r="X1124" s="77"/>
      <c r="Y1124" s="28"/>
    </row>
    <row r="1125">
      <c r="A1125" s="18" t="s">
        <v>1328</v>
      </c>
      <c r="B1125" s="91" t="str">
        <f t="shared" si="148"/>
        <v>BSD-10</v>
      </c>
      <c r="C1125" s="46" t="s">
        <v>644</v>
      </c>
      <c r="D1125" s="48" t="s">
        <v>645</v>
      </c>
      <c r="E1125" s="39">
        <v>93980.0</v>
      </c>
      <c r="F1125" s="39">
        <v>93980.0</v>
      </c>
      <c r="G1125" s="50">
        <f t="shared" si="149"/>
        <v>0</v>
      </c>
      <c r="H1125" s="28"/>
      <c r="I1125" s="55">
        <f t="shared" si="2"/>
        <v>0</v>
      </c>
      <c r="J1125" s="81"/>
      <c r="K1125" s="60" t="str">
        <f>IFERROR(__xludf.DUMMYFUNCTION("IFERROR(VLOOKUP(C1125,IMPORTRANGE(""https://docs.google.com/spreadsheets/d/1HZUHB8NvANAZR0sHDmHYVAm2WE9kNv0pGIQA48Ryim8/edit?gid=1285727875#gid=1285727875"",""Sheet1!A2:G""),7,0))"),"")</f>
        <v/>
      </c>
      <c r="L1125" s="62" t="str">
        <f t="shared" si="150"/>
        <v/>
      </c>
      <c r="M1125" s="60" t="str">
        <f>IFERROR(__xludf.DUMMYFUNCTION("IFERROR(VLOOKUP(C1125,IMPORTRANGE(""https://docs.google.com/spreadsheets/d/1HZUHB8NvANAZR0sHDmHYVAm2WE9kNv0pGIQA48Ryim8/edit?gid=1285727875#gid=1285727875"",""Cost!A2:G""),7,0))"),"")</f>
        <v/>
      </c>
      <c r="N1125" s="62" t="str">
        <f t="shared" si="4"/>
        <v/>
      </c>
      <c r="O1125" s="101"/>
      <c r="P1125" s="28"/>
      <c r="Q1125" s="28"/>
      <c r="R1125" s="28"/>
      <c r="S1125" s="28"/>
      <c r="T1125" s="28"/>
      <c r="U1125" s="65"/>
      <c r="V1125" s="28"/>
      <c r="W1125" s="65"/>
      <c r="X1125" s="77"/>
      <c r="Y1125" s="28"/>
    </row>
    <row r="1126">
      <c r="A1126" s="18" t="s">
        <v>1328</v>
      </c>
      <c r="B1126" s="91" t="str">
        <f t="shared" si="148"/>
        <v>BSD-11</v>
      </c>
      <c r="C1126" s="46" t="s">
        <v>648</v>
      </c>
      <c r="D1126" s="48" t="s">
        <v>645</v>
      </c>
      <c r="E1126" s="39">
        <v>20790.0</v>
      </c>
      <c r="F1126" s="39">
        <v>20790.0</v>
      </c>
      <c r="G1126" s="50">
        <f t="shared" si="149"/>
        <v>0</v>
      </c>
      <c r="H1126" s="28"/>
      <c r="I1126" s="55">
        <f t="shared" si="2"/>
        <v>0</v>
      </c>
      <c r="J1126" s="81"/>
      <c r="K1126" s="60" t="str">
        <f>IFERROR(__xludf.DUMMYFUNCTION("IFERROR(VLOOKUP(C1126,IMPORTRANGE(""https://docs.google.com/spreadsheets/d/1HZUHB8NvANAZR0sHDmHYVAm2WE9kNv0pGIQA48Ryim8/edit?gid=1285727875#gid=1285727875"",""Sheet1!A2:G""),7,0))"),"")</f>
        <v/>
      </c>
      <c r="L1126" s="62" t="str">
        <f t="shared" si="150"/>
        <v/>
      </c>
      <c r="M1126" s="60" t="str">
        <f>IFERROR(__xludf.DUMMYFUNCTION("IFERROR(VLOOKUP(C1126,IMPORTRANGE(""https://docs.google.com/spreadsheets/d/1HZUHB8NvANAZR0sHDmHYVAm2WE9kNv0pGIQA48Ryim8/edit?gid=1285727875#gid=1285727875"",""Cost!A2:G""),7,0))"),"")</f>
        <v/>
      </c>
      <c r="N1126" s="62" t="str">
        <f t="shared" si="4"/>
        <v/>
      </c>
      <c r="O1126" s="101"/>
      <c r="P1126" s="28"/>
      <c r="Q1126" s="28"/>
      <c r="R1126" s="28"/>
      <c r="S1126" s="28"/>
      <c r="T1126" s="28"/>
      <c r="U1126" s="65"/>
      <c r="V1126" s="28"/>
      <c r="W1126" s="65"/>
      <c r="X1126" s="77"/>
      <c r="Y1126" s="28"/>
    </row>
    <row r="1127">
      <c r="A1127" s="18" t="s">
        <v>1328</v>
      </c>
      <c r="B1127" s="91" t="str">
        <f t="shared" si="148"/>
        <v>BSD-12</v>
      </c>
      <c r="C1127" s="46" t="s">
        <v>649</v>
      </c>
      <c r="D1127" s="48" t="s">
        <v>645</v>
      </c>
      <c r="E1127" s="39">
        <v>14590.0</v>
      </c>
      <c r="F1127" s="39">
        <v>14590.0</v>
      </c>
      <c r="G1127" s="50">
        <f t="shared" si="149"/>
        <v>0</v>
      </c>
      <c r="H1127" s="28"/>
      <c r="I1127" s="55">
        <f t="shared" si="2"/>
        <v>0</v>
      </c>
      <c r="J1127" s="81"/>
      <c r="K1127" s="60" t="str">
        <f>IFERROR(__xludf.DUMMYFUNCTION("IFERROR(VLOOKUP(C1127,IMPORTRANGE(""https://docs.google.com/spreadsheets/d/1HZUHB8NvANAZR0sHDmHYVAm2WE9kNv0pGIQA48Ryim8/edit?gid=1285727875#gid=1285727875"",""Sheet1!A2:G""),7,0))"),"")</f>
        <v/>
      </c>
      <c r="L1127" s="62" t="str">
        <f t="shared" si="150"/>
        <v/>
      </c>
      <c r="M1127" s="60" t="str">
        <f>IFERROR(__xludf.DUMMYFUNCTION("IFERROR(VLOOKUP(C1127,IMPORTRANGE(""https://docs.google.com/spreadsheets/d/1HZUHB8NvANAZR0sHDmHYVAm2WE9kNv0pGIQA48Ryim8/edit?gid=1285727875#gid=1285727875"",""Cost!A2:G""),7,0))"),"")</f>
        <v/>
      </c>
      <c r="N1127" s="62" t="str">
        <f t="shared" si="4"/>
        <v/>
      </c>
      <c r="O1127" s="101"/>
      <c r="P1127" s="28"/>
      <c r="Q1127" s="28"/>
      <c r="R1127" s="28"/>
      <c r="S1127" s="28"/>
      <c r="T1127" s="28"/>
      <c r="U1127" s="65"/>
      <c r="V1127" s="28"/>
      <c r="W1127" s="65"/>
      <c r="X1127" s="77"/>
      <c r="Y1127" s="28"/>
    </row>
    <row r="1128">
      <c r="A1128" s="18" t="s">
        <v>1328</v>
      </c>
      <c r="B1128" s="91" t="str">
        <f t="shared" si="148"/>
        <v>BSD-13</v>
      </c>
      <c r="C1128" s="46" t="s">
        <v>652</v>
      </c>
      <c r="D1128" s="48" t="s">
        <v>645</v>
      </c>
      <c r="E1128" s="39">
        <v>21950.0</v>
      </c>
      <c r="F1128" s="39">
        <v>21950.0</v>
      </c>
      <c r="G1128" s="50">
        <f t="shared" si="149"/>
        <v>0</v>
      </c>
      <c r="H1128" s="28"/>
      <c r="I1128" s="55">
        <f t="shared" si="2"/>
        <v>0</v>
      </c>
      <c r="J1128" s="81"/>
      <c r="K1128" s="60" t="str">
        <f>IFERROR(__xludf.DUMMYFUNCTION("IFERROR(VLOOKUP(C1128,IMPORTRANGE(""https://docs.google.com/spreadsheets/d/1HZUHB8NvANAZR0sHDmHYVAm2WE9kNv0pGIQA48Ryim8/edit?gid=1285727875#gid=1285727875"",""Sheet1!A2:G""),7,0))"),"")</f>
        <v/>
      </c>
      <c r="L1128" s="62" t="str">
        <f t="shared" si="150"/>
        <v/>
      </c>
      <c r="M1128" s="60" t="str">
        <f>IFERROR(__xludf.DUMMYFUNCTION("IFERROR(VLOOKUP(C1128,IMPORTRANGE(""https://docs.google.com/spreadsheets/d/1HZUHB8NvANAZR0sHDmHYVAm2WE9kNv0pGIQA48Ryim8/edit?gid=1285727875#gid=1285727875"",""Cost!A2:G""),7,0))"),"")</f>
        <v/>
      </c>
      <c r="N1128" s="62" t="str">
        <f t="shared" si="4"/>
        <v/>
      </c>
      <c r="O1128" s="101"/>
      <c r="P1128" s="28"/>
      <c r="Q1128" s="28"/>
      <c r="R1128" s="28"/>
      <c r="S1128" s="28"/>
      <c r="T1128" s="28"/>
      <c r="U1128" s="65"/>
      <c r="V1128" s="28"/>
      <c r="W1128" s="65"/>
      <c r="X1128" s="77"/>
      <c r="Y1128" s="28"/>
    </row>
    <row r="1129">
      <c r="A1129" s="18" t="s">
        <v>1328</v>
      </c>
      <c r="B1129" s="91" t="str">
        <f t="shared" si="148"/>
        <v>TSA-01</v>
      </c>
      <c r="C1129" s="46" t="s">
        <v>655</v>
      </c>
      <c r="D1129" s="48" t="s">
        <v>656</v>
      </c>
      <c r="E1129" s="39">
        <v>3940.0</v>
      </c>
      <c r="F1129" s="39">
        <v>3940.0</v>
      </c>
      <c r="G1129" s="50">
        <f t="shared" si="149"/>
        <v>0</v>
      </c>
      <c r="H1129" s="28"/>
      <c r="I1129" s="55">
        <f t="shared" si="2"/>
        <v>0</v>
      </c>
      <c r="J1129" s="81"/>
      <c r="K1129" s="60" t="str">
        <f>IFERROR(__xludf.DUMMYFUNCTION("IFERROR(VLOOKUP(C1129,IMPORTRANGE(""https://docs.google.com/spreadsheets/d/1HZUHB8NvANAZR0sHDmHYVAm2WE9kNv0pGIQA48Ryim8/edit?gid=1285727875#gid=1285727875"",""Sheet1!A2:G""),7,0))"),"")</f>
        <v/>
      </c>
      <c r="L1129" s="62" t="str">
        <f t="shared" si="150"/>
        <v/>
      </c>
      <c r="M1129" s="60">
        <f>IFERROR(__xludf.DUMMYFUNCTION("IFERROR(VLOOKUP(C1129,IMPORTRANGE(""https://docs.google.com/spreadsheets/d/1HZUHB8NvANAZR0sHDmHYVAm2WE9kNv0pGIQA48Ryim8/edit?gid=1285727875#gid=1285727875"",""Cost!A2:G""),7,0))"),950.0)</f>
        <v>950</v>
      </c>
      <c r="N1129" s="62">
        <f t="shared" si="4"/>
        <v>4.147368421</v>
      </c>
      <c r="O1129" s="28"/>
      <c r="P1129" s="28"/>
      <c r="Q1129" s="28"/>
      <c r="R1129" s="28"/>
      <c r="S1129" s="28"/>
      <c r="T1129" s="28"/>
      <c r="U1129" s="65"/>
      <c r="V1129" s="28"/>
      <c r="W1129" s="65"/>
      <c r="X1129" s="77"/>
      <c r="Y1129" s="28"/>
    </row>
    <row r="1130">
      <c r="A1130" s="18" t="s">
        <v>1328</v>
      </c>
      <c r="B1130" s="91" t="str">
        <f t="shared" si="148"/>
        <v>TSA-02</v>
      </c>
      <c r="C1130" s="46" t="s">
        <v>658</v>
      </c>
      <c r="D1130" s="48" t="s">
        <v>659</v>
      </c>
      <c r="E1130" s="39">
        <v>3940.0</v>
      </c>
      <c r="F1130" s="39">
        <v>3940.0</v>
      </c>
      <c r="G1130" s="50">
        <f t="shared" si="149"/>
        <v>0</v>
      </c>
      <c r="H1130" s="28"/>
      <c r="I1130" s="55">
        <f t="shared" si="2"/>
        <v>0</v>
      </c>
      <c r="J1130" s="81"/>
      <c r="K1130" s="60" t="str">
        <f>IFERROR(__xludf.DUMMYFUNCTION("IFERROR(VLOOKUP(C1130,IMPORTRANGE(""https://docs.google.com/spreadsheets/d/1HZUHB8NvANAZR0sHDmHYVAm2WE9kNv0pGIQA48Ryim8/edit?gid=1285727875#gid=1285727875"",""Sheet1!A2:G""),7,0))"),"")</f>
        <v/>
      </c>
      <c r="L1130" s="62" t="str">
        <f t="shared" si="150"/>
        <v/>
      </c>
      <c r="M1130" s="60">
        <f>IFERROR(__xludf.DUMMYFUNCTION("IFERROR(VLOOKUP(C1130,IMPORTRANGE(""https://docs.google.com/spreadsheets/d/1HZUHB8NvANAZR0sHDmHYVAm2WE9kNv0pGIQA48Ryim8/edit?gid=1285727875#gid=1285727875"",""Cost!A2:G""),7,0))"),950.0)</f>
        <v>950</v>
      </c>
      <c r="N1130" s="62">
        <f t="shared" si="4"/>
        <v>4.147368421</v>
      </c>
      <c r="O1130" s="28"/>
      <c r="P1130" s="28"/>
      <c r="Q1130" s="28"/>
      <c r="R1130" s="28"/>
      <c r="S1130" s="28"/>
      <c r="T1130" s="28"/>
      <c r="U1130" s="65"/>
      <c r="V1130" s="28"/>
      <c r="W1130" s="65"/>
      <c r="X1130" s="77"/>
      <c r="Y1130" s="28"/>
    </row>
    <row r="1131">
      <c r="A1131" s="18" t="s">
        <v>1328</v>
      </c>
      <c r="B1131" s="91" t="str">
        <f t="shared" si="148"/>
        <v>BSD-14</v>
      </c>
      <c r="C1131" s="46" t="s">
        <v>653</v>
      </c>
      <c r="D1131" s="48" t="s">
        <v>645</v>
      </c>
      <c r="E1131" s="39">
        <v>23730.0</v>
      </c>
      <c r="F1131" s="39">
        <v>23730.0</v>
      </c>
      <c r="G1131" s="50">
        <f t="shared" si="149"/>
        <v>0</v>
      </c>
      <c r="H1131" s="28"/>
      <c r="I1131" s="55">
        <f t="shared" si="2"/>
        <v>0</v>
      </c>
      <c r="J1131" s="81"/>
      <c r="K1131" s="60" t="str">
        <f>IFERROR(__xludf.DUMMYFUNCTION("IFERROR(VLOOKUP(C1131,IMPORTRANGE(""https://docs.google.com/spreadsheets/d/1HZUHB8NvANAZR0sHDmHYVAm2WE9kNv0pGIQA48Ryim8/edit?gid=1285727875#gid=1285727875"",""Sheet1!A2:G""),7,0))"),"")</f>
        <v/>
      </c>
      <c r="L1131" s="62" t="str">
        <f t="shared" si="150"/>
        <v/>
      </c>
      <c r="M1131" s="60" t="str">
        <f>IFERROR(__xludf.DUMMYFUNCTION("IFERROR(VLOOKUP(C1131,IMPORTRANGE(""https://docs.google.com/spreadsheets/d/1HZUHB8NvANAZR0sHDmHYVAm2WE9kNv0pGIQA48Ryim8/edit?gid=1285727875#gid=1285727875"",""Cost!A2:G""),7,0))"),"")</f>
        <v/>
      </c>
      <c r="N1131" s="62" t="str">
        <f t="shared" si="4"/>
        <v/>
      </c>
      <c r="O1131" s="101"/>
      <c r="P1131" s="28"/>
      <c r="Q1131" s="28"/>
      <c r="R1131" s="28"/>
      <c r="S1131" s="28"/>
      <c r="T1131" s="28"/>
      <c r="U1131" s="65"/>
      <c r="V1131" s="28"/>
      <c r="W1131" s="65"/>
      <c r="X1131" s="77"/>
      <c r="Y1131" s="28"/>
    </row>
    <row r="1132">
      <c r="A1132" s="18" t="s">
        <v>1328</v>
      </c>
      <c r="B1132" s="91" t="str">
        <f t="shared" si="148"/>
        <v>BSP-17</v>
      </c>
      <c r="C1132" s="46" t="s">
        <v>668</v>
      </c>
      <c r="D1132" s="48" t="s">
        <v>670</v>
      </c>
      <c r="E1132" s="39">
        <v>10490.0</v>
      </c>
      <c r="F1132" s="39">
        <v>10490.0</v>
      </c>
      <c r="G1132" s="50">
        <f t="shared" si="149"/>
        <v>0</v>
      </c>
      <c r="H1132" s="28"/>
      <c r="I1132" s="55">
        <f t="shared" si="2"/>
        <v>0</v>
      </c>
      <c r="J1132" s="81"/>
      <c r="K1132" s="60" t="str">
        <f>IFERROR(__xludf.DUMMYFUNCTION("IFERROR(VLOOKUP(C1132,IMPORTRANGE(""https://docs.google.com/spreadsheets/d/1HZUHB8NvANAZR0sHDmHYVAm2WE9kNv0pGIQA48Ryim8/edit?gid=1285727875#gid=1285727875"",""Sheet1!A2:G""),7,0))"),"")</f>
        <v/>
      </c>
      <c r="L1132" s="62" t="str">
        <f t="shared" si="150"/>
        <v/>
      </c>
      <c r="M1132" s="60">
        <f>IFERROR(__xludf.DUMMYFUNCTION("IFERROR(VLOOKUP(C1132,IMPORTRANGE(""https://docs.google.com/spreadsheets/d/1HZUHB8NvANAZR0sHDmHYVAm2WE9kNv0pGIQA48Ryim8/edit?gid=1285727875#gid=1285727875"",""Cost!A2:G""),7,0))"),2578.0)</f>
        <v>2578</v>
      </c>
      <c r="N1132" s="62">
        <f t="shared" si="4"/>
        <v>4.069045772</v>
      </c>
      <c r="O1132" s="28"/>
      <c r="P1132" s="28"/>
      <c r="Q1132" s="28"/>
      <c r="R1132" s="28"/>
      <c r="S1132" s="28"/>
      <c r="T1132" s="28"/>
      <c r="U1132" s="65"/>
      <c r="V1132" s="28"/>
      <c r="W1132" s="65"/>
      <c r="X1132" s="77"/>
      <c r="Y1132" s="28"/>
    </row>
    <row r="1133">
      <c r="A1133" s="18" t="s">
        <v>1328</v>
      </c>
      <c r="B1133" s="91" t="str">
        <f t="shared" si="148"/>
        <v>BSU-11</v>
      </c>
      <c r="C1133" s="46" t="s">
        <v>638</v>
      </c>
      <c r="D1133" s="48" t="s">
        <v>639</v>
      </c>
      <c r="E1133" s="39">
        <v>12200.0</v>
      </c>
      <c r="F1133" s="39">
        <v>12200.0</v>
      </c>
      <c r="G1133" s="50">
        <f t="shared" si="149"/>
        <v>0</v>
      </c>
      <c r="H1133" s="28"/>
      <c r="I1133" s="55">
        <f t="shared" si="2"/>
        <v>12735.38668</v>
      </c>
      <c r="J1133" s="81"/>
      <c r="K1133" s="60">
        <f>IFERROR(__xludf.DUMMYFUNCTION("IFERROR(VLOOKUP(C1133,IMPORTRANGE(""https://docs.google.com/spreadsheets/d/1HZUHB8NvANAZR0sHDmHYVAm2WE9kNv0pGIQA48Ryim8/edit?gid=1285727875#gid=1285727875"",""Sheet1!A2:G""),7,0))"),2827.9)</f>
        <v>2827.9</v>
      </c>
      <c r="L1133" s="62">
        <f t="shared" si="150"/>
        <v>4.31415538</v>
      </c>
      <c r="M1133" s="60">
        <f>IFERROR(__xludf.DUMMYFUNCTION("IFERROR(VLOOKUP(C1133,IMPORTRANGE(""https://docs.google.com/spreadsheets/d/1HZUHB8NvANAZR0sHDmHYVAm2WE9kNv0pGIQA48Ryim8/edit?gid=1285727875#gid=1285727875"",""Cost!A2:G""),7,0))"),2952.0)</f>
        <v>2952</v>
      </c>
      <c r="N1133" s="62">
        <f t="shared" si="4"/>
        <v>4.132791328</v>
      </c>
      <c r="O1133" s="28"/>
      <c r="P1133" s="28"/>
      <c r="Q1133" s="28"/>
      <c r="R1133" s="28"/>
      <c r="S1133" s="28"/>
      <c r="T1133" s="28"/>
      <c r="U1133" s="65"/>
      <c r="V1133" s="28"/>
      <c r="W1133" s="65"/>
      <c r="X1133" s="77"/>
      <c r="Y1133" s="28"/>
    </row>
    <row r="1134">
      <c r="A1134" s="18" t="s">
        <v>1328</v>
      </c>
      <c r="B1134" s="91" t="str">
        <f t="shared" si="148"/>
        <v>BSD-18</v>
      </c>
      <c r="C1134" s="46" t="s">
        <v>641</v>
      </c>
      <c r="D1134" s="48" t="s">
        <v>642</v>
      </c>
      <c r="E1134" s="39">
        <v>8990.0</v>
      </c>
      <c r="F1134" s="39">
        <v>8990.0</v>
      </c>
      <c r="G1134" s="50">
        <f t="shared" si="149"/>
        <v>0</v>
      </c>
      <c r="H1134" s="28"/>
      <c r="I1134" s="55">
        <f t="shared" si="2"/>
        <v>8995.039238</v>
      </c>
      <c r="J1134" s="81"/>
      <c r="K1134" s="60">
        <f>IFERROR(__xludf.DUMMYFUNCTION("IFERROR(VLOOKUP(C1134,IMPORTRANGE(""https://docs.google.com/spreadsheets/d/1HZUHB8NvANAZR0sHDmHYVAm2WE9kNv0pGIQA48Ryim8/edit?gid=1285727875#gid=1285727875"",""Sheet1!A2:G""),7,0))"),2497.6)</f>
        <v>2497.6</v>
      </c>
      <c r="L1134" s="62">
        <f t="shared" si="150"/>
        <v>3.599455477</v>
      </c>
      <c r="M1134" s="60">
        <f>IFERROR(__xludf.DUMMYFUNCTION("IFERROR(VLOOKUP(C1134,IMPORTRANGE(""https://docs.google.com/spreadsheets/d/1HZUHB8NvANAZR0sHDmHYVAm2WE9kNv0pGIQA48Ryim8/edit?gid=1285727875#gid=1285727875"",""Cost!A2:G""),7,0))"),2499.0)</f>
        <v>2499</v>
      </c>
      <c r="N1134" s="62">
        <f t="shared" si="4"/>
        <v>3.597438976</v>
      </c>
      <c r="O1134" s="28"/>
      <c r="P1134" s="28"/>
      <c r="Q1134" s="28"/>
      <c r="R1134" s="28"/>
      <c r="S1134" s="28"/>
      <c r="T1134" s="28"/>
      <c r="U1134" s="65"/>
      <c r="V1134" s="28"/>
      <c r="W1134" s="65"/>
      <c r="X1134" s="77"/>
      <c r="Y1134" s="28"/>
    </row>
    <row r="1135">
      <c r="A1135" s="18" t="s">
        <v>1328</v>
      </c>
      <c r="B1135" s="91" t="str">
        <f t="shared" si="148"/>
        <v>BSP-19</v>
      </c>
      <c r="C1135" s="46" t="s">
        <v>660</v>
      </c>
      <c r="D1135" s="48" t="s">
        <v>661</v>
      </c>
      <c r="E1135" s="39">
        <v>12990.0</v>
      </c>
      <c r="F1135" s="39">
        <v>12990.0</v>
      </c>
      <c r="G1135" s="50">
        <f t="shared" si="149"/>
        <v>0</v>
      </c>
      <c r="H1135" s="28"/>
      <c r="I1135" s="55">
        <f t="shared" si="2"/>
        <v>12112.92134</v>
      </c>
      <c r="J1135" s="81"/>
      <c r="K1135" s="60">
        <f>IFERROR(__xludf.DUMMYFUNCTION("IFERROR(VLOOKUP(C1135,IMPORTRANGE(""https://docs.google.com/spreadsheets/d/1HZUHB8NvANAZR0sHDmHYVAm2WE9kNv0pGIQA48Ryim8/edit?gid=1285727875#gid=1285727875"",""Sheet1!A2:G""),7,0))"),3223.66)</f>
        <v>3223.66</v>
      </c>
      <c r="L1135" s="62">
        <f t="shared" si="150"/>
        <v>4.029581283</v>
      </c>
      <c r="M1135" s="60">
        <f>IFERROR(__xludf.DUMMYFUNCTION("IFERROR(VLOOKUP(C1135,IMPORTRANGE(""https://docs.google.com/spreadsheets/d/1HZUHB8NvANAZR0sHDmHYVAm2WE9kNv0pGIQA48Ryim8/edit?gid=1285727875#gid=1285727875"",""Cost!A2:G""),7,0))"),3006.0)</f>
        <v>3006</v>
      </c>
      <c r="N1135" s="62">
        <f t="shared" si="4"/>
        <v>4.321357285</v>
      </c>
      <c r="O1135" s="28"/>
      <c r="P1135" s="28"/>
      <c r="Q1135" s="28"/>
      <c r="R1135" s="28"/>
      <c r="S1135" s="28"/>
      <c r="T1135" s="28"/>
      <c r="U1135" s="65"/>
      <c r="V1135" s="28"/>
      <c r="W1135" s="65"/>
      <c r="X1135" s="77"/>
      <c r="Y1135" s="28"/>
    </row>
    <row r="1136">
      <c r="A1136" s="18" t="s">
        <v>1328</v>
      </c>
      <c r="B1136" s="91" t="str">
        <f t="shared" si="148"/>
        <v>BSP-20</v>
      </c>
      <c r="C1136" s="46" t="s">
        <v>666</v>
      </c>
      <c r="D1136" s="48" t="s">
        <v>661</v>
      </c>
      <c r="E1136" s="39">
        <v>12540.000000000002</v>
      </c>
      <c r="F1136" s="39">
        <v>12540.000000000002</v>
      </c>
      <c r="G1136" s="50">
        <f t="shared" si="149"/>
        <v>0</v>
      </c>
      <c r="H1136" s="28"/>
      <c r="I1136" s="55">
        <f t="shared" si="2"/>
        <v>12548.98138</v>
      </c>
      <c r="J1136" s="81"/>
      <c r="K1136" s="60">
        <f>IFERROR(__xludf.DUMMYFUNCTION("IFERROR(VLOOKUP(C1136,IMPORTRANGE(""https://docs.google.com/spreadsheets/d/1HZUHB8NvANAZR0sHDmHYVAm2WE9kNv0pGIQA48Ryim8/edit?gid=1285727875#gid=1285727875"",""Sheet1!A2:G""),7,0))"),3015.84)</f>
        <v>3015.84</v>
      </c>
      <c r="L1136" s="62">
        <f t="shared" si="150"/>
        <v>4.15804552</v>
      </c>
      <c r="M1136" s="60">
        <f>IFERROR(__xludf.DUMMYFUNCTION("IFERROR(VLOOKUP(C1136,IMPORTRANGE(""https://docs.google.com/spreadsheets/d/1HZUHB8NvANAZR0sHDmHYVAm2WE9kNv0pGIQA48Ryim8/edit?gid=1285727875#gid=1285727875"",""Cost!A2:G""),7,0))"),3018.0)</f>
        <v>3018</v>
      </c>
      <c r="N1136" s="62">
        <f t="shared" si="4"/>
        <v>4.155069583</v>
      </c>
      <c r="O1136" s="28"/>
      <c r="P1136" s="28"/>
      <c r="Q1136" s="28"/>
      <c r="R1136" s="28"/>
      <c r="S1136" s="28"/>
      <c r="T1136" s="28"/>
      <c r="U1136" s="65"/>
      <c r="V1136" s="28"/>
      <c r="W1136" s="65"/>
      <c r="X1136" s="77"/>
      <c r="Y1136" s="28"/>
    </row>
    <row r="1137">
      <c r="A1137" s="18" t="s">
        <v>1328</v>
      </c>
      <c r="B1137" s="91" t="str">
        <f t="shared" si="148"/>
        <v>BHS-103</v>
      </c>
      <c r="C1137" s="46" t="s">
        <v>471</v>
      </c>
      <c r="D1137" s="48" t="s">
        <v>472</v>
      </c>
      <c r="E1137" s="39">
        <v>1090.0</v>
      </c>
      <c r="F1137" s="39">
        <v>1090.0</v>
      </c>
      <c r="G1137" s="50">
        <f t="shared" si="149"/>
        <v>0</v>
      </c>
      <c r="H1137" s="28"/>
      <c r="I1137" s="55">
        <f t="shared" si="2"/>
        <v>1212.031218</v>
      </c>
      <c r="J1137" s="81"/>
      <c r="K1137" s="60">
        <f>IFERROR(__xludf.DUMMYFUNCTION("IFERROR(VLOOKUP(C1137,IMPORTRANGE(""https://docs.google.com/spreadsheets/d/1HZUHB8NvANAZR0sHDmHYVAm2WE9kNv0pGIQA48Ryim8/edit?gid=1285727875#gid=1285727875"",""Sheet1!A2:G""),7,0))"),289.58)</f>
        <v>289.58</v>
      </c>
      <c r="L1137" s="62">
        <f t="shared" si="150"/>
        <v>3.764072104</v>
      </c>
      <c r="M1137" s="60">
        <f>IFERROR(__xludf.DUMMYFUNCTION("IFERROR(VLOOKUP(C1137,IMPORTRANGE(""https://docs.google.com/spreadsheets/d/1HZUHB8NvANAZR0sHDmHYVAm2WE9kNv0pGIQA48Ryim8/edit?gid=1285727875#gid=1285727875"",""Cost!A2:G""),7,0))"),322.0)</f>
        <v>322</v>
      </c>
      <c r="N1137" s="62">
        <f t="shared" si="4"/>
        <v>3.385093168</v>
      </c>
      <c r="O1137" s="28"/>
      <c r="P1137" s="28"/>
      <c r="Q1137" s="28"/>
      <c r="R1137" s="28"/>
      <c r="S1137" s="28"/>
      <c r="T1137" s="28"/>
      <c r="U1137" s="65"/>
      <c r="V1137" s="28"/>
      <c r="W1137" s="65"/>
      <c r="X1137" s="77"/>
      <c r="Y1137" s="28"/>
    </row>
    <row r="1138">
      <c r="A1138" s="18" t="s">
        <v>1328</v>
      </c>
      <c r="B1138" s="91" t="str">
        <f t="shared" si="148"/>
        <v>BHS-104</v>
      </c>
      <c r="C1138" s="46" t="s">
        <v>474</v>
      </c>
      <c r="D1138" s="48" t="s">
        <v>475</v>
      </c>
      <c r="E1138" s="39">
        <v>1290.0</v>
      </c>
      <c r="F1138" s="39">
        <v>1290.0</v>
      </c>
      <c r="G1138" s="50">
        <f t="shared" si="149"/>
        <v>0</v>
      </c>
      <c r="H1138" s="28"/>
      <c r="I1138" s="55">
        <f t="shared" si="2"/>
        <v>1416.894229</v>
      </c>
      <c r="J1138" s="81"/>
      <c r="K1138" s="60">
        <f>IFERROR(__xludf.DUMMYFUNCTION("IFERROR(VLOOKUP(C1138,IMPORTRANGE(""https://docs.google.com/spreadsheets/d/1HZUHB8NvANAZR0sHDmHYVAm2WE9kNv0pGIQA48Ryim8/edit?gid=1285727875#gid=1285727875"",""Sheet1!A2:G""),7,0))"),329.58)</f>
        <v>329.58</v>
      </c>
      <c r="L1138" s="62">
        <f t="shared" si="150"/>
        <v>3.914072456</v>
      </c>
      <c r="M1138" s="60">
        <f>IFERROR(__xludf.DUMMYFUNCTION("IFERROR(VLOOKUP(C1138,IMPORTRANGE(""https://docs.google.com/spreadsheets/d/1HZUHB8NvANAZR0sHDmHYVAm2WE9kNv0pGIQA48Ryim8/edit?gid=1285727875#gid=1285727875"",""Cost!A2:G""),7,0))"),362.0)</f>
        <v>362</v>
      </c>
      <c r="N1138" s="62">
        <f t="shared" si="4"/>
        <v>3.563535912</v>
      </c>
      <c r="O1138" s="28"/>
      <c r="P1138" s="28"/>
      <c r="Q1138" s="28"/>
      <c r="R1138" s="28"/>
      <c r="S1138" s="28"/>
      <c r="T1138" s="28"/>
      <c r="U1138" s="65"/>
      <c r="V1138" s="28"/>
      <c r="W1138" s="65"/>
      <c r="X1138" s="77"/>
      <c r="Y1138" s="28"/>
    </row>
    <row r="1139">
      <c r="A1139" s="18" t="s">
        <v>1328</v>
      </c>
      <c r="B1139" s="91" t="str">
        <f t="shared" si="148"/>
        <v>BHS-81</v>
      </c>
      <c r="C1139" s="46" t="s">
        <v>476</v>
      </c>
      <c r="D1139" s="48" t="s">
        <v>477</v>
      </c>
      <c r="E1139" s="39">
        <v>1290.0</v>
      </c>
      <c r="F1139" s="39">
        <v>1290.0</v>
      </c>
      <c r="G1139" s="50">
        <f t="shared" si="149"/>
        <v>0</v>
      </c>
      <c r="H1139" s="28"/>
      <c r="I1139" s="55">
        <f t="shared" si="2"/>
        <v>1341.386652</v>
      </c>
      <c r="J1139" s="81"/>
      <c r="K1139" s="60">
        <f>IFERROR(__xludf.DUMMYFUNCTION("IFERROR(VLOOKUP(C1139,IMPORTRANGE(""https://docs.google.com/spreadsheets/d/1HZUHB8NvANAZR0sHDmHYVAm2WE9kNv0pGIQA48Ryim8/edit?gid=1285727875#gid=1285727875"",""Sheet1!A2:G""),7,0))"),324.09)</f>
        <v>324.09</v>
      </c>
      <c r="L1139" s="62">
        <f t="shared" si="150"/>
        <v>3.980375822</v>
      </c>
      <c r="M1139" s="60">
        <f>IFERROR(__xludf.DUMMYFUNCTION("IFERROR(VLOOKUP(C1139,IMPORTRANGE(""https://docs.google.com/spreadsheets/d/1HZUHB8NvANAZR0sHDmHYVAm2WE9kNv0pGIQA48Ryim8/edit?gid=1285727875#gid=1285727875"",""Cost!A2:G""),7,0))"),337.0)</f>
        <v>337</v>
      </c>
      <c r="N1139" s="62">
        <f t="shared" si="4"/>
        <v>3.827893175</v>
      </c>
      <c r="O1139" s="28"/>
      <c r="P1139" s="28"/>
      <c r="Q1139" s="28"/>
      <c r="R1139" s="28"/>
      <c r="S1139" s="28"/>
      <c r="T1139" s="28"/>
      <c r="U1139" s="65"/>
      <c r="V1139" s="28"/>
      <c r="W1139" s="65"/>
      <c r="X1139" s="77"/>
      <c r="Y1139" s="28"/>
    </row>
    <row r="1140">
      <c r="A1140" s="18" t="s">
        <v>1328</v>
      </c>
      <c r="B1140" s="91" t="str">
        <f t="shared" si="148"/>
        <v>BHS-307</v>
      </c>
      <c r="C1140" s="46" t="s">
        <v>479</v>
      </c>
      <c r="D1140" s="48" t="s">
        <v>480</v>
      </c>
      <c r="E1140" s="39">
        <v>1640.0</v>
      </c>
      <c r="F1140" s="39">
        <v>1640.0</v>
      </c>
      <c r="G1140" s="50">
        <f t="shared" si="149"/>
        <v>0</v>
      </c>
      <c r="H1140" s="28"/>
      <c r="I1140" s="55">
        <f t="shared" si="2"/>
        <v>1688.71615</v>
      </c>
      <c r="J1140" s="81"/>
      <c r="K1140" s="60">
        <f>IFERROR(__xludf.DUMMYFUNCTION("IFERROR(VLOOKUP(C1140,IMPORTRANGE(""https://docs.google.com/spreadsheets/d/1HZUHB8NvANAZR0sHDmHYVAm2WE9kNv0pGIQA48Ryim8/edit?gid=1285727875#gid=1285727875"",""Sheet1!A2:G""),7,0))"),396.23)</f>
        <v>396.23</v>
      </c>
      <c r="L1140" s="62">
        <f t="shared" si="150"/>
        <v>4.139010171</v>
      </c>
      <c r="M1140" s="60">
        <f>IFERROR(__xludf.DUMMYFUNCTION("IFERROR(VLOOKUP(C1140,IMPORTRANGE(""https://docs.google.com/spreadsheets/d/1HZUHB8NvANAZR0sHDmHYVAm2WE9kNv0pGIQA48Ryim8/edit?gid=1285727875#gid=1285727875"",""Cost!A2:G""),7,0))"),408.0)</f>
        <v>408</v>
      </c>
      <c r="N1140" s="62">
        <f t="shared" si="4"/>
        <v>4.019607843</v>
      </c>
      <c r="O1140" s="28"/>
      <c r="P1140" s="28"/>
      <c r="Q1140" s="28"/>
      <c r="R1140" s="28"/>
      <c r="S1140" s="28"/>
      <c r="T1140" s="28"/>
      <c r="U1140" s="65"/>
      <c r="V1140" s="28"/>
      <c r="W1140" s="65"/>
      <c r="X1140" s="77"/>
      <c r="Y1140" s="28"/>
    </row>
    <row r="1141">
      <c r="A1141" s="18" t="s">
        <v>1328</v>
      </c>
      <c r="B1141" s="91" t="str">
        <f t="shared" si="148"/>
        <v>BHS-301</v>
      </c>
      <c r="C1141" s="46" t="s">
        <v>482</v>
      </c>
      <c r="D1141" s="48" t="s">
        <v>483</v>
      </c>
      <c r="E1141" s="39">
        <v>1290.0</v>
      </c>
      <c r="F1141" s="39">
        <v>1290.0</v>
      </c>
      <c r="G1141" s="50">
        <f t="shared" si="149"/>
        <v>0</v>
      </c>
      <c r="H1141" s="28"/>
      <c r="I1141" s="55">
        <f t="shared" si="2"/>
        <v>1339.361637</v>
      </c>
      <c r="J1141" s="81"/>
      <c r="K1141" s="60">
        <f>IFERROR(__xludf.DUMMYFUNCTION("IFERROR(VLOOKUP(C1141,IMPORTRANGE(""https://docs.google.com/spreadsheets/d/1HZUHB8NvANAZR0sHDmHYVAm2WE9kNv0pGIQA48Ryim8/edit?gid=1285727875#gid=1285727875"",""Sheet1!A2:G""),7,0))"),324.58)</f>
        <v>324.58</v>
      </c>
      <c r="L1141" s="62">
        <f t="shared" si="150"/>
        <v>3.974366874</v>
      </c>
      <c r="M1141" s="60">
        <f>IFERROR(__xludf.DUMMYFUNCTION("IFERROR(VLOOKUP(C1141,IMPORTRANGE(""https://docs.google.com/spreadsheets/d/1HZUHB8NvANAZR0sHDmHYVAm2WE9kNv0pGIQA48Ryim8/edit?gid=1285727875#gid=1285727875"",""Cost!A2:G""),7,0))"),337.0)</f>
        <v>337</v>
      </c>
      <c r="N1141" s="62">
        <f t="shared" si="4"/>
        <v>3.827893175</v>
      </c>
      <c r="O1141" s="28"/>
      <c r="P1141" s="28"/>
      <c r="Q1141" s="28"/>
      <c r="R1141" s="28"/>
      <c r="S1141" s="28"/>
      <c r="T1141" s="28"/>
      <c r="U1141" s="65"/>
      <c r="V1141" s="28"/>
      <c r="W1141" s="65"/>
      <c r="X1141" s="77"/>
      <c r="Y1141" s="28"/>
    </row>
    <row r="1142">
      <c r="A1142" s="18" t="s">
        <v>1328</v>
      </c>
      <c r="B1142" s="91" t="str">
        <f t="shared" si="148"/>
        <v>BHS-1WT</v>
      </c>
      <c r="C1142" s="46" t="s">
        <v>486</v>
      </c>
      <c r="D1142" s="48" t="s">
        <v>487</v>
      </c>
      <c r="E1142" s="39">
        <v>1640.0</v>
      </c>
      <c r="F1142" s="39">
        <v>1640.0</v>
      </c>
      <c r="G1142" s="50">
        <f t="shared" si="149"/>
        <v>0</v>
      </c>
      <c r="H1142" s="28"/>
      <c r="I1142" s="55">
        <f t="shared" si="2"/>
        <v>1736.122929</v>
      </c>
      <c r="J1142" s="81"/>
      <c r="K1142" s="60">
        <f>IFERROR(__xludf.DUMMYFUNCTION("IFERROR(VLOOKUP(C1142,IMPORTRANGE(""https://docs.google.com/spreadsheets/d/1HZUHB8NvANAZR0sHDmHYVAm2WE9kNv0pGIQA48Ryim8/edit?gid=1285727875#gid=1285727875"",""Sheet1!A2:G""),7,0))"),399.58)</f>
        <v>399.58</v>
      </c>
      <c r="L1142" s="62">
        <f t="shared" si="150"/>
        <v>4.104309525</v>
      </c>
      <c r="M1142" s="60">
        <f>IFERROR(__xludf.DUMMYFUNCTION("IFERROR(VLOOKUP(C1142,IMPORTRANGE(""https://docs.google.com/spreadsheets/d/1HZUHB8NvANAZR0sHDmHYVAm2WE9kNv0pGIQA48Ryim8/edit?gid=1285727875#gid=1285727875"",""Cost!A2:G""),7,0))"),423.0)</f>
        <v>423</v>
      </c>
      <c r="N1142" s="62">
        <f t="shared" si="4"/>
        <v>3.877068558</v>
      </c>
      <c r="O1142" s="28"/>
      <c r="P1142" s="28"/>
      <c r="Q1142" s="28"/>
      <c r="R1142" s="28"/>
      <c r="S1142" s="28"/>
      <c r="T1142" s="28"/>
      <c r="U1142" s="65"/>
      <c r="V1142" s="28"/>
      <c r="W1142" s="65"/>
      <c r="X1142" s="77"/>
      <c r="Y1142" s="28"/>
    </row>
    <row r="1143">
      <c r="A1143" s="18" t="s">
        <v>1328</v>
      </c>
      <c r="B1143" s="91" t="str">
        <f t="shared" si="148"/>
        <v>BHS-2WT</v>
      </c>
      <c r="C1143" s="46" t="s">
        <v>489</v>
      </c>
      <c r="D1143" s="48" t="s">
        <v>490</v>
      </c>
      <c r="E1143" s="39">
        <v>1640.0</v>
      </c>
      <c r="F1143" s="39">
        <v>1640.0</v>
      </c>
      <c r="G1143" s="50">
        <f t="shared" si="149"/>
        <v>0</v>
      </c>
      <c r="H1143" s="28"/>
      <c r="I1143" s="55">
        <f t="shared" si="2"/>
        <v>1793.583262</v>
      </c>
      <c r="J1143" s="81"/>
      <c r="K1143" s="60">
        <f>IFERROR(__xludf.DUMMYFUNCTION("IFERROR(VLOOKUP(C1143,IMPORTRANGE(""https://docs.google.com/spreadsheets/d/1HZUHB8NvANAZR0sHDmHYVAm2WE9kNv0pGIQA48Ryim8/edit?gid=1285727875#gid=1285727875"",""Sheet1!A2:G""),7,0))"),399.58)</f>
        <v>399.58</v>
      </c>
      <c r="L1143" s="62">
        <f t="shared" si="150"/>
        <v>4.104309525</v>
      </c>
      <c r="M1143" s="60">
        <f>IFERROR(__xludf.DUMMYFUNCTION("IFERROR(VLOOKUP(C1143,IMPORTRANGE(""https://docs.google.com/spreadsheets/d/1HZUHB8NvANAZR0sHDmHYVAm2WE9kNv0pGIQA48Ryim8/edit?gid=1285727875#gid=1285727875"",""Cost!A2:G""),7,0))"),437.0)</f>
        <v>437</v>
      </c>
      <c r="N1143" s="62">
        <f t="shared" si="4"/>
        <v>3.752860412</v>
      </c>
      <c r="O1143" s="28"/>
      <c r="P1143" s="28"/>
      <c r="Q1143" s="28"/>
      <c r="R1143" s="28"/>
      <c r="S1143" s="28"/>
      <c r="T1143" s="28"/>
      <c r="U1143" s="65"/>
      <c r="V1143" s="28"/>
      <c r="W1143" s="65"/>
      <c r="X1143" s="77"/>
      <c r="Y1143" s="28"/>
    </row>
    <row r="1144">
      <c r="A1144" s="18" t="s">
        <v>1328</v>
      </c>
      <c r="B1144" s="91" t="str">
        <f t="shared" si="148"/>
        <v>BHS-306</v>
      </c>
      <c r="C1144" s="46" t="s">
        <v>492</v>
      </c>
      <c r="D1144" s="48" t="s">
        <v>493</v>
      </c>
      <c r="E1144" s="39">
        <v>1440.0</v>
      </c>
      <c r="F1144" s="39">
        <v>1440.0</v>
      </c>
      <c r="G1144" s="50">
        <f t="shared" si="149"/>
        <v>0</v>
      </c>
      <c r="H1144" s="28"/>
      <c r="I1144" s="55">
        <f t="shared" si="2"/>
        <v>1441.477415</v>
      </c>
      <c r="J1144" s="81"/>
      <c r="K1144" s="60">
        <f>IFERROR(__xludf.DUMMYFUNCTION("IFERROR(VLOOKUP(C1144,IMPORTRANGE(""https://docs.google.com/spreadsheets/d/1HZUHB8NvANAZR0sHDmHYVAm2WE9kNv0pGIQA48Ryim8/edit?gid=1285727875#gid=1285727875"",""Sheet1!A2:G""),7,0))"),360.63)</f>
        <v>360.63</v>
      </c>
      <c r="L1144" s="62">
        <f t="shared" si="150"/>
        <v>3.993012229</v>
      </c>
      <c r="M1144" s="60">
        <f>IFERROR(__xludf.DUMMYFUNCTION("IFERROR(VLOOKUP(C1144,IMPORTRANGE(""https://docs.google.com/spreadsheets/d/1HZUHB8NvANAZR0sHDmHYVAm2WE9kNv0pGIQA48Ryim8/edit?gid=1285727875#gid=1285727875"",""Cost!A2:G""),7,0))"),361.0)</f>
        <v>361</v>
      </c>
      <c r="N1144" s="62">
        <f t="shared" si="4"/>
        <v>3.988919668</v>
      </c>
      <c r="O1144" s="28"/>
      <c r="P1144" s="28"/>
      <c r="Q1144" s="28"/>
      <c r="R1144" s="28"/>
      <c r="S1144" s="28"/>
      <c r="T1144" s="28"/>
      <c r="U1144" s="65"/>
      <c r="V1144" s="28"/>
      <c r="W1144" s="65"/>
      <c r="X1144" s="77"/>
      <c r="Y1144" s="28"/>
    </row>
    <row r="1145">
      <c r="A1145" s="18" t="s">
        <v>1328</v>
      </c>
      <c r="B1145" s="91" t="str">
        <f t="shared" si="148"/>
        <v>BHS-109</v>
      </c>
      <c r="C1145" s="46" t="s">
        <v>494</v>
      </c>
      <c r="D1145" s="48" t="s">
        <v>495</v>
      </c>
      <c r="E1145" s="39">
        <v>1480.0</v>
      </c>
      <c r="F1145" s="39">
        <v>1480.0</v>
      </c>
      <c r="G1145" s="50">
        <f t="shared" si="149"/>
        <v>0</v>
      </c>
      <c r="H1145" s="28"/>
      <c r="I1145" s="55">
        <f t="shared" si="2"/>
        <v>1587.148456</v>
      </c>
      <c r="J1145" s="81"/>
      <c r="K1145" s="60">
        <f>IFERROR(__xludf.DUMMYFUNCTION("IFERROR(VLOOKUP(C1145,IMPORTRANGE(""https://docs.google.com/spreadsheets/d/1HZUHB8NvANAZR0sHDmHYVAm2WE9kNv0pGIQA48Ryim8/edit?gid=1285727875#gid=1285727875"",""Sheet1!A2:G""),7,0))"),464.38)</f>
        <v>464.38</v>
      </c>
      <c r="L1145" s="62">
        <f t="shared" si="150"/>
        <v>3.187045092</v>
      </c>
      <c r="M1145" s="60">
        <f>IFERROR(__xludf.DUMMYFUNCTION("IFERROR(VLOOKUP(C1145,IMPORTRANGE(""https://docs.google.com/spreadsheets/d/1HZUHB8NvANAZR0sHDmHYVAm2WE9kNv0pGIQA48Ryim8/edit?gid=1285727875#gid=1285727875"",""Cost!A2:G""),7,0))"),498.0)</f>
        <v>498</v>
      </c>
      <c r="N1145" s="62">
        <f t="shared" si="4"/>
        <v>2.97188755</v>
      </c>
      <c r="O1145" s="28"/>
      <c r="P1145" s="28"/>
      <c r="Q1145" s="28"/>
      <c r="R1145" s="28"/>
      <c r="S1145" s="28"/>
      <c r="T1145" s="28"/>
      <c r="U1145" s="65"/>
      <c r="V1145" s="28"/>
      <c r="W1145" s="65"/>
      <c r="X1145" s="77"/>
      <c r="Y1145" s="28"/>
    </row>
    <row r="1146">
      <c r="A1146" s="18" t="s">
        <v>1328</v>
      </c>
      <c r="B1146" s="91" t="str">
        <f t="shared" si="148"/>
        <v>BH-73</v>
      </c>
      <c r="C1146" s="46" t="s">
        <v>451</v>
      </c>
      <c r="D1146" s="48" t="s">
        <v>452</v>
      </c>
      <c r="E1146" s="39">
        <v>1190.0</v>
      </c>
      <c r="F1146" s="39">
        <v>1190.0</v>
      </c>
      <c r="G1146" s="50">
        <f t="shared" si="149"/>
        <v>0</v>
      </c>
      <c r="H1146" s="28"/>
      <c r="I1146" s="55">
        <f t="shared" si="2"/>
        <v>1083.984754</v>
      </c>
      <c r="J1146" s="81"/>
      <c r="K1146" s="60">
        <f>IFERROR(__xludf.DUMMYFUNCTION("IFERROR(VLOOKUP(C1146,IMPORTRANGE(""https://docs.google.com/spreadsheets/d/1HZUHB8NvANAZR0sHDmHYVAm2WE9kNv0pGIQA48Ryim8/edit?gid=1285727875#gid=1285727875"",""Sheet1!A2:G""),7,0))"),309.58)</f>
        <v>309.58</v>
      </c>
      <c r="L1146" s="62">
        <f t="shared" si="150"/>
        <v>3.843917566</v>
      </c>
      <c r="M1146" s="60">
        <f>IFERROR(__xludf.DUMMYFUNCTION("IFERROR(VLOOKUP(C1146,IMPORTRANGE(""https://docs.google.com/spreadsheets/d/1HZUHB8NvANAZR0sHDmHYVAm2WE9kNv0pGIQA48Ryim8/edit?gid=1285727875#gid=1285727875"",""Cost!A2:G""),7,0))"),282.0)</f>
        <v>282</v>
      </c>
      <c r="N1146" s="62">
        <f t="shared" si="4"/>
        <v>4.219858156</v>
      </c>
      <c r="O1146" s="28"/>
      <c r="P1146" s="28"/>
      <c r="Q1146" s="28"/>
      <c r="R1146" s="28"/>
      <c r="S1146" s="28"/>
      <c r="T1146" s="28"/>
      <c r="U1146" s="65"/>
      <c r="V1146" s="28"/>
      <c r="W1146" s="65"/>
      <c r="X1146" s="77"/>
      <c r="Y1146" s="28"/>
    </row>
    <row r="1147">
      <c r="A1147" s="18" t="s">
        <v>1328</v>
      </c>
      <c r="B1147" s="91" t="str">
        <f t="shared" si="148"/>
        <v>BH-79</v>
      </c>
      <c r="C1147" s="46" t="s">
        <v>454</v>
      </c>
      <c r="D1147" s="48" t="s">
        <v>452</v>
      </c>
      <c r="E1147" s="39">
        <v>1090.0</v>
      </c>
      <c r="F1147" s="39">
        <v>1090.0</v>
      </c>
      <c r="G1147" s="50">
        <f t="shared" si="149"/>
        <v>0</v>
      </c>
      <c r="H1147" s="28"/>
      <c r="I1147" s="55">
        <f t="shared" si="2"/>
        <v>1141.401363</v>
      </c>
      <c r="J1147" s="81"/>
      <c r="K1147" s="60">
        <f>IFERROR(__xludf.DUMMYFUNCTION("IFERROR(VLOOKUP(C1147,IMPORTRANGE(""https://docs.google.com/spreadsheets/d/1HZUHB8NvANAZR0sHDmHYVAm2WE9kNv0pGIQA48Ryim8/edit?gid=1285727875#gid=1285727875"",""Sheet1!A2:G""),7,0))"),284.58)</f>
        <v>284.58</v>
      </c>
      <c r="L1147" s="62">
        <f t="shared" si="150"/>
        <v>3.830205917</v>
      </c>
      <c r="M1147" s="60">
        <f>IFERROR(__xludf.DUMMYFUNCTION("IFERROR(VLOOKUP(C1147,IMPORTRANGE(""https://docs.google.com/spreadsheets/d/1HZUHB8NvANAZR0sHDmHYVAm2WE9kNv0pGIQA48Ryim8/edit?gid=1285727875#gid=1285727875"",""Cost!A2:G""),7,0))"),298.0)</f>
        <v>298</v>
      </c>
      <c r="N1147" s="62">
        <f t="shared" si="4"/>
        <v>3.657718121</v>
      </c>
      <c r="O1147" s="28"/>
      <c r="P1147" s="28"/>
      <c r="Q1147" s="28"/>
      <c r="R1147" s="28"/>
      <c r="S1147" s="28"/>
      <c r="T1147" s="28"/>
      <c r="U1147" s="65"/>
      <c r="V1147" s="28"/>
      <c r="W1147" s="65"/>
      <c r="X1147" s="77"/>
      <c r="Y1147" s="28"/>
    </row>
    <row r="1148">
      <c r="A1148" s="18" t="s">
        <v>1328</v>
      </c>
      <c r="B1148" s="91" t="str">
        <f t="shared" si="148"/>
        <v>BHS-85</v>
      </c>
      <c r="C1148" s="46" t="s">
        <v>455</v>
      </c>
      <c r="D1148" s="48" t="s">
        <v>456</v>
      </c>
      <c r="E1148" s="39">
        <v>1290.0</v>
      </c>
      <c r="F1148" s="39">
        <v>1290.0</v>
      </c>
      <c r="G1148" s="50">
        <f t="shared" si="149"/>
        <v>0</v>
      </c>
      <c r="H1148" s="28"/>
      <c r="I1148" s="55">
        <f t="shared" si="2"/>
        <v>1317.380857</v>
      </c>
      <c r="J1148" s="81"/>
      <c r="K1148" s="60">
        <f>IFERROR(__xludf.DUMMYFUNCTION("IFERROR(VLOOKUP(C1148,IMPORTRANGE(""https://docs.google.com/spreadsheets/d/1HZUHB8NvANAZR0sHDmHYVAm2WE9kNv0pGIQA48Ryim8/edit?gid=1285727875#gid=1285727875"",""Sheet1!A2:G""),7,0))"),349.58)</f>
        <v>349.58</v>
      </c>
      <c r="L1148" s="62">
        <f t="shared" si="150"/>
        <v>3.690142457</v>
      </c>
      <c r="M1148" s="60">
        <f>IFERROR(__xludf.DUMMYFUNCTION("IFERROR(VLOOKUP(C1148,IMPORTRANGE(""https://docs.google.com/spreadsheets/d/1HZUHB8NvANAZR0sHDmHYVAm2WE9kNv0pGIQA48Ryim8/edit?gid=1285727875#gid=1285727875"",""Cost!A2:G""),7,0))"),357.0)</f>
        <v>357</v>
      </c>
      <c r="N1148" s="62">
        <f t="shared" si="4"/>
        <v>3.613445378</v>
      </c>
      <c r="O1148" s="28"/>
      <c r="P1148" s="28"/>
      <c r="Q1148" s="28"/>
      <c r="R1148" s="28"/>
      <c r="S1148" s="28"/>
      <c r="T1148" s="28"/>
      <c r="U1148" s="65"/>
      <c r="V1148" s="28"/>
      <c r="W1148" s="65"/>
      <c r="X1148" s="77"/>
      <c r="Y1148" s="28"/>
    </row>
    <row r="1149">
      <c r="A1149" s="18" t="s">
        <v>1328</v>
      </c>
      <c r="B1149" s="91" t="str">
        <f t="shared" si="148"/>
        <v>BHS-89</v>
      </c>
      <c r="C1149" s="46" t="s">
        <v>457</v>
      </c>
      <c r="D1149" s="48" t="s">
        <v>452</v>
      </c>
      <c r="E1149" s="39">
        <v>1290.0</v>
      </c>
      <c r="F1149" s="39">
        <v>1290.0</v>
      </c>
      <c r="G1149" s="50">
        <f t="shared" si="149"/>
        <v>0</v>
      </c>
      <c r="H1149" s="28"/>
      <c r="I1149" s="55">
        <f t="shared" si="2"/>
        <v>1333.234389</v>
      </c>
      <c r="J1149" s="81"/>
      <c r="K1149" s="60">
        <f>IFERROR(__xludf.DUMMYFUNCTION("IFERROR(VLOOKUP(C1149,IMPORTRANGE(""https://docs.google.com/spreadsheets/d/1HZUHB8NvANAZR0sHDmHYVAm2WE9kNv0pGIQA48Ryim8/edit?gid=1285727875#gid=1285727875"",""Sheet1!A2:G""),7,0))"),370.58)</f>
        <v>370.58</v>
      </c>
      <c r="L1149" s="62">
        <f t="shared" si="150"/>
        <v>3.481029737</v>
      </c>
      <c r="M1149" s="60">
        <f>IFERROR(__xludf.DUMMYFUNCTION("IFERROR(VLOOKUP(C1149,IMPORTRANGE(""https://docs.google.com/spreadsheets/d/1HZUHB8NvANAZR0sHDmHYVAm2WE9kNv0pGIQA48Ryim8/edit?gid=1285727875#gid=1285727875"",""Cost!A2:G""),7,0))"),383.0)</f>
        <v>383</v>
      </c>
      <c r="N1149" s="62">
        <f t="shared" si="4"/>
        <v>3.368146214</v>
      </c>
      <c r="O1149" s="28"/>
      <c r="P1149" s="28"/>
      <c r="Q1149" s="28"/>
      <c r="R1149" s="28"/>
      <c r="S1149" s="28"/>
      <c r="T1149" s="28"/>
      <c r="U1149" s="65"/>
      <c r="V1149" s="28"/>
      <c r="W1149" s="65"/>
      <c r="X1149" s="77"/>
      <c r="Y1149" s="28"/>
    </row>
    <row r="1150">
      <c r="A1150" s="18" t="s">
        <v>1328</v>
      </c>
      <c r="B1150" s="91" t="str">
        <f t="shared" si="148"/>
        <v>BHS-99</v>
      </c>
      <c r="C1150" s="46" t="s">
        <v>458</v>
      </c>
      <c r="D1150" s="48" t="s">
        <v>452</v>
      </c>
      <c r="E1150" s="39">
        <v>1090.0</v>
      </c>
      <c r="F1150" s="39">
        <v>1090.0</v>
      </c>
      <c r="G1150" s="50">
        <f t="shared" si="149"/>
        <v>0</v>
      </c>
      <c r="H1150" s="28"/>
      <c r="I1150" s="55">
        <f t="shared" si="2"/>
        <v>1228.46086</v>
      </c>
      <c r="J1150" s="81"/>
      <c r="K1150" s="60">
        <f>IFERROR(__xludf.DUMMYFUNCTION("IFERROR(VLOOKUP(C1150,IMPORTRANGE(""https://docs.google.com/spreadsheets/d/1HZUHB8NvANAZR0sHDmHYVAm2WE9kNv0pGIQA48Ryim8/edit?gid=1285727875#gid=1285727875"",""Sheet1!A2:G""),7,0))"),294.58)</f>
        <v>294.58</v>
      </c>
      <c r="L1150" s="62">
        <f t="shared" si="150"/>
        <v>3.700183312</v>
      </c>
      <c r="M1150" s="60">
        <f>IFERROR(__xludf.DUMMYFUNCTION("IFERROR(VLOOKUP(C1150,IMPORTRANGE(""https://docs.google.com/spreadsheets/d/1HZUHB8NvANAZR0sHDmHYVAm2WE9kNv0pGIQA48Ryim8/edit?gid=1285727875#gid=1285727875"",""Cost!A2:G""),7,0))"),332.0)</f>
        <v>332</v>
      </c>
      <c r="N1150" s="62">
        <f t="shared" si="4"/>
        <v>3.28313253</v>
      </c>
      <c r="O1150" s="28"/>
      <c r="P1150" s="28"/>
      <c r="Q1150" s="28"/>
      <c r="R1150" s="28"/>
      <c r="S1150" s="28"/>
      <c r="T1150" s="28"/>
      <c r="U1150" s="65"/>
      <c r="V1150" s="28"/>
      <c r="W1150" s="65"/>
      <c r="X1150" s="77"/>
      <c r="Y1150" s="28"/>
    </row>
    <row r="1151">
      <c r="A1151" s="18" t="s">
        <v>1328</v>
      </c>
      <c r="B1151" s="91" t="str">
        <f t="shared" si="148"/>
        <v>BHS-48</v>
      </c>
      <c r="C1151" s="46" t="s">
        <v>462</v>
      </c>
      <c r="D1151" s="48" t="s">
        <v>463</v>
      </c>
      <c r="E1151" s="39">
        <v>590.0</v>
      </c>
      <c r="F1151" s="39">
        <v>590.0</v>
      </c>
      <c r="G1151" s="50">
        <f t="shared" si="149"/>
        <v>0</v>
      </c>
      <c r="H1151" s="28"/>
      <c r="I1151" s="55">
        <f t="shared" si="2"/>
        <v>640.4553879</v>
      </c>
      <c r="J1151" s="81"/>
      <c r="K1151" s="60">
        <f>IFERROR(__xludf.DUMMYFUNCTION("IFERROR(VLOOKUP(C1151,IMPORTRANGE(""https://docs.google.com/spreadsheets/d/1HZUHB8NvANAZR0sHDmHYVAm2WE9kNv0pGIQA48Ryim8/edit?gid=1285727875#gid=1285727875"",""Sheet1!A2:G""),7,0))"),113.31)</f>
        <v>113.31</v>
      </c>
      <c r="L1151" s="62">
        <f t="shared" si="150"/>
        <v>5.206954373</v>
      </c>
      <c r="M1151" s="60">
        <f>IFERROR(__xludf.DUMMYFUNCTION("IFERROR(VLOOKUP(C1151,IMPORTRANGE(""https://docs.google.com/spreadsheets/d/1HZUHB8NvANAZR0sHDmHYVAm2WE9kNv0pGIQA48Ryim8/edit?gid=1285727875#gid=1285727875"",""Cost!A2:G""),7,0))"),123.0)</f>
        <v>123</v>
      </c>
      <c r="N1151" s="62">
        <f t="shared" si="4"/>
        <v>4.796747967</v>
      </c>
      <c r="O1151" s="28"/>
      <c r="P1151" s="28"/>
      <c r="Q1151" s="28"/>
      <c r="R1151" s="28"/>
      <c r="S1151" s="28"/>
      <c r="T1151" s="28"/>
      <c r="U1151" s="65"/>
      <c r="V1151" s="28"/>
      <c r="W1151" s="65"/>
      <c r="X1151" s="77"/>
      <c r="Y1151" s="28"/>
    </row>
    <row r="1152">
      <c r="A1152" s="18" t="s">
        <v>1328</v>
      </c>
      <c r="B1152" s="91" t="str">
        <f t="shared" si="148"/>
        <v>BHS-49</v>
      </c>
      <c r="C1152" s="46" t="s">
        <v>460</v>
      </c>
      <c r="D1152" s="48" t="s">
        <v>461</v>
      </c>
      <c r="E1152" s="39">
        <v>490.0</v>
      </c>
      <c r="F1152" s="39">
        <v>490.0</v>
      </c>
      <c r="G1152" s="50">
        <f t="shared" si="149"/>
        <v>0</v>
      </c>
      <c r="H1152" s="28"/>
      <c r="I1152" s="55">
        <f t="shared" si="2"/>
        <v>488.6826815</v>
      </c>
      <c r="J1152" s="81"/>
      <c r="K1152" s="60">
        <f>IFERROR(__xludf.DUMMYFUNCTION("IFERROR(VLOOKUP(C1152,IMPORTRANGE(""https://docs.google.com/spreadsheets/d/1HZUHB8NvANAZR0sHDmHYVAm2WE9kNv0pGIQA48Ryim8/edit?gid=1285727875#gid=1285727875"",""Sheet1!A2:G""),7,0))"),115.31)</f>
        <v>115.31</v>
      </c>
      <c r="L1152" s="62">
        <f t="shared" si="150"/>
        <v>4.249414621</v>
      </c>
      <c r="M1152" s="60">
        <f>IFERROR(__xludf.DUMMYFUNCTION("IFERROR(VLOOKUP(C1152,IMPORTRANGE(""https://docs.google.com/spreadsheets/d/1HZUHB8NvANAZR0sHDmHYVAm2WE9kNv0pGIQA48Ryim8/edit?gid=1285727875#gid=1285727875"",""Cost!A2:G""),7,0))"),115.0)</f>
        <v>115</v>
      </c>
      <c r="N1152" s="62">
        <f t="shared" si="4"/>
        <v>4.260869565</v>
      </c>
      <c r="O1152" s="28"/>
      <c r="P1152" s="28"/>
      <c r="Q1152" s="28"/>
      <c r="R1152" s="28"/>
      <c r="S1152" s="28"/>
      <c r="T1152" s="28"/>
      <c r="U1152" s="65"/>
      <c r="V1152" s="28"/>
      <c r="W1152" s="65"/>
      <c r="X1152" s="77"/>
      <c r="Y1152" s="28"/>
    </row>
    <row r="1153">
      <c r="A1153" s="18" t="s">
        <v>1328</v>
      </c>
      <c r="B1153" s="91" t="str">
        <f t="shared" si="148"/>
        <v>BHS-49S</v>
      </c>
      <c r="C1153" s="46" t="s">
        <v>465</v>
      </c>
      <c r="D1153" s="48" t="s">
        <v>467</v>
      </c>
      <c r="E1153" s="39">
        <v>296.0</v>
      </c>
      <c r="F1153" s="39">
        <v>290.0</v>
      </c>
      <c r="G1153" s="50">
        <f t="shared" si="149"/>
        <v>-0.02027027027</v>
      </c>
      <c r="H1153" s="28"/>
      <c r="I1153" s="55">
        <f t="shared" si="2"/>
        <v>268.7562189</v>
      </c>
      <c r="J1153" s="81"/>
      <c r="K1153" s="60">
        <f>IFERROR(__xludf.DUMMYFUNCTION("IFERROR(VLOOKUP(C1153,IMPORTRANGE(""https://docs.google.com/spreadsheets/d/1HZUHB8NvANAZR0sHDmHYVAm2WE9kNv0pGIQA48Ryim8/edit?gid=1285727875#gid=1285727875"",""Sheet1!A2:G""),7,0))"),80.4)</f>
        <v>80.4</v>
      </c>
      <c r="L1153" s="62">
        <f t="shared" si="150"/>
        <v>3.68159204</v>
      </c>
      <c r="M1153" s="60">
        <f>IFERROR(__xludf.DUMMYFUNCTION("IFERROR(VLOOKUP(C1153,IMPORTRANGE(""https://docs.google.com/spreadsheets/d/1HZUHB8NvANAZR0sHDmHYVAm2WE9kNv0pGIQA48Ryim8/edit?gid=1285727875#gid=1285727875"",""Cost!A2:G""),7,0))"),73.0)</f>
        <v>73</v>
      </c>
      <c r="N1153" s="62">
        <f t="shared" si="4"/>
        <v>3.97260274</v>
      </c>
      <c r="O1153" s="28"/>
      <c r="P1153" s="28"/>
      <c r="Q1153" s="28"/>
      <c r="R1153" s="28"/>
      <c r="S1153" s="28"/>
      <c r="T1153" s="28"/>
      <c r="U1153" s="65"/>
      <c r="V1153" s="28"/>
      <c r="W1153" s="65"/>
      <c r="X1153" s="77"/>
      <c r="Y1153" s="28"/>
    </row>
    <row r="1154">
      <c r="A1154" s="18" t="s">
        <v>1328</v>
      </c>
      <c r="B1154" s="91" t="str">
        <f t="shared" si="148"/>
        <v>BHS-48S</v>
      </c>
      <c r="C1154" s="46" t="s">
        <v>468</v>
      </c>
      <c r="D1154" s="48" t="s">
        <v>469</v>
      </c>
      <c r="E1154" s="39">
        <v>360.0</v>
      </c>
      <c r="F1154" s="39">
        <v>360.0</v>
      </c>
      <c r="G1154" s="50">
        <f t="shared" si="149"/>
        <v>0</v>
      </c>
      <c r="H1154" s="28"/>
      <c r="I1154" s="55">
        <f t="shared" si="2"/>
        <v>358.3138173</v>
      </c>
      <c r="J1154" s="81"/>
      <c r="K1154" s="60">
        <f>IFERROR(__xludf.DUMMYFUNCTION("IFERROR(VLOOKUP(C1154,IMPORTRANGE(""https://docs.google.com/spreadsheets/d/1HZUHB8NvANAZR0sHDmHYVAm2WE9kNv0pGIQA48Ryim8/edit?gid=1285727875#gid=1285727875"",""Sheet1!A2:G""),7,0))"),85.4)</f>
        <v>85.4</v>
      </c>
      <c r="L1154" s="62">
        <f t="shared" si="150"/>
        <v>4.215456674</v>
      </c>
      <c r="M1154" s="60">
        <f>IFERROR(__xludf.DUMMYFUNCTION("IFERROR(VLOOKUP(C1154,IMPORTRANGE(""https://docs.google.com/spreadsheets/d/1HZUHB8NvANAZR0sHDmHYVAm2WE9kNv0pGIQA48Ryim8/edit?gid=1285727875#gid=1285727875"",""Cost!A2:G""),7,0))"),85.0)</f>
        <v>85</v>
      </c>
      <c r="N1154" s="62">
        <f t="shared" si="4"/>
        <v>4.235294118</v>
      </c>
      <c r="O1154" s="28"/>
      <c r="P1154" s="28"/>
      <c r="Q1154" s="28"/>
      <c r="R1154" s="28"/>
      <c r="S1154" s="28"/>
      <c r="T1154" s="28"/>
      <c r="U1154" s="65"/>
      <c r="V1154" s="28"/>
      <c r="W1154" s="65"/>
      <c r="X1154" s="77"/>
      <c r="Y1154" s="28"/>
    </row>
    <row r="1155">
      <c r="A1155" s="18" t="s">
        <v>1328</v>
      </c>
      <c r="B1155" s="91" t="str">
        <f t="shared" si="148"/>
        <v>BHS-802G</v>
      </c>
      <c r="C1155" s="46" t="s">
        <v>497</v>
      </c>
      <c r="D1155" s="48" t="s">
        <v>498</v>
      </c>
      <c r="E1155" s="39">
        <v>4990.0</v>
      </c>
      <c r="F1155" s="39">
        <v>4990.0</v>
      </c>
      <c r="G1155" s="50">
        <f t="shared" si="149"/>
        <v>0</v>
      </c>
      <c r="H1155" s="28"/>
      <c r="I1155" s="55">
        <f t="shared" si="2"/>
        <v>4993.844634</v>
      </c>
      <c r="J1155" s="81"/>
      <c r="K1155" s="60">
        <f>IFERROR(__xludf.DUMMYFUNCTION("IFERROR(VLOOKUP(C1155,IMPORTRANGE(""https://docs.google.com/spreadsheets/d/1HZUHB8NvANAZR0sHDmHYVAm2WE9kNv0pGIQA48Ryim8/edit?gid=1285727875#gid=1285727875"",""Sheet1!A2:G""),7,0))"),1194.08)</f>
        <v>1194.08</v>
      </c>
      <c r="L1155" s="62">
        <f t="shared" si="150"/>
        <v>4.178949484</v>
      </c>
      <c r="M1155" s="60">
        <f>IFERROR(__xludf.DUMMYFUNCTION("IFERROR(VLOOKUP(C1155,IMPORTRANGE(""https://docs.google.com/spreadsheets/d/1HZUHB8NvANAZR0sHDmHYVAm2WE9kNv0pGIQA48Ryim8/edit?gid=1285727875#gid=1285727875"",""Cost!A2:G""),7,0))"),1195.0)</f>
        <v>1195</v>
      </c>
      <c r="N1155" s="62">
        <f t="shared" si="4"/>
        <v>4.175732218</v>
      </c>
      <c r="O1155" s="28"/>
      <c r="P1155" s="28"/>
      <c r="Q1155" s="28"/>
      <c r="R1155" s="28"/>
      <c r="S1155" s="28"/>
      <c r="T1155" s="28"/>
      <c r="U1155" s="65"/>
      <c r="V1155" s="28"/>
      <c r="W1155" s="65"/>
      <c r="X1155" s="77"/>
      <c r="Y1155" s="28"/>
    </row>
    <row r="1156">
      <c r="A1156" s="18" t="s">
        <v>1328</v>
      </c>
      <c r="B1156" s="91" t="str">
        <f t="shared" si="148"/>
        <v>BHS-802RG</v>
      </c>
      <c r="C1156" s="46" t="s">
        <v>500</v>
      </c>
      <c r="D1156" s="48" t="s">
        <v>501</v>
      </c>
      <c r="E1156" s="39">
        <v>4990.0</v>
      </c>
      <c r="F1156" s="39">
        <v>4990.0</v>
      </c>
      <c r="G1156" s="50">
        <f t="shared" si="149"/>
        <v>0</v>
      </c>
      <c r="H1156" s="28"/>
      <c r="I1156" s="55">
        <f t="shared" si="2"/>
        <v>4993.844634</v>
      </c>
      <c r="J1156" s="81"/>
      <c r="K1156" s="60">
        <f>IFERROR(__xludf.DUMMYFUNCTION("IFERROR(VLOOKUP(C1156,IMPORTRANGE(""https://docs.google.com/spreadsheets/d/1HZUHB8NvANAZR0sHDmHYVAm2WE9kNv0pGIQA48Ryim8/edit?gid=1285727875#gid=1285727875"",""Sheet1!A2:G""),7,0))"),1194.08)</f>
        <v>1194.08</v>
      </c>
      <c r="L1156" s="62">
        <f t="shared" si="150"/>
        <v>4.178949484</v>
      </c>
      <c r="M1156" s="60">
        <f>IFERROR(__xludf.DUMMYFUNCTION("IFERROR(VLOOKUP(C1156,IMPORTRANGE(""https://docs.google.com/spreadsheets/d/1HZUHB8NvANAZR0sHDmHYVAm2WE9kNv0pGIQA48Ryim8/edit?gid=1285727875#gid=1285727875"",""Cost!A2:G""),7,0))"),1195.0)</f>
        <v>1195</v>
      </c>
      <c r="N1156" s="62">
        <f t="shared" si="4"/>
        <v>4.175732218</v>
      </c>
      <c r="O1156" s="28"/>
      <c r="P1156" s="28"/>
      <c r="Q1156" s="28"/>
      <c r="R1156" s="28"/>
      <c r="S1156" s="28"/>
      <c r="T1156" s="28"/>
      <c r="U1156" s="65"/>
      <c r="V1156" s="28"/>
      <c r="W1156" s="65"/>
      <c r="X1156" s="77"/>
      <c r="Y1156" s="28"/>
    </row>
    <row r="1157">
      <c r="A1157" s="18" t="s">
        <v>1328</v>
      </c>
      <c r="B1157" s="91" t="str">
        <f t="shared" si="148"/>
        <v>BHS-802B</v>
      </c>
      <c r="C1157" s="46" t="s">
        <v>502</v>
      </c>
      <c r="D1157" s="48" t="s">
        <v>503</v>
      </c>
      <c r="E1157" s="39">
        <v>4990.0</v>
      </c>
      <c r="F1157" s="39">
        <v>4990.0</v>
      </c>
      <c r="G1157" s="50">
        <f t="shared" si="149"/>
        <v>0</v>
      </c>
      <c r="H1157" s="28"/>
      <c r="I1157" s="55">
        <f t="shared" si="2"/>
        <v>4993.844634</v>
      </c>
      <c r="J1157" s="81"/>
      <c r="K1157" s="60">
        <f>IFERROR(__xludf.DUMMYFUNCTION("IFERROR(VLOOKUP(C1157,IMPORTRANGE(""https://docs.google.com/spreadsheets/d/1HZUHB8NvANAZR0sHDmHYVAm2WE9kNv0pGIQA48Ryim8/edit?gid=1285727875#gid=1285727875"",""Sheet1!A2:G""),7,0))"),1194.08)</f>
        <v>1194.08</v>
      </c>
      <c r="L1157" s="62">
        <f t="shared" si="150"/>
        <v>4.178949484</v>
      </c>
      <c r="M1157" s="60">
        <f>IFERROR(__xludf.DUMMYFUNCTION("IFERROR(VLOOKUP(C1157,IMPORTRANGE(""https://docs.google.com/spreadsheets/d/1HZUHB8NvANAZR0sHDmHYVAm2WE9kNv0pGIQA48Ryim8/edit?gid=1285727875#gid=1285727875"",""Cost!A2:G""),7,0))"),1195.0)</f>
        <v>1195</v>
      </c>
      <c r="N1157" s="62">
        <f t="shared" si="4"/>
        <v>4.175732218</v>
      </c>
      <c r="O1157" s="28"/>
      <c r="P1157" s="28"/>
      <c r="Q1157" s="28"/>
      <c r="R1157" s="28"/>
      <c r="S1157" s="28"/>
      <c r="T1157" s="28"/>
      <c r="U1157" s="65"/>
      <c r="V1157" s="28"/>
      <c r="W1157" s="65"/>
      <c r="X1157" s="77"/>
      <c r="Y1157" s="28"/>
    </row>
    <row r="1158">
      <c r="A1158" s="18" t="s">
        <v>1328</v>
      </c>
      <c r="B1158" s="91" t="str">
        <f t="shared" si="148"/>
        <v>BHS-803B</v>
      </c>
      <c r="C1158" s="46" t="s">
        <v>505</v>
      </c>
      <c r="D1158" s="48" t="s">
        <v>506</v>
      </c>
      <c r="E1158" s="39">
        <v>2780.0</v>
      </c>
      <c r="F1158" s="39">
        <v>2780.0</v>
      </c>
      <c r="G1158" s="50">
        <f t="shared" si="149"/>
        <v>0</v>
      </c>
      <c r="H1158" s="28"/>
      <c r="I1158" s="55">
        <f t="shared" si="2"/>
        <v>2783.369342</v>
      </c>
      <c r="J1158" s="81"/>
      <c r="K1158" s="60">
        <f>IFERROR(__xludf.DUMMYFUNCTION("IFERROR(VLOOKUP(C1158,IMPORTRANGE(""https://docs.google.com/spreadsheets/d/1HZUHB8NvANAZR0sHDmHYVAm2WE9kNv0pGIQA48Ryim8/edit?gid=1285727875#gid=1285727875"",""Sheet1!A2:G""),7,0))"),759.08)</f>
        <v>759.08</v>
      </c>
      <c r="L1158" s="62">
        <f t="shared" si="150"/>
        <v>3.662328081</v>
      </c>
      <c r="M1158" s="60">
        <f>IFERROR(__xludf.DUMMYFUNCTION("IFERROR(VLOOKUP(C1158,IMPORTRANGE(""https://docs.google.com/spreadsheets/d/1HZUHB8NvANAZR0sHDmHYVAm2WE9kNv0pGIQA48Ryim8/edit?gid=1285727875#gid=1285727875"",""Cost!A2:G""),7,0))"),760.0)</f>
        <v>760</v>
      </c>
      <c r="N1158" s="62">
        <f t="shared" si="4"/>
        <v>3.657894737</v>
      </c>
      <c r="O1158" s="28"/>
      <c r="P1158" s="28"/>
      <c r="Q1158" s="28"/>
      <c r="R1158" s="28"/>
      <c r="S1158" s="28"/>
      <c r="T1158" s="28"/>
      <c r="U1158" s="65"/>
      <c r="V1158" s="28"/>
      <c r="W1158" s="65"/>
      <c r="X1158" s="77"/>
      <c r="Y1158" s="28"/>
    </row>
    <row r="1159">
      <c r="A1159" s="18" t="s">
        <v>1328</v>
      </c>
      <c r="B1159" s="91" t="str">
        <f t="shared" si="148"/>
        <v>BHS-803RG</v>
      </c>
      <c r="C1159" s="46" t="s">
        <v>507</v>
      </c>
      <c r="D1159" s="48" t="s">
        <v>508</v>
      </c>
      <c r="E1159" s="39">
        <v>2780.0</v>
      </c>
      <c r="F1159" s="39">
        <v>2780.0</v>
      </c>
      <c r="G1159" s="50">
        <f t="shared" si="149"/>
        <v>0</v>
      </c>
      <c r="H1159" s="28"/>
      <c r="I1159" s="55">
        <f t="shared" si="2"/>
        <v>2783.369342</v>
      </c>
      <c r="J1159" s="81"/>
      <c r="K1159" s="60">
        <f>IFERROR(__xludf.DUMMYFUNCTION("IFERROR(VLOOKUP(C1159,IMPORTRANGE(""https://docs.google.com/spreadsheets/d/1HZUHB8NvANAZR0sHDmHYVAm2WE9kNv0pGIQA48Ryim8/edit?gid=1285727875#gid=1285727875"",""Sheet1!A2:G""),7,0))"),759.08)</f>
        <v>759.08</v>
      </c>
      <c r="L1159" s="62">
        <f t="shared" si="150"/>
        <v>3.662328081</v>
      </c>
      <c r="M1159" s="60">
        <f>IFERROR(__xludf.DUMMYFUNCTION("IFERROR(VLOOKUP(C1159,IMPORTRANGE(""https://docs.google.com/spreadsheets/d/1HZUHB8NvANAZR0sHDmHYVAm2WE9kNv0pGIQA48Ryim8/edit?gid=1285727875#gid=1285727875"",""Cost!A2:G""),7,0))"),760.0)</f>
        <v>760</v>
      </c>
      <c r="N1159" s="62">
        <f t="shared" si="4"/>
        <v>3.657894737</v>
      </c>
      <c r="O1159" s="28"/>
      <c r="P1159" s="28"/>
      <c r="Q1159" s="28"/>
      <c r="R1159" s="28"/>
      <c r="S1159" s="28"/>
      <c r="T1159" s="28"/>
      <c r="U1159" s="65"/>
      <c r="V1159" s="28"/>
      <c r="W1159" s="65"/>
      <c r="X1159" s="77"/>
      <c r="Y1159" s="28"/>
    </row>
    <row r="1160">
      <c r="A1160" s="18" t="s">
        <v>1328</v>
      </c>
      <c r="B1160" s="91" t="str">
        <f t="shared" si="148"/>
        <v>BHS-803G</v>
      </c>
      <c r="C1160" s="46" t="s">
        <v>509</v>
      </c>
      <c r="D1160" s="48" t="s">
        <v>510</v>
      </c>
      <c r="E1160" s="39">
        <v>2780.0</v>
      </c>
      <c r="F1160" s="39">
        <v>2780.0</v>
      </c>
      <c r="G1160" s="50">
        <f t="shared" si="149"/>
        <v>0</v>
      </c>
      <c r="H1160" s="28"/>
      <c r="I1160" s="55">
        <f t="shared" si="2"/>
        <v>2783.369342</v>
      </c>
      <c r="J1160" s="81"/>
      <c r="K1160" s="60">
        <f>IFERROR(__xludf.DUMMYFUNCTION("IFERROR(VLOOKUP(C1160,IMPORTRANGE(""https://docs.google.com/spreadsheets/d/1HZUHB8NvANAZR0sHDmHYVAm2WE9kNv0pGIQA48Ryim8/edit?gid=1285727875#gid=1285727875"",""Sheet1!A2:G""),7,0))"),759.08)</f>
        <v>759.08</v>
      </c>
      <c r="L1160" s="62">
        <f t="shared" si="150"/>
        <v>3.662328081</v>
      </c>
      <c r="M1160" s="60">
        <f>IFERROR(__xludf.DUMMYFUNCTION("IFERROR(VLOOKUP(C1160,IMPORTRANGE(""https://docs.google.com/spreadsheets/d/1HZUHB8NvANAZR0sHDmHYVAm2WE9kNv0pGIQA48Ryim8/edit?gid=1285727875#gid=1285727875"",""Cost!A2:G""),7,0))"),760.0)</f>
        <v>760</v>
      </c>
      <c r="N1160" s="62">
        <f t="shared" si="4"/>
        <v>3.657894737</v>
      </c>
      <c r="O1160" s="28"/>
      <c r="P1160" s="28"/>
      <c r="Q1160" s="28"/>
      <c r="R1160" s="28"/>
      <c r="S1160" s="28"/>
      <c r="T1160" s="28"/>
      <c r="U1160" s="65"/>
      <c r="V1160" s="28"/>
      <c r="W1160" s="65"/>
      <c r="X1160" s="77"/>
      <c r="Y1160" s="28"/>
    </row>
    <row r="1161">
      <c r="A1161" s="18" t="s">
        <v>1328</v>
      </c>
      <c r="B1161" s="91" t="str">
        <f t="shared" si="148"/>
        <v>BEA-1050</v>
      </c>
      <c r="C1161" s="46" t="s">
        <v>762</v>
      </c>
      <c r="D1161" s="48" t="s">
        <v>763</v>
      </c>
      <c r="E1161" s="39">
        <v>1490.0</v>
      </c>
      <c r="F1161" s="39">
        <v>1490.0</v>
      </c>
      <c r="G1161" s="50">
        <f t="shared" si="149"/>
        <v>0</v>
      </c>
      <c r="H1161" s="28"/>
      <c r="I1161" s="55">
        <f t="shared" si="2"/>
        <v>1491.736524</v>
      </c>
      <c r="J1161" s="81"/>
      <c r="K1161" s="60">
        <f>IFERROR(__xludf.DUMMYFUNCTION("IFERROR(VLOOKUP(C1161,IMPORTRANGE(""https://docs.google.com/spreadsheets/d/1HZUHB8NvANAZR0sHDmHYVAm2WE9kNv0pGIQA48Ryim8/edit?gid=1285727875#gid=1285727875"",""Sheet1!A2:G""),7,0))"),712.17)</f>
        <v>712.17</v>
      </c>
      <c r="L1161" s="62">
        <f t="shared" si="150"/>
        <v>2.092197088</v>
      </c>
      <c r="M1161" s="60">
        <f>IFERROR(__xludf.DUMMYFUNCTION("IFERROR(VLOOKUP(C1161,IMPORTRANGE(""https://docs.google.com/spreadsheets/d/1HZUHB8NvANAZR0sHDmHYVAm2WE9kNv0pGIQA48Ryim8/edit?gid=1285727875#gid=1285727875"",""Cost!A2:G""),7,0))"),713.0)</f>
        <v>713</v>
      </c>
      <c r="N1161" s="62">
        <f t="shared" si="4"/>
        <v>2.089761571</v>
      </c>
      <c r="O1161" s="28"/>
      <c r="P1161" s="28"/>
      <c r="Q1161" s="28"/>
      <c r="R1161" s="28"/>
      <c r="S1161" s="28"/>
      <c r="T1161" s="28"/>
      <c r="U1161" s="65"/>
      <c r="V1161" s="28"/>
      <c r="W1161" s="65"/>
      <c r="X1161" s="77"/>
      <c r="Y1161" s="28"/>
    </row>
    <row r="1162">
      <c r="A1162" s="18" t="s">
        <v>1328</v>
      </c>
      <c r="B1162" s="91" t="str">
        <f t="shared" si="148"/>
        <v>BEA-1050B</v>
      </c>
      <c r="C1162" s="46" t="s">
        <v>764</v>
      </c>
      <c r="D1162" s="48" t="s">
        <v>765</v>
      </c>
      <c r="E1162" s="39">
        <v>2880.0</v>
      </c>
      <c r="F1162" s="39">
        <v>2880.0</v>
      </c>
      <c r="G1162" s="50">
        <f t="shared" si="149"/>
        <v>0</v>
      </c>
      <c r="H1162" s="28"/>
      <c r="I1162" s="55">
        <f t="shared" si="2"/>
        <v>2883.356502</v>
      </c>
      <c r="J1162" s="81"/>
      <c r="K1162" s="60">
        <f>IFERROR(__xludf.DUMMYFUNCTION("IFERROR(VLOOKUP(C1162,IMPORTRANGE(""https://docs.google.com/spreadsheets/d/1HZUHB8NvANAZR0sHDmHYVAm2WE9kNv0pGIQA48Ryim8/edit?gid=1285727875#gid=1285727875"",""Sheet1!A2:G""),7,0))"),712.17)</f>
        <v>712.17</v>
      </c>
      <c r="L1162" s="62">
        <f t="shared" si="150"/>
        <v>4.043978264</v>
      </c>
      <c r="M1162" s="60">
        <f>IFERROR(__xludf.DUMMYFUNCTION("IFERROR(VLOOKUP(C1162,IMPORTRANGE(""https://docs.google.com/spreadsheets/d/1HZUHB8NvANAZR0sHDmHYVAm2WE9kNv0pGIQA48Ryim8/edit?gid=1285727875#gid=1285727875"",""Cost!A2:G""),7,0))"),713.0)</f>
        <v>713</v>
      </c>
      <c r="N1162" s="62">
        <f t="shared" si="4"/>
        <v>4.039270687</v>
      </c>
      <c r="O1162" s="28"/>
      <c r="P1162" s="28"/>
      <c r="Q1162" s="28"/>
      <c r="R1162" s="28"/>
      <c r="S1162" s="28"/>
      <c r="T1162" s="28"/>
      <c r="U1162" s="65"/>
      <c r="V1162" s="28"/>
      <c r="W1162" s="65"/>
      <c r="X1162" s="77"/>
      <c r="Y1162" s="28"/>
    </row>
    <row r="1163">
      <c r="A1163" s="18" t="s">
        <v>1328</v>
      </c>
      <c r="B1163" s="91" t="str">
        <f t="shared" si="148"/>
        <v>BEA-1050RG</v>
      </c>
      <c r="C1163" s="46" t="s">
        <v>767</v>
      </c>
      <c r="D1163" s="48" t="s">
        <v>769</v>
      </c>
      <c r="E1163" s="39">
        <v>2880.0</v>
      </c>
      <c r="F1163" s="39">
        <v>2880.0</v>
      </c>
      <c r="G1163" s="50">
        <f t="shared" si="149"/>
        <v>0</v>
      </c>
      <c r="H1163" s="28"/>
      <c r="I1163" s="55">
        <f t="shared" si="2"/>
        <v>2883.356502</v>
      </c>
      <c r="J1163" s="81"/>
      <c r="K1163" s="60">
        <f>IFERROR(__xludf.DUMMYFUNCTION("IFERROR(VLOOKUP(C1163,IMPORTRANGE(""https://docs.google.com/spreadsheets/d/1HZUHB8NvANAZR0sHDmHYVAm2WE9kNv0pGIQA48Ryim8/edit?gid=1285727875#gid=1285727875"",""Sheet1!A2:G""),7,0))"),712.17)</f>
        <v>712.17</v>
      </c>
      <c r="L1163" s="62">
        <f t="shared" si="150"/>
        <v>4.043978264</v>
      </c>
      <c r="M1163" s="60">
        <f>IFERROR(__xludf.DUMMYFUNCTION("IFERROR(VLOOKUP(C1163,IMPORTRANGE(""https://docs.google.com/spreadsheets/d/1HZUHB8NvANAZR0sHDmHYVAm2WE9kNv0pGIQA48Ryim8/edit?gid=1285727875#gid=1285727875"",""Cost!A2:G""),7,0))"),713.0)</f>
        <v>713</v>
      </c>
      <c r="N1163" s="62">
        <f t="shared" si="4"/>
        <v>4.039270687</v>
      </c>
      <c r="O1163" s="28"/>
      <c r="P1163" s="28"/>
      <c r="Q1163" s="28"/>
      <c r="R1163" s="28"/>
      <c r="S1163" s="28"/>
      <c r="T1163" s="28"/>
      <c r="U1163" s="65"/>
      <c r="V1163" s="28"/>
      <c r="W1163" s="65"/>
      <c r="X1163" s="77"/>
      <c r="Y1163" s="28"/>
    </row>
    <row r="1164">
      <c r="A1164" s="18" t="s">
        <v>1328</v>
      </c>
      <c r="B1164" s="91" t="str">
        <f t="shared" si="148"/>
        <v>BEA-1050G</v>
      </c>
      <c r="C1164" s="46" t="s">
        <v>772</v>
      </c>
      <c r="D1164" s="48" t="s">
        <v>773</v>
      </c>
      <c r="E1164" s="39">
        <v>2880.0</v>
      </c>
      <c r="F1164" s="39">
        <v>2880.0</v>
      </c>
      <c r="G1164" s="50">
        <f t="shared" si="149"/>
        <v>0</v>
      </c>
      <c r="H1164" s="28"/>
      <c r="I1164" s="55">
        <f t="shared" si="2"/>
        <v>2883.356502</v>
      </c>
      <c r="J1164" s="81"/>
      <c r="K1164" s="60">
        <f>IFERROR(__xludf.DUMMYFUNCTION("IFERROR(VLOOKUP(C1164,IMPORTRANGE(""https://docs.google.com/spreadsheets/d/1HZUHB8NvANAZR0sHDmHYVAm2WE9kNv0pGIQA48Ryim8/edit?gid=1285727875#gid=1285727875"",""Sheet1!A2:G""),7,0))"),712.17)</f>
        <v>712.17</v>
      </c>
      <c r="L1164" s="62">
        <f t="shared" si="150"/>
        <v>4.043978264</v>
      </c>
      <c r="M1164" s="60">
        <f>IFERROR(__xludf.DUMMYFUNCTION("IFERROR(VLOOKUP(C1164,IMPORTRANGE(""https://docs.google.com/spreadsheets/d/1HZUHB8NvANAZR0sHDmHYVAm2WE9kNv0pGIQA48Ryim8/edit?gid=1285727875#gid=1285727875"",""Cost!A2:G""),7,0))"),713.0)</f>
        <v>713</v>
      </c>
      <c r="N1164" s="62">
        <f t="shared" si="4"/>
        <v>4.039270687</v>
      </c>
      <c r="O1164" s="28"/>
      <c r="P1164" s="28"/>
      <c r="Q1164" s="28"/>
      <c r="R1164" s="28"/>
      <c r="S1164" s="28"/>
      <c r="T1164" s="28"/>
      <c r="U1164" s="65"/>
      <c r="V1164" s="28"/>
      <c r="W1164" s="65"/>
      <c r="X1164" s="77"/>
      <c r="Y1164" s="28"/>
    </row>
    <row r="1165">
      <c r="A1165" s="18" t="s">
        <v>1328</v>
      </c>
      <c r="B1165" s="91" t="str">
        <f t="shared" si="148"/>
        <v>BEA-1049</v>
      </c>
      <c r="C1165" s="46" t="s">
        <v>774</v>
      </c>
      <c r="D1165" s="48" t="s">
        <v>775</v>
      </c>
      <c r="E1165" s="39">
        <v>1740.0</v>
      </c>
      <c r="F1165" s="39">
        <v>1740.0</v>
      </c>
      <c r="G1165" s="50">
        <f t="shared" si="149"/>
        <v>0</v>
      </c>
      <c r="H1165" s="28"/>
      <c r="I1165" s="55">
        <f t="shared" si="2"/>
        <v>1744.292949</v>
      </c>
      <c r="J1165" s="81"/>
      <c r="K1165" s="60">
        <f>IFERROR(__xludf.DUMMYFUNCTION("IFERROR(VLOOKUP(C1165,IMPORTRANGE(""https://docs.google.com/spreadsheets/d/1HZUHB8NvANAZR0sHDmHYVAm2WE9kNv0pGIQA48Ryim8/edit?gid=1285727875#gid=1285727875"",""Sheet1!A2:G""),7,0))"),385.05)</f>
        <v>385.05</v>
      </c>
      <c r="L1165" s="62">
        <f t="shared" si="150"/>
        <v>4.51889365</v>
      </c>
      <c r="M1165" s="60">
        <f>IFERROR(__xludf.DUMMYFUNCTION("IFERROR(VLOOKUP(C1165,IMPORTRANGE(""https://docs.google.com/spreadsheets/d/1HZUHB8NvANAZR0sHDmHYVAm2WE9kNv0pGIQA48Ryim8/edit?gid=1285727875#gid=1285727875"",""Cost!A2:G""),7,0))"),386.0)</f>
        <v>386</v>
      </c>
      <c r="N1165" s="62">
        <f t="shared" si="4"/>
        <v>4.507772021</v>
      </c>
      <c r="O1165" s="28"/>
      <c r="P1165" s="28"/>
      <c r="Q1165" s="28"/>
      <c r="R1165" s="28"/>
      <c r="S1165" s="28"/>
      <c r="T1165" s="28"/>
      <c r="U1165" s="65"/>
      <c r="V1165" s="28"/>
      <c r="W1165" s="65"/>
      <c r="X1165" s="77"/>
      <c r="Y1165" s="28"/>
    </row>
    <row r="1166">
      <c r="A1166" s="18" t="s">
        <v>1328</v>
      </c>
      <c r="B1166" s="91" t="str">
        <f t="shared" si="148"/>
        <v>BEA-1019B</v>
      </c>
      <c r="C1166" s="46" t="s">
        <v>778</v>
      </c>
      <c r="D1166" s="48" t="s">
        <v>779</v>
      </c>
      <c r="E1166" s="39">
        <v>3440.0</v>
      </c>
      <c r="F1166" s="39">
        <v>3440.0</v>
      </c>
      <c r="G1166" s="50">
        <f t="shared" si="149"/>
        <v>0</v>
      </c>
      <c r="H1166" s="28"/>
      <c r="I1166" s="55">
        <f t="shared" si="2"/>
        <v>3443.73417</v>
      </c>
      <c r="J1166" s="81"/>
      <c r="K1166" s="60">
        <f>IFERROR(__xludf.DUMMYFUNCTION("IFERROR(VLOOKUP(C1166,IMPORTRANGE(""https://docs.google.com/spreadsheets/d/1HZUHB8NvANAZR0sHDmHYVAm2WE9kNv0pGIQA48Ryim8/edit?gid=1285727875#gid=1285727875"",""Sheet1!A2:G""),7,0))"),912.01)</f>
        <v>912.01</v>
      </c>
      <c r="L1166" s="62">
        <f t="shared" si="150"/>
        <v>3.771888466</v>
      </c>
      <c r="M1166" s="60">
        <f>IFERROR(__xludf.DUMMYFUNCTION("IFERROR(VLOOKUP(C1166,IMPORTRANGE(""https://docs.google.com/spreadsheets/d/1HZUHB8NvANAZR0sHDmHYVAm2WE9kNv0pGIQA48Ryim8/edit?gid=1285727875#gid=1285727875"",""Cost!A2:G""),7,0))"),913.0)</f>
        <v>913</v>
      </c>
      <c r="N1166" s="62">
        <f t="shared" si="4"/>
        <v>3.767798467</v>
      </c>
      <c r="O1166" s="28"/>
      <c r="P1166" s="28"/>
      <c r="Q1166" s="28"/>
      <c r="R1166" s="28"/>
      <c r="S1166" s="28"/>
      <c r="T1166" s="28"/>
      <c r="U1166" s="65"/>
      <c r="V1166" s="28"/>
      <c r="W1166" s="65"/>
      <c r="X1166" s="77"/>
      <c r="Y1166" s="28"/>
    </row>
    <row r="1167">
      <c r="A1167" s="18" t="s">
        <v>1328</v>
      </c>
      <c r="B1167" s="91" t="str">
        <f t="shared" si="148"/>
        <v>BEA-1019RG</v>
      </c>
      <c r="C1167" s="46" t="s">
        <v>780</v>
      </c>
      <c r="D1167" s="48" t="s">
        <v>781</v>
      </c>
      <c r="E1167" s="39">
        <v>3440.0</v>
      </c>
      <c r="F1167" s="39">
        <v>3440.0</v>
      </c>
      <c r="G1167" s="50">
        <f t="shared" si="149"/>
        <v>0</v>
      </c>
      <c r="H1167" s="28"/>
      <c r="I1167" s="55">
        <f t="shared" si="2"/>
        <v>3443.559345</v>
      </c>
      <c r="J1167" s="81"/>
      <c r="K1167" s="60">
        <f>IFERROR(__xludf.DUMMYFUNCTION("IFERROR(VLOOKUP(C1167,IMPORTRANGE(""https://docs.google.com/spreadsheets/d/1HZUHB8NvANAZR0sHDmHYVAm2WE9kNv0pGIQA48Ryim8/edit?gid=1285727875#gid=1285727875"",""Sheet1!A2:G""),7,0))"),802.17)</f>
        <v>802.17</v>
      </c>
      <c r="L1167" s="62">
        <f t="shared" si="150"/>
        <v>4.288367802</v>
      </c>
      <c r="M1167" s="60">
        <f>IFERROR(__xludf.DUMMYFUNCTION("IFERROR(VLOOKUP(C1167,IMPORTRANGE(""https://docs.google.com/spreadsheets/d/1HZUHB8NvANAZR0sHDmHYVAm2WE9kNv0pGIQA48Ryim8/edit?gid=1285727875#gid=1285727875"",""Cost!A2:G""),7,0))"),803.0)</f>
        <v>803</v>
      </c>
      <c r="N1167" s="62">
        <f t="shared" si="4"/>
        <v>4.283935243</v>
      </c>
      <c r="O1167" s="28"/>
      <c r="P1167" s="28"/>
      <c r="Q1167" s="28"/>
      <c r="R1167" s="28"/>
      <c r="S1167" s="28"/>
      <c r="T1167" s="28"/>
      <c r="U1167" s="65"/>
      <c r="V1167" s="28"/>
      <c r="W1167" s="65"/>
      <c r="X1167" s="77"/>
      <c r="Y1167" s="28"/>
    </row>
    <row r="1168">
      <c r="A1168" s="18" t="s">
        <v>1328</v>
      </c>
      <c r="B1168" s="91" t="str">
        <f t="shared" si="148"/>
        <v>BEA-1019G</v>
      </c>
      <c r="C1168" s="46" t="s">
        <v>783</v>
      </c>
      <c r="D1168" s="48" t="s">
        <v>784</v>
      </c>
      <c r="E1168" s="39">
        <v>3440.0</v>
      </c>
      <c r="F1168" s="39">
        <v>3440.0</v>
      </c>
      <c r="G1168" s="50">
        <f t="shared" si="149"/>
        <v>0</v>
      </c>
      <c r="H1168" s="28"/>
      <c r="I1168" s="55">
        <f t="shared" si="2"/>
        <v>3443.559345</v>
      </c>
      <c r="J1168" s="81"/>
      <c r="K1168" s="60">
        <f>IFERROR(__xludf.DUMMYFUNCTION("IFERROR(VLOOKUP(C1168,IMPORTRANGE(""https://docs.google.com/spreadsheets/d/1HZUHB8NvANAZR0sHDmHYVAm2WE9kNv0pGIQA48Ryim8/edit?gid=1285727875#gid=1285727875"",""Sheet1!A2:G""),7,0))"),802.17)</f>
        <v>802.17</v>
      </c>
      <c r="L1168" s="62">
        <f t="shared" si="150"/>
        <v>4.288367802</v>
      </c>
      <c r="M1168" s="60">
        <f>IFERROR(__xludf.DUMMYFUNCTION("IFERROR(VLOOKUP(C1168,IMPORTRANGE(""https://docs.google.com/spreadsheets/d/1HZUHB8NvANAZR0sHDmHYVAm2WE9kNv0pGIQA48Ryim8/edit?gid=1285727875#gid=1285727875"",""Cost!A2:G""),7,0))"),803.0)</f>
        <v>803</v>
      </c>
      <c r="N1168" s="62">
        <f t="shared" si="4"/>
        <v>4.283935243</v>
      </c>
      <c r="O1168" s="28"/>
      <c r="P1168" s="28"/>
      <c r="Q1168" s="28"/>
      <c r="R1168" s="28"/>
      <c r="S1168" s="28"/>
      <c r="T1168" s="28"/>
      <c r="U1168" s="65"/>
      <c r="V1168" s="28"/>
      <c r="W1168" s="65"/>
      <c r="X1168" s="77"/>
      <c r="Y1168" s="28"/>
    </row>
    <row r="1169">
      <c r="A1169" s="18" t="s">
        <v>1328</v>
      </c>
      <c r="B1169" s="91" t="str">
        <f t="shared" si="148"/>
        <v>BEA-40</v>
      </c>
      <c r="C1169" s="46" t="s">
        <v>785</v>
      </c>
      <c r="D1169" s="48" t="s">
        <v>786</v>
      </c>
      <c r="E1169" s="39">
        <v>780.0</v>
      </c>
      <c r="F1169" s="39">
        <v>840.0</v>
      </c>
      <c r="G1169" s="50">
        <f t="shared" si="149"/>
        <v>0.07692307692</v>
      </c>
      <c r="H1169" s="28"/>
      <c r="I1169" s="55">
        <f t="shared" si="2"/>
        <v>815.1097037</v>
      </c>
      <c r="J1169" s="81"/>
      <c r="K1169" s="60">
        <f>IFERROR(__xludf.DUMMYFUNCTION("IFERROR(VLOOKUP(C1169,IMPORTRANGE(""https://docs.google.com/spreadsheets/d/1HZUHB8NvANAZR0sHDmHYVAm2WE9kNv0pGIQA48Ryim8/edit?gid=1285727875#gid=1285727875"",""Sheet1!A2:G""),7,0))"),221.05)</f>
        <v>221.05</v>
      </c>
      <c r="L1169" s="62">
        <f t="shared" si="150"/>
        <v>3.528613436</v>
      </c>
      <c r="M1169" s="60">
        <f>IFERROR(__xludf.DUMMYFUNCTION("IFERROR(VLOOKUP(C1169,IMPORTRANGE(""https://docs.google.com/spreadsheets/d/1HZUHB8NvANAZR0sHDmHYVAm2WE9kNv0pGIQA48Ryim8/edit?gid=1285727875#gid=1285727875"",""Cost!A2:G""),7,0))"),231.0)</f>
        <v>231</v>
      </c>
      <c r="N1169" s="62">
        <f t="shared" si="4"/>
        <v>3.636363636</v>
      </c>
      <c r="O1169" s="28"/>
      <c r="P1169" s="28"/>
      <c r="Q1169" s="28"/>
      <c r="R1169" s="28"/>
      <c r="S1169" s="28"/>
      <c r="T1169" s="28"/>
      <c r="U1169" s="65"/>
      <c r="V1169" s="28"/>
      <c r="W1169" s="65"/>
      <c r="X1169" s="77"/>
      <c r="Y1169" s="28"/>
    </row>
    <row r="1170">
      <c r="A1170" s="18" t="s">
        <v>1328</v>
      </c>
      <c r="B1170" s="91" t="str">
        <f t="shared" si="148"/>
        <v>BEA-41</v>
      </c>
      <c r="C1170" s="46" t="s">
        <v>788</v>
      </c>
      <c r="D1170" s="48" t="s">
        <v>789</v>
      </c>
      <c r="E1170" s="39">
        <v>1990.0</v>
      </c>
      <c r="F1170" s="39">
        <v>2340.0</v>
      </c>
      <c r="G1170" s="50">
        <f t="shared" si="149"/>
        <v>0.175879397</v>
      </c>
      <c r="H1170" s="28"/>
      <c r="I1170" s="55">
        <f t="shared" si="2"/>
        <v>2146.807575</v>
      </c>
      <c r="J1170" s="81"/>
      <c r="K1170" s="60">
        <f>IFERROR(__xludf.DUMMYFUNCTION("IFERROR(VLOOKUP(C1170,IMPORTRANGE(""https://docs.google.com/spreadsheets/d/1HZUHB8NvANAZR0sHDmHYVAm2WE9kNv0pGIQA48Ryim8/edit?gid=1285727875#gid=1285727875"",""Sheet1!A2:G""),7,0))"),636.82)</f>
        <v>636.82</v>
      </c>
      <c r="L1170" s="62">
        <f t="shared" si="150"/>
        <v>3.124901856</v>
      </c>
      <c r="M1170" s="60">
        <f>IFERROR(__xludf.DUMMYFUNCTION("IFERROR(VLOOKUP(C1170,IMPORTRANGE(""https://docs.google.com/spreadsheets/d/1HZUHB8NvANAZR0sHDmHYVAm2WE9kNv0pGIQA48Ryim8/edit?gid=1285727875#gid=1285727875"",""Cost!A2:G""),7,0))"),687.0)</f>
        <v>687</v>
      </c>
      <c r="N1170" s="62">
        <f t="shared" si="4"/>
        <v>3.406113537</v>
      </c>
      <c r="O1170" s="28"/>
      <c r="P1170" s="28"/>
      <c r="Q1170" s="28"/>
      <c r="R1170" s="28"/>
      <c r="S1170" s="28"/>
      <c r="T1170" s="28"/>
      <c r="U1170" s="65"/>
      <c r="V1170" s="28"/>
      <c r="W1170" s="65"/>
      <c r="X1170" s="77"/>
      <c r="Y1170" s="28"/>
    </row>
    <row r="1171">
      <c r="A1171" s="18" t="s">
        <v>1328</v>
      </c>
      <c r="B1171" s="91" t="str">
        <f t="shared" si="148"/>
        <v>BEA-81</v>
      </c>
      <c r="C1171" s="46" t="s">
        <v>790</v>
      </c>
      <c r="D1171" s="48" t="s">
        <v>789</v>
      </c>
      <c r="E1171" s="39">
        <v>1760.0</v>
      </c>
      <c r="F1171" s="39">
        <v>1890.0</v>
      </c>
      <c r="G1171" s="50">
        <f t="shared" si="149"/>
        <v>0.07386363636</v>
      </c>
      <c r="H1171" s="28"/>
      <c r="I1171" s="55">
        <f t="shared" si="2"/>
        <v>1903.003039</v>
      </c>
      <c r="J1171" s="81"/>
      <c r="K1171" s="60">
        <f>IFERROR(__xludf.DUMMYFUNCTION("IFERROR(VLOOKUP(C1171,IMPORTRANGE(""https://docs.google.com/spreadsheets/d/1HZUHB8NvANAZR0sHDmHYVAm2WE9kNv0pGIQA48Ryim8/edit?gid=1285727875#gid=1285727875"",""Sheet1!A2:G""),7,0))"),506.82)</f>
        <v>506.82</v>
      </c>
      <c r="L1171" s="62">
        <f t="shared" si="150"/>
        <v>3.472633282</v>
      </c>
      <c r="M1171" s="60">
        <f>IFERROR(__xludf.DUMMYFUNCTION("IFERROR(VLOOKUP(C1171,IMPORTRANGE(""https://docs.google.com/spreadsheets/d/1HZUHB8NvANAZR0sHDmHYVAm2WE9kNv0pGIQA48Ryim8/edit?gid=1285727875#gid=1285727875"",""Cost!A2:G""),7,0))"),548.0)</f>
        <v>548</v>
      </c>
      <c r="N1171" s="62">
        <f t="shared" si="4"/>
        <v>3.448905109</v>
      </c>
      <c r="O1171" s="28"/>
      <c r="P1171" s="28"/>
      <c r="Q1171" s="28"/>
      <c r="R1171" s="28"/>
      <c r="S1171" s="28"/>
      <c r="T1171" s="28"/>
      <c r="U1171" s="65"/>
      <c r="V1171" s="28"/>
      <c r="W1171" s="65"/>
      <c r="X1171" s="77"/>
      <c r="Y1171" s="28"/>
    </row>
    <row r="1172">
      <c r="A1172" s="18" t="s">
        <v>1328</v>
      </c>
      <c r="B1172" s="91" t="str">
        <f t="shared" si="148"/>
        <v>BEA-95</v>
      </c>
      <c r="C1172" s="46" t="s">
        <v>791</v>
      </c>
      <c r="D1172" s="48" t="s">
        <v>786</v>
      </c>
      <c r="E1172" s="39">
        <v>990.0</v>
      </c>
      <c r="F1172" s="39">
        <v>990.0</v>
      </c>
      <c r="G1172" s="50">
        <f t="shared" si="149"/>
        <v>0</v>
      </c>
      <c r="H1172" s="28"/>
      <c r="I1172" s="55">
        <f t="shared" si="2"/>
        <v>1021.102549</v>
      </c>
      <c r="J1172" s="81"/>
      <c r="K1172" s="60">
        <f>IFERROR(__xludf.DUMMYFUNCTION("IFERROR(VLOOKUP(C1172,IMPORTRANGE(""https://docs.google.com/spreadsheets/d/1HZUHB8NvANAZR0sHDmHYVAm2WE9kNv0pGIQA48Ryim8/edit?gid=1285727875#gid=1285727875"",""Sheet1!A2:G""),7,0))"),253.05)</f>
        <v>253.05</v>
      </c>
      <c r="L1172" s="62">
        <f t="shared" si="150"/>
        <v>3.912270302</v>
      </c>
      <c r="M1172" s="60">
        <f>IFERROR(__xludf.DUMMYFUNCTION("IFERROR(VLOOKUP(C1172,IMPORTRANGE(""https://docs.google.com/spreadsheets/d/1HZUHB8NvANAZR0sHDmHYVAm2WE9kNv0pGIQA48Ryim8/edit?gid=1285727875#gid=1285727875"",""Cost!A2:G""),7,0))"),261.0)</f>
        <v>261</v>
      </c>
      <c r="N1172" s="62">
        <f t="shared" si="4"/>
        <v>3.793103448</v>
      </c>
      <c r="O1172" s="28"/>
      <c r="P1172" s="28"/>
      <c r="Q1172" s="28"/>
      <c r="R1172" s="28"/>
      <c r="S1172" s="28"/>
      <c r="T1172" s="28"/>
      <c r="U1172" s="65"/>
      <c r="V1172" s="28"/>
      <c r="W1172" s="65"/>
      <c r="X1172" s="77"/>
      <c r="Y1172" s="28"/>
    </row>
    <row r="1173">
      <c r="A1173" s="18" t="s">
        <v>1328</v>
      </c>
      <c r="B1173" s="91" t="str">
        <f t="shared" si="148"/>
        <v>BEA-97</v>
      </c>
      <c r="C1173" s="46" t="s">
        <v>794</v>
      </c>
      <c r="D1173" s="48" t="s">
        <v>786</v>
      </c>
      <c r="E1173" s="39">
        <v>940.0</v>
      </c>
      <c r="F1173" s="39">
        <v>940.0</v>
      </c>
      <c r="G1173" s="50">
        <f t="shared" si="149"/>
        <v>0</v>
      </c>
      <c r="H1173" s="28"/>
      <c r="I1173" s="55">
        <f t="shared" si="2"/>
        <v>974.9014727</v>
      </c>
      <c r="J1173" s="81"/>
      <c r="K1173" s="60">
        <f>IFERROR(__xludf.DUMMYFUNCTION("IFERROR(VLOOKUP(C1173,IMPORTRANGE(""https://docs.google.com/spreadsheets/d/1HZUHB8NvANAZR0sHDmHYVAm2WE9kNv0pGIQA48Ryim8/edit?gid=1285727875#gid=1285727875"",""Sheet1!A2:G""),7,0))"),241.05)</f>
        <v>241.05</v>
      </c>
      <c r="L1173" s="62">
        <f t="shared" si="150"/>
        <v>3.899605891</v>
      </c>
      <c r="M1173" s="60">
        <f>IFERROR(__xludf.DUMMYFUNCTION("IFERROR(VLOOKUP(C1173,IMPORTRANGE(""https://docs.google.com/spreadsheets/d/1HZUHB8NvANAZR0sHDmHYVAm2WE9kNv0pGIQA48Ryim8/edit?gid=1285727875#gid=1285727875"",""Cost!A2:G""),7,0))"),250.0)</f>
        <v>250</v>
      </c>
      <c r="N1173" s="62">
        <f t="shared" si="4"/>
        <v>3.76</v>
      </c>
      <c r="O1173" s="28"/>
      <c r="P1173" s="28"/>
      <c r="Q1173" s="28"/>
      <c r="R1173" s="28"/>
      <c r="S1173" s="28"/>
      <c r="T1173" s="28"/>
      <c r="U1173" s="65"/>
      <c r="V1173" s="28"/>
      <c r="W1173" s="65"/>
      <c r="X1173" s="77"/>
      <c r="Y1173" s="28"/>
    </row>
    <row r="1174">
      <c r="A1174" s="18" t="s">
        <v>1328</v>
      </c>
      <c r="B1174" s="91" t="str">
        <f t="shared" si="148"/>
        <v>BEA-100</v>
      </c>
      <c r="C1174" s="46" t="s">
        <v>793</v>
      </c>
      <c r="D1174" s="48" t="s">
        <v>786</v>
      </c>
      <c r="E1174" s="39">
        <v>940.0</v>
      </c>
      <c r="F1174" s="39">
        <v>940.0</v>
      </c>
      <c r="G1174" s="50">
        <f t="shared" si="149"/>
        <v>0</v>
      </c>
      <c r="H1174" s="28"/>
      <c r="I1174" s="55">
        <f t="shared" si="2"/>
        <v>974.9014727</v>
      </c>
      <c r="J1174" s="81"/>
      <c r="K1174" s="60">
        <f>IFERROR(__xludf.DUMMYFUNCTION("IFERROR(VLOOKUP(C1174,IMPORTRANGE(""https://docs.google.com/spreadsheets/d/1HZUHB8NvANAZR0sHDmHYVAm2WE9kNv0pGIQA48Ryim8/edit?gid=1285727875#gid=1285727875"",""Sheet1!A2:G""),7,0))"),241.05)</f>
        <v>241.05</v>
      </c>
      <c r="L1174" s="62">
        <f t="shared" si="150"/>
        <v>3.899605891</v>
      </c>
      <c r="M1174" s="60">
        <f>IFERROR(__xludf.DUMMYFUNCTION("IFERROR(VLOOKUP(C1174,IMPORTRANGE(""https://docs.google.com/spreadsheets/d/1HZUHB8NvANAZR0sHDmHYVAm2WE9kNv0pGIQA48Ryim8/edit?gid=1285727875#gid=1285727875"",""Cost!A2:G""),7,0))"),250.0)</f>
        <v>250</v>
      </c>
      <c r="N1174" s="62">
        <f t="shared" si="4"/>
        <v>3.76</v>
      </c>
      <c r="O1174" s="28"/>
      <c r="P1174" s="28"/>
      <c r="Q1174" s="28"/>
      <c r="R1174" s="28"/>
      <c r="S1174" s="28"/>
      <c r="T1174" s="28"/>
      <c r="U1174" s="65"/>
      <c r="V1174" s="28"/>
      <c r="W1174" s="65"/>
      <c r="X1174" s="77"/>
      <c r="Y1174" s="28"/>
    </row>
    <row r="1175">
      <c r="A1175" s="18" t="s">
        <v>1328</v>
      </c>
      <c r="B1175" s="91" t="str">
        <f t="shared" si="148"/>
        <v>BEA-103</v>
      </c>
      <c r="C1175" s="46" t="s">
        <v>795</v>
      </c>
      <c r="D1175" s="48" t="s">
        <v>796</v>
      </c>
      <c r="E1175" s="39">
        <v>990.0</v>
      </c>
      <c r="F1175" s="39">
        <v>990.0</v>
      </c>
      <c r="G1175" s="50">
        <f t="shared" si="149"/>
        <v>0</v>
      </c>
      <c r="H1175" s="28"/>
      <c r="I1175" s="55">
        <f t="shared" si="2"/>
        <v>995.9540733</v>
      </c>
      <c r="J1175" s="81"/>
      <c r="K1175" s="60">
        <f>IFERROR(__xludf.DUMMYFUNCTION("IFERROR(VLOOKUP(C1175,IMPORTRANGE(""https://docs.google.com/spreadsheets/d/1HZUHB8NvANAZR0sHDmHYVAm2WE9kNv0pGIQA48Ryim8/edit?gid=1285727875#gid=1285727875"",""Sheet1!A2:G""),7,0))"),274.35)</f>
        <v>274.35</v>
      </c>
      <c r="L1175" s="62">
        <f t="shared" si="150"/>
        <v>3.608529251</v>
      </c>
      <c r="M1175" s="60">
        <f>IFERROR(__xludf.DUMMYFUNCTION("IFERROR(VLOOKUP(C1175,IMPORTRANGE(""https://docs.google.com/spreadsheets/d/1HZUHB8NvANAZR0sHDmHYVAm2WE9kNv0pGIQA48Ryim8/edit?gid=1285727875#gid=1285727875"",""Cost!A2:G""),7,0))"),276.0)</f>
        <v>276</v>
      </c>
      <c r="N1175" s="62">
        <f t="shared" si="4"/>
        <v>3.586956522</v>
      </c>
      <c r="O1175" s="28"/>
      <c r="P1175" s="28"/>
      <c r="Q1175" s="28"/>
      <c r="R1175" s="28"/>
      <c r="S1175" s="28"/>
      <c r="T1175" s="28"/>
      <c r="U1175" s="65"/>
      <c r="V1175" s="28"/>
      <c r="W1175" s="65"/>
      <c r="X1175" s="77"/>
      <c r="Y1175" s="28"/>
    </row>
    <row r="1176">
      <c r="A1176" s="18" t="s">
        <v>1328</v>
      </c>
      <c r="B1176" s="91" t="str">
        <f t="shared" si="148"/>
        <v>BEA-105</v>
      </c>
      <c r="C1176" s="46" t="s">
        <v>797</v>
      </c>
      <c r="D1176" s="48" t="s">
        <v>789</v>
      </c>
      <c r="E1176" s="39">
        <v>1090.0</v>
      </c>
      <c r="F1176" s="39">
        <v>1490.0</v>
      </c>
      <c r="G1176" s="50">
        <f t="shared" si="149"/>
        <v>0.3669724771</v>
      </c>
      <c r="H1176" s="28"/>
      <c r="I1176" s="55">
        <f t="shared" si="2"/>
        <v>1189.200387</v>
      </c>
      <c r="J1176" s="81"/>
      <c r="K1176" s="60">
        <f>IFERROR(__xludf.DUMMYFUNCTION("IFERROR(VLOOKUP(C1176,IMPORTRANGE(""https://docs.google.com/spreadsheets/d/1HZUHB8NvANAZR0sHDmHYVAm2WE9kNv0pGIQA48Ryim8/edit?gid=1285727875#gid=1285727875"",""Sheet1!A2:G""),7,0))"),362.05)</f>
        <v>362.05</v>
      </c>
      <c r="L1176" s="62">
        <f t="shared" si="150"/>
        <v>3.01063389</v>
      </c>
      <c r="M1176" s="60">
        <f>IFERROR(__xludf.DUMMYFUNCTION("IFERROR(VLOOKUP(C1176,IMPORTRANGE(""https://docs.google.com/spreadsheets/d/1HZUHB8NvANAZR0sHDmHYVAm2WE9kNv0pGIQA48Ryim8/edit?gid=1285727875#gid=1285727875"",""Cost!A2:G""),7,0))"),395.0)</f>
        <v>395</v>
      </c>
      <c r="N1176" s="62">
        <f t="shared" si="4"/>
        <v>3.772151899</v>
      </c>
      <c r="O1176" s="28"/>
      <c r="P1176" s="28"/>
      <c r="Q1176" s="28"/>
      <c r="R1176" s="28"/>
      <c r="S1176" s="28"/>
      <c r="T1176" s="28"/>
      <c r="U1176" s="65"/>
      <c r="V1176" s="28"/>
      <c r="W1176" s="65"/>
      <c r="X1176" s="77"/>
      <c r="Y1176" s="28"/>
    </row>
    <row r="1177">
      <c r="A1177" s="18" t="s">
        <v>1328</v>
      </c>
      <c r="B1177" s="91" t="str">
        <f t="shared" si="148"/>
        <v>BEA-106</v>
      </c>
      <c r="C1177" s="46" t="s">
        <v>798</v>
      </c>
      <c r="D1177" s="48" t="s">
        <v>789</v>
      </c>
      <c r="E1177" s="39">
        <v>1290.0</v>
      </c>
      <c r="F1177" s="39">
        <v>1690.0</v>
      </c>
      <c r="G1177" s="50">
        <f t="shared" si="149"/>
        <v>0.3100775194</v>
      </c>
      <c r="H1177" s="28"/>
      <c r="I1177" s="55">
        <f t="shared" si="2"/>
        <v>1362.516137</v>
      </c>
      <c r="J1177" s="81"/>
      <c r="K1177" s="60">
        <f>IFERROR(__xludf.DUMMYFUNCTION("IFERROR(VLOOKUP(C1177,IMPORTRANGE(""https://docs.google.com/spreadsheets/d/1HZUHB8NvANAZR0sHDmHYVAm2WE9kNv0pGIQA48Ryim8/edit?gid=1285727875#gid=1285727875"",""Sheet1!A2:G""),7,0))"),426.05)</f>
        <v>426.05</v>
      </c>
      <c r="L1177" s="62">
        <f t="shared" si="150"/>
        <v>3.027813637</v>
      </c>
      <c r="M1177" s="60">
        <f>IFERROR(__xludf.DUMMYFUNCTION("IFERROR(VLOOKUP(C1177,IMPORTRANGE(""https://docs.google.com/spreadsheets/d/1HZUHB8NvANAZR0sHDmHYVAm2WE9kNv0pGIQA48Ryim8/edit?gid=1285727875#gid=1285727875"",""Cost!A2:G""),7,0))"),450.0)</f>
        <v>450</v>
      </c>
      <c r="N1177" s="62">
        <f t="shared" si="4"/>
        <v>3.755555556</v>
      </c>
      <c r="O1177" s="28"/>
      <c r="P1177" s="28"/>
      <c r="Q1177" s="28"/>
      <c r="R1177" s="28"/>
      <c r="S1177" s="28"/>
      <c r="T1177" s="28"/>
      <c r="U1177" s="65"/>
      <c r="V1177" s="28"/>
      <c r="W1177" s="65"/>
      <c r="X1177" s="77"/>
      <c r="Y1177" s="28"/>
    </row>
    <row r="1178">
      <c r="A1178" s="18" t="s">
        <v>1328</v>
      </c>
      <c r="B1178" s="91" t="str">
        <f t="shared" si="148"/>
        <v>BEA-888</v>
      </c>
      <c r="C1178" s="46" t="s">
        <v>799</v>
      </c>
      <c r="D1178" s="48" t="s">
        <v>800</v>
      </c>
      <c r="E1178" s="39">
        <v>1090.0</v>
      </c>
      <c r="F1178" s="39">
        <v>1190.0</v>
      </c>
      <c r="G1178" s="50">
        <f t="shared" si="149"/>
        <v>0.09174311927</v>
      </c>
      <c r="H1178" s="28"/>
      <c r="I1178" s="55">
        <f t="shared" si="2"/>
        <v>1089.844751</v>
      </c>
      <c r="J1178" s="81"/>
      <c r="K1178" s="60">
        <f>IFERROR(__xludf.DUMMYFUNCTION("IFERROR(VLOOKUP(C1178,IMPORTRANGE(""https://docs.google.com/spreadsheets/d/1HZUHB8NvANAZR0sHDmHYVAm2WE9kNv0pGIQA48Ryim8/edit?gid=1285727875#gid=1285727875"",""Sheet1!A2:G""),7,0))"),351.05)</f>
        <v>351.05</v>
      </c>
      <c r="L1178" s="62">
        <f t="shared" si="150"/>
        <v>3.104970802</v>
      </c>
      <c r="M1178" s="60">
        <f>IFERROR(__xludf.DUMMYFUNCTION("IFERROR(VLOOKUP(C1178,IMPORTRANGE(""https://docs.google.com/spreadsheets/d/1HZUHB8NvANAZR0sHDmHYVAm2WE9kNv0pGIQA48Ryim8/edit?gid=1285727875#gid=1285727875"",""Cost!A2:G""),7,0))"),351.0)</f>
        <v>351</v>
      </c>
      <c r="N1178" s="62">
        <f t="shared" si="4"/>
        <v>3.39031339</v>
      </c>
      <c r="O1178" s="28"/>
      <c r="P1178" s="28"/>
      <c r="Q1178" s="28"/>
      <c r="R1178" s="28"/>
      <c r="S1178" s="28"/>
      <c r="T1178" s="28"/>
      <c r="U1178" s="65"/>
      <c r="V1178" s="28"/>
      <c r="W1178" s="65"/>
      <c r="X1178" s="77"/>
      <c r="Y1178" s="28"/>
    </row>
    <row r="1179">
      <c r="A1179" s="18" t="s">
        <v>1328</v>
      </c>
      <c r="B1179" s="91" t="str">
        <f t="shared" si="148"/>
        <v>451</v>
      </c>
      <c r="C1179" s="91" t="s">
        <v>801</v>
      </c>
      <c r="D1179" s="48" t="s">
        <v>802</v>
      </c>
      <c r="E1179" s="39">
        <v>730.0</v>
      </c>
      <c r="F1179" s="39">
        <v>730.0</v>
      </c>
      <c r="G1179" s="50">
        <f t="shared" si="149"/>
        <v>0</v>
      </c>
      <c r="H1179" s="28"/>
      <c r="I1179" s="55">
        <f t="shared" si="2"/>
        <v>743.5701553</v>
      </c>
      <c r="J1179" s="81"/>
      <c r="K1179" s="60">
        <f>IFERROR(__xludf.DUMMYFUNCTION("IFERROR(VLOOKUP(C1179,IMPORTRANGE(""https://docs.google.com/spreadsheets/d/1HZUHB8NvANAZR0sHDmHYVAm2WE9kNv0pGIQA48Ryim8/edit?gid=1285727875#gid=1285727875"",""Sheet1!A2:G""),7,0))"),196.35)</f>
        <v>196.35</v>
      </c>
      <c r="L1179" s="62">
        <f t="shared" si="150"/>
        <v>3.717850777</v>
      </c>
      <c r="M1179" s="60">
        <f>IFERROR(__xludf.DUMMYFUNCTION("IFERROR(VLOOKUP(C1179,IMPORTRANGE(""https://docs.google.com/spreadsheets/d/1HZUHB8NvANAZR0sHDmHYVAm2WE9kNv0pGIQA48Ryim8/edit?gid=1285727875#gid=1285727875"",""Cost!A2:G""),7,0))"),200.0)</f>
        <v>200</v>
      </c>
      <c r="N1179" s="62">
        <f t="shared" si="4"/>
        <v>3.65</v>
      </c>
      <c r="O1179" s="28"/>
      <c r="P1179" s="28"/>
      <c r="Q1179" s="28"/>
      <c r="R1179" s="28"/>
      <c r="S1179" s="28"/>
      <c r="T1179" s="28"/>
      <c r="U1179" s="65"/>
      <c r="V1179" s="28"/>
      <c r="W1179" s="65"/>
      <c r="X1179" s="77"/>
      <c r="Y1179" s="28"/>
    </row>
    <row r="1180">
      <c r="A1180" s="18" t="s">
        <v>1328</v>
      </c>
      <c r="B1180" s="91" t="str">
        <f t="shared" si="148"/>
        <v>452</v>
      </c>
      <c r="C1180" s="91" t="s">
        <v>804</v>
      </c>
      <c r="D1180" s="48" t="s">
        <v>805</v>
      </c>
      <c r="E1180" s="39">
        <v>780.0</v>
      </c>
      <c r="F1180" s="39">
        <v>780.0</v>
      </c>
      <c r="G1180" s="50">
        <f t="shared" si="149"/>
        <v>0</v>
      </c>
      <c r="H1180" s="28"/>
      <c r="I1180" s="55">
        <f t="shared" si="2"/>
        <v>821.2565185</v>
      </c>
      <c r="J1180" s="81"/>
      <c r="K1180" s="60">
        <f>IFERROR(__xludf.DUMMYFUNCTION("IFERROR(VLOOKUP(C1180,IMPORTRANGE(""https://docs.google.com/spreadsheets/d/1HZUHB8NvANAZR0sHDmHYVAm2WE9kNv0pGIQA48Ryim8/edit?gid=1285727875#gid=1285727875"",""Sheet1!A2:G""),7,0))"),201.35)</f>
        <v>201.35</v>
      </c>
      <c r="L1180" s="62">
        <f t="shared" si="150"/>
        <v>3.873851502</v>
      </c>
      <c r="M1180" s="60">
        <f>IFERROR(__xludf.DUMMYFUNCTION("IFERROR(VLOOKUP(C1180,IMPORTRANGE(""https://docs.google.com/spreadsheets/d/1HZUHB8NvANAZR0sHDmHYVAm2WE9kNv0pGIQA48Ryim8/edit?gid=1285727875#gid=1285727875"",""Cost!A2:G""),7,0))"),212.0)</f>
        <v>212</v>
      </c>
      <c r="N1180" s="62">
        <f t="shared" si="4"/>
        <v>3.679245283</v>
      </c>
      <c r="O1180" s="28"/>
      <c r="P1180" s="28"/>
      <c r="Q1180" s="28"/>
      <c r="R1180" s="28"/>
      <c r="S1180" s="28"/>
      <c r="T1180" s="28"/>
      <c r="U1180" s="65"/>
      <c r="V1180" s="28"/>
      <c r="W1180" s="65"/>
      <c r="X1180" s="77"/>
      <c r="Y1180" s="28"/>
    </row>
    <row r="1181">
      <c r="A1181" s="18" t="s">
        <v>1328</v>
      </c>
      <c r="B1181" s="91" t="str">
        <f t="shared" si="148"/>
        <v>453</v>
      </c>
      <c r="C1181" s="91" t="s">
        <v>806</v>
      </c>
      <c r="D1181" s="48" t="s">
        <v>807</v>
      </c>
      <c r="E1181" s="39">
        <v>430.0</v>
      </c>
      <c r="F1181" s="39">
        <v>430.0</v>
      </c>
      <c r="G1181" s="50">
        <f t="shared" si="149"/>
        <v>0</v>
      </c>
      <c r="H1181" s="28"/>
      <c r="I1181" s="55">
        <f t="shared" si="2"/>
        <v>468.7925865</v>
      </c>
      <c r="J1181" s="81"/>
      <c r="K1181" s="60">
        <f>IFERROR(__xludf.DUMMYFUNCTION("IFERROR(VLOOKUP(C1181,IMPORTRANGE(""https://docs.google.com/spreadsheets/d/1HZUHB8NvANAZR0sHDmHYVAm2WE9kNv0pGIQA48Ryim8/edit?gid=1285727875#gid=1285727875"",""Sheet1!A2:G""),7,0))"),110.07)</f>
        <v>110.07</v>
      </c>
      <c r="L1181" s="62">
        <f t="shared" si="150"/>
        <v>3.906604888</v>
      </c>
      <c r="M1181" s="60">
        <f>IFERROR(__xludf.DUMMYFUNCTION("IFERROR(VLOOKUP(C1181,IMPORTRANGE(""https://docs.google.com/spreadsheets/d/1HZUHB8NvANAZR0sHDmHYVAm2WE9kNv0pGIQA48Ryim8/edit?gid=1285727875#gid=1285727875"",""Cost!A2:G""),7,0))"),120.0)</f>
        <v>120</v>
      </c>
      <c r="N1181" s="62">
        <f t="shared" si="4"/>
        <v>3.583333333</v>
      </c>
      <c r="O1181" s="28"/>
      <c r="P1181" s="28"/>
      <c r="Q1181" s="28"/>
      <c r="R1181" s="28"/>
      <c r="S1181" s="28"/>
      <c r="T1181" s="28"/>
      <c r="U1181" s="65"/>
      <c r="V1181" s="28"/>
      <c r="W1181" s="65"/>
      <c r="X1181" s="77"/>
      <c r="Y1181" s="28"/>
    </row>
    <row r="1182">
      <c r="A1182" s="18" t="s">
        <v>1328</v>
      </c>
      <c r="B1182" s="91" t="str">
        <f t="shared" si="148"/>
        <v>BEA-195A</v>
      </c>
      <c r="C1182" s="46" t="s">
        <v>835</v>
      </c>
      <c r="D1182" s="48" t="s">
        <v>836</v>
      </c>
      <c r="E1182" s="39">
        <v>1060.0</v>
      </c>
      <c r="F1182" s="39">
        <v>1060.0</v>
      </c>
      <c r="G1182" s="50">
        <f t="shared" si="149"/>
        <v>0</v>
      </c>
      <c r="H1182" s="28"/>
      <c r="I1182" s="55">
        <f t="shared" si="2"/>
        <v>1081.753953</v>
      </c>
      <c r="J1182" s="81"/>
      <c r="K1182" s="60">
        <f>IFERROR(__xludf.DUMMYFUNCTION("IFERROR(VLOOKUP(C1182,IMPORTRANGE(""https://docs.google.com/spreadsheets/d/1HZUHB8NvANAZR0sHDmHYVAm2WE9kNv0pGIQA48Ryim8/edit?gid=1285727875#gid=1285727875"",""Sheet1!A2:G""),7,0))"),267.51)</f>
        <v>267.51</v>
      </c>
      <c r="L1182" s="62">
        <f t="shared" si="150"/>
        <v>3.962468693</v>
      </c>
      <c r="M1182" s="60">
        <f>IFERROR(__xludf.DUMMYFUNCTION("IFERROR(VLOOKUP(C1182,IMPORTRANGE(""https://docs.google.com/spreadsheets/d/1HZUHB8NvANAZR0sHDmHYVAm2WE9kNv0pGIQA48Ryim8/edit?gid=1285727875#gid=1285727875"",""Cost!A2:G""),7,0))"),273.0)</f>
        <v>273</v>
      </c>
      <c r="N1182" s="62">
        <f t="shared" si="4"/>
        <v>3.882783883</v>
      </c>
      <c r="O1182" s="28"/>
      <c r="P1182" s="28"/>
      <c r="Q1182" s="28"/>
      <c r="R1182" s="28"/>
      <c r="S1182" s="28"/>
      <c r="T1182" s="28"/>
      <c r="U1182" s="65"/>
      <c r="V1182" s="28"/>
      <c r="W1182" s="65"/>
      <c r="X1182" s="77"/>
      <c r="Y1182" s="28"/>
    </row>
    <row r="1183">
      <c r="A1183" s="18" t="s">
        <v>1328</v>
      </c>
      <c r="B1183" s="91" t="str">
        <f t="shared" si="148"/>
        <v>BEA-101A</v>
      </c>
      <c r="C1183" s="46" t="s">
        <v>839</v>
      </c>
      <c r="D1183" s="48" t="s">
        <v>840</v>
      </c>
      <c r="E1183" s="39">
        <v>990.0</v>
      </c>
      <c r="F1183" s="39">
        <v>990.0</v>
      </c>
      <c r="G1183" s="50">
        <f t="shared" si="149"/>
        <v>0</v>
      </c>
      <c r="H1183" s="28"/>
      <c r="I1183" s="55">
        <f t="shared" si="2"/>
        <v>1062.206619</v>
      </c>
      <c r="J1183" s="81"/>
      <c r="K1183" s="60">
        <f>IFERROR(__xludf.DUMMYFUNCTION("IFERROR(VLOOKUP(C1183,IMPORTRANGE(""https://docs.google.com/spreadsheets/d/1HZUHB8NvANAZR0sHDmHYVAm2WE9kNv0pGIQA48Ryim8/edit?gid=1285727875#gid=1285727875"",""Sheet1!A2:G""),7,0))"),253.51)</f>
        <v>253.51</v>
      </c>
      <c r="L1183" s="62">
        <f t="shared" si="150"/>
        <v>3.905171394</v>
      </c>
      <c r="M1183" s="60">
        <f>IFERROR(__xludf.DUMMYFUNCTION("IFERROR(VLOOKUP(C1183,IMPORTRANGE(""https://docs.google.com/spreadsheets/d/1HZUHB8NvANAZR0sHDmHYVAm2WE9kNv0pGIQA48Ryim8/edit?gid=1285727875#gid=1285727875"",""Cost!A2:G""),7,0))"),272.0)</f>
        <v>272</v>
      </c>
      <c r="N1183" s="62">
        <f t="shared" si="4"/>
        <v>3.639705882</v>
      </c>
      <c r="O1183" s="28"/>
      <c r="P1183" s="28"/>
      <c r="Q1183" s="28"/>
      <c r="R1183" s="28"/>
      <c r="S1183" s="28"/>
      <c r="T1183" s="28"/>
      <c r="U1183" s="65"/>
      <c r="V1183" s="28"/>
      <c r="W1183" s="65"/>
      <c r="X1183" s="77"/>
      <c r="Y1183" s="28"/>
    </row>
    <row r="1184">
      <c r="A1184" s="18" t="s">
        <v>1328</v>
      </c>
      <c r="B1184" s="91" t="str">
        <f t="shared" si="148"/>
        <v>BEA-102A</v>
      </c>
      <c r="C1184" s="46" t="s">
        <v>841</v>
      </c>
      <c r="D1184" s="48" t="s">
        <v>842</v>
      </c>
      <c r="E1184" s="39">
        <v>910.0</v>
      </c>
      <c r="F1184" s="39">
        <v>910.0</v>
      </c>
      <c r="G1184" s="50">
        <f t="shared" si="149"/>
        <v>0</v>
      </c>
      <c r="H1184" s="28"/>
      <c r="I1184" s="55">
        <f t="shared" si="2"/>
        <v>1002.73307</v>
      </c>
      <c r="J1184" s="81"/>
      <c r="K1184" s="60">
        <f>IFERROR(__xludf.DUMMYFUNCTION("IFERROR(VLOOKUP(C1184,IMPORTRANGE(""https://docs.google.com/spreadsheets/d/1HZUHB8NvANAZR0sHDmHYVAm2WE9kNv0pGIQA48Ryim8/edit?gid=1285727875#gid=1285727875"",""Sheet1!A2:G""),7,0))"),230.51)</f>
        <v>230.51</v>
      </c>
      <c r="L1184" s="62">
        <f t="shared" si="150"/>
        <v>3.947767993</v>
      </c>
      <c r="M1184" s="60">
        <f>IFERROR(__xludf.DUMMYFUNCTION("IFERROR(VLOOKUP(C1184,IMPORTRANGE(""https://docs.google.com/spreadsheets/d/1HZUHB8NvANAZR0sHDmHYVAm2WE9kNv0pGIQA48Ryim8/edit?gid=1285727875#gid=1285727875"",""Cost!A2:G""),7,0))"),254.0)</f>
        <v>254</v>
      </c>
      <c r="N1184" s="62">
        <f t="shared" si="4"/>
        <v>3.582677165</v>
      </c>
      <c r="O1184" s="28"/>
      <c r="P1184" s="28"/>
      <c r="Q1184" s="28"/>
      <c r="R1184" s="28"/>
      <c r="S1184" s="28"/>
      <c r="T1184" s="28"/>
      <c r="U1184" s="65"/>
      <c r="V1184" s="28"/>
      <c r="W1184" s="65"/>
      <c r="X1184" s="77"/>
      <c r="Y1184" s="28"/>
    </row>
    <row r="1185">
      <c r="A1185" s="18" t="s">
        <v>1328</v>
      </c>
      <c r="B1185" s="91" t="str">
        <f t="shared" si="148"/>
        <v>BEA-10</v>
      </c>
      <c r="C1185" s="46" t="s">
        <v>537</v>
      </c>
      <c r="D1185" s="48" t="s">
        <v>538</v>
      </c>
      <c r="E1185" s="39">
        <v>570.0</v>
      </c>
      <c r="F1185" s="39">
        <v>690.0</v>
      </c>
      <c r="G1185" s="50">
        <f t="shared" si="149"/>
        <v>0.2105263158</v>
      </c>
      <c r="H1185" s="28"/>
      <c r="I1185" s="55">
        <f t="shared" si="2"/>
        <v>764.7798742</v>
      </c>
      <c r="J1185" s="81"/>
      <c r="K1185" s="60">
        <f>IFERROR(__xludf.DUMMYFUNCTION("IFERROR(VLOOKUP(C1185,IMPORTRANGE(""https://docs.google.com/spreadsheets/d/1HZUHB8NvANAZR0sHDmHYVAm2WE9kNv0pGIQA48Ryim8/edit?gid=1285727875#gid=1285727875"",""Sheet1!A2:G""),7,0))"),143.1)</f>
        <v>143.1</v>
      </c>
      <c r="L1185" s="62">
        <f t="shared" si="150"/>
        <v>3.983228512</v>
      </c>
      <c r="M1185" s="60">
        <f>IFERROR(__xludf.DUMMYFUNCTION("IFERROR(VLOOKUP(C1185,IMPORTRANGE(""https://docs.google.com/spreadsheets/d/1HZUHB8NvANAZR0sHDmHYVAm2WE9kNv0pGIQA48Ryim8/edit?gid=1285727875#gid=1285727875"",""Cost!A2:G""),7,0))"),192.0)</f>
        <v>192</v>
      </c>
      <c r="N1185" s="62">
        <f t="shared" si="4"/>
        <v>3.59375</v>
      </c>
      <c r="O1185" s="28"/>
      <c r="P1185" s="28"/>
      <c r="Q1185" s="28"/>
      <c r="R1185" s="28"/>
      <c r="S1185" s="28"/>
      <c r="T1185" s="28"/>
      <c r="U1185" s="65"/>
      <c r="V1185" s="28"/>
      <c r="W1185" s="65"/>
      <c r="X1185" s="77"/>
      <c r="Y1185" s="28"/>
    </row>
    <row r="1186">
      <c r="A1186" s="18" t="s">
        <v>1328</v>
      </c>
      <c r="B1186" s="91" t="str">
        <f t="shared" si="148"/>
        <v>BEA-10S</v>
      </c>
      <c r="C1186" s="46" t="s">
        <v>539</v>
      </c>
      <c r="D1186" s="48" t="s">
        <v>540</v>
      </c>
      <c r="E1186" s="39">
        <v>290.0</v>
      </c>
      <c r="F1186" s="39">
        <v>290.0</v>
      </c>
      <c r="G1186" s="50">
        <f t="shared" si="149"/>
        <v>0</v>
      </c>
      <c r="H1186" s="28"/>
      <c r="I1186" s="55">
        <f t="shared" si="2"/>
        <v>289.3521966</v>
      </c>
      <c r="J1186" s="81"/>
      <c r="K1186" s="60">
        <f>IFERROR(__xludf.DUMMYFUNCTION("IFERROR(VLOOKUP(C1186,IMPORTRANGE(""https://docs.google.com/spreadsheets/d/1HZUHB8NvANAZR0sHDmHYVAm2WE9kNv0pGIQA48Ryim8/edit?gid=1285727875#gid=1285727875"",""Sheet1!A2:G""),7,0))"),67.15)</f>
        <v>67.15</v>
      </c>
      <c r="L1186" s="62">
        <f t="shared" si="150"/>
        <v>4.318689501</v>
      </c>
      <c r="M1186" s="60">
        <f>IFERROR(__xludf.DUMMYFUNCTION("IFERROR(VLOOKUP(C1186,IMPORTRANGE(""https://docs.google.com/spreadsheets/d/1HZUHB8NvANAZR0sHDmHYVAm2WE9kNv0pGIQA48Ryim8/edit?gid=1285727875#gid=1285727875"",""Cost!A2:G""),7,0))"),67.0)</f>
        <v>67</v>
      </c>
      <c r="N1186" s="62">
        <f t="shared" si="4"/>
        <v>4.328358209</v>
      </c>
      <c r="O1186" s="28"/>
      <c r="P1186" s="28"/>
      <c r="Q1186" s="28"/>
      <c r="R1186" s="28"/>
      <c r="S1186" s="28"/>
      <c r="T1186" s="28"/>
      <c r="U1186" s="65"/>
      <c r="V1186" s="28"/>
      <c r="W1186" s="65"/>
      <c r="X1186" s="77"/>
      <c r="Y1186" s="28"/>
    </row>
    <row r="1187">
      <c r="A1187" s="18" t="s">
        <v>1328</v>
      </c>
      <c r="B1187" s="91" t="str">
        <f t="shared" si="148"/>
        <v>BEA-11</v>
      </c>
      <c r="C1187" s="46" t="s">
        <v>542</v>
      </c>
      <c r="D1187" s="48" t="s">
        <v>543</v>
      </c>
      <c r="E1187" s="39">
        <v>570.0</v>
      </c>
      <c r="F1187" s="39">
        <v>690.0</v>
      </c>
      <c r="G1187" s="50">
        <f t="shared" si="149"/>
        <v>0.2105263158</v>
      </c>
      <c r="H1187" s="28"/>
      <c r="I1187" s="55">
        <f t="shared" si="2"/>
        <v>642.1404682</v>
      </c>
      <c r="J1187" s="81"/>
      <c r="K1187" s="60">
        <f>IFERROR(__xludf.DUMMYFUNCTION("IFERROR(VLOOKUP(C1187,IMPORTRANGE(""https://docs.google.com/spreadsheets/d/1HZUHB8NvANAZR0sHDmHYVAm2WE9kNv0pGIQA48Ryim8/edit?gid=1285727875#gid=1285727875"",""Sheet1!A2:G""),7,0))"),170.43)</f>
        <v>170.43</v>
      </c>
      <c r="L1187" s="62">
        <f t="shared" si="150"/>
        <v>3.344481605</v>
      </c>
      <c r="M1187" s="60">
        <f>IFERROR(__xludf.DUMMYFUNCTION("IFERROR(VLOOKUP(C1187,IMPORTRANGE(""https://docs.google.com/spreadsheets/d/1HZUHB8NvANAZR0sHDmHYVAm2WE9kNv0pGIQA48Ryim8/edit?gid=1285727875#gid=1285727875"",""Cost!A2:G""),7,0))"),192.0)</f>
        <v>192</v>
      </c>
      <c r="N1187" s="62">
        <f t="shared" si="4"/>
        <v>3.59375</v>
      </c>
      <c r="O1187" s="28"/>
      <c r="P1187" s="28"/>
      <c r="Q1187" s="28"/>
      <c r="R1187" s="28"/>
      <c r="S1187" s="28"/>
      <c r="T1187" s="28"/>
      <c r="U1187" s="65"/>
      <c r="V1187" s="28"/>
      <c r="W1187" s="65"/>
      <c r="X1187" s="77"/>
      <c r="Y1187" s="28"/>
    </row>
    <row r="1188">
      <c r="A1188" s="18" t="s">
        <v>1328</v>
      </c>
      <c r="B1188" s="91" t="str">
        <f t="shared" si="148"/>
        <v>BEA-11S</v>
      </c>
      <c r="C1188" s="46" t="s">
        <v>544</v>
      </c>
      <c r="D1188" s="48" t="s">
        <v>545</v>
      </c>
      <c r="E1188" s="39">
        <v>290.0</v>
      </c>
      <c r="F1188" s="39">
        <v>310.0</v>
      </c>
      <c r="G1188" s="50">
        <f t="shared" si="149"/>
        <v>0.06896551724</v>
      </c>
      <c r="H1188" s="28"/>
      <c r="I1188" s="55">
        <f t="shared" si="2"/>
        <v>315.2643336</v>
      </c>
      <c r="J1188" s="81"/>
      <c r="K1188" s="60">
        <f>IFERROR(__xludf.DUMMYFUNCTION("IFERROR(VLOOKUP(C1188,IMPORTRANGE(""https://docs.google.com/spreadsheets/d/1HZUHB8NvANAZR0sHDmHYVAm2WE9kNv0pGIQA48Ryim8/edit?gid=1285727875#gid=1285727875"",""Sheet1!A2:G""),7,0))"),67.15)</f>
        <v>67.15</v>
      </c>
      <c r="L1188" s="62">
        <f t="shared" si="150"/>
        <v>4.318689501</v>
      </c>
      <c r="M1188" s="60">
        <f>IFERROR(__xludf.DUMMYFUNCTION("IFERROR(VLOOKUP(C1188,IMPORTRANGE(""https://docs.google.com/spreadsheets/d/1HZUHB8NvANAZR0sHDmHYVAm2WE9kNv0pGIQA48Ryim8/edit?gid=1285727875#gid=1285727875"",""Cost!A2:G""),7,0))"),73.0)</f>
        <v>73</v>
      </c>
      <c r="N1188" s="62">
        <f t="shared" si="4"/>
        <v>4.246575342</v>
      </c>
      <c r="O1188" s="28"/>
      <c r="P1188" s="28"/>
      <c r="Q1188" s="28"/>
      <c r="R1188" s="28"/>
      <c r="S1188" s="28"/>
      <c r="T1188" s="28"/>
      <c r="U1188" s="65"/>
      <c r="V1188" s="28"/>
      <c r="W1188" s="65"/>
      <c r="X1188" s="77"/>
      <c r="Y1188" s="28"/>
    </row>
    <row r="1189">
      <c r="A1189" s="18" t="s">
        <v>1328</v>
      </c>
      <c r="B1189" s="91" t="str">
        <f t="shared" si="148"/>
        <v>BEA-13</v>
      </c>
      <c r="C1189" s="46" t="s">
        <v>547</v>
      </c>
      <c r="D1189" s="48" t="s">
        <v>548</v>
      </c>
      <c r="E1189" s="39">
        <v>1090.0</v>
      </c>
      <c r="F1189" s="39">
        <v>1190.0</v>
      </c>
      <c r="G1189" s="50">
        <f t="shared" si="149"/>
        <v>0.09174311927</v>
      </c>
      <c r="H1189" s="28"/>
      <c r="I1189" s="55">
        <f t="shared" si="2"/>
        <v>1181.610867</v>
      </c>
      <c r="J1189" s="81"/>
      <c r="K1189" s="60">
        <f>IFERROR(__xludf.DUMMYFUNCTION("IFERROR(VLOOKUP(C1189,IMPORTRANGE(""https://docs.google.com/spreadsheets/d/1HZUHB8NvANAZR0sHDmHYVAm2WE9kNv0pGIQA48Ryim8/edit?gid=1285727875#gid=1285727875"",""Sheet1!A2:G""),7,0))"),302.57)</f>
        <v>302.57</v>
      </c>
      <c r="L1189" s="62">
        <f t="shared" si="150"/>
        <v>3.602472155</v>
      </c>
      <c r="M1189" s="60">
        <f>IFERROR(__xludf.DUMMYFUNCTION("IFERROR(VLOOKUP(C1189,IMPORTRANGE(""https://docs.google.com/spreadsheets/d/1HZUHB8NvANAZR0sHDmHYVAm2WE9kNv0pGIQA48Ryim8/edit?gid=1285727875#gid=1285727875"",""Cost!A2:G""),7,0))"),328.0)</f>
        <v>328</v>
      </c>
      <c r="N1189" s="62">
        <f t="shared" si="4"/>
        <v>3.62804878</v>
      </c>
      <c r="O1189" s="28"/>
      <c r="P1189" s="28"/>
      <c r="Q1189" s="28"/>
      <c r="R1189" s="28"/>
      <c r="S1189" s="28"/>
      <c r="T1189" s="28"/>
      <c r="U1189" s="65"/>
      <c r="V1189" s="28"/>
      <c r="W1189" s="65"/>
      <c r="X1189" s="77"/>
      <c r="Y1189" s="28"/>
    </row>
    <row r="1190">
      <c r="A1190" s="18" t="s">
        <v>1328</v>
      </c>
      <c r="B1190" s="91" t="str">
        <f t="shared" si="148"/>
        <v>BEA-13L</v>
      </c>
      <c r="C1190" s="46" t="s">
        <v>550</v>
      </c>
      <c r="D1190" s="48" t="s">
        <v>551</v>
      </c>
      <c r="E1190" s="39">
        <v>1590.0</v>
      </c>
      <c r="F1190" s="39">
        <v>1590.0</v>
      </c>
      <c r="G1190" s="50">
        <f t="shared" si="149"/>
        <v>0</v>
      </c>
      <c r="H1190" s="28"/>
      <c r="I1190" s="55">
        <f t="shared" si="2"/>
        <v>1589.223772</v>
      </c>
      <c r="J1190" s="81"/>
      <c r="K1190" s="60">
        <f>IFERROR(__xludf.DUMMYFUNCTION("IFERROR(VLOOKUP(C1190,IMPORTRANGE(""https://docs.google.com/spreadsheets/d/1HZUHB8NvANAZR0sHDmHYVAm2WE9kNv0pGIQA48Ryim8/edit?gid=1285727875#gid=1285727875"",""Sheet1!A2:G""),7,0))"),389.19)</f>
        <v>389.19</v>
      </c>
      <c r="L1190" s="62">
        <f t="shared" si="150"/>
        <v>4.085408155</v>
      </c>
      <c r="M1190" s="60">
        <f>IFERROR(__xludf.DUMMYFUNCTION("IFERROR(VLOOKUP(C1190,IMPORTRANGE(""https://docs.google.com/spreadsheets/d/1HZUHB8NvANAZR0sHDmHYVAm2WE9kNv0pGIQA48Ryim8/edit?gid=1285727875#gid=1285727875"",""Cost!A2:G""),7,0))"),389.0)</f>
        <v>389</v>
      </c>
      <c r="N1190" s="62">
        <f t="shared" si="4"/>
        <v>4.087403599</v>
      </c>
      <c r="O1190" s="28"/>
      <c r="P1190" s="28"/>
      <c r="Q1190" s="28"/>
      <c r="R1190" s="28"/>
      <c r="S1190" s="28"/>
      <c r="T1190" s="28"/>
      <c r="U1190" s="65"/>
      <c r="V1190" s="28"/>
      <c r="W1190" s="65"/>
      <c r="X1190" s="77"/>
      <c r="Y1190" s="28"/>
    </row>
    <row r="1191">
      <c r="A1191" s="18" t="s">
        <v>1328</v>
      </c>
      <c r="B1191" s="91" t="str">
        <f t="shared" si="148"/>
        <v>BEA-13LL</v>
      </c>
      <c r="C1191" s="46" t="s">
        <v>553</v>
      </c>
      <c r="D1191" s="48" t="s">
        <v>554</v>
      </c>
      <c r="E1191" s="39">
        <v>2140.0</v>
      </c>
      <c r="F1191" s="39">
        <v>2140.0</v>
      </c>
      <c r="G1191" s="50">
        <f t="shared" si="149"/>
        <v>0</v>
      </c>
      <c r="H1191" s="28"/>
      <c r="I1191" s="55">
        <f t="shared" si="2"/>
        <v>2141.773443</v>
      </c>
      <c r="J1191" s="81"/>
      <c r="K1191" s="60">
        <f>IFERROR(__xludf.DUMMYFUNCTION("IFERROR(VLOOKUP(C1191,IMPORTRANGE(""https://docs.google.com/spreadsheets/d/1HZUHB8NvANAZR0sHDmHYVAm2WE9kNv0pGIQA48Ryim8/edit?gid=1285727875#gid=1285727875"",""Sheet1!A2:G""),7,0))"),627.48)</f>
        <v>627.48</v>
      </c>
      <c r="L1191" s="62">
        <f t="shared" si="150"/>
        <v>3.410467266</v>
      </c>
      <c r="M1191" s="60">
        <f>IFERROR(__xludf.DUMMYFUNCTION("IFERROR(VLOOKUP(C1191,IMPORTRANGE(""https://docs.google.com/spreadsheets/d/1HZUHB8NvANAZR0sHDmHYVAm2WE9kNv0pGIQA48Ryim8/edit?gid=1285727875#gid=1285727875"",""Cost!A2:G""),7,0))"),628.0)</f>
        <v>628</v>
      </c>
      <c r="N1191" s="62">
        <f t="shared" si="4"/>
        <v>3.407643312</v>
      </c>
      <c r="O1191" s="28"/>
      <c r="P1191" s="28"/>
      <c r="Q1191" s="28"/>
      <c r="R1191" s="28"/>
      <c r="S1191" s="28"/>
      <c r="T1191" s="28"/>
      <c r="U1191" s="65"/>
      <c r="V1191" s="28"/>
      <c r="W1191" s="65"/>
      <c r="X1191" s="77"/>
      <c r="Y1191" s="28"/>
    </row>
    <row r="1192">
      <c r="A1192" s="18" t="s">
        <v>1328</v>
      </c>
      <c r="B1192" s="91" t="str">
        <f t="shared" si="148"/>
        <v>BEA-14</v>
      </c>
      <c r="C1192" s="46" t="s">
        <v>567</v>
      </c>
      <c r="D1192" s="48" t="s">
        <v>568</v>
      </c>
      <c r="E1192" s="39">
        <v>670.0</v>
      </c>
      <c r="F1192" s="39">
        <v>670.0</v>
      </c>
      <c r="G1192" s="50">
        <f t="shared" si="149"/>
        <v>0</v>
      </c>
      <c r="H1192" s="28"/>
      <c r="I1192" s="55">
        <f t="shared" si="2"/>
        <v>668.6796771</v>
      </c>
      <c r="J1192" s="81"/>
      <c r="K1192" s="60">
        <f>IFERROR(__xludf.DUMMYFUNCTION("IFERROR(VLOOKUP(C1192,IMPORTRANGE(""https://docs.google.com/spreadsheets/d/1HZUHB8NvANAZR0sHDmHYVAm2WE9kNv0pGIQA48Ryim8/edit?gid=1285727875#gid=1285727875"",""Sheet1!A2:G""),7,0))"),157.31)</f>
        <v>157.31</v>
      </c>
      <c r="L1192" s="62">
        <f t="shared" si="150"/>
        <v>4.259106223</v>
      </c>
      <c r="M1192" s="60">
        <f>IFERROR(__xludf.DUMMYFUNCTION("IFERROR(VLOOKUP(C1192,IMPORTRANGE(""https://docs.google.com/spreadsheets/d/1HZUHB8NvANAZR0sHDmHYVAm2WE9kNv0pGIQA48Ryim8/edit?gid=1285727875#gid=1285727875"",""Cost!A2:G""),7,0))"),157.0)</f>
        <v>157</v>
      </c>
      <c r="N1192" s="62">
        <f t="shared" si="4"/>
        <v>4.267515924</v>
      </c>
      <c r="O1192" s="101"/>
      <c r="P1192" s="28"/>
      <c r="Q1192" s="28"/>
      <c r="R1192" s="28"/>
      <c r="S1192" s="28"/>
      <c r="T1192" s="28"/>
      <c r="U1192" s="65"/>
      <c r="V1192" s="28"/>
      <c r="W1192" s="65"/>
      <c r="X1192" s="77"/>
      <c r="Y1192" s="28"/>
    </row>
    <row r="1193">
      <c r="A1193" s="18" t="s">
        <v>1328</v>
      </c>
      <c r="B1193" s="91" t="str">
        <f t="shared" si="148"/>
        <v>BEA-15</v>
      </c>
      <c r="C1193" s="46" t="s">
        <v>559</v>
      </c>
      <c r="D1193" s="48" t="s">
        <v>560</v>
      </c>
      <c r="E1193" s="39">
        <v>670.0</v>
      </c>
      <c r="F1193" s="39">
        <v>670.0</v>
      </c>
      <c r="G1193" s="50">
        <f t="shared" si="149"/>
        <v>0</v>
      </c>
      <c r="H1193" s="28"/>
      <c r="I1193" s="55">
        <f t="shared" si="2"/>
        <v>668.6796771</v>
      </c>
      <c r="J1193" s="81"/>
      <c r="K1193" s="60">
        <f>IFERROR(__xludf.DUMMYFUNCTION("IFERROR(VLOOKUP(C1193,IMPORTRANGE(""https://docs.google.com/spreadsheets/d/1HZUHB8NvANAZR0sHDmHYVAm2WE9kNv0pGIQA48Ryim8/edit?gid=1285727875#gid=1285727875"",""Sheet1!A2:G""),7,0))"),157.31)</f>
        <v>157.31</v>
      </c>
      <c r="L1193" s="62">
        <f t="shared" si="150"/>
        <v>4.259106223</v>
      </c>
      <c r="M1193" s="60">
        <f>IFERROR(__xludf.DUMMYFUNCTION("IFERROR(VLOOKUP(C1193,IMPORTRANGE(""https://docs.google.com/spreadsheets/d/1HZUHB8NvANAZR0sHDmHYVAm2WE9kNv0pGIQA48Ryim8/edit?gid=1285727875#gid=1285727875"",""Cost!A2:G""),7,0))"),157.0)</f>
        <v>157</v>
      </c>
      <c r="N1193" s="62">
        <f t="shared" si="4"/>
        <v>4.267515924</v>
      </c>
      <c r="O1193" s="101"/>
      <c r="P1193" s="28"/>
      <c r="Q1193" s="28"/>
      <c r="R1193" s="28"/>
      <c r="S1193" s="28"/>
      <c r="T1193" s="28"/>
      <c r="U1193" s="65"/>
      <c r="V1193" s="28"/>
      <c r="W1193" s="65"/>
      <c r="X1193" s="77"/>
      <c r="Y1193" s="28"/>
    </row>
    <row r="1194">
      <c r="A1194" s="18" t="s">
        <v>1328</v>
      </c>
      <c r="B1194" s="91" t="str">
        <f t="shared" si="148"/>
        <v>BEA-16</v>
      </c>
      <c r="C1194" s="46" t="s">
        <v>562</v>
      </c>
      <c r="D1194" s="48" t="s">
        <v>563</v>
      </c>
      <c r="E1194" s="39">
        <v>1280.0</v>
      </c>
      <c r="F1194" s="39">
        <v>1280.0</v>
      </c>
      <c r="G1194" s="50">
        <f t="shared" si="149"/>
        <v>0</v>
      </c>
      <c r="H1194" s="28"/>
      <c r="I1194" s="55">
        <f t="shared" si="2"/>
        <v>1515.56299</v>
      </c>
      <c r="J1194" s="81"/>
      <c r="K1194" s="60">
        <f>IFERROR(__xludf.DUMMYFUNCTION("IFERROR(VLOOKUP(C1194,IMPORTRANGE(""https://docs.google.com/spreadsheets/d/1HZUHB8NvANAZR0sHDmHYVAm2WE9kNv0pGIQA48Ryim8/edit?gid=1285727875#gid=1285727875"",""Sheet1!A2:G""),7,0))"),304.89)</f>
        <v>304.89</v>
      </c>
      <c r="L1194" s="62">
        <f t="shared" si="150"/>
        <v>4.198235429</v>
      </c>
      <c r="M1194" s="60">
        <f>IFERROR(__xludf.DUMMYFUNCTION("IFERROR(VLOOKUP(C1194,IMPORTRANGE(""https://docs.google.com/spreadsheets/d/1HZUHB8NvANAZR0sHDmHYVAm2WE9kNv0pGIQA48Ryim8/edit?gid=1285727875#gid=1285727875"",""Cost!A2:G""),7,0))"),361.0)</f>
        <v>361</v>
      </c>
      <c r="N1194" s="62">
        <f t="shared" si="4"/>
        <v>3.545706371</v>
      </c>
      <c r="O1194" s="28"/>
      <c r="P1194" s="28"/>
      <c r="Q1194" s="28"/>
      <c r="R1194" s="28"/>
      <c r="S1194" s="28"/>
      <c r="T1194" s="28"/>
      <c r="U1194" s="65"/>
      <c r="V1194" s="28"/>
      <c r="W1194" s="65"/>
      <c r="X1194" s="77"/>
      <c r="Y1194" s="28"/>
    </row>
    <row r="1195">
      <c r="A1195" s="18" t="s">
        <v>1328</v>
      </c>
      <c r="B1195" s="91" t="str">
        <f t="shared" si="148"/>
        <v>BEA-16B</v>
      </c>
      <c r="C1195" s="46" t="s">
        <v>565</v>
      </c>
      <c r="D1195" s="48" t="s">
        <v>566</v>
      </c>
      <c r="E1195" s="39">
        <v>1190.0</v>
      </c>
      <c r="F1195" s="39">
        <v>1190.0</v>
      </c>
      <c r="G1195" s="50">
        <f t="shared" si="149"/>
        <v>0</v>
      </c>
      <c r="H1195" s="28"/>
      <c r="I1195" s="55">
        <f t="shared" si="2"/>
        <v>1189.49229</v>
      </c>
      <c r="J1195" s="81"/>
      <c r="K1195" s="60">
        <f>IFERROR(__xludf.DUMMYFUNCTION("IFERROR(VLOOKUP(C1195,IMPORTRANGE(""https://docs.google.com/spreadsheets/d/1HZUHB8NvANAZR0sHDmHYVAm2WE9kNv0pGIQA48Ryim8/edit?gid=1285727875#gid=1285727875"",""Sheet1!A2:G""),7,0))"),328.14)</f>
        <v>328.14</v>
      </c>
      <c r="L1195" s="62">
        <f t="shared" si="150"/>
        <v>3.626500884</v>
      </c>
      <c r="M1195" s="60">
        <f>IFERROR(__xludf.DUMMYFUNCTION("IFERROR(VLOOKUP(C1195,IMPORTRANGE(""https://docs.google.com/spreadsheets/d/1HZUHB8NvANAZR0sHDmHYVAm2WE9kNv0pGIQA48Ryim8/edit?gid=1285727875#gid=1285727875"",""Cost!A2:G""),7,0))"),328.0)</f>
        <v>328</v>
      </c>
      <c r="N1195" s="62">
        <f t="shared" si="4"/>
        <v>3.62804878</v>
      </c>
      <c r="O1195" s="28"/>
      <c r="P1195" s="28"/>
      <c r="Q1195" s="28"/>
      <c r="R1195" s="28"/>
      <c r="S1195" s="28"/>
      <c r="T1195" s="28"/>
      <c r="U1195" s="65"/>
      <c r="V1195" s="28"/>
      <c r="W1195" s="65"/>
      <c r="X1195" s="77"/>
      <c r="Y1195" s="28"/>
    </row>
    <row r="1196">
      <c r="A1196" s="18" t="s">
        <v>1328</v>
      </c>
      <c r="B1196" s="91" t="str">
        <f t="shared" si="148"/>
        <v>BEA-17</v>
      </c>
      <c r="C1196" s="46" t="s">
        <v>576</v>
      </c>
      <c r="D1196" s="48" t="s">
        <v>577</v>
      </c>
      <c r="E1196" s="39">
        <v>560.0</v>
      </c>
      <c r="F1196" s="39">
        <v>560.0</v>
      </c>
      <c r="G1196" s="50">
        <f t="shared" si="149"/>
        <v>0</v>
      </c>
      <c r="H1196" s="28"/>
      <c r="I1196" s="55">
        <f t="shared" si="2"/>
        <v>595.7446809</v>
      </c>
      <c r="J1196" s="81"/>
      <c r="K1196" s="60">
        <f>IFERROR(__xludf.DUMMYFUNCTION("IFERROR(VLOOKUP(C1196,IMPORTRANGE(""https://docs.google.com/spreadsheets/d/1HZUHB8NvANAZR0sHDmHYVAm2WE9kNv0pGIQA48Ryim8/edit?gid=1285727875#gid=1285727875"",""Sheet1!A2:G""),7,0))"),134.42)</f>
        <v>134.42</v>
      </c>
      <c r="L1196" s="62">
        <f t="shared" si="150"/>
        <v>4.166046719</v>
      </c>
      <c r="M1196" s="60">
        <f>IFERROR(__xludf.DUMMYFUNCTION("IFERROR(VLOOKUP(C1196,IMPORTRANGE(""https://docs.google.com/spreadsheets/d/1HZUHB8NvANAZR0sHDmHYVAm2WE9kNv0pGIQA48Ryim8/edit?gid=1285727875#gid=1285727875"",""Cost!A2:G""),7,0))"),143.0)</f>
        <v>143</v>
      </c>
      <c r="N1196" s="62">
        <f t="shared" si="4"/>
        <v>3.916083916</v>
      </c>
      <c r="O1196" s="28"/>
      <c r="P1196" s="28"/>
      <c r="Q1196" s="28"/>
      <c r="R1196" s="28"/>
      <c r="S1196" s="28"/>
      <c r="T1196" s="28"/>
      <c r="U1196" s="65"/>
      <c r="V1196" s="28"/>
      <c r="W1196" s="65"/>
      <c r="X1196" s="77"/>
      <c r="Y1196" s="28"/>
    </row>
    <row r="1197">
      <c r="A1197" s="18" t="s">
        <v>1328</v>
      </c>
      <c r="B1197" s="91" t="str">
        <f t="shared" si="148"/>
        <v>BEA-18</v>
      </c>
      <c r="C1197" s="46" t="s">
        <v>570</v>
      </c>
      <c r="D1197" s="48" t="s">
        <v>571</v>
      </c>
      <c r="E1197" s="39">
        <v>560.0</v>
      </c>
      <c r="F1197" s="39">
        <v>560.0</v>
      </c>
      <c r="G1197" s="50">
        <f t="shared" si="149"/>
        <v>0</v>
      </c>
      <c r="H1197" s="28"/>
      <c r="I1197" s="55">
        <f t="shared" si="2"/>
        <v>595.7446809</v>
      </c>
      <c r="J1197" s="81"/>
      <c r="K1197" s="60">
        <f>IFERROR(__xludf.DUMMYFUNCTION("IFERROR(VLOOKUP(C1197,IMPORTRANGE(""https://docs.google.com/spreadsheets/d/1HZUHB8NvANAZR0sHDmHYVAm2WE9kNv0pGIQA48Ryim8/edit?gid=1285727875#gid=1285727875"",""Sheet1!A2:G""),7,0))"),134.42)</f>
        <v>134.42</v>
      </c>
      <c r="L1197" s="62">
        <f t="shared" si="150"/>
        <v>4.166046719</v>
      </c>
      <c r="M1197" s="60">
        <f>IFERROR(__xludf.DUMMYFUNCTION("IFERROR(VLOOKUP(C1197,IMPORTRANGE(""https://docs.google.com/spreadsheets/d/1HZUHB8NvANAZR0sHDmHYVAm2WE9kNv0pGIQA48Ryim8/edit?gid=1285727875#gid=1285727875"",""Cost!A2:G""),7,0))"),143.0)</f>
        <v>143</v>
      </c>
      <c r="N1197" s="62">
        <f t="shared" si="4"/>
        <v>3.916083916</v>
      </c>
      <c r="O1197" s="28"/>
      <c r="P1197" s="28"/>
      <c r="Q1197" s="28"/>
      <c r="R1197" s="28"/>
      <c r="S1197" s="28"/>
      <c r="T1197" s="28"/>
      <c r="U1197" s="65"/>
      <c r="V1197" s="28"/>
      <c r="W1197" s="65"/>
      <c r="X1197" s="77"/>
      <c r="Y1197" s="28"/>
    </row>
    <row r="1198">
      <c r="A1198" s="18" t="s">
        <v>1328</v>
      </c>
      <c r="B1198" s="91" t="str">
        <f t="shared" si="148"/>
        <v>BEA-17B</v>
      </c>
      <c r="C1198" s="46" t="s">
        <v>579</v>
      </c>
      <c r="D1198" s="48" t="s">
        <v>574</v>
      </c>
      <c r="E1198" s="39">
        <v>590.0</v>
      </c>
      <c r="F1198" s="39">
        <v>590.0</v>
      </c>
      <c r="G1198" s="50">
        <f t="shared" si="149"/>
        <v>0</v>
      </c>
      <c r="H1198" s="28"/>
      <c r="I1198" s="55">
        <f t="shared" si="2"/>
        <v>596.7345759</v>
      </c>
      <c r="J1198" s="81"/>
      <c r="K1198" s="60">
        <f>IFERROR(__xludf.DUMMYFUNCTION("IFERROR(VLOOKUP(C1198,IMPORTRANGE(""https://docs.google.com/spreadsheets/d/1HZUHB8NvANAZR0sHDmHYVAm2WE9kNv0pGIQA48Ryim8/edit?gid=1285727875#gid=1285727875"",""Sheet1!A2:G""),7,0))"),138.42)</f>
        <v>138.42</v>
      </c>
      <c r="L1198" s="62">
        <f t="shared" si="150"/>
        <v>4.262389828</v>
      </c>
      <c r="M1198" s="60">
        <f>IFERROR(__xludf.DUMMYFUNCTION("IFERROR(VLOOKUP(C1198,IMPORTRANGE(""https://docs.google.com/spreadsheets/d/1HZUHB8NvANAZR0sHDmHYVAm2WE9kNv0pGIQA48Ryim8/edit?gid=1285727875#gid=1285727875"",""Cost!A2:G""),7,0))"),140.0)</f>
        <v>140</v>
      </c>
      <c r="N1198" s="62">
        <f t="shared" si="4"/>
        <v>4.214285714</v>
      </c>
      <c r="O1198" s="28"/>
      <c r="P1198" s="28"/>
      <c r="Q1198" s="28"/>
      <c r="R1198" s="28"/>
      <c r="S1198" s="28"/>
      <c r="T1198" s="28"/>
      <c r="U1198" s="65"/>
      <c r="V1198" s="28"/>
      <c r="W1198" s="65"/>
      <c r="X1198" s="77"/>
      <c r="Y1198" s="28"/>
    </row>
    <row r="1199">
      <c r="A1199" s="18" t="s">
        <v>1328</v>
      </c>
      <c r="B1199" s="91" t="str">
        <f t="shared" si="148"/>
        <v>BEA-18B</v>
      </c>
      <c r="C1199" s="46" t="s">
        <v>573</v>
      </c>
      <c r="D1199" s="48" t="s">
        <v>574</v>
      </c>
      <c r="E1199" s="39">
        <v>590.0</v>
      </c>
      <c r="F1199" s="39">
        <v>590.0</v>
      </c>
      <c r="G1199" s="50">
        <f t="shared" si="149"/>
        <v>0</v>
      </c>
      <c r="H1199" s="28"/>
      <c r="I1199" s="55">
        <f t="shared" si="2"/>
        <v>596.7345759</v>
      </c>
      <c r="J1199" s="81"/>
      <c r="K1199" s="60">
        <f>IFERROR(__xludf.DUMMYFUNCTION("IFERROR(VLOOKUP(C1199,IMPORTRANGE(""https://docs.google.com/spreadsheets/d/1HZUHB8NvANAZR0sHDmHYVAm2WE9kNv0pGIQA48Ryim8/edit?gid=1285727875#gid=1285727875"",""Sheet1!A2:G""),7,0))"),138.42)</f>
        <v>138.42</v>
      </c>
      <c r="L1199" s="62">
        <f t="shared" si="150"/>
        <v>4.262389828</v>
      </c>
      <c r="M1199" s="60">
        <f>IFERROR(__xludf.DUMMYFUNCTION("IFERROR(VLOOKUP(C1199,IMPORTRANGE(""https://docs.google.com/spreadsheets/d/1HZUHB8NvANAZR0sHDmHYVAm2WE9kNv0pGIQA48Ryim8/edit?gid=1285727875#gid=1285727875"",""Cost!A2:G""),7,0))"),140.0)</f>
        <v>140</v>
      </c>
      <c r="N1199" s="62">
        <f t="shared" si="4"/>
        <v>4.214285714</v>
      </c>
      <c r="O1199" s="28"/>
      <c r="P1199" s="28"/>
      <c r="Q1199" s="28"/>
      <c r="R1199" s="28"/>
      <c r="S1199" s="28"/>
      <c r="T1199" s="28"/>
      <c r="U1199" s="65"/>
      <c r="V1199" s="28"/>
      <c r="W1199" s="65"/>
      <c r="X1199" s="77"/>
      <c r="Y1199" s="28"/>
    </row>
    <row r="1200">
      <c r="A1200" s="18" t="s">
        <v>1328</v>
      </c>
      <c r="B1200" s="91" t="str">
        <f t="shared" si="148"/>
        <v>BEA-521</v>
      </c>
      <c r="C1200" s="46" t="s">
        <v>580</v>
      </c>
      <c r="D1200" s="48" t="s">
        <v>581</v>
      </c>
      <c r="E1200" s="39">
        <v>340.0</v>
      </c>
      <c r="F1200" s="39">
        <v>410.0</v>
      </c>
      <c r="G1200" s="50">
        <f t="shared" si="149"/>
        <v>0.2058823529</v>
      </c>
      <c r="H1200" s="28"/>
      <c r="I1200" s="55">
        <f t="shared" si="2"/>
        <v>402.2875173</v>
      </c>
      <c r="J1200" s="81"/>
      <c r="K1200" s="60">
        <f>IFERROR(__xludf.DUMMYFUNCTION("IFERROR(VLOOKUP(C1200,IMPORTRANGE(""https://docs.google.com/spreadsheets/d/1HZUHB8NvANAZR0sHDmHYVAm2WE9kNv0pGIQA48Ryim8/edit?gid=1285727875#gid=1285727875"",""Sheet1!A2:G""),7,0))"),101.42)</f>
        <v>101.42</v>
      </c>
      <c r="L1200" s="62">
        <f t="shared" si="150"/>
        <v>3.352395977</v>
      </c>
      <c r="M1200" s="60">
        <f>IFERROR(__xludf.DUMMYFUNCTION("IFERROR(VLOOKUP(C1200,IMPORTRANGE(""https://docs.google.com/spreadsheets/d/1HZUHB8NvANAZR0sHDmHYVAm2WE9kNv0pGIQA48Ryim8/edit?gid=1285727875#gid=1285727875"",""Cost!A2:G""),7,0))"),120.0)</f>
        <v>120</v>
      </c>
      <c r="N1200" s="62">
        <f t="shared" si="4"/>
        <v>3.416666667</v>
      </c>
      <c r="O1200" s="28"/>
      <c r="P1200" s="28"/>
      <c r="Q1200" s="28"/>
      <c r="R1200" s="28"/>
      <c r="S1200" s="28"/>
      <c r="T1200" s="28"/>
      <c r="U1200" s="65"/>
      <c r="V1200" s="28"/>
      <c r="W1200" s="65"/>
      <c r="X1200" s="77"/>
      <c r="Y1200" s="28"/>
    </row>
    <row r="1201">
      <c r="A1201" s="18" t="s">
        <v>1328</v>
      </c>
      <c r="B1201" s="91" t="str">
        <f t="shared" si="148"/>
        <v>BEA-522</v>
      </c>
      <c r="C1201" s="46" t="s">
        <v>583</v>
      </c>
      <c r="D1201" s="48" t="s">
        <v>584</v>
      </c>
      <c r="E1201" s="39">
        <v>340.0</v>
      </c>
      <c r="F1201" s="39">
        <v>410.0</v>
      </c>
      <c r="G1201" s="50">
        <f t="shared" si="149"/>
        <v>0.2058823529</v>
      </c>
      <c r="H1201" s="28"/>
      <c r="I1201" s="55">
        <f t="shared" si="2"/>
        <v>403.7540701</v>
      </c>
      <c r="J1201" s="81"/>
      <c r="K1201" s="60">
        <f>IFERROR(__xludf.DUMMYFUNCTION("IFERROR(VLOOKUP(C1201,IMPORTRANGE(""https://docs.google.com/spreadsheets/d/1HZUHB8NvANAZR0sHDmHYVAm2WE9kNv0pGIQA48Ryim8/edit?gid=1285727875#gid=1285727875"",""Sheet1!A2:G""),7,0))"),104.42)</f>
        <v>104.42</v>
      </c>
      <c r="L1201" s="62">
        <f t="shared" si="150"/>
        <v>3.25608121</v>
      </c>
      <c r="M1201" s="60">
        <f>IFERROR(__xludf.DUMMYFUNCTION("IFERROR(VLOOKUP(C1201,IMPORTRANGE(""https://docs.google.com/spreadsheets/d/1HZUHB8NvANAZR0sHDmHYVAm2WE9kNv0pGIQA48Ryim8/edit?gid=1285727875#gid=1285727875"",""Cost!A2:G""),7,0))"),124.0)</f>
        <v>124</v>
      </c>
      <c r="N1201" s="62">
        <f t="shared" si="4"/>
        <v>3.306451613</v>
      </c>
      <c r="O1201" s="28"/>
      <c r="P1201" s="28"/>
      <c r="Q1201" s="28"/>
      <c r="R1201" s="28"/>
      <c r="S1201" s="28"/>
      <c r="T1201" s="28"/>
      <c r="U1201" s="65"/>
      <c r="V1201" s="28"/>
      <c r="W1201" s="65"/>
      <c r="X1201" s="77"/>
      <c r="Y1201" s="28"/>
    </row>
    <row r="1202">
      <c r="A1202" s="18" t="s">
        <v>1328</v>
      </c>
      <c r="B1202" s="91" t="str">
        <f t="shared" si="148"/>
        <v>BEA-523</v>
      </c>
      <c r="C1202" s="46" t="s">
        <v>586</v>
      </c>
      <c r="D1202" s="48" t="s">
        <v>587</v>
      </c>
      <c r="E1202" s="39">
        <v>340.0</v>
      </c>
      <c r="F1202" s="39">
        <v>410.0</v>
      </c>
      <c r="G1202" s="50">
        <f t="shared" si="149"/>
        <v>0.2058823529</v>
      </c>
      <c r="H1202" s="28"/>
      <c r="I1202" s="55">
        <f t="shared" si="2"/>
        <v>403.7540701</v>
      </c>
      <c r="J1202" s="81"/>
      <c r="K1202" s="60">
        <f>IFERROR(__xludf.DUMMYFUNCTION("IFERROR(VLOOKUP(C1202,IMPORTRANGE(""https://docs.google.com/spreadsheets/d/1HZUHB8NvANAZR0sHDmHYVAm2WE9kNv0pGIQA48Ryim8/edit?gid=1285727875#gid=1285727875"",""Sheet1!A2:G""),7,0))"),104.42)</f>
        <v>104.42</v>
      </c>
      <c r="L1202" s="62">
        <f t="shared" si="150"/>
        <v>3.25608121</v>
      </c>
      <c r="M1202" s="60">
        <f>IFERROR(__xludf.DUMMYFUNCTION("IFERROR(VLOOKUP(C1202,IMPORTRANGE(""https://docs.google.com/spreadsheets/d/1HZUHB8NvANAZR0sHDmHYVAm2WE9kNv0pGIQA48Ryim8/edit?gid=1285727875#gid=1285727875"",""Cost!A2:G""),7,0))"),124.0)</f>
        <v>124</v>
      </c>
      <c r="N1202" s="62">
        <f t="shared" si="4"/>
        <v>3.306451613</v>
      </c>
      <c r="O1202" s="28"/>
      <c r="P1202" s="28"/>
      <c r="Q1202" s="28"/>
      <c r="R1202" s="28"/>
      <c r="S1202" s="28"/>
      <c r="T1202" s="28"/>
      <c r="U1202" s="65"/>
      <c r="V1202" s="28"/>
      <c r="W1202" s="65"/>
      <c r="X1202" s="77"/>
      <c r="Y1202" s="28"/>
    </row>
    <row r="1203">
      <c r="A1203" s="18" t="s">
        <v>1328</v>
      </c>
      <c r="B1203" s="91" t="str">
        <f t="shared" si="148"/>
        <v>BEN-01</v>
      </c>
      <c r="C1203" s="46" t="s">
        <v>726</v>
      </c>
      <c r="D1203" s="48" t="s">
        <v>727</v>
      </c>
      <c r="E1203" s="39">
        <v>176.0</v>
      </c>
      <c r="F1203" s="39">
        <v>220.0</v>
      </c>
      <c r="G1203" s="50">
        <f t="shared" si="149"/>
        <v>0.25</v>
      </c>
      <c r="H1203" s="28"/>
      <c r="I1203" s="55">
        <f t="shared" si="2"/>
        <v>200.5513692</v>
      </c>
      <c r="J1203" s="81"/>
      <c r="K1203" s="60">
        <f>IFERROR(__xludf.DUMMYFUNCTION("IFERROR(VLOOKUP(C1203,IMPORTRANGE(""https://docs.google.com/spreadsheets/d/1HZUHB8NvANAZR0sHDmHYVAm2WE9kNv0pGIQA48Ryim8/edit?gid=1285727875#gid=1285727875"",""Sheet1!A2:G""),7,0))"),54.41)</f>
        <v>54.41</v>
      </c>
      <c r="L1203" s="62">
        <f t="shared" si="150"/>
        <v>3.234699504</v>
      </c>
      <c r="M1203" s="60">
        <f>IFERROR(__xludf.DUMMYFUNCTION("IFERROR(VLOOKUP(C1203,IMPORTRANGE(""https://docs.google.com/spreadsheets/d/1HZUHB8NvANAZR0sHDmHYVAm2WE9kNv0pGIQA48Ryim8/edit?gid=1285727875#gid=1285727875"",""Cost!A2:G""),7,0))"),62.0)</f>
        <v>62</v>
      </c>
      <c r="N1203" s="62">
        <f t="shared" si="4"/>
        <v>3.548387097</v>
      </c>
      <c r="O1203" s="28"/>
      <c r="P1203" s="28"/>
      <c r="Q1203" s="28"/>
      <c r="R1203" s="28"/>
      <c r="S1203" s="28"/>
      <c r="T1203" s="28"/>
      <c r="U1203" s="65"/>
      <c r="V1203" s="28"/>
      <c r="W1203" s="65"/>
      <c r="X1203" s="77"/>
      <c r="Y1203" s="28"/>
    </row>
    <row r="1204">
      <c r="A1204" s="18" t="s">
        <v>1328</v>
      </c>
      <c r="B1204" s="91" t="str">
        <f t="shared" si="148"/>
        <v>BEN-02</v>
      </c>
      <c r="C1204" s="46" t="s">
        <v>728</v>
      </c>
      <c r="D1204" s="48" t="s">
        <v>729</v>
      </c>
      <c r="E1204" s="39">
        <v>108.0</v>
      </c>
      <c r="F1204" s="39">
        <v>128.0</v>
      </c>
      <c r="G1204" s="50">
        <f t="shared" si="149"/>
        <v>0.1851851852</v>
      </c>
      <c r="H1204" s="28"/>
      <c r="I1204" s="55">
        <f t="shared" si="2"/>
        <v>122.8007181</v>
      </c>
      <c r="J1204" s="81"/>
      <c r="K1204" s="60">
        <f>IFERROR(__xludf.DUMMYFUNCTION("IFERROR(VLOOKUP(C1204,IMPORTRANGE(""https://docs.google.com/spreadsheets/d/1HZUHB8NvANAZR0sHDmHYVAm2WE9kNv0pGIQA48Ryim8/edit?gid=1285727875#gid=1285727875"",""Sheet1!A2:G""),7,0))"),33.42)</f>
        <v>33.42</v>
      </c>
      <c r="L1204" s="62">
        <f t="shared" si="150"/>
        <v>3.231597846</v>
      </c>
      <c r="M1204" s="60">
        <f>IFERROR(__xludf.DUMMYFUNCTION("IFERROR(VLOOKUP(C1204,IMPORTRANGE(""https://docs.google.com/spreadsheets/d/1HZUHB8NvANAZR0sHDmHYVAm2WE9kNv0pGIQA48Ryim8/edit?gid=1285727875#gid=1285727875"",""Cost!A2:G""),7,0))"),38.0)</f>
        <v>38</v>
      </c>
      <c r="N1204" s="62">
        <f t="shared" si="4"/>
        <v>3.368421053</v>
      </c>
      <c r="O1204" s="28"/>
      <c r="P1204" s="28"/>
      <c r="Q1204" s="28"/>
      <c r="R1204" s="28"/>
      <c r="S1204" s="28"/>
      <c r="T1204" s="28"/>
      <c r="U1204" s="65"/>
      <c r="V1204" s="28"/>
      <c r="W1204" s="65"/>
      <c r="X1204" s="77"/>
      <c r="Y1204" s="28"/>
    </row>
    <row r="1205">
      <c r="A1205" s="18" t="s">
        <v>1328</v>
      </c>
      <c r="B1205" s="91" t="str">
        <f t="shared" si="148"/>
        <v>BEN-03</v>
      </c>
      <c r="C1205" s="46" t="s">
        <v>730</v>
      </c>
      <c r="D1205" s="48" t="s">
        <v>731</v>
      </c>
      <c r="E1205" s="39">
        <v>166.0</v>
      </c>
      <c r="F1205" s="39">
        <v>188.0</v>
      </c>
      <c r="G1205" s="50">
        <f t="shared" si="149"/>
        <v>0.1325301205</v>
      </c>
      <c r="H1205" s="28"/>
      <c r="I1205" s="55">
        <f t="shared" si="2"/>
        <v>188.8622754</v>
      </c>
      <c r="J1205" s="81"/>
      <c r="K1205" s="60">
        <f>IFERROR(__xludf.DUMMYFUNCTION("IFERROR(VLOOKUP(C1205,IMPORTRANGE(""https://docs.google.com/spreadsheets/d/1HZUHB8NvANAZR0sHDmHYVAm2WE9kNv0pGIQA48Ryim8/edit?gid=1285727875#gid=1285727875"",""Sheet1!A2:G""),7,0))"),50.1)</f>
        <v>50.1</v>
      </c>
      <c r="L1205" s="62">
        <f t="shared" si="150"/>
        <v>3.313373253</v>
      </c>
      <c r="M1205" s="60">
        <f>IFERROR(__xludf.DUMMYFUNCTION("IFERROR(VLOOKUP(C1205,IMPORTRANGE(""https://docs.google.com/spreadsheets/d/1HZUHB8NvANAZR0sHDmHYVAm2WE9kNv0pGIQA48Ryim8/edit?gid=1285727875#gid=1285727875"",""Cost!A2:G""),7,0))"),57.0)</f>
        <v>57</v>
      </c>
      <c r="N1205" s="62">
        <f t="shared" si="4"/>
        <v>3.298245614</v>
      </c>
      <c r="O1205" s="28"/>
      <c r="P1205" s="28"/>
      <c r="Q1205" s="28"/>
      <c r="R1205" s="28"/>
      <c r="S1205" s="28"/>
      <c r="T1205" s="28"/>
      <c r="U1205" s="65"/>
      <c r="V1205" s="28"/>
      <c r="W1205" s="65"/>
      <c r="X1205" s="77"/>
      <c r="Y1205" s="28"/>
    </row>
    <row r="1206">
      <c r="A1206" s="18" t="s">
        <v>1328</v>
      </c>
      <c r="B1206" s="91" t="str">
        <f t="shared" si="148"/>
        <v>BEN-04</v>
      </c>
      <c r="C1206" s="46" t="s">
        <v>732</v>
      </c>
      <c r="D1206" s="48" t="s">
        <v>733</v>
      </c>
      <c r="E1206" s="39">
        <v>218.0</v>
      </c>
      <c r="F1206" s="39">
        <v>248.0</v>
      </c>
      <c r="G1206" s="50">
        <f t="shared" si="149"/>
        <v>0.1376146789</v>
      </c>
      <c r="H1206" s="28"/>
      <c r="I1206" s="55">
        <f t="shared" si="2"/>
        <v>248.4330484</v>
      </c>
      <c r="J1206" s="81"/>
      <c r="K1206" s="60">
        <f>IFERROR(__xludf.DUMMYFUNCTION("IFERROR(VLOOKUP(C1206,IMPORTRANGE(""https://docs.google.com/spreadsheets/d/1HZUHB8NvANAZR0sHDmHYVAm2WE9kNv0pGIQA48Ryim8/edit?gid=1285727875#gid=1285727875"",""Sheet1!A2:G""),7,0))"),66.69)</f>
        <v>66.69</v>
      </c>
      <c r="L1206" s="62">
        <f t="shared" si="150"/>
        <v>3.2688559</v>
      </c>
      <c r="M1206" s="60">
        <f>IFERROR(__xludf.DUMMYFUNCTION("IFERROR(VLOOKUP(C1206,IMPORTRANGE(""https://docs.google.com/spreadsheets/d/1HZUHB8NvANAZR0sHDmHYVAm2WE9kNv0pGIQA48Ryim8/edit?gid=1285727875#gid=1285727875"",""Cost!A2:G""),7,0))"),76.0)</f>
        <v>76</v>
      </c>
      <c r="N1206" s="62">
        <f t="shared" si="4"/>
        <v>3.263157895</v>
      </c>
      <c r="O1206" s="28"/>
      <c r="P1206" s="28"/>
      <c r="Q1206" s="28"/>
      <c r="R1206" s="28"/>
      <c r="S1206" s="28"/>
      <c r="T1206" s="28"/>
      <c r="U1206" s="65"/>
      <c r="V1206" s="28"/>
      <c r="W1206" s="65"/>
      <c r="X1206" s="77"/>
      <c r="Y1206" s="28"/>
    </row>
    <row r="1207">
      <c r="A1207" s="18" t="s">
        <v>1328</v>
      </c>
      <c r="B1207" s="91" t="str">
        <f t="shared" si="148"/>
        <v>BEN-05</v>
      </c>
      <c r="C1207" s="46" t="s">
        <v>734</v>
      </c>
      <c r="D1207" s="48" t="s">
        <v>735</v>
      </c>
      <c r="E1207" s="39">
        <v>268.0</v>
      </c>
      <c r="F1207" s="39">
        <v>314.0</v>
      </c>
      <c r="G1207" s="50">
        <f t="shared" si="149"/>
        <v>0.171641791</v>
      </c>
      <c r="H1207" s="28"/>
      <c r="I1207" s="55">
        <f t="shared" si="2"/>
        <v>318.3295824</v>
      </c>
      <c r="J1207" s="81"/>
      <c r="K1207" s="60">
        <f>IFERROR(__xludf.DUMMYFUNCTION("IFERROR(VLOOKUP(C1207,IMPORTRANGE(""https://docs.google.com/spreadsheets/d/1HZUHB8NvANAZR0sHDmHYVAm2WE9kNv0pGIQA48Ryim8/edit?gid=1285727875#gid=1285727875"",""Sheet1!A2:G""),7,0))"),79.98)</f>
        <v>79.98</v>
      </c>
      <c r="L1207" s="62">
        <f t="shared" si="150"/>
        <v>3.350837709</v>
      </c>
      <c r="M1207" s="60">
        <f>IFERROR(__xludf.DUMMYFUNCTION("IFERROR(VLOOKUP(C1207,IMPORTRANGE(""https://docs.google.com/spreadsheets/d/1HZUHB8NvANAZR0sHDmHYVAm2WE9kNv0pGIQA48Ryim8/edit?gid=1285727875#gid=1285727875"",""Cost!A2:G""),7,0))"),95.0)</f>
        <v>95</v>
      </c>
      <c r="N1207" s="62">
        <f t="shared" si="4"/>
        <v>3.305263158</v>
      </c>
      <c r="O1207" s="28"/>
      <c r="P1207" s="28"/>
      <c r="Q1207" s="28"/>
      <c r="R1207" s="28"/>
      <c r="S1207" s="28"/>
      <c r="T1207" s="28"/>
      <c r="U1207" s="65"/>
      <c r="V1207" s="28"/>
      <c r="W1207" s="65"/>
      <c r="X1207" s="77"/>
      <c r="Y1207" s="28"/>
    </row>
    <row r="1208">
      <c r="A1208" s="18" t="s">
        <v>1328</v>
      </c>
      <c r="B1208" s="91" t="str">
        <f t="shared" si="148"/>
        <v>BEN-06</v>
      </c>
      <c r="C1208" s="46" t="s">
        <v>736</v>
      </c>
      <c r="D1208" s="48" t="s">
        <v>737</v>
      </c>
      <c r="E1208" s="39">
        <v>332.0</v>
      </c>
      <c r="F1208" s="39">
        <v>378.0</v>
      </c>
      <c r="G1208" s="50">
        <f t="shared" si="149"/>
        <v>0.1385542169</v>
      </c>
      <c r="H1208" s="28"/>
      <c r="I1208" s="55">
        <f t="shared" si="2"/>
        <v>393.4712548</v>
      </c>
      <c r="J1208" s="81"/>
      <c r="K1208" s="60">
        <f>IFERROR(__xludf.DUMMYFUNCTION("IFERROR(VLOOKUP(C1208,IMPORTRANGE(""https://docs.google.com/spreadsheets/d/1HZUHB8NvANAZR0sHDmHYVAm2WE9kNv0pGIQA48Ryim8/edit?gid=1285727875#gid=1285727875"",""Sheet1!A2:G""),7,0))"),96.19)</f>
        <v>96.19</v>
      </c>
      <c r="L1208" s="62">
        <f t="shared" si="150"/>
        <v>3.451502235</v>
      </c>
      <c r="M1208" s="60">
        <f>IFERROR(__xludf.DUMMYFUNCTION("IFERROR(VLOOKUP(C1208,IMPORTRANGE(""https://docs.google.com/spreadsheets/d/1HZUHB8NvANAZR0sHDmHYVAm2WE9kNv0pGIQA48Ryim8/edit?gid=1285727875#gid=1285727875"",""Cost!A2:G""),7,0))"),114.0)</f>
        <v>114</v>
      </c>
      <c r="N1208" s="62">
        <f t="shared" si="4"/>
        <v>3.315789474</v>
      </c>
      <c r="O1208" s="28"/>
      <c r="P1208" s="28"/>
      <c r="Q1208" s="28"/>
      <c r="R1208" s="28"/>
      <c r="S1208" s="28"/>
      <c r="T1208" s="28"/>
      <c r="U1208" s="65"/>
      <c r="V1208" s="28"/>
      <c r="W1208" s="65"/>
      <c r="X1208" s="77"/>
      <c r="Y1208" s="28"/>
    </row>
    <row r="1209">
      <c r="A1209" s="18" t="s">
        <v>1328</v>
      </c>
      <c r="B1209" s="91" t="str">
        <f t="shared" si="148"/>
        <v>C-1</v>
      </c>
      <c r="C1209" s="46" t="s">
        <v>739</v>
      </c>
      <c r="D1209" s="48" t="s">
        <v>740</v>
      </c>
      <c r="E1209" s="39">
        <v>252.0</v>
      </c>
      <c r="F1209" s="39">
        <v>252.0</v>
      </c>
      <c r="G1209" s="50">
        <f t="shared" si="149"/>
        <v>0</v>
      </c>
      <c r="H1209" s="28"/>
      <c r="I1209" s="55">
        <f t="shared" si="2"/>
        <v>274.9090909</v>
      </c>
      <c r="J1209" s="81"/>
      <c r="K1209" s="60">
        <f>IFERROR(__xludf.DUMMYFUNCTION("IFERROR(VLOOKUP(C1209,IMPORTRANGE(""https://docs.google.com/spreadsheets/d/1HZUHB8NvANAZR0sHDmHYVAm2WE9kNv0pGIQA48Ryim8/edit?gid=1285727875#gid=1285727875"",""Sheet1!A2:G""),7,0))"),55.0)</f>
        <v>55</v>
      </c>
      <c r="L1209" s="62">
        <f t="shared" si="150"/>
        <v>4.581818182</v>
      </c>
      <c r="M1209" s="60">
        <f>IFERROR(__xludf.DUMMYFUNCTION("IFERROR(VLOOKUP(C1209,IMPORTRANGE(""https://docs.google.com/spreadsheets/d/1HZUHB8NvANAZR0sHDmHYVAm2WE9kNv0pGIQA48Ryim8/edit?gid=1285727875#gid=1285727875"",""Cost!A2:G""),7,0))"),60.0)</f>
        <v>60</v>
      </c>
      <c r="N1209" s="62">
        <f t="shared" si="4"/>
        <v>4.2</v>
      </c>
      <c r="O1209" s="28"/>
      <c r="P1209" s="28"/>
      <c r="Q1209" s="28"/>
      <c r="R1209" s="28"/>
      <c r="S1209" s="28"/>
      <c r="T1209" s="28"/>
      <c r="U1209" s="65"/>
      <c r="V1209" s="28"/>
      <c r="W1209" s="65"/>
      <c r="X1209" s="77"/>
      <c r="Y1209" s="28"/>
    </row>
    <row r="1210">
      <c r="A1210" s="18" t="s">
        <v>1328</v>
      </c>
      <c r="B1210" s="91" t="str">
        <f t="shared" si="148"/>
        <v>C-2</v>
      </c>
      <c r="C1210" s="46" t="s">
        <v>741</v>
      </c>
      <c r="D1210" s="48" t="s">
        <v>742</v>
      </c>
      <c r="E1210" s="39">
        <v>504.0</v>
      </c>
      <c r="F1210" s="39">
        <v>504.0</v>
      </c>
      <c r="G1210" s="50">
        <f t="shared" si="149"/>
        <v>0</v>
      </c>
      <c r="H1210" s="28"/>
      <c r="I1210" s="55">
        <f t="shared" si="2"/>
        <v>0</v>
      </c>
      <c r="J1210" s="81"/>
      <c r="K1210" s="60" t="str">
        <f>IFERROR(__xludf.DUMMYFUNCTION("IFERROR(VLOOKUP(C1210,IMPORTRANGE(""https://docs.google.com/spreadsheets/d/1HZUHB8NvANAZR0sHDmHYVAm2WE9kNv0pGIQA48Ryim8/edit?gid=1285727875#gid=1285727875"",""Sheet1!A2:G""),7,0))"),"")</f>
        <v/>
      </c>
      <c r="L1210" s="62" t="str">
        <f t="shared" si="150"/>
        <v/>
      </c>
      <c r="M1210" s="60">
        <f>IFERROR(__xludf.DUMMYFUNCTION("IFERROR(VLOOKUP(C1210,IMPORTRANGE(""https://docs.google.com/spreadsheets/d/1HZUHB8NvANAZR0sHDmHYVAm2WE9kNv0pGIQA48Ryim8/edit?gid=1285727875#gid=1285727875"",""Cost!A2:G""),7,0))"),95.0)</f>
        <v>95</v>
      </c>
      <c r="N1210" s="62">
        <f t="shared" si="4"/>
        <v>5.305263158</v>
      </c>
      <c r="O1210" s="28"/>
      <c r="P1210" s="28"/>
      <c r="Q1210" s="28"/>
      <c r="R1210" s="28"/>
      <c r="S1210" s="28"/>
      <c r="T1210" s="28"/>
      <c r="U1210" s="65"/>
      <c r="V1210" s="28"/>
      <c r="W1210" s="65"/>
      <c r="X1210" s="77"/>
      <c r="Y1210" s="28"/>
    </row>
    <row r="1211">
      <c r="A1211" s="18" t="s">
        <v>1328</v>
      </c>
      <c r="B1211" s="91" t="str">
        <f t="shared" si="148"/>
        <v>BCT-03P</v>
      </c>
      <c r="C1211" s="46" t="s">
        <v>744</v>
      </c>
      <c r="D1211" s="48" t="s">
        <v>745</v>
      </c>
      <c r="E1211" s="39">
        <v>234.0</v>
      </c>
      <c r="F1211" s="39">
        <v>248.0</v>
      </c>
      <c r="G1211" s="50">
        <f t="shared" si="149"/>
        <v>0.05982905983</v>
      </c>
      <c r="H1211" s="28"/>
      <c r="I1211" s="55">
        <f t="shared" si="2"/>
        <v>270.2078522</v>
      </c>
      <c r="J1211" s="81"/>
      <c r="K1211" s="60">
        <f>IFERROR(__xludf.DUMMYFUNCTION("IFERROR(VLOOKUP(C1211,IMPORTRANGE(""https://docs.google.com/spreadsheets/d/1HZUHB8NvANAZR0sHDmHYVAm2WE9kNv0pGIQA48Ryim8/edit?gid=1285727875#gid=1285727875"",""Sheet1!A2:G""),7,0))"),56.29)</f>
        <v>56.29</v>
      </c>
      <c r="L1211" s="62">
        <f t="shared" si="150"/>
        <v>4.15704388</v>
      </c>
      <c r="M1211" s="60">
        <f>IFERROR(__xludf.DUMMYFUNCTION("IFERROR(VLOOKUP(C1211,IMPORTRANGE(""https://docs.google.com/spreadsheets/d/1HZUHB8NvANAZR0sHDmHYVAm2WE9kNv0pGIQA48Ryim8/edit?gid=1285727875#gid=1285727875"",""Cost!A2:G""),7,0))"),65.0)</f>
        <v>65</v>
      </c>
      <c r="N1211" s="62">
        <f t="shared" si="4"/>
        <v>3.815384615</v>
      </c>
      <c r="O1211" s="28"/>
      <c r="P1211" s="28"/>
      <c r="Q1211" s="28"/>
      <c r="R1211" s="28"/>
      <c r="S1211" s="28"/>
      <c r="T1211" s="28"/>
      <c r="U1211" s="65"/>
      <c r="V1211" s="28"/>
      <c r="W1211" s="65"/>
      <c r="X1211" s="77"/>
      <c r="Y1211" s="28"/>
    </row>
    <row r="1212">
      <c r="A1212" s="18" t="s">
        <v>1328</v>
      </c>
      <c r="B1212" s="91" t="str">
        <f t="shared" si="148"/>
        <v>BCT-04P</v>
      </c>
      <c r="C1212" s="46" t="s">
        <v>746</v>
      </c>
      <c r="D1212" s="48" t="s">
        <v>747</v>
      </c>
      <c r="E1212" s="39">
        <v>252.0</v>
      </c>
      <c r="F1212" s="39">
        <v>272.0</v>
      </c>
      <c r="G1212" s="50">
        <f t="shared" si="149"/>
        <v>0.07936507937</v>
      </c>
      <c r="H1212" s="28"/>
      <c r="I1212" s="55">
        <f t="shared" si="2"/>
        <v>209.69163</v>
      </c>
      <c r="J1212" s="81"/>
      <c r="K1212" s="60">
        <f>IFERROR(__xludf.DUMMYFUNCTION("IFERROR(VLOOKUP(C1212,IMPORTRANGE(""https://docs.google.com/spreadsheets/d/1HZUHB8NvANAZR0sHDmHYVAm2WE9kNv0pGIQA48Ryim8/edit?gid=1285727875#gid=1285727875"",""Sheet1!A2:G""),7,0))"),61.29)</f>
        <v>61.29</v>
      </c>
      <c r="L1212" s="62">
        <f t="shared" si="150"/>
        <v>4.111600587</v>
      </c>
      <c r="M1212" s="60">
        <f>IFERROR(__xludf.DUMMYFUNCTION("IFERROR(VLOOKUP(C1212,IMPORTRANGE(""https://docs.google.com/spreadsheets/d/1HZUHB8NvANAZR0sHDmHYVAm2WE9kNv0pGIQA48Ryim8/edit?gid=1285727875#gid=1285727875"",""Cost!A2:G""),7,0))"),51.0)</f>
        <v>51</v>
      </c>
      <c r="N1212" s="62">
        <f t="shared" si="4"/>
        <v>5.333333333</v>
      </c>
      <c r="O1212" s="28"/>
      <c r="P1212" s="28"/>
      <c r="Q1212" s="28"/>
      <c r="R1212" s="28"/>
      <c r="S1212" s="28"/>
      <c r="T1212" s="28"/>
      <c r="U1212" s="65"/>
      <c r="V1212" s="28"/>
      <c r="W1212" s="65"/>
      <c r="X1212" s="77"/>
      <c r="Y1212" s="28"/>
    </row>
    <row r="1213">
      <c r="A1213" s="18" t="s">
        <v>1328</v>
      </c>
      <c r="B1213" s="91" t="str">
        <f t="shared" si="148"/>
        <v>BCT-05P</v>
      </c>
      <c r="C1213" s="46" t="s">
        <v>750</v>
      </c>
      <c r="D1213" s="48" t="s">
        <v>751</v>
      </c>
      <c r="E1213" s="39">
        <v>273.6</v>
      </c>
      <c r="F1213" s="39">
        <v>294.0</v>
      </c>
      <c r="G1213" s="50">
        <f t="shared" si="149"/>
        <v>0.07456140351</v>
      </c>
      <c r="H1213" s="28"/>
      <c r="I1213" s="55">
        <f t="shared" si="2"/>
        <v>237.7348315</v>
      </c>
      <c r="J1213" s="81"/>
      <c r="K1213" s="60">
        <f>IFERROR(__xludf.DUMMYFUNCTION("IFERROR(VLOOKUP(C1213,IMPORTRANGE(""https://docs.google.com/spreadsheets/d/1HZUHB8NvANAZR0sHDmHYVAm2WE9kNv0pGIQA48Ryim8/edit?gid=1285727875#gid=1285727875"",""Sheet1!A2:G""),7,0))"),66.75)</f>
        <v>66.75</v>
      </c>
      <c r="L1213" s="62">
        <f t="shared" si="150"/>
        <v>4.098876404</v>
      </c>
      <c r="M1213" s="60">
        <f>IFERROR(__xludf.DUMMYFUNCTION("IFERROR(VLOOKUP(C1213,IMPORTRANGE(""https://docs.google.com/spreadsheets/d/1HZUHB8NvANAZR0sHDmHYVAm2WE9kNv0pGIQA48Ryim8/edit?gid=1285727875#gid=1285727875"",""Cost!A2:G""),7,0))"),58.0)</f>
        <v>58</v>
      </c>
      <c r="N1213" s="62">
        <f t="shared" si="4"/>
        <v>5.068965517</v>
      </c>
      <c r="O1213" s="28"/>
      <c r="P1213" s="28"/>
      <c r="Q1213" s="28"/>
      <c r="R1213" s="28"/>
      <c r="S1213" s="28"/>
      <c r="T1213" s="28"/>
      <c r="U1213" s="65"/>
      <c r="V1213" s="28"/>
      <c r="W1213" s="65"/>
      <c r="X1213" s="77"/>
      <c r="Y1213" s="28"/>
    </row>
    <row r="1214">
      <c r="A1214" s="18" t="s">
        <v>1328</v>
      </c>
      <c r="B1214" s="91" t="str">
        <f t="shared" si="148"/>
        <v>BCT-06P</v>
      </c>
      <c r="C1214" s="46" t="s">
        <v>753</v>
      </c>
      <c r="D1214" s="48" t="s">
        <v>754</v>
      </c>
      <c r="E1214" s="39">
        <v>302.40000000000003</v>
      </c>
      <c r="F1214" s="39">
        <v>324.0</v>
      </c>
      <c r="G1214" s="50">
        <f t="shared" si="149"/>
        <v>0.07142857143</v>
      </c>
      <c r="H1214" s="28"/>
      <c r="I1214" s="55">
        <f t="shared" si="2"/>
        <v>250.815593</v>
      </c>
      <c r="J1214" s="81"/>
      <c r="K1214" s="60">
        <f>IFERROR(__xludf.DUMMYFUNCTION("IFERROR(VLOOKUP(C1214,IMPORTRANGE(""https://docs.google.com/spreadsheets/d/1HZUHB8NvANAZR0sHDmHYVAm2WE9kNv0pGIQA48Ryim8/edit?gid=1285727875#gid=1285727875"",""Sheet1!A2:G""),7,0))"),72.34)</f>
        <v>72.34</v>
      </c>
      <c r="L1214" s="62">
        <f t="shared" si="150"/>
        <v>4.180259884</v>
      </c>
      <c r="M1214" s="60">
        <f>IFERROR(__xludf.DUMMYFUNCTION("IFERROR(VLOOKUP(C1214,IMPORTRANGE(""https://docs.google.com/spreadsheets/d/1HZUHB8NvANAZR0sHDmHYVAm2WE9kNv0pGIQA48Ryim8/edit?gid=1285727875#gid=1285727875"",""Cost!A2:G""),7,0))"),60.0)</f>
        <v>60</v>
      </c>
      <c r="N1214" s="62">
        <f t="shared" si="4"/>
        <v>5.4</v>
      </c>
      <c r="O1214" s="28"/>
      <c r="P1214" s="28"/>
      <c r="Q1214" s="28"/>
      <c r="R1214" s="28"/>
      <c r="S1214" s="28"/>
      <c r="T1214" s="28"/>
      <c r="U1214" s="65"/>
      <c r="V1214" s="28"/>
      <c r="W1214" s="65"/>
      <c r="X1214" s="77"/>
      <c r="Y1214" s="28"/>
    </row>
    <row r="1215">
      <c r="A1215" s="18" t="s">
        <v>1328</v>
      </c>
      <c r="B1215" s="91" t="str">
        <f t="shared" si="148"/>
        <v>492B</v>
      </c>
      <c r="C1215" s="46" t="s">
        <v>756</v>
      </c>
      <c r="D1215" s="48" t="s">
        <v>757</v>
      </c>
      <c r="E1215" s="39">
        <v>650.0</v>
      </c>
      <c r="F1215" s="39">
        <v>650.0</v>
      </c>
      <c r="G1215" s="50">
        <f t="shared" si="149"/>
        <v>0</v>
      </c>
      <c r="H1215" s="28"/>
      <c r="I1215" s="55">
        <f t="shared" si="2"/>
        <v>733.6343115</v>
      </c>
      <c r="J1215" s="81"/>
      <c r="K1215" s="60">
        <f>IFERROR(__xludf.DUMMYFUNCTION("IFERROR(VLOOKUP(C1215,IMPORTRANGE(""https://docs.google.com/spreadsheets/d/1HZUHB8NvANAZR0sHDmHYVAm2WE9kNv0pGIQA48Ryim8/edit?gid=1285727875#gid=1285727875"",""Sheet1!A2:G""),7,0))"),137.33)</f>
        <v>137.33</v>
      </c>
      <c r="L1215" s="62">
        <f t="shared" si="150"/>
        <v>4.73312459</v>
      </c>
      <c r="M1215" s="60">
        <f>IFERROR(__xludf.DUMMYFUNCTION("IFERROR(VLOOKUP(C1215,IMPORTRANGE(""https://docs.google.com/spreadsheets/d/1HZUHB8NvANAZR0sHDmHYVAm2WE9kNv0pGIQA48Ryim8/edit?gid=1285727875#gid=1285727875"",""Cost!A2:G""),7,0))"),155.0)</f>
        <v>155</v>
      </c>
      <c r="N1215" s="62">
        <f t="shared" si="4"/>
        <v>4.193548387</v>
      </c>
      <c r="O1215" s="28"/>
      <c r="P1215" s="28"/>
      <c r="Q1215" s="28"/>
      <c r="R1215" s="28"/>
      <c r="S1215" s="28"/>
      <c r="T1215" s="28"/>
      <c r="U1215" s="65"/>
      <c r="V1215" s="28"/>
      <c r="W1215" s="65"/>
      <c r="X1215" s="77"/>
      <c r="Y1215" s="28"/>
    </row>
    <row r="1216">
      <c r="A1216" s="18" t="s">
        <v>1328</v>
      </c>
      <c r="B1216" s="91" t="str">
        <f t="shared" si="148"/>
        <v>493B</v>
      </c>
      <c r="C1216" s="46" t="s">
        <v>759</v>
      </c>
      <c r="D1216" s="48" t="s">
        <v>760</v>
      </c>
      <c r="E1216" s="39">
        <v>650.0</v>
      </c>
      <c r="F1216" s="39">
        <v>650.0</v>
      </c>
      <c r="G1216" s="50">
        <f t="shared" si="149"/>
        <v>0</v>
      </c>
      <c r="H1216" s="28"/>
      <c r="I1216" s="55">
        <f t="shared" si="2"/>
        <v>761.3541903</v>
      </c>
      <c r="J1216" s="81"/>
      <c r="K1216" s="60">
        <f>IFERROR(__xludf.DUMMYFUNCTION("IFERROR(VLOOKUP(C1216,IMPORTRANGE(""https://docs.google.com/spreadsheets/d/1HZUHB8NvANAZR0sHDmHYVAm2WE9kNv0pGIQA48Ryim8/edit?gid=1285727875#gid=1285727875"",""Sheet1!A2:G""),7,0))"),132.33)</f>
        <v>132.33</v>
      </c>
      <c r="L1216" s="62">
        <f t="shared" si="150"/>
        <v>4.911962518</v>
      </c>
      <c r="M1216" s="60">
        <f>IFERROR(__xludf.DUMMYFUNCTION("IFERROR(VLOOKUP(C1216,IMPORTRANGE(""https://docs.google.com/spreadsheets/d/1HZUHB8NvANAZR0sHDmHYVAm2WE9kNv0pGIQA48Ryim8/edit?gid=1285727875#gid=1285727875"",""Cost!A2:G""),7,0))"),155.0)</f>
        <v>155</v>
      </c>
      <c r="N1216" s="62">
        <f t="shared" si="4"/>
        <v>4.193548387</v>
      </c>
      <c r="O1216" s="28"/>
      <c r="P1216" s="28"/>
      <c r="Q1216" s="28"/>
      <c r="R1216" s="28"/>
      <c r="S1216" s="28"/>
      <c r="T1216" s="28"/>
      <c r="U1216" s="65"/>
      <c r="V1216" s="28"/>
      <c r="W1216" s="65"/>
      <c r="X1216" s="77"/>
      <c r="Y1216" s="28"/>
    </row>
    <row r="1217">
      <c r="A1217" s="18" t="s">
        <v>1328</v>
      </c>
      <c r="B1217" s="91" t="str">
        <f t="shared" si="148"/>
        <v>BEA-21</v>
      </c>
      <c r="C1217" s="46" t="s">
        <v>608</v>
      </c>
      <c r="D1217" s="48" t="s">
        <v>609</v>
      </c>
      <c r="E1217" s="39">
        <v>2580.0</v>
      </c>
      <c r="F1217" s="39">
        <v>2980.0</v>
      </c>
      <c r="G1217" s="50">
        <f t="shared" si="149"/>
        <v>0.1550387597</v>
      </c>
      <c r="H1217" s="28"/>
      <c r="I1217" s="55">
        <f t="shared" si="2"/>
        <v>2892.918384</v>
      </c>
      <c r="J1217" s="81"/>
      <c r="K1217" s="60">
        <f>IFERROR(__xludf.DUMMYFUNCTION("IFERROR(VLOOKUP(C1217,IMPORTRANGE(""https://docs.google.com/spreadsheets/d/1HZUHB8NvANAZR0sHDmHYVAm2WE9kNv0pGIQA48Ryim8/edit?gid=1285727875#gid=1285727875"",""Sheet1!A2:G""),7,0))"),822.27)</f>
        <v>822.27</v>
      </c>
      <c r="L1217" s="62">
        <f t="shared" si="150"/>
        <v>3.137655515</v>
      </c>
      <c r="M1217" s="60">
        <f>IFERROR(__xludf.DUMMYFUNCTION("IFERROR(VLOOKUP(C1217,IMPORTRANGE(""https://docs.google.com/spreadsheets/d/1HZUHB8NvANAZR0sHDmHYVAm2WE9kNv0pGIQA48Ryim8/edit?gid=1285727875#gid=1285727875"",""Cost!A2:G""),7,0))"),922.0)</f>
        <v>922</v>
      </c>
      <c r="N1217" s="62">
        <f t="shared" si="4"/>
        <v>3.232104121</v>
      </c>
      <c r="O1217" s="28"/>
      <c r="P1217" s="28"/>
      <c r="Q1217" s="28"/>
      <c r="R1217" s="28"/>
      <c r="S1217" s="28"/>
      <c r="T1217" s="28"/>
      <c r="U1217" s="65"/>
      <c r="V1217" s="28"/>
      <c r="W1217" s="65"/>
      <c r="X1217" s="77"/>
      <c r="Y1217" s="28"/>
    </row>
    <row r="1218">
      <c r="A1218" s="18" t="s">
        <v>1328</v>
      </c>
      <c r="B1218" s="91" t="str">
        <f t="shared" si="148"/>
        <v>BEA-22</v>
      </c>
      <c r="C1218" s="46" t="s">
        <v>610</v>
      </c>
      <c r="D1218" s="48" t="s">
        <v>611</v>
      </c>
      <c r="E1218" s="39">
        <v>2470.0</v>
      </c>
      <c r="F1218" s="39">
        <v>2880.0</v>
      </c>
      <c r="G1218" s="50">
        <f t="shared" si="149"/>
        <v>0.1659919028</v>
      </c>
      <c r="H1218" s="28"/>
      <c r="I1218" s="55">
        <f t="shared" si="2"/>
        <v>2756.394699</v>
      </c>
      <c r="J1218" s="81"/>
      <c r="K1218" s="60">
        <f>IFERROR(__xludf.DUMMYFUNCTION("IFERROR(VLOOKUP(C1218,IMPORTRANGE(""https://docs.google.com/spreadsheets/d/1HZUHB8NvANAZR0sHDmHYVAm2WE9kNv0pGIQA48Ryim8/edit?gid=1285727875#gid=1285727875"",""Sheet1!A2:G""),7,0))"),840.54)</f>
        <v>840.54</v>
      </c>
      <c r="L1218" s="62">
        <f t="shared" si="150"/>
        <v>2.938587099</v>
      </c>
      <c r="M1218" s="60">
        <f>IFERROR(__xludf.DUMMYFUNCTION("IFERROR(VLOOKUP(C1218,IMPORTRANGE(""https://docs.google.com/spreadsheets/d/1HZUHB8NvANAZR0sHDmHYVAm2WE9kNv0pGIQA48Ryim8/edit?gid=1285727875#gid=1285727875"",""Cost!A2:G""),7,0))"),938.0)</f>
        <v>938</v>
      </c>
      <c r="N1218" s="62">
        <f t="shared" si="4"/>
        <v>3.070362473</v>
      </c>
      <c r="O1218" s="28"/>
      <c r="P1218" s="28"/>
      <c r="Q1218" s="28"/>
      <c r="R1218" s="28"/>
      <c r="S1218" s="28"/>
      <c r="T1218" s="28"/>
      <c r="U1218" s="65"/>
      <c r="V1218" s="28"/>
      <c r="W1218" s="65"/>
      <c r="X1218" s="77"/>
      <c r="Y1218" s="28"/>
    </row>
    <row r="1219">
      <c r="A1219" s="18" t="s">
        <v>1328</v>
      </c>
      <c r="B1219" s="91" t="str">
        <f t="shared" si="148"/>
        <v>BEA-23</v>
      </c>
      <c r="C1219" s="46" t="s">
        <v>612</v>
      </c>
      <c r="D1219" s="48" t="s">
        <v>609</v>
      </c>
      <c r="E1219" s="39">
        <v>2150.0</v>
      </c>
      <c r="F1219" s="39">
        <v>2440.0</v>
      </c>
      <c r="G1219" s="50">
        <f t="shared" si="149"/>
        <v>0.1348837209</v>
      </c>
      <c r="H1219" s="28"/>
      <c r="I1219" s="55">
        <f t="shared" si="2"/>
        <v>2417.440704</v>
      </c>
      <c r="J1219" s="81"/>
      <c r="K1219" s="60">
        <f>IFERROR(__xludf.DUMMYFUNCTION("IFERROR(VLOOKUP(C1219,IMPORTRANGE(""https://docs.google.com/spreadsheets/d/1HZUHB8NvANAZR0sHDmHYVAm2WE9kNv0pGIQA48Ryim8/edit?gid=1285727875#gid=1285727875"",""Sheet1!A2:G""),7,0))"),593.21)</f>
        <v>593.21</v>
      </c>
      <c r="L1219" s="62">
        <f t="shared" si="150"/>
        <v>3.624348882</v>
      </c>
      <c r="M1219" s="60">
        <f>IFERROR(__xludf.DUMMYFUNCTION("IFERROR(VLOOKUP(C1219,IMPORTRANGE(""https://docs.google.com/spreadsheets/d/1HZUHB8NvANAZR0sHDmHYVAm2WE9kNv0pGIQA48Ryim8/edit?gid=1285727875#gid=1285727875"",""Cost!A2:G""),7,0))"),667.0)</f>
        <v>667</v>
      </c>
      <c r="N1219" s="62">
        <f t="shared" si="4"/>
        <v>3.658170915</v>
      </c>
      <c r="O1219" s="28"/>
      <c r="P1219" s="28"/>
      <c r="Q1219" s="28"/>
      <c r="R1219" s="28"/>
      <c r="S1219" s="28"/>
      <c r="T1219" s="28"/>
      <c r="U1219" s="65"/>
      <c r="V1219" s="28"/>
      <c r="W1219" s="65"/>
      <c r="X1219" s="77"/>
      <c r="Y1219" s="28"/>
    </row>
    <row r="1220">
      <c r="A1220" s="18" t="s">
        <v>1328</v>
      </c>
      <c r="B1220" s="91" t="str">
        <f t="shared" si="148"/>
        <v>BEA-26</v>
      </c>
      <c r="C1220" s="46" t="s">
        <v>613</v>
      </c>
      <c r="D1220" s="48" t="s">
        <v>611</v>
      </c>
      <c r="E1220" s="39">
        <v>2370.0</v>
      </c>
      <c r="F1220" s="39">
        <v>2780.0</v>
      </c>
      <c r="G1220" s="50">
        <f t="shared" si="149"/>
        <v>0.1729957806</v>
      </c>
      <c r="H1220" s="28"/>
      <c r="I1220" s="55">
        <f t="shared" si="2"/>
        <v>2644.166633</v>
      </c>
      <c r="J1220" s="81"/>
      <c r="K1220" s="60">
        <f>IFERROR(__xludf.DUMMYFUNCTION("IFERROR(VLOOKUP(C1220,IMPORTRANGE(""https://docs.google.com/spreadsheets/d/1HZUHB8NvANAZR0sHDmHYVAm2WE9kNv0pGIQA48Ryim8/edit?gid=1285727875#gid=1285727875"",""Sheet1!A2:G""),7,0))"),751.11)</f>
        <v>751.11</v>
      </c>
      <c r="L1220" s="62">
        <f t="shared" si="150"/>
        <v>3.155330111</v>
      </c>
      <c r="M1220" s="60">
        <f>IFERROR(__xludf.DUMMYFUNCTION("IFERROR(VLOOKUP(C1220,IMPORTRANGE(""https://docs.google.com/spreadsheets/d/1HZUHB8NvANAZR0sHDmHYVAm2WE9kNv0pGIQA48Ryim8/edit?gid=1285727875#gid=1285727875"",""Cost!A2:G""),7,0))"),838.0)</f>
        <v>838</v>
      </c>
      <c r="N1220" s="62">
        <f t="shared" si="4"/>
        <v>3.317422434</v>
      </c>
      <c r="O1220" s="28"/>
      <c r="P1220" s="28"/>
      <c r="Q1220" s="28"/>
      <c r="R1220" s="28"/>
      <c r="S1220" s="28"/>
      <c r="T1220" s="28"/>
      <c r="U1220" s="65"/>
      <c r="V1220" s="28"/>
      <c r="W1220" s="65"/>
      <c r="X1220" s="77"/>
      <c r="Y1220" s="28"/>
    </row>
    <row r="1221">
      <c r="A1221" s="18" t="s">
        <v>1328</v>
      </c>
      <c r="B1221" s="91" t="str">
        <f t="shared" si="148"/>
        <v>BEA-25</v>
      </c>
      <c r="C1221" s="46" t="s">
        <v>617</v>
      </c>
      <c r="D1221" s="48" t="s">
        <v>618</v>
      </c>
      <c r="E1221" s="39">
        <v>910.0</v>
      </c>
      <c r="F1221" s="39">
        <v>910.0</v>
      </c>
      <c r="G1221" s="50">
        <f t="shared" si="149"/>
        <v>0</v>
      </c>
      <c r="H1221" s="28"/>
      <c r="I1221" s="55">
        <f t="shared" si="2"/>
        <v>1002.147688</v>
      </c>
      <c r="J1221" s="81"/>
      <c r="K1221" s="60">
        <f>IFERROR(__xludf.DUMMYFUNCTION("IFERROR(VLOOKUP(C1221,IMPORTRANGE(""https://docs.google.com/spreadsheets/d/1HZUHB8NvANAZR0sHDmHYVAm2WE9kNv0pGIQA48Ryim8/edit?gid=1285727875#gid=1285727875"",""Sheet1!A2:G""),7,0))"),218.84)</f>
        <v>218.84</v>
      </c>
      <c r="L1221" s="62">
        <f t="shared" si="150"/>
        <v>4.158289161</v>
      </c>
      <c r="M1221" s="60">
        <f>IFERROR(__xludf.DUMMYFUNCTION("IFERROR(VLOOKUP(C1221,IMPORTRANGE(""https://docs.google.com/spreadsheets/d/1HZUHB8NvANAZR0sHDmHYVAm2WE9kNv0pGIQA48Ryim8/edit?gid=1285727875#gid=1285727875"",""Cost!A2:G""),7,0))"),241.0)</f>
        <v>241</v>
      </c>
      <c r="N1221" s="62">
        <f t="shared" si="4"/>
        <v>3.77593361</v>
      </c>
      <c r="O1221" s="28"/>
      <c r="P1221" s="28"/>
      <c r="Q1221" s="28"/>
      <c r="R1221" s="28"/>
      <c r="S1221" s="28"/>
      <c r="T1221" s="28"/>
      <c r="U1221" s="65"/>
      <c r="V1221" s="28"/>
      <c r="W1221" s="65"/>
      <c r="X1221" s="77"/>
      <c r="Y1221" s="28"/>
    </row>
    <row r="1222">
      <c r="A1222" s="18" t="s">
        <v>1328</v>
      </c>
      <c r="B1222" s="91" t="str">
        <f t="shared" si="148"/>
        <v>SE-05</v>
      </c>
      <c r="C1222" s="46" t="s">
        <v>854</v>
      </c>
      <c r="D1222" s="48" t="s">
        <v>855</v>
      </c>
      <c r="E1222" s="39">
        <v>58.0</v>
      </c>
      <c r="F1222" s="39">
        <v>58.0</v>
      </c>
      <c r="G1222" s="50">
        <f t="shared" si="149"/>
        <v>0</v>
      </c>
      <c r="H1222" s="28"/>
      <c r="I1222" s="55">
        <f t="shared" si="2"/>
        <v>62.24747475</v>
      </c>
      <c r="J1222" s="81"/>
      <c r="K1222" s="60">
        <f>IFERROR(__xludf.DUMMYFUNCTION("IFERROR(VLOOKUP(C1222,IMPORTRANGE(""https://docs.google.com/spreadsheets/d/1HZUHB8NvANAZR0sHDmHYVAm2WE9kNv0pGIQA48Ryim8/edit?gid=1285727875#gid=1285727875"",""Sheet1!A2:G""),7,0))"),15.84)</f>
        <v>15.84</v>
      </c>
      <c r="L1222" s="62">
        <f t="shared" si="150"/>
        <v>3.661616162</v>
      </c>
      <c r="M1222" s="60">
        <f>IFERROR(__xludf.DUMMYFUNCTION("IFERROR(VLOOKUP(C1222,IMPORTRANGE(""https://docs.google.com/spreadsheets/d/1HZUHB8NvANAZR0sHDmHYVAm2WE9kNv0pGIQA48Ryim8/edit?gid=1285727875#gid=1285727875"",""Cost!A2:G""),7,0))"),17.0)</f>
        <v>17</v>
      </c>
      <c r="N1222" s="62">
        <f t="shared" si="4"/>
        <v>3.411764706</v>
      </c>
      <c r="O1222" s="28"/>
      <c r="P1222" s="28"/>
      <c r="Q1222" s="28"/>
      <c r="R1222" s="28"/>
      <c r="S1222" s="28"/>
      <c r="T1222" s="28"/>
      <c r="U1222" s="65"/>
      <c r="V1222" s="28"/>
      <c r="W1222" s="65"/>
      <c r="X1222" s="77"/>
      <c r="Y1222" s="28"/>
    </row>
    <row r="1223">
      <c r="A1223" s="18" t="s">
        <v>1328</v>
      </c>
      <c r="B1223" s="91" t="str">
        <f t="shared" si="148"/>
        <v>SE-06</v>
      </c>
      <c r="C1223" s="46" t="s">
        <v>857</v>
      </c>
      <c r="D1223" s="48" t="s">
        <v>858</v>
      </c>
      <c r="E1223" s="39">
        <v>58.0</v>
      </c>
      <c r="F1223" s="39">
        <v>58.0</v>
      </c>
      <c r="G1223" s="50">
        <f t="shared" si="149"/>
        <v>0</v>
      </c>
      <c r="H1223" s="28"/>
      <c r="I1223" s="55">
        <f t="shared" si="2"/>
        <v>54.92424242</v>
      </c>
      <c r="J1223" s="81"/>
      <c r="K1223" s="60">
        <f>IFERROR(__xludf.DUMMYFUNCTION("IFERROR(VLOOKUP(C1223,IMPORTRANGE(""https://docs.google.com/spreadsheets/d/1HZUHB8NvANAZR0sHDmHYVAm2WE9kNv0pGIQA48Ryim8/edit?gid=1285727875#gid=1285727875"",""Sheet1!A2:G""),7,0))"),15.84)</f>
        <v>15.84</v>
      </c>
      <c r="L1223" s="62">
        <f t="shared" si="150"/>
        <v>3.661616162</v>
      </c>
      <c r="M1223" s="60">
        <f>IFERROR(__xludf.DUMMYFUNCTION("IFERROR(VLOOKUP(C1223,IMPORTRANGE(""https://docs.google.com/spreadsheets/d/1HZUHB8NvANAZR0sHDmHYVAm2WE9kNv0pGIQA48Ryim8/edit?gid=1285727875#gid=1285727875"",""Cost!A2:G""),7,0))"),15.0)</f>
        <v>15</v>
      </c>
      <c r="N1223" s="62">
        <f t="shared" si="4"/>
        <v>3.866666667</v>
      </c>
      <c r="O1223" s="28"/>
      <c r="P1223" s="28"/>
      <c r="Q1223" s="28"/>
      <c r="R1223" s="28"/>
      <c r="S1223" s="28"/>
      <c r="T1223" s="28"/>
      <c r="U1223" s="65"/>
      <c r="V1223" s="28"/>
      <c r="W1223" s="65"/>
      <c r="X1223" s="77"/>
      <c r="Y1223" s="28"/>
    </row>
    <row r="1224">
      <c r="A1224" s="18" t="s">
        <v>1328</v>
      </c>
      <c r="B1224" s="91" t="str">
        <f t="shared" si="148"/>
        <v>RB-45</v>
      </c>
      <c r="C1224" s="46" t="s">
        <v>862</v>
      </c>
      <c r="D1224" s="48" t="s">
        <v>863</v>
      </c>
      <c r="E1224" s="39">
        <v>790.0</v>
      </c>
      <c r="F1224" s="39">
        <v>790.0</v>
      </c>
      <c r="G1224" s="50">
        <f t="shared" si="149"/>
        <v>0</v>
      </c>
      <c r="H1224" s="28"/>
      <c r="I1224" s="55">
        <f t="shared" si="2"/>
        <v>791.130186</v>
      </c>
      <c r="J1224" s="81"/>
      <c r="K1224" s="60">
        <f>IFERROR(__xludf.DUMMYFUNCTION("IFERROR(VLOOKUP(C1224,IMPORTRANGE(""https://docs.google.com/spreadsheets/d/1HZUHB8NvANAZR0sHDmHYVAm2WE9kNv0pGIQA48Ryim8/edit?gid=1285727875#gid=1285727875"",""Sheet1!A2:G""),7,0))"),202.71)</f>
        <v>202.71</v>
      </c>
      <c r="L1224" s="62">
        <f t="shared" si="150"/>
        <v>3.897193034</v>
      </c>
      <c r="M1224" s="60">
        <f>IFERROR(__xludf.DUMMYFUNCTION("IFERROR(VLOOKUP(C1224,IMPORTRANGE(""https://docs.google.com/spreadsheets/d/1HZUHB8NvANAZR0sHDmHYVAm2WE9kNv0pGIQA48Ryim8/edit?gid=1285727875#gid=1285727875"",""Cost!A2:G""),7,0))"),203.0)</f>
        <v>203</v>
      </c>
      <c r="N1224" s="62">
        <f t="shared" si="4"/>
        <v>3.891625616</v>
      </c>
      <c r="O1224" s="28"/>
      <c r="P1224" s="28"/>
      <c r="Q1224" s="28"/>
      <c r="R1224" s="28"/>
      <c r="S1224" s="28"/>
      <c r="T1224" s="28"/>
      <c r="U1224" s="65"/>
      <c r="V1224" s="28"/>
      <c r="W1224" s="65"/>
      <c r="X1224" s="77"/>
      <c r="Y1224" s="28"/>
    </row>
    <row r="1225">
      <c r="A1225" s="18" t="s">
        <v>1328</v>
      </c>
      <c r="B1225" s="91" t="str">
        <f t="shared" si="148"/>
        <v>RB-46</v>
      </c>
      <c r="C1225" s="46" t="s">
        <v>864</v>
      </c>
      <c r="D1225" s="48" t="s">
        <v>865</v>
      </c>
      <c r="E1225" s="39">
        <v>380.0</v>
      </c>
      <c r="F1225" s="39">
        <v>380.0</v>
      </c>
      <c r="G1225" s="50">
        <f t="shared" si="149"/>
        <v>0</v>
      </c>
      <c r="H1225" s="28"/>
      <c r="I1225" s="55">
        <f t="shared" si="2"/>
        <v>406.1545689</v>
      </c>
      <c r="J1225" s="81"/>
      <c r="K1225" s="60">
        <f>IFERROR(__xludf.DUMMYFUNCTION("IFERROR(VLOOKUP(C1225,IMPORTRANGE(""https://docs.google.com/spreadsheets/d/1HZUHB8NvANAZR0sHDmHYVAm2WE9kNv0pGIQA48Ryim8/edit?gid=1285727875#gid=1285727875"",""Sheet1!A2:G""),7,0))"),85.14)</f>
        <v>85.14</v>
      </c>
      <c r="L1225" s="62">
        <f t="shared" si="150"/>
        <v>4.463237021</v>
      </c>
      <c r="M1225" s="60">
        <f>IFERROR(__xludf.DUMMYFUNCTION("IFERROR(VLOOKUP(C1225,IMPORTRANGE(""https://docs.google.com/spreadsheets/d/1HZUHB8NvANAZR0sHDmHYVAm2WE9kNv0pGIQA48Ryim8/edit?gid=1285727875#gid=1285727875"",""Cost!A2:G""),7,0))"),91.0)</f>
        <v>91</v>
      </c>
      <c r="N1225" s="62">
        <f t="shared" si="4"/>
        <v>4.175824176</v>
      </c>
      <c r="O1225" s="28"/>
      <c r="P1225" s="28"/>
      <c r="Q1225" s="28"/>
      <c r="R1225" s="28"/>
      <c r="S1225" s="28"/>
      <c r="T1225" s="28"/>
      <c r="U1225" s="65"/>
      <c r="V1225" s="28"/>
      <c r="W1225" s="65"/>
      <c r="X1225" s="77"/>
      <c r="Y1225" s="28"/>
    </row>
    <row r="1226">
      <c r="A1226" s="18" t="s">
        <v>1328</v>
      </c>
      <c r="B1226" s="91" t="str">
        <f t="shared" si="148"/>
        <v>BEA-31</v>
      </c>
      <c r="C1226" s="46" t="s">
        <v>867</v>
      </c>
      <c r="D1226" s="48" t="s">
        <v>868</v>
      </c>
      <c r="E1226" s="39">
        <v>3230.0</v>
      </c>
      <c r="F1226" s="39">
        <v>3440.0</v>
      </c>
      <c r="G1226" s="50">
        <f t="shared" si="149"/>
        <v>0.06501547988</v>
      </c>
      <c r="H1226" s="28"/>
      <c r="I1226" s="55">
        <f t="shared" si="2"/>
        <v>3258.677614</v>
      </c>
      <c r="J1226" s="81"/>
      <c r="K1226" s="60">
        <f>IFERROR(__xludf.DUMMYFUNCTION("IFERROR(VLOOKUP(C1226,IMPORTRANGE(""https://docs.google.com/spreadsheets/d/1HZUHB8NvANAZR0sHDmHYVAm2WE9kNv0pGIQA48Ryim8/edit?gid=1285727875#gid=1285727875"",""Sheet1!A2:G""),7,0))"),1032.83)</f>
        <v>1032.83</v>
      </c>
      <c r="L1226" s="62">
        <f t="shared" si="150"/>
        <v>3.127329764</v>
      </c>
      <c r="M1226" s="60">
        <f>IFERROR(__xludf.DUMMYFUNCTION("IFERROR(VLOOKUP(C1226,IMPORTRANGE(""https://docs.google.com/spreadsheets/d/1HZUHB8NvANAZR0sHDmHYVAm2WE9kNv0pGIQA48Ryim8/edit?gid=1285727875#gid=1285727875"",""Cost!A2:G""),7,0))"),1042.0)</f>
        <v>1042</v>
      </c>
      <c r="N1226" s="62">
        <f t="shared" si="4"/>
        <v>3.30134357</v>
      </c>
      <c r="O1226" s="28"/>
      <c r="P1226" s="28"/>
      <c r="Q1226" s="28"/>
      <c r="R1226" s="28"/>
      <c r="S1226" s="28"/>
      <c r="T1226" s="28"/>
      <c r="U1226" s="65"/>
      <c r="V1226" s="28"/>
      <c r="W1226" s="65"/>
      <c r="X1226" s="77"/>
      <c r="Y1226" s="28"/>
    </row>
    <row r="1227">
      <c r="A1227" s="18" t="s">
        <v>1328</v>
      </c>
      <c r="B1227" s="91" t="str">
        <f t="shared" si="148"/>
        <v>BEA-32</v>
      </c>
      <c r="C1227" s="46" t="s">
        <v>869</v>
      </c>
      <c r="D1227" s="48" t="s">
        <v>870</v>
      </c>
      <c r="E1227" s="39">
        <v>3340.0</v>
      </c>
      <c r="F1227" s="39">
        <v>3880.0</v>
      </c>
      <c r="G1227" s="50">
        <f t="shared" si="149"/>
        <v>0.1616766467</v>
      </c>
      <c r="H1227" s="28"/>
      <c r="I1227" s="55">
        <f t="shared" si="2"/>
        <v>3750.291193</v>
      </c>
      <c r="J1227" s="81"/>
      <c r="K1227" s="60">
        <f>IFERROR(__xludf.DUMMYFUNCTION("IFERROR(VLOOKUP(C1227,IMPORTRANGE(""https://docs.google.com/spreadsheets/d/1HZUHB8NvANAZR0sHDmHYVAm2WE9kNv0pGIQA48Ryim8/edit?gid=1285727875#gid=1285727875"",""Sheet1!A2:G""),7,0))"),1073.17)</f>
        <v>1073.17</v>
      </c>
      <c r="L1227" s="62">
        <f t="shared" si="150"/>
        <v>3.112274849</v>
      </c>
      <c r="M1227" s="60">
        <f>IFERROR(__xludf.DUMMYFUNCTION("IFERROR(VLOOKUP(C1227,IMPORTRANGE(""https://docs.google.com/spreadsheets/d/1HZUHB8NvANAZR0sHDmHYVAm2WE9kNv0pGIQA48Ryim8/edit?gid=1285727875#gid=1285727875"",""Cost!A2:G""),7,0))"),1205.0)</f>
        <v>1205</v>
      </c>
      <c r="N1227" s="62">
        <f t="shared" si="4"/>
        <v>3.219917012</v>
      </c>
      <c r="O1227" s="28"/>
      <c r="P1227" s="28"/>
      <c r="Q1227" s="28"/>
      <c r="R1227" s="28"/>
      <c r="S1227" s="28"/>
      <c r="T1227" s="28"/>
      <c r="U1227" s="65"/>
      <c r="V1227" s="28"/>
      <c r="W1227" s="65"/>
      <c r="X1227" s="77"/>
      <c r="Y1227" s="28"/>
    </row>
    <row r="1228">
      <c r="A1228" s="18" t="s">
        <v>1328</v>
      </c>
      <c r="B1228" s="91" t="str">
        <f t="shared" si="148"/>
        <v>BEA-33</v>
      </c>
      <c r="C1228" s="46" t="s">
        <v>871</v>
      </c>
      <c r="D1228" s="48" t="s">
        <v>872</v>
      </c>
      <c r="E1228" s="39">
        <v>3840.0</v>
      </c>
      <c r="F1228" s="39">
        <v>4140.0</v>
      </c>
      <c r="G1228" s="50">
        <f t="shared" si="149"/>
        <v>0.078125</v>
      </c>
      <c r="H1228" s="28"/>
      <c r="I1228" s="55">
        <f t="shared" si="2"/>
        <v>4182.266391</v>
      </c>
      <c r="J1228" s="81"/>
      <c r="K1228" s="60">
        <f>IFERROR(__xludf.DUMMYFUNCTION("IFERROR(VLOOKUP(C1228,IMPORTRANGE(""https://docs.google.com/spreadsheets/d/1HZUHB8NvANAZR0sHDmHYVAm2WE9kNv0pGIQA48Ryim8/edit?gid=1285727875#gid=1285727875"",""Sheet1!A2:G""),7,0))"),1164.23)</f>
        <v>1164.23</v>
      </c>
      <c r="L1228" s="62">
        <f t="shared" si="150"/>
        <v>3.298317343</v>
      </c>
      <c r="M1228" s="60">
        <f>IFERROR(__xludf.DUMMYFUNCTION("IFERROR(VLOOKUP(C1228,IMPORTRANGE(""https://docs.google.com/spreadsheets/d/1HZUHB8NvANAZR0sHDmHYVAm2WE9kNv0pGIQA48Ryim8/edit?gid=1285727875#gid=1285727875"",""Cost!A2:G""),7,0))"),1268.0)</f>
        <v>1268</v>
      </c>
      <c r="N1228" s="62">
        <f t="shared" si="4"/>
        <v>3.264984227</v>
      </c>
      <c r="O1228" s="28"/>
      <c r="P1228" s="28"/>
      <c r="Q1228" s="28"/>
      <c r="R1228" s="28"/>
      <c r="S1228" s="28"/>
      <c r="T1228" s="28"/>
      <c r="U1228" s="65"/>
      <c r="V1228" s="28"/>
      <c r="W1228" s="65"/>
      <c r="X1228" s="77"/>
      <c r="Y1228" s="28"/>
    </row>
    <row r="1229">
      <c r="A1229" s="18" t="s">
        <v>1328</v>
      </c>
      <c r="B1229" s="91" t="str">
        <f t="shared" si="148"/>
        <v>BEA-34</v>
      </c>
      <c r="C1229" s="46" t="s">
        <v>873</v>
      </c>
      <c r="D1229" s="48" t="s">
        <v>874</v>
      </c>
      <c r="E1229" s="39">
        <v>3840.0</v>
      </c>
      <c r="F1229" s="39">
        <v>3840.0</v>
      </c>
      <c r="G1229" s="50">
        <f t="shared" si="149"/>
        <v>0</v>
      </c>
      <c r="H1229" s="28"/>
      <c r="I1229" s="55">
        <f t="shared" si="2"/>
        <v>3846.833419</v>
      </c>
      <c r="J1229" s="81"/>
      <c r="K1229" s="60">
        <f>IFERROR(__xludf.DUMMYFUNCTION("IFERROR(VLOOKUP(C1229,IMPORTRANGE(""https://docs.google.com/spreadsheets/d/1HZUHB8NvANAZR0sHDmHYVAm2WE9kNv0pGIQA48Ryim8/edit?gid=1285727875#gid=1285727875"",""Sheet1!A2:G""),7,0))"),1107.03)</f>
        <v>1107.03</v>
      </c>
      <c r="L1229" s="62">
        <f t="shared" si="150"/>
        <v>3.468740685</v>
      </c>
      <c r="M1229" s="60">
        <f>IFERROR(__xludf.DUMMYFUNCTION("IFERROR(VLOOKUP(C1229,IMPORTRANGE(""https://docs.google.com/spreadsheets/d/1HZUHB8NvANAZR0sHDmHYVAm2WE9kNv0pGIQA48Ryim8/edit?gid=1285727875#gid=1285727875"",""Cost!A2:G""),7,0))"),1109.0)</f>
        <v>1109</v>
      </c>
      <c r="N1229" s="62">
        <f t="shared" si="4"/>
        <v>3.4625789</v>
      </c>
      <c r="O1229" s="28"/>
      <c r="P1229" s="28"/>
      <c r="Q1229" s="28"/>
      <c r="R1229" s="28"/>
      <c r="S1229" s="28"/>
      <c r="T1229" s="28"/>
      <c r="U1229" s="65"/>
      <c r="V1229" s="28"/>
      <c r="W1229" s="65"/>
      <c r="X1229" s="77"/>
      <c r="Y1229" s="28"/>
    </row>
    <row r="1230">
      <c r="A1230" s="18" t="s">
        <v>1328</v>
      </c>
      <c r="B1230" s="91" t="str">
        <f t="shared" si="148"/>
        <v>BEA-35</v>
      </c>
      <c r="C1230" s="46" t="s">
        <v>875</v>
      </c>
      <c r="D1230" s="48" t="s">
        <v>876</v>
      </c>
      <c r="E1230" s="39">
        <v>4910.0</v>
      </c>
      <c r="F1230" s="39">
        <v>5440.0</v>
      </c>
      <c r="G1230" s="50">
        <f t="shared" si="149"/>
        <v>0.1079429735</v>
      </c>
      <c r="H1230" s="28"/>
      <c r="I1230" s="55">
        <f t="shared" si="2"/>
        <v>5378.721642</v>
      </c>
      <c r="J1230" s="81"/>
      <c r="K1230" s="60">
        <f>IFERROR(__xludf.DUMMYFUNCTION("IFERROR(VLOOKUP(C1230,IMPORTRANGE(""https://docs.google.com/spreadsheets/d/1HZUHB8NvANAZR0sHDmHYVAm2WE9kNv0pGIQA48Ryim8/edit?gid=1285727875#gid=1285727875"",""Sheet1!A2:G""),7,0))"),1569.2)</f>
        <v>1569.2</v>
      </c>
      <c r="L1230" s="62">
        <f t="shared" si="150"/>
        <v>3.128982921</v>
      </c>
      <c r="M1230" s="60">
        <f>IFERROR(__xludf.DUMMYFUNCTION("IFERROR(VLOOKUP(C1230,IMPORTRANGE(""https://docs.google.com/spreadsheets/d/1HZUHB8NvANAZR0sHDmHYVAm2WE9kNv0pGIQA48Ryim8/edit?gid=1285727875#gid=1285727875"",""Cost!A2:G""),7,0))"),1719.0)</f>
        <v>1719</v>
      </c>
      <c r="N1230" s="62">
        <f t="shared" si="4"/>
        <v>3.164630599</v>
      </c>
      <c r="O1230" s="28"/>
      <c r="P1230" s="28"/>
      <c r="Q1230" s="28"/>
      <c r="R1230" s="28"/>
      <c r="S1230" s="28"/>
      <c r="T1230" s="28"/>
      <c r="U1230" s="65"/>
      <c r="V1230" s="28"/>
      <c r="W1230" s="65"/>
      <c r="X1230" s="77"/>
      <c r="Y1230" s="28"/>
    </row>
    <row r="1231">
      <c r="A1231" s="18" t="s">
        <v>1328</v>
      </c>
      <c r="B1231" s="91" t="str">
        <f t="shared" si="148"/>
        <v>BEA-36</v>
      </c>
      <c r="C1231" s="46" t="s">
        <v>877</v>
      </c>
      <c r="D1231" s="48" t="s">
        <v>878</v>
      </c>
      <c r="E1231" s="39">
        <v>4910.0</v>
      </c>
      <c r="F1231" s="39">
        <v>5440.0</v>
      </c>
      <c r="G1231" s="50">
        <f t="shared" si="149"/>
        <v>0.1079429735</v>
      </c>
      <c r="H1231" s="28"/>
      <c r="I1231" s="55">
        <f t="shared" si="2"/>
        <v>4914.50333</v>
      </c>
      <c r="J1231" s="81"/>
      <c r="K1231" s="60">
        <f>IFERROR(__xludf.DUMMYFUNCTION("IFERROR(VLOOKUP(C1231,IMPORTRANGE(""https://docs.google.com/spreadsheets/d/1HZUHB8NvANAZR0sHDmHYVAm2WE9kNv0pGIQA48Ryim8/edit?gid=1285727875#gid=1285727875"",""Sheet1!A2:G""),7,0))"),1504.62)</f>
        <v>1504.62</v>
      </c>
      <c r="L1231" s="62">
        <f t="shared" si="150"/>
        <v>3.263282423</v>
      </c>
      <c r="M1231" s="60">
        <f>IFERROR(__xludf.DUMMYFUNCTION("IFERROR(VLOOKUP(C1231,IMPORTRANGE(""https://docs.google.com/spreadsheets/d/1HZUHB8NvANAZR0sHDmHYVAm2WE9kNv0pGIQA48Ryim8/edit?gid=1285727875#gid=1285727875"",""Cost!A2:G""),7,0))"),1506.0)</f>
        <v>1506</v>
      </c>
      <c r="N1231" s="62">
        <f t="shared" si="4"/>
        <v>3.612217795</v>
      </c>
      <c r="O1231" s="28"/>
      <c r="P1231" s="28"/>
      <c r="Q1231" s="28"/>
      <c r="R1231" s="28"/>
      <c r="S1231" s="28"/>
      <c r="T1231" s="28"/>
      <c r="U1231" s="65"/>
      <c r="V1231" s="28"/>
      <c r="W1231" s="65"/>
      <c r="X1231" s="77"/>
      <c r="Y1231" s="28"/>
    </row>
    <row r="1232">
      <c r="A1232" s="18" t="s">
        <v>1328</v>
      </c>
      <c r="B1232" s="91" t="str">
        <f t="shared" si="148"/>
        <v>BEA-37</v>
      </c>
      <c r="C1232" s="46" t="s">
        <v>879</v>
      </c>
      <c r="D1232" s="48" t="s">
        <v>880</v>
      </c>
      <c r="E1232" s="39">
        <v>4910.0</v>
      </c>
      <c r="F1232" s="39">
        <v>5840.0</v>
      </c>
      <c r="G1232" s="50">
        <f t="shared" si="149"/>
        <v>0.1894093686</v>
      </c>
      <c r="H1232" s="28"/>
      <c r="I1232" s="55">
        <f t="shared" si="2"/>
        <v>5422.972335</v>
      </c>
      <c r="J1232" s="81"/>
      <c r="K1232" s="60">
        <f>IFERROR(__xludf.DUMMYFUNCTION("IFERROR(VLOOKUP(C1232,IMPORTRANGE(""https://docs.google.com/spreadsheets/d/1HZUHB8NvANAZR0sHDmHYVAm2WE9kNv0pGIQA48Ryim8/edit?gid=1285727875#gid=1285727875"",""Sheet1!A2:G""),7,0))"),1610.72)</f>
        <v>1610.72</v>
      </c>
      <c r="L1232" s="62">
        <f t="shared" si="150"/>
        <v>3.048326214</v>
      </c>
      <c r="M1232" s="60">
        <f>IFERROR(__xludf.DUMMYFUNCTION("IFERROR(VLOOKUP(C1232,IMPORTRANGE(""https://docs.google.com/spreadsheets/d/1HZUHB8NvANAZR0sHDmHYVAm2WE9kNv0pGIQA48Ryim8/edit?gid=1285727875#gid=1285727875"",""Cost!A2:G""),7,0))"),1779.0)</f>
        <v>1779</v>
      </c>
      <c r="N1232" s="62">
        <f t="shared" si="4"/>
        <v>3.282743114</v>
      </c>
      <c r="O1232" s="28"/>
      <c r="P1232" s="28"/>
      <c r="Q1232" s="28"/>
      <c r="R1232" s="28"/>
      <c r="S1232" s="28"/>
      <c r="T1232" s="28"/>
      <c r="U1232" s="65"/>
      <c r="V1232" s="28"/>
      <c r="W1232" s="65"/>
      <c r="X1232" s="77"/>
      <c r="Y1232" s="28"/>
    </row>
    <row r="1233">
      <c r="A1233" s="18" t="s">
        <v>1328</v>
      </c>
      <c r="B1233" s="91" t="str">
        <f t="shared" si="148"/>
        <v>BEA-42</v>
      </c>
      <c r="C1233" s="46" t="s">
        <v>881</v>
      </c>
      <c r="D1233" s="48" t="s">
        <v>882</v>
      </c>
      <c r="E1233" s="39">
        <v>1560.0</v>
      </c>
      <c r="F1233" s="39">
        <v>1680.0</v>
      </c>
      <c r="G1233" s="50">
        <f t="shared" si="149"/>
        <v>0.07692307692</v>
      </c>
      <c r="H1233" s="28"/>
      <c r="I1233" s="55">
        <f t="shared" si="2"/>
        <v>1776.105735</v>
      </c>
      <c r="J1233" s="81"/>
      <c r="K1233" s="60">
        <f>IFERROR(__xludf.DUMMYFUNCTION("IFERROR(VLOOKUP(C1233,IMPORTRANGE(""https://docs.google.com/spreadsheets/d/1HZUHB8NvANAZR0sHDmHYVAm2WE9kNv0pGIQA48Ryim8/edit?gid=1285727875#gid=1285727875"",""Sheet1!A2:G""),7,0))"),404.03)</f>
        <v>404.03</v>
      </c>
      <c r="L1233" s="62">
        <f t="shared" si="150"/>
        <v>3.861099423</v>
      </c>
      <c r="M1233" s="60">
        <f>IFERROR(__xludf.DUMMYFUNCTION("IFERROR(VLOOKUP(C1233,IMPORTRANGE(""https://docs.google.com/spreadsheets/d/1HZUHB8NvANAZR0sHDmHYVAm2WE9kNv0pGIQA48Ryim8/edit?gid=1285727875#gid=1285727875"",""Cost!A2:G""),7,0))"),460.0)</f>
        <v>460</v>
      </c>
      <c r="N1233" s="62">
        <f t="shared" si="4"/>
        <v>3.652173913</v>
      </c>
      <c r="O1233" s="28"/>
      <c r="P1233" s="28"/>
      <c r="Q1233" s="28"/>
      <c r="R1233" s="28"/>
      <c r="S1233" s="28"/>
      <c r="T1233" s="28"/>
      <c r="U1233" s="65"/>
      <c r="V1233" s="28"/>
      <c r="W1233" s="65"/>
      <c r="X1233" s="77"/>
      <c r="Y1233" s="28"/>
    </row>
    <row r="1234">
      <c r="A1234" s="18" t="s">
        <v>1328</v>
      </c>
      <c r="B1234" s="91" t="str">
        <f t="shared" si="148"/>
        <v>BEA-44</v>
      </c>
      <c r="C1234" s="46" t="s">
        <v>885</v>
      </c>
      <c r="D1234" s="48" t="s">
        <v>886</v>
      </c>
      <c r="E1234" s="39">
        <v>1560.0</v>
      </c>
      <c r="F1234" s="39">
        <v>1680.0</v>
      </c>
      <c r="G1234" s="50">
        <f t="shared" si="149"/>
        <v>0.07692307692</v>
      </c>
      <c r="H1234" s="28"/>
      <c r="I1234" s="55">
        <f t="shared" si="2"/>
        <v>1452.274334</v>
      </c>
      <c r="J1234" s="81"/>
      <c r="K1234" s="60">
        <f>IFERROR(__xludf.DUMMYFUNCTION("IFERROR(VLOOKUP(C1234,IMPORTRANGE(""https://docs.google.com/spreadsheets/d/1HZUHB8NvANAZR0sHDmHYVAm2WE9kNv0pGIQA48Ryim8/edit?gid=1285727875#gid=1285727875"",""Sheet1!A2:G""),7,0))"),424.3)</f>
        <v>424.3</v>
      </c>
      <c r="L1234" s="62">
        <f t="shared" si="150"/>
        <v>3.676643884</v>
      </c>
      <c r="M1234" s="60">
        <f>IFERROR(__xludf.DUMMYFUNCTION("IFERROR(VLOOKUP(C1234,IMPORTRANGE(""https://docs.google.com/spreadsheets/d/1HZUHB8NvANAZR0sHDmHYVAm2WE9kNv0pGIQA48Ryim8/edit?gid=1285727875#gid=1285727875"",""Cost!A2:G""),7,0))"),395.0)</f>
        <v>395</v>
      </c>
      <c r="N1234" s="62">
        <f t="shared" si="4"/>
        <v>4.253164557</v>
      </c>
      <c r="O1234" s="28"/>
      <c r="P1234" s="28"/>
      <c r="Q1234" s="28"/>
      <c r="R1234" s="28"/>
      <c r="S1234" s="28"/>
      <c r="T1234" s="28"/>
      <c r="U1234" s="65"/>
      <c r="V1234" s="28"/>
      <c r="W1234" s="65"/>
      <c r="X1234" s="77"/>
      <c r="Y1234" s="28"/>
    </row>
    <row r="1235">
      <c r="A1235" s="18" t="s">
        <v>1328</v>
      </c>
      <c r="B1235" s="91" t="str">
        <f t="shared" si="148"/>
        <v>BEA-45</v>
      </c>
      <c r="C1235" s="46" t="s">
        <v>888</v>
      </c>
      <c r="D1235" s="48" t="s">
        <v>889</v>
      </c>
      <c r="E1235" s="39">
        <v>1560.0</v>
      </c>
      <c r="F1235" s="39">
        <v>1680.0</v>
      </c>
      <c r="G1235" s="50">
        <f t="shared" si="149"/>
        <v>0.07692307692</v>
      </c>
      <c r="H1235" s="28"/>
      <c r="I1235" s="55">
        <f t="shared" si="2"/>
        <v>1767.542547</v>
      </c>
      <c r="J1235" s="81"/>
      <c r="K1235" s="60">
        <f>IFERROR(__xludf.DUMMYFUNCTION("IFERROR(VLOOKUP(C1235,IMPORTRANGE(""https://docs.google.com/spreadsheets/d/1HZUHB8NvANAZR0sHDmHYVAm2WE9kNv0pGIQA48Ryim8/edit?gid=1285727875#gid=1285727875"",""Sheet1!A2:G""),7,0))"),434.23)</f>
        <v>434.23</v>
      </c>
      <c r="L1235" s="62">
        <f t="shared" si="150"/>
        <v>3.592566152</v>
      </c>
      <c r="M1235" s="60">
        <f>IFERROR(__xludf.DUMMYFUNCTION("IFERROR(VLOOKUP(C1235,IMPORTRANGE(""https://docs.google.com/spreadsheets/d/1HZUHB8NvANAZR0sHDmHYVAm2WE9kNv0pGIQA48Ryim8/edit?gid=1285727875#gid=1285727875"",""Cost!A2:G""),7,0))"),492.0)</f>
        <v>492</v>
      </c>
      <c r="N1235" s="62">
        <f t="shared" si="4"/>
        <v>3.414634146</v>
      </c>
      <c r="O1235" s="28"/>
      <c r="P1235" s="28"/>
      <c r="Q1235" s="28"/>
      <c r="R1235" s="28"/>
      <c r="S1235" s="28"/>
      <c r="T1235" s="28"/>
      <c r="U1235" s="65"/>
      <c r="V1235" s="28"/>
      <c r="W1235" s="65"/>
      <c r="X1235" s="77"/>
      <c r="Y1235" s="28"/>
    </row>
    <row r="1236">
      <c r="A1236" s="18" t="s">
        <v>1328</v>
      </c>
      <c r="B1236" s="91" t="str">
        <f t="shared" si="148"/>
        <v>BEA-49</v>
      </c>
      <c r="C1236" s="46" t="s">
        <v>890</v>
      </c>
      <c r="D1236" s="48" t="s">
        <v>891</v>
      </c>
      <c r="E1236" s="39">
        <v>1510.0</v>
      </c>
      <c r="F1236" s="39">
        <v>1510.0</v>
      </c>
      <c r="G1236" s="50">
        <f t="shared" si="149"/>
        <v>0</v>
      </c>
      <c r="H1236" s="28"/>
      <c r="I1236" s="55">
        <f t="shared" si="2"/>
        <v>1408.282413</v>
      </c>
      <c r="J1236" s="81"/>
      <c r="K1236" s="60">
        <f>IFERROR(__xludf.DUMMYFUNCTION("IFERROR(VLOOKUP(C1236,IMPORTRANGE(""https://docs.google.com/spreadsheets/d/1HZUHB8NvANAZR0sHDmHYVAm2WE9kNv0pGIQA48Ryim8/edit?gid=1285727875#gid=1285727875"",""Sheet1!A2:G""),7,0))"),404.23)</f>
        <v>404.23</v>
      </c>
      <c r="L1236" s="62">
        <f t="shared" si="150"/>
        <v>3.735497118</v>
      </c>
      <c r="M1236" s="60">
        <f>IFERROR(__xludf.DUMMYFUNCTION("IFERROR(VLOOKUP(C1236,IMPORTRANGE(""https://docs.google.com/spreadsheets/d/1HZUHB8NvANAZR0sHDmHYVAm2WE9kNv0pGIQA48Ryim8/edit?gid=1285727875#gid=1285727875"",""Cost!A2:G""),7,0))"),377.0)</f>
        <v>377</v>
      </c>
      <c r="N1236" s="62">
        <f t="shared" si="4"/>
        <v>4.00530504</v>
      </c>
      <c r="O1236" s="28"/>
      <c r="P1236" s="28"/>
      <c r="Q1236" s="28"/>
      <c r="R1236" s="28"/>
      <c r="S1236" s="28"/>
      <c r="T1236" s="28"/>
      <c r="U1236" s="65"/>
      <c r="V1236" s="28"/>
      <c r="W1236" s="65"/>
      <c r="X1236" s="77"/>
      <c r="Y1236" s="28"/>
    </row>
    <row r="1237">
      <c r="A1237" s="18" t="s">
        <v>1328</v>
      </c>
      <c r="B1237" s="91" t="str">
        <f t="shared" si="148"/>
        <v>BEA-43</v>
      </c>
      <c r="C1237" s="46" t="s">
        <v>892</v>
      </c>
      <c r="D1237" s="48" t="s">
        <v>893</v>
      </c>
      <c r="E1237" s="39">
        <v>1020.0</v>
      </c>
      <c r="F1237" s="39">
        <v>1020.0</v>
      </c>
      <c r="G1237" s="50">
        <f t="shared" si="149"/>
        <v>0</v>
      </c>
      <c r="H1237" s="28"/>
      <c r="I1237" s="55">
        <f t="shared" si="2"/>
        <v>1094.21447</v>
      </c>
      <c r="J1237" s="81"/>
      <c r="K1237" s="60">
        <f>IFERROR(__xludf.DUMMYFUNCTION("IFERROR(VLOOKUP(C1237,IMPORTRANGE(""https://docs.google.com/spreadsheets/d/1HZUHB8NvANAZR0sHDmHYVAm2WE9kNv0pGIQA48Ryim8/edit?gid=1285727875#gid=1285727875"",""Sheet1!A2:G""),7,0))"),244.23)</f>
        <v>244.23</v>
      </c>
      <c r="L1237" s="62">
        <f t="shared" si="150"/>
        <v>4.176391107</v>
      </c>
      <c r="M1237" s="60">
        <f>IFERROR(__xludf.DUMMYFUNCTION("IFERROR(VLOOKUP(C1237,IMPORTRANGE(""https://docs.google.com/spreadsheets/d/1HZUHB8NvANAZR0sHDmHYVAm2WE9kNv0pGIQA48Ryim8/edit?gid=1285727875#gid=1285727875"",""Cost!A2:G""),7,0))"),262.0)</f>
        <v>262</v>
      </c>
      <c r="N1237" s="62">
        <f t="shared" si="4"/>
        <v>3.893129771</v>
      </c>
      <c r="O1237" s="28"/>
      <c r="P1237" s="28"/>
      <c r="Q1237" s="28"/>
      <c r="R1237" s="28"/>
      <c r="S1237" s="28"/>
      <c r="T1237" s="28"/>
      <c r="U1237" s="65"/>
      <c r="V1237" s="28"/>
      <c r="W1237" s="65"/>
      <c r="X1237" s="77"/>
      <c r="Y1237" s="28"/>
    </row>
    <row r="1238">
      <c r="A1238" s="18" t="s">
        <v>1328</v>
      </c>
      <c r="B1238" s="91" t="str">
        <f t="shared" si="148"/>
        <v>BEA-46</v>
      </c>
      <c r="C1238" s="46" t="s">
        <v>895</v>
      </c>
      <c r="D1238" s="48" t="s">
        <v>896</v>
      </c>
      <c r="E1238" s="39">
        <v>1110.0</v>
      </c>
      <c r="F1238" s="39">
        <v>1110.0</v>
      </c>
      <c r="G1238" s="50">
        <f t="shared" si="149"/>
        <v>0</v>
      </c>
      <c r="H1238" s="28"/>
      <c r="I1238" s="55">
        <f t="shared" si="2"/>
        <v>1113.765971</v>
      </c>
      <c r="J1238" s="81"/>
      <c r="K1238" s="60">
        <f>IFERROR(__xludf.DUMMYFUNCTION("IFERROR(VLOOKUP(C1238,IMPORTRANGE(""https://docs.google.com/spreadsheets/d/1HZUHB8NvANAZR0sHDmHYVAm2WE9kNv0pGIQA48Ryim8/edit?gid=1285727875#gid=1285727875"",""Sheet1!A2:G""),7,0))"),277.06)</f>
        <v>277.06</v>
      </c>
      <c r="L1238" s="62">
        <f t="shared" si="150"/>
        <v>4.006352415</v>
      </c>
      <c r="M1238" s="60">
        <f>IFERROR(__xludf.DUMMYFUNCTION("IFERROR(VLOOKUP(C1238,IMPORTRANGE(""https://docs.google.com/spreadsheets/d/1HZUHB8NvANAZR0sHDmHYVAm2WE9kNv0pGIQA48Ryim8/edit?gid=1285727875#gid=1285727875"",""Cost!A2:G""),7,0))"),278.0)</f>
        <v>278</v>
      </c>
      <c r="N1238" s="62">
        <f t="shared" si="4"/>
        <v>3.992805755</v>
      </c>
      <c r="O1238" s="28"/>
      <c r="P1238" s="28"/>
      <c r="Q1238" s="28"/>
      <c r="R1238" s="28"/>
      <c r="S1238" s="28"/>
      <c r="T1238" s="28"/>
      <c r="U1238" s="65"/>
      <c r="V1238" s="28"/>
      <c r="W1238" s="65"/>
      <c r="X1238" s="77"/>
      <c r="Y1238" s="28"/>
    </row>
    <row r="1239">
      <c r="A1239" s="18" t="s">
        <v>1328</v>
      </c>
      <c r="B1239" s="91" t="str">
        <f t="shared" si="148"/>
        <v>BEA-47</v>
      </c>
      <c r="C1239" s="46" t="s">
        <v>898</v>
      </c>
      <c r="D1239" s="48" t="s">
        <v>899</v>
      </c>
      <c r="E1239" s="39">
        <v>1190.0</v>
      </c>
      <c r="F1239" s="39">
        <v>1190.0</v>
      </c>
      <c r="G1239" s="50">
        <f t="shared" si="149"/>
        <v>0</v>
      </c>
      <c r="H1239" s="28"/>
      <c r="I1239" s="55">
        <f t="shared" si="2"/>
        <v>1345.886742</v>
      </c>
      <c r="J1239" s="81"/>
      <c r="K1239" s="60">
        <f>IFERROR(__xludf.DUMMYFUNCTION("IFERROR(VLOOKUP(C1239,IMPORTRANGE(""https://docs.google.com/spreadsheets/d/1HZUHB8NvANAZR0sHDmHYVAm2WE9kNv0pGIQA48Ryim8/edit?gid=1285727875#gid=1285727875"",""Sheet1!A2:G""),7,0))"),251.99)</f>
        <v>251.99</v>
      </c>
      <c r="L1239" s="62">
        <f t="shared" si="150"/>
        <v>4.722409619</v>
      </c>
      <c r="M1239" s="60">
        <f>IFERROR(__xludf.DUMMYFUNCTION("IFERROR(VLOOKUP(C1239,IMPORTRANGE(""https://docs.google.com/spreadsheets/d/1HZUHB8NvANAZR0sHDmHYVAm2WE9kNv0pGIQA48Ryim8/edit?gid=1285727875#gid=1285727875"",""Cost!A2:G""),7,0))"),285.0)</f>
        <v>285</v>
      </c>
      <c r="N1239" s="62">
        <f t="shared" si="4"/>
        <v>4.175438596</v>
      </c>
      <c r="O1239" s="28"/>
      <c r="P1239" s="28"/>
      <c r="Q1239" s="28"/>
      <c r="R1239" s="28"/>
      <c r="S1239" s="28"/>
      <c r="T1239" s="28"/>
      <c r="U1239" s="65"/>
      <c r="V1239" s="28"/>
      <c r="W1239" s="65"/>
      <c r="X1239" s="77"/>
      <c r="Y1239" s="28"/>
    </row>
    <row r="1240">
      <c r="A1240" s="18" t="s">
        <v>1328</v>
      </c>
      <c r="B1240" s="91" t="str">
        <f t="shared" si="148"/>
        <v>BEA-48</v>
      </c>
      <c r="C1240" s="46" t="s">
        <v>901</v>
      </c>
      <c r="D1240" s="48" t="s">
        <v>902</v>
      </c>
      <c r="E1240" s="39">
        <v>990.0</v>
      </c>
      <c r="F1240" s="39">
        <v>990.0</v>
      </c>
      <c r="G1240" s="50">
        <f t="shared" si="149"/>
        <v>0</v>
      </c>
      <c r="H1240" s="28"/>
      <c r="I1240" s="55">
        <f t="shared" si="2"/>
        <v>1069.462647</v>
      </c>
      <c r="J1240" s="81"/>
      <c r="K1240" s="60">
        <f>IFERROR(__xludf.DUMMYFUNCTION("IFERROR(VLOOKUP(C1240,IMPORTRANGE(""https://docs.google.com/spreadsheets/d/1HZUHB8NvANAZR0sHDmHYVAm2WE9kNv0pGIQA48Ryim8/edit?gid=1285727875#gid=1285727875"",""Sheet1!A2:G""),7,0))"),251.79)</f>
        <v>251.79</v>
      </c>
      <c r="L1240" s="62">
        <f t="shared" si="150"/>
        <v>3.931847969</v>
      </c>
      <c r="M1240" s="60">
        <f>IFERROR(__xludf.DUMMYFUNCTION("IFERROR(VLOOKUP(C1240,IMPORTRANGE(""https://docs.google.com/spreadsheets/d/1HZUHB8NvANAZR0sHDmHYVAm2WE9kNv0pGIQA48Ryim8/edit?gid=1285727875#gid=1285727875"",""Cost!A2:G""),7,0))"),272.0)</f>
        <v>272</v>
      </c>
      <c r="N1240" s="62">
        <f t="shared" si="4"/>
        <v>3.639705882</v>
      </c>
      <c r="O1240" s="28"/>
      <c r="P1240" s="28"/>
      <c r="Q1240" s="28"/>
      <c r="R1240" s="28"/>
      <c r="S1240" s="28"/>
      <c r="T1240" s="28"/>
      <c r="U1240" s="65"/>
      <c r="V1240" s="28"/>
      <c r="W1240" s="65"/>
      <c r="X1240" s="77"/>
      <c r="Y1240" s="28"/>
    </row>
    <row r="1241">
      <c r="A1241" s="18" t="s">
        <v>1328</v>
      </c>
      <c r="B1241" s="91" t="str">
        <f t="shared" si="148"/>
        <v>TTS-01</v>
      </c>
      <c r="C1241" s="46" t="s">
        <v>904</v>
      </c>
      <c r="D1241" s="48" t="s">
        <v>905</v>
      </c>
      <c r="E1241" s="39">
        <v>36.0</v>
      </c>
      <c r="F1241" s="39">
        <v>36.0</v>
      </c>
      <c r="G1241" s="50">
        <f t="shared" si="149"/>
        <v>0</v>
      </c>
      <c r="H1241" s="28"/>
      <c r="I1241" s="55">
        <f t="shared" si="2"/>
        <v>35.55555556</v>
      </c>
      <c r="J1241" s="81"/>
      <c r="K1241" s="60">
        <f>IFERROR(__xludf.DUMMYFUNCTION("IFERROR(VLOOKUP(C1241,IMPORTRANGE(""https://docs.google.com/spreadsheets/d/1HZUHB8NvANAZR0sHDmHYVAm2WE9kNv0pGIQA48Ryim8/edit?gid=1285727875#gid=1285727875"",""Sheet1!A2:G""),7,0))"),8.1)</f>
        <v>8.1</v>
      </c>
      <c r="L1241" s="62">
        <f t="shared" si="150"/>
        <v>4.444444444</v>
      </c>
      <c r="M1241" s="60">
        <f>IFERROR(__xludf.DUMMYFUNCTION("IFERROR(VLOOKUP(C1241,IMPORTRANGE(""https://docs.google.com/spreadsheets/d/1HZUHB8NvANAZR0sHDmHYVAm2WE9kNv0pGIQA48Ryim8/edit?gid=1285727875#gid=1285727875"",""Cost!A2:G""),7,0))"),8.0)</f>
        <v>8</v>
      </c>
      <c r="N1241" s="62">
        <f t="shared" si="4"/>
        <v>4.5</v>
      </c>
      <c r="O1241" s="28"/>
      <c r="P1241" s="28"/>
      <c r="Q1241" s="28"/>
      <c r="R1241" s="28"/>
      <c r="S1241" s="28"/>
      <c r="T1241" s="28"/>
      <c r="U1241" s="65"/>
      <c r="V1241" s="28"/>
      <c r="W1241" s="65"/>
      <c r="X1241" s="77"/>
      <c r="Y1241" s="28"/>
    </row>
    <row r="1242">
      <c r="A1242" s="18" t="s">
        <v>1328</v>
      </c>
      <c r="B1242" s="91" t="str">
        <f t="shared" si="148"/>
        <v>TTS-02</v>
      </c>
      <c r="C1242" s="46" t="s">
        <v>907</v>
      </c>
      <c r="D1242" s="48" t="s">
        <v>908</v>
      </c>
      <c r="E1242" s="39">
        <v>40.0</v>
      </c>
      <c r="F1242" s="39">
        <v>40.0</v>
      </c>
      <c r="G1242" s="50">
        <f t="shared" si="149"/>
        <v>0</v>
      </c>
      <c r="H1242" s="28"/>
      <c r="I1242" s="55">
        <f t="shared" si="2"/>
        <v>40</v>
      </c>
      <c r="J1242" s="81"/>
      <c r="K1242" s="60">
        <f>IFERROR(__xludf.DUMMYFUNCTION("IFERROR(VLOOKUP(C1242,IMPORTRANGE(""https://docs.google.com/spreadsheets/d/1HZUHB8NvANAZR0sHDmHYVAm2WE9kNv0pGIQA48Ryim8/edit?gid=1285727875#gid=1285727875"",""Sheet1!A2:G""),7,0))"),12.0)</f>
        <v>12</v>
      </c>
      <c r="L1242" s="62">
        <f t="shared" si="150"/>
        <v>3.333333333</v>
      </c>
      <c r="M1242" s="60">
        <f>IFERROR(__xludf.DUMMYFUNCTION("IFERROR(VLOOKUP(C1242,IMPORTRANGE(""https://docs.google.com/spreadsheets/d/1HZUHB8NvANAZR0sHDmHYVAm2WE9kNv0pGIQA48Ryim8/edit?gid=1285727875#gid=1285727875"",""Cost!A2:G""),7,0))"),12.0)</f>
        <v>12</v>
      </c>
      <c r="N1242" s="62">
        <f t="shared" si="4"/>
        <v>3.333333333</v>
      </c>
      <c r="O1242" s="28"/>
      <c r="P1242" s="28"/>
      <c r="Q1242" s="28"/>
      <c r="R1242" s="28"/>
      <c r="S1242" s="28"/>
      <c r="T1242" s="28"/>
      <c r="U1242" s="65"/>
      <c r="V1242" s="28"/>
      <c r="W1242" s="65"/>
      <c r="X1242" s="77"/>
      <c r="Y1242" s="28"/>
    </row>
    <row r="1243">
      <c r="A1243" s="18" t="s">
        <v>1328</v>
      </c>
      <c r="B1243" s="91" t="str">
        <f t="shared" si="148"/>
        <v>TTS-03</v>
      </c>
      <c r="C1243" s="46" t="s">
        <v>910</v>
      </c>
      <c r="D1243" s="48" t="s">
        <v>905</v>
      </c>
      <c r="E1243" s="39">
        <v>28.0</v>
      </c>
      <c r="F1243" s="39">
        <v>28.0</v>
      </c>
      <c r="G1243" s="50">
        <f t="shared" si="149"/>
        <v>0</v>
      </c>
      <c r="H1243" s="28"/>
      <c r="I1243" s="55">
        <f t="shared" si="2"/>
        <v>27.63157895</v>
      </c>
      <c r="J1243" s="81"/>
      <c r="K1243" s="60">
        <f>IFERROR(__xludf.DUMMYFUNCTION("IFERROR(VLOOKUP(C1243,IMPORTRANGE(""https://docs.google.com/spreadsheets/d/1HZUHB8NvANAZR0sHDmHYVAm2WE9kNv0pGIQA48Ryim8/edit?gid=1285727875#gid=1285727875"",""Sheet1!A2:G""),7,0))"),6.08)</f>
        <v>6.08</v>
      </c>
      <c r="L1243" s="62">
        <f t="shared" si="150"/>
        <v>4.605263158</v>
      </c>
      <c r="M1243" s="60">
        <f>IFERROR(__xludf.DUMMYFUNCTION("IFERROR(VLOOKUP(C1243,IMPORTRANGE(""https://docs.google.com/spreadsheets/d/1HZUHB8NvANAZR0sHDmHYVAm2WE9kNv0pGIQA48Ryim8/edit?gid=1285727875#gid=1285727875"",""Cost!A2:G""),7,0))"),6.0)</f>
        <v>6</v>
      </c>
      <c r="N1243" s="62">
        <f t="shared" si="4"/>
        <v>4.666666667</v>
      </c>
      <c r="O1243" s="28"/>
      <c r="P1243" s="28"/>
      <c r="Q1243" s="28"/>
      <c r="R1243" s="28"/>
      <c r="S1243" s="28"/>
      <c r="T1243" s="28"/>
      <c r="U1243" s="65"/>
      <c r="V1243" s="28"/>
      <c r="W1243" s="65"/>
      <c r="X1243" s="77"/>
      <c r="Y1243" s="28"/>
    </row>
    <row r="1244">
      <c r="A1244" s="18" t="s">
        <v>1328</v>
      </c>
      <c r="B1244" s="91" t="str">
        <f t="shared" si="148"/>
        <v>TBH-01</v>
      </c>
      <c r="C1244" s="46" t="s">
        <v>859</v>
      </c>
      <c r="D1244" s="48" t="s">
        <v>860</v>
      </c>
      <c r="E1244" s="39">
        <v>940.0</v>
      </c>
      <c r="F1244" s="39">
        <v>940.0</v>
      </c>
      <c r="G1244" s="50">
        <f t="shared" si="149"/>
        <v>0</v>
      </c>
      <c r="H1244" s="28"/>
      <c r="I1244" s="55">
        <f t="shared" si="2"/>
        <v>940.0714883</v>
      </c>
      <c r="J1244" s="81"/>
      <c r="K1244" s="60">
        <f>IFERROR(__xludf.DUMMYFUNCTION("IFERROR(VLOOKUP(C1244,IMPORTRANGE(""https://docs.google.com/spreadsheets/d/1HZUHB8NvANAZR0sHDmHYVAm2WE9kNv0pGIQA48Ryim8/edit?gid=1285727875#gid=1285727875"",""Sheet1!A2:G""),7,0))"),262.98)</f>
        <v>262.98</v>
      </c>
      <c r="L1244" s="62">
        <f t="shared" si="150"/>
        <v>3.574416305</v>
      </c>
      <c r="M1244" s="60">
        <f>IFERROR(__xludf.DUMMYFUNCTION("IFERROR(VLOOKUP(C1244,IMPORTRANGE(""https://docs.google.com/spreadsheets/d/1HZUHB8NvANAZR0sHDmHYVAm2WE9kNv0pGIQA48Ryim8/edit?gid=1285727875#gid=1285727875"",""Cost!A2:G""),7,0))"),263.0)</f>
        <v>263</v>
      </c>
      <c r="N1244" s="62">
        <f t="shared" si="4"/>
        <v>3.574144487</v>
      </c>
      <c r="O1244" s="28"/>
      <c r="P1244" s="28"/>
      <c r="Q1244" s="28"/>
      <c r="R1244" s="28"/>
      <c r="S1244" s="28"/>
      <c r="T1244" s="28"/>
      <c r="U1244" s="65"/>
      <c r="V1244" s="28"/>
      <c r="W1244" s="65"/>
      <c r="X1244" s="77"/>
      <c r="Y1244" s="28"/>
    </row>
    <row r="1245">
      <c r="A1245" s="18" t="s">
        <v>1328</v>
      </c>
      <c r="B1245" s="91" t="str">
        <f t="shared" si="148"/>
        <v>BNS-05</v>
      </c>
      <c r="C1245" s="46" t="s">
        <v>274</v>
      </c>
      <c r="D1245" s="48" t="s">
        <v>275</v>
      </c>
      <c r="E1245" s="39">
        <v>3950.0</v>
      </c>
      <c r="F1245" s="39">
        <v>3950.0</v>
      </c>
      <c r="G1245" s="50">
        <f t="shared" si="149"/>
        <v>0</v>
      </c>
      <c r="H1245" s="28"/>
      <c r="I1245" s="55">
        <f t="shared" si="2"/>
        <v>3949.585708</v>
      </c>
      <c r="J1245" s="81"/>
      <c r="K1245" s="60">
        <f>IFERROR(__xludf.DUMMYFUNCTION("IFERROR(VLOOKUP(C1245,IMPORTRANGE(""https://docs.google.com/spreadsheets/d/1HZUHB8NvANAZR0sHDmHYVAm2WE9kNv0pGIQA48Ryim8/edit?gid=1285727875#gid=1285727875"",""Sheet1!A2:G""),7,0))"),858.09)</f>
        <v>858.09</v>
      </c>
      <c r="L1245" s="62">
        <f t="shared" si="150"/>
        <v>4.603246746</v>
      </c>
      <c r="M1245" s="60">
        <f>IFERROR(__xludf.DUMMYFUNCTION("IFERROR(VLOOKUP(C1245,IMPORTRANGE(""https://docs.google.com/spreadsheets/d/1HZUHB8NvANAZR0sHDmHYVAm2WE9kNv0pGIQA48Ryim8/edit?gid=1285727875#gid=1285727875"",""Cost!A2:G""),7,0))"),858.0)</f>
        <v>858</v>
      </c>
      <c r="N1245" s="62">
        <f t="shared" si="4"/>
        <v>4.603729604</v>
      </c>
      <c r="O1245" s="28"/>
      <c r="P1245" s="28"/>
      <c r="Q1245" s="28"/>
      <c r="R1245" s="28"/>
      <c r="S1245" s="28"/>
      <c r="T1245" s="28"/>
      <c r="U1245" s="65"/>
      <c r="V1245" s="28"/>
      <c r="W1245" s="65"/>
      <c r="X1245" s="77"/>
      <c r="Y1245" s="28"/>
    </row>
    <row r="1246">
      <c r="A1246" s="18" t="s">
        <v>1328</v>
      </c>
      <c r="B1246" s="91" t="str">
        <f t="shared" si="148"/>
        <v>BNS-04B</v>
      </c>
      <c r="C1246" s="46" t="s">
        <v>427</v>
      </c>
      <c r="D1246" s="48" t="s">
        <v>428</v>
      </c>
      <c r="E1246" s="39">
        <v>9120.0</v>
      </c>
      <c r="F1246" s="39">
        <v>9120.0</v>
      </c>
      <c r="G1246" s="50">
        <f t="shared" si="149"/>
        <v>0</v>
      </c>
      <c r="H1246" s="28"/>
      <c r="I1246" s="55">
        <f t="shared" si="2"/>
        <v>9132.528924</v>
      </c>
      <c r="J1246" s="81"/>
      <c r="K1246" s="60">
        <f>IFERROR(__xludf.DUMMYFUNCTION("IFERROR(VLOOKUP(C1246,IMPORTRANGE(""https://docs.google.com/spreadsheets/d/1HZUHB8NvANAZR0sHDmHYVAm2WE9kNv0pGIQA48Ryim8/edit?gid=1285727875#gid=1285727875"",""Sheet1!A2:G""),7,0))"),2416.68)</f>
        <v>2416.68</v>
      </c>
      <c r="L1246" s="62">
        <f t="shared" si="150"/>
        <v>3.773772283</v>
      </c>
      <c r="M1246" s="60">
        <f>IFERROR(__xludf.DUMMYFUNCTION("IFERROR(VLOOKUP(C1246,IMPORTRANGE(""https://docs.google.com/spreadsheets/d/1HZUHB8NvANAZR0sHDmHYVAm2WE9kNv0pGIQA48Ryim8/edit?gid=1285727875#gid=1285727875"",""Cost!A2:G""),7,0))"),2420.0)</f>
        <v>2420</v>
      </c>
      <c r="N1246" s="62">
        <f t="shared" si="4"/>
        <v>3.768595041</v>
      </c>
      <c r="O1246" s="28"/>
      <c r="P1246" s="28"/>
      <c r="Q1246" s="28"/>
      <c r="R1246" s="28"/>
      <c r="S1246" s="28"/>
      <c r="T1246" s="28"/>
      <c r="U1246" s="65"/>
      <c r="V1246" s="28"/>
      <c r="W1246" s="65"/>
      <c r="X1246" s="77"/>
      <c r="Y1246" s="28"/>
    </row>
    <row r="1247">
      <c r="A1247" s="18" t="s">
        <v>1328</v>
      </c>
      <c r="B1247" s="91" t="str">
        <f t="shared" si="148"/>
        <v>BNS-04RG</v>
      </c>
      <c r="C1247" s="46" t="s">
        <v>430</v>
      </c>
      <c r="D1247" s="48" t="s">
        <v>431</v>
      </c>
      <c r="E1247" s="39">
        <v>9120.0</v>
      </c>
      <c r="F1247" s="39">
        <v>9120.0</v>
      </c>
      <c r="G1247" s="50">
        <f t="shared" si="149"/>
        <v>0</v>
      </c>
      <c r="H1247" s="28"/>
      <c r="I1247" s="55">
        <f t="shared" si="2"/>
        <v>0</v>
      </c>
      <c r="J1247" s="81"/>
      <c r="K1247" s="60" t="str">
        <f>IFERROR(__xludf.DUMMYFUNCTION("IFERROR(VLOOKUP(C1247,IMPORTRANGE(""https://docs.google.com/spreadsheets/d/1HZUHB8NvANAZR0sHDmHYVAm2WE9kNv0pGIQA48Ryim8/edit?gid=1285727875#gid=1285727875"",""Sheet1!A2:G""),7,0))"),"")</f>
        <v/>
      </c>
      <c r="L1247" s="62" t="str">
        <f t="shared" si="150"/>
        <v/>
      </c>
      <c r="M1247" s="60">
        <f>IFERROR(__xludf.DUMMYFUNCTION("IFERROR(VLOOKUP(C1247,IMPORTRANGE(""https://docs.google.com/spreadsheets/d/1HZUHB8NvANAZR0sHDmHYVAm2WE9kNv0pGIQA48Ryim8/edit?gid=1285727875#gid=1285727875"",""Cost!A2:G""),7,0))"),2550.0)</f>
        <v>2550</v>
      </c>
      <c r="N1247" s="62">
        <f t="shared" si="4"/>
        <v>3.576470588</v>
      </c>
      <c r="O1247" s="28"/>
      <c r="P1247" s="28"/>
      <c r="Q1247" s="28"/>
      <c r="R1247" s="28"/>
      <c r="S1247" s="28"/>
      <c r="T1247" s="28"/>
      <c r="U1247" s="65"/>
      <c r="V1247" s="28"/>
      <c r="W1247" s="65"/>
      <c r="X1247" s="77"/>
      <c r="Y1247" s="28"/>
    </row>
    <row r="1248">
      <c r="A1248" s="18" t="s">
        <v>1328</v>
      </c>
      <c r="B1248" s="91" t="str">
        <f t="shared" si="148"/>
        <v>BNS-04G</v>
      </c>
      <c r="C1248" s="46" t="s">
        <v>432</v>
      </c>
      <c r="D1248" s="48" t="s">
        <v>433</v>
      </c>
      <c r="E1248" s="39">
        <v>9120.0</v>
      </c>
      <c r="F1248" s="39">
        <v>9120.0</v>
      </c>
      <c r="G1248" s="50">
        <f t="shared" si="149"/>
        <v>0</v>
      </c>
      <c r="H1248" s="28"/>
      <c r="I1248" s="55">
        <f t="shared" si="2"/>
        <v>9132.528924</v>
      </c>
      <c r="J1248" s="81"/>
      <c r="K1248" s="60">
        <f>IFERROR(__xludf.DUMMYFUNCTION("IFERROR(VLOOKUP(C1248,IMPORTRANGE(""https://docs.google.com/spreadsheets/d/1HZUHB8NvANAZR0sHDmHYVAm2WE9kNv0pGIQA48Ryim8/edit?gid=1285727875#gid=1285727875"",""Sheet1!A2:G""),7,0))"),2416.68)</f>
        <v>2416.68</v>
      </c>
      <c r="L1248" s="62">
        <f t="shared" si="150"/>
        <v>3.773772283</v>
      </c>
      <c r="M1248" s="60">
        <f>IFERROR(__xludf.DUMMYFUNCTION("IFERROR(VLOOKUP(C1248,IMPORTRANGE(""https://docs.google.com/spreadsheets/d/1HZUHB8NvANAZR0sHDmHYVAm2WE9kNv0pGIQA48Ryim8/edit?gid=1285727875#gid=1285727875"",""Cost!A2:G""),7,0))"),2420.0)</f>
        <v>2420</v>
      </c>
      <c r="N1248" s="62">
        <f t="shared" si="4"/>
        <v>3.768595041</v>
      </c>
      <c r="O1248" s="28"/>
      <c r="P1248" s="28"/>
      <c r="Q1248" s="28"/>
      <c r="R1248" s="28"/>
      <c r="S1248" s="28"/>
      <c r="T1248" s="28"/>
      <c r="U1248" s="65"/>
      <c r="V1248" s="28"/>
      <c r="W1248" s="65"/>
      <c r="X1248" s="77"/>
      <c r="Y1248" s="28"/>
    </row>
    <row r="1249">
      <c r="A1249" s="18" t="s">
        <v>1328</v>
      </c>
      <c r="B1249" s="91" t="str">
        <f t="shared" si="148"/>
        <v>BNS-01</v>
      </c>
      <c r="C1249" s="46" t="s">
        <v>188</v>
      </c>
      <c r="D1249" s="48" t="s">
        <v>189</v>
      </c>
      <c r="E1249" s="39">
        <v>2510.0</v>
      </c>
      <c r="F1249" s="39">
        <v>2510.0</v>
      </c>
      <c r="G1249" s="50">
        <f t="shared" si="149"/>
        <v>0</v>
      </c>
      <c r="H1249" s="28"/>
      <c r="I1249" s="55">
        <f t="shared" si="2"/>
        <v>0</v>
      </c>
      <c r="J1249" s="81"/>
      <c r="K1249" s="60" t="str">
        <f>IFERROR(__xludf.DUMMYFUNCTION("IFERROR(VLOOKUP(C1249,IMPORTRANGE(""https://docs.google.com/spreadsheets/d/1HZUHB8NvANAZR0sHDmHYVAm2WE9kNv0pGIQA48Ryim8/edit?gid=1285727875#gid=1285727875"",""Sheet1!A2:G""),7,0))"),"")</f>
        <v/>
      </c>
      <c r="L1249" s="62" t="str">
        <f t="shared" si="150"/>
        <v/>
      </c>
      <c r="M1249" s="60" t="str">
        <f>IFERROR(__xludf.DUMMYFUNCTION("IFERROR(VLOOKUP(C1249,IMPORTRANGE(""https://docs.google.com/spreadsheets/d/1HZUHB8NvANAZR0sHDmHYVAm2WE9kNv0pGIQA48Ryim8/edit?gid=1285727875#gid=1285727875"",""Cost!A2:G""),7,0))"),"")</f>
        <v/>
      </c>
      <c r="N1249" s="62" t="str">
        <f t="shared" si="4"/>
        <v/>
      </c>
      <c r="O1249" s="101"/>
      <c r="P1249" s="28"/>
      <c r="Q1249" s="28"/>
      <c r="R1249" s="28"/>
      <c r="S1249" s="28"/>
      <c r="T1249" s="28"/>
      <c r="U1249" s="65"/>
      <c r="V1249" s="28"/>
      <c r="W1249" s="65"/>
      <c r="X1249" s="77"/>
      <c r="Y1249" s="28"/>
    </row>
    <row r="1250">
      <c r="A1250" s="18" t="s">
        <v>1328</v>
      </c>
      <c r="B1250" s="91" t="str">
        <f t="shared" si="148"/>
        <v>BNS-02</v>
      </c>
      <c r="C1250" s="46" t="s">
        <v>207</v>
      </c>
      <c r="D1250" s="48" t="s">
        <v>208</v>
      </c>
      <c r="E1250" s="39">
        <v>2510.0</v>
      </c>
      <c r="F1250" s="39">
        <v>2510.0</v>
      </c>
      <c r="G1250" s="50">
        <f t="shared" si="149"/>
        <v>0</v>
      </c>
      <c r="H1250" s="28"/>
      <c r="I1250" s="55">
        <f t="shared" si="2"/>
        <v>0</v>
      </c>
      <c r="J1250" s="81"/>
      <c r="K1250" s="60" t="str">
        <f>IFERROR(__xludf.DUMMYFUNCTION("IFERROR(VLOOKUP(C1250,IMPORTRANGE(""https://docs.google.com/spreadsheets/d/1HZUHB8NvANAZR0sHDmHYVAm2WE9kNv0pGIQA48Ryim8/edit?gid=1285727875#gid=1285727875"",""Sheet1!A2:G""),7,0))"),"")</f>
        <v/>
      </c>
      <c r="L1250" s="62" t="str">
        <f t="shared" si="150"/>
        <v/>
      </c>
      <c r="M1250" s="60" t="str">
        <f>IFERROR(__xludf.DUMMYFUNCTION("IFERROR(VLOOKUP(C1250,IMPORTRANGE(""https://docs.google.com/spreadsheets/d/1HZUHB8NvANAZR0sHDmHYVAm2WE9kNv0pGIQA48Ryim8/edit?gid=1285727875#gid=1285727875"",""Cost!A2:G""),7,0))"),"")</f>
        <v/>
      </c>
      <c r="N1250" s="62" t="str">
        <f t="shared" si="4"/>
        <v/>
      </c>
      <c r="O1250" s="101"/>
      <c r="P1250" s="28"/>
      <c r="Q1250" s="28"/>
      <c r="R1250" s="28"/>
      <c r="S1250" s="28"/>
      <c r="T1250" s="28"/>
      <c r="U1250" s="65"/>
      <c r="V1250" s="28"/>
      <c r="W1250" s="65"/>
      <c r="X1250" s="77"/>
      <c r="Y1250" s="28"/>
    </row>
    <row r="1251">
      <c r="A1251" s="18" t="s">
        <v>1328</v>
      </c>
      <c r="B1251" s="91" t="str">
        <f t="shared" si="148"/>
        <v>BNS-03</v>
      </c>
      <c r="C1251" s="46" t="s">
        <v>232</v>
      </c>
      <c r="D1251" s="48" t="s">
        <v>233</v>
      </c>
      <c r="E1251" s="39">
        <v>6280.0</v>
      </c>
      <c r="F1251" s="39">
        <v>6680.0</v>
      </c>
      <c r="G1251" s="50">
        <f t="shared" si="149"/>
        <v>0.06369426752</v>
      </c>
      <c r="H1251" s="28"/>
      <c r="I1251" s="55">
        <f t="shared" si="2"/>
        <v>0</v>
      </c>
      <c r="J1251" s="81"/>
      <c r="K1251" s="60" t="str">
        <f>IFERROR(__xludf.DUMMYFUNCTION("IFERROR(VLOOKUP(C1251,IMPORTRANGE(""https://docs.google.com/spreadsheets/d/1HZUHB8NvANAZR0sHDmHYVAm2WE9kNv0pGIQA48Ryim8/edit?gid=1285727875#gid=1285727875"",""Sheet1!A2:G""),7,0))"),"")</f>
        <v/>
      </c>
      <c r="L1251" s="62" t="str">
        <f t="shared" si="150"/>
        <v/>
      </c>
      <c r="M1251" s="60" t="str">
        <f>IFERROR(__xludf.DUMMYFUNCTION("IFERROR(VLOOKUP(C1251,IMPORTRANGE(""https://docs.google.com/spreadsheets/d/1HZUHB8NvANAZR0sHDmHYVAm2WE9kNv0pGIQA48Ryim8/edit?gid=1285727875#gid=1285727875"",""Cost!A2:G""),7,0))"),"")</f>
        <v/>
      </c>
      <c r="N1251" s="62" t="str">
        <f t="shared" si="4"/>
        <v/>
      </c>
      <c r="O1251" s="101"/>
      <c r="P1251" s="28"/>
      <c r="Q1251" s="28"/>
      <c r="R1251" s="28"/>
      <c r="S1251" s="28"/>
      <c r="T1251" s="28"/>
      <c r="U1251" s="65"/>
      <c r="V1251" s="28"/>
      <c r="W1251" s="65"/>
      <c r="X1251" s="77"/>
      <c r="Y1251" s="28"/>
    </row>
    <row r="1252">
      <c r="A1252" s="18" t="s">
        <v>1328</v>
      </c>
      <c r="B1252" s="91" t="str">
        <f t="shared" si="148"/>
        <v>BNS-04</v>
      </c>
      <c r="C1252" s="46" t="s">
        <v>254</v>
      </c>
      <c r="D1252" s="48" t="s">
        <v>255</v>
      </c>
      <c r="E1252" s="39">
        <v>6280.0</v>
      </c>
      <c r="F1252" s="39">
        <v>6280.0</v>
      </c>
      <c r="G1252" s="50">
        <f t="shared" si="149"/>
        <v>0</v>
      </c>
      <c r="H1252" s="28"/>
      <c r="I1252" s="55">
        <f t="shared" si="2"/>
        <v>6305.529706</v>
      </c>
      <c r="J1252" s="81"/>
      <c r="K1252" s="60">
        <f>IFERROR(__xludf.DUMMYFUNCTION("IFERROR(VLOOKUP(C1252,IMPORTRANGE(""https://docs.google.com/spreadsheets/d/1HZUHB8NvANAZR0sHDmHYVAm2WE9kNv0pGIQA48Ryim8/edit?gid=1285727875#gid=1285727875"",""Sheet1!A2:G""),7,0))"),816.68)</f>
        <v>816.68</v>
      </c>
      <c r="L1252" s="62">
        <f t="shared" si="150"/>
        <v>7.689670373</v>
      </c>
      <c r="M1252" s="60">
        <f>IFERROR(__xludf.DUMMYFUNCTION("IFERROR(VLOOKUP(C1252,IMPORTRANGE(""https://docs.google.com/spreadsheets/d/1HZUHB8NvANAZR0sHDmHYVAm2WE9kNv0pGIQA48Ryim8/edit?gid=1285727875#gid=1285727875"",""Cost!A2:G""),7,0))"),820.0)</f>
        <v>820</v>
      </c>
      <c r="N1252" s="62">
        <f t="shared" si="4"/>
        <v>7.658536585</v>
      </c>
      <c r="O1252" s="28"/>
      <c r="P1252" s="28"/>
      <c r="Q1252" s="28"/>
      <c r="R1252" s="28"/>
      <c r="S1252" s="28"/>
      <c r="T1252" s="28"/>
      <c r="U1252" s="65"/>
      <c r="V1252" s="28"/>
      <c r="W1252" s="65"/>
      <c r="X1252" s="77"/>
      <c r="Y1252" s="28"/>
    </row>
    <row r="1253">
      <c r="A1253" s="18" t="s">
        <v>1328</v>
      </c>
      <c r="B1253" s="91" t="str">
        <f t="shared" si="148"/>
        <v>BA-40</v>
      </c>
      <c r="C1253" s="46" t="s">
        <v>912</v>
      </c>
      <c r="D1253" s="48" t="s">
        <v>913</v>
      </c>
      <c r="E1253" s="39">
        <v>1480.0</v>
      </c>
      <c r="F1253" s="39">
        <v>1640.0</v>
      </c>
      <c r="G1253" s="50">
        <f t="shared" si="149"/>
        <v>0.1081081081</v>
      </c>
      <c r="H1253" s="28"/>
      <c r="I1253" s="55">
        <f t="shared" si="2"/>
        <v>1733.039695</v>
      </c>
      <c r="J1253" s="81"/>
      <c r="K1253" s="60">
        <f>IFERROR(__xludf.DUMMYFUNCTION("IFERROR(VLOOKUP(C1253,IMPORTRANGE(""https://docs.google.com/spreadsheets/d/1HZUHB8NvANAZR0sHDmHYVAm2WE9kNv0pGIQA48Ryim8/edit?gid=1285727875#gid=1285727875"",""Sheet1!A2:G""),7,0))"),372.34)</f>
        <v>372.34</v>
      </c>
      <c r="L1253" s="62">
        <f t="shared" si="150"/>
        <v>3.974861686</v>
      </c>
      <c r="M1253" s="60">
        <f>IFERROR(__xludf.DUMMYFUNCTION("IFERROR(VLOOKUP(C1253,IMPORTRANGE(""https://docs.google.com/spreadsheets/d/1HZUHB8NvANAZR0sHDmHYVAm2WE9kNv0pGIQA48Ryim8/edit?gid=1285727875#gid=1285727875"",""Cost!A2:G""),7,0))"),436.0)</f>
        <v>436</v>
      </c>
      <c r="N1253" s="62">
        <f t="shared" si="4"/>
        <v>3.76146789</v>
      </c>
      <c r="O1253" s="28"/>
      <c r="P1253" s="28"/>
      <c r="Q1253" s="28"/>
      <c r="R1253" s="28"/>
      <c r="S1253" s="28"/>
      <c r="T1253" s="28"/>
      <c r="U1253" s="65"/>
      <c r="V1253" s="28"/>
      <c r="W1253" s="65"/>
      <c r="X1253" s="77"/>
      <c r="Y1253" s="28"/>
    </row>
    <row r="1254">
      <c r="A1254" s="18" t="s">
        <v>1328</v>
      </c>
      <c r="B1254" s="91" t="str">
        <f t="shared" si="148"/>
        <v>BA-41</v>
      </c>
      <c r="C1254" s="46" t="s">
        <v>914</v>
      </c>
      <c r="D1254" s="48" t="s">
        <v>915</v>
      </c>
      <c r="E1254" s="39">
        <v>1040.0</v>
      </c>
      <c r="F1254" s="39">
        <v>1160.0</v>
      </c>
      <c r="G1254" s="50">
        <f t="shared" si="149"/>
        <v>0.1153846154</v>
      </c>
      <c r="H1254" s="28"/>
      <c r="I1254" s="55">
        <f t="shared" si="2"/>
        <v>1095.422687</v>
      </c>
      <c r="J1254" s="81"/>
      <c r="K1254" s="60">
        <f>IFERROR(__xludf.DUMMYFUNCTION("IFERROR(VLOOKUP(C1254,IMPORTRANGE(""https://docs.google.com/spreadsheets/d/1HZUHB8NvANAZR0sHDmHYVAm2WE9kNv0pGIQA48Ryim8/edit?gid=1285727875#gid=1285727875"",""Sheet1!A2:G""),7,0))"),255.39)</f>
        <v>255.39</v>
      </c>
      <c r="L1254" s="62">
        <f t="shared" si="150"/>
        <v>4.072203297</v>
      </c>
      <c r="M1254" s="60">
        <f>IFERROR(__xludf.DUMMYFUNCTION("IFERROR(VLOOKUP(C1254,IMPORTRANGE(""https://docs.google.com/spreadsheets/d/1HZUHB8NvANAZR0sHDmHYVAm2WE9kNv0pGIQA48Ryim8/edit?gid=1285727875#gid=1285727875"",""Cost!A2:G""),7,0))"),269.0)</f>
        <v>269</v>
      </c>
      <c r="N1254" s="62">
        <f t="shared" si="4"/>
        <v>4.312267658</v>
      </c>
      <c r="O1254" s="28"/>
      <c r="P1254" s="28"/>
      <c r="Q1254" s="28"/>
      <c r="R1254" s="28"/>
      <c r="S1254" s="28"/>
      <c r="T1254" s="28"/>
      <c r="U1254" s="65"/>
      <c r="V1254" s="28"/>
      <c r="W1254" s="65"/>
      <c r="X1254" s="77"/>
      <c r="Y1254" s="28"/>
    </row>
    <row r="1255">
      <c r="A1255" s="18" t="s">
        <v>1328</v>
      </c>
      <c r="B1255" s="91" t="str">
        <f t="shared" si="148"/>
        <v>BA-42</v>
      </c>
      <c r="C1255" s="46" t="s">
        <v>917</v>
      </c>
      <c r="D1255" s="48" t="s">
        <v>918</v>
      </c>
      <c r="E1255" s="39">
        <v>4270.0</v>
      </c>
      <c r="F1255" s="39">
        <v>4480.0</v>
      </c>
      <c r="G1255" s="50">
        <f t="shared" si="149"/>
        <v>0.04918032787</v>
      </c>
      <c r="H1255" s="28"/>
      <c r="I1255" s="55">
        <f t="shared" si="2"/>
        <v>4293.845747</v>
      </c>
      <c r="J1255" s="81"/>
      <c r="K1255" s="60">
        <f>IFERROR(__xludf.DUMMYFUNCTION("IFERROR(VLOOKUP(C1255,IMPORTRANGE(""https://docs.google.com/spreadsheets/d/1HZUHB8NvANAZR0sHDmHYVAm2WE9kNv0pGIQA48Ryim8/edit?gid=1285727875#gid=1285727875"",""Sheet1!A2:G""),7,0))"),1060.08)</f>
        <v>1060.08</v>
      </c>
      <c r="L1255" s="62">
        <f t="shared" si="150"/>
        <v>4.027997887</v>
      </c>
      <c r="M1255" s="60">
        <f>IFERROR(__xludf.DUMMYFUNCTION("IFERROR(VLOOKUP(C1255,IMPORTRANGE(""https://docs.google.com/spreadsheets/d/1HZUHB8NvANAZR0sHDmHYVAm2WE9kNv0pGIQA48Ryim8/edit?gid=1285727875#gid=1285727875"",""Cost!A2:G""),7,0))"),1066.0)</f>
        <v>1066</v>
      </c>
      <c r="N1255" s="62">
        <f t="shared" si="4"/>
        <v>4.202626642</v>
      </c>
      <c r="O1255" s="28"/>
      <c r="P1255" s="28"/>
      <c r="Q1255" s="28"/>
      <c r="R1255" s="28"/>
      <c r="S1255" s="28"/>
      <c r="T1255" s="28"/>
      <c r="U1255" s="65"/>
      <c r="V1255" s="28"/>
      <c r="W1255" s="65"/>
      <c r="X1255" s="77"/>
      <c r="Y1255" s="28"/>
    </row>
    <row r="1256">
      <c r="A1256" s="18" t="s">
        <v>1328</v>
      </c>
      <c r="B1256" s="91" t="str">
        <f t="shared" si="148"/>
        <v>BA-45</v>
      </c>
      <c r="C1256" s="46" t="s">
        <v>920</v>
      </c>
      <c r="D1256" s="48" t="s">
        <v>921</v>
      </c>
      <c r="E1256" s="39">
        <v>730.0</v>
      </c>
      <c r="F1256" s="39">
        <v>790.0</v>
      </c>
      <c r="G1256" s="50">
        <f t="shared" si="149"/>
        <v>0.08219178082</v>
      </c>
      <c r="H1256" s="28"/>
      <c r="I1256" s="55">
        <f t="shared" si="2"/>
        <v>768.3829006</v>
      </c>
      <c r="J1256" s="81"/>
      <c r="K1256" s="60">
        <f>IFERROR(__xludf.DUMMYFUNCTION("IFERROR(VLOOKUP(C1256,IMPORTRANGE(""https://docs.google.com/spreadsheets/d/1HZUHB8NvANAZR0sHDmHYVAm2WE9kNv0pGIQA48Ryim8/edit?gid=1285727875#gid=1285727875"",""Sheet1!A2:G""),7,0))"),201.41)</f>
        <v>201.41</v>
      </c>
      <c r="L1256" s="62">
        <f t="shared" si="150"/>
        <v>3.624447644</v>
      </c>
      <c r="M1256" s="60">
        <f>IFERROR(__xludf.DUMMYFUNCTION("IFERROR(VLOOKUP(C1256,IMPORTRANGE(""https://docs.google.com/spreadsheets/d/1HZUHB8NvANAZR0sHDmHYVAm2WE9kNv0pGIQA48Ryim8/edit?gid=1285727875#gid=1285727875"",""Cost!A2:G""),7,0))"),212.0)</f>
        <v>212</v>
      </c>
      <c r="N1256" s="62">
        <f t="shared" si="4"/>
        <v>3.726415094</v>
      </c>
      <c r="O1256" s="28"/>
      <c r="P1256" s="28"/>
      <c r="Q1256" s="28"/>
      <c r="R1256" s="28"/>
      <c r="S1256" s="28"/>
      <c r="T1256" s="28"/>
      <c r="U1256" s="65"/>
      <c r="V1256" s="28"/>
      <c r="W1256" s="65"/>
      <c r="X1256" s="77"/>
      <c r="Y1256" s="28"/>
    </row>
    <row r="1257">
      <c r="A1257" s="18" t="s">
        <v>1328</v>
      </c>
      <c r="B1257" s="91" t="str">
        <f t="shared" si="148"/>
        <v>BA-46</v>
      </c>
      <c r="C1257" s="46" t="s">
        <v>923</v>
      </c>
      <c r="D1257" s="48" t="s">
        <v>924</v>
      </c>
      <c r="E1257" s="39">
        <v>960.0</v>
      </c>
      <c r="F1257" s="39">
        <v>1040.0</v>
      </c>
      <c r="G1257" s="50">
        <f t="shared" si="149"/>
        <v>0.08333333333</v>
      </c>
      <c r="H1257" s="28"/>
      <c r="I1257" s="55">
        <f t="shared" si="2"/>
        <v>962.3269381</v>
      </c>
      <c r="J1257" s="81"/>
      <c r="K1257" s="60">
        <f>IFERROR(__xludf.DUMMYFUNCTION("IFERROR(VLOOKUP(C1257,IMPORTRANGE(""https://docs.google.com/spreadsheets/d/1HZUHB8NvANAZR0sHDmHYVAm2WE9kNv0pGIQA48Ryim8/edit?gid=1285727875#gid=1285727875"",""Sheet1!A2:G""),7,0))"),243.41)</f>
        <v>243.41</v>
      </c>
      <c r="L1257" s="62">
        <f t="shared" si="150"/>
        <v>3.943962861</v>
      </c>
      <c r="M1257" s="60">
        <f>IFERROR(__xludf.DUMMYFUNCTION("IFERROR(VLOOKUP(C1257,IMPORTRANGE(""https://docs.google.com/spreadsheets/d/1HZUHB8NvANAZR0sHDmHYVAm2WE9kNv0pGIQA48Ryim8/edit?gid=1285727875#gid=1285727875"",""Cost!A2:G""),7,0))"),244.0)</f>
        <v>244</v>
      </c>
      <c r="N1257" s="62">
        <f t="shared" si="4"/>
        <v>4.262295082</v>
      </c>
      <c r="O1257" s="28"/>
      <c r="P1257" s="28"/>
      <c r="Q1257" s="28"/>
      <c r="R1257" s="28"/>
      <c r="S1257" s="28"/>
      <c r="T1257" s="28"/>
      <c r="U1257" s="65"/>
      <c r="V1257" s="28"/>
      <c r="W1257" s="65"/>
      <c r="X1257" s="77"/>
      <c r="Y1257" s="28"/>
    </row>
    <row r="1258">
      <c r="A1258" s="18" t="s">
        <v>1328</v>
      </c>
      <c r="B1258" s="91" t="str">
        <f t="shared" si="148"/>
        <v>BA-47</v>
      </c>
      <c r="C1258" s="46" t="s">
        <v>925</v>
      </c>
      <c r="D1258" s="48" t="s">
        <v>926</v>
      </c>
      <c r="E1258" s="39">
        <v>530.0</v>
      </c>
      <c r="F1258" s="39">
        <v>530.0</v>
      </c>
      <c r="G1258" s="50">
        <f t="shared" si="149"/>
        <v>0</v>
      </c>
      <c r="H1258" s="28"/>
      <c r="I1258" s="55">
        <f t="shared" si="2"/>
        <v>531.7419132</v>
      </c>
      <c r="J1258" s="81"/>
      <c r="K1258" s="60">
        <f>IFERROR(__xludf.DUMMYFUNCTION("IFERROR(VLOOKUP(C1258,IMPORTRANGE(""https://docs.google.com/spreadsheets/d/1HZUHB8NvANAZR0sHDmHYVAm2WE9kNv0pGIQA48Ryim8/edit?gid=1285727875#gid=1285727875"",""Sheet1!A2:G""),7,0))"),115.62)</f>
        <v>115.62</v>
      </c>
      <c r="L1258" s="62">
        <f t="shared" si="150"/>
        <v>4.58398201</v>
      </c>
      <c r="M1258" s="60">
        <f>IFERROR(__xludf.DUMMYFUNCTION("IFERROR(VLOOKUP(C1258,IMPORTRANGE(""https://docs.google.com/spreadsheets/d/1HZUHB8NvANAZR0sHDmHYVAm2WE9kNv0pGIQA48Ryim8/edit?gid=1285727875#gid=1285727875"",""Cost!A2:G""),7,0))"),116.0)</f>
        <v>116</v>
      </c>
      <c r="N1258" s="62">
        <f t="shared" si="4"/>
        <v>4.568965517</v>
      </c>
      <c r="O1258" s="28"/>
      <c r="P1258" s="28"/>
      <c r="Q1258" s="28"/>
      <c r="R1258" s="28"/>
      <c r="S1258" s="28"/>
      <c r="T1258" s="28"/>
      <c r="U1258" s="65"/>
      <c r="V1258" s="28"/>
      <c r="W1258" s="65"/>
      <c r="X1258" s="77"/>
      <c r="Y1258" s="28"/>
    </row>
    <row r="1259">
      <c r="A1259" s="18" t="s">
        <v>1328</v>
      </c>
      <c r="B1259" s="91" t="str">
        <f t="shared" si="148"/>
        <v>BA-48</v>
      </c>
      <c r="C1259" s="46" t="s">
        <v>927</v>
      </c>
      <c r="D1259" s="48" t="s">
        <v>928</v>
      </c>
      <c r="E1259" s="39">
        <v>910.0</v>
      </c>
      <c r="F1259" s="39">
        <v>990.0</v>
      </c>
      <c r="G1259" s="50">
        <f t="shared" si="149"/>
        <v>0.08791208791</v>
      </c>
      <c r="H1259" s="28"/>
      <c r="I1259" s="55">
        <f t="shared" si="2"/>
        <v>990.1381474</v>
      </c>
      <c r="J1259" s="81"/>
      <c r="K1259" s="60">
        <f>IFERROR(__xludf.DUMMYFUNCTION("IFERROR(VLOOKUP(C1259,IMPORTRANGE(""https://docs.google.com/spreadsheets/d/1HZUHB8NvANAZR0sHDmHYVAm2WE9kNv0pGIQA48Ryim8/edit?gid=1285727875#gid=1285727875"",""Sheet1!A2:G""),7,0))"),245.39)</f>
        <v>245.39</v>
      </c>
      <c r="L1259" s="62">
        <f t="shared" si="150"/>
        <v>3.708382575</v>
      </c>
      <c r="M1259" s="60">
        <f>IFERROR(__xludf.DUMMYFUNCTION("IFERROR(VLOOKUP(C1259,IMPORTRANGE(""https://docs.google.com/spreadsheets/d/1HZUHB8NvANAZR0sHDmHYVAm2WE9kNv0pGIQA48Ryim8/edit?gid=1285727875#gid=1285727875"",""Cost!A2:G""),7,0))"),267.0)</f>
        <v>267</v>
      </c>
      <c r="N1259" s="62">
        <f t="shared" si="4"/>
        <v>3.707865169</v>
      </c>
      <c r="O1259" s="28"/>
      <c r="P1259" s="28"/>
      <c r="Q1259" s="28"/>
      <c r="R1259" s="28"/>
      <c r="S1259" s="28"/>
      <c r="T1259" s="28"/>
      <c r="U1259" s="65"/>
      <c r="V1259" s="28"/>
      <c r="W1259" s="65"/>
      <c r="X1259" s="77"/>
      <c r="Y1259" s="28"/>
    </row>
    <row r="1260">
      <c r="A1260" s="18" t="s">
        <v>1328</v>
      </c>
      <c r="B1260" s="91" t="str">
        <f t="shared" si="148"/>
        <v>BA-01</v>
      </c>
      <c r="C1260" s="46" t="s">
        <v>931</v>
      </c>
      <c r="D1260" s="48" t="s">
        <v>913</v>
      </c>
      <c r="E1260" s="39">
        <v>2010.0</v>
      </c>
      <c r="F1260" s="39">
        <v>2180.0</v>
      </c>
      <c r="G1260" s="50">
        <f t="shared" si="149"/>
        <v>0.08457711443</v>
      </c>
      <c r="H1260" s="28"/>
      <c r="I1260" s="55">
        <f t="shared" si="2"/>
        <v>2123.615482</v>
      </c>
      <c r="J1260" s="81"/>
      <c r="K1260" s="60">
        <f>IFERROR(__xludf.DUMMYFUNCTION("IFERROR(VLOOKUP(C1260,IMPORTRANGE(""https://docs.google.com/spreadsheets/d/1HZUHB8NvANAZR0sHDmHYVAm2WE9kNv0pGIQA48Ryim8/edit?gid=1285727875#gid=1285727875"",""Sheet1!A2:G""),7,0))"),489.34)</f>
        <v>489.34</v>
      </c>
      <c r="L1260" s="62">
        <f t="shared" si="150"/>
        <v>4.107573466</v>
      </c>
      <c r="M1260" s="60">
        <f>IFERROR(__xludf.DUMMYFUNCTION("IFERROR(VLOOKUP(C1260,IMPORTRANGE(""https://docs.google.com/spreadsheets/d/1HZUHB8NvANAZR0sHDmHYVAm2WE9kNv0pGIQA48Ryim8/edit?gid=1285727875#gid=1285727875"",""Cost!A2:G""),7,0))"),517.0)</f>
        <v>517</v>
      </c>
      <c r="N1260" s="62">
        <f t="shared" si="4"/>
        <v>4.216634429</v>
      </c>
      <c r="O1260" s="28"/>
      <c r="P1260" s="28"/>
      <c r="Q1260" s="28"/>
      <c r="R1260" s="28"/>
      <c r="S1260" s="28"/>
      <c r="T1260" s="28"/>
      <c r="U1260" s="65"/>
      <c r="V1260" s="28"/>
      <c r="W1260" s="65"/>
      <c r="X1260" s="77"/>
      <c r="Y1260" s="28"/>
    </row>
    <row r="1261">
      <c r="A1261" s="18" t="s">
        <v>1328</v>
      </c>
      <c r="B1261" s="91" t="str">
        <f t="shared" si="148"/>
        <v>BA-02</v>
      </c>
      <c r="C1261" s="46" t="s">
        <v>933</v>
      </c>
      <c r="D1261" s="48" t="s">
        <v>915</v>
      </c>
      <c r="E1261" s="39">
        <v>1140.0</v>
      </c>
      <c r="F1261" s="39">
        <v>1140.0</v>
      </c>
      <c r="G1261" s="50">
        <f t="shared" si="149"/>
        <v>0</v>
      </c>
      <c r="H1261" s="28"/>
      <c r="I1261" s="55">
        <f t="shared" si="2"/>
        <v>1146.787973</v>
      </c>
      <c r="J1261" s="81"/>
      <c r="K1261" s="60">
        <f>IFERROR(__xludf.DUMMYFUNCTION("IFERROR(VLOOKUP(C1261,IMPORTRANGE(""https://docs.google.com/spreadsheets/d/1HZUHB8NvANAZR0sHDmHYVAm2WE9kNv0pGIQA48Ryim8/edit?gid=1285727875#gid=1285727875"",""Sheet1!A2:G""),7,0))"),270.39)</f>
        <v>270.39</v>
      </c>
      <c r="L1261" s="62">
        <f t="shared" si="150"/>
        <v>4.216132253</v>
      </c>
      <c r="M1261" s="60">
        <f>IFERROR(__xludf.DUMMYFUNCTION("IFERROR(VLOOKUP(C1261,IMPORTRANGE(""https://docs.google.com/spreadsheets/d/1HZUHB8NvANAZR0sHDmHYVAm2WE9kNv0pGIQA48Ryim8/edit?gid=1285727875#gid=1285727875"",""Cost!A2:G""),7,0))"),272.0)</f>
        <v>272</v>
      </c>
      <c r="N1261" s="62">
        <f t="shared" si="4"/>
        <v>4.191176471</v>
      </c>
      <c r="O1261" s="28"/>
      <c r="P1261" s="28"/>
      <c r="Q1261" s="28"/>
      <c r="R1261" s="28"/>
      <c r="S1261" s="28"/>
      <c r="T1261" s="28"/>
      <c r="U1261" s="65"/>
      <c r="V1261" s="28"/>
      <c r="W1261" s="65"/>
      <c r="X1261" s="77"/>
      <c r="Y1261" s="28"/>
    </row>
    <row r="1262">
      <c r="A1262" s="18" t="s">
        <v>1328</v>
      </c>
      <c r="B1262" s="91" t="str">
        <f t="shared" si="148"/>
        <v>BA-03</v>
      </c>
      <c r="C1262" s="46" t="s">
        <v>936</v>
      </c>
      <c r="D1262" s="48" t="s">
        <v>918</v>
      </c>
      <c r="E1262" s="39">
        <v>5890.0</v>
      </c>
      <c r="F1262" s="39">
        <v>5890.0</v>
      </c>
      <c r="G1262" s="50">
        <f t="shared" si="149"/>
        <v>0</v>
      </c>
      <c r="H1262" s="28"/>
      <c r="I1262" s="55">
        <f t="shared" si="2"/>
        <v>6188.661271</v>
      </c>
      <c r="J1262" s="81"/>
      <c r="K1262" s="60">
        <f>IFERROR(__xludf.DUMMYFUNCTION("IFERROR(VLOOKUP(C1262,IMPORTRANGE(""https://docs.google.com/spreadsheets/d/1HZUHB8NvANAZR0sHDmHYVAm2WE9kNv0pGIQA48Ryim8/edit?gid=1285727875#gid=1285727875"",""Sheet1!A2:G""),7,0))"),1438.08)</f>
        <v>1438.08</v>
      </c>
      <c r="L1262" s="62">
        <f t="shared" si="150"/>
        <v>4.095738763</v>
      </c>
      <c r="M1262" s="60">
        <f>IFERROR(__xludf.DUMMYFUNCTION("IFERROR(VLOOKUP(C1262,IMPORTRANGE(""https://docs.google.com/spreadsheets/d/1HZUHB8NvANAZR0sHDmHYVAm2WE9kNv0pGIQA48Ryim8/edit?gid=1285727875#gid=1285727875"",""Cost!A2:G""),7,0))"),1511.0)</f>
        <v>1511</v>
      </c>
      <c r="N1262" s="62">
        <f t="shared" si="4"/>
        <v>3.898080741</v>
      </c>
      <c r="O1262" s="28"/>
      <c r="P1262" s="28"/>
      <c r="Q1262" s="28"/>
      <c r="R1262" s="28"/>
      <c r="S1262" s="28"/>
      <c r="T1262" s="28"/>
      <c r="U1262" s="65"/>
      <c r="V1262" s="28"/>
      <c r="W1262" s="65"/>
      <c r="X1262" s="77"/>
      <c r="Y1262" s="28"/>
    </row>
    <row r="1263">
      <c r="A1263" s="18" t="s">
        <v>1328</v>
      </c>
      <c r="B1263" s="91" t="str">
        <f t="shared" si="148"/>
        <v>BA-05</v>
      </c>
      <c r="C1263" s="46" t="s">
        <v>938</v>
      </c>
      <c r="D1263" s="48" t="s">
        <v>921</v>
      </c>
      <c r="E1263" s="39">
        <v>850.0</v>
      </c>
      <c r="F1263" s="39">
        <v>850.0</v>
      </c>
      <c r="G1263" s="50">
        <f t="shared" si="149"/>
        <v>0</v>
      </c>
      <c r="H1263" s="28"/>
      <c r="I1263" s="55">
        <f t="shared" si="2"/>
        <v>852.3281185</v>
      </c>
      <c r="J1263" s="81"/>
      <c r="K1263" s="60">
        <f>IFERROR(__xludf.DUMMYFUNCTION("IFERROR(VLOOKUP(C1263,IMPORTRANGE(""https://docs.google.com/spreadsheets/d/1HZUHB8NvANAZR0sHDmHYVAm2WE9kNv0pGIQA48Ryim8/edit?gid=1285727875#gid=1285727875"",""Sheet1!A2:G""),7,0))"),215.41)</f>
        <v>215.41</v>
      </c>
      <c r="L1263" s="62">
        <f t="shared" si="150"/>
        <v>3.945963511</v>
      </c>
      <c r="M1263" s="60">
        <f>IFERROR(__xludf.DUMMYFUNCTION("IFERROR(VLOOKUP(C1263,IMPORTRANGE(""https://docs.google.com/spreadsheets/d/1HZUHB8NvANAZR0sHDmHYVAm2WE9kNv0pGIQA48Ryim8/edit?gid=1285727875#gid=1285727875"",""Cost!A2:G""),7,0))"),216.0)</f>
        <v>216</v>
      </c>
      <c r="N1263" s="62">
        <f t="shared" si="4"/>
        <v>3.935185185</v>
      </c>
      <c r="O1263" s="28"/>
      <c r="P1263" s="28"/>
      <c r="Q1263" s="28"/>
      <c r="R1263" s="28"/>
      <c r="S1263" s="28"/>
      <c r="T1263" s="28"/>
      <c r="U1263" s="65"/>
      <c r="V1263" s="28"/>
      <c r="W1263" s="65"/>
      <c r="X1263" s="77"/>
      <c r="Y1263" s="28"/>
    </row>
    <row r="1264">
      <c r="A1264" s="18" t="s">
        <v>1328</v>
      </c>
      <c r="B1264" s="91" t="str">
        <f t="shared" si="148"/>
        <v>BA-06</v>
      </c>
      <c r="C1264" s="46" t="s">
        <v>940</v>
      </c>
      <c r="D1264" s="48" t="s">
        <v>924</v>
      </c>
      <c r="E1264" s="39">
        <v>1070.0</v>
      </c>
      <c r="F1264" s="39">
        <v>1070.0</v>
      </c>
      <c r="G1264" s="50">
        <f t="shared" si="149"/>
        <v>0</v>
      </c>
      <c r="H1264" s="28"/>
      <c r="I1264" s="55">
        <f t="shared" si="2"/>
        <v>1072.521065</v>
      </c>
      <c r="J1264" s="81"/>
      <c r="K1264" s="60">
        <f>IFERROR(__xludf.DUMMYFUNCTION("IFERROR(VLOOKUP(C1264,IMPORTRANGE(""https://docs.google.com/spreadsheets/d/1HZUHB8NvANAZR0sHDmHYVAm2WE9kNv0pGIQA48Ryim8/edit?gid=1285727875#gid=1285727875"",""Sheet1!A2:G""),7,0))"),250.41)</f>
        <v>250.41</v>
      </c>
      <c r="L1264" s="62">
        <f t="shared" si="150"/>
        <v>4.272992293</v>
      </c>
      <c r="M1264" s="60">
        <f>IFERROR(__xludf.DUMMYFUNCTION("IFERROR(VLOOKUP(C1264,IMPORTRANGE(""https://docs.google.com/spreadsheets/d/1HZUHB8NvANAZR0sHDmHYVAm2WE9kNv0pGIQA48Ryim8/edit?gid=1285727875#gid=1285727875"",""Cost!A2:G""),7,0))"),251.0)</f>
        <v>251</v>
      </c>
      <c r="N1264" s="62">
        <f t="shared" si="4"/>
        <v>4.262948207</v>
      </c>
      <c r="O1264" s="28"/>
      <c r="P1264" s="28"/>
      <c r="Q1264" s="28"/>
      <c r="R1264" s="28"/>
      <c r="S1264" s="28"/>
      <c r="T1264" s="28"/>
      <c r="U1264" s="65"/>
      <c r="V1264" s="28"/>
      <c r="W1264" s="65"/>
      <c r="X1264" s="77"/>
      <c r="Y1264" s="28"/>
    </row>
    <row r="1265">
      <c r="A1265" s="18" t="s">
        <v>1328</v>
      </c>
      <c r="B1265" s="91" t="str">
        <f t="shared" si="148"/>
        <v>BA-07</v>
      </c>
      <c r="C1265" s="46" t="s">
        <v>942</v>
      </c>
      <c r="D1265" s="48" t="s">
        <v>926</v>
      </c>
      <c r="E1265" s="39">
        <v>720.0</v>
      </c>
      <c r="F1265" s="39">
        <v>720.0</v>
      </c>
      <c r="G1265" s="50">
        <f t="shared" si="149"/>
        <v>0</v>
      </c>
      <c r="H1265" s="28"/>
      <c r="I1265" s="55">
        <f t="shared" si="2"/>
        <v>722.5530207</v>
      </c>
      <c r="J1265" s="81"/>
      <c r="K1265" s="60">
        <f>IFERROR(__xludf.DUMMYFUNCTION("IFERROR(VLOOKUP(C1265,IMPORTRANGE(""https://docs.google.com/spreadsheets/d/1HZUHB8NvANAZR0sHDmHYVAm2WE9kNv0pGIQA48Ryim8/edit?gid=1285727875#gid=1285727875"",""Sheet1!A2:G""),7,0))"),149.47)</f>
        <v>149.47</v>
      </c>
      <c r="L1265" s="62">
        <f t="shared" si="150"/>
        <v>4.817020138</v>
      </c>
      <c r="M1265" s="60">
        <f>IFERROR(__xludf.DUMMYFUNCTION("IFERROR(VLOOKUP(C1265,IMPORTRANGE(""https://docs.google.com/spreadsheets/d/1HZUHB8NvANAZR0sHDmHYVAm2WE9kNv0pGIQA48Ryim8/edit?gid=1285727875#gid=1285727875"",""Cost!A2:G""),7,0))"),150.0)</f>
        <v>150</v>
      </c>
      <c r="N1265" s="62">
        <f t="shared" si="4"/>
        <v>4.8</v>
      </c>
      <c r="O1265" s="28"/>
      <c r="P1265" s="28"/>
      <c r="Q1265" s="28"/>
      <c r="R1265" s="28"/>
      <c r="S1265" s="28"/>
      <c r="T1265" s="28"/>
      <c r="U1265" s="65"/>
      <c r="V1265" s="28"/>
      <c r="W1265" s="65"/>
      <c r="X1265" s="77"/>
      <c r="Y1265" s="28"/>
    </row>
    <row r="1266">
      <c r="A1266" s="18" t="s">
        <v>1328</v>
      </c>
      <c r="B1266" s="91" t="str">
        <f t="shared" si="148"/>
        <v>BA-10S</v>
      </c>
      <c r="C1266" s="46" t="s">
        <v>945</v>
      </c>
      <c r="D1266" s="48" t="s">
        <v>946</v>
      </c>
      <c r="E1266" s="39">
        <v>1130.0</v>
      </c>
      <c r="F1266" s="39">
        <v>990.0</v>
      </c>
      <c r="G1266" s="50">
        <f t="shared" si="149"/>
        <v>-0.1238938053</v>
      </c>
      <c r="H1266" s="28"/>
      <c r="I1266" s="55">
        <f t="shared" si="2"/>
        <v>1241.649952</v>
      </c>
      <c r="J1266" s="81"/>
      <c r="K1266" s="60">
        <f>IFERROR(__xludf.DUMMYFUNCTION("IFERROR(VLOOKUP(C1266,IMPORTRANGE(""https://docs.google.com/spreadsheets/d/1HZUHB8NvANAZR0sHDmHYVAm2WE9kNv0pGIQA48Ryim8/edit?gid=1285727875#gid=1285727875"",""Sheet1!A2:G""),7,0))"),229.34)</f>
        <v>229.34</v>
      </c>
      <c r="L1266" s="62">
        <f t="shared" si="150"/>
        <v>4.927182349</v>
      </c>
      <c r="M1266" s="60">
        <f>IFERROR(__xludf.DUMMYFUNCTION("IFERROR(VLOOKUP(C1266,IMPORTRANGE(""https://docs.google.com/spreadsheets/d/1HZUHB8NvANAZR0sHDmHYVAm2WE9kNv0pGIQA48Ryim8/edit?gid=1285727875#gid=1285727875"",""Cost!A2:G""),7,0))"),252.0)</f>
        <v>252</v>
      </c>
      <c r="N1266" s="62">
        <f t="shared" si="4"/>
        <v>3.928571429</v>
      </c>
      <c r="O1266" s="28"/>
      <c r="P1266" s="28"/>
      <c r="Q1266" s="28"/>
      <c r="R1266" s="28"/>
      <c r="S1266" s="28"/>
      <c r="T1266" s="28"/>
      <c r="U1266" s="65"/>
      <c r="V1266" s="28"/>
      <c r="W1266" s="65"/>
      <c r="X1266" s="77"/>
      <c r="Y1266" s="28"/>
    </row>
    <row r="1267">
      <c r="A1267" s="18" t="s">
        <v>1328</v>
      </c>
      <c r="B1267" s="91" t="str">
        <f t="shared" si="148"/>
        <v>BA-11S</v>
      </c>
      <c r="C1267" s="46" t="s">
        <v>948</v>
      </c>
      <c r="D1267" s="48" t="s">
        <v>949</v>
      </c>
      <c r="E1267" s="39">
        <v>790.0</v>
      </c>
      <c r="F1267" s="39">
        <v>690.0</v>
      </c>
      <c r="G1267" s="50">
        <f t="shared" si="149"/>
        <v>-0.1265822785</v>
      </c>
      <c r="H1267" s="28"/>
      <c r="I1267" s="55">
        <f t="shared" si="2"/>
        <v>866.4007976</v>
      </c>
      <c r="J1267" s="81"/>
      <c r="K1267" s="60">
        <f>IFERROR(__xludf.DUMMYFUNCTION("IFERROR(VLOOKUP(C1267,IMPORTRANGE(""https://docs.google.com/spreadsheets/d/1HZUHB8NvANAZR0sHDmHYVAm2WE9kNv0pGIQA48Ryim8/edit?gid=1285727875#gid=1285727875"",""Sheet1!A2:G""),7,0))"),130.39)</f>
        <v>130.39</v>
      </c>
      <c r="L1267" s="62">
        <f t="shared" si="150"/>
        <v>6.058746836</v>
      </c>
      <c r="M1267" s="60">
        <f>IFERROR(__xludf.DUMMYFUNCTION("IFERROR(VLOOKUP(C1267,IMPORTRANGE(""https://docs.google.com/spreadsheets/d/1HZUHB8NvANAZR0sHDmHYVAm2WE9kNv0pGIQA48Ryim8/edit?gid=1285727875#gid=1285727875"",""Cost!A2:G""),7,0))"),143.0)</f>
        <v>143</v>
      </c>
      <c r="N1267" s="62">
        <f t="shared" si="4"/>
        <v>4.825174825</v>
      </c>
      <c r="O1267" s="28"/>
      <c r="P1267" s="28"/>
      <c r="Q1267" s="28"/>
      <c r="R1267" s="28"/>
      <c r="S1267" s="28"/>
      <c r="T1267" s="28"/>
      <c r="U1267" s="65"/>
      <c r="V1267" s="28"/>
      <c r="W1267" s="65"/>
      <c r="X1267" s="77"/>
      <c r="Y1267" s="28"/>
    </row>
    <row r="1268">
      <c r="A1268" s="18" t="s">
        <v>1328</v>
      </c>
      <c r="B1268" s="91" t="str">
        <f t="shared" si="148"/>
        <v>BA-12S</v>
      </c>
      <c r="C1268" s="46" t="s">
        <v>952</v>
      </c>
      <c r="D1268" s="48" t="s">
        <v>953</v>
      </c>
      <c r="E1268" s="39">
        <v>3650.0</v>
      </c>
      <c r="F1268" s="39">
        <v>3650.0</v>
      </c>
      <c r="G1268" s="50">
        <f t="shared" si="149"/>
        <v>0</v>
      </c>
      <c r="H1268" s="28"/>
      <c r="I1268" s="55">
        <f t="shared" si="2"/>
        <v>3670.815351</v>
      </c>
      <c r="J1268" s="81"/>
      <c r="K1268" s="60">
        <f>IFERROR(__xludf.DUMMYFUNCTION("IFERROR(VLOOKUP(C1268,IMPORTRANGE(""https://docs.google.com/spreadsheets/d/1HZUHB8NvANAZR0sHDmHYVAm2WE9kNv0pGIQA48Ryim8/edit?gid=1285727875#gid=1285727875"",""Sheet1!A2:G""),7,0))"),1038.08)</f>
        <v>1038.08</v>
      </c>
      <c r="L1268" s="62">
        <f t="shared" si="150"/>
        <v>3.516106658</v>
      </c>
      <c r="M1268" s="60">
        <f>IFERROR(__xludf.DUMMYFUNCTION("IFERROR(VLOOKUP(C1268,IMPORTRANGE(""https://docs.google.com/spreadsheets/d/1HZUHB8NvANAZR0sHDmHYVAm2WE9kNv0pGIQA48Ryim8/edit?gid=1285727875#gid=1285727875"",""Cost!A2:G""),7,0))"),1044.0)</f>
        <v>1044</v>
      </c>
      <c r="N1268" s="62">
        <f t="shared" si="4"/>
        <v>3.496168582</v>
      </c>
      <c r="O1268" s="28"/>
      <c r="P1268" s="28"/>
      <c r="Q1268" s="28"/>
      <c r="R1268" s="28"/>
      <c r="S1268" s="28"/>
      <c r="T1268" s="28"/>
      <c r="U1268" s="65"/>
      <c r="V1268" s="28"/>
      <c r="W1268" s="65"/>
      <c r="X1268" s="77"/>
      <c r="Y1268" s="28"/>
    </row>
    <row r="1269">
      <c r="A1269" s="18" t="s">
        <v>1328</v>
      </c>
      <c r="B1269" s="91" t="str">
        <f t="shared" si="148"/>
        <v>BA-15S</v>
      </c>
      <c r="C1269" s="46" t="s">
        <v>956</v>
      </c>
      <c r="D1269" s="48" t="s">
        <v>957</v>
      </c>
      <c r="E1269" s="39">
        <v>670.0</v>
      </c>
      <c r="F1269" s="39">
        <v>590.0</v>
      </c>
      <c r="G1269" s="50">
        <f t="shared" si="149"/>
        <v>-0.1194029851</v>
      </c>
      <c r="H1269" s="28"/>
      <c r="I1269" s="55">
        <f t="shared" si="2"/>
        <v>886.5254166</v>
      </c>
      <c r="J1269" s="81"/>
      <c r="K1269" s="60">
        <f>IFERROR(__xludf.DUMMYFUNCTION("IFERROR(VLOOKUP(C1269,IMPORTRANGE(""https://docs.google.com/spreadsheets/d/1HZUHB8NvANAZR0sHDmHYVAm2WE9kNv0pGIQA48Ryim8/edit?gid=1285727875#gid=1285727875"",""Sheet1!A2:G""),7,0))"),119.41)</f>
        <v>119.41</v>
      </c>
      <c r="L1269" s="62">
        <f t="shared" si="150"/>
        <v>5.610920358</v>
      </c>
      <c r="M1269" s="60">
        <f>IFERROR(__xludf.DUMMYFUNCTION("IFERROR(VLOOKUP(C1269,IMPORTRANGE(""https://docs.google.com/spreadsheets/d/1HZUHB8NvANAZR0sHDmHYVAm2WE9kNv0pGIQA48Ryim8/edit?gid=1285727875#gid=1285727875"",""Cost!A2:G""),7,0))"),158.0)</f>
        <v>158</v>
      </c>
      <c r="N1269" s="62">
        <f t="shared" si="4"/>
        <v>3.734177215</v>
      </c>
      <c r="O1269" s="28"/>
      <c r="P1269" s="28"/>
      <c r="Q1269" s="28"/>
      <c r="R1269" s="28"/>
      <c r="S1269" s="28"/>
      <c r="T1269" s="28"/>
      <c r="U1269" s="65"/>
      <c r="V1269" s="28"/>
      <c r="W1269" s="65"/>
      <c r="X1269" s="77"/>
      <c r="Y1269" s="28"/>
    </row>
    <row r="1270">
      <c r="A1270" s="18" t="s">
        <v>1328</v>
      </c>
      <c r="B1270" s="91" t="str">
        <f t="shared" si="148"/>
        <v>BA-16S</v>
      </c>
      <c r="C1270" s="46" t="s">
        <v>960</v>
      </c>
      <c r="D1270" s="48" t="s">
        <v>961</v>
      </c>
      <c r="E1270" s="39">
        <v>790.0</v>
      </c>
      <c r="F1270" s="39">
        <v>710.0</v>
      </c>
      <c r="G1270" s="50">
        <f t="shared" si="149"/>
        <v>-0.1012658228</v>
      </c>
      <c r="H1270" s="28"/>
      <c r="I1270" s="55">
        <f t="shared" si="2"/>
        <v>786.8036103</v>
      </c>
      <c r="J1270" s="81"/>
      <c r="K1270" s="60">
        <f>IFERROR(__xludf.DUMMYFUNCTION("IFERROR(VLOOKUP(C1270,IMPORTRANGE(""https://docs.google.com/spreadsheets/d/1HZUHB8NvANAZR0sHDmHYVAm2WE9kNv0pGIQA48Ryim8/edit?gid=1285727875#gid=1285727875"",""Sheet1!A2:G""),7,0))"),192.78)</f>
        <v>192.78</v>
      </c>
      <c r="L1270" s="62">
        <f t="shared" si="150"/>
        <v>4.09793547</v>
      </c>
      <c r="M1270" s="60">
        <f>IFERROR(__xludf.DUMMYFUNCTION("IFERROR(VLOOKUP(C1270,IMPORTRANGE(""https://docs.google.com/spreadsheets/d/1HZUHB8NvANAZR0sHDmHYVAm2WE9kNv0pGIQA48Ryim8/edit?gid=1285727875#gid=1285727875"",""Cost!A2:G""),7,0))"),192.0)</f>
        <v>192</v>
      </c>
      <c r="N1270" s="62">
        <f t="shared" si="4"/>
        <v>3.697916667</v>
      </c>
      <c r="O1270" s="28"/>
      <c r="P1270" s="28"/>
      <c r="Q1270" s="28"/>
      <c r="R1270" s="28"/>
      <c r="S1270" s="28"/>
      <c r="T1270" s="28"/>
      <c r="U1270" s="65"/>
      <c r="V1270" s="28"/>
      <c r="W1270" s="65"/>
      <c r="X1270" s="77"/>
      <c r="Y1270" s="28"/>
    </row>
    <row r="1271">
      <c r="A1271" s="18" t="s">
        <v>1328</v>
      </c>
      <c r="B1271" s="91" t="str">
        <f t="shared" si="148"/>
        <v>BA-17S</v>
      </c>
      <c r="C1271" s="46" t="s">
        <v>963</v>
      </c>
      <c r="D1271" s="48" t="s">
        <v>964</v>
      </c>
      <c r="E1271" s="39">
        <v>510.0</v>
      </c>
      <c r="F1271" s="39">
        <v>390.0</v>
      </c>
      <c r="G1271" s="50">
        <f t="shared" si="149"/>
        <v>-0.2352941176</v>
      </c>
      <c r="H1271" s="28"/>
      <c r="I1271" s="55">
        <f t="shared" si="2"/>
        <v>511.8668084</v>
      </c>
      <c r="J1271" s="81"/>
      <c r="K1271" s="60">
        <f>IFERROR(__xludf.DUMMYFUNCTION("IFERROR(VLOOKUP(C1271,IMPORTRANGE(""https://docs.google.com/spreadsheets/d/1HZUHB8NvANAZR0sHDmHYVAm2WE9kNv0pGIQA48Ryim8/edit?gid=1285727875#gid=1285727875"",""Sheet1!A2:G""),7,0))"),84.69)</f>
        <v>84.69</v>
      </c>
      <c r="L1271" s="62">
        <f t="shared" si="150"/>
        <v>6.021962451</v>
      </c>
      <c r="M1271" s="60">
        <f>IFERROR(__xludf.DUMMYFUNCTION("IFERROR(VLOOKUP(C1271,IMPORTRANGE(""https://docs.google.com/spreadsheets/d/1HZUHB8NvANAZR0sHDmHYVAm2WE9kNv0pGIQA48Ryim8/edit?gid=1285727875#gid=1285727875"",""Cost!A2:G""),7,0))"),85.0)</f>
        <v>85</v>
      </c>
      <c r="N1271" s="62">
        <f t="shared" si="4"/>
        <v>4.588235294</v>
      </c>
      <c r="O1271" s="28"/>
      <c r="P1271" s="28"/>
      <c r="Q1271" s="28"/>
      <c r="R1271" s="28"/>
      <c r="S1271" s="28"/>
      <c r="T1271" s="28"/>
      <c r="U1271" s="65"/>
      <c r="V1271" s="28"/>
      <c r="W1271" s="65"/>
      <c r="X1271" s="77"/>
      <c r="Y1271" s="28"/>
    </row>
    <row r="1272">
      <c r="A1272" s="18" t="s">
        <v>1328</v>
      </c>
      <c r="B1272" s="91" t="str">
        <f t="shared" si="148"/>
        <v>BA-18S</v>
      </c>
      <c r="C1272" s="46" t="s">
        <v>966</v>
      </c>
      <c r="D1272" s="48" t="s">
        <v>967</v>
      </c>
      <c r="E1272" s="39">
        <v>990.0</v>
      </c>
      <c r="F1272" s="39">
        <v>1040.0</v>
      </c>
      <c r="G1272" s="50">
        <f t="shared" si="149"/>
        <v>0.05050505051</v>
      </c>
      <c r="H1272" s="28"/>
      <c r="I1272" s="55">
        <f t="shared" si="2"/>
        <v>1030.16333</v>
      </c>
      <c r="J1272" s="81"/>
      <c r="K1272" s="60">
        <f>IFERROR(__xludf.DUMMYFUNCTION("IFERROR(VLOOKUP(C1272,IMPORTRANGE(""https://docs.google.com/spreadsheets/d/1HZUHB8NvANAZR0sHDmHYVAm2WE9kNv0pGIQA48Ryim8/edit?gid=1285727875#gid=1285727875"",""Sheet1!A2:G""),7,0))"),303.68)</f>
        <v>303.68</v>
      </c>
      <c r="L1272" s="62">
        <f t="shared" si="150"/>
        <v>3.260010537</v>
      </c>
      <c r="M1272" s="60">
        <f>IFERROR(__xludf.DUMMYFUNCTION("IFERROR(VLOOKUP(C1272,IMPORTRANGE(""https://docs.google.com/spreadsheets/d/1HZUHB8NvANAZR0sHDmHYVAm2WE9kNv0pGIQA48Ryim8/edit?gid=1285727875#gid=1285727875"",""Cost!A2:G""),7,0))"),316.0)</f>
        <v>316</v>
      </c>
      <c r="N1272" s="62">
        <f t="shared" si="4"/>
        <v>3.291139241</v>
      </c>
      <c r="O1272" s="28"/>
      <c r="P1272" s="28"/>
      <c r="Q1272" s="28"/>
      <c r="R1272" s="28"/>
      <c r="S1272" s="28"/>
      <c r="T1272" s="28"/>
      <c r="U1272" s="65"/>
      <c r="V1272" s="28"/>
      <c r="W1272" s="65"/>
      <c r="X1272" s="77"/>
      <c r="Y1272" s="28"/>
    </row>
    <row r="1273">
      <c r="A1273" s="18" t="s">
        <v>1328</v>
      </c>
      <c r="B1273" s="91" t="str">
        <f t="shared" si="148"/>
        <v>BA-20N</v>
      </c>
      <c r="C1273" s="46" t="s">
        <v>969</v>
      </c>
      <c r="D1273" s="48" t="s">
        <v>970</v>
      </c>
      <c r="E1273" s="39">
        <v>1330.0</v>
      </c>
      <c r="F1273" s="39">
        <v>890.0</v>
      </c>
      <c r="G1273" s="50">
        <f t="shared" si="149"/>
        <v>-0.3308270677</v>
      </c>
      <c r="H1273" s="28"/>
      <c r="I1273" s="55">
        <f t="shared" si="2"/>
        <v>1327.887452</v>
      </c>
      <c r="J1273" s="81"/>
      <c r="K1273" s="60">
        <f>IFERROR(__xludf.DUMMYFUNCTION("IFERROR(VLOOKUP(C1273,IMPORTRANGE(""https://docs.google.com/spreadsheets/d/1HZUHB8NvANAZR0sHDmHYVAm2WE9kNv0pGIQA48Ryim8/edit?gid=1285727875#gid=1285727875"",""Sheet1!A2:G""),7,0))"),220.35)</f>
        <v>220.35</v>
      </c>
      <c r="L1273" s="62">
        <f t="shared" si="150"/>
        <v>6.035852054</v>
      </c>
      <c r="M1273" s="60">
        <f>IFERROR(__xludf.DUMMYFUNCTION("IFERROR(VLOOKUP(C1273,IMPORTRANGE(""https://docs.google.com/spreadsheets/d/1HZUHB8NvANAZR0sHDmHYVAm2WE9kNv0pGIQA48Ryim8/edit?gid=1285727875#gid=1285727875"",""Cost!A2:G""),7,0))"),220.0)</f>
        <v>220</v>
      </c>
      <c r="N1273" s="62">
        <f t="shared" si="4"/>
        <v>4.045454545</v>
      </c>
      <c r="O1273" s="28"/>
      <c r="P1273" s="28"/>
      <c r="Q1273" s="28"/>
      <c r="R1273" s="28"/>
      <c r="S1273" s="28"/>
      <c r="T1273" s="28"/>
      <c r="U1273" s="65"/>
      <c r="V1273" s="28"/>
      <c r="W1273" s="65"/>
      <c r="X1273" s="77"/>
      <c r="Y1273" s="28"/>
    </row>
    <row r="1274">
      <c r="A1274" s="18" t="s">
        <v>1328</v>
      </c>
      <c r="B1274" s="91" t="str">
        <f t="shared" si="148"/>
        <v>BA-21N</v>
      </c>
      <c r="C1274" s="46" t="s">
        <v>972</v>
      </c>
      <c r="D1274" s="48" t="s">
        <v>973</v>
      </c>
      <c r="E1274" s="39">
        <v>940.0</v>
      </c>
      <c r="F1274" s="39">
        <v>940.0</v>
      </c>
      <c r="G1274" s="50">
        <f t="shared" si="149"/>
        <v>0</v>
      </c>
      <c r="H1274" s="28"/>
      <c r="I1274" s="55">
        <f t="shared" si="2"/>
        <v>938.5069208</v>
      </c>
      <c r="J1274" s="81"/>
      <c r="K1274" s="60">
        <f>IFERROR(__xludf.DUMMYFUNCTION("IFERROR(VLOOKUP(C1274,IMPORTRANGE(""https://docs.google.com/spreadsheets/d/1HZUHB8NvANAZR0sHDmHYVAm2WE9kNv0pGIQA48Ryim8/edit?gid=1285727875#gid=1285727875"",""Sheet1!A2:G""),7,0))"),220.35)</f>
        <v>220.35</v>
      </c>
      <c r="L1274" s="62">
        <f t="shared" si="150"/>
        <v>4.265940549</v>
      </c>
      <c r="M1274" s="60">
        <f>IFERROR(__xludf.DUMMYFUNCTION("IFERROR(VLOOKUP(C1274,IMPORTRANGE(""https://docs.google.com/spreadsheets/d/1HZUHB8NvANAZR0sHDmHYVAm2WE9kNv0pGIQA48Ryim8/edit?gid=1285727875#gid=1285727875"",""Cost!A2:G""),7,0))"),220.0)</f>
        <v>220</v>
      </c>
      <c r="N1274" s="62">
        <f t="shared" si="4"/>
        <v>4.272727273</v>
      </c>
      <c r="O1274" s="28"/>
      <c r="P1274" s="28"/>
      <c r="Q1274" s="28"/>
      <c r="R1274" s="28"/>
      <c r="S1274" s="28"/>
      <c r="T1274" s="28"/>
      <c r="U1274" s="65"/>
      <c r="V1274" s="28"/>
      <c r="W1274" s="65"/>
      <c r="X1274" s="77"/>
      <c r="Y1274" s="28"/>
    </row>
    <row r="1275">
      <c r="A1275" s="18" t="s">
        <v>1328</v>
      </c>
      <c r="B1275" s="91" t="str">
        <f t="shared" si="148"/>
        <v>BA-25N</v>
      </c>
      <c r="C1275" s="46" t="s">
        <v>975</v>
      </c>
      <c r="D1275" s="48" t="s">
        <v>976</v>
      </c>
      <c r="E1275" s="39">
        <v>940.0</v>
      </c>
      <c r="F1275" s="39">
        <v>940.0</v>
      </c>
      <c r="G1275" s="50">
        <f t="shared" si="149"/>
        <v>0</v>
      </c>
      <c r="H1275" s="28"/>
      <c r="I1275" s="55">
        <f t="shared" si="2"/>
        <v>0</v>
      </c>
      <c r="J1275" s="81"/>
      <c r="K1275" s="60" t="str">
        <f>IFERROR(__xludf.DUMMYFUNCTION("IFERROR(VLOOKUP(C1275,IMPORTRANGE(""https://docs.google.com/spreadsheets/d/1HZUHB8NvANAZR0sHDmHYVAm2WE9kNv0pGIQA48Ryim8/edit?gid=1285727875#gid=1285727875"",""Sheet1!A2:G""),7,0))"),"")</f>
        <v/>
      </c>
      <c r="L1275" s="62" t="str">
        <f t="shared" si="150"/>
        <v/>
      </c>
      <c r="M1275" s="60" t="str">
        <f>IFERROR(__xludf.DUMMYFUNCTION("IFERROR(VLOOKUP(C1275,IMPORTRANGE(""https://docs.google.com/spreadsheets/d/1HZUHB8NvANAZR0sHDmHYVAm2WE9kNv0pGIQA48Ryim8/edit?gid=1285727875#gid=1285727875"",""Cost!A2:G""),7,0))"),"")</f>
        <v/>
      </c>
      <c r="N1275" s="62" t="str">
        <f t="shared" si="4"/>
        <v/>
      </c>
      <c r="O1275" s="101"/>
      <c r="P1275" s="28"/>
      <c r="Q1275" s="28"/>
      <c r="R1275" s="28"/>
      <c r="S1275" s="28"/>
      <c r="T1275" s="28"/>
      <c r="U1275" s="65"/>
      <c r="V1275" s="28"/>
      <c r="W1275" s="65"/>
      <c r="X1275" s="77"/>
      <c r="Y1275" s="28"/>
    </row>
    <row r="1276">
      <c r="A1276" s="18" t="s">
        <v>1328</v>
      </c>
      <c r="B1276" s="91" t="str">
        <f t="shared" si="148"/>
        <v>BA-26N</v>
      </c>
      <c r="C1276" s="46" t="s">
        <v>979</v>
      </c>
      <c r="D1276" s="48" t="s">
        <v>980</v>
      </c>
      <c r="E1276" s="39">
        <v>940.0</v>
      </c>
      <c r="F1276" s="39">
        <v>940.0</v>
      </c>
      <c r="G1276" s="50">
        <f t="shared" si="149"/>
        <v>0</v>
      </c>
      <c r="H1276" s="28"/>
      <c r="I1276" s="55">
        <f t="shared" si="2"/>
        <v>934.1614907</v>
      </c>
      <c r="J1276" s="81"/>
      <c r="K1276" s="60">
        <f>IFERROR(__xludf.DUMMYFUNCTION("IFERROR(VLOOKUP(C1276,IMPORTRANGE(""https://docs.google.com/spreadsheets/d/1HZUHB8NvANAZR0sHDmHYVAm2WE9kNv0pGIQA48Ryim8/edit?gid=1285727875#gid=1285727875"",""Sheet1!A2:G""),7,0))"),24.15)</f>
        <v>24.15</v>
      </c>
      <c r="L1276" s="62">
        <f t="shared" si="150"/>
        <v>38.92339545</v>
      </c>
      <c r="M1276" s="60">
        <f>IFERROR(__xludf.DUMMYFUNCTION("IFERROR(VLOOKUP(C1276,IMPORTRANGE(""https://docs.google.com/spreadsheets/d/1HZUHB8NvANAZR0sHDmHYVAm2WE9kNv0pGIQA48Ryim8/edit?gid=1285727875#gid=1285727875"",""Cost!A2:G""),7,0))"),24.0)</f>
        <v>24</v>
      </c>
      <c r="N1276" s="62">
        <f t="shared" si="4"/>
        <v>39.16666667</v>
      </c>
      <c r="O1276" s="101"/>
      <c r="P1276" s="28"/>
      <c r="Q1276" s="28"/>
      <c r="R1276" s="28"/>
      <c r="S1276" s="28"/>
      <c r="T1276" s="28"/>
      <c r="U1276" s="65"/>
      <c r="V1276" s="28"/>
      <c r="W1276" s="65"/>
      <c r="X1276" s="77"/>
      <c r="Y1276" s="28"/>
    </row>
    <row r="1277">
      <c r="A1277" s="18" t="s">
        <v>1328</v>
      </c>
      <c r="B1277" s="91" t="str">
        <f t="shared" si="148"/>
        <v>BA-27N</v>
      </c>
      <c r="C1277" s="46" t="s">
        <v>982</v>
      </c>
      <c r="D1277" s="48" t="s">
        <v>983</v>
      </c>
      <c r="E1277" s="39">
        <v>670.0</v>
      </c>
      <c r="F1277" s="39">
        <v>670.0</v>
      </c>
      <c r="G1277" s="50">
        <f t="shared" si="149"/>
        <v>0</v>
      </c>
      <c r="H1277" s="28"/>
      <c r="I1277" s="55">
        <f t="shared" si="2"/>
        <v>0</v>
      </c>
      <c r="J1277" s="81"/>
      <c r="K1277" s="60" t="str">
        <f>IFERROR(__xludf.DUMMYFUNCTION("IFERROR(VLOOKUP(C1277,IMPORTRANGE(""https://docs.google.com/spreadsheets/d/1HZUHB8NvANAZR0sHDmHYVAm2WE9kNv0pGIQA48Ryim8/edit?gid=1285727875#gid=1285727875"",""Sheet1!A2:G""),7,0))"),"")</f>
        <v/>
      </c>
      <c r="L1277" s="62" t="str">
        <f t="shared" si="150"/>
        <v/>
      </c>
      <c r="M1277" s="60" t="str">
        <f>IFERROR(__xludf.DUMMYFUNCTION("IFERROR(VLOOKUP(C1277,IMPORTRANGE(""https://docs.google.com/spreadsheets/d/1HZUHB8NvANAZR0sHDmHYVAm2WE9kNv0pGIQA48Ryim8/edit?gid=1285727875#gid=1285727875"",""Cost!A2:G""),7,0))"),"")</f>
        <v/>
      </c>
      <c r="N1277" s="62" t="str">
        <f t="shared" si="4"/>
        <v/>
      </c>
      <c r="O1277" s="101"/>
      <c r="P1277" s="28"/>
      <c r="Q1277" s="28"/>
      <c r="R1277" s="28"/>
      <c r="S1277" s="28"/>
      <c r="T1277" s="28"/>
      <c r="U1277" s="65"/>
      <c r="V1277" s="28"/>
      <c r="W1277" s="65"/>
      <c r="X1277" s="77"/>
      <c r="Y1277" s="28"/>
    </row>
    <row r="1278">
      <c r="A1278" s="18" t="s">
        <v>1328</v>
      </c>
      <c r="B1278" s="91" t="str">
        <f t="shared" si="148"/>
        <v>BA-01S</v>
      </c>
      <c r="C1278" s="46" t="s">
        <v>985</v>
      </c>
      <c r="D1278" s="48" t="s">
        <v>946</v>
      </c>
      <c r="E1278" s="39">
        <v>1460.0</v>
      </c>
      <c r="F1278" s="39">
        <v>1460.0</v>
      </c>
      <c r="G1278" s="50">
        <f t="shared" si="149"/>
        <v>0</v>
      </c>
      <c r="H1278" s="28"/>
      <c r="I1278" s="55">
        <f t="shared" si="2"/>
        <v>1470.402314</v>
      </c>
      <c r="J1278" s="81"/>
      <c r="K1278" s="60">
        <f>IFERROR(__xludf.DUMMYFUNCTION("IFERROR(VLOOKUP(C1278,IMPORTRANGE(""https://docs.google.com/spreadsheets/d/1HZUHB8NvANAZR0sHDmHYVAm2WE9kNv0pGIQA48Ryim8/edit?gid=1285727875#gid=1285727875"",""Sheet1!A2:G""),7,0))"),373.34)</f>
        <v>373.34</v>
      </c>
      <c r="L1278" s="62">
        <f t="shared" si="150"/>
        <v>3.910644453</v>
      </c>
      <c r="M1278" s="60">
        <f>IFERROR(__xludf.DUMMYFUNCTION("IFERROR(VLOOKUP(C1278,IMPORTRANGE(""https://docs.google.com/spreadsheets/d/1HZUHB8NvANAZR0sHDmHYVAm2WE9kNv0pGIQA48Ryim8/edit?gid=1285727875#gid=1285727875"",""Cost!A2:G""),7,0))"),376.0)</f>
        <v>376</v>
      </c>
      <c r="N1278" s="62">
        <f t="shared" si="4"/>
        <v>3.882978723</v>
      </c>
      <c r="O1278" s="28"/>
      <c r="P1278" s="28"/>
      <c r="Q1278" s="28"/>
      <c r="R1278" s="28"/>
      <c r="S1278" s="28"/>
      <c r="T1278" s="28"/>
      <c r="U1278" s="65"/>
      <c r="V1278" s="28"/>
      <c r="W1278" s="65"/>
      <c r="X1278" s="77"/>
      <c r="Y1278" s="28"/>
    </row>
    <row r="1279">
      <c r="A1279" s="18" t="s">
        <v>1328</v>
      </c>
      <c r="B1279" s="91" t="str">
        <f t="shared" si="148"/>
        <v>BA-02S</v>
      </c>
      <c r="C1279" s="46" t="s">
        <v>987</v>
      </c>
      <c r="D1279" s="48" t="s">
        <v>949</v>
      </c>
      <c r="E1279" s="39">
        <v>910.0</v>
      </c>
      <c r="F1279" s="39">
        <v>840.0</v>
      </c>
      <c r="G1279" s="50">
        <f t="shared" si="149"/>
        <v>-0.07692307692</v>
      </c>
      <c r="H1279" s="28"/>
      <c r="I1279" s="55">
        <f t="shared" si="2"/>
        <v>1234.462742</v>
      </c>
      <c r="J1279" s="81"/>
      <c r="K1279" s="60">
        <f>IFERROR(__xludf.DUMMYFUNCTION("IFERROR(VLOOKUP(C1279,IMPORTRANGE(""https://docs.google.com/spreadsheets/d/1HZUHB8NvANAZR0sHDmHYVAm2WE9kNv0pGIQA48Ryim8/edit?gid=1285727875#gid=1285727875"",""Sheet1!A2:G""),7,0))"),158.49)</f>
        <v>158.49</v>
      </c>
      <c r="L1279" s="62">
        <f t="shared" si="150"/>
        <v>5.741687173</v>
      </c>
      <c r="M1279" s="60">
        <f>IFERROR(__xludf.DUMMYFUNCTION("IFERROR(VLOOKUP(C1279,IMPORTRANGE(""https://docs.google.com/spreadsheets/d/1HZUHB8NvANAZR0sHDmHYVAm2WE9kNv0pGIQA48Ryim8/edit?gid=1285727875#gid=1285727875"",""Cost!A2:G""),7,0))"),215.0)</f>
        <v>215</v>
      </c>
      <c r="N1279" s="62">
        <f t="shared" si="4"/>
        <v>3.906976744</v>
      </c>
      <c r="O1279" s="28"/>
      <c r="P1279" s="28"/>
      <c r="Q1279" s="28"/>
      <c r="R1279" s="28"/>
      <c r="S1279" s="28"/>
      <c r="T1279" s="28"/>
      <c r="U1279" s="65"/>
      <c r="V1279" s="28"/>
      <c r="W1279" s="65"/>
      <c r="X1279" s="77"/>
      <c r="Y1279" s="28"/>
    </row>
    <row r="1280">
      <c r="A1280" s="18" t="s">
        <v>1328</v>
      </c>
      <c r="B1280" s="91" t="str">
        <f t="shared" si="148"/>
        <v>BA-05S</v>
      </c>
      <c r="C1280" s="46" t="s">
        <v>989</v>
      </c>
      <c r="D1280" s="48" t="s">
        <v>957</v>
      </c>
      <c r="E1280" s="39">
        <v>710.0</v>
      </c>
      <c r="F1280" s="39">
        <v>690.0</v>
      </c>
      <c r="G1280" s="50">
        <f t="shared" si="149"/>
        <v>-0.02816901408</v>
      </c>
      <c r="H1280" s="28"/>
      <c r="I1280" s="55">
        <f t="shared" si="2"/>
        <v>913.5096497</v>
      </c>
      <c r="J1280" s="81"/>
      <c r="K1280" s="60">
        <f>IFERROR(__xludf.DUMMYFUNCTION("IFERROR(VLOOKUP(C1280,IMPORTRANGE(""https://docs.google.com/spreadsheets/d/1HZUHB8NvANAZR0sHDmHYVAm2WE9kNv0pGIQA48Ryim8/edit?gid=1285727875#gid=1285727875"",""Sheet1!A2:G""),7,0))"),139.9)</f>
        <v>139.9</v>
      </c>
      <c r="L1280" s="62">
        <f t="shared" si="150"/>
        <v>5.07505361</v>
      </c>
      <c r="M1280" s="60">
        <f>IFERROR(__xludf.DUMMYFUNCTION("IFERROR(VLOOKUP(C1280,IMPORTRANGE(""https://docs.google.com/spreadsheets/d/1HZUHB8NvANAZR0sHDmHYVAm2WE9kNv0pGIQA48Ryim8/edit?gid=1285727875#gid=1285727875"",""Cost!A2:G""),7,0))"),180.0)</f>
        <v>180</v>
      </c>
      <c r="N1280" s="62">
        <f t="shared" si="4"/>
        <v>3.833333333</v>
      </c>
      <c r="O1280" s="28"/>
      <c r="P1280" s="28"/>
      <c r="Q1280" s="28"/>
      <c r="R1280" s="28"/>
      <c r="S1280" s="28"/>
      <c r="T1280" s="28"/>
      <c r="U1280" s="65"/>
      <c r="V1280" s="28"/>
      <c r="W1280" s="65"/>
      <c r="X1280" s="77"/>
      <c r="Y1280" s="28"/>
    </row>
    <row r="1281">
      <c r="A1281" s="18" t="s">
        <v>1328</v>
      </c>
      <c r="B1281" s="91" t="str">
        <f t="shared" si="148"/>
        <v>BA-06S</v>
      </c>
      <c r="C1281" s="46" t="s">
        <v>991</v>
      </c>
      <c r="D1281" s="48" t="s">
        <v>961</v>
      </c>
      <c r="E1281" s="39">
        <v>880.0</v>
      </c>
      <c r="F1281" s="39">
        <v>840.0</v>
      </c>
      <c r="G1281" s="50">
        <f t="shared" si="149"/>
        <v>-0.04545454545</v>
      </c>
      <c r="H1281" s="28"/>
      <c r="I1281" s="55">
        <f t="shared" si="2"/>
        <v>881.3437528</v>
      </c>
      <c r="J1281" s="81"/>
      <c r="K1281" s="60">
        <f>IFERROR(__xludf.DUMMYFUNCTION("IFERROR(VLOOKUP(C1281,IMPORTRANGE(""https://docs.google.com/spreadsheets/d/1HZUHB8NvANAZR0sHDmHYVAm2WE9kNv0pGIQA48Ryim8/edit?gid=1285727875#gid=1285727875"",""Sheet1!A2:G""),7,0))"),222.66)</f>
        <v>222.66</v>
      </c>
      <c r="L1281" s="62">
        <f t="shared" si="150"/>
        <v>3.952214138</v>
      </c>
      <c r="M1281" s="60">
        <f>IFERROR(__xludf.DUMMYFUNCTION("IFERROR(VLOOKUP(C1281,IMPORTRANGE(""https://docs.google.com/spreadsheets/d/1HZUHB8NvANAZR0sHDmHYVAm2WE9kNv0pGIQA48Ryim8/edit?gid=1285727875#gid=1285727875"",""Cost!A2:G""),7,0))"),223.0)</f>
        <v>223</v>
      </c>
      <c r="N1281" s="62">
        <f t="shared" si="4"/>
        <v>3.766816143</v>
      </c>
      <c r="O1281" s="28"/>
      <c r="P1281" s="28"/>
      <c r="Q1281" s="28"/>
      <c r="R1281" s="28"/>
      <c r="S1281" s="28"/>
      <c r="T1281" s="28"/>
      <c r="U1281" s="65"/>
      <c r="V1281" s="28"/>
      <c r="W1281" s="65"/>
      <c r="X1281" s="77"/>
      <c r="Y1281" s="28"/>
    </row>
    <row r="1282">
      <c r="A1282" s="18" t="s">
        <v>1328</v>
      </c>
      <c r="B1282" s="91" t="str">
        <f t="shared" si="148"/>
        <v>BA-07S</v>
      </c>
      <c r="C1282" s="46" t="s">
        <v>993</v>
      </c>
      <c r="D1282" s="48" t="s">
        <v>964</v>
      </c>
      <c r="E1282" s="39">
        <v>416.0</v>
      </c>
      <c r="F1282" s="39">
        <v>390.0</v>
      </c>
      <c r="G1282" s="50">
        <f t="shared" si="149"/>
        <v>-0.0625</v>
      </c>
      <c r="H1282" s="28"/>
      <c r="I1282" s="55">
        <f t="shared" si="2"/>
        <v>417.5214766</v>
      </c>
      <c r="J1282" s="81"/>
      <c r="K1282" s="60">
        <f>IFERROR(__xludf.DUMMYFUNCTION("IFERROR(VLOOKUP(C1282,IMPORTRANGE(""https://docs.google.com/spreadsheets/d/1HZUHB8NvANAZR0sHDmHYVAm2WE9kNv0pGIQA48Ryim8/edit?gid=1285727875#gid=1285727875"",""Sheet1!A2:G""),7,0))"),117.57)</f>
        <v>117.57</v>
      </c>
      <c r="L1282" s="62">
        <f t="shared" si="150"/>
        <v>3.538317598</v>
      </c>
      <c r="M1282" s="60">
        <f>IFERROR(__xludf.DUMMYFUNCTION("IFERROR(VLOOKUP(C1282,IMPORTRANGE(""https://docs.google.com/spreadsheets/d/1HZUHB8NvANAZR0sHDmHYVAm2WE9kNv0pGIQA48Ryim8/edit?gid=1285727875#gid=1285727875"",""Cost!A2:G""),7,0))"),118.0)</f>
        <v>118</v>
      </c>
      <c r="N1282" s="62">
        <f t="shared" si="4"/>
        <v>3.305084746</v>
      </c>
      <c r="O1282" s="28"/>
      <c r="P1282" s="28"/>
      <c r="Q1282" s="28"/>
      <c r="R1282" s="28"/>
      <c r="S1282" s="28"/>
      <c r="T1282" s="28"/>
      <c r="U1282" s="65"/>
      <c r="V1282" s="28"/>
      <c r="W1282" s="65"/>
      <c r="X1282" s="77"/>
      <c r="Y1282" s="28"/>
    </row>
    <row r="1283">
      <c r="A1283" s="18" t="s">
        <v>1328</v>
      </c>
      <c r="B1283" s="91" t="str">
        <f t="shared" si="148"/>
        <v>BA-08S</v>
      </c>
      <c r="C1283" s="46" t="s">
        <v>995</v>
      </c>
      <c r="D1283" s="48" t="s">
        <v>967</v>
      </c>
      <c r="E1283" s="39">
        <v>1340.0</v>
      </c>
      <c r="F1283" s="39">
        <v>1190.0</v>
      </c>
      <c r="G1283" s="50">
        <f t="shared" si="149"/>
        <v>-0.1119402985</v>
      </c>
      <c r="H1283" s="28"/>
      <c r="I1283" s="55">
        <f t="shared" si="2"/>
        <v>1339.741529</v>
      </c>
      <c r="J1283" s="81"/>
      <c r="K1283" s="60">
        <f>IFERROR(__xludf.DUMMYFUNCTION("IFERROR(VLOOKUP(C1283,IMPORTRANGE(""https://docs.google.com/spreadsheets/d/1HZUHB8NvANAZR0sHDmHYVAm2WE9kNv0pGIQA48Ryim8/edit?gid=1285727875#gid=1285727875"",""Sheet1!A2:G""),7,0))"),311.06)</f>
        <v>311.06</v>
      </c>
      <c r="L1283" s="62">
        <f t="shared" si="150"/>
        <v>4.307850575</v>
      </c>
      <c r="M1283" s="60">
        <f>IFERROR(__xludf.DUMMYFUNCTION("IFERROR(VLOOKUP(C1283,IMPORTRANGE(""https://docs.google.com/spreadsheets/d/1HZUHB8NvANAZR0sHDmHYVAm2WE9kNv0pGIQA48Ryim8/edit?gid=1285727875#gid=1285727875"",""Cost!A2:G""),7,0))"),311.0)</f>
        <v>311</v>
      </c>
      <c r="N1283" s="62">
        <f t="shared" si="4"/>
        <v>3.826366559</v>
      </c>
      <c r="O1283" s="28"/>
      <c r="P1283" s="28"/>
      <c r="Q1283" s="28"/>
      <c r="R1283" s="28"/>
      <c r="S1283" s="28"/>
      <c r="T1283" s="28"/>
      <c r="U1283" s="65"/>
      <c r="V1283" s="28"/>
      <c r="W1283" s="65"/>
      <c r="X1283" s="77"/>
      <c r="Y1283" s="28"/>
    </row>
    <row r="1284">
      <c r="A1284" s="18" t="s">
        <v>1328</v>
      </c>
      <c r="B1284" s="91" t="str">
        <f t="shared" si="148"/>
        <v>BSS-01</v>
      </c>
      <c r="C1284" s="46" t="s">
        <v>997</v>
      </c>
      <c r="D1284" s="48" t="s">
        <v>998</v>
      </c>
      <c r="E1284" s="39">
        <v>2690.0</v>
      </c>
      <c r="F1284" s="39">
        <v>2690.0</v>
      </c>
      <c r="G1284" s="50">
        <f t="shared" si="149"/>
        <v>0</v>
      </c>
      <c r="H1284" s="28"/>
      <c r="I1284" s="55">
        <f t="shared" si="2"/>
        <v>2719.524005</v>
      </c>
      <c r="J1284" s="81"/>
      <c r="K1284" s="60">
        <f>IFERROR(__xludf.DUMMYFUNCTION("IFERROR(VLOOKUP(C1284,IMPORTRANGE(""https://docs.google.com/spreadsheets/d/1HZUHB8NvANAZR0sHDmHYVAm2WE9kNv0pGIQA48Ryim8/edit?gid=1285727875#gid=1285727875"",""Sheet1!A2:G""),7,0))"),681.52)</f>
        <v>681.52</v>
      </c>
      <c r="L1284" s="62">
        <f t="shared" si="150"/>
        <v>3.947059514</v>
      </c>
      <c r="M1284" s="60">
        <f>IFERROR(__xludf.DUMMYFUNCTION("IFERROR(VLOOKUP(C1284,IMPORTRANGE(""https://docs.google.com/spreadsheets/d/1HZUHB8NvANAZR0sHDmHYVAm2WE9kNv0pGIQA48Ryim8/edit?gid=1285727875#gid=1285727875"",""Cost!A2:G""),7,0))"),689.0)</f>
        <v>689</v>
      </c>
      <c r="N1284" s="62">
        <f t="shared" si="4"/>
        <v>3.904208999</v>
      </c>
      <c r="O1284" s="28"/>
      <c r="P1284" s="28"/>
      <c r="Q1284" s="28"/>
      <c r="R1284" s="28"/>
      <c r="S1284" s="28"/>
      <c r="T1284" s="28"/>
      <c r="U1284" s="65"/>
      <c r="V1284" s="28"/>
      <c r="W1284" s="65"/>
      <c r="X1284" s="77"/>
      <c r="Y1284" s="28"/>
    </row>
    <row r="1285">
      <c r="A1285" s="18" t="s">
        <v>1328</v>
      </c>
      <c r="B1285" s="91" t="str">
        <f t="shared" si="148"/>
        <v>BSC-02</v>
      </c>
      <c r="C1285" s="46" t="s">
        <v>621</v>
      </c>
      <c r="D1285" s="48" t="s">
        <v>622</v>
      </c>
      <c r="E1285" s="39">
        <v>3890.0</v>
      </c>
      <c r="F1285" s="39">
        <v>3890.0</v>
      </c>
      <c r="G1285" s="50">
        <f t="shared" si="149"/>
        <v>0</v>
      </c>
      <c r="H1285" s="28"/>
      <c r="I1285" s="55">
        <f t="shared" si="2"/>
        <v>4579.36363</v>
      </c>
      <c r="J1285" s="81"/>
      <c r="K1285" s="60">
        <f>IFERROR(__xludf.DUMMYFUNCTION("IFERROR(VLOOKUP(C1285,IMPORTRANGE(""https://docs.google.com/spreadsheets/d/1HZUHB8NvANAZR0sHDmHYVAm2WE9kNv0pGIQA48Ryim8/edit?gid=1285727875#gid=1285727875"",""Sheet1!A2:G""),7,0))"),711.85)</f>
        <v>711.85</v>
      </c>
      <c r="L1285" s="62">
        <f t="shared" si="150"/>
        <v>5.464634403</v>
      </c>
      <c r="M1285" s="60">
        <f>IFERROR(__xludf.DUMMYFUNCTION("IFERROR(VLOOKUP(C1285,IMPORTRANGE(""https://docs.google.com/spreadsheets/d/1HZUHB8NvANAZR0sHDmHYVAm2WE9kNv0pGIQA48Ryim8/edit?gid=1285727875#gid=1285727875"",""Cost!A2:G""),7,0))"),838.0)</f>
        <v>838</v>
      </c>
      <c r="N1285" s="62">
        <f t="shared" si="4"/>
        <v>4.642004773</v>
      </c>
      <c r="O1285" s="28"/>
      <c r="P1285" s="28"/>
      <c r="Q1285" s="28"/>
      <c r="R1285" s="28"/>
      <c r="S1285" s="28"/>
      <c r="T1285" s="28"/>
      <c r="U1285" s="65"/>
      <c r="V1285" s="28"/>
      <c r="W1285" s="65"/>
      <c r="X1285" s="77"/>
      <c r="Y1285" s="28"/>
    </row>
    <row r="1286">
      <c r="A1286" s="18" t="s">
        <v>1328</v>
      </c>
      <c r="B1286" s="91" t="str">
        <f t="shared" si="148"/>
        <v>BSC-06</v>
      </c>
      <c r="C1286" s="46" t="s">
        <v>626</v>
      </c>
      <c r="D1286" s="48" t="s">
        <v>627</v>
      </c>
      <c r="E1286" s="39">
        <v>2390.0</v>
      </c>
      <c r="F1286" s="39">
        <v>2390.0</v>
      </c>
      <c r="G1286" s="50">
        <f t="shared" si="149"/>
        <v>0</v>
      </c>
      <c r="H1286" s="28"/>
      <c r="I1286" s="55">
        <f t="shared" si="2"/>
        <v>2394.641788</v>
      </c>
      <c r="J1286" s="81"/>
      <c r="K1286" s="60">
        <f>IFERROR(__xludf.DUMMYFUNCTION("IFERROR(VLOOKUP(C1286,IMPORTRANGE(""https://docs.google.com/spreadsheets/d/1HZUHB8NvANAZR0sHDmHYVAm2WE9kNv0pGIQA48Ryim8/edit?gid=1285727875#gid=1285727875"",""Sheet1!A2:G""),7,0))"),550.93)</f>
        <v>550.93</v>
      </c>
      <c r="L1286" s="62">
        <f t="shared" si="150"/>
        <v>4.33811918</v>
      </c>
      <c r="M1286" s="60">
        <f>IFERROR(__xludf.DUMMYFUNCTION("IFERROR(VLOOKUP(C1286,IMPORTRANGE(""https://docs.google.com/spreadsheets/d/1HZUHB8NvANAZR0sHDmHYVAm2WE9kNv0pGIQA48Ryim8/edit?gid=1285727875#gid=1285727875"",""Cost!A2:G""),7,0))"),552.0)</f>
        <v>552</v>
      </c>
      <c r="N1286" s="62">
        <f t="shared" si="4"/>
        <v>4.329710145</v>
      </c>
      <c r="O1286" s="28"/>
      <c r="P1286" s="28"/>
      <c r="Q1286" s="28"/>
      <c r="R1286" s="28"/>
      <c r="S1286" s="28"/>
      <c r="T1286" s="28"/>
      <c r="U1286" s="65"/>
      <c r="V1286" s="28"/>
      <c r="W1286" s="65"/>
      <c r="X1286" s="77"/>
      <c r="Y1286" s="28"/>
    </row>
    <row r="1287">
      <c r="A1287" s="18" t="s">
        <v>1328</v>
      </c>
      <c r="B1287" s="91" t="str">
        <f t="shared" si="148"/>
        <v>BSC-10</v>
      </c>
      <c r="C1287" s="46" t="s">
        <v>632</v>
      </c>
      <c r="D1287" s="48" t="s">
        <v>633</v>
      </c>
      <c r="E1287" s="39">
        <v>2280.0</v>
      </c>
      <c r="F1287" s="39">
        <v>2280.0</v>
      </c>
      <c r="G1287" s="50">
        <f t="shared" si="149"/>
        <v>0</v>
      </c>
      <c r="H1287" s="28"/>
      <c r="I1287" s="55">
        <f t="shared" si="2"/>
        <v>2674.547604</v>
      </c>
      <c r="J1287" s="81"/>
      <c r="K1287" s="60">
        <f>IFERROR(__xludf.DUMMYFUNCTION("IFERROR(VLOOKUP(C1287,IMPORTRANGE(""https://docs.google.com/spreadsheets/d/1HZUHB8NvANAZR0sHDmHYVAm2WE9kNv0pGIQA48Ryim8/edit?gid=1285727875#gid=1285727875"",""Sheet1!A2:G""),7,0))"),549.85)</f>
        <v>549.85</v>
      </c>
      <c r="L1287" s="62">
        <f t="shared" si="150"/>
        <v>4.146585432</v>
      </c>
      <c r="M1287" s="60">
        <f>IFERROR(__xludf.DUMMYFUNCTION("IFERROR(VLOOKUP(C1287,IMPORTRANGE(""https://docs.google.com/spreadsheets/d/1HZUHB8NvANAZR0sHDmHYVAm2WE9kNv0pGIQA48Ryim8/edit?gid=1285727875#gid=1285727875"",""Cost!A2:G""),7,0))"),645.0)</f>
        <v>645</v>
      </c>
      <c r="N1287" s="62">
        <f t="shared" si="4"/>
        <v>3.534883721</v>
      </c>
      <c r="O1287" s="28"/>
      <c r="P1287" s="28"/>
      <c r="Q1287" s="28"/>
      <c r="R1287" s="28"/>
      <c r="S1287" s="28"/>
      <c r="T1287" s="28"/>
      <c r="U1287" s="65"/>
      <c r="V1287" s="28"/>
      <c r="W1287" s="65"/>
      <c r="X1287" s="77"/>
      <c r="Y1287" s="28"/>
    </row>
    <row r="1288">
      <c r="A1288" s="18" t="s">
        <v>1328</v>
      </c>
      <c r="B1288" s="91" t="str">
        <f t="shared" si="148"/>
        <v>PR-139</v>
      </c>
      <c r="C1288" s="46" t="s">
        <v>619</v>
      </c>
      <c r="D1288" s="48" t="s">
        <v>620</v>
      </c>
      <c r="E1288" s="39">
        <v>910.0</v>
      </c>
      <c r="F1288" s="39">
        <v>1080.0</v>
      </c>
      <c r="G1288" s="50">
        <f t="shared" si="149"/>
        <v>0.1868131868</v>
      </c>
      <c r="H1288" s="28"/>
      <c r="I1288" s="55">
        <f t="shared" si="2"/>
        <v>1007.738075</v>
      </c>
      <c r="J1288" s="81"/>
      <c r="K1288" s="60">
        <f>IFERROR(__xludf.DUMMYFUNCTION("IFERROR(VLOOKUP(C1288,IMPORTRANGE(""https://docs.google.com/spreadsheets/d/1HZUHB8NvANAZR0sHDmHYVAm2WE9kNv0pGIQA48Ryim8/edit?gid=1285727875#gid=1285727875"",""Sheet1!A2:G""),7,0))"),290.77)</f>
        <v>290.77</v>
      </c>
      <c r="L1288" s="62">
        <f t="shared" si="150"/>
        <v>3.12962135</v>
      </c>
      <c r="M1288" s="60">
        <f>IFERROR(__xludf.DUMMYFUNCTION("IFERROR(VLOOKUP(C1288,IMPORTRANGE(""https://docs.google.com/spreadsheets/d/1HZUHB8NvANAZR0sHDmHYVAm2WE9kNv0pGIQA48Ryim8/edit?gid=1285727875#gid=1285727875"",""Cost!A2:G""),7,0))"),322.0)</f>
        <v>322</v>
      </c>
      <c r="N1288" s="62">
        <f t="shared" si="4"/>
        <v>3.354037267</v>
      </c>
      <c r="O1288" s="101"/>
      <c r="P1288" s="28"/>
      <c r="Q1288" s="28"/>
      <c r="R1288" s="28"/>
      <c r="S1288" s="28"/>
      <c r="T1288" s="28"/>
      <c r="U1288" s="65"/>
      <c r="V1288" s="28"/>
      <c r="W1288" s="65"/>
      <c r="X1288" s="77"/>
      <c r="Y1288" s="28"/>
    </row>
    <row r="1289">
      <c r="A1289" s="18" t="s">
        <v>1328</v>
      </c>
      <c r="B1289" s="91" t="str">
        <f t="shared" si="148"/>
        <v>PR-144</v>
      </c>
      <c r="C1289" s="46" t="s">
        <v>588</v>
      </c>
      <c r="D1289" s="48" t="s">
        <v>589</v>
      </c>
      <c r="E1289" s="39">
        <v>730.0</v>
      </c>
      <c r="F1289" s="39">
        <v>840.0</v>
      </c>
      <c r="G1289" s="50">
        <f t="shared" si="149"/>
        <v>0.1506849315</v>
      </c>
      <c r="H1289" s="28"/>
      <c r="I1289" s="55">
        <f t="shared" si="2"/>
        <v>818.3575294</v>
      </c>
      <c r="J1289" s="81"/>
      <c r="K1289" s="60">
        <f>IFERROR(__xludf.DUMMYFUNCTION("IFERROR(VLOOKUP(C1289,IMPORTRANGE(""https://docs.google.com/spreadsheets/d/1HZUHB8NvANAZR0sHDmHYVAm2WE9kNv0pGIQA48Ryim8/edit?gid=1285727875#gid=1285727875"",""Sheet1!A2:G""),7,0))"),232.82)</f>
        <v>232.82</v>
      </c>
      <c r="L1289" s="62">
        <f t="shared" si="150"/>
        <v>3.135469461</v>
      </c>
      <c r="M1289" s="60">
        <f>IFERROR(__xludf.DUMMYFUNCTION("IFERROR(VLOOKUP(C1289,IMPORTRANGE(""https://docs.google.com/spreadsheets/d/1HZUHB8NvANAZR0sHDmHYVAm2WE9kNv0pGIQA48Ryim8/edit?gid=1285727875#gid=1285727875"",""Cost!A2:G""),7,0))"),261.0)</f>
        <v>261</v>
      </c>
      <c r="N1289" s="62">
        <f t="shared" si="4"/>
        <v>3.218390805</v>
      </c>
      <c r="O1289" s="101"/>
      <c r="P1289" s="28"/>
      <c r="Q1289" s="28"/>
      <c r="R1289" s="28"/>
      <c r="S1289" s="28"/>
      <c r="T1289" s="28"/>
      <c r="U1289" s="65"/>
      <c r="V1289" s="28"/>
      <c r="W1289" s="65"/>
      <c r="X1289" s="77"/>
      <c r="Y1289" s="28"/>
    </row>
    <row r="1290">
      <c r="A1290" s="18" t="s">
        <v>1328</v>
      </c>
      <c r="B1290" s="91" t="str">
        <f t="shared" si="148"/>
        <v>PR-244</v>
      </c>
      <c r="C1290" s="46" t="s">
        <v>591</v>
      </c>
      <c r="D1290" s="48" t="s">
        <v>592</v>
      </c>
      <c r="E1290" s="39">
        <v>730.0</v>
      </c>
      <c r="F1290" s="39">
        <v>790.0</v>
      </c>
      <c r="G1290" s="50">
        <f t="shared" si="149"/>
        <v>0.08219178082</v>
      </c>
      <c r="H1290" s="28"/>
      <c r="I1290" s="55">
        <f t="shared" si="2"/>
        <v>822.5452417</v>
      </c>
      <c r="J1290" s="81"/>
      <c r="K1290" s="60">
        <f>IFERROR(__xludf.DUMMYFUNCTION("IFERROR(VLOOKUP(C1290,IMPORTRANGE(""https://docs.google.com/spreadsheets/d/1HZUHB8NvANAZR0sHDmHYVAm2WE9kNv0pGIQA48Ryim8/edit?gid=1285727875#gid=1285727875"",""Sheet1!A2:G""),7,0))"),205.01)</f>
        <v>205.01</v>
      </c>
      <c r="L1290" s="62">
        <f t="shared" si="150"/>
        <v>3.560801912</v>
      </c>
      <c r="M1290" s="60">
        <f>IFERROR(__xludf.DUMMYFUNCTION("IFERROR(VLOOKUP(C1290,IMPORTRANGE(""https://docs.google.com/spreadsheets/d/1HZUHB8NvANAZR0sHDmHYVAm2WE9kNv0pGIQA48Ryim8/edit?gid=1285727875#gid=1285727875"",""Cost!A2:G""),7,0))"),231.0)</f>
        <v>231</v>
      </c>
      <c r="N1290" s="62">
        <f t="shared" si="4"/>
        <v>3.41991342</v>
      </c>
      <c r="O1290" s="101"/>
      <c r="P1290" s="28"/>
      <c r="Q1290" s="28"/>
      <c r="R1290" s="28"/>
      <c r="S1290" s="28"/>
      <c r="T1290" s="28"/>
      <c r="U1290" s="65"/>
      <c r="V1290" s="28"/>
      <c r="W1290" s="65"/>
      <c r="X1290" s="77"/>
      <c r="Y1290" s="28"/>
    </row>
    <row r="1291">
      <c r="A1291" s="18" t="s">
        <v>1328</v>
      </c>
      <c r="B1291" s="91" t="str">
        <f t="shared" si="148"/>
        <v>PR-344</v>
      </c>
      <c r="C1291" s="46" t="s">
        <v>593</v>
      </c>
      <c r="D1291" s="48" t="s">
        <v>594</v>
      </c>
      <c r="E1291" s="39">
        <v>690.0</v>
      </c>
      <c r="F1291" s="39">
        <v>780.0</v>
      </c>
      <c r="G1291" s="50">
        <f t="shared" si="149"/>
        <v>0.1304347826</v>
      </c>
      <c r="H1291" s="28"/>
      <c r="I1291" s="55">
        <f t="shared" si="2"/>
        <v>761.7532862</v>
      </c>
      <c r="J1291" s="81"/>
      <c r="K1291" s="60">
        <f>IFERROR(__xludf.DUMMYFUNCTION("IFERROR(VLOOKUP(C1291,IMPORTRANGE(""https://docs.google.com/spreadsheets/d/1HZUHB8NvANAZR0sHDmHYVAm2WE9kNv0pGIQA48Ryim8/edit?gid=1285727875#gid=1285727875"",""Sheet1!A2:G""),7,0))"),213.77)</f>
        <v>213.77</v>
      </c>
      <c r="L1291" s="62">
        <f t="shared" si="150"/>
        <v>3.227768162</v>
      </c>
      <c r="M1291" s="60">
        <f>IFERROR(__xludf.DUMMYFUNCTION("IFERROR(VLOOKUP(C1291,IMPORTRANGE(""https://docs.google.com/spreadsheets/d/1HZUHB8NvANAZR0sHDmHYVAm2WE9kNv0pGIQA48Ryim8/edit?gid=1285727875#gid=1285727875"",""Cost!A2:G""),7,0))"),236.0)</f>
        <v>236</v>
      </c>
      <c r="N1291" s="62">
        <f t="shared" si="4"/>
        <v>3.305084746</v>
      </c>
      <c r="O1291" s="101"/>
      <c r="P1291" s="28"/>
      <c r="Q1291" s="28"/>
      <c r="R1291" s="28"/>
      <c r="S1291" s="28"/>
      <c r="T1291" s="28"/>
      <c r="U1291" s="65"/>
      <c r="V1291" s="28"/>
      <c r="W1291" s="65"/>
      <c r="X1291" s="77"/>
      <c r="Y1291" s="28"/>
    </row>
    <row r="1292">
      <c r="A1292" s="18" t="s">
        <v>1328</v>
      </c>
      <c r="B1292" s="91" t="str">
        <f t="shared" si="148"/>
        <v>PR-444</v>
      </c>
      <c r="C1292" s="46" t="s">
        <v>596</v>
      </c>
      <c r="D1292" s="48" t="s">
        <v>597</v>
      </c>
      <c r="E1292" s="39">
        <v>1040.0</v>
      </c>
      <c r="F1292" s="39">
        <v>1240.0</v>
      </c>
      <c r="G1292" s="50">
        <f t="shared" si="149"/>
        <v>0.1923076923</v>
      </c>
      <c r="H1292" s="28"/>
      <c r="I1292" s="55">
        <f t="shared" si="2"/>
        <v>1132.350829</v>
      </c>
      <c r="J1292" s="81"/>
      <c r="K1292" s="60">
        <f>IFERROR(__xludf.DUMMYFUNCTION("IFERROR(VLOOKUP(C1292,IMPORTRANGE(""https://docs.google.com/spreadsheets/d/1HZUHB8NvANAZR0sHDmHYVAm2WE9kNv0pGIQA48Ryim8/edit?gid=1285727875#gid=1285727875"",""Sheet1!A2:G""),7,0))"),348.09)</f>
        <v>348.09</v>
      </c>
      <c r="L1292" s="62">
        <f t="shared" si="150"/>
        <v>2.987733058</v>
      </c>
      <c r="M1292" s="60">
        <f>IFERROR(__xludf.DUMMYFUNCTION("IFERROR(VLOOKUP(C1292,IMPORTRANGE(""https://docs.google.com/spreadsheets/d/1HZUHB8NvANAZR0sHDmHYVAm2WE9kNv0pGIQA48Ryim8/edit?gid=1285727875#gid=1285727875"",""Cost!A2:G""),7,0))"),379.0)</f>
        <v>379</v>
      </c>
      <c r="N1292" s="62">
        <f t="shared" si="4"/>
        <v>3.27176781</v>
      </c>
      <c r="O1292" s="101"/>
      <c r="P1292" s="28"/>
      <c r="Q1292" s="28"/>
      <c r="R1292" s="28"/>
      <c r="S1292" s="28"/>
      <c r="T1292" s="28"/>
      <c r="U1292" s="65"/>
      <c r="V1292" s="28"/>
      <c r="W1292" s="65"/>
      <c r="X1292" s="77"/>
      <c r="Y1292" s="28"/>
    </row>
    <row r="1293">
      <c r="A1293" s="18" t="s">
        <v>1328</v>
      </c>
      <c r="B1293" s="91" t="str">
        <f t="shared" si="148"/>
        <v>PR-544</v>
      </c>
      <c r="C1293" s="46" t="s">
        <v>598</v>
      </c>
      <c r="D1293" s="48" t="s">
        <v>599</v>
      </c>
      <c r="E1293" s="39">
        <v>620.0</v>
      </c>
      <c r="F1293" s="39">
        <v>690.0</v>
      </c>
      <c r="G1293" s="50">
        <f t="shared" si="149"/>
        <v>0.1129032258</v>
      </c>
      <c r="H1293" s="28"/>
      <c r="I1293" s="55">
        <f t="shared" si="2"/>
        <v>677.184466</v>
      </c>
      <c r="J1293" s="81"/>
      <c r="K1293" s="60">
        <f>IFERROR(__xludf.DUMMYFUNCTION("IFERROR(VLOOKUP(C1293,IMPORTRANGE(""https://docs.google.com/spreadsheets/d/1HZUHB8NvANAZR0sHDmHYVAm2WE9kNv0pGIQA48Ryim8/edit?gid=1285727875#gid=1285727875"",""Sheet1!A2:G""),7,0))"),173.04)</f>
        <v>173.04</v>
      </c>
      <c r="L1293" s="62">
        <f t="shared" si="150"/>
        <v>3.582986593</v>
      </c>
      <c r="M1293" s="60">
        <f>IFERROR(__xludf.DUMMYFUNCTION("IFERROR(VLOOKUP(C1293,IMPORTRANGE(""https://docs.google.com/spreadsheets/d/1HZUHB8NvANAZR0sHDmHYVAm2WE9kNv0pGIQA48Ryim8/edit?gid=1285727875#gid=1285727875"",""Cost!A2:G""),7,0))"),189.0)</f>
        <v>189</v>
      </c>
      <c r="N1293" s="62">
        <f t="shared" si="4"/>
        <v>3.650793651</v>
      </c>
      <c r="O1293" s="101"/>
      <c r="P1293" s="28"/>
      <c r="Q1293" s="28"/>
      <c r="R1293" s="28"/>
      <c r="S1293" s="28"/>
      <c r="T1293" s="28"/>
      <c r="U1293" s="65"/>
      <c r="V1293" s="28"/>
      <c r="W1293" s="65"/>
      <c r="X1293" s="77"/>
      <c r="Y1293" s="28"/>
    </row>
    <row r="1294">
      <c r="A1294" s="18" t="s">
        <v>1328</v>
      </c>
      <c r="B1294" s="91" t="str">
        <f t="shared" si="148"/>
        <v>PR-644</v>
      </c>
      <c r="C1294" s="46" t="s">
        <v>600</v>
      </c>
      <c r="D1294" s="48" t="s">
        <v>599</v>
      </c>
      <c r="E1294" s="39">
        <v>710.0</v>
      </c>
      <c r="F1294" s="39">
        <v>690.0</v>
      </c>
      <c r="G1294" s="50">
        <f t="shared" si="149"/>
        <v>-0.02816901408</v>
      </c>
      <c r="H1294" s="28"/>
      <c r="I1294" s="55">
        <f t="shared" si="2"/>
        <v>702.970297</v>
      </c>
      <c r="J1294" s="81"/>
      <c r="K1294" s="60">
        <f>IFERROR(__xludf.DUMMYFUNCTION("IFERROR(VLOOKUP(C1294,IMPORTRANGE(""https://docs.google.com/spreadsheets/d/1HZUHB8NvANAZR0sHDmHYVAm2WE9kNv0pGIQA48Ryim8/edit?gid=1285727875#gid=1285727875"",""Sheet1!A2:G""),7,0))"),168.67)</f>
        <v>168.67</v>
      </c>
      <c r="L1294" s="62">
        <f t="shared" si="150"/>
        <v>4.209402976</v>
      </c>
      <c r="M1294" s="60">
        <f>IFERROR(__xludf.DUMMYFUNCTION("IFERROR(VLOOKUP(C1294,IMPORTRANGE(""https://docs.google.com/spreadsheets/d/1HZUHB8NvANAZR0sHDmHYVAm2WE9kNv0pGIQA48Ryim8/edit?gid=1285727875#gid=1285727875"",""Cost!A2:G""),7,0))"),167.0)</f>
        <v>167</v>
      </c>
      <c r="N1294" s="62">
        <f t="shared" si="4"/>
        <v>4.131736527</v>
      </c>
      <c r="O1294" s="28"/>
      <c r="P1294" s="28"/>
      <c r="Q1294" s="28"/>
      <c r="R1294" s="28"/>
      <c r="S1294" s="28"/>
      <c r="T1294" s="28"/>
      <c r="U1294" s="65"/>
      <c r="V1294" s="28"/>
      <c r="W1294" s="65"/>
      <c r="X1294" s="77"/>
      <c r="Y1294" s="28"/>
    </row>
    <row r="1295">
      <c r="A1295" s="18" t="s">
        <v>1328</v>
      </c>
      <c r="B1295" s="91" t="str">
        <f t="shared" si="148"/>
        <v>TM-06C</v>
      </c>
      <c r="C1295" s="46" t="s">
        <v>58</v>
      </c>
      <c r="D1295" s="48" t="s">
        <v>61</v>
      </c>
      <c r="E1295" s="39">
        <v>48380.0</v>
      </c>
      <c r="F1295" s="39">
        <v>48380.0</v>
      </c>
      <c r="G1295" s="50">
        <f t="shared" si="149"/>
        <v>0</v>
      </c>
      <c r="H1295" s="28"/>
      <c r="I1295" s="55">
        <f t="shared" si="2"/>
        <v>48378.61174</v>
      </c>
      <c r="J1295" s="81"/>
      <c r="K1295" s="60">
        <f>IFERROR(__xludf.DUMMYFUNCTION("IFERROR(VLOOKUP(C1295,IMPORTRANGE(""https://docs.google.com/spreadsheets/d/1HZUHB8NvANAZR0sHDmHYVAm2WE9kNv0pGIQA48Ryim8/edit?gid=1285727875#gid=1285727875"",""Sheet1!A2:G""),7,0))"),11500.33)</f>
        <v>11500.33</v>
      </c>
      <c r="L1295" s="62">
        <f t="shared" si="150"/>
        <v>4.206835804</v>
      </c>
      <c r="M1295" s="60">
        <f>IFERROR(__xludf.DUMMYFUNCTION("IFERROR(VLOOKUP(C1295,IMPORTRANGE(""https://docs.google.com/spreadsheets/d/1HZUHB8NvANAZR0sHDmHYVAm2WE9kNv0pGIQA48Ryim8/edit?gid=1285727875#gid=1285727875"",""Cost!A2:G""),7,0))"),11500.0)</f>
        <v>11500</v>
      </c>
      <c r="N1295" s="62">
        <f t="shared" si="4"/>
        <v>4.206956522</v>
      </c>
      <c r="O1295" s="28"/>
      <c r="P1295" s="28"/>
      <c r="Q1295" s="28"/>
      <c r="R1295" s="28"/>
      <c r="S1295" s="28"/>
      <c r="T1295" s="28"/>
      <c r="U1295" s="65"/>
      <c r="V1295" s="28"/>
      <c r="W1295" s="65"/>
      <c r="X1295" s="77"/>
      <c r="Y1295" s="28"/>
    </row>
    <row r="1296">
      <c r="A1296" s="18" t="s">
        <v>1328</v>
      </c>
      <c r="B1296" s="91" t="str">
        <f t="shared" si="148"/>
        <v>TM-07C</v>
      </c>
      <c r="C1296" s="46" t="s">
        <v>99</v>
      </c>
      <c r="D1296" s="48" t="s">
        <v>102</v>
      </c>
      <c r="E1296" s="39">
        <v>59180.0</v>
      </c>
      <c r="F1296" s="39">
        <v>59180.0</v>
      </c>
      <c r="G1296" s="50">
        <f t="shared" si="149"/>
        <v>0</v>
      </c>
      <c r="H1296" s="28"/>
      <c r="I1296" s="55">
        <f t="shared" si="2"/>
        <v>67209.98719</v>
      </c>
      <c r="J1296" s="81"/>
      <c r="K1296" s="60">
        <f>IFERROR(__xludf.DUMMYFUNCTION("IFERROR(VLOOKUP(C1296,IMPORTRANGE(""https://docs.google.com/spreadsheets/d/1HZUHB8NvANAZR0sHDmHYVAm2WE9kNv0pGIQA48Ryim8/edit?gid=1285727875#gid=1285727875"",""Sheet1!A2:G""),7,0))"),14000.33)</f>
        <v>14000.33</v>
      </c>
      <c r="L1296" s="62">
        <f t="shared" si="150"/>
        <v>4.22704322</v>
      </c>
      <c r="M1296" s="60">
        <f>IFERROR(__xludf.DUMMYFUNCTION("IFERROR(VLOOKUP(C1296,IMPORTRANGE(""https://docs.google.com/spreadsheets/d/1HZUHB8NvANAZR0sHDmHYVAm2WE9kNv0pGIQA48Ryim8/edit?gid=1285727875#gid=1285727875"",""Cost!A2:G""),7,0))"),15900.0)</f>
        <v>15900</v>
      </c>
      <c r="N1296" s="62">
        <f t="shared" si="4"/>
        <v>3.722012579</v>
      </c>
      <c r="O1296" s="28"/>
      <c r="P1296" s="28"/>
      <c r="Q1296" s="28"/>
      <c r="R1296" s="28"/>
      <c r="S1296" s="28"/>
      <c r="T1296" s="28"/>
      <c r="U1296" s="65"/>
      <c r="V1296" s="28"/>
      <c r="W1296" s="65"/>
      <c r="X1296" s="77"/>
      <c r="Y1296" s="28"/>
    </row>
    <row r="1297">
      <c r="A1297" s="18" t="s">
        <v>1328</v>
      </c>
      <c r="B1297" s="91" t="str">
        <f t="shared" si="148"/>
        <v>TM-08C</v>
      </c>
      <c r="C1297" s="46" t="s">
        <v>126</v>
      </c>
      <c r="D1297" s="48" t="s">
        <v>128</v>
      </c>
      <c r="E1297" s="39">
        <v>64580.0</v>
      </c>
      <c r="F1297" s="39">
        <v>64580.0</v>
      </c>
      <c r="G1297" s="50">
        <f t="shared" si="149"/>
        <v>0</v>
      </c>
      <c r="H1297" s="28"/>
      <c r="I1297" s="55">
        <f t="shared" si="2"/>
        <v>64578.66806</v>
      </c>
      <c r="J1297" s="81"/>
      <c r="K1297" s="60">
        <f>IFERROR(__xludf.DUMMYFUNCTION("IFERROR(VLOOKUP(C1297,IMPORTRANGE(""https://docs.google.com/spreadsheets/d/1HZUHB8NvANAZR0sHDmHYVAm2WE9kNv0pGIQA48Ryim8/edit?gid=1285727875#gid=1285727875"",""Sheet1!A2:G""),7,0))"),16000.33)</f>
        <v>16000.33</v>
      </c>
      <c r="L1297" s="62">
        <f t="shared" si="150"/>
        <v>4.036166754</v>
      </c>
      <c r="M1297" s="60">
        <f>IFERROR(__xludf.DUMMYFUNCTION("IFERROR(VLOOKUP(C1297,IMPORTRANGE(""https://docs.google.com/spreadsheets/d/1HZUHB8NvANAZR0sHDmHYVAm2WE9kNv0pGIQA48Ryim8/edit?gid=1285727875#gid=1285727875"",""Cost!A2:G""),7,0))"),16000.0)</f>
        <v>16000</v>
      </c>
      <c r="N1297" s="62">
        <f t="shared" si="4"/>
        <v>4.03625</v>
      </c>
      <c r="O1297" s="28"/>
      <c r="P1297" s="28"/>
      <c r="Q1297" s="28"/>
      <c r="R1297" s="28"/>
      <c r="S1297" s="28"/>
      <c r="T1297" s="28"/>
      <c r="U1297" s="65"/>
      <c r="V1297" s="28"/>
      <c r="W1297" s="65"/>
      <c r="X1297" s="77"/>
      <c r="Y1297" s="28"/>
    </row>
    <row r="1298">
      <c r="A1298" s="18" t="s">
        <v>1328</v>
      </c>
      <c r="B1298" s="91" t="str">
        <f t="shared" si="148"/>
        <v>TM-09C</v>
      </c>
      <c r="C1298" s="46" t="s">
        <v>143</v>
      </c>
      <c r="D1298" s="48" t="s">
        <v>145</v>
      </c>
      <c r="E1298" s="39">
        <v>75380.0</v>
      </c>
      <c r="F1298" s="39">
        <v>75380.0</v>
      </c>
      <c r="G1298" s="50">
        <f t="shared" si="149"/>
        <v>0</v>
      </c>
      <c r="H1298" s="28"/>
      <c r="I1298" s="55">
        <f t="shared" si="2"/>
        <v>75378.61806</v>
      </c>
      <c r="J1298" s="81"/>
      <c r="K1298" s="60">
        <f>IFERROR(__xludf.DUMMYFUNCTION("IFERROR(VLOOKUP(C1298,IMPORTRANGE(""https://docs.google.com/spreadsheets/d/1HZUHB8NvANAZR0sHDmHYVAm2WE9kNv0pGIQA48Ryim8/edit?gid=1285727875#gid=1285727875"",""Sheet1!A2:G""),7,0))"),18000.33)</f>
        <v>18000.33</v>
      </c>
      <c r="L1298" s="62">
        <f t="shared" si="150"/>
        <v>4.187701003</v>
      </c>
      <c r="M1298" s="60">
        <f>IFERROR(__xludf.DUMMYFUNCTION("IFERROR(VLOOKUP(C1298,IMPORTRANGE(""https://docs.google.com/spreadsheets/d/1HZUHB8NvANAZR0sHDmHYVAm2WE9kNv0pGIQA48Ryim8/edit?gid=1285727875#gid=1285727875"",""Cost!A2:G""),7,0))"),18000.0)</f>
        <v>18000</v>
      </c>
      <c r="N1298" s="62">
        <f t="shared" si="4"/>
        <v>4.187777778</v>
      </c>
      <c r="O1298" s="28"/>
      <c r="P1298" s="28"/>
      <c r="Q1298" s="28"/>
      <c r="R1298" s="28"/>
      <c r="S1298" s="28"/>
      <c r="T1298" s="28"/>
      <c r="U1298" s="65"/>
      <c r="V1298" s="28"/>
      <c r="W1298" s="65"/>
      <c r="X1298" s="77"/>
      <c r="Y1298" s="28"/>
    </row>
    <row r="1299">
      <c r="A1299" s="18" t="s">
        <v>1328</v>
      </c>
      <c r="B1299" s="91" t="str">
        <f t="shared" si="148"/>
        <v>TM-10C</v>
      </c>
      <c r="C1299" s="46" t="s">
        <v>166</v>
      </c>
      <c r="D1299" s="48" t="s">
        <v>168</v>
      </c>
      <c r="E1299" s="39">
        <v>62890.0</v>
      </c>
      <c r="F1299" s="39">
        <v>62890.0</v>
      </c>
      <c r="G1299" s="50">
        <f t="shared" si="149"/>
        <v>0</v>
      </c>
      <c r="H1299" s="28"/>
      <c r="I1299" s="55">
        <f t="shared" si="2"/>
        <v>62888.70292</v>
      </c>
      <c r="J1299" s="81"/>
      <c r="K1299" s="60">
        <f>IFERROR(__xludf.DUMMYFUNCTION("IFERROR(VLOOKUP(C1299,IMPORTRANGE(""https://docs.google.com/spreadsheets/d/1HZUHB8NvANAZR0sHDmHYVAm2WE9kNv0pGIQA48Ryim8/edit?gid=1285727875#gid=1285727875"",""Sheet1!A2:G""),7,0))"),16000.33)</f>
        <v>16000.33</v>
      </c>
      <c r="L1299" s="62">
        <f t="shared" si="150"/>
        <v>3.930543933</v>
      </c>
      <c r="M1299" s="60">
        <f>IFERROR(__xludf.DUMMYFUNCTION("IFERROR(VLOOKUP(C1299,IMPORTRANGE(""https://docs.google.com/spreadsheets/d/1HZUHB8NvANAZR0sHDmHYVAm2WE9kNv0pGIQA48Ryim8/edit?gid=1285727875#gid=1285727875"",""Cost!A2:G""),7,0))"),16000.0)</f>
        <v>16000</v>
      </c>
      <c r="N1299" s="62">
        <f t="shared" si="4"/>
        <v>3.930625</v>
      </c>
      <c r="O1299" s="28"/>
      <c r="P1299" s="28"/>
      <c r="Q1299" s="28"/>
      <c r="R1299" s="28"/>
      <c r="S1299" s="28"/>
      <c r="T1299" s="28"/>
      <c r="U1299" s="65"/>
      <c r="V1299" s="28"/>
      <c r="W1299" s="65"/>
      <c r="X1299" s="77"/>
      <c r="Y1299" s="28"/>
    </row>
    <row r="1300">
      <c r="A1300" s="18" t="s">
        <v>1328</v>
      </c>
      <c r="B1300" s="91" t="str">
        <f t="shared" si="148"/>
        <v>GV-001</v>
      </c>
      <c r="C1300" s="15" t="s">
        <v>808</v>
      </c>
      <c r="D1300" s="18" t="s">
        <v>1329</v>
      </c>
      <c r="E1300" s="39">
        <v>1550.0</v>
      </c>
      <c r="F1300" s="39">
        <v>1440.0</v>
      </c>
      <c r="G1300" s="50">
        <f t="shared" si="149"/>
        <v>-0.07096774194</v>
      </c>
      <c r="H1300" s="175"/>
      <c r="I1300" s="55">
        <f t="shared" si="2"/>
        <v>0</v>
      </c>
      <c r="J1300" s="241" t="str">
        <f t="shared" ref="J1300:J1301" si="152">IFERROR(I1300/K1300,"")</f>
        <v/>
      </c>
      <c r="K1300" s="60" t="str">
        <f>IFERROR(__xludf.DUMMYFUNCTION("IFERROR(VLOOKUP(C1300,IMPORTRANGE(""https://docs.google.com/spreadsheets/d/1HZUHB8NvANAZR0sHDmHYVAm2WE9kNv0pGIQA48Ryim8/edit?gid=1285727875#gid=1285727875"",""Sheet1!A2:G""),7,0))"),"")</f>
        <v/>
      </c>
      <c r="L1300" s="62" t="str">
        <f t="shared" si="150"/>
        <v/>
      </c>
      <c r="M1300" s="60">
        <f>IFERROR(__xludf.DUMMYFUNCTION("IFERROR(VLOOKUP(C1300,IMPORTRANGE(""https://docs.google.com/spreadsheets/d/1HZUHB8NvANAZR0sHDmHYVAm2WE9kNv0pGIQA48Ryim8/edit?gid=1285727875#gid=1285727875"",""Cost!A2:G""),7,0))"),422.0)</f>
        <v>422</v>
      </c>
      <c r="N1300" s="62">
        <f t="shared" si="4"/>
        <v>3.412322275</v>
      </c>
      <c r="O1300" s="101"/>
      <c r="P1300" s="28"/>
      <c r="Q1300" s="28"/>
      <c r="R1300" s="28"/>
      <c r="S1300" s="28"/>
      <c r="T1300" s="28"/>
      <c r="U1300" s="65"/>
      <c r="V1300" s="28"/>
      <c r="W1300" s="65"/>
      <c r="X1300" s="77"/>
      <c r="Y1300" s="28"/>
    </row>
    <row r="1301">
      <c r="A1301" s="18" t="s">
        <v>1328</v>
      </c>
      <c r="B1301" s="91" t="str">
        <f t="shared" si="148"/>
        <v>GV-002</v>
      </c>
      <c r="C1301" s="15" t="s">
        <v>811</v>
      </c>
      <c r="D1301" s="18" t="s">
        <v>1330</v>
      </c>
      <c r="E1301" s="39">
        <v>2060.0</v>
      </c>
      <c r="F1301" s="39">
        <v>2180.0</v>
      </c>
      <c r="G1301" s="50">
        <f t="shared" si="149"/>
        <v>0.05825242718</v>
      </c>
      <c r="H1301" s="175"/>
      <c r="I1301" s="55">
        <f t="shared" si="2"/>
        <v>0</v>
      </c>
      <c r="J1301" s="241" t="str">
        <f t="shared" si="152"/>
        <v/>
      </c>
      <c r="K1301" s="60" t="str">
        <f>IFERROR(__xludf.DUMMYFUNCTION("IFERROR(VLOOKUP(C1301,IMPORTRANGE(""https://docs.google.com/spreadsheets/d/1HZUHB8NvANAZR0sHDmHYVAm2WE9kNv0pGIQA48Ryim8/edit?gid=1285727875#gid=1285727875"",""Sheet1!A2:G""),7,0))"),"")</f>
        <v/>
      </c>
      <c r="L1301" s="62" t="str">
        <f t="shared" si="150"/>
        <v/>
      </c>
      <c r="M1301" s="60">
        <f>IFERROR(__xludf.DUMMYFUNCTION("IFERROR(VLOOKUP(C1301,IMPORTRANGE(""https://docs.google.com/spreadsheets/d/1HZUHB8NvANAZR0sHDmHYVAm2WE9kNv0pGIQA48Ryim8/edit?gid=1285727875#gid=1285727875"",""Cost!A2:G""),7,0))"),647.45)</f>
        <v>647.45</v>
      </c>
      <c r="N1301" s="62">
        <f t="shared" si="4"/>
        <v>3.367055371</v>
      </c>
      <c r="O1301" s="101"/>
      <c r="P1301" s="28"/>
      <c r="Q1301" s="28"/>
      <c r="R1301" s="28"/>
      <c r="S1301" s="28"/>
      <c r="T1301" s="28"/>
      <c r="U1301" s="65"/>
      <c r="V1301" s="28"/>
      <c r="W1301" s="65"/>
      <c r="X1301" s="77"/>
      <c r="Y1301" s="28"/>
    </row>
    <row r="1302">
      <c r="A1302" s="18" t="s">
        <v>1328</v>
      </c>
      <c r="B1302" s="91" t="str">
        <f t="shared" si="148"/>
        <v>GV-003</v>
      </c>
      <c r="C1302" s="15" t="s">
        <v>814</v>
      </c>
      <c r="D1302" s="18" t="s">
        <v>1331</v>
      </c>
      <c r="E1302" s="39">
        <v>3090.0</v>
      </c>
      <c r="F1302" s="39">
        <v>3280.0</v>
      </c>
      <c r="G1302" s="50">
        <f t="shared" si="149"/>
        <v>0.06148867314</v>
      </c>
      <c r="H1302" s="175"/>
      <c r="I1302" s="55">
        <f t="shared" si="2"/>
        <v>3864.889175</v>
      </c>
      <c r="J1302" s="241"/>
      <c r="K1302" s="60">
        <f>IFERROR(__xludf.DUMMYFUNCTION("IFERROR(VLOOKUP(C1302,IMPORTRANGE(""https://docs.google.com/spreadsheets/d/1HZUHB8NvANAZR0sHDmHYVAm2WE9kNv0pGIQA48Ryim8/edit?gid=1285727875#gid=1285727875"",""Sheet1!A2:G""),7,0))"),776.0)</f>
        <v>776</v>
      </c>
      <c r="L1302" s="62">
        <f t="shared" si="150"/>
        <v>3.981958763</v>
      </c>
      <c r="M1302" s="60">
        <f>IFERROR(__xludf.DUMMYFUNCTION("IFERROR(VLOOKUP(C1302,IMPORTRANGE(""https://docs.google.com/spreadsheets/d/1HZUHB8NvANAZR0sHDmHYVAm2WE9kNv0pGIQA48Ryim8/edit?gid=1285727875#gid=1285727875"",""Cost!A2:G""),7,0))"),970.6)</f>
        <v>970.6</v>
      </c>
      <c r="N1302" s="62">
        <f t="shared" si="4"/>
        <v>3.379352978</v>
      </c>
      <c r="O1302" s="101"/>
      <c r="P1302" s="28"/>
      <c r="Q1302" s="28"/>
      <c r="R1302" s="28"/>
      <c r="S1302" s="28"/>
      <c r="T1302" s="28"/>
      <c r="U1302" s="65"/>
      <c r="V1302" s="28"/>
      <c r="W1302" s="65"/>
      <c r="X1302" s="77"/>
      <c r="Y1302" s="28"/>
    </row>
    <row r="1303">
      <c r="A1303" s="18" t="s">
        <v>1328</v>
      </c>
      <c r="B1303" s="91" t="str">
        <f t="shared" si="148"/>
        <v>GV-004</v>
      </c>
      <c r="C1303" s="15" t="s">
        <v>817</v>
      </c>
      <c r="D1303" s="18" t="s">
        <v>1332</v>
      </c>
      <c r="E1303" s="39">
        <v>4870.0</v>
      </c>
      <c r="F1303" s="39">
        <v>5240.0</v>
      </c>
      <c r="G1303" s="50">
        <f t="shared" si="149"/>
        <v>0.07597535934</v>
      </c>
      <c r="H1303" s="175"/>
      <c r="I1303" s="55">
        <f t="shared" si="2"/>
        <v>6149.568627</v>
      </c>
      <c r="J1303" s="241"/>
      <c r="K1303" s="60">
        <f>IFERROR(__xludf.DUMMYFUNCTION("IFERROR(VLOOKUP(C1303,IMPORTRANGE(""https://docs.google.com/spreadsheets/d/1HZUHB8NvANAZR0sHDmHYVAm2WE9kNv0pGIQA48Ryim8/edit?gid=1285727875#gid=1285727875"",""Sheet1!A2:G""),7,0))"),1224.0)</f>
        <v>1224</v>
      </c>
      <c r="L1303" s="62">
        <f t="shared" si="150"/>
        <v>3.97875817</v>
      </c>
      <c r="M1303" s="60">
        <f>IFERROR(__xludf.DUMMYFUNCTION("IFERROR(VLOOKUP(C1303,IMPORTRANGE(""https://docs.google.com/spreadsheets/d/1HZUHB8NvANAZR0sHDmHYVAm2WE9kNv0pGIQA48Ryim8/edit?gid=1285727875#gid=1285727875"",""Cost!A2:G""),7,0))"),1545.6)</f>
        <v>1545.6</v>
      </c>
      <c r="N1303" s="62">
        <f t="shared" si="4"/>
        <v>3.390269151</v>
      </c>
      <c r="O1303" s="101"/>
      <c r="P1303" s="28"/>
      <c r="Q1303" s="28"/>
      <c r="R1303" s="28"/>
      <c r="S1303" s="28"/>
      <c r="T1303" s="28"/>
      <c r="U1303" s="65"/>
      <c r="V1303" s="28"/>
      <c r="W1303" s="65"/>
      <c r="X1303" s="77"/>
      <c r="Y1303" s="28"/>
    </row>
    <row r="1304">
      <c r="A1304" s="18" t="s">
        <v>1328</v>
      </c>
      <c r="B1304" s="91" t="str">
        <f t="shared" si="148"/>
        <v>GV-005</v>
      </c>
      <c r="C1304" s="15" t="s">
        <v>820</v>
      </c>
      <c r="D1304" s="18" t="s">
        <v>1333</v>
      </c>
      <c r="E1304" s="39">
        <v>6450.0</v>
      </c>
      <c r="F1304" s="39">
        <v>6780.0</v>
      </c>
      <c r="G1304" s="50">
        <f t="shared" si="149"/>
        <v>0.0511627907</v>
      </c>
      <c r="H1304" s="175"/>
      <c r="I1304" s="55">
        <f t="shared" si="2"/>
        <v>8109.311303</v>
      </c>
      <c r="J1304" s="241"/>
      <c r="K1304" s="60">
        <f>IFERROR(__xludf.DUMMYFUNCTION("IFERROR(VLOOKUP(C1304,IMPORTRANGE(""https://docs.google.com/spreadsheets/d/1HZUHB8NvANAZR0sHDmHYVAm2WE9kNv0pGIQA48Ryim8/edit?gid=1285727875#gid=1285727875"",""Sheet1!A2:G""),7,0))"),1619.0)</f>
        <v>1619</v>
      </c>
      <c r="L1304" s="62">
        <f t="shared" si="150"/>
        <v>3.983940704</v>
      </c>
      <c r="M1304" s="60">
        <f>IFERROR(__xludf.DUMMYFUNCTION("IFERROR(VLOOKUP(C1304,IMPORTRANGE(""https://docs.google.com/spreadsheets/d/1HZUHB8NvANAZR0sHDmHYVAm2WE9kNv0pGIQA48Ryim8/edit?gid=1285727875#gid=1285727875"",""Cost!A2:G""),7,0))"),2035.5)</f>
        <v>2035.5</v>
      </c>
      <c r="N1304" s="62">
        <f t="shared" si="4"/>
        <v>3.330876934</v>
      </c>
      <c r="O1304" s="101"/>
      <c r="P1304" s="28"/>
      <c r="Q1304" s="28"/>
      <c r="R1304" s="28"/>
      <c r="S1304" s="28"/>
      <c r="T1304" s="28"/>
      <c r="U1304" s="65"/>
      <c r="V1304" s="28"/>
      <c r="W1304" s="65"/>
      <c r="X1304" s="77"/>
      <c r="Y1304" s="28"/>
    </row>
    <row r="1305">
      <c r="A1305" s="18" t="s">
        <v>1328</v>
      </c>
      <c r="B1305" s="91" t="str">
        <f t="shared" si="148"/>
        <v>GV-006</v>
      </c>
      <c r="C1305" s="15" t="s">
        <v>823</v>
      </c>
      <c r="D1305" s="18" t="s">
        <v>1334</v>
      </c>
      <c r="E1305" s="39">
        <v>9440.0</v>
      </c>
      <c r="F1305" s="39">
        <v>9940.0</v>
      </c>
      <c r="G1305" s="50">
        <f t="shared" si="149"/>
        <v>0.05296610169</v>
      </c>
      <c r="H1305" s="175"/>
      <c r="I1305" s="55">
        <f t="shared" si="2"/>
        <v>11876.30075</v>
      </c>
      <c r="J1305" s="241"/>
      <c r="K1305" s="60">
        <f>IFERROR(__xludf.DUMMYFUNCTION("IFERROR(VLOOKUP(C1305,IMPORTRANGE(""https://docs.google.com/spreadsheets/d/1HZUHB8NvANAZR0sHDmHYVAm2WE9kNv0pGIQA48Ryim8/edit?gid=1285727875#gid=1285727875"",""Sheet1!A2:G""),7,0))"),2394.0)</f>
        <v>2394</v>
      </c>
      <c r="L1305" s="62">
        <f t="shared" si="150"/>
        <v>3.943191312</v>
      </c>
      <c r="M1305" s="60">
        <f>IFERROR(__xludf.DUMMYFUNCTION("IFERROR(VLOOKUP(C1305,IMPORTRANGE(""https://docs.google.com/spreadsheets/d/1HZUHB8NvANAZR0sHDmHYVAm2WE9kNv0pGIQA48Ryim8/edit?gid=1285727875#gid=1285727875"",""Cost!A2:G""),7,0))"),3011.85)</f>
        <v>3011.85</v>
      </c>
      <c r="N1305" s="62">
        <f t="shared" si="4"/>
        <v>3.30029716</v>
      </c>
      <c r="O1305" s="101"/>
      <c r="P1305" s="28"/>
      <c r="Q1305" s="28"/>
      <c r="R1305" s="28"/>
      <c r="S1305" s="28"/>
      <c r="T1305" s="28"/>
      <c r="U1305" s="65"/>
      <c r="V1305" s="28"/>
      <c r="W1305" s="65"/>
      <c r="X1305" s="77"/>
      <c r="Y1305" s="28"/>
    </row>
    <row r="1306">
      <c r="A1306" s="18" t="s">
        <v>1328</v>
      </c>
      <c r="B1306" s="91" t="str">
        <f t="shared" si="148"/>
        <v>GV-007</v>
      </c>
      <c r="C1306" s="15" t="s">
        <v>825</v>
      </c>
      <c r="D1306" s="18" t="s">
        <v>1335</v>
      </c>
      <c r="E1306" s="39">
        <v>16780.0</v>
      </c>
      <c r="F1306" s="39">
        <v>17980.0</v>
      </c>
      <c r="G1306" s="50">
        <f t="shared" si="149"/>
        <v>0.07151370679</v>
      </c>
      <c r="H1306" s="175"/>
      <c r="I1306" s="55">
        <f t="shared" si="2"/>
        <v>21071.02064</v>
      </c>
      <c r="J1306" s="241"/>
      <c r="K1306" s="60">
        <f>IFERROR(__xludf.DUMMYFUNCTION("IFERROR(VLOOKUP(C1306,IMPORTRANGE(""https://docs.google.com/spreadsheets/d/1HZUHB8NvANAZR0sHDmHYVAm2WE9kNv0pGIQA48Ryim8/edit?gid=1285727875#gid=1285727875"",""Sheet1!A2:G""),7,0))"),4264.0)</f>
        <v>4264</v>
      </c>
      <c r="L1306" s="62">
        <f t="shared" si="150"/>
        <v>3.935272045</v>
      </c>
      <c r="M1306" s="60">
        <f>IFERROR(__xludf.DUMMYFUNCTION("IFERROR(VLOOKUP(C1306,IMPORTRANGE(""https://docs.google.com/spreadsheets/d/1HZUHB8NvANAZR0sHDmHYVAm2WE9kNv0pGIQA48Ryim8/edit?gid=1285727875#gid=1285727875"",""Cost!A2:G""),7,0))"),5354.4)</f>
        <v>5354.4</v>
      </c>
      <c r="N1306" s="62">
        <f t="shared" si="4"/>
        <v>3.357985955</v>
      </c>
      <c r="O1306" s="101"/>
      <c r="P1306" s="28"/>
      <c r="Q1306" s="28"/>
      <c r="R1306" s="28"/>
      <c r="S1306" s="28"/>
      <c r="T1306" s="28"/>
      <c r="U1306" s="65"/>
      <c r="V1306" s="28"/>
      <c r="W1306" s="65"/>
      <c r="X1306" s="77"/>
      <c r="Y1306" s="28"/>
    </row>
    <row r="1307">
      <c r="A1307" s="18" t="s">
        <v>1328</v>
      </c>
      <c r="B1307" s="91" t="str">
        <f t="shared" si="148"/>
        <v>GV-008</v>
      </c>
      <c r="C1307" s="15" t="s">
        <v>828</v>
      </c>
      <c r="D1307" s="18" t="s">
        <v>1336</v>
      </c>
      <c r="E1307" s="39">
        <v>24660.0</v>
      </c>
      <c r="F1307" s="39">
        <v>26440.0</v>
      </c>
      <c r="G1307" s="50">
        <f t="shared" si="149"/>
        <v>0.07218167072</v>
      </c>
      <c r="H1307" s="175"/>
      <c r="I1307" s="55">
        <f t="shared" si="2"/>
        <v>31047.66366</v>
      </c>
      <c r="J1307" s="241"/>
      <c r="K1307" s="60">
        <f>IFERROR(__xludf.DUMMYFUNCTION("IFERROR(VLOOKUP(C1307,IMPORTRANGE(""https://docs.google.com/spreadsheets/d/1HZUHB8NvANAZR0sHDmHYVAm2WE9kNv0pGIQA48Ryim8/edit?gid=1285727875#gid=1285727875"",""Sheet1!A2:G""),7,0))"),6202.0)</f>
        <v>6202</v>
      </c>
      <c r="L1307" s="62">
        <f t="shared" si="150"/>
        <v>3.97613673</v>
      </c>
      <c r="M1307" s="60">
        <f>IFERROR(__xludf.DUMMYFUNCTION("IFERROR(VLOOKUP(C1307,IMPORTRANGE(""https://docs.google.com/spreadsheets/d/1HZUHB8NvANAZR0sHDmHYVAm2WE9kNv0pGIQA48Ryim8/edit?gid=1285727875#gid=1285727875"",""Cost!A2:G""),7,0))"),7808.5)</f>
        <v>7808.5</v>
      </c>
      <c r="N1307" s="62">
        <f t="shared" si="4"/>
        <v>3.386053659</v>
      </c>
      <c r="O1307" s="101"/>
      <c r="P1307" s="28"/>
      <c r="Q1307" s="28"/>
      <c r="R1307" s="28"/>
      <c r="S1307" s="28"/>
      <c r="T1307" s="28"/>
      <c r="U1307" s="65"/>
      <c r="V1307" s="28"/>
      <c r="W1307" s="65"/>
      <c r="X1307" s="77"/>
      <c r="Y1307" s="28"/>
    </row>
    <row r="1308">
      <c r="A1308" s="18" t="s">
        <v>1328</v>
      </c>
      <c r="B1308" s="91" t="str">
        <f t="shared" si="148"/>
        <v>GV-009</v>
      </c>
      <c r="C1308" s="15" t="s">
        <v>831</v>
      </c>
      <c r="D1308" s="18" t="s">
        <v>1337</v>
      </c>
      <c r="E1308" s="39">
        <v>40830.0</v>
      </c>
      <c r="F1308" s="39">
        <v>42840.0</v>
      </c>
      <c r="G1308" s="50">
        <f t="shared" si="149"/>
        <v>0.04922850845</v>
      </c>
      <c r="H1308" s="175"/>
      <c r="I1308" s="55">
        <f t="shared" si="2"/>
        <v>0</v>
      </c>
      <c r="J1308" s="241" t="str">
        <f t="shared" ref="J1308:J1317" si="153">IFERROR(I1308/K1308,"")</f>
        <v/>
      </c>
      <c r="K1308" s="60" t="str">
        <f>IFERROR(__xludf.DUMMYFUNCTION("IFERROR(VLOOKUP(C1308,IMPORTRANGE(""https://docs.google.com/spreadsheets/d/1HZUHB8NvANAZR0sHDmHYVAm2WE9kNv0pGIQA48Ryim8/edit?gid=1285727875#gid=1285727875"",""Sheet1!A2:G""),7,0))"),"")</f>
        <v/>
      </c>
      <c r="L1308" s="62" t="str">
        <f t="shared" si="150"/>
        <v/>
      </c>
      <c r="M1308" s="60">
        <f>IFERROR(__xludf.DUMMYFUNCTION("IFERROR(VLOOKUP(C1308,IMPORTRANGE(""https://docs.google.com/spreadsheets/d/1HZUHB8NvANAZR0sHDmHYVAm2WE9kNv0pGIQA48Ryim8/edit?gid=1285727875#gid=1285727875"",""Cost!A2:G""),7,0))"),12828.25)</f>
        <v>12828.25</v>
      </c>
      <c r="N1308" s="62">
        <f t="shared" si="4"/>
        <v>3.339504609</v>
      </c>
      <c r="O1308" s="101"/>
      <c r="P1308" s="28"/>
      <c r="Q1308" s="28"/>
      <c r="R1308" s="28"/>
      <c r="S1308" s="28"/>
      <c r="T1308" s="28"/>
      <c r="U1308" s="65"/>
      <c r="V1308" s="28"/>
      <c r="W1308" s="65"/>
      <c r="X1308" s="77"/>
      <c r="Y1308" s="28"/>
    </row>
    <row r="1309">
      <c r="A1309" s="18" t="s">
        <v>1328</v>
      </c>
      <c r="B1309" s="91" t="str">
        <f t="shared" si="148"/>
        <v>PR-100</v>
      </c>
      <c r="C1309" s="15" t="s">
        <v>601</v>
      </c>
      <c r="D1309" s="18" t="s">
        <v>602</v>
      </c>
      <c r="E1309" s="39">
        <v>490.0</v>
      </c>
      <c r="F1309" s="39">
        <v>540.0</v>
      </c>
      <c r="G1309" s="50">
        <f t="shared" si="149"/>
        <v>0.1020408163</v>
      </c>
      <c r="H1309" s="175"/>
      <c r="I1309" s="55">
        <f t="shared" si="2"/>
        <v>0</v>
      </c>
      <c r="J1309" s="241" t="str">
        <f t="shared" si="153"/>
        <v/>
      </c>
      <c r="K1309" s="60" t="str">
        <f>IFERROR(__xludf.DUMMYFUNCTION("IFERROR(VLOOKUP(C1309,IMPORTRANGE(""https://docs.google.com/spreadsheets/d/1HZUHB8NvANAZR0sHDmHYVAm2WE9kNv0pGIQA48Ryim8/edit?gid=1285727875#gid=1285727875"",""Sheet1!A2:G""),7,0))"),"")</f>
        <v/>
      </c>
      <c r="L1309" s="62" t="str">
        <f t="shared" si="150"/>
        <v/>
      </c>
      <c r="M1309" s="60">
        <f>IFERROR(__xludf.DUMMYFUNCTION("IFERROR(VLOOKUP(C1309,IMPORTRANGE(""https://docs.google.com/spreadsheets/d/1HZUHB8NvANAZR0sHDmHYVAm2WE9kNv0pGIQA48Ryim8/edit?gid=1285727875#gid=1285727875"",""Cost!A2:G""),7,0))"),162.0)</f>
        <v>162</v>
      </c>
      <c r="N1309" s="62">
        <f t="shared" si="4"/>
        <v>3.333333333</v>
      </c>
      <c r="O1309" s="28"/>
      <c r="P1309" s="28"/>
      <c r="Q1309" s="28"/>
      <c r="R1309" s="28"/>
      <c r="S1309" s="28"/>
      <c r="T1309" s="28"/>
      <c r="U1309" s="65"/>
      <c r="V1309" s="28"/>
      <c r="W1309" s="65"/>
      <c r="X1309" s="77"/>
      <c r="Y1309" s="28"/>
    </row>
    <row r="1310">
      <c r="A1310" s="18" t="s">
        <v>1328</v>
      </c>
      <c r="B1310" s="91" t="str">
        <f t="shared" si="148"/>
        <v>PR-101</v>
      </c>
      <c r="C1310" s="15" t="s">
        <v>604</v>
      </c>
      <c r="D1310" s="18" t="s">
        <v>602</v>
      </c>
      <c r="E1310" s="39">
        <v>490.0</v>
      </c>
      <c r="F1310" s="39">
        <v>540.0</v>
      </c>
      <c r="G1310" s="50">
        <f t="shared" si="149"/>
        <v>0.1020408163</v>
      </c>
      <c r="H1310" s="175"/>
      <c r="I1310" s="55">
        <f t="shared" si="2"/>
        <v>0</v>
      </c>
      <c r="J1310" s="241" t="str">
        <f t="shared" si="153"/>
        <v/>
      </c>
      <c r="K1310" s="60" t="str">
        <f>IFERROR(__xludf.DUMMYFUNCTION("IFERROR(VLOOKUP(C1310,IMPORTRANGE(""https://docs.google.com/spreadsheets/d/1HZUHB8NvANAZR0sHDmHYVAm2WE9kNv0pGIQA48Ryim8/edit?gid=1285727875#gid=1285727875"",""Sheet1!A2:G""),7,0))"),"")</f>
        <v/>
      </c>
      <c r="L1310" s="62" t="str">
        <f t="shared" si="150"/>
        <v/>
      </c>
      <c r="M1310" s="60">
        <f>IFERROR(__xludf.DUMMYFUNCTION("IFERROR(VLOOKUP(C1310,IMPORTRANGE(""https://docs.google.com/spreadsheets/d/1HZUHB8NvANAZR0sHDmHYVAm2WE9kNv0pGIQA48Ryim8/edit?gid=1285727875#gid=1285727875"",""Cost!A2:G""),7,0))"),162.0)</f>
        <v>162</v>
      </c>
      <c r="N1310" s="62">
        <f t="shared" si="4"/>
        <v>3.333333333</v>
      </c>
      <c r="O1310" s="28"/>
      <c r="P1310" s="28"/>
      <c r="Q1310" s="28"/>
      <c r="R1310" s="28"/>
      <c r="S1310" s="28"/>
      <c r="T1310" s="28"/>
      <c r="U1310" s="65"/>
      <c r="V1310" s="28"/>
      <c r="W1310" s="65"/>
      <c r="X1310" s="77"/>
      <c r="Y1310" s="28"/>
    </row>
    <row r="1311">
      <c r="A1311" s="18" t="s">
        <v>1328</v>
      </c>
      <c r="B1311" s="91" t="str">
        <f t="shared" si="148"/>
        <v>PR-102</v>
      </c>
      <c r="C1311" s="15" t="s">
        <v>605</v>
      </c>
      <c r="D1311" s="18" t="s">
        <v>606</v>
      </c>
      <c r="E1311" s="39">
        <v>360.0</v>
      </c>
      <c r="F1311" s="39">
        <v>390.0</v>
      </c>
      <c r="G1311" s="50">
        <f t="shared" si="149"/>
        <v>0.08333333333</v>
      </c>
      <c r="H1311" s="175"/>
      <c r="I1311" s="55">
        <f t="shared" si="2"/>
        <v>0</v>
      </c>
      <c r="J1311" s="241" t="str">
        <f t="shared" si="153"/>
        <v/>
      </c>
      <c r="K1311" s="60" t="str">
        <f>IFERROR(__xludf.DUMMYFUNCTION("IFERROR(VLOOKUP(C1311,IMPORTRANGE(""https://docs.google.com/spreadsheets/d/1HZUHB8NvANAZR0sHDmHYVAm2WE9kNv0pGIQA48Ryim8/edit?gid=1285727875#gid=1285727875"",""Sheet1!A2:G""),7,0))"),"")</f>
        <v/>
      </c>
      <c r="L1311" s="62" t="str">
        <f t="shared" si="150"/>
        <v/>
      </c>
      <c r="M1311" s="60">
        <f>IFERROR(__xludf.DUMMYFUNCTION("IFERROR(VLOOKUP(C1311,IMPORTRANGE(""https://docs.google.com/spreadsheets/d/1HZUHB8NvANAZR0sHDmHYVAm2WE9kNv0pGIQA48Ryim8/edit?gid=1285727875#gid=1285727875"",""Cost!A2:G""),7,0))"),116.0)</f>
        <v>116</v>
      </c>
      <c r="N1311" s="62">
        <f t="shared" si="4"/>
        <v>3.362068966</v>
      </c>
      <c r="O1311" s="28"/>
      <c r="P1311" s="28"/>
      <c r="Q1311" s="28"/>
      <c r="R1311" s="28"/>
      <c r="S1311" s="28"/>
      <c r="T1311" s="28"/>
      <c r="U1311" s="65"/>
      <c r="V1311" s="28"/>
      <c r="W1311" s="65"/>
      <c r="X1311" s="77"/>
      <c r="Y1311" s="28"/>
    </row>
    <row r="1312">
      <c r="A1312" s="18" t="s">
        <v>1328</v>
      </c>
      <c r="B1312" s="91" t="str">
        <f t="shared" si="148"/>
        <v>PR-103</v>
      </c>
      <c r="C1312" s="15" t="s">
        <v>607</v>
      </c>
      <c r="D1312" s="18" t="s">
        <v>606</v>
      </c>
      <c r="E1312" s="39">
        <v>360.0</v>
      </c>
      <c r="F1312" s="39">
        <v>390.0</v>
      </c>
      <c r="G1312" s="50">
        <f t="shared" si="149"/>
        <v>0.08333333333</v>
      </c>
      <c r="H1312" s="175"/>
      <c r="I1312" s="55">
        <f t="shared" si="2"/>
        <v>0</v>
      </c>
      <c r="J1312" s="241" t="str">
        <f t="shared" si="153"/>
        <v/>
      </c>
      <c r="K1312" s="60" t="str">
        <f>IFERROR(__xludf.DUMMYFUNCTION("IFERROR(VLOOKUP(C1312,IMPORTRANGE(""https://docs.google.com/spreadsheets/d/1HZUHB8NvANAZR0sHDmHYVAm2WE9kNv0pGIQA48Ryim8/edit?gid=1285727875#gid=1285727875"",""Sheet1!A2:G""),7,0))"),"")</f>
        <v/>
      </c>
      <c r="L1312" s="62" t="str">
        <f t="shared" si="150"/>
        <v/>
      </c>
      <c r="M1312" s="60">
        <f>IFERROR(__xludf.DUMMYFUNCTION("IFERROR(VLOOKUP(C1312,IMPORTRANGE(""https://docs.google.com/spreadsheets/d/1HZUHB8NvANAZR0sHDmHYVAm2WE9kNv0pGIQA48Ryim8/edit?gid=1285727875#gid=1285727875"",""Cost!A2:G""),7,0))"),116.0)</f>
        <v>116</v>
      </c>
      <c r="N1312" s="62">
        <f t="shared" si="4"/>
        <v>3.362068966</v>
      </c>
      <c r="O1312" s="28"/>
      <c r="P1312" s="28"/>
      <c r="Q1312" s="28"/>
      <c r="R1312" s="28"/>
      <c r="S1312" s="28"/>
      <c r="T1312" s="28"/>
      <c r="U1312" s="65"/>
      <c r="V1312" s="28"/>
      <c r="W1312" s="65"/>
      <c r="X1312" s="77"/>
      <c r="Y1312" s="28"/>
    </row>
    <row r="1313">
      <c r="A1313" s="18" t="s">
        <v>1328</v>
      </c>
      <c r="B1313" s="91" t="str">
        <f t="shared" si="148"/>
        <v>BEA-27Z</v>
      </c>
      <c r="C1313" s="15" t="s">
        <v>614</v>
      </c>
      <c r="D1313" s="18" t="s">
        <v>615</v>
      </c>
      <c r="E1313" s="39">
        <v>1550.0</v>
      </c>
      <c r="F1313" s="39">
        <v>1550.0</v>
      </c>
      <c r="G1313" s="50">
        <f t="shared" si="149"/>
        <v>0</v>
      </c>
      <c r="H1313" s="175"/>
      <c r="I1313" s="55">
        <f t="shared" si="2"/>
        <v>0</v>
      </c>
      <c r="J1313" s="241" t="str">
        <f t="shared" si="153"/>
        <v/>
      </c>
      <c r="K1313" s="60" t="str">
        <f>IFERROR(__xludf.DUMMYFUNCTION("IFERROR(VLOOKUP(C1313,IMPORTRANGE(""https://docs.google.com/spreadsheets/d/1HZUHB8NvANAZR0sHDmHYVAm2WE9kNv0pGIQA48Ryim8/edit?gid=1285727875#gid=1285727875"",""Sheet1!A2:G""),7,0))"),"")</f>
        <v/>
      </c>
      <c r="L1313" s="62" t="str">
        <f t="shared" si="150"/>
        <v/>
      </c>
      <c r="M1313" s="60" t="str">
        <f>IFERROR(__xludf.DUMMYFUNCTION("IFERROR(VLOOKUP(C1313,IMPORTRANGE(""https://docs.google.com/spreadsheets/d/1HZUHB8NvANAZR0sHDmHYVAm2WE9kNv0pGIQA48Ryim8/edit?gid=1285727875#gid=1285727875"",""Cost!A2:G""),7,0))"),"")</f>
        <v/>
      </c>
      <c r="N1313" s="62" t="str">
        <f t="shared" si="4"/>
        <v/>
      </c>
      <c r="O1313" s="101"/>
      <c r="P1313" s="28"/>
      <c r="Q1313" s="28"/>
      <c r="R1313" s="28"/>
      <c r="S1313" s="28"/>
      <c r="T1313" s="28"/>
      <c r="U1313" s="65"/>
      <c r="V1313" s="28"/>
      <c r="W1313" s="65"/>
      <c r="X1313" s="77"/>
      <c r="Y1313" s="28"/>
    </row>
    <row r="1314">
      <c r="A1314" s="18" t="s">
        <v>1328</v>
      </c>
      <c r="B1314" s="91" t="str">
        <f t="shared" si="148"/>
        <v>BEA-11SC</v>
      </c>
      <c r="C1314" s="15" t="s">
        <v>556</v>
      </c>
      <c r="D1314" s="18" t="s">
        <v>557</v>
      </c>
      <c r="E1314" s="39">
        <v>340.0</v>
      </c>
      <c r="F1314" s="39">
        <v>340.0</v>
      </c>
      <c r="G1314" s="50">
        <f t="shared" si="149"/>
        <v>0</v>
      </c>
      <c r="H1314" s="175"/>
      <c r="I1314" s="55">
        <f t="shared" si="2"/>
        <v>0</v>
      </c>
      <c r="J1314" s="241" t="str">
        <f t="shared" si="153"/>
        <v/>
      </c>
      <c r="K1314" s="60" t="str">
        <f>IFERROR(__xludf.DUMMYFUNCTION("IFERROR(VLOOKUP(C1314,IMPORTRANGE(""https://docs.google.com/spreadsheets/d/1HZUHB8NvANAZR0sHDmHYVAm2WE9kNv0pGIQA48Ryim8/edit?gid=1285727875#gid=1285727875"",""Sheet1!A2:G""),7,0))"),"")</f>
        <v/>
      </c>
      <c r="L1314" s="62" t="str">
        <f t="shared" si="150"/>
        <v/>
      </c>
      <c r="M1314" s="60" t="str">
        <f>IFERROR(__xludf.DUMMYFUNCTION("IFERROR(VLOOKUP(C1314,IMPORTRANGE(""https://docs.google.com/spreadsheets/d/1HZUHB8NvANAZR0sHDmHYVAm2WE9kNv0pGIQA48Ryim8/edit?gid=1285727875#gid=1285727875"",""Cost!A2:G""),7,0))"),"")</f>
        <v/>
      </c>
      <c r="N1314" s="62" t="str">
        <f t="shared" si="4"/>
        <v/>
      </c>
      <c r="O1314" s="101"/>
      <c r="P1314" s="28"/>
      <c r="Q1314" s="28"/>
      <c r="R1314" s="28"/>
      <c r="S1314" s="28"/>
      <c r="T1314" s="28"/>
      <c r="U1314" s="65"/>
      <c r="V1314" s="28"/>
      <c r="W1314" s="65"/>
      <c r="X1314" s="77"/>
      <c r="Y1314" s="28"/>
    </row>
    <row r="1315">
      <c r="A1315" s="18" t="s">
        <v>1328</v>
      </c>
      <c r="B1315" s="91" t="str">
        <f t="shared" si="148"/>
        <v>BSC-03</v>
      </c>
      <c r="C1315" s="15" t="s">
        <v>624</v>
      </c>
      <c r="D1315" s="18" t="s">
        <v>625</v>
      </c>
      <c r="E1315" s="39">
        <v>3890.0</v>
      </c>
      <c r="F1315" s="39">
        <v>3890.0</v>
      </c>
      <c r="G1315" s="50">
        <f t="shared" si="149"/>
        <v>0</v>
      </c>
      <c r="H1315" s="175"/>
      <c r="I1315" s="55">
        <f t="shared" si="2"/>
        <v>0</v>
      </c>
      <c r="J1315" s="241" t="str">
        <f t="shared" si="153"/>
        <v/>
      </c>
      <c r="K1315" s="60" t="str">
        <f>IFERROR(__xludf.DUMMYFUNCTION("IFERROR(VLOOKUP(C1315,IMPORTRANGE(""https://docs.google.com/spreadsheets/d/1HZUHB8NvANAZR0sHDmHYVAm2WE9kNv0pGIQA48Ryim8/edit?gid=1285727875#gid=1285727875"",""Sheet1!A2:G""),7,0))"),"")</f>
        <v/>
      </c>
      <c r="L1315" s="62" t="str">
        <f t="shared" si="150"/>
        <v/>
      </c>
      <c r="M1315" s="60" t="str">
        <f>IFERROR(__xludf.DUMMYFUNCTION("IFERROR(VLOOKUP(C1315,IMPORTRANGE(""https://docs.google.com/spreadsheets/d/1HZUHB8NvANAZR0sHDmHYVAm2WE9kNv0pGIQA48Ryim8/edit?gid=1285727875#gid=1285727875"",""Cost!A2:G""),7,0))"),"")</f>
        <v/>
      </c>
      <c r="N1315" s="62" t="str">
        <f t="shared" si="4"/>
        <v/>
      </c>
      <c r="O1315" s="101"/>
      <c r="P1315" s="28"/>
      <c r="Q1315" s="28"/>
      <c r="R1315" s="28"/>
      <c r="S1315" s="28"/>
      <c r="T1315" s="28"/>
      <c r="U1315" s="65"/>
      <c r="V1315" s="28"/>
      <c r="W1315" s="65"/>
      <c r="X1315" s="77"/>
      <c r="Y1315" s="28"/>
    </row>
    <row r="1316">
      <c r="A1316" s="18" t="s">
        <v>1328</v>
      </c>
      <c r="B1316" s="91" t="str">
        <f t="shared" si="148"/>
        <v>BSC-07</v>
      </c>
      <c r="C1316" s="15" t="s">
        <v>630</v>
      </c>
      <c r="D1316" s="18" t="s">
        <v>631</v>
      </c>
      <c r="E1316" s="39">
        <v>3890.0</v>
      </c>
      <c r="F1316" s="39">
        <v>3890.0</v>
      </c>
      <c r="G1316" s="50">
        <f t="shared" si="149"/>
        <v>0</v>
      </c>
      <c r="H1316" s="175"/>
      <c r="I1316" s="55">
        <f t="shared" si="2"/>
        <v>0</v>
      </c>
      <c r="J1316" s="241" t="str">
        <f t="shared" si="153"/>
        <v/>
      </c>
      <c r="K1316" s="60" t="str">
        <f>IFERROR(__xludf.DUMMYFUNCTION("IFERROR(VLOOKUP(C1316,IMPORTRANGE(""https://docs.google.com/spreadsheets/d/1HZUHB8NvANAZR0sHDmHYVAm2WE9kNv0pGIQA48Ryim8/edit?gid=1285727875#gid=1285727875"",""Sheet1!A2:G""),7,0))"),"")</f>
        <v/>
      </c>
      <c r="L1316" s="62" t="str">
        <f t="shared" si="150"/>
        <v/>
      </c>
      <c r="M1316" s="60" t="str">
        <f>IFERROR(__xludf.DUMMYFUNCTION("IFERROR(VLOOKUP(C1316,IMPORTRANGE(""https://docs.google.com/spreadsheets/d/1HZUHB8NvANAZR0sHDmHYVAm2WE9kNv0pGIQA48Ryim8/edit?gid=1285727875#gid=1285727875"",""Cost!A2:G""),7,0))"),"")</f>
        <v/>
      </c>
      <c r="N1316" s="62" t="str">
        <f t="shared" si="4"/>
        <v/>
      </c>
      <c r="O1316" s="101"/>
      <c r="P1316" s="28"/>
      <c r="Q1316" s="28"/>
      <c r="R1316" s="28"/>
      <c r="S1316" s="28"/>
      <c r="T1316" s="28"/>
      <c r="U1316" s="65"/>
      <c r="V1316" s="28"/>
      <c r="W1316" s="65"/>
      <c r="X1316" s="77"/>
      <c r="Y1316" s="28"/>
    </row>
    <row r="1317">
      <c r="A1317" s="18" t="s">
        <v>1328</v>
      </c>
      <c r="B1317" s="91" t="str">
        <f t="shared" si="148"/>
        <v>BSC-09</v>
      </c>
      <c r="C1317" s="15" t="s">
        <v>636</v>
      </c>
      <c r="D1317" s="18" t="s">
        <v>637</v>
      </c>
      <c r="E1317" s="39">
        <v>4190.0</v>
      </c>
      <c r="F1317" s="243">
        <v>4190.0</v>
      </c>
      <c r="G1317" s="50">
        <f t="shared" si="149"/>
        <v>0</v>
      </c>
      <c r="H1317" s="175"/>
      <c r="I1317" s="55">
        <f t="shared" si="2"/>
        <v>0</v>
      </c>
      <c r="J1317" s="241" t="str">
        <f t="shared" si="153"/>
        <v/>
      </c>
      <c r="K1317" s="60" t="str">
        <f>IFERROR(__xludf.DUMMYFUNCTION("IFERROR(VLOOKUP(C1317,IMPORTRANGE(""https://docs.google.com/spreadsheets/d/1HZUHB8NvANAZR0sHDmHYVAm2WE9kNv0pGIQA48Ryim8/edit?gid=1285727875#gid=1285727875"",""Sheet1!A2:G""),7,0))"),"")</f>
        <v/>
      </c>
      <c r="L1317" s="62" t="str">
        <f t="shared" si="150"/>
        <v/>
      </c>
      <c r="M1317" s="60" t="str">
        <f>IFERROR(__xludf.DUMMYFUNCTION("IFERROR(VLOOKUP(C1317,IMPORTRANGE(""https://docs.google.com/spreadsheets/d/1HZUHB8NvANAZR0sHDmHYVAm2WE9kNv0pGIQA48Ryim8/edit?gid=1285727875#gid=1285727875"",""Cost!A2:G""),7,0))"),"")</f>
        <v/>
      </c>
      <c r="N1317" s="62" t="str">
        <f t="shared" si="4"/>
        <v/>
      </c>
      <c r="O1317" s="101"/>
      <c r="P1317" s="28"/>
      <c r="Q1317" s="28"/>
      <c r="R1317" s="28"/>
      <c r="S1317" s="28"/>
      <c r="T1317" s="28"/>
      <c r="U1317" s="65"/>
      <c r="V1317" s="28"/>
      <c r="W1317" s="65"/>
      <c r="X1317" s="77"/>
      <c r="Y1317" s="28"/>
    </row>
    <row r="1318">
      <c r="A1318" s="244"/>
      <c r="B1318" s="245"/>
      <c r="C1318" s="148"/>
      <c r="D1318" s="244"/>
      <c r="E1318" s="69"/>
      <c r="F1318" s="246"/>
      <c r="G1318" s="247"/>
      <c r="H1318" s="175"/>
      <c r="I1318" s="60"/>
      <c r="J1318" s="81"/>
      <c r="K1318" s="60"/>
      <c r="L1318" s="62"/>
      <c r="M1318" s="62"/>
      <c r="N1318" s="62"/>
      <c r="O1318" s="28"/>
      <c r="P1318" s="28"/>
      <c r="Q1318" s="28"/>
      <c r="R1318" s="28"/>
      <c r="S1318" s="28"/>
      <c r="T1318" s="28"/>
      <c r="U1318" s="65"/>
      <c r="V1318" s="28"/>
      <c r="W1318" s="65"/>
      <c r="X1318" s="77"/>
      <c r="Y1318" s="28"/>
    </row>
    <row r="1319">
      <c r="A1319" s="244"/>
      <c r="B1319" s="245"/>
      <c r="C1319" s="148"/>
      <c r="D1319" s="244"/>
      <c r="E1319" s="69"/>
      <c r="F1319" s="69"/>
      <c r="G1319" s="247"/>
      <c r="H1319" s="175"/>
      <c r="I1319" s="60"/>
      <c r="J1319" s="81"/>
      <c r="K1319" s="60"/>
      <c r="L1319" s="62"/>
      <c r="M1319" s="62"/>
      <c r="N1319" s="62"/>
      <c r="O1319" s="28"/>
      <c r="P1319" s="28"/>
      <c r="Q1319" s="28"/>
      <c r="R1319" s="28"/>
      <c r="S1319" s="28"/>
      <c r="T1319" s="28"/>
      <c r="U1319" s="65"/>
      <c r="V1319" s="28"/>
      <c r="W1319" s="65"/>
      <c r="X1319" s="77"/>
      <c r="Y1319" s="28"/>
    </row>
  </sheetData>
  <autoFilter ref="$A$1:$Y$1317"/>
  <customSheetViews>
    <customSheetView guid="{3FB5E89E-B7E5-45D7-AA34-39BB8B29BA31}" filter="1" showAutoFilter="1">
      <autoFilter ref="$B$1:$B$1317"/>
    </customSheetView>
  </customSheetView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3.38"/>
    <col customWidth="1" min="3" max="3" width="99.88"/>
    <col customWidth="1" min="4" max="4" width="12.63"/>
    <col customWidth="1" min="5" max="5" width="13.88"/>
    <col customWidth="1" hidden="1" min="6" max="6" width="7.88"/>
    <col customWidth="1" min="7" max="7" width="11.75"/>
    <col customWidth="1" min="8" max="8" width="7.25"/>
    <col customWidth="1" hidden="1" min="9" max="9" width="6.25"/>
    <col customWidth="1" hidden="1" min="10" max="10" width="10.63"/>
  </cols>
  <sheetData>
    <row r="1" ht="93.0" customHeight="1">
      <c r="A1" s="5" t="s">
        <v>3</v>
      </c>
      <c r="B1" s="9" t="s">
        <v>9</v>
      </c>
      <c r="C1" s="11" t="s">
        <v>11</v>
      </c>
      <c r="D1" s="38" t="str">
        <f t="array" ref="D1:F1">MASTER!E1:G1</f>
        <v>MRP as on 01st May, 2026</v>
      </c>
      <c r="E1" s="38" t="s">
        <v>19</v>
      </c>
      <c r="F1" s="42" t="s">
        <v>20</v>
      </c>
      <c r="G1" s="43"/>
      <c r="H1" s="45"/>
      <c r="I1" s="45"/>
      <c r="J1" s="43" t="s">
        <v>52</v>
      </c>
    </row>
    <row r="2">
      <c r="A2" s="39">
        <v>1.0</v>
      </c>
      <c r="B2" s="46" t="s">
        <v>58</v>
      </c>
      <c r="C2" s="48" t="s">
        <v>61</v>
      </c>
      <c r="D2" s="39">
        <f t="array" ref="D2:E2">VLOOKUP(B2,MASTER!$C279:$F$1048,{3,4},0)</f>
        <v>48380</v>
      </c>
      <c r="E2" s="39">
        <v>48380.0</v>
      </c>
      <c r="F2" s="50">
        <f t="shared" ref="F2:F113" si="1">(E2-D2)/D2</f>
        <v>0</v>
      </c>
      <c r="G2" s="69"/>
      <c r="H2" s="70"/>
      <c r="I2" s="71">
        <f t="shared" ref="I2:I271" si="2">IFERROR(E2/J2,"")</f>
        <v>193.52</v>
      </c>
      <c r="J2" s="70">
        <v>250.0</v>
      </c>
    </row>
    <row r="3">
      <c r="A3" s="39">
        <v>2.0</v>
      </c>
      <c r="B3" s="46" t="s">
        <v>99</v>
      </c>
      <c r="C3" s="48" t="s">
        <v>102</v>
      </c>
      <c r="D3" s="39">
        <f t="array" ref="D3:E3">VLOOKUP(B3,MASTER!$C279:$F$1048,{3,4},0)</f>
        <v>59180</v>
      </c>
      <c r="E3" s="39">
        <v>59180.0</v>
      </c>
      <c r="F3" s="50">
        <f t="shared" si="1"/>
        <v>0</v>
      </c>
      <c r="G3" s="69"/>
      <c r="H3" s="70"/>
      <c r="I3" s="71">
        <f t="shared" si="2"/>
        <v>305.0515464</v>
      </c>
      <c r="J3" s="70">
        <v>194.0</v>
      </c>
    </row>
    <row r="4">
      <c r="A4" s="39">
        <v>3.0</v>
      </c>
      <c r="B4" s="46" t="s">
        <v>126</v>
      </c>
      <c r="C4" s="48" t="s">
        <v>128</v>
      </c>
      <c r="D4" s="39">
        <f t="array" ref="D4:E4">VLOOKUP(B4,MASTER!$C279:$F$1048,{3,4},0)</f>
        <v>64580</v>
      </c>
      <c r="E4" s="39">
        <v>64580.0</v>
      </c>
      <c r="F4" s="50">
        <f t="shared" si="1"/>
        <v>0</v>
      </c>
      <c r="G4" s="69"/>
      <c r="H4" s="70"/>
      <c r="I4" s="71">
        <f t="shared" si="2"/>
        <v>134.2619543</v>
      </c>
      <c r="J4" s="70">
        <v>481.0</v>
      </c>
    </row>
    <row r="5">
      <c r="A5" s="39">
        <v>4.0</v>
      </c>
      <c r="B5" s="46" t="s">
        <v>143</v>
      </c>
      <c r="C5" s="48" t="s">
        <v>145</v>
      </c>
      <c r="D5" s="39">
        <f t="array" ref="D5:E5">VLOOKUP(B5,MASTER!$C279:$F$1048,{3,4},0)</f>
        <v>75380</v>
      </c>
      <c r="E5" s="39">
        <v>75380.0</v>
      </c>
      <c r="F5" s="50">
        <f t="shared" si="1"/>
        <v>0</v>
      </c>
      <c r="G5" s="69"/>
      <c r="H5" s="70"/>
      <c r="I5" s="71">
        <f t="shared" si="2"/>
        <v>272.1299639</v>
      </c>
      <c r="J5" s="70">
        <v>277.0</v>
      </c>
    </row>
    <row r="6">
      <c r="A6" s="39">
        <v>5.0</v>
      </c>
      <c r="B6" s="46" t="s">
        <v>166</v>
      </c>
      <c r="C6" s="48" t="s">
        <v>168</v>
      </c>
      <c r="D6" s="39">
        <f t="array" ref="D6:E6">VLOOKUP(B6,MASTER!$C279:$F$1048,{3,4},0)</f>
        <v>62890</v>
      </c>
      <c r="E6" s="39">
        <v>62890.0</v>
      </c>
      <c r="F6" s="50">
        <f t="shared" si="1"/>
        <v>0</v>
      </c>
      <c r="G6" s="69"/>
      <c r="H6" s="70"/>
      <c r="I6" s="71">
        <f t="shared" si="2"/>
        <v>231.2132353</v>
      </c>
      <c r="J6" s="70">
        <v>272.0</v>
      </c>
    </row>
    <row r="7">
      <c r="A7" s="39">
        <v>6.0</v>
      </c>
      <c r="B7" s="46" t="s">
        <v>188</v>
      </c>
      <c r="C7" s="48" t="s">
        <v>189</v>
      </c>
      <c r="D7" s="39">
        <f t="array" ref="D7:E7">VLOOKUP(B7,MASTER!$C279:$F$1048,{3,4},0)</f>
        <v>2510</v>
      </c>
      <c r="E7" s="39">
        <v>2510.0</v>
      </c>
      <c r="F7" s="50">
        <f t="shared" si="1"/>
        <v>0</v>
      </c>
      <c r="G7" s="69"/>
      <c r="H7" s="70"/>
      <c r="I7" s="71">
        <f t="shared" si="2"/>
        <v>7.943037975</v>
      </c>
      <c r="J7" s="70">
        <v>316.0</v>
      </c>
    </row>
    <row r="8">
      <c r="A8" s="39">
        <v>7.0</v>
      </c>
      <c r="B8" s="46" t="s">
        <v>207</v>
      </c>
      <c r="C8" s="48" t="s">
        <v>208</v>
      </c>
      <c r="D8" s="39">
        <f t="array" ref="D8:E8">VLOOKUP(B8,MASTER!$C279:$F$1048,{3,4},0)</f>
        <v>2510</v>
      </c>
      <c r="E8" s="39">
        <v>2510.0</v>
      </c>
      <c r="F8" s="50">
        <f t="shared" si="1"/>
        <v>0</v>
      </c>
      <c r="G8" s="69"/>
      <c r="H8" s="70"/>
      <c r="I8" s="71">
        <f t="shared" si="2"/>
        <v>8.096774194</v>
      </c>
      <c r="J8" s="70">
        <v>310.0</v>
      </c>
    </row>
    <row r="9">
      <c r="A9" s="84">
        <v>8.0</v>
      </c>
      <c r="B9" s="85" t="s">
        <v>232</v>
      </c>
      <c r="C9" s="86" t="s">
        <v>233</v>
      </c>
      <c r="D9" s="84">
        <f t="array" ref="D9:E9">VLOOKUP(B9,MASTER!$C279:$F$1048,{3,4},0)</f>
        <v>6280</v>
      </c>
      <c r="E9" s="84">
        <v>6680.0</v>
      </c>
      <c r="F9" s="87">
        <f t="shared" si="1"/>
        <v>0.06369426752</v>
      </c>
      <c r="G9" s="88"/>
      <c r="H9" s="88"/>
      <c r="I9" s="71">
        <f t="shared" si="2"/>
        <v>27.60330579</v>
      </c>
      <c r="J9" s="70">
        <v>242.0</v>
      </c>
    </row>
    <row r="10">
      <c r="A10" s="39">
        <v>9.0</v>
      </c>
      <c r="B10" s="46" t="s">
        <v>254</v>
      </c>
      <c r="C10" s="48" t="s">
        <v>255</v>
      </c>
      <c r="D10" s="39">
        <f t="array" ref="D10:E10">VLOOKUP(B10,MASTER!$C279:$F$1048,{3,4},0)</f>
        <v>6280</v>
      </c>
      <c r="E10" s="39">
        <v>6280.0</v>
      </c>
      <c r="F10" s="50">
        <f t="shared" si="1"/>
        <v>0</v>
      </c>
      <c r="G10" s="69"/>
      <c r="H10" s="70"/>
      <c r="I10" s="71">
        <f t="shared" si="2"/>
        <v>25.95041322</v>
      </c>
      <c r="J10" s="70">
        <v>242.0</v>
      </c>
    </row>
    <row r="11">
      <c r="A11" s="39">
        <v>10.0</v>
      </c>
      <c r="B11" s="46" t="s">
        <v>274</v>
      </c>
      <c r="C11" s="48" t="s">
        <v>275</v>
      </c>
      <c r="D11" s="39">
        <f t="array" ref="D11:E11">VLOOKUP(B11,MASTER!$C279:$F$1048,{3,4},0)</f>
        <v>3950</v>
      </c>
      <c r="E11" s="39">
        <v>3950.0</v>
      </c>
      <c r="F11" s="50">
        <f t="shared" si="1"/>
        <v>0</v>
      </c>
      <c r="G11" s="69"/>
      <c r="H11" s="70"/>
      <c r="I11" s="71">
        <f t="shared" si="2"/>
        <v>10.02538071</v>
      </c>
      <c r="J11" s="70">
        <v>394.0</v>
      </c>
    </row>
    <row r="12">
      <c r="A12" s="39">
        <v>11.0</v>
      </c>
      <c r="B12" s="46" t="s">
        <v>278</v>
      </c>
      <c r="C12" s="48" t="s">
        <v>279</v>
      </c>
      <c r="D12" s="39">
        <f t="array" ref="D12:E12">VLOOKUP(B12,MASTER!$C279:$F$1048,{3,4},0)</f>
        <v>1540</v>
      </c>
      <c r="E12" s="39">
        <v>1540.0</v>
      </c>
      <c r="F12" s="50">
        <f t="shared" si="1"/>
        <v>0</v>
      </c>
      <c r="G12" s="69"/>
      <c r="H12" s="70"/>
      <c r="I12" s="71">
        <f t="shared" si="2"/>
        <v>6.33744856</v>
      </c>
      <c r="J12" s="70">
        <v>243.0</v>
      </c>
    </row>
    <row r="13">
      <c r="A13" s="39">
        <v>12.0</v>
      </c>
      <c r="B13" s="46" t="s">
        <v>282</v>
      </c>
      <c r="C13" s="48" t="s">
        <v>283</v>
      </c>
      <c r="D13" s="39">
        <f t="array" ref="D13:E13">VLOOKUP(B13,MASTER!$C279:$F$1048,{3,4},0)</f>
        <v>920</v>
      </c>
      <c r="E13" s="39">
        <v>980.0</v>
      </c>
      <c r="F13" s="50">
        <f t="shared" si="1"/>
        <v>0.0652173913</v>
      </c>
      <c r="G13" s="69"/>
      <c r="H13" s="70"/>
      <c r="I13" s="71">
        <f t="shared" si="2"/>
        <v>2.322274882</v>
      </c>
      <c r="J13" s="70">
        <v>422.0</v>
      </c>
    </row>
    <row r="14">
      <c r="A14" s="39">
        <v>13.0</v>
      </c>
      <c r="B14" s="46" t="s">
        <v>287</v>
      </c>
      <c r="C14" s="48" t="s">
        <v>288</v>
      </c>
      <c r="D14" s="39">
        <f t="array" ref="D14:E14">VLOOKUP(B14,MASTER!$C279:$F$1048,{3,4},0)</f>
        <v>1680</v>
      </c>
      <c r="E14" s="39">
        <v>1680.0</v>
      </c>
      <c r="F14" s="50">
        <f t="shared" si="1"/>
        <v>0</v>
      </c>
      <c r="G14" s="69"/>
      <c r="H14" s="70"/>
      <c r="I14" s="71">
        <f t="shared" si="2"/>
        <v>6.222222222</v>
      </c>
      <c r="J14" s="70">
        <v>270.0</v>
      </c>
    </row>
    <row r="15">
      <c r="A15" s="39">
        <v>14.0</v>
      </c>
      <c r="B15" s="46" t="s">
        <v>291</v>
      </c>
      <c r="C15" s="48" t="s">
        <v>292</v>
      </c>
      <c r="D15" s="39">
        <f t="array" ref="D15:E15">VLOOKUP(B15,MASTER!$C279:$F$1048,{3,4},0)</f>
        <v>1030</v>
      </c>
      <c r="E15" s="39">
        <v>1090.0</v>
      </c>
      <c r="F15" s="50">
        <f t="shared" si="1"/>
        <v>0.05825242718</v>
      </c>
      <c r="G15" s="69"/>
      <c r="H15" s="70"/>
      <c r="I15" s="71">
        <f t="shared" si="2"/>
        <v>2.133072407</v>
      </c>
      <c r="J15" s="70">
        <v>511.0</v>
      </c>
    </row>
    <row r="16">
      <c r="A16" s="39">
        <v>15.0</v>
      </c>
      <c r="B16" s="46" t="s">
        <v>295</v>
      </c>
      <c r="C16" s="48" t="s">
        <v>296</v>
      </c>
      <c r="D16" s="39">
        <f t="array" ref="D16:E16">VLOOKUP(B16,MASTER!$C279:$F$1048,{3,4},0)</f>
        <v>1930</v>
      </c>
      <c r="E16" s="39">
        <v>1990.0</v>
      </c>
      <c r="F16" s="50">
        <f t="shared" si="1"/>
        <v>0.0310880829</v>
      </c>
      <c r="G16" s="69"/>
      <c r="H16" s="70"/>
      <c r="I16" s="71">
        <f t="shared" si="2"/>
        <v>5.558659218</v>
      </c>
      <c r="J16" s="70">
        <v>358.0</v>
      </c>
    </row>
    <row r="17">
      <c r="A17" s="39">
        <v>16.0</v>
      </c>
      <c r="B17" s="46" t="s">
        <v>298</v>
      </c>
      <c r="C17" s="48" t="s">
        <v>299</v>
      </c>
      <c r="D17" s="39">
        <f t="array" ref="D17:E17">VLOOKUP(B17,MASTER!$C279:$F$1048,{3,4},0)</f>
        <v>1290</v>
      </c>
      <c r="E17" s="39">
        <v>1390.0</v>
      </c>
      <c r="F17" s="50">
        <f t="shared" si="1"/>
        <v>0.07751937984</v>
      </c>
      <c r="G17" s="69"/>
      <c r="H17" s="70"/>
      <c r="I17" s="71">
        <f t="shared" si="2"/>
        <v>1.701346389</v>
      </c>
      <c r="J17" s="70">
        <v>817.0</v>
      </c>
    </row>
    <row r="18">
      <c r="A18" s="39">
        <v>17.0</v>
      </c>
      <c r="B18" s="46" t="s">
        <v>301</v>
      </c>
      <c r="C18" s="48" t="s">
        <v>302</v>
      </c>
      <c r="D18" s="39">
        <f t="array" ref="D18:E18">VLOOKUP(B18,MASTER!$C279:$F$1048,{3,4},0)</f>
        <v>2840</v>
      </c>
      <c r="E18" s="39">
        <v>2840.0</v>
      </c>
      <c r="F18" s="50">
        <f t="shared" si="1"/>
        <v>0</v>
      </c>
      <c r="G18" s="69"/>
      <c r="H18" s="70"/>
      <c r="I18" s="71">
        <f t="shared" si="2"/>
        <v>4.991212654</v>
      </c>
      <c r="J18" s="70">
        <v>569.0</v>
      </c>
    </row>
    <row r="19">
      <c r="A19" s="39">
        <v>18.0</v>
      </c>
      <c r="B19" s="46" t="s">
        <v>304</v>
      </c>
      <c r="C19" s="48" t="s">
        <v>305</v>
      </c>
      <c r="D19" s="39">
        <f t="array" ref="D19:E19">VLOOKUP(B19,MASTER!$C279:$F$1048,{3,4},0)</f>
        <v>2190</v>
      </c>
      <c r="E19" s="39">
        <v>2260.0</v>
      </c>
      <c r="F19" s="50">
        <f t="shared" si="1"/>
        <v>0.03196347032</v>
      </c>
      <c r="G19" s="69"/>
      <c r="H19" s="70"/>
      <c r="I19" s="71">
        <f t="shared" si="2"/>
        <v>3.957968476</v>
      </c>
      <c r="J19" s="70">
        <v>571.0</v>
      </c>
    </row>
    <row r="20">
      <c r="A20" s="39">
        <v>19.0</v>
      </c>
      <c r="B20" s="46" t="s">
        <v>307</v>
      </c>
      <c r="C20" s="48" t="s">
        <v>308</v>
      </c>
      <c r="D20" s="39">
        <f t="array" ref="D20:E20">VLOOKUP(B20,MASTER!$C279:$F$1048,{3,4},0)</f>
        <v>840</v>
      </c>
      <c r="E20" s="39">
        <v>840.0</v>
      </c>
      <c r="F20" s="50">
        <f t="shared" si="1"/>
        <v>0</v>
      </c>
      <c r="G20" s="69"/>
      <c r="H20" s="70"/>
      <c r="I20" s="71">
        <f t="shared" si="2"/>
        <v>2.772277228</v>
      </c>
      <c r="J20" s="70">
        <v>303.0</v>
      </c>
    </row>
    <row r="21">
      <c r="A21" s="39">
        <v>20.0</v>
      </c>
      <c r="B21" s="46" t="s">
        <v>310</v>
      </c>
      <c r="C21" s="48" t="s">
        <v>312</v>
      </c>
      <c r="D21" s="39">
        <f t="array" ref="D21:E21">VLOOKUP(B21,MASTER!$C279:$F$1048,{3,4},0)</f>
        <v>690</v>
      </c>
      <c r="E21" s="39">
        <v>690.0</v>
      </c>
      <c r="F21" s="50">
        <f t="shared" si="1"/>
        <v>0</v>
      </c>
      <c r="G21" s="69"/>
      <c r="H21" s="70"/>
      <c r="I21" s="71">
        <f t="shared" si="2"/>
        <v>2.923728814</v>
      </c>
      <c r="J21" s="70">
        <v>236.0</v>
      </c>
    </row>
    <row r="22">
      <c r="A22" s="39">
        <v>21.0</v>
      </c>
      <c r="B22" s="46" t="s">
        <v>313</v>
      </c>
      <c r="C22" s="48" t="s">
        <v>314</v>
      </c>
      <c r="D22" s="39">
        <f t="array" ref="D22:E22">VLOOKUP(B22,MASTER!$C279:$F$1048,{3,4},0)</f>
        <v>1730</v>
      </c>
      <c r="E22" s="39">
        <v>1730.0</v>
      </c>
      <c r="F22" s="50">
        <f t="shared" si="1"/>
        <v>0</v>
      </c>
      <c r="G22" s="69"/>
      <c r="H22" s="70"/>
      <c r="I22" s="71">
        <f t="shared" si="2"/>
        <v>4.080188679</v>
      </c>
      <c r="J22" s="70">
        <v>424.0</v>
      </c>
    </row>
    <row r="23">
      <c r="A23" s="39">
        <v>22.0</v>
      </c>
      <c r="B23" s="46" t="s">
        <v>317</v>
      </c>
      <c r="C23" s="46" t="s">
        <v>318</v>
      </c>
      <c r="D23" s="39">
        <f t="array" ref="D23:E23">VLOOKUP(B23,MASTER!$C279:$F$1048,{3,4},0)</f>
        <v>930</v>
      </c>
      <c r="E23" s="39">
        <v>990.0</v>
      </c>
      <c r="F23" s="50">
        <f t="shared" si="1"/>
        <v>0.06451612903</v>
      </c>
      <c r="G23" s="69"/>
      <c r="H23" s="70"/>
      <c r="I23" s="71">
        <f t="shared" si="2"/>
        <v>1.232876712</v>
      </c>
      <c r="J23" s="70">
        <v>803.0</v>
      </c>
    </row>
    <row r="24">
      <c r="A24" s="39">
        <v>23.0</v>
      </c>
      <c r="B24" s="46" t="s">
        <v>319</v>
      </c>
      <c r="C24" s="48" t="s">
        <v>320</v>
      </c>
      <c r="D24" s="39">
        <f t="array" ref="D24:E24">VLOOKUP(B24,MASTER!$C279:$F$1048,{3,4},0)</f>
        <v>940</v>
      </c>
      <c r="E24" s="39">
        <v>990.0</v>
      </c>
      <c r="F24" s="50">
        <f t="shared" si="1"/>
        <v>0.05319148936</v>
      </c>
      <c r="G24" s="69"/>
      <c r="H24" s="70"/>
      <c r="I24" s="71">
        <f t="shared" si="2"/>
        <v>1.783783784</v>
      </c>
      <c r="J24" s="70">
        <v>555.0</v>
      </c>
    </row>
    <row r="25">
      <c r="A25" s="39">
        <v>24.0</v>
      </c>
      <c r="B25" s="46" t="s">
        <v>323</v>
      </c>
      <c r="C25" s="48" t="s">
        <v>324</v>
      </c>
      <c r="D25" s="39">
        <f t="array" ref="D25:E25">VLOOKUP(B25,MASTER!$C279:$F$1048,{3,4},0)</f>
        <v>2290</v>
      </c>
      <c r="E25" s="39">
        <v>2460.0</v>
      </c>
      <c r="F25" s="50">
        <f t="shared" si="1"/>
        <v>0.07423580786</v>
      </c>
      <c r="G25" s="69"/>
      <c r="H25" s="70"/>
      <c r="I25" s="71">
        <f t="shared" si="2"/>
        <v>5.491071429</v>
      </c>
      <c r="J25" s="70">
        <v>448.0</v>
      </c>
    </row>
    <row r="26">
      <c r="A26" s="39">
        <v>25.0</v>
      </c>
      <c r="B26" s="46" t="s">
        <v>325</v>
      </c>
      <c r="C26" s="48" t="s">
        <v>326</v>
      </c>
      <c r="D26" s="39">
        <f t="array" ref="D26:E26">VLOOKUP(B26,MASTER!$C279:$F$1048,{3,4},0)</f>
        <v>1230</v>
      </c>
      <c r="E26" s="39">
        <v>1290.0</v>
      </c>
      <c r="F26" s="50">
        <f t="shared" si="1"/>
        <v>0.0487804878</v>
      </c>
      <c r="G26" s="69"/>
      <c r="H26" s="70"/>
      <c r="I26" s="71">
        <f t="shared" si="2"/>
        <v>1.557971014</v>
      </c>
      <c r="J26" s="70">
        <v>828.0</v>
      </c>
    </row>
    <row r="27">
      <c r="A27" s="39">
        <v>26.0</v>
      </c>
      <c r="B27" s="46" t="s">
        <v>327</v>
      </c>
      <c r="C27" s="48" t="s">
        <v>328</v>
      </c>
      <c r="D27" s="39">
        <f t="array" ref="D27:E27">VLOOKUP(B27,MASTER!$C279:$F$1048,{3,4},0)</f>
        <v>920</v>
      </c>
      <c r="E27" s="39">
        <v>920.0</v>
      </c>
      <c r="F27" s="50">
        <f t="shared" si="1"/>
        <v>0</v>
      </c>
      <c r="G27" s="69"/>
      <c r="H27" s="70"/>
      <c r="I27" s="71">
        <f t="shared" si="2"/>
        <v>1.586206897</v>
      </c>
      <c r="J27" s="70">
        <v>580.0</v>
      </c>
    </row>
    <row r="28">
      <c r="A28" s="39">
        <v>27.0</v>
      </c>
      <c r="B28" s="46" t="s">
        <v>329</v>
      </c>
      <c r="C28" s="48" t="s">
        <v>330</v>
      </c>
      <c r="D28" s="39">
        <f t="array" ref="D28:E28">VLOOKUP(B28,MASTER!$C279:$F$1048,{3,4},0)</f>
        <v>850</v>
      </c>
      <c r="E28" s="39">
        <v>920.0</v>
      </c>
      <c r="F28" s="50">
        <f t="shared" si="1"/>
        <v>0.08235294118</v>
      </c>
      <c r="G28" s="69"/>
      <c r="H28" s="70"/>
      <c r="I28" s="71">
        <f t="shared" si="2"/>
        <v>3.898305085</v>
      </c>
      <c r="J28" s="70">
        <v>236.0</v>
      </c>
    </row>
    <row r="29">
      <c r="A29" s="39">
        <v>28.0</v>
      </c>
      <c r="B29" s="46" t="s">
        <v>331</v>
      </c>
      <c r="C29" s="48" t="s">
        <v>332</v>
      </c>
      <c r="D29" s="39">
        <f t="array" ref="D29:E29">VLOOKUP(B29,MASTER!$C279:$F$1048,{3,4},0)</f>
        <v>1720</v>
      </c>
      <c r="E29" s="39">
        <v>1840.0</v>
      </c>
      <c r="F29" s="50">
        <f t="shared" si="1"/>
        <v>0.06976744186</v>
      </c>
      <c r="G29" s="69"/>
      <c r="H29" s="70"/>
      <c r="I29" s="71">
        <f t="shared" si="2"/>
        <v>8.932038835</v>
      </c>
      <c r="J29" s="70">
        <v>206.0</v>
      </c>
    </row>
    <row r="30">
      <c r="A30" s="39">
        <v>29.0</v>
      </c>
      <c r="B30" s="46" t="s">
        <v>333</v>
      </c>
      <c r="C30" s="48" t="s">
        <v>334</v>
      </c>
      <c r="D30" s="39">
        <f t="array" ref="D30:E30">VLOOKUP(B30,MASTER!$C279:$F$1048,{3,4},0)</f>
        <v>3090</v>
      </c>
      <c r="E30" s="39">
        <v>3090.0</v>
      </c>
      <c r="F30" s="50">
        <f t="shared" si="1"/>
        <v>0</v>
      </c>
      <c r="G30" s="69"/>
      <c r="H30" s="70"/>
      <c r="I30" s="71">
        <f t="shared" si="2"/>
        <v>10.26578073</v>
      </c>
      <c r="J30" s="70">
        <v>301.0</v>
      </c>
    </row>
    <row r="31">
      <c r="A31" s="39">
        <v>30.0</v>
      </c>
      <c r="B31" s="46" t="s">
        <v>335</v>
      </c>
      <c r="C31" s="48" t="s">
        <v>336</v>
      </c>
      <c r="D31" s="39">
        <f t="array" ref="D31:E31">VLOOKUP(B31,MASTER!$C279:$F$1048,{3,4},0)</f>
        <v>2290</v>
      </c>
      <c r="E31" s="39">
        <v>2470.0</v>
      </c>
      <c r="F31" s="50">
        <f t="shared" si="1"/>
        <v>0.07860262009</v>
      </c>
      <c r="G31" s="69"/>
      <c r="H31" s="70"/>
      <c r="I31" s="71">
        <f t="shared" si="2"/>
        <v>10.29166667</v>
      </c>
      <c r="J31" s="70">
        <v>240.0</v>
      </c>
    </row>
    <row r="32">
      <c r="A32" s="39">
        <v>31.0</v>
      </c>
      <c r="B32" s="46" t="s">
        <v>337</v>
      </c>
      <c r="C32" s="48" t="s">
        <v>338</v>
      </c>
      <c r="D32" s="39">
        <f t="array" ref="D32:E32">VLOOKUP(B32,MASTER!$C279:$F$1048,{3,4},0)</f>
        <v>1880</v>
      </c>
      <c r="E32" s="39">
        <v>1960.0</v>
      </c>
      <c r="F32" s="50">
        <f t="shared" si="1"/>
        <v>0.04255319149</v>
      </c>
      <c r="G32" s="69"/>
      <c r="H32" s="70"/>
      <c r="I32" s="71">
        <f t="shared" si="2"/>
        <v>8.558951965</v>
      </c>
      <c r="J32" s="70">
        <v>229.0</v>
      </c>
    </row>
    <row r="33">
      <c r="A33" s="39">
        <v>32.0</v>
      </c>
      <c r="B33" s="46" t="s">
        <v>339</v>
      </c>
      <c r="C33" s="48" t="s">
        <v>341</v>
      </c>
      <c r="D33" s="39">
        <f t="array" ref="D33:E33">VLOOKUP(B33,MASTER!$C279:$F$1048,{3,4},0)</f>
        <v>3450</v>
      </c>
      <c r="E33" s="39">
        <v>3450.0</v>
      </c>
      <c r="F33" s="50">
        <f t="shared" si="1"/>
        <v>0</v>
      </c>
      <c r="G33" s="69"/>
      <c r="H33" s="70"/>
      <c r="I33" s="71">
        <f t="shared" si="2"/>
        <v>19.94219653</v>
      </c>
      <c r="J33" s="70">
        <v>173.0</v>
      </c>
    </row>
    <row r="34">
      <c r="A34" s="39">
        <v>33.0</v>
      </c>
      <c r="B34" s="46" t="s">
        <v>343</v>
      </c>
      <c r="C34" s="48" t="s">
        <v>344</v>
      </c>
      <c r="D34" s="39">
        <f t="array" ref="D34:E34">VLOOKUP(B34,MASTER!$C279:$F$1048,{3,4},0)</f>
        <v>2380</v>
      </c>
      <c r="E34" s="39">
        <v>2380.0</v>
      </c>
      <c r="F34" s="50">
        <f t="shared" si="1"/>
        <v>0</v>
      </c>
      <c r="G34" s="69"/>
      <c r="H34" s="70"/>
      <c r="I34" s="71">
        <f t="shared" si="2"/>
        <v>6.538461538</v>
      </c>
      <c r="J34" s="70">
        <v>364.0</v>
      </c>
    </row>
    <row r="35">
      <c r="A35" s="39">
        <v>34.0</v>
      </c>
      <c r="B35" s="46" t="s">
        <v>347</v>
      </c>
      <c r="C35" s="48" t="s">
        <v>348</v>
      </c>
      <c r="D35" s="39">
        <f t="array" ref="D35:E35">VLOOKUP(B35,MASTER!$C279:$F$1048,{3,4},0)</f>
        <v>830</v>
      </c>
      <c r="E35" s="39">
        <v>890.0</v>
      </c>
      <c r="F35" s="50">
        <f t="shared" si="1"/>
        <v>0.07228915663</v>
      </c>
      <c r="G35" s="69"/>
      <c r="H35" s="70"/>
      <c r="I35" s="71">
        <f t="shared" si="2"/>
        <v>2.48603352</v>
      </c>
      <c r="J35" s="70">
        <v>358.0</v>
      </c>
    </row>
    <row r="36">
      <c r="A36" s="39">
        <v>35.0</v>
      </c>
      <c r="B36" s="46" t="s">
        <v>349</v>
      </c>
      <c r="C36" s="48" t="s">
        <v>350</v>
      </c>
      <c r="D36" s="39">
        <f t="array" ref="D36:E36">VLOOKUP(B36,MASTER!$C279:$F$1048,{3,4},0)</f>
        <v>1190</v>
      </c>
      <c r="E36" s="39">
        <v>1290.0</v>
      </c>
      <c r="F36" s="50">
        <f t="shared" si="1"/>
        <v>0.08403361345</v>
      </c>
      <c r="G36" s="69"/>
      <c r="H36" s="70"/>
      <c r="I36" s="71">
        <f t="shared" si="2"/>
        <v>3.717579251</v>
      </c>
      <c r="J36" s="70">
        <v>347.0</v>
      </c>
    </row>
    <row r="37">
      <c r="A37" s="39">
        <v>36.0</v>
      </c>
      <c r="B37" s="46" t="s">
        <v>351</v>
      </c>
      <c r="C37" s="48" t="s">
        <v>350</v>
      </c>
      <c r="D37" s="39">
        <f t="array" ref="D37:E37">VLOOKUP(B37,MASTER!$C279:$F$1048,{3,4},0)</f>
        <v>940</v>
      </c>
      <c r="E37" s="39">
        <v>990.0</v>
      </c>
      <c r="F37" s="50">
        <f t="shared" si="1"/>
        <v>0.05319148936</v>
      </c>
      <c r="G37" s="69"/>
      <c r="H37" s="70"/>
      <c r="I37" s="71">
        <f t="shared" si="2"/>
        <v>2.219730942</v>
      </c>
      <c r="J37" s="70">
        <v>446.0</v>
      </c>
    </row>
    <row r="38">
      <c r="A38" s="39">
        <v>37.0</v>
      </c>
      <c r="B38" s="46" t="s">
        <v>352</v>
      </c>
      <c r="C38" s="48" t="s">
        <v>353</v>
      </c>
      <c r="D38" s="39">
        <f t="array" ref="D38:E38">VLOOKUP(B38,MASTER!$C279:$F$1048,{3,4},0)</f>
        <v>980</v>
      </c>
      <c r="E38" s="39">
        <v>1040.0</v>
      </c>
      <c r="F38" s="50">
        <f t="shared" si="1"/>
        <v>0.0612244898</v>
      </c>
      <c r="G38" s="69"/>
      <c r="H38" s="70"/>
      <c r="I38" s="71">
        <f t="shared" si="2"/>
        <v>6.046511628</v>
      </c>
      <c r="J38" s="70">
        <v>172.0</v>
      </c>
    </row>
    <row r="39">
      <c r="A39" s="39">
        <v>38.0</v>
      </c>
      <c r="B39" s="46" t="s">
        <v>355</v>
      </c>
      <c r="C39" s="48" t="s">
        <v>356</v>
      </c>
      <c r="D39" s="39">
        <f t="array" ref="D39:E39">VLOOKUP(B39,MASTER!$C279:$F$1048,{3,4},0)</f>
        <v>780</v>
      </c>
      <c r="E39" s="39">
        <v>690.0</v>
      </c>
      <c r="F39" s="50">
        <f t="shared" si="1"/>
        <v>-0.1153846154</v>
      </c>
      <c r="G39" s="69"/>
      <c r="H39" s="70"/>
      <c r="I39" s="71">
        <f t="shared" si="2"/>
        <v>2.421052632</v>
      </c>
      <c r="J39" s="70">
        <v>285.0</v>
      </c>
    </row>
    <row r="40">
      <c r="A40" s="84">
        <v>39.0</v>
      </c>
      <c r="B40" s="85" t="s">
        <v>360</v>
      </c>
      <c r="C40" s="86" t="s">
        <v>361</v>
      </c>
      <c r="D40" s="84">
        <f t="array" ref="D40:E40">VLOOKUP(B40,MASTER!$C279:$F$1048,{3,4},0)</f>
        <v>1690</v>
      </c>
      <c r="E40" s="84">
        <v>1690.0</v>
      </c>
      <c r="F40" s="87">
        <f t="shared" si="1"/>
        <v>0</v>
      </c>
      <c r="G40" s="88"/>
      <c r="H40" s="88"/>
      <c r="I40" s="96">
        <f t="shared" si="2"/>
        <v>4.333333333</v>
      </c>
      <c r="J40" s="88">
        <v>390.0</v>
      </c>
    </row>
    <row r="41">
      <c r="A41" s="39">
        <v>40.0</v>
      </c>
      <c r="B41" s="46" t="s">
        <v>363</v>
      </c>
      <c r="C41" s="48" t="s">
        <v>364</v>
      </c>
      <c r="D41" s="39">
        <f t="array" ref="D41:E41">VLOOKUP(B41,MASTER!$C279:$F$1048,{3,4},0)</f>
        <v>1690</v>
      </c>
      <c r="E41" s="39">
        <v>2140.0</v>
      </c>
      <c r="F41" s="50">
        <f t="shared" si="1"/>
        <v>0.2662721893</v>
      </c>
      <c r="G41" s="69"/>
      <c r="H41" s="70"/>
      <c r="I41" s="71">
        <f t="shared" si="2"/>
        <v>4.349593496</v>
      </c>
      <c r="J41" s="70">
        <v>492.0</v>
      </c>
    </row>
    <row r="42">
      <c r="A42" s="39">
        <v>41.0</v>
      </c>
      <c r="B42" s="46" t="s">
        <v>366</v>
      </c>
      <c r="C42" s="48" t="s">
        <v>367</v>
      </c>
      <c r="D42" s="39">
        <f t="array" ref="D42:E42">VLOOKUP(B42,MASTER!$C279:$F$1048,{3,4},0)</f>
        <v>1490</v>
      </c>
      <c r="E42" s="39">
        <v>1490.0</v>
      </c>
      <c r="F42" s="50">
        <f t="shared" si="1"/>
        <v>0</v>
      </c>
      <c r="G42" s="69"/>
      <c r="H42" s="70"/>
      <c r="I42" s="71">
        <f t="shared" si="2"/>
        <v>1.066571224</v>
      </c>
      <c r="J42" s="70">
        <v>1397.0</v>
      </c>
    </row>
    <row r="43">
      <c r="A43" s="39">
        <v>42.0</v>
      </c>
      <c r="B43" s="46" t="s">
        <v>369</v>
      </c>
      <c r="C43" s="48" t="s">
        <v>370</v>
      </c>
      <c r="D43" s="39">
        <f t="array" ref="D43:E43">VLOOKUP(B43,MASTER!$C279:$F$1048,{3,4},0)</f>
        <v>1990</v>
      </c>
      <c r="E43" s="39">
        <v>1190.0</v>
      </c>
      <c r="F43" s="50">
        <f t="shared" si="1"/>
        <v>-0.4020100503</v>
      </c>
      <c r="G43" s="69"/>
      <c r="H43" s="70"/>
      <c r="I43" s="71">
        <f t="shared" si="2"/>
        <v>4.817813765</v>
      </c>
      <c r="J43" s="70">
        <v>247.0</v>
      </c>
    </row>
    <row r="44">
      <c r="A44" s="39">
        <v>43.0</v>
      </c>
      <c r="B44" s="46" t="s">
        <v>373</v>
      </c>
      <c r="C44" s="48" t="s">
        <v>374</v>
      </c>
      <c r="D44" s="39">
        <f t="array" ref="D44:E44">VLOOKUP(B44,MASTER!$C279:$F$1048,{3,4},0)</f>
        <v>590</v>
      </c>
      <c r="E44" s="39">
        <v>590.0</v>
      </c>
      <c r="F44" s="50">
        <f t="shared" si="1"/>
        <v>0</v>
      </c>
      <c r="G44" s="69"/>
      <c r="H44" s="70"/>
      <c r="I44" s="71">
        <f t="shared" si="2"/>
        <v>3.390804598</v>
      </c>
      <c r="J44" s="70">
        <v>174.0</v>
      </c>
    </row>
    <row r="45">
      <c r="A45" s="39">
        <v>44.0</v>
      </c>
      <c r="B45" s="46" t="s">
        <v>378</v>
      </c>
      <c r="C45" s="48" t="s">
        <v>379</v>
      </c>
      <c r="D45" s="39">
        <f t="array" ref="D45:E45">VLOOKUP(B45,MASTER!$C279:$F$1048,{3,4},0)</f>
        <v>1090</v>
      </c>
      <c r="E45" s="39">
        <v>1090.1147489209388</v>
      </c>
      <c r="F45" s="50">
        <f t="shared" si="1"/>
        <v>0.0001052742394</v>
      </c>
      <c r="G45" s="69"/>
      <c r="H45" s="70"/>
      <c r="I45" s="71">
        <f t="shared" si="2"/>
        <v>0.09479258686</v>
      </c>
      <c r="J45" s="70">
        <v>11500.0</v>
      </c>
    </row>
    <row r="46">
      <c r="A46" s="84">
        <v>45.0</v>
      </c>
      <c r="B46" s="85" t="s">
        <v>383</v>
      </c>
      <c r="C46" s="86" t="s">
        <v>384</v>
      </c>
      <c r="D46" s="84">
        <f t="array" ref="D46:E46">VLOOKUP(B46,MASTER!$C279:$F$1048,{3,4},0)</f>
        <v>1540</v>
      </c>
      <c r="E46" s="84">
        <v>1550.0</v>
      </c>
      <c r="F46" s="87">
        <f t="shared" si="1"/>
        <v>0.006493506494</v>
      </c>
      <c r="G46" s="88"/>
      <c r="H46" s="88"/>
      <c r="I46" s="96">
        <f t="shared" si="2"/>
        <v>0.1347826087</v>
      </c>
      <c r="J46" s="88">
        <v>11500.0</v>
      </c>
    </row>
    <row r="47">
      <c r="A47" s="39">
        <v>46.0</v>
      </c>
      <c r="B47" s="46" t="s">
        <v>389</v>
      </c>
      <c r="C47" s="48" t="s">
        <v>390</v>
      </c>
      <c r="D47" s="39">
        <f t="array" ref="D47:E47">VLOOKUP(B47,MASTER!$C279:$F$1048,{3,4},0)</f>
        <v>1940</v>
      </c>
      <c r="E47" s="39">
        <v>1940.0</v>
      </c>
      <c r="F47" s="50">
        <f t="shared" si="1"/>
        <v>0</v>
      </c>
      <c r="G47" s="69"/>
      <c r="H47" s="70"/>
      <c r="I47" s="71">
        <f t="shared" si="2"/>
        <v>0.1686956522</v>
      </c>
      <c r="J47" s="70">
        <v>11500.0</v>
      </c>
    </row>
    <row r="48">
      <c r="A48" s="39">
        <v>47.0</v>
      </c>
      <c r="B48" s="46" t="s">
        <v>394</v>
      </c>
      <c r="C48" s="48" t="s">
        <v>395</v>
      </c>
      <c r="D48" s="39">
        <f t="array" ref="D48:E48">VLOOKUP(B48,MASTER!$C279:$F$1048,{3,4},0)</f>
        <v>5880</v>
      </c>
      <c r="E48" s="39">
        <v>4880.0</v>
      </c>
      <c r="F48" s="50">
        <f t="shared" si="1"/>
        <v>-0.1700680272</v>
      </c>
      <c r="G48" s="69"/>
      <c r="H48" s="70"/>
      <c r="I48" s="71">
        <f t="shared" si="2"/>
        <v>6.161616162</v>
      </c>
      <c r="J48" s="70">
        <v>792.0</v>
      </c>
    </row>
    <row r="49">
      <c r="A49" s="39">
        <v>48.0</v>
      </c>
      <c r="B49" s="46" t="s">
        <v>398</v>
      </c>
      <c r="C49" s="48" t="s">
        <v>399</v>
      </c>
      <c r="D49" s="39">
        <f t="array" ref="D49:E49">VLOOKUP(B49,MASTER!$C279:$F$1048,{3,4},0)</f>
        <v>940</v>
      </c>
      <c r="E49" s="39">
        <v>940.0</v>
      </c>
      <c r="F49" s="50">
        <f t="shared" si="1"/>
        <v>0</v>
      </c>
      <c r="G49" s="69"/>
      <c r="H49" s="70"/>
      <c r="I49" s="71">
        <f t="shared" si="2"/>
        <v>1.188369153</v>
      </c>
      <c r="J49" s="70">
        <v>791.0</v>
      </c>
    </row>
    <row r="50">
      <c r="A50" s="39">
        <v>49.0</v>
      </c>
      <c r="B50" s="46" t="s">
        <v>402</v>
      </c>
      <c r="C50" s="48" t="s">
        <v>403</v>
      </c>
      <c r="D50" s="39">
        <f t="array" ref="D50:E50">VLOOKUP(B50,MASTER!$C279:$F$1048,{3,4},0)</f>
        <v>740</v>
      </c>
      <c r="E50" s="39">
        <v>940.0</v>
      </c>
      <c r="F50" s="50">
        <f t="shared" si="1"/>
        <v>0.2702702703</v>
      </c>
      <c r="G50" s="69"/>
      <c r="H50" s="70"/>
      <c r="I50" s="71">
        <f t="shared" si="2"/>
        <v>1.188369153</v>
      </c>
      <c r="J50" s="70">
        <v>791.0</v>
      </c>
    </row>
    <row r="51">
      <c r="A51" s="39">
        <v>50.0</v>
      </c>
      <c r="B51" s="46" t="s">
        <v>404</v>
      </c>
      <c r="C51" s="48" t="s">
        <v>406</v>
      </c>
      <c r="D51" s="39">
        <f t="array" ref="D51:E51">VLOOKUP(B51,MASTER!$C279:$F$1048,{3,4},0)</f>
        <v>46990</v>
      </c>
      <c r="E51" s="39">
        <v>46990.0</v>
      </c>
      <c r="F51" s="50">
        <f t="shared" si="1"/>
        <v>0</v>
      </c>
      <c r="G51" s="69"/>
      <c r="H51" s="70"/>
      <c r="I51" s="71">
        <f t="shared" si="2"/>
        <v>27.69004125</v>
      </c>
      <c r="J51" s="70">
        <v>1697.0</v>
      </c>
    </row>
    <row r="52">
      <c r="A52" s="39">
        <v>51.0</v>
      </c>
      <c r="B52" s="46" t="s">
        <v>408</v>
      </c>
      <c r="C52" s="48" t="s">
        <v>409</v>
      </c>
      <c r="D52" s="39">
        <f t="array" ref="D52:E52">VLOOKUP(B52,MASTER!$C279:$F$1048,{3,4},0)</f>
        <v>46990</v>
      </c>
      <c r="E52" s="39">
        <v>46990.0</v>
      </c>
      <c r="F52" s="50">
        <f t="shared" si="1"/>
        <v>0</v>
      </c>
      <c r="G52" s="69"/>
      <c r="H52" s="70"/>
      <c r="I52" s="71">
        <f t="shared" si="2"/>
        <v>27.69004125</v>
      </c>
      <c r="J52" s="70">
        <v>1697.0</v>
      </c>
    </row>
    <row r="53">
      <c r="A53" s="39">
        <v>52.0</v>
      </c>
      <c r="B53" s="46" t="s">
        <v>411</v>
      </c>
      <c r="C53" s="48" t="s">
        <v>412</v>
      </c>
      <c r="D53" s="39">
        <f t="array" ref="D53:E53">VLOOKUP(B53,MASTER!$C279:$F$1048,{3,4},0)</f>
        <v>46990</v>
      </c>
      <c r="E53" s="39">
        <v>46990.0</v>
      </c>
      <c r="F53" s="50">
        <f t="shared" si="1"/>
        <v>0</v>
      </c>
      <c r="G53" s="69"/>
      <c r="H53" s="70"/>
      <c r="I53" s="71">
        <f t="shared" si="2"/>
        <v>27.69004125</v>
      </c>
      <c r="J53" s="70">
        <v>1697.0</v>
      </c>
    </row>
    <row r="54">
      <c r="A54" s="39">
        <v>53.0</v>
      </c>
      <c r="B54" s="46" t="s">
        <v>413</v>
      </c>
      <c r="C54" s="48" t="s">
        <v>414</v>
      </c>
      <c r="D54" s="39">
        <f t="array" ref="D54:E54">VLOOKUP(B54,MASTER!$C279:$F$1048,{3,4},0)</f>
        <v>3430</v>
      </c>
      <c r="E54" s="39">
        <v>3430.0</v>
      </c>
      <c r="F54" s="50">
        <f t="shared" si="1"/>
        <v>0</v>
      </c>
      <c r="G54" s="69"/>
      <c r="H54" s="70"/>
      <c r="I54" s="71">
        <f t="shared" si="2"/>
        <v>7.555066079</v>
      </c>
      <c r="J54" s="70">
        <v>454.0</v>
      </c>
    </row>
    <row r="55">
      <c r="A55" s="39">
        <v>54.0</v>
      </c>
      <c r="B55" s="46" t="s">
        <v>416</v>
      </c>
      <c r="C55" s="48" t="s">
        <v>417</v>
      </c>
      <c r="D55" s="39">
        <f t="array" ref="D55:E55">VLOOKUP(B55,MASTER!$C279:$F$1048,{3,4},0)</f>
        <v>3430</v>
      </c>
      <c r="E55" s="39">
        <v>3430.0</v>
      </c>
      <c r="F55" s="50">
        <f t="shared" si="1"/>
        <v>0</v>
      </c>
      <c r="G55" s="69"/>
      <c r="H55" s="70"/>
      <c r="I55" s="71" t="str">
        <f t="shared" si="2"/>
        <v/>
      </c>
      <c r="J55" s="70"/>
    </row>
    <row r="56">
      <c r="A56" s="39">
        <v>55.0</v>
      </c>
      <c r="B56" s="46" t="s">
        <v>418</v>
      </c>
      <c r="C56" s="48" t="s">
        <v>419</v>
      </c>
      <c r="D56" s="39">
        <f t="array" ref="D56:E56">VLOOKUP(B56,MASTER!$C279:$F$1048,{3,4},0)</f>
        <v>3430</v>
      </c>
      <c r="E56" s="39">
        <v>3430.0</v>
      </c>
      <c r="F56" s="50">
        <f t="shared" si="1"/>
        <v>0</v>
      </c>
      <c r="G56" s="69"/>
      <c r="H56" s="70"/>
      <c r="I56" s="71">
        <f t="shared" si="2"/>
        <v>5.470494418</v>
      </c>
      <c r="J56" s="70">
        <v>627.0</v>
      </c>
    </row>
    <row r="57">
      <c r="A57" s="39">
        <v>56.0</v>
      </c>
      <c r="B57" s="46" t="s">
        <v>420</v>
      </c>
      <c r="C57" s="48" t="s">
        <v>421</v>
      </c>
      <c r="D57" s="39">
        <f t="array" ref="D57:E57">VLOOKUP(B57,MASTER!$C279:$F$1048,{3,4},0)</f>
        <v>6990</v>
      </c>
      <c r="E57" s="39">
        <v>6990.0</v>
      </c>
      <c r="F57" s="50">
        <f t="shared" si="1"/>
        <v>0</v>
      </c>
      <c r="G57" s="69"/>
      <c r="H57" s="70"/>
      <c r="I57" s="71">
        <f t="shared" si="2"/>
        <v>4.592641261</v>
      </c>
      <c r="J57" s="70">
        <v>1522.0</v>
      </c>
    </row>
    <row r="58">
      <c r="A58" s="39">
        <v>57.0</v>
      </c>
      <c r="B58" s="46" t="s">
        <v>423</v>
      </c>
      <c r="C58" s="48" t="s">
        <v>424</v>
      </c>
      <c r="D58" s="39">
        <f t="array" ref="D58:E58">VLOOKUP(B58,MASTER!$C279:$F$1048,{3,4},0)</f>
        <v>6990</v>
      </c>
      <c r="E58" s="39">
        <v>6990.0</v>
      </c>
      <c r="F58" s="50">
        <f t="shared" si="1"/>
        <v>0</v>
      </c>
      <c r="G58" s="69"/>
      <c r="H58" s="70"/>
      <c r="I58" s="71" t="str">
        <f t="shared" si="2"/>
        <v/>
      </c>
      <c r="J58" s="70"/>
    </row>
    <row r="59">
      <c r="A59" s="39">
        <v>58.0</v>
      </c>
      <c r="B59" s="46" t="s">
        <v>425</v>
      </c>
      <c r="C59" s="48" t="s">
        <v>426</v>
      </c>
      <c r="D59" s="39">
        <f t="array" ref="D59:E59">VLOOKUP(B59,MASTER!$C279:$F$1048,{3,4},0)</f>
        <v>6990</v>
      </c>
      <c r="E59" s="39">
        <v>6990.0</v>
      </c>
      <c r="F59" s="50">
        <f t="shared" si="1"/>
        <v>0</v>
      </c>
      <c r="G59" s="69"/>
      <c r="H59" s="70"/>
      <c r="I59" s="71">
        <f t="shared" si="2"/>
        <v>29.74468085</v>
      </c>
      <c r="J59" s="70">
        <v>235.0</v>
      </c>
    </row>
    <row r="60">
      <c r="A60" s="39">
        <v>59.0</v>
      </c>
      <c r="B60" s="46" t="s">
        <v>427</v>
      </c>
      <c r="C60" s="48" t="s">
        <v>428</v>
      </c>
      <c r="D60" s="39">
        <f t="array" ref="D60:E60">VLOOKUP(B60,MASTER!$C279:$F$1048,{3,4},0)</f>
        <v>9120</v>
      </c>
      <c r="E60" s="39">
        <v>9120.0</v>
      </c>
      <c r="F60" s="50">
        <f t="shared" si="1"/>
        <v>0</v>
      </c>
      <c r="G60" s="69"/>
      <c r="H60" s="70"/>
      <c r="I60" s="71">
        <f t="shared" si="2"/>
        <v>26.90265487</v>
      </c>
      <c r="J60" s="70">
        <v>339.0</v>
      </c>
    </row>
    <row r="61">
      <c r="A61" s="39">
        <v>60.0</v>
      </c>
      <c r="B61" s="46" t="s">
        <v>430</v>
      </c>
      <c r="C61" s="48" t="s">
        <v>431</v>
      </c>
      <c r="D61" s="39">
        <f t="array" ref="D61:E61">VLOOKUP(B61,MASTER!$C279:$F$1048,{3,4},0)</f>
        <v>9120</v>
      </c>
      <c r="E61" s="39">
        <v>9120.0</v>
      </c>
      <c r="F61" s="50">
        <f t="shared" si="1"/>
        <v>0</v>
      </c>
      <c r="G61" s="69"/>
      <c r="H61" s="70"/>
      <c r="I61" s="71">
        <f t="shared" si="2"/>
        <v>20.63348416</v>
      </c>
      <c r="J61" s="70">
        <v>442.0</v>
      </c>
    </row>
    <row r="62">
      <c r="A62" s="39">
        <v>61.0</v>
      </c>
      <c r="B62" s="46" t="s">
        <v>432</v>
      </c>
      <c r="C62" s="48" t="s">
        <v>433</v>
      </c>
      <c r="D62" s="39">
        <f t="array" ref="D62:E62">VLOOKUP(B62,MASTER!$C279:$F$1048,{3,4},0)</f>
        <v>9120</v>
      </c>
      <c r="E62" s="39">
        <v>9120.0</v>
      </c>
      <c r="F62" s="50">
        <f t="shared" si="1"/>
        <v>0</v>
      </c>
      <c r="G62" s="69"/>
      <c r="H62" s="70"/>
      <c r="I62" s="71">
        <f t="shared" si="2"/>
        <v>11.58831004</v>
      </c>
      <c r="J62" s="70">
        <v>787.0</v>
      </c>
    </row>
    <row r="63">
      <c r="A63" s="39">
        <v>62.0</v>
      </c>
      <c r="B63" s="46" t="s">
        <v>434</v>
      </c>
      <c r="C63" s="48" t="s">
        <v>435</v>
      </c>
      <c r="D63" s="39">
        <f t="array" ref="D63:E63">VLOOKUP(B63,MASTER!$C279:$F$1048,{3,4},0)</f>
        <v>1970</v>
      </c>
      <c r="E63" s="39">
        <v>1970.0</v>
      </c>
      <c r="F63" s="50">
        <f t="shared" si="1"/>
        <v>0</v>
      </c>
      <c r="G63" s="69"/>
      <c r="H63" s="70"/>
      <c r="I63" s="71">
        <f t="shared" si="2"/>
        <v>2.50317662</v>
      </c>
      <c r="J63" s="70">
        <v>787.0</v>
      </c>
    </row>
    <row r="64">
      <c r="A64" s="39">
        <v>63.0</v>
      </c>
      <c r="B64" s="46" t="s">
        <v>436</v>
      </c>
      <c r="C64" s="48" t="s">
        <v>437</v>
      </c>
      <c r="D64" s="39">
        <f t="array" ref="D64:E64">VLOOKUP(B64,MASTER!$C279:$F$1048,{3,4},0)</f>
        <v>990</v>
      </c>
      <c r="E64" s="39">
        <v>990.0</v>
      </c>
      <c r="F64" s="50">
        <f t="shared" si="1"/>
        <v>0</v>
      </c>
      <c r="G64" s="69"/>
      <c r="H64" s="70"/>
      <c r="I64" s="71">
        <f t="shared" si="2"/>
        <v>1.25794155</v>
      </c>
      <c r="J64" s="70">
        <v>787.0</v>
      </c>
    </row>
    <row r="65">
      <c r="A65" s="39">
        <v>64.0</v>
      </c>
      <c r="B65" s="46" t="s">
        <v>438</v>
      </c>
      <c r="C65" s="48" t="s">
        <v>439</v>
      </c>
      <c r="D65" s="39">
        <f t="array" ref="D65:E65">VLOOKUP(B65,MASTER!$C279:$F$1048,{3,4},0)</f>
        <v>23520</v>
      </c>
      <c r="E65" s="39">
        <v>24880.0</v>
      </c>
      <c r="F65" s="50">
        <f t="shared" si="1"/>
        <v>0.05782312925</v>
      </c>
      <c r="G65" s="69"/>
      <c r="H65" s="70"/>
      <c r="I65" s="71">
        <f t="shared" si="2"/>
        <v>60.98039216</v>
      </c>
      <c r="J65" s="100">
        <v>408.0</v>
      </c>
    </row>
    <row r="66">
      <c r="A66" s="39">
        <v>65.0</v>
      </c>
      <c r="B66" s="46" t="s">
        <v>440</v>
      </c>
      <c r="C66" s="48" t="s">
        <v>441</v>
      </c>
      <c r="D66" s="39">
        <f t="array" ref="D66:E66">VLOOKUP(B66,MASTER!$C279:$F$1048,{3,4},0)</f>
        <v>2490</v>
      </c>
      <c r="E66" s="39">
        <v>2490.0</v>
      </c>
      <c r="F66" s="50">
        <f t="shared" si="1"/>
        <v>0</v>
      </c>
      <c r="G66" s="69"/>
      <c r="H66" s="70"/>
      <c r="I66" s="71">
        <f t="shared" si="2"/>
        <v>6.02905569</v>
      </c>
      <c r="J66" s="100">
        <v>413.0</v>
      </c>
    </row>
    <row r="67">
      <c r="A67" s="39">
        <v>66.0</v>
      </c>
      <c r="B67" s="46" t="s">
        <v>442</v>
      </c>
      <c r="C67" s="48" t="s">
        <v>443</v>
      </c>
      <c r="D67" s="39">
        <f t="array" ref="D67:E67">VLOOKUP(B67,MASTER!$C279:$F$1048,{3,4},0)</f>
        <v>1460</v>
      </c>
      <c r="E67" s="39">
        <v>1460.0</v>
      </c>
      <c r="F67" s="50">
        <f t="shared" si="1"/>
        <v>0</v>
      </c>
      <c r="G67" s="69"/>
      <c r="H67" s="70"/>
      <c r="I67" s="71">
        <f t="shared" si="2"/>
        <v>0.9688122097</v>
      </c>
      <c r="J67" s="100">
        <v>1507.0</v>
      </c>
    </row>
    <row r="68">
      <c r="A68" s="39">
        <v>67.0</v>
      </c>
      <c r="B68" s="46" t="s">
        <v>444</v>
      </c>
      <c r="C68" s="48" t="s">
        <v>445</v>
      </c>
      <c r="D68" s="39">
        <f t="array" ref="D68:E68">VLOOKUP(B68,MASTER!$C279:$F$1048,{3,4},0)</f>
        <v>6190</v>
      </c>
      <c r="E68" s="39">
        <v>6190.0</v>
      </c>
      <c r="F68" s="50">
        <f t="shared" si="1"/>
        <v>0</v>
      </c>
      <c r="G68" s="69"/>
      <c r="H68" s="70"/>
      <c r="I68" s="71">
        <f t="shared" si="2"/>
        <v>12.38</v>
      </c>
      <c r="J68" s="70">
        <v>500.0</v>
      </c>
    </row>
    <row r="69">
      <c r="A69" s="39">
        <v>68.0</v>
      </c>
      <c r="B69" s="46" t="s">
        <v>446</v>
      </c>
      <c r="C69" s="48" t="s">
        <v>447</v>
      </c>
      <c r="D69" s="39">
        <f t="array" ref="D69:E69">VLOOKUP(B69,MASTER!$C279:$F$1048,{3,4},0)</f>
        <v>1980</v>
      </c>
      <c r="E69" s="39">
        <v>1980.0</v>
      </c>
      <c r="F69" s="50">
        <f t="shared" si="1"/>
        <v>0</v>
      </c>
      <c r="G69" s="69"/>
      <c r="H69" s="70"/>
      <c r="I69" s="71">
        <f t="shared" si="2"/>
        <v>3.6</v>
      </c>
      <c r="J69" s="70">
        <v>550.0</v>
      </c>
    </row>
    <row r="70">
      <c r="A70" s="39">
        <v>69.0</v>
      </c>
      <c r="B70" s="46" t="s">
        <v>449</v>
      </c>
      <c r="C70" s="48" t="s">
        <v>450</v>
      </c>
      <c r="D70" s="39">
        <f t="array" ref="D70:E70">VLOOKUP(B70,MASTER!$C279:$F$1048,{3,4},0)</f>
        <v>14110</v>
      </c>
      <c r="E70" s="39">
        <v>13880.0</v>
      </c>
      <c r="F70" s="50">
        <f t="shared" si="1"/>
        <v>-0.0163004961</v>
      </c>
      <c r="G70" s="69"/>
      <c r="H70" s="70"/>
      <c r="I70" s="71">
        <f t="shared" si="2"/>
        <v>60.61135371</v>
      </c>
      <c r="J70" s="70">
        <v>229.0</v>
      </c>
    </row>
    <row r="71">
      <c r="A71" s="39">
        <v>70.0</v>
      </c>
      <c r="B71" s="46" t="s">
        <v>451</v>
      </c>
      <c r="C71" s="48" t="s">
        <v>452</v>
      </c>
      <c r="D71" s="39">
        <f t="array" ref="D71:E71">VLOOKUP(B71,MASTER!$C279:$F$1048,{3,4},0)</f>
        <v>1190</v>
      </c>
      <c r="E71" s="39">
        <v>1190.0</v>
      </c>
      <c r="F71" s="50">
        <f t="shared" si="1"/>
        <v>0</v>
      </c>
      <c r="G71" s="69"/>
      <c r="H71" s="70"/>
      <c r="I71" s="71">
        <f t="shared" si="2"/>
        <v>15.25641026</v>
      </c>
      <c r="J71" s="70">
        <v>78.0</v>
      </c>
    </row>
    <row r="72">
      <c r="A72" s="39">
        <v>71.0</v>
      </c>
      <c r="B72" s="46" t="s">
        <v>454</v>
      </c>
      <c r="C72" s="48" t="s">
        <v>452</v>
      </c>
      <c r="D72" s="39">
        <f t="array" ref="D72:E72">VLOOKUP(B72,MASTER!$C279:$F$1048,{3,4},0)</f>
        <v>1090</v>
      </c>
      <c r="E72" s="39">
        <v>1090.0</v>
      </c>
      <c r="F72" s="50">
        <f t="shared" si="1"/>
        <v>0</v>
      </c>
      <c r="G72" s="69"/>
      <c r="H72" s="70"/>
      <c r="I72" s="71">
        <f t="shared" si="2"/>
        <v>4.448979592</v>
      </c>
      <c r="J72" s="70">
        <v>245.0</v>
      </c>
    </row>
    <row r="73">
      <c r="A73" s="39">
        <v>72.0</v>
      </c>
      <c r="B73" s="46" t="s">
        <v>455</v>
      </c>
      <c r="C73" s="48" t="s">
        <v>456</v>
      </c>
      <c r="D73" s="39">
        <f t="array" ref="D73:E73">VLOOKUP(B73,MASTER!$C279:$F$1048,{3,4},0)</f>
        <v>1290</v>
      </c>
      <c r="E73" s="39">
        <v>1290.0</v>
      </c>
      <c r="F73" s="50">
        <f t="shared" si="1"/>
        <v>0</v>
      </c>
      <c r="G73" s="69"/>
      <c r="H73" s="70"/>
      <c r="I73" s="71">
        <f t="shared" si="2"/>
        <v>11.4159292</v>
      </c>
      <c r="J73" s="70">
        <v>113.0</v>
      </c>
    </row>
    <row r="74">
      <c r="A74" s="39">
        <v>73.0</v>
      </c>
      <c r="B74" s="46" t="s">
        <v>457</v>
      </c>
      <c r="C74" s="48" t="s">
        <v>452</v>
      </c>
      <c r="D74" s="39">
        <f t="array" ref="D74:E74">VLOOKUP(B74,MASTER!$C279:$F$1048,{3,4},0)</f>
        <v>1290</v>
      </c>
      <c r="E74" s="39">
        <v>1290.0</v>
      </c>
      <c r="F74" s="50">
        <f t="shared" si="1"/>
        <v>0</v>
      </c>
      <c r="G74" s="69"/>
      <c r="H74" s="70"/>
      <c r="I74" s="71">
        <f t="shared" si="2"/>
        <v>3.421750663</v>
      </c>
      <c r="J74" s="70">
        <v>377.0</v>
      </c>
    </row>
    <row r="75">
      <c r="A75" s="39">
        <v>74.0</v>
      </c>
      <c r="B75" s="46" t="s">
        <v>458</v>
      </c>
      <c r="C75" s="48" t="s">
        <v>452</v>
      </c>
      <c r="D75" s="39">
        <f t="array" ref="D75:E75">VLOOKUP(B75,MASTER!$C279:$F$1048,{3,4},0)</f>
        <v>1090</v>
      </c>
      <c r="E75" s="39">
        <v>1090.0</v>
      </c>
      <c r="F75" s="50">
        <f t="shared" si="1"/>
        <v>0</v>
      </c>
      <c r="G75" s="69"/>
      <c r="H75" s="70"/>
      <c r="I75" s="71">
        <f t="shared" si="2"/>
        <v>8.449612403</v>
      </c>
      <c r="J75" s="70">
        <v>129.0</v>
      </c>
    </row>
    <row r="76">
      <c r="A76" s="39">
        <v>75.0</v>
      </c>
      <c r="B76" s="46" t="s">
        <v>460</v>
      </c>
      <c r="C76" s="48" t="s">
        <v>461</v>
      </c>
      <c r="D76" s="39">
        <f t="array" ref="D76:E76">VLOOKUP(B76,MASTER!$C279:$F$1048,{3,4},0)</f>
        <v>490</v>
      </c>
      <c r="E76" s="39">
        <v>490.0</v>
      </c>
      <c r="F76" s="50">
        <f t="shared" si="1"/>
        <v>0</v>
      </c>
      <c r="G76" s="69"/>
      <c r="H76" s="70"/>
      <c r="I76" s="71">
        <f t="shared" si="2"/>
        <v>3.426573427</v>
      </c>
      <c r="J76" s="70">
        <v>143.0</v>
      </c>
    </row>
    <row r="77">
      <c r="A77" s="39">
        <v>76.0</v>
      </c>
      <c r="B77" s="46" t="s">
        <v>462</v>
      </c>
      <c r="C77" s="48" t="s">
        <v>463</v>
      </c>
      <c r="D77" s="39">
        <f t="array" ref="D77:E77">VLOOKUP(B77,MASTER!$C279:$F$1048,{3,4},0)</f>
        <v>590</v>
      </c>
      <c r="E77" s="39">
        <v>590.0</v>
      </c>
      <c r="F77" s="50">
        <f t="shared" si="1"/>
        <v>0</v>
      </c>
      <c r="G77" s="69"/>
      <c r="H77" s="70"/>
      <c r="I77" s="71">
        <f t="shared" si="2"/>
        <v>3.959731544</v>
      </c>
      <c r="J77" s="70">
        <v>149.0</v>
      </c>
    </row>
    <row r="78">
      <c r="A78" s="84">
        <v>78.0</v>
      </c>
      <c r="B78" s="85" t="s">
        <v>465</v>
      </c>
      <c r="C78" s="86" t="s">
        <v>467</v>
      </c>
      <c r="D78" s="84">
        <f t="array" ref="D78:E78">VLOOKUP(B78,MASTER!$C279:$F$1048,{3,4},0)</f>
        <v>296</v>
      </c>
      <c r="E78" s="84">
        <v>290.0</v>
      </c>
      <c r="F78" s="87">
        <f t="shared" si="1"/>
        <v>-0.02027027027</v>
      </c>
      <c r="G78" s="88"/>
      <c r="H78" s="88"/>
      <c r="I78" s="96">
        <f t="shared" si="2"/>
        <v>1.244635193</v>
      </c>
      <c r="J78" s="88">
        <v>233.0</v>
      </c>
    </row>
    <row r="79">
      <c r="A79" s="39">
        <v>79.0</v>
      </c>
      <c r="B79" s="46" t="s">
        <v>468</v>
      </c>
      <c r="C79" s="48" t="s">
        <v>469</v>
      </c>
      <c r="D79" s="39">
        <f t="array" ref="D79:E79">VLOOKUP(B79,MASTER!$C279:$F$1048,{3,4},0)</f>
        <v>360</v>
      </c>
      <c r="E79" s="39">
        <v>360.0</v>
      </c>
      <c r="F79" s="50">
        <f t="shared" si="1"/>
        <v>0</v>
      </c>
      <c r="G79" s="69"/>
      <c r="H79" s="70"/>
      <c r="I79" s="71" t="str">
        <f t="shared" si="2"/>
        <v/>
      </c>
      <c r="J79" s="70"/>
    </row>
    <row r="80">
      <c r="A80" s="39">
        <v>80.0</v>
      </c>
      <c r="B80" s="46" t="s">
        <v>471</v>
      </c>
      <c r="C80" s="48" t="s">
        <v>472</v>
      </c>
      <c r="D80" s="39">
        <f t="array" ref="D80:E80">VLOOKUP(B80,MASTER!$C279:$F$1048,{3,4},0)</f>
        <v>1090</v>
      </c>
      <c r="E80" s="39">
        <v>1090.0</v>
      </c>
      <c r="F80" s="50">
        <f t="shared" si="1"/>
        <v>0</v>
      </c>
      <c r="G80" s="69"/>
      <c r="H80" s="70"/>
      <c r="I80" s="71" t="str">
        <f t="shared" si="2"/>
        <v/>
      </c>
      <c r="J80" s="70"/>
    </row>
    <row r="81">
      <c r="A81" s="39">
        <v>81.0</v>
      </c>
      <c r="B81" s="46" t="s">
        <v>474</v>
      </c>
      <c r="C81" s="48" t="s">
        <v>475</v>
      </c>
      <c r="D81" s="39">
        <f t="array" ref="D81:E81">VLOOKUP(B81,MASTER!$C279:$F$1048,{3,4},0)</f>
        <v>1290</v>
      </c>
      <c r="E81" s="39">
        <v>1290.0</v>
      </c>
      <c r="F81" s="50">
        <f t="shared" si="1"/>
        <v>0</v>
      </c>
      <c r="G81" s="69"/>
      <c r="H81" s="70"/>
      <c r="I81" s="71" t="str">
        <f t="shared" si="2"/>
        <v/>
      </c>
      <c r="J81" s="70"/>
    </row>
    <row r="82">
      <c r="A82" s="39">
        <v>82.0</v>
      </c>
      <c r="B82" s="46" t="s">
        <v>476</v>
      </c>
      <c r="C82" s="48" t="s">
        <v>477</v>
      </c>
      <c r="D82" s="39">
        <f t="array" ref="D82:E82">VLOOKUP(B82,MASTER!$C279:$F$1048,{3,4},0)</f>
        <v>1290</v>
      </c>
      <c r="E82" s="39">
        <v>1290.0</v>
      </c>
      <c r="F82" s="50">
        <f t="shared" si="1"/>
        <v>0</v>
      </c>
      <c r="G82" s="69"/>
      <c r="H82" s="70"/>
      <c r="I82" s="71" t="str">
        <f t="shared" si="2"/>
        <v/>
      </c>
      <c r="J82" s="70"/>
    </row>
    <row r="83">
      <c r="A83" s="39">
        <v>83.0</v>
      </c>
      <c r="B83" s="46" t="s">
        <v>479</v>
      </c>
      <c r="C83" s="48" t="s">
        <v>480</v>
      </c>
      <c r="D83" s="39">
        <f t="array" ref="D83:E83">VLOOKUP(B83,MASTER!$C279:$F$1048,{3,4},0)</f>
        <v>1640</v>
      </c>
      <c r="E83" s="39">
        <v>1640.0</v>
      </c>
      <c r="F83" s="50">
        <f t="shared" si="1"/>
        <v>0</v>
      </c>
      <c r="G83" s="69"/>
      <c r="H83" s="70"/>
      <c r="I83" s="71" t="str">
        <f t="shared" si="2"/>
        <v/>
      </c>
      <c r="J83" s="70"/>
    </row>
    <row r="84">
      <c r="A84" s="39">
        <v>84.0</v>
      </c>
      <c r="B84" s="46" t="s">
        <v>482</v>
      </c>
      <c r="C84" s="48" t="s">
        <v>483</v>
      </c>
      <c r="D84" s="39">
        <f t="array" ref="D84:E84">VLOOKUP(B84,MASTER!$C279:$F$1048,{3,4},0)</f>
        <v>1290</v>
      </c>
      <c r="E84" s="39">
        <v>1290.0</v>
      </c>
      <c r="F84" s="50">
        <f t="shared" si="1"/>
        <v>0</v>
      </c>
      <c r="G84" s="69"/>
      <c r="H84" s="70"/>
      <c r="I84" s="71" t="str">
        <f t="shared" si="2"/>
        <v/>
      </c>
      <c r="J84" s="70"/>
    </row>
    <row r="85">
      <c r="A85" s="39">
        <v>85.0</v>
      </c>
      <c r="B85" s="46" t="s">
        <v>486</v>
      </c>
      <c r="C85" s="48" t="s">
        <v>487</v>
      </c>
      <c r="D85" s="39">
        <f t="array" ref="D85:E85">VLOOKUP(B85,MASTER!$C279:$F$1048,{3,4},0)</f>
        <v>1640</v>
      </c>
      <c r="E85" s="39">
        <v>1640.0</v>
      </c>
      <c r="F85" s="50">
        <f t="shared" si="1"/>
        <v>0</v>
      </c>
      <c r="G85" s="69"/>
      <c r="H85" s="70"/>
      <c r="I85" s="71" t="str">
        <f t="shared" si="2"/>
        <v/>
      </c>
      <c r="J85" s="70"/>
    </row>
    <row r="86">
      <c r="A86" s="39">
        <v>86.0</v>
      </c>
      <c r="B86" s="46" t="s">
        <v>489</v>
      </c>
      <c r="C86" s="48" t="s">
        <v>490</v>
      </c>
      <c r="D86" s="39">
        <f t="array" ref="D86:E86">VLOOKUP(B86,MASTER!$C279:$F$1048,{3,4},0)</f>
        <v>1640</v>
      </c>
      <c r="E86" s="39">
        <v>1640.0</v>
      </c>
      <c r="F86" s="50">
        <f t="shared" si="1"/>
        <v>0</v>
      </c>
      <c r="G86" s="69"/>
      <c r="H86" s="70"/>
      <c r="I86" s="71" t="str">
        <f t="shared" si="2"/>
        <v/>
      </c>
      <c r="J86" s="70"/>
    </row>
    <row r="87">
      <c r="A87" s="39">
        <v>87.0</v>
      </c>
      <c r="B87" s="46" t="s">
        <v>492</v>
      </c>
      <c r="C87" s="48" t="s">
        <v>493</v>
      </c>
      <c r="D87" s="39">
        <f t="array" ref="D87:E87">VLOOKUP(B87,MASTER!$C279:$F$1048,{3,4},0)</f>
        <v>1440</v>
      </c>
      <c r="E87" s="39">
        <v>1440.0</v>
      </c>
      <c r="F87" s="50">
        <f t="shared" si="1"/>
        <v>0</v>
      </c>
      <c r="G87" s="69"/>
      <c r="H87" s="70"/>
      <c r="I87" s="71">
        <f t="shared" si="2"/>
        <v>0.5091937765</v>
      </c>
      <c r="J87" s="70">
        <v>2828.0</v>
      </c>
    </row>
    <row r="88">
      <c r="A88" s="39">
        <v>88.0</v>
      </c>
      <c r="B88" s="46" t="s">
        <v>494</v>
      </c>
      <c r="C88" s="48" t="s">
        <v>495</v>
      </c>
      <c r="D88" s="39">
        <f t="array" ref="D88:E88">VLOOKUP(B88,MASTER!$C279:$F$1048,{3,4},0)</f>
        <v>1480</v>
      </c>
      <c r="E88" s="39">
        <v>1480.0</v>
      </c>
      <c r="F88" s="50">
        <f t="shared" si="1"/>
        <v>0</v>
      </c>
      <c r="G88" s="69"/>
      <c r="H88" s="70"/>
      <c r="I88" s="71">
        <f t="shared" si="2"/>
        <v>0.5924739792</v>
      </c>
      <c r="J88" s="70">
        <v>2498.0</v>
      </c>
    </row>
    <row r="89">
      <c r="A89" s="39">
        <v>89.0</v>
      </c>
      <c r="B89" s="46" t="s">
        <v>497</v>
      </c>
      <c r="C89" s="48" t="s">
        <v>498</v>
      </c>
      <c r="D89" s="39">
        <f t="array" ref="D89:E89">VLOOKUP(B89,MASTER!$C279:$F$1048,{3,4},0)</f>
        <v>4990</v>
      </c>
      <c r="E89" s="39">
        <v>4990.0</v>
      </c>
      <c r="F89" s="50">
        <f t="shared" si="1"/>
        <v>0</v>
      </c>
      <c r="G89" s="69"/>
      <c r="H89" s="70"/>
      <c r="I89" s="71">
        <f t="shared" si="2"/>
        <v>1.547766749</v>
      </c>
      <c r="J89" s="70">
        <v>3224.0</v>
      </c>
    </row>
    <row r="90">
      <c r="A90" s="39">
        <v>90.0</v>
      </c>
      <c r="B90" s="46" t="s">
        <v>500</v>
      </c>
      <c r="C90" s="48" t="s">
        <v>501</v>
      </c>
      <c r="D90" s="39">
        <f t="array" ref="D90:E90">VLOOKUP(B90,MASTER!$C279:$F$1048,{3,4},0)</f>
        <v>4990</v>
      </c>
      <c r="E90" s="39">
        <v>4990.0</v>
      </c>
      <c r="F90" s="50">
        <f t="shared" si="1"/>
        <v>0</v>
      </c>
      <c r="G90" s="69"/>
      <c r="H90" s="70"/>
      <c r="I90" s="71">
        <f t="shared" si="2"/>
        <v>1.654509284</v>
      </c>
      <c r="J90" s="70">
        <v>3016.0</v>
      </c>
    </row>
    <row r="91">
      <c r="A91" s="39">
        <v>91.0</v>
      </c>
      <c r="B91" s="46" t="s">
        <v>502</v>
      </c>
      <c r="C91" s="48" t="s">
        <v>503</v>
      </c>
      <c r="D91" s="39">
        <f t="array" ref="D91:E91">VLOOKUP(B91,MASTER!$C279:$F$1048,{3,4},0)</f>
        <v>4990</v>
      </c>
      <c r="E91" s="39">
        <v>4990.0</v>
      </c>
      <c r="F91" s="50">
        <f t="shared" si="1"/>
        <v>0</v>
      </c>
      <c r="G91" s="69"/>
      <c r="H91" s="70"/>
      <c r="I91" s="71">
        <f t="shared" si="2"/>
        <v>15.94249201</v>
      </c>
      <c r="J91" s="70">
        <v>313.0</v>
      </c>
    </row>
    <row r="92">
      <c r="A92" s="39">
        <v>92.0</v>
      </c>
      <c r="B92" s="46" t="s">
        <v>505</v>
      </c>
      <c r="C92" s="48" t="s">
        <v>506</v>
      </c>
      <c r="D92" s="39">
        <f t="array" ref="D92:E92">VLOOKUP(B92,MASTER!$C279:$F$1048,{3,4},0)</f>
        <v>2780</v>
      </c>
      <c r="E92" s="39">
        <v>2780.0</v>
      </c>
      <c r="F92" s="50">
        <f t="shared" si="1"/>
        <v>0</v>
      </c>
      <c r="G92" s="69"/>
      <c r="H92" s="70"/>
      <c r="I92" s="71">
        <f t="shared" si="2"/>
        <v>7.875354108</v>
      </c>
      <c r="J92" s="70">
        <v>353.0</v>
      </c>
    </row>
    <row r="93">
      <c r="A93" s="39">
        <v>93.0</v>
      </c>
      <c r="B93" s="46" t="s">
        <v>507</v>
      </c>
      <c r="C93" s="48" t="s">
        <v>508</v>
      </c>
      <c r="D93" s="39">
        <f t="array" ref="D93:E93">VLOOKUP(B93,MASTER!$C279:$F$1048,{3,4},0)</f>
        <v>2780</v>
      </c>
      <c r="E93" s="39">
        <v>2780.0</v>
      </c>
      <c r="F93" s="50">
        <f t="shared" si="1"/>
        <v>0</v>
      </c>
      <c r="G93" s="69"/>
      <c r="H93" s="70"/>
      <c r="I93" s="71">
        <f t="shared" si="2"/>
        <v>8.24925816</v>
      </c>
      <c r="J93" s="70">
        <v>337.0</v>
      </c>
    </row>
    <row r="94">
      <c r="A94" s="39">
        <v>94.0</v>
      </c>
      <c r="B94" s="46" t="s">
        <v>509</v>
      </c>
      <c r="C94" s="48" t="s">
        <v>510</v>
      </c>
      <c r="D94" s="39">
        <f t="array" ref="D94:E94">VLOOKUP(B94,MASTER!$C279:$F$1048,{3,4},0)</f>
        <v>2780</v>
      </c>
      <c r="E94" s="39">
        <v>2780.0</v>
      </c>
      <c r="F94" s="50">
        <f t="shared" si="1"/>
        <v>0</v>
      </c>
      <c r="G94" s="69"/>
      <c r="H94" s="70"/>
      <c r="I94" s="71">
        <f t="shared" si="2"/>
        <v>6.556603774</v>
      </c>
      <c r="J94" s="70">
        <v>424.0</v>
      </c>
    </row>
    <row r="95">
      <c r="A95" s="39">
        <v>95.0</v>
      </c>
      <c r="B95" s="46" t="s">
        <v>512</v>
      </c>
      <c r="C95" s="48" t="s">
        <v>513</v>
      </c>
      <c r="D95" s="39">
        <f t="array" ref="D95:E95">VLOOKUP(B95,MASTER!$C279:$F$1048,{3,4},0)</f>
        <v>1060</v>
      </c>
      <c r="E95" s="39">
        <v>1060.0</v>
      </c>
      <c r="F95" s="50">
        <f t="shared" si="1"/>
        <v>0</v>
      </c>
      <c r="G95" s="69"/>
      <c r="H95" s="70"/>
      <c r="I95" s="71">
        <f t="shared" si="2"/>
        <v>3.045977011</v>
      </c>
      <c r="J95" s="70">
        <v>348.0</v>
      </c>
    </row>
    <row r="96">
      <c r="A96" s="84">
        <v>96.0</v>
      </c>
      <c r="B96" s="85" t="s">
        <v>514</v>
      </c>
      <c r="C96" s="86" t="s">
        <v>515</v>
      </c>
      <c r="D96" s="84">
        <f t="array" ref="D96:E96">VLOOKUP(B96,MASTER!$C279:$F$1048,{3,4},0)</f>
        <v>405</v>
      </c>
      <c r="E96" s="84">
        <v>390.0</v>
      </c>
      <c r="F96" s="87">
        <f t="shared" si="1"/>
        <v>-0.03703703704</v>
      </c>
      <c r="G96" s="88"/>
      <c r="H96" s="88"/>
      <c r="I96" s="96">
        <f t="shared" si="2"/>
        <v>0.9112149533</v>
      </c>
      <c r="J96" s="88">
        <v>428.0</v>
      </c>
    </row>
    <row r="97">
      <c r="A97" s="39">
        <v>97.0</v>
      </c>
      <c r="B97" s="46" t="s">
        <v>516</v>
      </c>
      <c r="C97" s="48" t="s">
        <v>517</v>
      </c>
      <c r="D97" s="39">
        <f t="array" ref="D97:E97">VLOOKUP(B97,MASTER!$C279:$F$1048,{3,4},0)</f>
        <v>1290</v>
      </c>
      <c r="E97" s="39">
        <v>1290.0</v>
      </c>
      <c r="F97" s="50">
        <f t="shared" si="1"/>
        <v>0</v>
      </c>
      <c r="G97" s="69"/>
      <c r="H97" s="70"/>
      <c r="I97" s="71">
        <f t="shared" si="2"/>
        <v>3.014018692</v>
      </c>
      <c r="J97" s="70">
        <v>428.0</v>
      </c>
    </row>
    <row r="98">
      <c r="A98" s="39">
        <v>98.0</v>
      </c>
      <c r="B98" s="46" t="s">
        <v>518</v>
      </c>
      <c r="C98" s="48" t="s">
        <v>519</v>
      </c>
      <c r="D98" s="39">
        <f t="array" ref="D98:E98">VLOOKUP(B98,MASTER!$C279:$F$1048,{3,4},0)</f>
        <v>450</v>
      </c>
      <c r="E98" s="39">
        <v>450.0</v>
      </c>
      <c r="F98" s="50">
        <f t="shared" si="1"/>
        <v>0</v>
      </c>
      <c r="G98" s="69"/>
      <c r="H98" s="70"/>
      <c r="I98" s="71">
        <f t="shared" si="2"/>
        <v>1.127819549</v>
      </c>
      <c r="J98" s="70">
        <v>399.0</v>
      </c>
    </row>
    <row r="99">
      <c r="A99" s="39">
        <v>99.0</v>
      </c>
      <c r="B99" s="46" t="s">
        <v>521</v>
      </c>
      <c r="C99" s="48" t="s">
        <v>522</v>
      </c>
      <c r="D99" s="39">
        <f t="array" ref="D99:E99">VLOOKUP(B99,MASTER!$C279:$F$1048,{3,4},0)</f>
        <v>1560</v>
      </c>
      <c r="E99" s="39">
        <v>1560.0</v>
      </c>
      <c r="F99" s="50">
        <f t="shared" si="1"/>
        <v>0</v>
      </c>
      <c r="G99" s="69"/>
      <c r="H99" s="70"/>
      <c r="I99" s="71">
        <f t="shared" si="2"/>
        <v>4.031007752</v>
      </c>
      <c r="J99" s="70">
        <v>387.0</v>
      </c>
    </row>
    <row r="100">
      <c r="A100" s="39">
        <v>100.0</v>
      </c>
      <c r="B100" s="46" t="s">
        <v>523</v>
      </c>
      <c r="C100" s="48" t="s">
        <v>524</v>
      </c>
      <c r="D100" s="39">
        <f t="array" ref="D100:E100">VLOOKUP(B100,MASTER!$C279:$F$1048,{3,4},0)</f>
        <v>560</v>
      </c>
      <c r="E100" s="39">
        <v>560.0</v>
      </c>
      <c r="F100" s="50">
        <f t="shared" si="1"/>
        <v>0</v>
      </c>
      <c r="G100" s="69"/>
      <c r="H100" s="70"/>
      <c r="I100" s="71">
        <f t="shared" si="2"/>
        <v>1.78913738</v>
      </c>
      <c r="J100" s="70">
        <v>313.0</v>
      </c>
    </row>
    <row r="101">
      <c r="A101" s="39">
        <v>101.0</v>
      </c>
      <c r="B101" s="46" t="s">
        <v>525</v>
      </c>
      <c r="C101" s="48" t="s">
        <v>526</v>
      </c>
      <c r="D101" s="39">
        <f t="array" ref="D101:E101">VLOOKUP(B101,MASTER!$C279:$F$1048,{3,4},0)</f>
        <v>750</v>
      </c>
      <c r="E101" s="39">
        <v>750.0</v>
      </c>
      <c r="F101" s="50">
        <f t="shared" si="1"/>
        <v>0</v>
      </c>
      <c r="G101" s="69"/>
      <c r="H101" s="70"/>
      <c r="I101" s="71">
        <f t="shared" si="2"/>
        <v>2.604166667</v>
      </c>
      <c r="J101" s="70">
        <v>288.0</v>
      </c>
    </row>
    <row r="102">
      <c r="A102" s="39">
        <v>102.0</v>
      </c>
      <c r="B102" s="46" t="s">
        <v>527</v>
      </c>
      <c r="C102" s="48" t="s">
        <v>528</v>
      </c>
      <c r="D102" s="39">
        <f t="array" ref="D102:E102">VLOOKUP(B102,MASTER!$C279:$F$1048,{3,4},0)</f>
        <v>570</v>
      </c>
      <c r="E102" s="39">
        <v>570.0</v>
      </c>
      <c r="F102" s="50">
        <f t="shared" si="1"/>
        <v>0</v>
      </c>
      <c r="G102" s="69"/>
      <c r="H102" s="70"/>
      <c r="I102" s="71">
        <f t="shared" si="2"/>
        <v>1.614730878</v>
      </c>
      <c r="J102" s="70">
        <v>353.0</v>
      </c>
    </row>
    <row r="103">
      <c r="A103" s="39">
        <v>103.0</v>
      </c>
      <c r="B103" s="46" t="s">
        <v>529</v>
      </c>
      <c r="C103" s="48" t="s">
        <v>530</v>
      </c>
      <c r="D103" s="39">
        <f t="array" ref="D103:E103">VLOOKUP(B103,MASTER!$C279:$F$1048,{3,4},0)</f>
        <v>880</v>
      </c>
      <c r="E103" s="39">
        <v>880.0</v>
      </c>
      <c r="F103" s="50">
        <f t="shared" si="1"/>
        <v>0</v>
      </c>
      <c r="G103" s="69"/>
      <c r="H103" s="70"/>
      <c r="I103" s="71">
        <f t="shared" si="2"/>
        <v>2.309711286</v>
      </c>
      <c r="J103" s="70">
        <v>381.0</v>
      </c>
    </row>
    <row r="104">
      <c r="A104" s="39">
        <v>104.0</v>
      </c>
      <c r="B104" s="46" t="s">
        <v>531</v>
      </c>
      <c r="C104" s="48" t="s">
        <v>532</v>
      </c>
      <c r="D104" s="39">
        <f t="array" ref="D104:E104">VLOOKUP(B104,MASTER!$C279:$F$1048,{3,4},0)</f>
        <v>3290</v>
      </c>
      <c r="E104" s="39">
        <v>3290.0</v>
      </c>
      <c r="F104" s="50">
        <f t="shared" si="1"/>
        <v>0</v>
      </c>
      <c r="G104" s="69"/>
      <c r="H104" s="70"/>
      <c r="I104" s="71">
        <f t="shared" si="2"/>
        <v>11.04026846</v>
      </c>
      <c r="J104" s="70">
        <v>298.0</v>
      </c>
    </row>
    <row r="105">
      <c r="A105" s="39">
        <v>105.0</v>
      </c>
      <c r="B105" s="46" t="s">
        <v>533</v>
      </c>
      <c r="C105" s="48" t="s">
        <v>534</v>
      </c>
      <c r="D105" s="39">
        <f t="array" ref="D105:E105">VLOOKUP(B105,MASTER!$C279:$F$1048,{3,4},0)</f>
        <v>3290</v>
      </c>
      <c r="E105" s="39">
        <v>3290.0</v>
      </c>
      <c r="F105" s="50">
        <f t="shared" si="1"/>
        <v>0</v>
      </c>
      <c r="G105" s="69"/>
      <c r="H105" s="70"/>
      <c r="I105" s="71">
        <f t="shared" si="2"/>
        <v>24.19117647</v>
      </c>
      <c r="J105" s="70">
        <v>136.0</v>
      </c>
    </row>
    <row r="106">
      <c r="A106" s="39">
        <v>106.0</v>
      </c>
      <c r="B106" s="46" t="s">
        <v>535</v>
      </c>
      <c r="C106" s="48" t="s">
        <v>536</v>
      </c>
      <c r="D106" s="39">
        <f t="array" ref="D106:E106">VLOOKUP(B106,MASTER!$C279:$F$1048,{3,4},0)</f>
        <v>3290</v>
      </c>
      <c r="E106" s="39">
        <v>3290.0</v>
      </c>
      <c r="F106" s="50">
        <f t="shared" si="1"/>
        <v>0</v>
      </c>
      <c r="G106" s="69"/>
      <c r="H106" s="70"/>
      <c r="I106" s="71">
        <f t="shared" si="2"/>
        <v>28.36206897</v>
      </c>
      <c r="J106" s="70">
        <v>116.0</v>
      </c>
    </row>
    <row r="107">
      <c r="A107" s="39">
        <v>107.0</v>
      </c>
      <c r="B107" s="46" t="s">
        <v>537</v>
      </c>
      <c r="C107" s="48" t="s">
        <v>538</v>
      </c>
      <c r="D107" s="39">
        <f t="array" ref="D107:E107">VLOOKUP(B107,MASTER!$C279:$F$1048,{3,4},0)</f>
        <v>570</v>
      </c>
      <c r="E107" s="39">
        <v>690.0</v>
      </c>
      <c r="F107" s="50">
        <f t="shared" si="1"/>
        <v>0.2105263158</v>
      </c>
      <c r="G107" s="69"/>
      <c r="H107" s="70"/>
      <c r="I107" s="71">
        <f t="shared" si="2"/>
        <v>8.625</v>
      </c>
      <c r="J107" s="70">
        <v>80.0</v>
      </c>
    </row>
    <row r="108">
      <c r="A108" s="39">
        <v>108.0</v>
      </c>
      <c r="B108" s="46" t="s">
        <v>539</v>
      </c>
      <c r="C108" s="48" t="s">
        <v>540</v>
      </c>
      <c r="D108" s="39">
        <f t="array" ref="D108:E108">VLOOKUP(B108,MASTER!$C279:$F$1048,{3,4},0)</f>
        <v>290</v>
      </c>
      <c r="E108" s="39">
        <v>290.0</v>
      </c>
      <c r="F108" s="50">
        <f t="shared" si="1"/>
        <v>0</v>
      </c>
      <c r="G108" s="69"/>
      <c r="H108" s="70"/>
      <c r="I108" s="71">
        <f t="shared" si="2"/>
        <v>3.411764706</v>
      </c>
      <c r="J108" s="70">
        <v>85.0</v>
      </c>
    </row>
    <row r="109">
      <c r="A109" s="39">
        <v>109.0</v>
      </c>
      <c r="B109" s="46" t="s">
        <v>542</v>
      </c>
      <c r="C109" s="48" t="s">
        <v>543</v>
      </c>
      <c r="D109" s="39">
        <f t="array" ref="D109:E109">VLOOKUP(B109,MASTER!$C279:$F$1048,{3,4},0)</f>
        <v>570</v>
      </c>
      <c r="E109" s="39">
        <v>690.0</v>
      </c>
      <c r="F109" s="50">
        <f t="shared" si="1"/>
        <v>0.2105263158</v>
      </c>
      <c r="G109" s="69"/>
      <c r="H109" s="70"/>
      <c r="I109" s="71">
        <f t="shared" si="2"/>
        <v>0.5778894472</v>
      </c>
      <c r="J109" s="70">
        <v>1194.0</v>
      </c>
    </row>
    <row r="110">
      <c r="A110" s="39">
        <v>110.0</v>
      </c>
      <c r="B110" s="46" t="s">
        <v>544</v>
      </c>
      <c r="C110" s="48" t="s">
        <v>545</v>
      </c>
      <c r="D110" s="39">
        <f t="array" ref="D110:E110">VLOOKUP(B110,MASTER!$C279:$F$1048,{3,4},0)</f>
        <v>290</v>
      </c>
      <c r="E110" s="39">
        <v>310.0</v>
      </c>
      <c r="F110" s="50">
        <f t="shared" si="1"/>
        <v>0.06896551724</v>
      </c>
      <c r="G110" s="69"/>
      <c r="H110" s="70"/>
      <c r="I110" s="71">
        <f t="shared" si="2"/>
        <v>0.2596314908</v>
      </c>
      <c r="J110" s="70">
        <v>1194.0</v>
      </c>
    </row>
    <row r="111">
      <c r="A111" s="39">
        <v>111.0</v>
      </c>
      <c r="B111" s="46" t="s">
        <v>547</v>
      </c>
      <c r="C111" s="48" t="s">
        <v>548</v>
      </c>
      <c r="D111" s="39">
        <f t="array" ref="D111:E111">VLOOKUP(B111,MASTER!$C279:$F$1048,{3,4},0)</f>
        <v>1090</v>
      </c>
      <c r="E111" s="39">
        <v>1190.0</v>
      </c>
      <c r="F111" s="50">
        <f t="shared" si="1"/>
        <v>0.09174311927</v>
      </c>
      <c r="G111" s="69"/>
      <c r="H111" s="70"/>
      <c r="I111" s="71">
        <f t="shared" si="2"/>
        <v>0.9966499162</v>
      </c>
      <c r="J111" s="70">
        <v>1194.0</v>
      </c>
    </row>
    <row r="112">
      <c r="A112" s="39">
        <v>112.0</v>
      </c>
      <c r="B112" s="46" t="s">
        <v>550</v>
      </c>
      <c r="C112" s="48" t="s">
        <v>551</v>
      </c>
      <c r="D112" s="39">
        <f t="array" ref="D112:E112">VLOOKUP(B112,MASTER!$C279:$F$1048,{3,4},0)</f>
        <v>1590</v>
      </c>
      <c r="E112" s="39">
        <v>1590.0</v>
      </c>
      <c r="F112" s="50">
        <f t="shared" si="1"/>
        <v>0</v>
      </c>
      <c r="G112" s="69"/>
      <c r="H112" s="70"/>
      <c r="I112" s="71">
        <f t="shared" si="2"/>
        <v>2.09486166</v>
      </c>
      <c r="J112" s="70">
        <v>759.0</v>
      </c>
    </row>
    <row r="113">
      <c r="A113" s="39">
        <v>113.0</v>
      </c>
      <c r="B113" s="46" t="s">
        <v>553</v>
      </c>
      <c r="C113" s="48" t="s">
        <v>554</v>
      </c>
      <c r="D113" s="39">
        <f t="array" ref="D113:E113">VLOOKUP(B113,MASTER!$C279:$F$1048,{3,4},0)</f>
        <v>2140</v>
      </c>
      <c r="E113" s="39">
        <v>2140.0</v>
      </c>
      <c r="F113" s="50">
        <f t="shared" si="1"/>
        <v>0</v>
      </c>
      <c r="G113" s="69"/>
      <c r="H113" s="70"/>
      <c r="I113" s="71">
        <f t="shared" si="2"/>
        <v>2.819499341</v>
      </c>
      <c r="J113" s="70">
        <v>759.0</v>
      </c>
    </row>
    <row r="114">
      <c r="A114" s="39">
        <v>114.0</v>
      </c>
      <c r="B114" s="15" t="s">
        <v>556</v>
      </c>
      <c r="C114" s="18" t="s">
        <v>557</v>
      </c>
      <c r="D114" s="102">
        <f t="array" ref="D114:E114">VLOOKUP(B114,MASTER!$C279:$F$1048,{3,4},0)</f>
        <v>340</v>
      </c>
      <c r="E114" s="39">
        <v>340.0</v>
      </c>
      <c r="F114" s="50"/>
      <c r="G114" s="69"/>
      <c r="H114" s="25"/>
      <c r="I114" s="71">
        <f t="shared" si="2"/>
        <v>0.4479578393</v>
      </c>
      <c r="J114" s="70">
        <v>759.0</v>
      </c>
    </row>
    <row r="115">
      <c r="A115" s="39">
        <v>115.0</v>
      </c>
      <c r="B115" s="46" t="s">
        <v>559</v>
      </c>
      <c r="C115" s="48" t="s">
        <v>560</v>
      </c>
      <c r="D115" s="39">
        <f t="array" ref="D115:E115">VLOOKUP(B115,MASTER!$C279:$F$1048,{3,4},0)</f>
        <v>670</v>
      </c>
      <c r="E115" s="39">
        <v>670.0</v>
      </c>
      <c r="F115" s="50">
        <f t="shared" ref="F115:F131" si="3">(E115-D115)/D115</f>
        <v>0</v>
      </c>
      <c r="G115" s="69"/>
      <c r="H115" s="70"/>
      <c r="I115" s="71">
        <f t="shared" si="2"/>
        <v>1.942028986</v>
      </c>
      <c r="J115" s="70">
        <v>345.0</v>
      </c>
    </row>
    <row r="116">
      <c r="A116" s="39">
        <v>116.0</v>
      </c>
      <c r="B116" s="46" t="s">
        <v>562</v>
      </c>
      <c r="C116" s="48" t="s">
        <v>563</v>
      </c>
      <c r="D116" s="39">
        <f t="array" ref="D116:E116">VLOOKUP(B116,MASTER!$C279:$F$1048,{3,4},0)</f>
        <v>1280</v>
      </c>
      <c r="E116" s="39">
        <v>1280.0</v>
      </c>
      <c r="F116" s="50">
        <f t="shared" si="3"/>
        <v>0</v>
      </c>
      <c r="G116" s="69"/>
      <c r="H116" s="70"/>
      <c r="I116" s="71">
        <f t="shared" si="2"/>
        <v>1.797752809</v>
      </c>
      <c r="J116" s="70">
        <v>712.0</v>
      </c>
    </row>
    <row r="117">
      <c r="A117" s="39">
        <v>117.0</v>
      </c>
      <c r="B117" s="46" t="s">
        <v>565</v>
      </c>
      <c r="C117" s="48" t="s">
        <v>566</v>
      </c>
      <c r="D117" s="39">
        <f t="array" ref="D117:E117">VLOOKUP(B117,MASTER!$C279:$F$1048,{3,4},0)</f>
        <v>1190</v>
      </c>
      <c r="E117" s="39">
        <v>1190.0</v>
      </c>
      <c r="F117" s="50">
        <f t="shared" si="3"/>
        <v>0</v>
      </c>
      <c r="G117" s="69"/>
      <c r="H117" s="70"/>
      <c r="I117" s="71">
        <f t="shared" si="2"/>
        <v>1.636863824</v>
      </c>
      <c r="J117" s="70">
        <v>727.0</v>
      </c>
    </row>
    <row r="118">
      <c r="A118" s="39">
        <v>118.0</v>
      </c>
      <c r="B118" s="46" t="s">
        <v>567</v>
      </c>
      <c r="C118" s="48" t="s">
        <v>568</v>
      </c>
      <c r="D118" s="39">
        <f t="array" ref="D118:E118">VLOOKUP(B118,MASTER!$C279:$F$1048,{3,4},0)</f>
        <v>670</v>
      </c>
      <c r="E118" s="39">
        <v>670.0</v>
      </c>
      <c r="F118" s="50">
        <f t="shared" si="3"/>
        <v>0</v>
      </c>
      <c r="G118" s="69"/>
      <c r="H118" s="70"/>
      <c r="I118" s="71">
        <f t="shared" si="2"/>
        <v>0.9215955983</v>
      </c>
      <c r="J118" s="70">
        <v>727.0</v>
      </c>
    </row>
    <row r="119">
      <c r="A119" s="39">
        <v>119.0</v>
      </c>
      <c r="B119" s="46" t="s">
        <v>570</v>
      </c>
      <c r="C119" s="48" t="s">
        <v>571</v>
      </c>
      <c r="D119" s="39">
        <f t="array" ref="D119:E119">VLOOKUP(B119,MASTER!$C279:$F$1048,{3,4},0)</f>
        <v>560</v>
      </c>
      <c r="E119" s="39">
        <v>560.0</v>
      </c>
      <c r="F119" s="50">
        <f t="shared" si="3"/>
        <v>0</v>
      </c>
      <c r="G119" s="69"/>
      <c r="H119" s="70"/>
      <c r="I119" s="71">
        <f t="shared" si="2"/>
        <v>1.454545455</v>
      </c>
      <c r="J119" s="70">
        <v>385.0</v>
      </c>
    </row>
    <row r="120">
      <c r="A120" s="39">
        <v>120.0</v>
      </c>
      <c r="B120" s="46" t="s">
        <v>573</v>
      </c>
      <c r="C120" s="48" t="s">
        <v>574</v>
      </c>
      <c r="D120" s="39">
        <f t="array" ref="D120:E120">VLOOKUP(B120,MASTER!$C279:$F$1048,{3,4},0)</f>
        <v>590</v>
      </c>
      <c r="E120" s="39">
        <v>590.0</v>
      </c>
      <c r="F120" s="50">
        <f t="shared" si="3"/>
        <v>0</v>
      </c>
      <c r="G120" s="69"/>
      <c r="H120" s="70"/>
      <c r="I120" s="71">
        <f t="shared" si="2"/>
        <v>0.6133056133</v>
      </c>
      <c r="J120" s="70">
        <v>962.0</v>
      </c>
    </row>
    <row r="121">
      <c r="A121" s="39">
        <v>121.0</v>
      </c>
      <c r="B121" s="46" t="s">
        <v>576</v>
      </c>
      <c r="C121" s="48" t="s">
        <v>577</v>
      </c>
      <c r="D121" s="39">
        <f t="array" ref="D121:E121">VLOOKUP(B121,MASTER!$C279:$F$1048,{3,4},0)</f>
        <v>560</v>
      </c>
      <c r="E121" s="39">
        <v>560.0</v>
      </c>
      <c r="F121" s="50">
        <f t="shared" si="3"/>
        <v>0</v>
      </c>
      <c r="G121" s="69"/>
      <c r="H121" s="70"/>
      <c r="I121" s="71">
        <f t="shared" si="2"/>
        <v>0.6982543641</v>
      </c>
      <c r="J121" s="70">
        <v>802.0</v>
      </c>
    </row>
    <row r="122">
      <c r="A122" s="39">
        <v>122.0</v>
      </c>
      <c r="B122" s="46" t="s">
        <v>579</v>
      </c>
      <c r="C122" s="48" t="s">
        <v>574</v>
      </c>
      <c r="D122" s="39">
        <f t="array" ref="D122:E122">VLOOKUP(B122,MASTER!$C279:$F$1048,{3,4},0)</f>
        <v>590</v>
      </c>
      <c r="E122" s="39">
        <v>590.0</v>
      </c>
      <c r="F122" s="50">
        <f t="shared" si="3"/>
        <v>0</v>
      </c>
      <c r="G122" s="69"/>
      <c r="H122" s="70"/>
      <c r="I122" s="71">
        <f t="shared" si="2"/>
        <v>0.7356608479</v>
      </c>
      <c r="J122" s="70">
        <v>802.0</v>
      </c>
    </row>
    <row r="123">
      <c r="A123" s="39">
        <v>123.0</v>
      </c>
      <c r="B123" s="46" t="s">
        <v>580</v>
      </c>
      <c r="C123" s="48" t="s">
        <v>581</v>
      </c>
      <c r="D123" s="39">
        <f t="array" ref="D123:E123">VLOOKUP(B123,MASTER!$C279:$F$1048,{3,4},0)</f>
        <v>340</v>
      </c>
      <c r="E123" s="39">
        <v>410.0</v>
      </c>
      <c r="F123" s="50">
        <f t="shared" si="3"/>
        <v>0.2058823529</v>
      </c>
      <c r="G123" s="69"/>
      <c r="H123" s="70"/>
      <c r="I123" s="71">
        <f t="shared" si="2"/>
        <v>1.952380952</v>
      </c>
      <c r="J123" s="70">
        <v>210.0</v>
      </c>
    </row>
    <row r="124">
      <c r="A124" s="39">
        <v>124.0</v>
      </c>
      <c r="B124" s="46" t="s">
        <v>583</v>
      </c>
      <c r="C124" s="48" t="s">
        <v>584</v>
      </c>
      <c r="D124" s="39">
        <f t="array" ref="D124:E124">VLOOKUP(B124,MASTER!$C279:$F$1048,{3,4},0)</f>
        <v>340</v>
      </c>
      <c r="E124" s="39">
        <v>410.0</v>
      </c>
      <c r="F124" s="50">
        <f t="shared" si="3"/>
        <v>0.2058823529</v>
      </c>
      <c r="G124" s="69"/>
      <c r="H124" s="70"/>
      <c r="I124" s="71">
        <f t="shared" si="2"/>
        <v>0.780952381</v>
      </c>
      <c r="J124" s="70">
        <v>525.0</v>
      </c>
    </row>
    <row r="125">
      <c r="A125" s="39">
        <v>125.0</v>
      </c>
      <c r="B125" s="46" t="s">
        <v>586</v>
      </c>
      <c r="C125" s="48" t="s">
        <v>587</v>
      </c>
      <c r="D125" s="39">
        <f t="array" ref="D125:E125">VLOOKUP(B125,MASTER!$C279:$F$1048,{3,4},0)</f>
        <v>340</v>
      </c>
      <c r="E125" s="39">
        <v>410.0</v>
      </c>
      <c r="F125" s="50">
        <f t="shared" si="3"/>
        <v>0.2058823529</v>
      </c>
      <c r="G125" s="69"/>
      <c r="H125" s="70"/>
      <c r="I125" s="71">
        <f t="shared" si="2"/>
        <v>0.9468822171</v>
      </c>
      <c r="J125" s="70">
        <v>433.0</v>
      </c>
    </row>
    <row r="126">
      <c r="A126" s="39">
        <v>126.0</v>
      </c>
      <c r="B126" s="46" t="s">
        <v>588</v>
      </c>
      <c r="C126" s="48" t="s">
        <v>589</v>
      </c>
      <c r="D126" s="39">
        <f t="array" ref="D126:E126">VLOOKUP(B126,MASTER!$C279:$F$1048,{3,4},0)</f>
        <v>730</v>
      </c>
      <c r="E126" s="39">
        <v>840.0</v>
      </c>
      <c r="F126" s="50">
        <f t="shared" si="3"/>
        <v>0.1506849315</v>
      </c>
      <c r="G126" s="69"/>
      <c r="H126" s="70"/>
      <c r="I126" s="71">
        <f t="shared" si="2"/>
        <v>3.428571429</v>
      </c>
      <c r="J126" s="70">
        <v>245.0</v>
      </c>
    </row>
    <row r="127">
      <c r="A127" s="39">
        <v>127.0</v>
      </c>
      <c r="B127" s="46" t="s">
        <v>591</v>
      </c>
      <c r="C127" s="48" t="s">
        <v>592</v>
      </c>
      <c r="D127" s="39">
        <f t="array" ref="D127:E127">VLOOKUP(B127,MASTER!$C279:$F$1048,{3,4},0)</f>
        <v>730</v>
      </c>
      <c r="E127" s="39">
        <v>790.0</v>
      </c>
      <c r="F127" s="50">
        <f t="shared" si="3"/>
        <v>0.08219178082</v>
      </c>
      <c r="G127" s="69"/>
      <c r="H127" s="70"/>
      <c r="I127" s="71">
        <f t="shared" si="2"/>
        <v>3.05019305</v>
      </c>
      <c r="J127" s="70">
        <v>259.0</v>
      </c>
    </row>
    <row r="128">
      <c r="A128" s="39">
        <v>128.0</v>
      </c>
      <c r="B128" s="46" t="s">
        <v>593</v>
      </c>
      <c r="C128" s="48" t="s">
        <v>594</v>
      </c>
      <c r="D128" s="39">
        <f t="array" ref="D128:E128">VLOOKUP(B128,MASTER!$C279:$F$1048,{3,4},0)</f>
        <v>690</v>
      </c>
      <c r="E128" s="39">
        <v>780.0</v>
      </c>
      <c r="F128" s="50">
        <f t="shared" si="3"/>
        <v>0.1304347826</v>
      </c>
      <c r="G128" s="69"/>
      <c r="H128" s="70"/>
      <c r="I128" s="71">
        <f t="shared" si="2"/>
        <v>3.362068966</v>
      </c>
      <c r="J128" s="70">
        <v>232.0</v>
      </c>
    </row>
    <row r="129">
      <c r="A129" s="39">
        <v>129.0</v>
      </c>
      <c r="B129" s="46" t="s">
        <v>596</v>
      </c>
      <c r="C129" s="48" t="s">
        <v>597</v>
      </c>
      <c r="D129" s="39">
        <f t="array" ref="D129:E129">VLOOKUP(B129,MASTER!$C279:$F$1048,{3,4},0)</f>
        <v>1040</v>
      </c>
      <c r="E129" s="39">
        <v>1240.0</v>
      </c>
      <c r="F129" s="50">
        <f t="shared" si="3"/>
        <v>0.1923076923</v>
      </c>
      <c r="G129" s="69"/>
      <c r="H129" s="70"/>
      <c r="I129" s="71">
        <f t="shared" si="2"/>
        <v>4.862745098</v>
      </c>
      <c r="J129" s="70">
        <v>255.0</v>
      </c>
    </row>
    <row r="130">
      <c r="A130" s="39">
        <v>130.0</v>
      </c>
      <c r="B130" s="46" t="s">
        <v>598</v>
      </c>
      <c r="C130" s="48" t="s">
        <v>599</v>
      </c>
      <c r="D130" s="39">
        <f t="array" ref="D130:E130">VLOOKUP(B130,MASTER!$C279:$F$1048,{3,4},0)</f>
        <v>620</v>
      </c>
      <c r="E130" s="39">
        <v>690.0</v>
      </c>
      <c r="F130" s="50">
        <f t="shared" si="3"/>
        <v>0.1129032258</v>
      </c>
      <c r="G130" s="69"/>
      <c r="H130" s="70"/>
      <c r="I130" s="71">
        <f t="shared" si="2"/>
        <v>2.292358804</v>
      </c>
      <c r="J130" s="70">
        <v>301.0</v>
      </c>
    </row>
    <row r="131">
      <c r="A131" s="39">
        <v>131.0</v>
      </c>
      <c r="B131" s="46" t="s">
        <v>600</v>
      </c>
      <c r="C131" s="48" t="s">
        <v>599</v>
      </c>
      <c r="D131" s="39">
        <f t="array" ref="D131:E131">VLOOKUP(B131,MASTER!$C279:$F$1048,{3,4},0)</f>
        <v>710</v>
      </c>
      <c r="E131" s="39">
        <v>690.0</v>
      </c>
      <c r="F131" s="50">
        <f t="shared" si="3"/>
        <v>-0.02816901408</v>
      </c>
      <c r="G131" s="69"/>
      <c r="H131" s="70"/>
      <c r="I131" s="71">
        <f t="shared" si="2"/>
        <v>1.982758621</v>
      </c>
      <c r="J131" s="70">
        <v>348.0</v>
      </c>
    </row>
    <row r="132">
      <c r="A132" s="39">
        <v>132.0</v>
      </c>
      <c r="B132" s="15" t="s">
        <v>601</v>
      </c>
      <c r="C132" s="18" t="s">
        <v>602</v>
      </c>
      <c r="D132" s="102">
        <f t="array" ref="D132:E132">VLOOKUP(B132,MASTER!$C279:$F$1048,{3,4},0)</f>
        <v>490</v>
      </c>
      <c r="E132" s="39">
        <v>540.0</v>
      </c>
      <c r="F132" s="50"/>
      <c r="G132" s="69"/>
      <c r="H132" s="25"/>
      <c r="I132" s="71">
        <f t="shared" si="2"/>
        <v>1.843003413</v>
      </c>
      <c r="J132" s="70">
        <v>293.0</v>
      </c>
    </row>
    <row r="133">
      <c r="A133" s="39">
        <v>133.0</v>
      </c>
      <c r="B133" s="15" t="s">
        <v>604</v>
      </c>
      <c r="C133" s="18" t="s">
        <v>602</v>
      </c>
      <c r="D133" s="102">
        <f t="array" ref="D133:E133">VLOOKUP(B133,MASTER!$C279:$F$1048,{3,4},0)</f>
        <v>490</v>
      </c>
      <c r="E133" s="39">
        <v>540.0</v>
      </c>
      <c r="F133" s="50"/>
      <c r="G133" s="69"/>
      <c r="H133" s="25"/>
      <c r="I133" s="71">
        <f t="shared" si="2"/>
        <v>2.634146341</v>
      </c>
      <c r="J133" s="70">
        <v>205.0</v>
      </c>
    </row>
    <row r="134">
      <c r="A134" s="39">
        <v>134.0</v>
      </c>
      <c r="B134" s="15" t="s">
        <v>605</v>
      </c>
      <c r="C134" s="18" t="s">
        <v>606</v>
      </c>
      <c r="D134" s="102">
        <f t="array" ref="D134:E134">VLOOKUP(B134,MASTER!$C279:$F$1048,{3,4},0)</f>
        <v>360</v>
      </c>
      <c r="E134" s="39">
        <v>390.0</v>
      </c>
      <c r="F134" s="50"/>
      <c r="G134" s="69"/>
      <c r="H134" s="25"/>
      <c r="I134" s="71">
        <f t="shared" si="2"/>
        <v>1.857142857</v>
      </c>
      <c r="J134" s="70">
        <v>210.0</v>
      </c>
    </row>
    <row r="135">
      <c r="A135" s="39">
        <v>135.0</v>
      </c>
      <c r="B135" s="15" t="s">
        <v>607</v>
      </c>
      <c r="C135" s="18" t="s">
        <v>606</v>
      </c>
      <c r="D135" s="102">
        <f t="array" ref="D135:E135">VLOOKUP(B135,MASTER!$C279:$F$1048,{3,4},0)</f>
        <v>360</v>
      </c>
      <c r="E135" s="39">
        <v>390.0</v>
      </c>
      <c r="F135" s="50"/>
      <c r="G135" s="69"/>
      <c r="H135" s="25"/>
      <c r="I135" s="71">
        <f t="shared" si="2"/>
        <v>3.277310924</v>
      </c>
      <c r="J135" s="70">
        <v>119.0</v>
      </c>
    </row>
    <row r="136">
      <c r="A136" s="39">
        <v>136.0</v>
      </c>
      <c r="B136" s="46" t="s">
        <v>608</v>
      </c>
      <c r="C136" s="48" t="s">
        <v>609</v>
      </c>
      <c r="D136" s="39">
        <f t="array" ref="D136:E136">VLOOKUP(B136,MASTER!$C279:$F$1048,{3,4},0)</f>
        <v>2580</v>
      </c>
      <c r="E136" s="39">
        <v>2980.0</v>
      </c>
      <c r="F136" s="50">
        <f t="shared" ref="F136:F139" si="4">(E136-D136)/D136</f>
        <v>0.1550387597</v>
      </c>
      <c r="G136" s="69"/>
      <c r="H136" s="70"/>
      <c r="I136" s="71">
        <f t="shared" si="2"/>
        <v>10.13605442</v>
      </c>
      <c r="J136" s="70">
        <v>294.0</v>
      </c>
    </row>
    <row r="137">
      <c r="A137" s="39">
        <v>137.0</v>
      </c>
      <c r="B137" s="46" t="s">
        <v>610</v>
      </c>
      <c r="C137" s="48" t="s">
        <v>611</v>
      </c>
      <c r="D137" s="39">
        <f t="array" ref="D137:E137">VLOOKUP(B137,MASTER!$C279:$F$1048,{3,4},0)</f>
        <v>2470</v>
      </c>
      <c r="E137" s="39">
        <v>2880.0</v>
      </c>
      <c r="F137" s="50">
        <f t="shared" si="4"/>
        <v>0.1659919028</v>
      </c>
      <c r="G137" s="69"/>
      <c r="H137" s="70"/>
      <c r="I137" s="71">
        <f t="shared" si="2"/>
        <v>10.32258065</v>
      </c>
      <c r="J137" s="103">
        <v>279.0</v>
      </c>
    </row>
    <row r="138">
      <c r="A138" s="39">
        <v>138.0</v>
      </c>
      <c r="B138" s="46" t="s">
        <v>612</v>
      </c>
      <c r="C138" s="48" t="s">
        <v>609</v>
      </c>
      <c r="D138" s="39">
        <f t="array" ref="D138:E138">VLOOKUP(B138,MASTER!$C279:$F$1048,{3,4},0)</f>
        <v>2150</v>
      </c>
      <c r="E138" s="39">
        <v>2440.0</v>
      </c>
      <c r="F138" s="50">
        <f t="shared" si="4"/>
        <v>0.1348837209</v>
      </c>
      <c r="G138" s="69"/>
      <c r="H138" s="70"/>
      <c r="I138" s="71">
        <f t="shared" si="2"/>
        <v>9.644268775</v>
      </c>
      <c r="J138" s="70">
        <v>253.0</v>
      </c>
    </row>
    <row r="139">
      <c r="A139" s="39">
        <v>139.0</v>
      </c>
      <c r="B139" s="46" t="s">
        <v>613</v>
      </c>
      <c r="C139" s="48" t="s">
        <v>611</v>
      </c>
      <c r="D139" s="39">
        <f t="array" ref="D139:E139">VLOOKUP(B139,MASTER!$C279:$F$1048,{3,4},0)</f>
        <v>2370</v>
      </c>
      <c r="E139" s="39">
        <v>2780.0</v>
      </c>
      <c r="F139" s="50">
        <f t="shared" si="4"/>
        <v>0.1729957806</v>
      </c>
      <c r="G139" s="69"/>
      <c r="H139" s="70"/>
      <c r="I139" s="71" t="str">
        <f t="shared" si="2"/>
        <v/>
      </c>
      <c r="J139" s="70"/>
    </row>
    <row r="140">
      <c r="A140" s="39">
        <v>140.0</v>
      </c>
      <c r="B140" s="15" t="s">
        <v>614</v>
      </c>
      <c r="C140" s="18" t="s">
        <v>615</v>
      </c>
      <c r="D140" s="102">
        <f t="array" ref="D140:E140">VLOOKUP(B140,MASTER!$C279:$F$1048,{3,4},0)</f>
        <v>1550</v>
      </c>
      <c r="E140" s="39">
        <v>1550.0</v>
      </c>
      <c r="F140" s="50"/>
      <c r="G140" s="69"/>
      <c r="H140" s="25"/>
      <c r="I140" s="71">
        <f t="shared" si="2"/>
        <v>20.39473684</v>
      </c>
      <c r="J140" s="70">
        <v>76.0</v>
      </c>
    </row>
    <row r="141">
      <c r="A141" s="39">
        <v>141.0</v>
      </c>
      <c r="B141" s="46" t="s">
        <v>617</v>
      </c>
      <c r="C141" s="48" t="s">
        <v>618</v>
      </c>
      <c r="D141" s="39">
        <f t="array" ref="D141:E141">VLOOKUP(B141,MASTER!$C279:$F$1048,{3,4},0)</f>
        <v>910</v>
      </c>
      <c r="E141" s="39">
        <v>910.0</v>
      </c>
      <c r="F141" s="50">
        <f t="shared" ref="F141:F143" si="5">(E141-D141)/D141</f>
        <v>0</v>
      </c>
      <c r="G141" s="69"/>
      <c r="H141" s="70"/>
      <c r="I141" s="71" t="str">
        <f t="shared" si="2"/>
        <v/>
      </c>
      <c r="J141" s="70"/>
    </row>
    <row r="142">
      <c r="A142" s="39">
        <v>142.0</v>
      </c>
      <c r="B142" s="46" t="s">
        <v>619</v>
      </c>
      <c r="C142" s="48" t="s">
        <v>620</v>
      </c>
      <c r="D142" s="39">
        <f t="array" ref="D142:E142">VLOOKUP(B142,MASTER!$C279:$F$1048,{3,4},0)</f>
        <v>910</v>
      </c>
      <c r="E142" s="39">
        <v>1080.0</v>
      </c>
      <c r="F142" s="50">
        <f t="shared" si="5"/>
        <v>0.1868131868</v>
      </c>
      <c r="G142" s="69"/>
      <c r="H142" s="70"/>
      <c r="I142" s="71">
        <f t="shared" si="2"/>
        <v>14.21052632</v>
      </c>
      <c r="J142" s="70">
        <v>76.0</v>
      </c>
    </row>
    <row r="143">
      <c r="A143" s="39">
        <v>143.0</v>
      </c>
      <c r="B143" s="46" t="s">
        <v>621</v>
      </c>
      <c r="C143" s="48" t="s">
        <v>622</v>
      </c>
      <c r="D143" s="39">
        <f t="array" ref="D143:E143">VLOOKUP(B143,MASTER!$C279:$F$1048,{3,4},0)</f>
        <v>3890</v>
      </c>
      <c r="E143" s="39">
        <v>3890.0</v>
      </c>
      <c r="F143" s="50">
        <f t="shared" si="5"/>
        <v>0</v>
      </c>
      <c r="G143" s="69"/>
      <c r="H143" s="71"/>
      <c r="I143" s="71">
        <f t="shared" si="2"/>
        <v>12.83828383</v>
      </c>
      <c r="J143" s="70">
        <v>303.0</v>
      </c>
    </row>
    <row r="144">
      <c r="A144" s="39">
        <v>144.0</v>
      </c>
      <c r="B144" s="15" t="s">
        <v>624</v>
      </c>
      <c r="C144" s="18" t="s">
        <v>625</v>
      </c>
      <c r="D144" s="102">
        <f t="array" ref="D144:E144">VLOOKUP(B144,MASTER!$C279:$F$1048,{3,4},0)</f>
        <v>3890</v>
      </c>
      <c r="E144" s="39">
        <v>3890.0</v>
      </c>
      <c r="F144" s="50"/>
      <c r="G144" s="69"/>
      <c r="H144" s="25"/>
      <c r="I144" s="71">
        <f t="shared" si="2"/>
        <v>10</v>
      </c>
      <c r="J144" s="70">
        <v>389.0</v>
      </c>
    </row>
    <row r="145">
      <c r="A145" s="39">
        <v>145.0</v>
      </c>
      <c r="B145" s="46" t="s">
        <v>626</v>
      </c>
      <c r="C145" s="48" t="s">
        <v>627</v>
      </c>
      <c r="D145" s="39">
        <f t="array" ref="D145:E145">VLOOKUP(B145,MASTER!$C279:$F$1048,{3,4},0)</f>
        <v>2390</v>
      </c>
      <c r="E145" s="39">
        <v>2390.0</v>
      </c>
      <c r="F145" s="50">
        <f>(E145-D145)/D145</f>
        <v>0</v>
      </c>
      <c r="G145" s="69"/>
      <c r="H145" s="70"/>
      <c r="I145" s="71">
        <f t="shared" si="2"/>
        <v>3.811802233</v>
      </c>
      <c r="J145" s="70">
        <v>627.0</v>
      </c>
    </row>
    <row r="146">
      <c r="A146" s="39">
        <v>146.0</v>
      </c>
      <c r="B146" s="15" t="s">
        <v>630</v>
      </c>
      <c r="C146" s="18" t="s">
        <v>631</v>
      </c>
      <c r="D146" s="102">
        <f t="array" ref="D146:E146">VLOOKUP(B146,MASTER!$C279:$F$1048,{3,4},0)</f>
        <v>3890</v>
      </c>
      <c r="E146" s="39">
        <v>3890.0</v>
      </c>
      <c r="F146" s="50"/>
      <c r="G146" s="69"/>
      <c r="H146" s="25"/>
      <c r="I146" s="71" t="str">
        <f t="shared" si="2"/>
        <v/>
      </c>
      <c r="J146" s="70"/>
    </row>
    <row r="147">
      <c r="A147" s="39">
        <v>147.0</v>
      </c>
      <c r="B147" s="46" t="s">
        <v>632</v>
      </c>
      <c r="C147" s="48" t="s">
        <v>633</v>
      </c>
      <c r="D147" s="39">
        <f t="array" ref="D147:E147">VLOOKUP(B147,MASTER!$C279:$F$1048,{3,4},0)</f>
        <v>2280</v>
      </c>
      <c r="E147" s="39">
        <v>2280.0</v>
      </c>
      <c r="F147" s="50">
        <f>(E147-D147)/D147</f>
        <v>0</v>
      </c>
      <c r="G147" s="69"/>
      <c r="H147" s="70"/>
      <c r="I147" s="71" t="str">
        <f t="shared" si="2"/>
        <v/>
      </c>
      <c r="J147" s="70"/>
    </row>
    <row r="148">
      <c r="A148" s="39">
        <v>148.0</v>
      </c>
      <c r="B148" s="15" t="s">
        <v>636</v>
      </c>
      <c r="C148" s="18" t="s">
        <v>637</v>
      </c>
      <c r="D148" s="102">
        <f t="array" ref="D148:E148">VLOOKUP(B148,MASTER!$C279:$F$1048,{3,4},0)</f>
        <v>4190</v>
      </c>
      <c r="E148" s="39">
        <v>4190.0</v>
      </c>
      <c r="F148" s="50"/>
      <c r="G148" s="69"/>
      <c r="H148" s="25"/>
      <c r="I148" s="71">
        <f t="shared" si="2"/>
        <v>15.01792115</v>
      </c>
      <c r="J148" s="70">
        <v>279.0</v>
      </c>
    </row>
    <row r="149">
      <c r="A149" s="39">
        <v>149.0</v>
      </c>
      <c r="B149" s="46" t="s">
        <v>638</v>
      </c>
      <c r="C149" s="48" t="s">
        <v>639</v>
      </c>
      <c r="D149" s="39">
        <f t="array" ref="D149:E149">VLOOKUP(B149,MASTER!$C279:$F$1048,{3,4},0)</f>
        <v>12200</v>
      </c>
      <c r="E149" s="39">
        <v>12200.0</v>
      </c>
      <c r="F149" s="50">
        <f t="shared" ref="F149:F271" si="6">(E149-D149)/D149</f>
        <v>0</v>
      </c>
      <c r="G149" s="69"/>
      <c r="H149" s="70"/>
      <c r="I149" s="71">
        <f t="shared" si="2"/>
        <v>46.5648855</v>
      </c>
      <c r="J149" s="70">
        <v>262.0</v>
      </c>
    </row>
    <row r="150">
      <c r="A150" s="39">
        <v>150.0</v>
      </c>
      <c r="B150" s="46" t="s">
        <v>641</v>
      </c>
      <c r="C150" s="48" t="s">
        <v>642</v>
      </c>
      <c r="D150" s="39">
        <f t="array" ref="D150:E150">VLOOKUP(B150,MASTER!$C279:$F$1048,{3,4},0)</f>
        <v>8990</v>
      </c>
      <c r="E150" s="39">
        <v>8990.0</v>
      </c>
      <c r="F150" s="50">
        <f t="shared" si="6"/>
        <v>0</v>
      </c>
      <c r="G150" s="69"/>
      <c r="H150" s="70"/>
      <c r="I150" s="71">
        <f t="shared" si="2"/>
        <v>63.75886525</v>
      </c>
      <c r="J150" s="70">
        <v>141.0</v>
      </c>
    </row>
    <row r="151">
      <c r="A151" s="39">
        <v>151.0</v>
      </c>
      <c r="B151" s="46" t="s">
        <v>644</v>
      </c>
      <c r="C151" s="48" t="s">
        <v>645</v>
      </c>
      <c r="D151" s="39">
        <f t="array" ref="D151:E151">VLOOKUP(B151,MASTER!$C279:$F$1048,{3,4},0)</f>
        <v>93980</v>
      </c>
      <c r="E151" s="39">
        <v>93980.0</v>
      </c>
      <c r="F151" s="50">
        <f t="shared" si="6"/>
        <v>0</v>
      </c>
      <c r="G151" s="69"/>
      <c r="H151" s="70"/>
      <c r="I151" s="71">
        <f t="shared" si="2"/>
        <v>666.5248227</v>
      </c>
      <c r="J151" s="70">
        <v>141.0</v>
      </c>
    </row>
    <row r="152">
      <c r="A152" s="39">
        <v>152.0</v>
      </c>
      <c r="B152" s="46" t="s">
        <v>648</v>
      </c>
      <c r="C152" s="48" t="s">
        <v>645</v>
      </c>
      <c r="D152" s="39">
        <f t="array" ref="D152:E152">VLOOKUP(B152,MASTER!$C279:$F$1048,{3,4},0)</f>
        <v>20790</v>
      </c>
      <c r="E152" s="39">
        <v>20790.0</v>
      </c>
      <c r="F152" s="50">
        <f t="shared" si="6"/>
        <v>0</v>
      </c>
      <c r="G152" s="69"/>
      <c r="H152" s="70"/>
      <c r="I152" s="71">
        <f t="shared" si="2"/>
        <v>131.5822785</v>
      </c>
      <c r="J152" s="70">
        <v>158.0</v>
      </c>
    </row>
    <row r="153">
      <c r="A153" s="39">
        <v>153.0</v>
      </c>
      <c r="B153" s="46" t="s">
        <v>649</v>
      </c>
      <c r="C153" s="48" t="s">
        <v>645</v>
      </c>
      <c r="D153" s="39">
        <f t="array" ref="D153:E153">VLOOKUP(B153,MASTER!$C279:$F$1048,{3,4},0)</f>
        <v>14590</v>
      </c>
      <c r="E153" s="39">
        <v>14590.0</v>
      </c>
      <c r="F153" s="50">
        <f t="shared" si="6"/>
        <v>0</v>
      </c>
      <c r="G153" s="69"/>
      <c r="H153" s="70"/>
      <c r="I153" s="71">
        <f t="shared" si="2"/>
        <v>103.4751773</v>
      </c>
      <c r="J153" s="70">
        <v>141.0</v>
      </c>
    </row>
    <row r="154">
      <c r="A154" s="39">
        <v>154.0</v>
      </c>
      <c r="B154" s="46" t="s">
        <v>652</v>
      </c>
      <c r="C154" s="48" t="s">
        <v>645</v>
      </c>
      <c r="D154" s="39">
        <f t="array" ref="D154:E154">VLOOKUP(B154,MASTER!$C279:$F$1048,{3,4},0)</f>
        <v>21950</v>
      </c>
      <c r="E154" s="39">
        <v>21950.0</v>
      </c>
      <c r="F154" s="50">
        <f t="shared" si="6"/>
        <v>0</v>
      </c>
      <c r="G154" s="69"/>
      <c r="H154" s="70"/>
      <c r="I154" s="71">
        <f t="shared" si="2"/>
        <v>233.5106383</v>
      </c>
      <c r="J154" s="70">
        <v>94.0</v>
      </c>
    </row>
    <row r="155">
      <c r="A155" s="39">
        <v>155.0</v>
      </c>
      <c r="B155" s="46" t="s">
        <v>653</v>
      </c>
      <c r="C155" s="48" t="s">
        <v>645</v>
      </c>
      <c r="D155" s="39">
        <f t="array" ref="D155:E155">VLOOKUP(B155,MASTER!$C279:$F$1048,{3,4},0)</f>
        <v>23730</v>
      </c>
      <c r="E155" s="39">
        <v>23730.0</v>
      </c>
      <c r="F155" s="50">
        <f t="shared" si="6"/>
        <v>0</v>
      </c>
      <c r="G155" s="69"/>
      <c r="H155" s="70"/>
      <c r="I155" s="71">
        <f t="shared" si="2"/>
        <v>244.6391753</v>
      </c>
      <c r="J155" s="70">
        <v>97.0</v>
      </c>
    </row>
    <row r="156">
      <c r="A156" s="39">
        <v>156.0</v>
      </c>
      <c r="B156" s="46" t="s">
        <v>655</v>
      </c>
      <c r="C156" s="48" t="s">
        <v>656</v>
      </c>
      <c r="D156" s="39">
        <f t="array" ref="D156:E156">VLOOKUP(B156,MASTER!$C279:$F$1048,{3,4},0)</f>
        <v>3940</v>
      </c>
      <c r="E156" s="39">
        <v>3940.0</v>
      </c>
      <c r="F156" s="50">
        <f t="shared" si="6"/>
        <v>0</v>
      </c>
      <c r="G156" s="69"/>
      <c r="H156" s="70"/>
      <c r="I156" s="71">
        <f t="shared" si="2"/>
        <v>40.6185567</v>
      </c>
      <c r="J156" s="70">
        <v>97.0</v>
      </c>
    </row>
    <row r="157">
      <c r="A157" s="39">
        <v>157.0</v>
      </c>
      <c r="B157" s="46" t="s">
        <v>658</v>
      </c>
      <c r="C157" s="48" t="s">
        <v>659</v>
      </c>
      <c r="D157" s="39">
        <f t="array" ref="D157:E157">VLOOKUP(B157,MASTER!$C279:$F$1048,{3,4},0)</f>
        <v>3940</v>
      </c>
      <c r="E157" s="39">
        <v>3940.0</v>
      </c>
      <c r="F157" s="50">
        <f t="shared" si="6"/>
        <v>0</v>
      </c>
      <c r="G157" s="69"/>
      <c r="H157" s="70"/>
      <c r="I157" s="71" t="str">
        <f t="shared" si="2"/>
        <v/>
      </c>
      <c r="J157" s="70"/>
    </row>
    <row r="158">
      <c r="A158" s="39">
        <v>158.0</v>
      </c>
      <c r="B158" s="46" t="s">
        <v>660</v>
      </c>
      <c r="C158" s="48" t="s">
        <v>661</v>
      </c>
      <c r="D158" s="39">
        <f t="array" ref="D158:E158">VLOOKUP(B158,MASTER!$C279:$F$1048,{3,4},0)</f>
        <v>12990</v>
      </c>
      <c r="E158" s="39">
        <v>12990.0</v>
      </c>
      <c r="F158" s="50">
        <f t="shared" si="6"/>
        <v>0</v>
      </c>
      <c r="G158" s="69"/>
      <c r="H158" s="70"/>
      <c r="I158" s="71" t="str">
        <f t="shared" si="2"/>
        <v/>
      </c>
      <c r="J158" s="70"/>
    </row>
    <row r="159">
      <c r="A159" s="39">
        <v>159.0</v>
      </c>
      <c r="B159" s="46" t="s">
        <v>666</v>
      </c>
      <c r="C159" s="48" t="s">
        <v>661</v>
      </c>
      <c r="D159" s="39">
        <f t="array" ref="D159:E159">VLOOKUP(B159,MASTER!$C279:$F$1048,{3,4},0)</f>
        <v>12540</v>
      </c>
      <c r="E159" s="39">
        <v>12540.000000000002</v>
      </c>
      <c r="F159" s="50">
        <f t="shared" si="6"/>
        <v>0</v>
      </c>
      <c r="G159" s="69"/>
      <c r="H159" s="70"/>
      <c r="I159" s="71" t="str">
        <f t="shared" si="2"/>
        <v/>
      </c>
      <c r="J159" s="70"/>
    </row>
    <row r="160">
      <c r="A160" s="39">
        <v>160.0</v>
      </c>
      <c r="B160" s="46" t="s">
        <v>668</v>
      </c>
      <c r="C160" s="48" t="s">
        <v>670</v>
      </c>
      <c r="D160" s="39">
        <f t="array" ref="D160:E160">VLOOKUP(B160,MASTER!$C279:$F$1048,{3,4},0)</f>
        <v>10490</v>
      </c>
      <c r="E160" s="39">
        <v>10490.0</v>
      </c>
      <c r="F160" s="50">
        <f t="shared" si="6"/>
        <v>0</v>
      </c>
      <c r="G160" s="69"/>
      <c r="H160" s="70"/>
      <c r="I160" s="71" t="str">
        <f t="shared" si="2"/>
        <v/>
      </c>
      <c r="J160" s="70"/>
    </row>
    <row r="161">
      <c r="A161" s="115">
        <v>161.0</v>
      </c>
      <c r="B161" s="15" t="s">
        <v>714</v>
      </c>
      <c r="C161" s="48" t="s">
        <v>715</v>
      </c>
      <c r="D161" s="39">
        <f t="array" ref="D161:E161">VLOOKUP(B161,MASTER!$C279:$F$1048,{3,4},0)</f>
        <v>1290</v>
      </c>
      <c r="E161" s="39">
        <v>1440.0</v>
      </c>
      <c r="F161" s="50">
        <f t="shared" si="6"/>
        <v>0.1162790698</v>
      </c>
      <c r="G161" s="7"/>
      <c r="H161" s="70"/>
      <c r="I161" s="71" t="str">
        <f t="shared" si="2"/>
        <v/>
      </c>
      <c r="J161" s="70"/>
    </row>
    <row r="162">
      <c r="A162" s="115">
        <v>162.0</v>
      </c>
      <c r="B162" s="15" t="s">
        <v>717</v>
      </c>
      <c r="C162" s="48" t="s">
        <v>718</v>
      </c>
      <c r="D162" s="39">
        <f t="array" ref="D162:E162">VLOOKUP(B162,MASTER!$C279:$F$1048,{3,4},0)</f>
        <v>1390</v>
      </c>
      <c r="E162" s="39">
        <v>1680.0</v>
      </c>
      <c r="F162" s="50">
        <f t="shared" si="6"/>
        <v>0.2086330935</v>
      </c>
      <c r="G162" s="7"/>
      <c r="H162" s="70"/>
      <c r="I162" s="71" t="str">
        <f t="shared" si="2"/>
        <v/>
      </c>
      <c r="J162" s="70"/>
    </row>
    <row r="163">
      <c r="A163" s="115">
        <v>163.0</v>
      </c>
      <c r="B163" s="15" t="s">
        <v>719</v>
      </c>
      <c r="C163" s="48" t="s">
        <v>720</v>
      </c>
      <c r="D163" s="39">
        <f t="array" ref="D163:E163">VLOOKUP(B163,MASTER!$C279:$F$1048,{3,4},0)</f>
        <v>5490</v>
      </c>
      <c r="E163" s="39">
        <v>5880.0</v>
      </c>
      <c r="F163" s="50">
        <f t="shared" si="6"/>
        <v>0.07103825137</v>
      </c>
      <c r="G163" s="7"/>
      <c r="H163" s="70"/>
      <c r="I163" s="71">
        <f t="shared" si="2"/>
        <v>106.9090909</v>
      </c>
      <c r="J163" s="70">
        <v>55.0</v>
      </c>
    </row>
    <row r="164">
      <c r="A164" s="115">
        <v>164.0</v>
      </c>
      <c r="B164" s="46" t="s">
        <v>721</v>
      </c>
      <c r="C164" s="48" t="s">
        <v>722</v>
      </c>
      <c r="D164" s="39">
        <f t="array" ref="D164:E164">VLOOKUP(B164,MASTER!$C279:$F$1048,{3,4},0)</f>
        <v>1860</v>
      </c>
      <c r="E164" s="39">
        <v>1860.0</v>
      </c>
      <c r="F164" s="50">
        <f t="shared" si="6"/>
        <v>0</v>
      </c>
      <c r="G164" s="7"/>
      <c r="H164" s="70"/>
      <c r="I164" s="71" t="str">
        <f t="shared" si="2"/>
        <v/>
      </c>
      <c r="J164" s="70"/>
    </row>
    <row r="165">
      <c r="A165" s="39">
        <v>165.0</v>
      </c>
      <c r="B165" s="46" t="s">
        <v>724</v>
      </c>
      <c r="C165" s="48" t="s">
        <v>725</v>
      </c>
      <c r="D165" s="39">
        <f t="array" ref="D165:E165">VLOOKUP(B165,MASTER!$C279:$F$1048,{3,4},0)</f>
        <v>2080</v>
      </c>
      <c r="E165" s="39">
        <v>2080.0</v>
      </c>
      <c r="F165" s="50">
        <f t="shared" si="6"/>
        <v>0</v>
      </c>
      <c r="G165" s="69"/>
      <c r="H165" s="70"/>
      <c r="I165" s="71">
        <f t="shared" si="2"/>
        <v>32</v>
      </c>
      <c r="J165" s="70">
        <v>65.0</v>
      </c>
    </row>
    <row r="166">
      <c r="A166" s="39">
        <v>165.0</v>
      </c>
      <c r="B166" s="46" t="s">
        <v>726</v>
      </c>
      <c r="C166" s="48" t="s">
        <v>727</v>
      </c>
      <c r="D166" s="39">
        <f t="array" ref="D166:E166">VLOOKUP(B166,MASTER!$C279:$F$1048,{3,4},0)</f>
        <v>176</v>
      </c>
      <c r="E166" s="39">
        <v>220.0</v>
      </c>
      <c r="F166" s="50">
        <f t="shared" si="6"/>
        <v>0.25</v>
      </c>
      <c r="G166" s="69"/>
      <c r="H166" s="70"/>
      <c r="I166" s="71">
        <f t="shared" si="2"/>
        <v>3.142857143</v>
      </c>
      <c r="J166" s="70">
        <v>70.0</v>
      </c>
    </row>
    <row r="167">
      <c r="A167" s="39">
        <v>166.0</v>
      </c>
      <c r="B167" s="46" t="s">
        <v>728</v>
      </c>
      <c r="C167" s="48" t="s">
        <v>729</v>
      </c>
      <c r="D167" s="39">
        <f t="array" ref="D167:E167">VLOOKUP(B167,MASTER!$C279:$F$1048,{3,4},0)</f>
        <v>108</v>
      </c>
      <c r="E167" s="39">
        <v>128.0</v>
      </c>
      <c r="F167" s="50">
        <f t="shared" si="6"/>
        <v>0.1851851852</v>
      </c>
      <c r="G167" s="69"/>
      <c r="H167" s="70"/>
      <c r="I167" s="71">
        <f t="shared" si="2"/>
        <v>1.684210526</v>
      </c>
      <c r="J167" s="70">
        <v>76.0</v>
      </c>
    </row>
    <row r="168">
      <c r="A168" s="39">
        <v>167.0</v>
      </c>
      <c r="B168" s="46" t="s">
        <v>730</v>
      </c>
      <c r="C168" s="48" t="s">
        <v>731</v>
      </c>
      <c r="D168" s="39">
        <f t="array" ref="D168:E168">VLOOKUP(B168,MASTER!$C279:$F$1048,{3,4},0)</f>
        <v>166</v>
      </c>
      <c r="E168" s="39">
        <v>188.0</v>
      </c>
      <c r="F168" s="50">
        <f t="shared" si="6"/>
        <v>0.1325301205</v>
      </c>
      <c r="G168" s="69"/>
      <c r="H168" s="70"/>
      <c r="I168" s="71">
        <f t="shared" si="2"/>
        <v>2.238095238</v>
      </c>
      <c r="J168" s="70">
        <v>84.0</v>
      </c>
    </row>
    <row r="169">
      <c r="A169" s="39">
        <v>168.0</v>
      </c>
      <c r="B169" s="46" t="s">
        <v>732</v>
      </c>
      <c r="C169" s="48" t="s">
        <v>733</v>
      </c>
      <c r="D169" s="39">
        <f t="array" ref="D169:E169">VLOOKUP(B169,MASTER!$C279:$F$1048,{3,4},0)</f>
        <v>218</v>
      </c>
      <c r="E169" s="39">
        <v>248.0</v>
      </c>
      <c r="F169" s="50">
        <f t="shared" si="6"/>
        <v>0.1376146789</v>
      </c>
      <c r="G169" s="69"/>
      <c r="H169" s="70"/>
      <c r="I169" s="71" t="str">
        <f t="shared" si="2"/>
        <v/>
      </c>
      <c r="J169" s="70"/>
    </row>
    <row r="170">
      <c r="A170" s="39">
        <v>169.0</v>
      </c>
      <c r="B170" s="46" t="s">
        <v>734</v>
      </c>
      <c r="C170" s="48" t="s">
        <v>735</v>
      </c>
      <c r="D170" s="39">
        <f t="array" ref="D170:E170">VLOOKUP(B170,MASTER!$C279:$F$1048,{3,4},0)</f>
        <v>268</v>
      </c>
      <c r="E170" s="39">
        <v>314.0</v>
      </c>
      <c r="F170" s="50">
        <f t="shared" si="6"/>
        <v>0.171641791</v>
      </c>
      <c r="G170" s="69"/>
      <c r="H170" s="70"/>
      <c r="I170" s="71" t="str">
        <f t="shared" si="2"/>
        <v/>
      </c>
      <c r="J170" s="70"/>
    </row>
    <row r="171">
      <c r="A171" s="39">
        <v>170.0</v>
      </c>
      <c r="B171" s="46" t="s">
        <v>736</v>
      </c>
      <c r="C171" s="48" t="s">
        <v>737</v>
      </c>
      <c r="D171" s="39">
        <f t="array" ref="D171:E171">VLOOKUP(B171,MASTER!$C279:$F$1048,{3,4},0)</f>
        <v>332</v>
      </c>
      <c r="E171" s="39">
        <v>378.0</v>
      </c>
      <c r="F171" s="50">
        <f t="shared" si="6"/>
        <v>0.1385542169</v>
      </c>
      <c r="G171" s="69"/>
      <c r="H171" s="70"/>
      <c r="I171" s="71" t="str">
        <f t="shared" si="2"/>
        <v/>
      </c>
      <c r="J171" s="70"/>
    </row>
    <row r="172">
      <c r="A172" s="39">
        <v>171.0</v>
      </c>
      <c r="B172" s="46" t="s">
        <v>739</v>
      </c>
      <c r="C172" s="48" t="s">
        <v>740</v>
      </c>
      <c r="D172" s="39">
        <f t="array" ref="D172:E172">VLOOKUP(B172,MASTER!$C279:$F$1048,{3,4},0)</f>
        <v>252</v>
      </c>
      <c r="E172" s="39">
        <v>252.0</v>
      </c>
      <c r="F172" s="50">
        <f t="shared" si="6"/>
        <v>0</v>
      </c>
      <c r="G172" s="69"/>
      <c r="H172" s="70"/>
      <c r="I172" s="71" t="str">
        <f t="shared" si="2"/>
        <v/>
      </c>
      <c r="J172" s="70"/>
    </row>
    <row r="173">
      <c r="A173" s="39">
        <v>172.0</v>
      </c>
      <c r="B173" s="46" t="s">
        <v>741</v>
      </c>
      <c r="C173" s="48" t="s">
        <v>742</v>
      </c>
      <c r="D173" s="39">
        <f t="array" ref="D173:E173">VLOOKUP(B173,MASTER!$C279:$F$1048,{3,4},0)</f>
        <v>504</v>
      </c>
      <c r="E173" s="39">
        <v>504.0</v>
      </c>
      <c r="F173" s="50">
        <f t="shared" si="6"/>
        <v>0</v>
      </c>
      <c r="G173" s="69"/>
      <c r="H173" s="70"/>
      <c r="I173" s="71" t="str">
        <f t="shared" si="2"/>
        <v/>
      </c>
      <c r="J173" s="70"/>
    </row>
    <row r="174">
      <c r="A174" s="39">
        <v>173.0</v>
      </c>
      <c r="B174" s="46" t="s">
        <v>744</v>
      </c>
      <c r="C174" s="48" t="s">
        <v>745</v>
      </c>
      <c r="D174" s="39">
        <f t="array" ref="D174:E174">VLOOKUP(B174,MASTER!$C279:$F$1048,{3,4},0)</f>
        <v>234</v>
      </c>
      <c r="E174" s="39">
        <v>248.0</v>
      </c>
      <c r="F174" s="50">
        <f t="shared" si="6"/>
        <v>0.05982905983</v>
      </c>
      <c r="G174" s="69"/>
      <c r="H174" s="70"/>
      <c r="I174" s="71">
        <f t="shared" si="2"/>
        <v>0.4058919804</v>
      </c>
      <c r="J174" s="70">
        <v>611.0</v>
      </c>
    </row>
    <row r="175">
      <c r="A175" s="39">
        <v>174.0</v>
      </c>
      <c r="B175" s="46" t="s">
        <v>746</v>
      </c>
      <c r="C175" s="48" t="s">
        <v>747</v>
      </c>
      <c r="D175" s="39">
        <f t="array" ref="D175:E175">VLOOKUP(B175,MASTER!$C279:$F$1048,{3,4},0)</f>
        <v>252</v>
      </c>
      <c r="E175" s="39">
        <v>272.0</v>
      </c>
      <c r="F175" s="50">
        <f t="shared" si="6"/>
        <v>0.07936507937</v>
      </c>
      <c r="G175" s="69"/>
      <c r="H175" s="70"/>
      <c r="I175" s="71">
        <f t="shared" si="2"/>
        <v>1.083665339</v>
      </c>
      <c r="J175" s="70">
        <v>251.0</v>
      </c>
    </row>
    <row r="176">
      <c r="A176" s="39">
        <v>175.0</v>
      </c>
      <c r="B176" s="46" t="s">
        <v>750</v>
      </c>
      <c r="C176" s="48" t="s">
        <v>751</v>
      </c>
      <c r="D176" s="39">
        <f t="array" ref="D176:E176">VLOOKUP(B176,MASTER!$C279:$F$1048,{3,4},0)</f>
        <v>273.6</v>
      </c>
      <c r="E176" s="39">
        <v>294.0</v>
      </c>
      <c r="F176" s="50">
        <f t="shared" si="6"/>
        <v>0.07456140351</v>
      </c>
      <c r="G176" s="69"/>
      <c r="H176" s="70"/>
      <c r="I176" s="71">
        <f t="shared" si="2"/>
        <v>18.375</v>
      </c>
      <c r="J176" s="70">
        <v>16.0</v>
      </c>
    </row>
    <row r="177">
      <c r="A177" s="39">
        <v>176.0</v>
      </c>
      <c r="B177" s="46" t="s">
        <v>753</v>
      </c>
      <c r="C177" s="48" t="s">
        <v>754</v>
      </c>
      <c r="D177" s="39">
        <f t="array" ref="D177:E177">VLOOKUP(B177,MASTER!$C279:$F$1048,{3,4},0)</f>
        <v>302.4</v>
      </c>
      <c r="E177" s="39">
        <v>324.0</v>
      </c>
      <c r="F177" s="50">
        <f t="shared" si="6"/>
        <v>0.07142857143</v>
      </c>
      <c r="G177" s="69"/>
      <c r="H177" s="70"/>
      <c r="I177" s="71">
        <f t="shared" si="2"/>
        <v>19.05882353</v>
      </c>
      <c r="J177" s="70">
        <v>17.0</v>
      </c>
    </row>
    <row r="178">
      <c r="A178" s="39">
        <v>177.0</v>
      </c>
      <c r="B178" s="46" t="s">
        <v>756</v>
      </c>
      <c r="C178" s="48" t="s">
        <v>757</v>
      </c>
      <c r="D178" s="39">
        <f t="array" ref="D178:E178">VLOOKUP(B178,MASTER!$C279:$F$1048,{3,4},0)</f>
        <v>650</v>
      </c>
      <c r="E178" s="39">
        <v>650.0</v>
      </c>
      <c r="F178" s="50">
        <f t="shared" si="6"/>
        <v>0</v>
      </c>
      <c r="G178" s="69"/>
      <c r="H178" s="70"/>
      <c r="I178" s="71">
        <f t="shared" si="2"/>
        <v>3.201970443</v>
      </c>
      <c r="J178" s="70">
        <v>203.0</v>
      </c>
    </row>
    <row r="179">
      <c r="A179" s="39">
        <v>178.0</v>
      </c>
      <c r="B179" s="46" t="s">
        <v>759</v>
      </c>
      <c r="C179" s="48" t="s">
        <v>760</v>
      </c>
      <c r="D179" s="39">
        <f t="array" ref="D179:E179">VLOOKUP(B179,MASTER!$C279:$F$1048,{3,4},0)</f>
        <v>650</v>
      </c>
      <c r="E179" s="39">
        <v>650.0</v>
      </c>
      <c r="F179" s="50">
        <f t="shared" si="6"/>
        <v>0</v>
      </c>
      <c r="G179" s="69"/>
      <c r="H179" s="70"/>
      <c r="I179" s="71">
        <f t="shared" si="2"/>
        <v>7.647058824</v>
      </c>
      <c r="J179" s="70">
        <v>85.0</v>
      </c>
    </row>
    <row r="180">
      <c r="A180" s="39">
        <v>179.0</v>
      </c>
      <c r="B180" s="46" t="s">
        <v>762</v>
      </c>
      <c r="C180" s="48" t="s">
        <v>763</v>
      </c>
      <c r="D180" s="39">
        <f t="array" ref="D180:E180">VLOOKUP(B180,MASTER!$C279:$F$1048,{3,4},0)</f>
        <v>1490</v>
      </c>
      <c r="E180" s="39">
        <v>1490.0</v>
      </c>
      <c r="F180" s="50">
        <f t="shared" si="6"/>
        <v>0</v>
      </c>
      <c r="G180" s="69"/>
      <c r="H180" s="69"/>
      <c r="I180" s="71" t="str">
        <f t="shared" si="2"/>
        <v/>
      </c>
      <c r="J180" s="70"/>
    </row>
    <row r="181">
      <c r="A181" s="39">
        <v>180.0</v>
      </c>
      <c r="B181" s="46" t="s">
        <v>764</v>
      </c>
      <c r="C181" s="48" t="s">
        <v>765</v>
      </c>
      <c r="D181" s="39">
        <f t="array" ref="D181:E181">VLOOKUP(B181,MASTER!$C279:$F$1048,{3,4},0)</f>
        <v>2880</v>
      </c>
      <c r="E181" s="39">
        <v>2880.0</v>
      </c>
      <c r="F181" s="50">
        <f t="shared" si="6"/>
        <v>0</v>
      </c>
      <c r="G181" s="69"/>
      <c r="H181" s="70"/>
      <c r="I181" s="71" t="str">
        <f t="shared" si="2"/>
        <v/>
      </c>
      <c r="J181" s="70"/>
    </row>
    <row r="182">
      <c r="A182" s="39">
        <v>181.0</v>
      </c>
      <c r="B182" s="46" t="s">
        <v>767</v>
      </c>
      <c r="C182" s="48" t="s">
        <v>769</v>
      </c>
      <c r="D182" s="39">
        <f t="array" ref="D182:E182">VLOOKUP(B182,MASTER!$C279:$F$1048,{3,4},0)</f>
        <v>2880</v>
      </c>
      <c r="E182" s="39">
        <v>2880.0</v>
      </c>
      <c r="F182" s="50">
        <f t="shared" si="6"/>
        <v>0</v>
      </c>
      <c r="G182" s="69"/>
      <c r="H182" s="70"/>
      <c r="I182" s="71" t="str">
        <f t="shared" si="2"/>
        <v/>
      </c>
      <c r="J182" s="70"/>
    </row>
    <row r="183">
      <c r="A183" s="39">
        <v>182.0</v>
      </c>
      <c r="B183" s="46" t="s">
        <v>772</v>
      </c>
      <c r="C183" s="48" t="s">
        <v>773</v>
      </c>
      <c r="D183" s="39">
        <f t="array" ref="D183:E183">VLOOKUP(B183,MASTER!$C279:$F$1048,{3,4},0)</f>
        <v>2880</v>
      </c>
      <c r="E183" s="39">
        <v>2880.0</v>
      </c>
      <c r="F183" s="50">
        <f t="shared" si="6"/>
        <v>0</v>
      </c>
      <c r="G183" s="69"/>
      <c r="H183" s="70"/>
      <c r="I183" s="71" t="str">
        <f t="shared" si="2"/>
        <v/>
      </c>
      <c r="J183" s="70"/>
    </row>
    <row r="184">
      <c r="A184" s="39">
        <v>183.0</v>
      </c>
      <c r="B184" s="46" t="s">
        <v>774</v>
      </c>
      <c r="C184" s="48" t="s">
        <v>775</v>
      </c>
      <c r="D184" s="39">
        <f t="array" ref="D184:E184">VLOOKUP(B184,MASTER!$C279:$F$1048,{3,4},0)</f>
        <v>1740</v>
      </c>
      <c r="E184" s="39">
        <v>1740.0</v>
      </c>
      <c r="F184" s="50">
        <f t="shared" si="6"/>
        <v>0</v>
      </c>
      <c r="G184" s="69"/>
      <c r="H184" s="70"/>
      <c r="I184" s="71" t="str">
        <f t="shared" si="2"/>
        <v/>
      </c>
      <c r="J184" s="70"/>
    </row>
    <row r="185">
      <c r="A185" s="39">
        <v>184.0</v>
      </c>
      <c r="B185" s="46" t="s">
        <v>778</v>
      </c>
      <c r="C185" s="48" t="s">
        <v>779</v>
      </c>
      <c r="D185" s="39">
        <f t="array" ref="D185:E185">VLOOKUP(B185,MASTER!$C279:$F$1048,{3,4},0)</f>
        <v>3440</v>
      </c>
      <c r="E185" s="39">
        <v>3440.0</v>
      </c>
      <c r="F185" s="50">
        <f t="shared" si="6"/>
        <v>0</v>
      </c>
      <c r="G185" s="69"/>
      <c r="H185" s="70"/>
      <c r="I185" s="71" t="str">
        <f t="shared" si="2"/>
        <v/>
      </c>
      <c r="J185" s="70"/>
    </row>
    <row r="186" ht="15.0" customHeight="1">
      <c r="A186" s="39">
        <v>185.0</v>
      </c>
      <c r="B186" s="46" t="s">
        <v>780</v>
      </c>
      <c r="C186" s="48" t="s">
        <v>781</v>
      </c>
      <c r="D186" s="39">
        <f t="array" ref="D186:E186">VLOOKUP(B186,MASTER!$C279:$F$1048,{3,4},0)</f>
        <v>3440</v>
      </c>
      <c r="E186" s="39">
        <v>3440.0</v>
      </c>
      <c r="F186" s="50">
        <f t="shared" si="6"/>
        <v>0</v>
      </c>
      <c r="G186" s="69"/>
      <c r="H186" s="70"/>
      <c r="I186" s="71" t="str">
        <f t="shared" si="2"/>
        <v/>
      </c>
      <c r="J186" s="70"/>
    </row>
    <row r="187">
      <c r="A187" s="39">
        <v>186.0</v>
      </c>
      <c r="B187" s="46" t="s">
        <v>783</v>
      </c>
      <c r="C187" s="48" t="s">
        <v>784</v>
      </c>
      <c r="D187" s="39">
        <f t="array" ref="D187:E187">VLOOKUP(B187,MASTER!$C279:$F$1048,{3,4},0)</f>
        <v>3440</v>
      </c>
      <c r="E187" s="39">
        <v>3440.0</v>
      </c>
      <c r="F187" s="50">
        <f t="shared" si="6"/>
        <v>0</v>
      </c>
      <c r="G187" s="69"/>
      <c r="H187" s="70"/>
      <c r="I187" s="71">
        <f t="shared" si="2"/>
        <v>8.514851485</v>
      </c>
      <c r="J187" s="70">
        <v>404.0</v>
      </c>
    </row>
    <row r="188">
      <c r="A188" s="39">
        <v>187.0</v>
      </c>
      <c r="B188" s="46" t="s">
        <v>785</v>
      </c>
      <c r="C188" s="48" t="s">
        <v>786</v>
      </c>
      <c r="D188" s="39">
        <f t="array" ref="D188:E188">VLOOKUP(B188,MASTER!$C279:$F$1048,{3,4},0)</f>
        <v>780</v>
      </c>
      <c r="E188" s="39">
        <v>840.0</v>
      </c>
      <c r="F188" s="50">
        <f t="shared" si="6"/>
        <v>0.07692307692</v>
      </c>
      <c r="G188" s="69"/>
      <c r="H188" s="70"/>
      <c r="I188" s="71">
        <f t="shared" si="2"/>
        <v>1.981132075</v>
      </c>
      <c r="J188" s="70">
        <v>424.0</v>
      </c>
    </row>
    <row r="189">
      <c r="A189" s="39">
        <v>188.0</v>
      </c>
      <c r="B189" s="46" t="s">
        <v>788</v>
      </c>
      <c r="C189" s="48" t="s">
        <v>789</v>
      </c>
      <c r="D189" s="39">
        <f t="array" ref="D189:E189">VLOOKUP(B189,MASTER!$C279:$F$1048,{3,4},0)</f>
        <v>1990</v>
      </c>
      <c r="E189" s="39">
        <v>2340.0</v>
      </c>
      <c r="F189" s="50">
        <f t="shared" si="6"/>
        <v>0.175879397</v>
      </c>
      <c r="G189" s="69"/>
      <c r="H189" s="70"/>
      <c r="I189" s="71">
        <f t="shared" si="2"/>
        <v>5.391705069</v>
      </c>
      <c r="J189" s="70">
        <v>434.0</v>
      </c>
    </row>
    <row r="190">
      <c r="A190" s="39">
        <v>189.0</v>
      </c>
      <c r="B190" s="46" t="s">
        <v>790</v>
      </c>
      <c r="C190" s="48" t="s">
        <v>789</v>
      </c>
      <c r="D190" s="39">
        <f t="array" ref="D190:E190">VLOOKUP(B190,MASTER!$C279:$F$1048,{3,4},0)</f>
        <v>1760</v>
      </c>
      <c r="E190" s="39">
        <v>1890.0</v>
      </c>
      <c r="F190" s="50">
        <f t="shared" si="6"/>
        <v>0.07386363636</v>
      </c>
      <c r="G190" s="69"/>
      <c r="H190" s="70"/>
      <c r="I190" s="71">
        <f t="shared" si="2"/>
        <v>4.678217822</v>
      </c>
      <c r="J190" s="70">
        <v>404.0</v>
      </c>
    </row>
    <row r="191">
      <c r="A191" s="39">
        <v>190.0</v>
      </c>
      <c r="B191" s="46" t="s">
        <v>791</v>
      </c>
      <c r="C191" s="48" t="s">
        <v>786</v>
      </c>
      <c r="D191" s="39">
        <f t="array" ref="D191:E191">VLOOKUP(B191,MASTER!$C279:$F$1048,{3,4},0)</f>
        <v>990</v>
      </c>
      <c r="E191" s="39">
        <v>990.0</v>
      </c>
      <c r="F191" s="50">
        <f t="shared" si="6"/>
        <v>0</v>
      </c>
      <c r="G191" s="69"/>
      <c r="H191" s="70"/>
      <c r="I191" s="71">
        <f t="shared" si="2"/>
        <v>4.057377049</v>
      </c>
      <c r="J191" s="70">
        <v>244.0</v>
      </c>
    </row>
    <row r="192">
      <c r="A192" s="39">
        <v>191.0</v>
      </c>
      <c r="B192" s="46" t="s">
        <v>793</v>
      </c>
      <c r="C192" s="48" t="s">
        <v>786</v>
      </c>
      <c r="D192" s="39">
        <f t="array" ref="D192:E192">VLOOKUP(B192,MASTER!$C279:$F$1048,{3,4},0)</f>
        <v>940</v>
      </c>
      <c r="E192" s="39">
        <v>940.0</v>
      </c>
      <c r="F192" s="50">
        <f t="shared" si="6"/>
        <v>0</v>
      </c>
      <c r="G192" s="69"/>
      <c r="H192" s="70"/>
      <c r="I192" s="71">
        <f t="shared" si="2"/>
        <v>3.393501805</v>
      </c>
      <c r="J192" s="70">
        <v>277.0</v>
      </c>
    </row>
    <row r="193">
      <c r="A193" s="39">
        <v>192.0</v>
      </c>
      <c r="B193" s="46" t="s">
        <v>794</v>
      </c>
      <c r="C193" s="48" t="s">
        <v>786</v>
      </c>
      <c r="D193" s="39">
        <f t="array" ref="D193:E193">VLOOKUP(B193,MASTER!$C279:$F$1048,{3,4},0)</f>
        <v>940</v>
      </c>
      <c r="E193" s="39">
        <v>940.0</v>
      </c>
      <c r="F193" s="50">
        <f t="shared" si="6"/>
        <v>0</v>
      </c>
      <c r="G193" s="69"/>
      <c r="H193" s="70"/>
      <c r="I193" s="71">
        <f t="shared" si="2"/>
        <v>3.73015873</v>
      </c>
      <c r="J193" s="70">
        <v>252.0</v>
      </c>
    </row>
    <row r="194">
      <c r="A194" s="39">
        <v>193.0</v>
      </c>
      <c r="B194" s="46" t="s">
        <v>795</v>
      </c>
      <c r="C194" s="48" t="s">
        <v>796</v>
      </c>
      <c r="D194" s="39">
        <f t="array" ref="D194:E194">VLOOKUP(B194,MASTER!$C279:$F$1048,{3,4},0)</f>
        <v>990</v>
      </c>
      <c r="E194" s="39">
        <v>990.0</v>
      </c>
      <c r="F194" s="50">
        <f t="shared" si="6"/>
        <v>0</v>
      </c>
      <c r="G194" s="69"/>
      <c r="H194" s="70"/>
      <c r="I194" s="71">
        <f t="shared" si="2"/>
        <v>3.928571429</v>
      </c>
      <c r="J194" s="70">
        <v>252.0</v>
      </c>
    </row>
    <row r="195">
      <c r="A195" s="39">
        <v>194.0</v>
      </c>
      <c r="B195" s="46" t="s">
        <v>797</v>
      </c>
      <c r="C195" s="48" t="s">
        <v>789</v>
      </c>
      <c r="D195" s="39">
        <f t="array" ref="D195:E195">VLOOKUP(B195,MASTER!$C279:$F$1048,{3,4},0)</f>
        <v>1090</v>
      </c>
      <c r="E195" s="39">
        <v>1490.0</v>
      </c>
      <c r="F195" s="50">
        <f t="shared" si="6"/>
        <v>0.3669724771</v>
      </c>
      <c r="G195" s="69"/>
      <c r="H195" s="70"/>
      <c r="I195" s="71">
        <f t="shared" si="2"/>
        <v>186.25</v>
      </c>
      <c r="J195" s="70">
        <v>8.0</v>
      </c>
    </row>
    <row r="196">
      <c r="A196" s="39">
        <v>195.0</v>
      </c>
      <c r="B196" s="46" t="s">
        <v>798</v>
      </c>
      <c r="C196" s="48" t="s">
        <v>789</v>
      </c>
      <c r="D196" s="39">
        <f t="array" ref="D196:E196">VLOOKUP(B196,MASTER!$C279:$F$1048,{3,4},0)</f>
        <v>1290</v>
      </c>
      <c r="E196" s="39">
        <v>1690.0</v>
      </c>
      <c r="F196" s="50">
        <f t="shared" si="6"/>
        <v>0.3100775194</v>
      </c>
      <c r="G196" s="69"/>
      <c r="H196" s="70"/>
      <c r="I196" s="71">
        <f t="shared" si="2"/>
        <v>140.8333333</v>
      </c>
      <c r="J196" s="70">
        <v>12.0</v>
      </c>
    </row>
    <row r="197">
      <c r="A197" s="39">
        <v>196.0</v>
      </c>
      <c r="B197" s="46" t="s">
        <v>799</v>
      </c>
      <c r="C197" s="48" t="s">
        <v>800</v>
      </c>
      <c r="D197" s="39">
        <f t="array" ref="D197:E197">VLOOKUP(B197,MASTER!$C279:$F$1048,{3,4},0)</f>
        <v>1090</v>
      </c>
      <c r="E197" s="39">
        <v>1190.0</v>
      </c>
      <c r="F197" s="50">
        <f t="shared" si="6"/>
        <v>0.09174311927</v>
      </c>
      <c r="G197" s="69"/>
      <c r="H197" s="70"/>
      <c r="I197" s="71">
        <f t="shared" si="2"/>
        <v>198.3333333</v>
      </c>
      <c r="J197" s="70">
        <v>6.0</v>
      </c>
    </row>
    <row r="198">
      <c r="A198" s="39">
        <v>197.0</v>
      </c>
      <c r="B198" s="91" t="s">
        <v>801</v>
      </c>
      <c r="C198" s="48" t="s">
        <v>802</v>
      </c>
      <c r="D198" s="39">
        <f t="array" ref="D198:E198">VLOOKUP(B198,MASTER!$C279:$F$1048,{3,4},0)</f>
        <v>730</v>
      </c>
      <c r="E198" s="39">
        <v>730.0</v>
      </c>
      <c r="F198" s="50">
        <f t="shared" si="6"/>
        <v>0</v>
      </c>
      <c r="G198" s="69"/>
      <c r="H198" s="70"/>
      <c r="I198" s="71">
        <f t="shared" si="2"/>
        <v>2.775665399</v>
      </c>
      <c r="J198" s="70">
        <v>263.0</v>
      </c>
    </row>
    <row r="199">
      <c r="A199" s="39">
        <v>198.0</v>
      </c>
      <c r="B199" s="91" t="s">
        <v>804</v>
      </c>
      <c r="C199" s="48" t="s">
        <v>805</v>
      </c>
      <c r="D199" s="39">
        <f t="array" ref="D199:E199">VLOOKUP(B199,MASTER!$C279:$F$1048,{3,4},0)</f>
        <v>780</v>
      </c>
      <c r="E199" s="39">
        <v>780.0</v>
      </c>
      <c r="F199" s="50">
        <f t="shared" si="6"/>
        <v>0</v>
      </c>
      <c r="G199" s="69"/>
      <c r="H199" s="70"/>
      <c r="I199" s="71">
        <f t="shared" si="2"/>
        <v>0.8360128617</v>
      </c>
      <c r="J199" s="70">
        <v>933.0</v>
      </c>
    </row>
    <row r="200">
      <c r="A200" s="39">
        <v>199.0</v>
      </c>
      <c r="B200" s="91" t="s">
        <v>806</v>
      </c>
      <c r="C200" s="48" t="s">
        <v>807</v>
      </c>
      <c r="D200" s="39">
        <f t="array" ref="D200:E200">VLOOKUP(B200,MASTER!$C279:$F$1048,{3,4},0)</f>
        <v>430</v>
      </c>
      <c r="E200" s="39">
        <v>430.0</v>
      </c>
      <c r="F200" s="50">
        <f t="shared" si="6"/>
        <v>0</v>
      </c>
      <c r="G200" s="69"/>
      <c r="H200" s="70"/>
      <c r="I200" s="71">
        <f t="shared" si="2"/>
        <v>0.1675107129</v>
      </c>
      <c r="J200" s="70">
        <v>2567.0</v>
      </c>
    </row>
    <row r="201">
      <c r="A201" s="39">
        <v>200.0</v>
      </c>
      <c r="B201" s="15" t="s">
        <v>808</v>
      </c>
      <c r="C201" s="18" t="s">
        <v>809</v>
      </c>
      <c r="D201" s="39">
        <f t="array" ref="D201:E201">VLOOKUP(B201,MASTER!$C279:$F$1048,{3,4},0)</f>
        <v>1550</v>
      </c>
      <c r="E201" s="39">
        <v>1440.0</v>
      </c>
      <c r="F201" s="50">
        <f t="shared" si="6"/>
        <v>-0.07096774194</v>
      </c>
      <c r="G201" s="69"/>
      <c r="H201" s="25"/>
      <c r="I201" s="71">
        <f t="shared" si="2"/>
        <v>0.5609661083</v>
      </c>
      <c r="J201" s="70">
        <v>2567.0</v>
      </c>
    </row>
    <row r="202">
      <c r="A202" s="39">
        <v>201.0</v>
      </c>
      <c r="B202" s="15" t="s">
        <v>811</v>
      </c>
      <c r="C202" s="18" t="s">
        <v>812</v>
      </c>
      <c r="D202" s="39">
        <f t="array" ref="D202:E202">VLOOKUP(B202,MASTER!$C279:$F$1048,{3,4},0)</f>
        <v>2060</v>
      </c>
      <c r="E202" s="39">
        <v>2180.0</v>
      </c>
      <c r="F202" s="50">
        <f t="shared" si="6"/>
        <v>0.05825242718</v>
      </c>
      <c r="G202" s="69"/>
      <c r="H202" s="25"/>
      <c r="I202" s="71">
        <f t="shared" si="2"/>
        <v>0.9019445594</v>
      </c>
      <c r="J202" s="70">
        <v>2417.0</v>
      </c>
    </row>
    <row r="203">
      <c r="A203" s="39">
        <v>202.0</v>
      </c>
      <c r="B203" s="15" t="s">
        <v>814</v>
      </c>
      <c r="C203" s="18" t="s">
        <v>815</v>
      </c>
      <c r="D203" s="39">
        <f t="array" ref="D203:E203">VLOOKUP(B203,MASTER!$C279:$F$1048,{3,4},0)</f>
        <v>3090</v>
      </c>
      <c r="E203" s="39">
        <v>3280.0</v>
      </c>
      <c r="F203" s="50">
        <f t="shared" si="6"/>
        <v>0.06148867314</v>
      </c>
      <c r="G203" s="69"/>
      <c r="H203" s="25"/>
      <c r="I203" s="71" t="str">
        <f t="shared" si="2"/>
        <v/>
      </c>
      <c r="J203" s="70"/>
    </row>
    <row r="204">
      <c r="A204" s="39">
        <v>203.0</v>
      </c>
      <c r="B204" s="15" t="s">
        <v>817</v>
      </c>
      <c r="C204" s="18" t="s">
        <v>818</v>
      </c>
      <c r="D204" s="39">
        <f t="array" ref="D204:E204">VLOOKUP(B204,MASTER!$C279:$F$1048,{3,4},0)</f>
        <v>4870</v>
      </c>
      <c r="E204" s="39">
        <v>5240.0</v>
      </c>
      <c r="F204" s="50">
        <f t="shared" si="6"/>
        <v>0.07597535934</v>
      </c>
      <c r="G204" s="69"/>
      <c r="H204" s="25"/>
      <c r="I204" s="71" t="str">
        <f t="shared" si="2"/>
        <v/>
      </c>
      <c r="J204" s="70"/>
    </row>
    <row r="205">
      <c r="A205" s="39">
        <v>204.0</v>
      </c>
      <c r="B205" s="15" t="s">
        <v>820</v>
      </c>
      <c r="C205" s="18" t="s">
        <v>821</v>
      </c>
      <c r="D205" s="39">
        <f t="array" ref="D205:E205">VLOOKUP(B205,MASTER!$C279:$F$1048,{3,4},0)</f>
        <v>6450</v>
      </c>
      <c r="E205" s="39">
        <v>6780.0</v>
      </c>
      <c r="F205" s="50">
        <f t="shared" si="6"/>
        <v>0.0511627907</v>
      </c>
      <c r="G205" s="69"/>
      <c r="H205" s="25"/>
      <c r="I205" s="71" t="str">
        <f t="shared" si="2"/>
        <v/>
      </c>
      <c r="J205" s="70"/>
    </row>
    <row r="206">
      <c r="A206" s="39">
        <v>205.0</v>
      </c>
      <c r="B206" s="15" t="s">
        <v>823</v>
      </c>
      <c r="C206" s="18" t="s">
        <v>824</v>
      </c>
      <c r="D206" s="39">
        <f t="array" ref="D206:E206">VLOOKUP(B206,MASTER!$C279:$F$1048,{3,4},0)</f>
        <v>9440</v>
      </c>
      <c r="E206" s="39">
        <v>9940.0</v>
      </c>
      <c r="F206" s="50">
        <f t="shared" si="6"/>
        <v>0.05296610169</v>
      </c>
      <c r="G206" s="69"/>
      <c r="H206" s="25"/>
      <c r="I206" s="71">
        <f t="shared" si="2"/>
        <v>12.16646267</v>
      </c>
      <c r="J206" s="70">
        <v>817.0</v>
      </c>
    </row>
    <row r="207">
      <c r="A207" s="39">
        <v>206.0</v>
      </c>
      <c r="B207" s="15" t="s">
        <v>825</v>
      </c>
      <c r="C207" s="18" t="s">
        <v>826</v>
      </c>
      <c r="D207" s="39">
        <f t="array" ref="D207:E207">VLOOKUP(B207,MASTER!$C279:$F$1048,{3,4},0)</f>
        <v>16780</v>
      </c>
      <c r="E207" s="39">
        <v>17980.0</v>
      </c>
      <c r="F207" s="50">
        <f t="shared" si="6"/>
        <v>0.07151370679</v>
      </c>
      <c r="G207" s="69"/>
      <c r="H207" s="25"/>
      <c r="I207" s="71">
        <f t="shared" si="2"/>
        <v>42.40566038</v>
      </c>
      <c r="J207" s="70">
        <v>424.0</v>
      </c>
    </row>
    <row r="208">
      <c r="A208" s="39">
        <v>207.0</v>
      </c>
      <c r="B208" s="15" t="s">
        <v>828</v>
      </c>
      <c r="C208" s="18" t="s">
        <v>829</v>
      </c>
      <c r="D208" s="39">
        <f t="array" ref="D208:E208">VLOOKUP(B208,MASTER!$C279:$F$1048,{3,4},0)</f>
        <v>24660</v>
      </c>
      <c r="E208" s="39">
        <v>26440.0</v>
      </c>
      <c r="F208" s="50">
        <f t="shared" si="6"/>
        <v>0.07218167072</v>
      </c>
      <c r="G208" s="69"/>
      <c r="H208" s="25"/>
      <c r="I208" s="71">
        <f t="shared" si="2"/>
        <v>90.85910653</v>
      </c>
      <c r="J208" s="70">
        <v>291.0</v>
      </c>
    </row>
    <row r="209">
      <c r="A209" s="39">
        <v>208.0</v>
      </c>
      <c r="B209" s="15" t="s">
        <v>831</v>
      </c>
      <c r="C209" s="18" t="s">
        <v>832</v>
      </c>
      <c r="D209" s="39">
        <f t="array" ref="D209:E209">VLOOKUP(B209,MASTER!$C279:$F$1048,{3,4},0)</f>
        <v>40830</v>
      </c>
      <c r="E209" s="39">
        <v>42840.0</v>
      </c>
      <c r="F209" s="50">
        <f t="shared" si="6"/>
        <v>0.04922850845</v>
      </c>
      <c r="G209" s="69"/>
      <c r="H209" s="25"/>
      <c r="I209" s="71">
        <f t="shared" si="2"/>
        <v>35.40495868</v>
      </c>
      <c r="J209" s="70">
        <v>1210.0</v>
      </c>
    </row>
    <row r="210">
      <c r="A210" s="39">
        <v>209.0</v>
      </c>
      <c r="B210" s="46" t="s">
        <v>835</v>
      </c>
      <c r="C210" s="48" t="s">
        <v>836</v>
      </c>
      <c r="D210" s="39">
        <f t="array" ref="D210:E210">VLOOKUP(B210,MASTER!$C279:$F$1048,{3,4},0)</f>
        <v>1060</v>
      </c>
      <c r="E210" s="39">
        <v>1060.0</v>
      </c>
      <c r="F210" s="50">
        <f t="shared" si="6"/>
        <v>0</v>
      </c>
      <c r="G210" s="69"/>
      <c r="H210" s="70"/>
      <c r="I210" s="96">
        <f t="shared" si="2"/>
        <v>4.628820961</v>
      </c>
      <c r="J210" s="88">
        <v>229.0</v>
      </c>
    </row>
    <row r="211">
      <c r="A211" s="39">
        <v>210.0</v>
      </c>
      <c r="B211" s="46" t="s">
        <v>839</v>
      </c>
      <c r="C211" s="18" t="s">
        <v>840</v>
      </c>
      <c r="D211" s="39">
        <f t="array" ref="D211:E211">VLOOKUP(B211,MASTER!$C279:$F$1048,{3,4},0)</f>
        <v>990</v>
      </c>
      <c r="E211" s="39">
        <v>990.0</v>
      </c>
      <c r="F211" s="50">
        <f t="shared" si="6"/>
        <v>0</v>
      </c>
      <c r="G211" s="69"/>
      <c r="H211" s="70"/>
      <c r="I211" s="71">
        <f t="shared" si="2"/>
        <v>3.561151079</v>
      </c>
      <c r="J211" s="70">
        <v>278.0</v>
      </c>
    </row>
    <row r="212">
      <c r="A212" s="39">
        <v>211.0</v>
      </c>
      <c r="B212" s="46" t="s">
        <v>841</v>
      </c>
      <c r="C212" s="48" t="s">
        <v>842</v>
      </c>
      <c r="D212" s="39">
        <f t="array" ref="D212:E212">VLOOKUP(B212,MASTER!$C279:$F$1048,{3,4},0)</f>
        <v>910</v>
      </c>
      <c r="E212" s="39">
        <v>910.0</v>
      </c>
      <c r="F212" s="50">
        <f t="shared" si="6"/>
        <v>0</v>
      </c>
      <c r="G212" s="69"/>
      <c r="H212" s="70"/>
      <c r="I212" s="71">
        <f t="shared" si="2"/>
        <v>7.844827586</v>
      </c>
      <c r="J212" s="70">
        <v>116.0</v>
      </c>
    </row>
    <row r="213">
      <c r="A213" s="39">
        <v>212.0</v>
      </c>
      <c r="B213" s="46" t="s">
        <v>844</v>
      </c>
      <c r="C213" s="48" t="s">
        <v>845</v>
      </c>
      <c r="D213" s="39">
        <f t="array" ref="D213:E213">VLOOKUP(B213,MASTER!$C279:$F$1048,{3,4},0)</f>
        <v>1030</v>
      </c>
      <c r="E213" s="39">
        <v>1030.0</v>
      </c>
      <c r="F213" s="50">
        <f t="shared" si="6"/>
        <v>0</v>
      </c>
      <c r="G213" s="69"/>
      <c r="H213" s="70"/>
      <c r="I213" s="71">
        <f t="shared" si="2"/>
        <v>3.691756272</v>
      </c>
      <c r="J213" s="70">
        <v>279.0</v>
      </c>
    </row>
    <row r="214">
      <c r="A214" s="39">
        <v>213.0</v>
      </c>
      <c r="B214" s="46" t="s">
        <v>847</v>
      </c>
      <c r="C214" s="48" t="s">
        <v>848</v>
      </c>
      <c r="D214" s="39">
        <f t="array" ref="D214:E214">VLOOKUP(B214,MASTER!$C279:$F$1048,{3,4},0)</f>
        <v>1030</v>
      </c>
      <c r="E214" s="39">
        <v>1080.0</v>
      </c>
      <c r="F214" s="50">
        <f t="shared" si="6"/>
        <v>0.04854368932</v>
      </c>
      <c r="G214" s="69"/>
      <c r="H214" s="70"/>
      <c r="I214" s="71">
        <f t="shared" si="2"/>
        <v>1.935483871</v>
      </c>
      <c r="J214" s="70">
        <v>558.0</v>
      </c>
    </row>
    <row r="215">
      <c r="A215" s="84">
        <v>214.0</v>
      </c>
      <c r="B215" s="85" t="s">
        <v>850</v>
      </c>
      <c r="C215" s="85" t="s">
        <v>851</v>
      </c>
      <c r="D215" s="84">
        <f t="array" ref="D215:E215">VLOOKUP(B215,MASTER!$C279:$F$1048,{3,4},0)</f>
        <v>1140</v>
      </c>
      <c r="E215" s="84">
        <v>1190.0</v>
      </c>
      <c r="F215" s="87">
        <f t="shared" si="6"/>
        <v>0.04385964912</v>
      </c>
      <c r="G215" s="88"/>
      <c r="H215" s="88"/>
      <c r="I215" s="96">
        <f t="shared" si="2"/>
        <v>3.863636364</v>
      </c>
      <c r="J215" s="88">
        <v>308.0</v>
      </c>
    </row>
    <row r="216">
      <c r="A216" s="39">
        <v>215.0</v>
      </c>
      <c r="B216" s="46" t="s">
        <v>852</v>
      </c>
      <c r="C216" s="46" t="s">
        <v>853</v>
      </c>
      <c r="D216" s="39">
        <f t="array" ref="D216:E216">VLOOKUP(B216,MASTER!$C279:$F$1048,{3,4},0)</f>
        <v>1140</v>
      </c>
      <c r="E216" s="39">
        <v>1140.0</v>
      </c>
      <c r="F216" s="50">
        <f t="shared" si="6"/>
        <v>0</v>
      </c>
      <c r="G216" s="69"/>
      <c r="H216" s="70"/>
      <c r="I216" s="71">
        <f t="shared" si="2"/>
        <v>0.6934306569</v>
      </c>
      <c r="J216" s="70">
        <v>1644.0</v>
      </c>
    </row>
    <row r="217">
      <c r="A217" s="39">
        <v>216.0</v>
      </c>
      <c r="B217" s="46" t="s">
        <v>854</v>
      </c>
      <c r="C217" s="48" t="s">
        <v>855</v>
      </c>
      <c r="D217" s="39">
        <f t="array" ref="D217:E217">VLOOKUP(B217,MASTER!$C279:$F$1048,{3,4},0)</f>
        <v>58</v>
      </c>
      <c r="E217" s="39">
        <v>58.0</v>
      </c>
      <c r="F217" s="50">
        <f t="shared" si="6"/>
        <v>0</v>
      </c>
      <c r="G217" s="69"/>
      <c r="H217" s="70"/>
      <c r="I217" s="71">
        <f t="shared" si="2"/>
        <v>0.2367346939</v>
      </c>
      <c r="J217" s="70">
        <v>245.0</v>
      </c>
    </row>
    <row r="218">
      <c r="A218" s="39">
        <v>217.0</v>
      </c>
      <c r="B218" s="46" t="s">
        <v>857</v>
      </c>
      <c r="C218" s="48" t="s">
        <v>858</v>
      </c>
      <c r="D218" s="39">
        <f t="array" ref="D218:E218">VLOOKUP(B218,MASTER!$C279:$F$1048,{3,4},0)</f>
        <v>58</v>
      </c>
      <c r="E218" s="39">
        <v>58.0</v>
      </c>
      <c r="F218" s="50">
        <f t="shared" si="6"/>
        <v>0</v>
      </c>
      <c r="G218" s="69"/>
      <c r="H218" s="70"/>
      <c r="I218" s="71">
        <f t="shared" si="2"/>
        <v>0.2027972028</v>
      </c>
      <c r="J218" s="70">
        <v>286.0</v>
      </c>
    </row>
    <row r="219">
      <c r="A219" s="39">
        <v>218.0</v>
      </c>
      <c r="B219" s="46" t="s">
        <v>859</v>
      </c>
      <c r="C219" s="48" t="s">
        <v>860</v>
      </c>
      <c r="D219" s="39">
        <f t="array" ref="D219:E219">VLOOKUP(B219,MASTER!$C279:$F$1048,{3,4},0)</f>
        <v>940</v>
      </c>
      <c r="E219" s="39">
        <v>940.0</v>
      </c>
      <c r="F219" s="50">
        <f t="shared" si="6"/>
        <v>0</v>
      </c>
      <c r="G219" s="69"/>
      <c r="H219" s="70"/>
      <c r="I219" s="71">
        <f t="shared" si="2"/>
        <v>6.308724832</v>
      </c>
      <c r="J219" s="70">
        <v>149.0</v>
      </c>
    </row>
    <row r="220">
      <c r="A220" s="39">
        <v>219.0</v>
      </c>
      <c r="B220" s="46" t="s">
        <v>862</v>
      </c>
      <c r="C220" s="48" t="s">
        <v>863</v>
      </c>
      <c r="D220" s="39">
        <f t="array" ref="D220:E220">VLOOKUP(B220,MASTER!$C279:$F$1048,{3,4},0)</f>
        <v>790</v>
      </c>
      <c r="E220" s="39">
        <v>790.0</v>
      </c>
      <c r="F220" s="50">
        <f t="shared" si="6"/>
        <v>0</v>
      </c>
      <c r="G220" s="69"/>
      <c r="H220" s="70"/>
      <c r="I220" s="71">
        <f t="shared" si="2"/>
        <v>3.134920635</v>
      </c>
      <c r="J220" s="70">
        <v>252.0</v>
      </c>
    </row>
    <row r="221">
      <c r="A221" s="39">
        <v>220.0</v>
      </c>
      <c r="B221" s="46" t="s">
        <v>864</v>
      </c>
      <c r="C221" s="48" t="s">
        <v>865</v>
      </c>
      <c r="D221" s="39">
        <f t="array" ref="D221:E221">VLOOKUP(B221,MASTER!$C279:$F$1048,{3,4},0)</f>
        <v>380</v>
      </c>
      <c r="E221" s="39">
        <v>380.0</v>
      </c>
      <c r="F221" s="50">
        <f t="shared" si="6"/>
        <v>0</v>
      </c>
      <c r="G221" s="69"/>
      <c r="H221" s="70"/>
      <c r="I221" s="71">
        <f t="shared" si="2"/>
        <v>2.585034014</v>
      </c>
      <c r="J221" s="70">
        <v>147.0</v>
      </c>
    </row>
    <row r="222">
      <c r="A222" s="39">
        <v>221.0</v>
      </c>
      <c r="B222" s="46" t="s">
        <v>867</v>
      </c>
      <c r="C222" s="48" t="s">
        <v>868</v>
      </c>
      <c r="D222" s="39">
        <f t="array" ref="D222:E222">VLOOKUP(B222,MASTER!$C279:$F$1048,{3,4},0)</f>
        <v>3230</v>
      </c>
      <c r="E222" s="39">
        <v>3440.0</v>
      </c>
      <c r="F222" s="50">
        <f t="shared" si="6"/>
        <v>0.06501547988</v>
      </c>
      <c r="G222" s="69"/>
      <c r="H222" s="70"/>
      <c r="I222" s="71">
        <f t="shared" si="2"/>
        <v>4.231242312</v>
      </c>
      <c r="J222" s="70">
        <v>813.0</v>
      </c>
    </row>
    <row r="223">
      <c r="A223" s="39">
        <v>222.0</v>
      </c>
      <c r="B223" s="46" t="s">
        <v>869</v>
      </c>
      <c r="C223" s="48" t="s">
        <v>870</v>
      </c>
      <c r="D223" s="39">
        <f t="array" ref="D223:E223">VLOOKUP(B223,MASTER!$C279:$F$1048,{3,4},0)</f>
        <v>3340</v>
      </c>
      <c r="E223" s="39">
        <v>3880.0</v>
      </c>
      <c r="F223" s="50">
        <f t="shared" si="6"/>
        <v>0.1616766467</v>
      </c>
      <c r="G223" s="69"/>
      <c r="H223" s="70"/>
      <c r="I223" s="71">
        <f t="shared" si="2"/>
        <v>31.29032258</v>
      </c>
      <c r="J223" s="70">
        <v>124.0</v>
      </c>
    </row>
    <row r="224">
      <c r="A224" s="39">
        <v>223.0</v>
      </c>
      <c r="B224" s="46" t="s">
        <v>871</v>
      </c>
      <c r="C224" s="48" t="s">
        <v>872</v>
      </c>
      <c r="D224" s="39">
        <f t="array" ref="D224:E224">VLOOKUP(B224,MASTER!$C279:$F$1048,{3,4},0)</f>
        <v>3840</v>
      </c>
      <c r="E224" s="39">
        <v>4140.0</v>
      </c>
      <c r="F224" s="50">
        <f t="shared" si="6"/>
        <v>0.078125</v>
      </c>
      <c r="G224" s="69"/>
      <c r="H224" s="70"/>
      <c r="I224" s="71">
        <f t="shared" si="2"/>
        <v>26.70967742</v>
      </c>
      <c r="J224" s="70">
        <v>155.0</v>
      </c>
    </row>
    <row r="225">
      <c r="A225" s="39">
        <v>224.0</v>
      </c>
      <c r="B225" s="46" t="s">
        <v>873</v>
      </c>
      <c r="C225" s="48" t="s">
        <v>874</v>
      </c>
      <c r="D225" s="39">
        <f t="array" ref="D225:E225">VLOOKUP(B225,MASTER!$C279:$F$1048,{3,4},0)</f>
        <v>3840</v>
      </c>
      <c r="E225" s="39">
        <v>3840.0</v>
      </c>
      <c r="F225" s="50">
        <f t="shared" si="6"/>
        <v>0</v>
      </c>
      <c r="G225" s="69"/>
      <c r="H225" s="70"/>
      <c r="I225" s="71">
        <f t="shared" si="2"/>
        <v>40.85106383</v>
      </c>
      <c r="J225" s="70">
        <v>94.0</v>
      </c>
    </row>
    <row r="226">
      <c r="A226" s="39">
        <v>225.0</v>
      </c>
      <c r="B226" s="46" t="s">
        <v>875</v>
      </c>
      <c r="C226" s="48" t="s">
        <v>876</v>
      </c>
      <c r="D226" s="39">
        <f t="array" ref="D226:E226">VLOOKUP(B226,MASTER!$C279:$F$1048,{3,4},0)</f>
        <v>4910</v>
      </c>
      <c r="E226" s="39">
        <v>5440.0</v>
      </c>
      <c r="F226" s="50">
        <f t="shared" si="6"/>
        <v>0.1079429735</v>
      </c>
      <c r="G226" s="69"/>
      <c r="H226" s="70"/>
      <c r="I226" s="71">
        <f t="shared" si="2"/>
        <v>21.76</v>
      </c>
      <c r="J226" s="70">
        <v>250.0</v>
      </c>
    </row>
    <row r="227">
      <c r="A227" s="39">
        <v>226.0</v>
      </c>
      <c r="B227" s="46" t="s">
        <v>877</v>
      </c>
      <c r="C227" s="48" t="s">
        <v>878</v>
      </c>
      <c r="D227" s="39">
        <f t="array" ref="D227:E227">VLOOKUP(B227,MASTER!$C279:$F$1048,{3,4},0)</f>
        <v>4910</v>
      </c>
      <c r="E227" s="39">
        <v>5440.0</v>
      </c>
      <c r="F227" s="50">
        <f t="shared" si="6"/>
        <v>0.1079429735</v>
      </c>
      <c r="G227" s="69"/>
      <c r="H227" s="70"/>
      <c r="I227" s="71">
        <f t="shared" si="2"/>
        <v>24.72727273</v>
      </c>
      <c r="J227" s="70">
        <v>220.0</v>
      </c>
    </row>
    <row r="228">
      <c r="A228" s="39">
        <v>227.0</v>
      </c>
      <c r="B228" s="46" t="s">
        <v>879</v>
      </c>
      <c r="C228" s="48" t="s">
        <v>880</v>
      </c>
      <c r="D228" s="39">
        <f t="array" ref="D228:E228">VLOOKUP(B228,MASTER!$C279:$F$1048,{3,4},0)</f>
        <v>4910</v>
      </c>
      <c r="E228" s="39">
        <v>5840.0</v>
      </c>
      <c r="F228" s="50">
        <f t="shared" si="6"/>
        <v>0.1894093686</v>
      </c>
      <c r="G228" s="69"/>
      <c r="H228" s="70"/>
      <c r="I228" s="71">
        <f t="shared" si="2"/>
        <v>26.54545455</v>
      </c>
      <c r="J228" s="70">
        <v>220.0</v>
      </c>
    </row>
    <row r="229">
      <c r="A229" s="39">
        <v>228.0</v>
      </c>
      <c r="B229" s="46" t="s">
        <v>881</v>
      </c>
      <c r="C229" s="48" t="s">
        <v>882</v>
      </c>
      <c r="D229" s="39">
        <f t="array" ref="D229:E229">VLOOKUP(B229,MASTER!$C279:$F$1048,{3,4},0)</f>
        <v>1560</v>
      </c>
      <c r="E229" s="39">
        <v>1680.0</v>
      </c>
      <c r="F229" s="50">
        <f t="shared" si="6"/>
        <v>0.07692307692</v>
      </c>
      <c r="G229" s="69"/>
      <c r="H229" s="70"/>
      <c r="I229" s="71">
        <f t="shared" si="2"/>
        <v>7.636363636</v>
      </c>
      <c r="J229" s="70">
        <v>220.0</v>
      </c>
    </row>
    <row r="230">
      <c r="A230" s="39">
        <v>229.0</v>
      </c>
      <c r="B230" s="46" t="s">
        <v>885</v>
      </c>
      <c r="C230" s="48" t="s">
        <v>886</v>
      </c>
      <c r="D230" s="39">
        <f t="array" ref="D230:E230">VLOOKUP(B230,MASTER!$C279:$F$1048,{3,4},0)</f>
        <v>1560</v>
      </c>
      <c r="E230" s="39">
        <v>1680.0</v>
      </c>
      <c r="F230" s="50">
        <f t="shared" si="6"/>
        <v>0.07692307692</v>
      </c>
      <c r="G230" s="69"/>
      <c r="H230" s="70"/>
      <c r="I230" s="71">
        <f t="shared" si="2"/>
        <v>7.636363636</v>
      </c>
      <c r="J230" s="70">
        <v>220.0</v>
      </c>
    </row>
    <row r="231">
      <c r="A231" s="39">
        <v>230.0</v>
      </c>
      <c r="B231" s="46" t="s">
        <v>888</v>
      </c>
      <c r="C231" s="48" t="s">
        <v>889</v>
      </c>
      <c r="D231" s="39">
        <f t="array" ref="D231:E231">VLOOKUP(B231,MASTER!$C279:$F$1048,{3,4},0)</f>
        <v>1560</v>
      </c>
      <c r="E231" s="39">
        <v>1680.0</v>
      </c>
      <c r="F231" s="50">
        <f t="shared" si="6"/>
        <v>0.07692307692</v>
      </c>
      <c r="G231" s="69"/>
      <c r="H231" s="70"/>
      <c r="I231" s="71" t="str">
        <f t="shared" si="2"/>
        <v/>
      </c>
      <c r="J231" s="70"/>
    </row>
    <row r="232">
      <c r="A232" s="39">
        <v>231.0</v>
      </c>
      <c r="B232" s="46" t="s">
        <v>890</v>
      </c>
      <c r="C232" s="48" t="s">
        <v>891</v>
      </c>
      <c r="D232" s="39">
        <f t="array" ref="D232:E232">VLOOKUP(B232,MASTER!$C279:$F$1048,{3,4},0)</f>
        <v>1510</v>
      </c>
      <c r="E232" s="39">
        <v>1510.0</v>
      </c>
      <c r="F232" s="50">
        <f t="shared" si="6"/>
        <v>0</v>
      </c>
      <c r="G232" s="69"/>
      <c r="H232" s="70"/>
      <c r="I232" s="71">
        <f t="shared" si="2"/>
        <v>4.967105263</v>
      </c>
      <c r="J232" s="70">
        <v>304.0</v>
      </c>
    </row>
    <row r="233">
      <c r="A233" s="39">
        <v>232.0</v>
      </c>
      <c r="B233" s="46" t="s">
        <v>892</v>
      </c>
      <c r="C233" s="48" t="s">
        <v>893</v>
      </c>
      <c r="D233" s="39">
        <f t="array" ref="D233:E233">VLOOKUP(B233,MASTER!$C279:$F$1048,{3,4},0)</f>
        <v>1020</v>
      </c>
      <c r="E233" s="39">
        <v>1020.0</v>
      </c>
      <c r="F233" s="50">
        <f t="shared" si="6"/>
        <v>0</v>
      </c>
      <c r="G233" s="69"/>
      <c r="H233" s="70"/>
      <c r="I233" s="71">
        <f t="shared" si="2"/>
        <v>5.666666667</v>
      </c>
      <c r="J233" s="70">
        <v>180.0</v>
      </c>
    </row>
    <row r="234">
      <c r="A234" s="39">
        <v>233.0</v>
      </c>
      <c r="B234" s="46" t="s">
        <v>895</v>
      </c>
      <c r="C234" s="48" t="s">
        <v>896</v>
      </c>
      <c r="D234" s="39">
        <f t="array" ref="D234:E234">VLOOKUP(B234,MASTER!$C279:$F$1048,{3,4},0)</f>
        <v>1110</v>
      </c>
      <c r="E234" s="39">
        <v>1110.0</v>
      </c>
      <c r="F234" s="50">
        <f t="shared" si="6"/>
        <v>0</v>
      </c>
      <c r="G234" s="69"/>
      <c r="H234" s="70"/>
      <c r="I234" s="71">
        <f t="shared" si="2"/>
        <v>7.302631579</v>
      </c>
      <c r="J234" s="70">
        <v>152.0</v>
      </c>
    </row>
    <row r="235">
      <c r="A235" s="39">
        <v>234.0</v>
      </c>
      <c r="B235" s="46" t="s">
        <v>898</v>
      </c>
      <c r="C235" s="48" t="s">
        <v>899</v>
      </c>
      <c r="D235" s="39">
        <f t="array" ref="D235:E235">VLOOKUP(B235,MASTER!$C279:$F$1048,{3,4},0)</f>
        <v>1190</v>
      </c>
      <c r="E235" s="39">
        <v>1190.0</v>
      </c>
      <c r="F235" s="50">
        <f t="shared" si="6"/>
        <v>0</v>
      </c>
      <c r="G235" s="69"/>
      <c r="H235" s="70"/>
      <c r="I235" s="71">
        <f t="shared" si="2"/>
        <v>6.432432432</v>
      </c>
      <c r="J235" s="70">
        <v>185.0</v>
      </c>
    </row>
    <row r="236">
      <c r="A236" s="39">
        <v>235.0</v>
      </c>
      <c r="B236" s="46" t="s">
        <v>901</v>
      </c>
      <c r="C236" s="48" t="s">
        <v>902</v>
      </c>
      <c r="D236" s="39">
        <f t="array" ref="D236:E236">VLOOKUP(B236,MASTER!$C279:$F$1048,{3,4},0)</f>
        <v>990</v>
      </c>
      <c r="E236" s="39">
        <v>990.0</v>
      </c>
      <c r="F236" s="50">
        <f t="shared" si="6"/>
        <v>0</v>
      </c>
      <c r="G236" s="69"/>
      <c r="H236" s="70"/>
      <c r="I236" s="71">
        <f t="shared" si="2"/>
        <v>9.9</v>
      </c>
      <c r="J236" s="70">
        <v>100.0</v>
      </c>
    </row>
    <row r="237">
      <c r="A237" s="39">
        <v>236.0</v>
      </c>
      <c r="B237" s="46" t="s">
        <v>904</v>
      </c>
      <c r="C237" s="48" t="s">
        <v>905</v>
      </c>
      <c r="D237" s="39">
        <f t="array" ref="D237:E237">VLOOKUP(B237,MASTER!$C279:$F$1048,{3,4},0)</f>
        <v>36</v>
      </c>
      <c r="E237" s="39">
        <v>36.0</v>
      </c>
      <c r="F237" s="50">
        <f t="shared" si="6"/>
        <v>0</v>
      </c>
      <c r="G237" s="69"/>
      <c r="H237" s="70"/>
      <c r="I237" s="71">
        <f t="shared" si="2"/>
        <v>0.1417322835</v>
      </c>
      <c r="J237" s="70">
        <v>254.0</v>
      </c>
    </row>
    <row r="238">
      <c r="A238" s="39">
        <v>237.0</v>
      </c>
      <c r="B238" s="46" t="s">
        <v>907</v>
      </c>
      <c r="C238" s="48" t="s">
        <v>908</v>
      </c>
      <c r="D238" s="39">
        <f t="array" ref="D238:E238">VLOOKUP(B238,MASTER!$C279:$F$1048,{3,4},0)</f>
        <v>40</v>
      </c>
      <c r="E238" s="39">
        <v>40.0</v>
      </c>
      <c r="F238" s="50">
        <f t="shared" si="6"/>
        <v>0</v>
      </c>
      <c r="G238" s="69"/>
      <c r="H238" s="70"/>
      <c r="I238" s="71">
        <f t="shared" si="2"/>
        <v>0.0518134715</v>
      </c>
      <c r="J238" s="70">
        <v>772.0</v>
      </c>
    </row>
    <row r="239">
      <c r="A239" s="39">
        <v>238.0</v>
      </c>
      <c r="B239" s="46" t="s">
        <v>910</v>
      </c>
      <c r="C239" s="48" t="s">
        <v>905</v>
      </c>
      <c r="D239" s="39">
        <f t="array" ref="D239:E239">VLOOKUP(B239,MASTER!$C279:$F$1048,{3,4},0)</f>
        <v>28</v>
      </c>
      <c r="E239" s="39">
        <v>28.0</v>
      </c>
      <c r="F239" s="50">
        <f t="shared" si="6"/>
        <v>0</v>
      </c>
      <c r="G239" s="69"/>
      <c r="H239" s="70"/>
      <c r="I239" s="71">
        <f t="shared" si="2"/>
        <v>0.03345280765</v>
      </c>
      <c r="J239" s="70">
        <v>837.0</v>
      </c>
    </row>
    <row r="240">
      <c r="A240" s="39">
        <v>239.0</v>
      </c>
      <c r="B240" s="46" t="s">
        <v>912</v>
      </c>
      <c r="C240" s="48" t="s">
        <v>913</v>
      </c>
      <c r="D240" s="39">
        <f t="array" ref="D240:E240">VLOOKUP(B240,MASTER!$C279:$F$1048,{3,4},0)</f>
        <v>1480</v>
      </c>
      <c r="E240" s="39">
        <v>1640.0</v>
      </c>
      <c r="F240" s="50">
        <f t="shared" si="6"/>
        <v>0.1081081081</v>
      </c>
      <c r="G240" s="69"/>
      <c r="H240" s="70"/>
      <c r="I240" s="71">
        <f t="shared" si="2"/>
        <v>2.976406534</v>
      </c>
      <c r="J240" s="70">
        <v>551.0</v>
      </c>
    </row>
    <row r="241">
      <c r="A241" s="39">
        <v>240.0</v>
      </c>
      <c r="B241" s="46" t="s">
        <v>914</v>
      </c>
      <c r="C241" s="48" t="s">
        <v>915</v>
      </c>
      <c r="D241" s="39">
        <f t="array" ref="D241:E241">VLOOKUP(B241,MASTER!$C279:$F$1048,{3,4},0)</f>
        <v>1040</v>
      </c>
      <c r="E241" s="39">
        <v>1160.0</v>
      </c>
      <c r="F241" s="50">
        <f t="shared" si="6"/>
        <v>0.1153846154</v>
      </c>
      <c r="G241" s="69"/>
      <c r="H241" s="70"/>
      <c r="I241" s="71">
        <f t="shared" si="2"/>
        <v>1.841269841</v>
      </c>
      <c r="J241" s="70">
        <v>630.0</v>
      </c>
    </row>
    <row r="242">
      <c r="A242" s="39">
        <v>241.0</v>
      </c>
      <c r="B242" s="46" t="s">
        <v>917</v>
      </c>
      <c r="C242" s="48" t="s">
        <v>918</v>
      </c>
      <c r="D242" s="39">
        <f t="array" ref="D242:E242">VLOOKUP(B242,MASTER!$C279:$F$1048,{3,4},0)</f>
        <v>4270</v>
      </c>
      <c r="E242" s="39">
        <v>4480.0</v>
      </c>
      <c r="F242" s="50">
        <f t="shared" si="6"/>
        <v>0.04918032787</v>
      </c>
      <c r="G242" s="69"/>
      <c r="H242" s="70"/>
      <c r="I242" s="71" t="str">
        <f t="shared" si="2"/>
        <v/>
      </c>
      <c r="J242" s="70"/>
    </row>
    <row r="243">
      <c r="A243" s="39">
        <v>242.0</v>
      </c>
      <c r="B243" s="46" t="s">
        <v>920</v>
      </c>
      <c r="C243" s="18" t="s">
        <v>921</v>
      </c>
      <c r="D243" s="39">
        <f t="array" ref="D243:E243">VLOOKUP(B243,MASTER!$C279:$F$1048,{3,4},0)</f>
        <v>730</v>
      </c>
      <c r="E243" s="39">
        <v>790.0</v>
      </c>
      <c r="F243" s="50">
        <f t="shared" si="6"/>
        <v>0.08219178082</v>
      </c>
      <c r="G243" s="69"/>
      <c r="H243" s="70"/>
      <c r="I243" s="71" t="str">
        <f t="shared" si="2"/>
        <v/>
      </c>
      <c r="J243" s="70"/>
    </row>
    <row r="244">
      <c r="A244" s="39">
        <v>243.0</v>
      </c>
      <c r="B244" s="46" t="s">
        <v>923</v>
      </c>
      <c r="C244" s="18" t="s">
        <v>924</v>
      </c>
      <c r="D244" s="39">
        <f t="array" ref="D244:E244">VLOOKUP(B244,MASTER!$C279:$F$1048,{3,4},0)</f>
        <v>960</v>
      </c>
      <c r="E244" s="39">
        <v>1040.0</v>
      </c>
      <c r="F244" s="50">
        <f t="shared" si="6"/>
        <v>0.08333333333</v>
      </c>
      <c r="G244" s="69"/>
      <c r="H244" s="70"/>
      <c r="I244" s="71" t="str">
        <f t="shared" si="2"/>
        <v/>
      </c>
      <c r="J244" s="70"/>
    </row>
    <row r="245">
      <c r="A245" s="39">
        <v>244.0</v>
      </c>
      <c r="B245" s="15" t="s">
        <v>925</v>
      </c>
      <c r="C245" s="18" t="s">
        <v>926</v>
      </c>
      <c r="D245" s="39">
        <f t="array" ref="D245:E245">VLOOKUP(B245,MASTER!$C279:$F$1048,{3,4},0)</f>
        <v>530</v>
      </c>
      <c r="E245" s="39">
        <v>530.0</v>
      </c>
      <c r="F245" s="50">
        <f t="shared" si="6"/>
        <v>0</v>
      </c>
      <c r="G245" s="69"/>
      <c r="H245" s="70"/>
      <c r="I245" s="71" t="str">
        <f t="shared" si="2"/>
        <v/>
      </c>
      <c r="J245" s="70"/>
    </row>
    <row r="246">
      <c r="A246" s="39">
        <v>245.0</v>
      </c>
      <c r="B246" s="15" t="s">
        <v>927</v>
      </c>
      <c r="C246" s="18" t="s">
        <v>928</v>
      </c>
      <c r="D246" s="39">
        <f t="array" ref="D246:E246">VLOOKUP(B246,MASTER!$C279:$F$1048,{3,4},0)</f>
        <v>910</v>
      </c>
      <c r="E246" s="39">
        <v>990.0</v>
      </c>
      <c r="F246" s="50">
        <f t="shared" si="6"/>
        <v>0.08791208791</v>
      </c>
      <c r="G246" s="69"/>
      <c r="H246" s="70"/>
      <c r="I246" s="71" t="str">
        <f t="shared" si="2"/>
        <v/>
      </c>
      <c r="J246" s="70"/>
    </row>
    <row r="247">
      <c r="A247" s="39">
        <v>246.0</v>
      </c>
      <c r="B247" s="46" t="s">
        <v>931</v>
      </c>
      <c r="C247" s="18" t="s">
        <v>913</v>
      </c>
      <c r="D247" s="39">
        <f t="array" ref="D247:E247">VLOOKUP(B247,MASTER!$C279:$F$1048,{3,4},0)</f>
        <v>2010</v>
      </c>
      <c r="E247" s="39">
        <v>2180.0</v>
      </c>
      <c r="F247" s="50">
        <f t="shared" si="6"/>
        <v>0.08457711443</v>
      </c>
      <c r="G247" s="69"/>
      <c r="H247" s="70"/>
      <c r="I247" s="71" t="str">
        <f t="shared" si="2"/>
        <v/>
      </c>
      <c r="J247" s="70"/>
    </row>
    <row r="248">
      <c r="A248" s="39">
        <v>247.0</v>
      </c>
      <c r="B248" s="46" t="s">
        <v>933</v>
      </c>
      <c r="C248" s="18" t="s">
        <v>915</v>
      </c>
      <c r="D248" s="39">
        <f t="array" ref="D248:E248">VLOOKUP(B248,MASTER!$C279:$F$1048,{3,4},0)</f>
        <v>1140</v>
      </c>
      <c r="E248" s="39">
        <v>1140.0</v>
      </c>
      <c r="F248" s="50">
        <f t="shared" si="6"/>
        <v>0</v>
      </c>
      <c r="G248" s="69"/>
      <c r="H248" s="70"/>
      <c r="I248" s="71" t="str">
        <f t="shared" si="2"/>
        <v/>
      </c>
      <c r="J248" s="70"/>
    </row>
    <row r="249">
      <c r="A249" s="39">
        <v>248.0</v>
      </c>
      <c r="B249" s="46" t="s">
        <v>936</v>
      </c>
      <c r="C249" s="18" t="s">
        <v>918</v>
      </c>
      <c r="D249" s="39">
        <f t="array" ref="D249:E249">VLOOKUP(B249,MASTER!$C279:$F$1048,{3,4},0)</f>
        <v>5890</v>
      </c>
      <c r="E249" s="39">
        <v>5890.0</v>
      </c>
      <c r="F249" s="50">
        <f t="shared" si="6"/>
        <v>0</v>
      </c>
      <c r="G249" s="69"/>
      <c r="H249" s="70"/>
      <c r="I249" s="71">
        <f t="shared" si="2"/>
        <v>0.4362962963</v>
      </c>
      <c r="J249" s="70">
        <v>13500.0</v>
      </c>
    </row>
    <row r="250">
      <c r="A250" s="39">
        <v>249.0</v>
      </c>
      <c r="B250" s="46" t="s">
        <v>938</v>
      </c>
      <c r="C250" s="18" t="s">
        <v>921</v>
      </c>
      <c r="D250" s="39">
        <f t="array" ref="D250:E250">VLOOKUP(B250,MASTER!$C279:$F$1048,{3,4},0)</f>
        <v>850</v>
      </c>
      <c r="E250" s="39">
        <v>850.0</v>
      </c>
      <c r="F250" s="50">
        <f t="shared" si="6"/>
        <v>0</v>
      </c>
      <c r="G250" s="69"/>
      <c r="H250" s="70"/>
      <c r="I250" s="71">
        <f t="shared" si="2"/>
        <v>0.0534591195</v>
      </c>
      <c r="J250" s="70">
        <v>15900.0</v>
      </c>
    </row>
    <row r="251">
      <c r="A251" s="39">
        <v>250.0</v>
      </c>
      <c r="B251" s="46" t="s">
        <v>940</v>
      </c>
      <c r="C251" s="18" t="s">
        <v>924</v>
      </c>
      <c r="D251" s="39">
        <f t="array" ref="D251:E251">VLOOKUP(B251,MASTER!$C279:$F$1048,{3,4},0)</f>
        <v>1070</v>
      </c>
      <c r="E251" s="39">
        <v>1070.0</v>
      </c>
      <c r="F251" s="50">
        <f t="shared" si="6"/>
        <v>0</v>
      </c>
      <c r="G251" s="69"/>
      <c r="H251" s="70"/>
      <c r="I251" s="71">
        <f t="shared" si="2"/>
        <v>0.05977653631</v>
      </c>
      <c r="J251" s="70">
        <v>17900.0</v>
      </c>
    </row>
    <row r="252">
      <c r="A252" s="39">
        <v>251.0</v>
      </c>
      <c r="B252" s="46" t="s">
        <v>942</v>
      </c>
      <c r="C252" s="18" t="s">
        <v>926</v>
      </c>
      <c r="D252" s="39">
        <f t="array" ref="D252:E252">VLOOKUP(B252,MASTER!$C279:$F$1048,{3,4},0)</f>
        <v>720</v>
      </c>
      <c r="E252" s="39">
        <v>720.0</v>
      </c>
      <c r="F252" s="50">
        <f t="shared" si="6"/>
        <v>0</v>
      </c>
      <c r="G252" s="69"/>
      <c r="H252" s="70"/>
      <c r="I252" s="71">
        <f t="shared" si="2"/>
        <v>0.03512195122</v>
      </c>
      <c r="J252" s="70">
        <v>20500.0</v>
      </c>
    </row>
    <row r="253">
      <c r="A253" s="39">
        <v>252.0</v>
      </c>
      <c r="B253" s="46" t="s">
        <v>945</v>
      </c>
      <c r="C253" s="18" t="s">
        <v>946</v>
      </c>
      <c r="D253" s="39">
        <f t="array" ref="D253:E253">VLOOKUP(B253,MASTER!$C279:$F$1048,{3,4},0)</f>
        <v>1130</v>
      </c>
      <c r="E253" s="39">
        <v>990.0</v>
      </c>
      <c r="F253" s="50">
        <f t="shared" si="6"/>
        <v>-0.1238938053</v>
      </c>
      <c r="G253" s="69"/>
      <c r="H253" s="70"/>
      <c r="I253" s="71">
        <f t="shared" si="2"/>
        <v>0.05351351351</v>
      </c>
      <c r="J253" s="70">
        <v>18500.0</v>
      </c>
    </row>
    <row r="254">
      <c r="A254" s="39">
        <v>253.0</v>
      </c>
      <c r="B254" s="15" t="s">
        <v>948</v>
      </c>
      <c r="C254" s="18" t="s">
        <v>949</v>
      </c>
      <c r="D254" s="39">
        <f t="array" ref="D254:E254">VLOOKUP(B254,MASTER!$C279:$F$1048,{3,4},0)</f>
        <v>790</v>
      </c>
      <c r="E254" s="39">
        <v>690.0</v>
      </c>
      <c r="F254" s="50">
        <f t="shared" si="6"/>
        <v>-0.1265822785</v>
      </c>
      <c r="G254" s="69"/>
      <c r="H254" s="70"/>
      <c r="I254" s="71">
        <f t="shared" si="2"/>
        <v>1.782945736</v>
      </c>
      <c r="J254" s="101">
        <v>387.0</v>
      </c>
    </row>
    <row r="255">
      <c r="A255" s="39">
        <v>254.0</v>
      </c>
      <c r="B255" s="46" t="s">
        <v>952</v>
      </c>
      <c r="C255" s="48" t="s">
        <v>953</v>
      </c>
      <c r="D255" s="39">
        <f t="array" ref="D255:E255">VLOOKUP(B255,MASTER!$C279:$F$1048,{3,4},0)</f>
        <v>3650</v>
      </c>
      <c r="E255" s="39">
        <v>3650.0</v>
      </c>
      <c r="F255" s="50">
        <f t="shared" si="6"/>
        <v>0</v>
      </c>
      <c r="G255" s="69"/>
      <c r="H255" s="70"/>
      <c r="I255" s="71">
        <f t="shared" si="2"/>
        <v>7.059961315</v>
      </c>
      <c r="J255" s="101">
        <v>517.0</v>
      </c>
    </row>
    <row r="256">
      <c r="A256" s="39">
        <v>255.0</v>
      </c>
      <c r="B256" s="46" t="s">
        <v>956</v>
      </c>
      <c r="C256" s="48" t="s">
        <v>957</v>
      </c>
      <c r="D256" s="39">
        <f t="array" ref="D256:E256">VLOOKUP(B256,MASTER!$C279:$F$1048,{3,4},0)</f>
        <v>670</v>
      </c>
      <c r="E256" s="39">
        <v>590.0</v>
      </c>
      <c r="F256" s="50">
        <f t="shared" si="6"/>
        <v>-0.1194029851</v>
      </c>
      <c r="G256" s="69"/>
      <c r="H256" s="70"/>
      <c r="I256" s="71">
        <f t="shared" si="2"/>
        <v>0.7603092784</v>
      </c>
      <c r="J256" s="70">
        <v>776.0</v>
      </c>
    </row>
    <row r="257">
      <c r="A257" s="39">
        <v>256.0</v>
      </c>
      <c r="B257" s="46" t="s">
        <v>960</v>
      </c>
      <c r="C257" s="48" t="s">
        <v>961</v>
      </c>
      <c r="D257" s="39">
        <f t="array" ref="D257:E257">VLOOKUP(B257,MASTER!$C279:$F$1048,{3,4},0)</f>
        <v>790</v>
      </c>
      <c r="E257" s="39">
        <v>710.0</v>
      </c>
      <c r="F257" s="50">
        <f t="shared" si="6"/>
        <v>-0.1012658228</v>
      </c>
      <c r="G257" s="69"/>
      <c r="H257" s="70"/>
      <c r="I257" s="71">
        <f t="shared" si="2"/>
        <v>0.5800653595</v>
      </c>
      <c r="J257" s="70">
        <v>1224.0</v>
      </c>
    </row>
    <row r="258">
      <c r="A258" s="39">
        <v>257.0</v>
      </c>
      <c r="B258" s="46" t="s">
        <v>963</v>
      </c>
      <c r="C258" s="48" t="s">
        <v>964</v>
      </c>
      <c r="D258" s="39">
        <f t="array" ref="D258:E258">VLOOKUP(B258,MASTER!$C279:$F$1048,{3,4},0)</f>
        <v>510</v>
      </c>
      <c r="E258" s="39">
        <v>390.0</v>
      </c>
      <c r="F258" s="50">
        <f t="shared" si="6"/>
        <v>-0.2352941176</v>
      </c>
      <c r="G258" s="69"/>
      <c r="H258" s="70"/>
      <c r="I258" s="71">
        <f t="shared" si="2"/>
        <v>0.2408894379</v>
      </c>
      <c r="J258" s="70">
        <v>1619.0</v>
      </c>
    </row>
    <row r="259">
      <c r="A259" s="39">
        <v>258.0</v>
      </c>
      <c r="B259" s="46" t="s">
        <v>966</v>
      </c>
      <c r="C259" s="48" t="s">
        <v>967</v>
      </c>
      <c r="D259" s="39">
        <f t="array" ref="D259:E259">VLOOKUP(B259,MASTER!$C279:$F$1048,{3,4},0)</f>
        <v>990</v>
      </c>
      <c r="E259" s="39">
        <v>1040.0</v>
      </c>
      <c r="F259" s="50">
        <f t="shared" si="6"/>
        <v>0.05050505051</v>
      </c>
      <c r="G259" s="69"/>
      <c r="H259" s="70"/>
      <c r="I259" s="71">
        <f t="shared" si="2"/>
        <v>0.4344193818</v>
      </c>
      <c r="J259" s="70">
        <v>2394.0</v>
      </c>
    </row>
    <row r="260">
      <c r="A260" s="39">
        <v>259.0</v>
      </c>
      <c r="B260" s="46" t="s">
        <v>969</v>
      </c>
      <c r="C260" s="48" t="s">
        <v>970</v>
      </c>
      <c r="D260" s="39">
        <f t="array" ref="D260:E260">VLOOKUP(B260,MASTER!$C279:$F$1048,{3,4},0)</f>
        <v>1330</v>
      </c>
      <c r="E260" s="39">
        <v>890.0</v>
      </c>
      <c r="F260" s="50">
        <f t="shared" si="6"/>
        <v>-0.3308270677</v>
      </c>
      <c r="G260" s="69"/>
      <c r="H260" s="70"/>
      <c r="I260" s="71">
        <f t="shared" si="2"/>
        <v>0.2087242026</v>
      </c>
      <c r="J260" s="70">
        <v>4264.0</v>
      </c>
    </row>
    <row r="261">
      <c r="A261" s="39">
        <v>260.0</v>
      </c>
      <c r="B261" s="46" t="s">
        <v>972</v>
      </c>
      <c r="C261" s="48" t="s">
        <v>973</v>
      </c>
      <c r="D261" s="39">
        <f t="array" ref="D261:E261">VLOOKUP(B261,MASTER!$C279:$F$1048,{3,4},0)</f>
        <v>940</v>
      </c>
      <c r="E261" s="39">
        <v>940.0</v>
      </c>
      <c r="F261" s="50">
        <f t="shared" si="6"/>
        <v>0</v>
      </c>
      <c r="G261" s="69"/>
      <c r="H261" s="70"/>
      <c r="I261" s="71">
        <f t="shared" si="2"/>
        <v>0.1515640116</v>
      </c>
      <c r="J261" s="70">
        <v>6202.0</v>
      </c>
    </row>
    <row r="262">
      <c r="A262" s="39">
        <v>261.0</v>
      </c>
      <c r="B262" s="46" t="s">
        <v>975</v>
      </c>
      <c r="C262" s="48" t="s">
        <v>976</v>
      </c>
      <c r="D262" s="39">
        <f t="array" ref="D262:E262">VLOOKUP(B262,MASTER!$C279:$F$1048,{3,4},0)</f>
        <v>940</v>
      </c>
      <c r="E262" s="39">
        <v>940.0</v>
      </c>
      <c r="F262" s="50">
        <f t="shared" si="6"/>
        <v>0</v>
      </c>
      <c r="G262" s="69"/>
      <c r="H262" s="70"/>
      <c r="I262" s="71">
        <f t="shared" si="2"/>
        <v>0.09094427245</v>
      </c>
      <c r="J262" s="101">
        <v>10336.0</v>
      </c>
    </row>
    <row r="263">
      <c r="A263" s="39">
        <v>262.0</v>
      </c>
      <c r="B263" s="46" t="s">
        <v>979</v>
      </c>
      <c r="C263" s="48" t="s">
        <v>980</v>
      </c>
      <c r="D263" s="39">
        <f t="array" ref="D263:E263">VLOOKUP(B263,MASTER!$C279:$F$1048,{3,4},0)</f>
        <v>940</v>
      </c>
      <c r="E263" s="39">
        <v>940.0</v>
      </c>
      <c r="F263" s="50">
        <f t="shared" si="6"/>
        <v>0</v>
      </c>
      <c r="G263" s="69"/>
      <c r="H263" s="70"/>
      <c r="I263" s="71">
        <f t="shared" si="2"/>
        <v>8.173913043</v>
      </c>
      <c r="J263" s="101">
        <v>115.0</v>
      </c>
    </row>
    <row r="264">
      <c r="A264" s="39">
        <v>263.0</v>
      </c>
      <c r="B264" s="46" t="s">
        <v>982</v>
      </c>
      <c r="C264" s="48" t="s">
        <v>983</v>
      </c>
      <c r="D264" s="39">
        <f t="array" ref="D264:E264">VLOOKUP(B264,MASTER!$C279:$F$1048,{3,4},0)</f>
        <v>670</v>
      </c>
      <c r="E264" s="39">
        <v>670.0</v>
      </c>
      <c r="F264" s="50">
        <f t="shared" si="6"/>
        <v>0</v>
      </c>
      <c r="G264" s="69"/>
      <c r="H264" s="70"/>
      <c r="I264" s="71">
        <f t="shared" si="2"/>
        <v>5.826086957</v>
      </c>
      <c r="J264" s="101">
        <v>115.0</v>
      </c>
    </row>
    <row r="265">
      <c r="A265" s="39">
        <v>264.0</v>
      </c>
      <c r="B265" s="46" t="s">
        <v>985</v>
      </c>
      <c r="C265" s="48" t="s">
        <v>946</v>
      </c>
      <c r="D265" s="39">
        <f t="array" ref="D265:E265">VLOOKUP(B265,MASTER!$C279:$F$1048,{3,4},0)</f>
        <v>1460</v>
      </c>
      <c r="E265" s="39">
        <v>1460.0</v>
      </c>
      <c r="F265" s="50">
        <f t="shared" si="6"/>
        <v>0</v>
      </c>
      <c r="G265" s="69"/>
      <c r="H265" s="70"/>
      <c r="I265" s="71">
        <f t="shared" si="2"/>
        <v>18.25</v>
      </c>
      <c r="J265" s="101">
        <v>80.0</v>
      </c>
    </row>
    <row r="266">
      <c r="A266" s="39">
        <v>265.0</v>
      </c>
      <c r="B266" s="46" t="s">
        <v>987</v>
      </c>
      <c r="C266" s="48" t="s">
        <v>949</v>
      </c>
      <c r="D266" s="39">
        <f t="array" ref="D266:E266">VLOOKUP(B266,MASTER!$C279:$F$1048,{3,4},0)</f>
        <v>910</v>
      </c>
      <c r="E266" s="39">
        <v>840.0</v>
      </c>
      <c r="F266" s="50">
        <f t="shared" si="6"/>
        <v>-0.07692307692</v>
      </c>
      <c r="G266" s="69"/>
      <c r="H266" s="70"/>
      <c r="I266" s="71">
        <f t="shared" si="2"/>
        <v>10.5</v>
      </c>
      <c r="J266" s="101">
        <v>80.0</v>
      </c>
    </row>
    <row r="267">
      <c r="A267" s="39">
        <v>266.0</v>
      </c>
      <c r="B267" s="46" t="s">
        <v>989</v>
      </c>
      <c r="C267" s="48" t="s">
        <v>957</v>
      </c>
      <c r="D267" s="39">
        <f t="array" ref="D267:E267">VLOOKUP(B267,MASTER!$C279:$F$1048,{3,4},0)</f>
        <v>710</v>
      </c>
      <c r="E267" s="39">
        <v>690.0</v>
      </c>
      <c r="F267" s="50">
        <f t="shared" si="6"/>
        <v>-0.02816901408</v>
      </c>
      <c r="G267" s="69"/>
      <c r="H267" s="70"/>
      <c r="I267" s="71">
        <f t="shared" si="2"/>
        <v>1.971428571</v>
      </c>
      <c r="J267" s="101">
        <v>350.0</v>
      </c>
    </row>
    <row r="268">
      <c r="A268" s="39">
        <v>267.0</v>
      </c>
      <c r="B268" s="46" t="s">
        <v>991</v>
      </c>
      <c r="C268" s="48" t="s">
        <v>961</v>
      </c>
      <c r="D268" s="39">
        <f t="array" ref="D268:E268">VLOOKUP(B268,MASTER!$C279:$F$1048,{3,4},0)</f>
        <v>880</v>
      </c>
      <c r="E268" s="39">
        <v>840.0</v>
      </c>
      <c r="F268" s="50">
        <f t="shared" si="6"/>
        <v>-0.04545454545</v>
      </c>
      <c r="G268" s="69"/>
      <c r="H268" s="70"/>
      <c r="I268" s="71">
        <f t="shared" si="2"/>
        <v>10.76923077</v>
      </c>
      <c r="J268" s="101">
        <v>78.0</v>
      </c>
    </row>
    <row r="269">
      <c r="A269" s="39">
        <v>268.0</v>
      </c>
      <c r="B269" s="46" t="s">
        <v>993</v>
      </c>
      <c r="C269" s="48" t="s">
        <v>964</v>
      </c>
      <c r="D269" s="39">
        <f t="array" ref="D269:E269">VLOOKUP(B269,MASTER!$C279:$F$1048,{3,4},0)</f>
        <v>416</v>
      </c>
      <c r="E269" s="39">
        <v>390.0</v>
      </c>
      <c r="F269" s="50">
        <f t="shared" si="6"/>
        <v>-0.0625</v>
      </c>
      <c r="G269" s="69"/>
      <c r="H269" s="70"/>
      <c r="I269" s="71">
        <f t="shared" si="2"/>
        <v>0.3466666667</v>
      </c>
      <c r="J269" s="101">
        <v>1125.0</v>
      </c>
    </row>
    <row r="270">
      <c r="A270" s="39">
        <v>269.0</v>
      </c>
      <c r="B270" s="46" t="s">
        <v>995</v>
      </c>
      <c r="C270" s="48" t="s">
        <v>967</v>
      </c>
      <c r="D270" s="39">
        <f t="array" ref="D270:E270">VLOOKUP(B270,MASTER!$C279:$F$1048,{3,4},0)</f>
        <v>1340</v>
      </c>
      <c r="E270" s="39">
        <v>1190.0</v>
      </c>
      <c r="F270" s="50">
        <f t="shared" si="6"/>
        <v>-0.1119402985</v>
      </c>
      <c r="G270" s="69"/>
      <c r="H270" s="70"/>
      <c r="I270" s="71">
        <f t="shared" si="2"/>
        <v>1.057777778</v>
      </c>
      <c r="J270" s="101">
        <v>1125.0</v>
      </c>
    </row>
    <row r="271">
      <c r="A271" s="39">
        <v>270.0</v>
      </c>
      <c r="B271" s="46" t="s">
        <v>997</v>
      </c>
      <c r="C271" s="48" t="s">
        <v>998</v>
      </c>
      <c r="D271" s="39">
        <f t="array" ref="D271:E271">VLOOKUP(B271,MASTER!$C279:$F$1048,{3,4},0)</f>
        <v>2690</v>
      </c>
      <c r="E271" s="39">
        <v>2690.0</v>
      </c>
      <c r="F271" s="50">
        <f t="shared" si="6"/>
        <v>0</v>
      </c>
      <c r="G271" s="69"/>
      <c r="H271" s="70"/>
      <c r="I271" s="71">
        <f t="shared" si="2"/>
        <v>2.241666667</v>
      </c>
      <c r="J271" s="101">
        <v>1200.0</v>
      </c>
    </row>
    <row r="272">
      <c r="A272" s="28"/>
      <c r="B272" s="65"/>
      <c r="C272" s="122"/>
      <c r="D272" s="28"/>
      <c r="E272" s="28"/>
      <c r="F272" s="28"/>
      <c r="G272" s="28"/>
      <c r="H272" s="28"/>
      <c r="I272" s="123"/>
      <c r="J272" s="28"/>
    </row>
    <row r="273">
      <c r="A273" s="28"/>
      <c r="B273" s="65"/>
      <c r="C273" s="122"/>
      <c r="D273" s="28"/>
      <c r="E273" s="28"/>
      <c r="F273" s="28"/>
      <c r="G273" s="28"/>
      <c r="H273" s="28"/>
      <c r="I273" s="123"/>
      <c r="J273" s="28"/>
    </row>
    <row r="274">
      <c r="A274" s="28"/>
      <c r="B274" s="65"/>
      <c r="C274" s="122"/>
      <c r="D274" s="28"/>
      <c r="E274" s="28"/>
      <c r="F274" s="28"/>
      <c r="G274" s="28"/>
      <c r="H274" s="28"/>
      <c r="I274" s="123"/>
      <c r="J274" s="28"/>
    </row>
    <row r="275">
      <c r="A275" s="28"/>
      <c r="B275" s="65"/>
      <c r="C275" s="122"/>
      <c r="D275" s="28"/>
      <c r="E275" s="28"/>
      <c r="F275" s="28"/>
      <c r="G275" s="28"/>
      <c r="H275" s="28"/>
      <c r="I275" s="123"/>
      <c r="J275" s="28"/>
    </row>
    <row r="276">
      <c r="A276" s="28"/>
      <c r="B276" s="65"/>
      <c r="C276" s="122"/>
      <c r="D276" s="28"/>
      <c r="E276" s="28"/>
      <c r="F276" s="28"/>
      <c r="G276" s="28"/>
      <c r="H276" s="28"/>
      <c r="I276" s="123"/>
      <c r="J276" s="28"/>
    </row>
    <row r="277">
      <c r="A277" s="28"/>
      <c r="B277" s="65"/>
      <c r="C277" s="122"/>
      <c r="D277" s="28"/>
      <c r="E277" s="28"/>
      <c r="F277" s="28"/>
      <c r="G277" s="28"/>
      <c r="H277" s="28"/>
      <c r="I277" s="123"/>
      <c r="J277" s="28"/>
    </row>
    <row r="278">
      <c r="A278" s="28"/>
      <c r="B278" s="65"/>
      <c r="C278" s="122"/>
      <c r="D278" s="28"/>
      <c r="E278" s="28"/>
      <c r="F278" s="28"/>
      <c r="G278" s="28"/>
      <c r="H278" s="28"/>
      <c r="I278" s="123"/>
      <c r="J278" s="28"/>
    </row>
    <row r="279">
      <c r="A279" s="28"/>
      <c r="B279" s="65"/>
      <c r="C279" s="122"/>
      <c r="D279" s="28"/>
      <c r="E279" s="28"/>
      <c r="F279" s="28"/>
      <c r="G279" s="28"/>
      <c r="H279" s="28"/>
      <c r="I279" s="123"/>
      <c r="J279" s="28"/>
    </row>
  </sheetData>
  <autoFilter ref="$A$1:$E$271"/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6.13"/>
    <col customWidth="1" min="3" max="3" width="18.13"/>
    <col customWidth="1" min="4" max="6" width="8.25"/>
    <col customWidth="1" min="7" max="7" width="11.88"/>
    <col customWidth="1" min="8" max="8" width="10.88"/>
    <col customWidth="1" min="9" max="9" width="6.88"/>
    <col customWidth="1" min="10" max="10" width="14.0"/>
    <col customWidth="1" min="11" max="11" width="8.13"/>
    <col customWidth="1" min="12" max="12" width="10.5"/>
    <col customWidth="1" min="13" max="14" width="10.88"/>
    <col customWidth="1" min="15" max="15" width="11.0"/>
    <col customWidth="1" min="16" max="16" width="10.88"/>
    <col customWidth="1" min="17" max="18" width="7.13"/>
    <col customWidth="1" min="19" max="19" width="10.5"/>
    <col customWidth="1" min="20" max="21" width="12.25"/>
    <col customWidth="1" min="22" max="23" width="9.63"/>
    <col customWidth="1" min="24" max="24" width="10.75"/>
    <col customWidth="1" min="25" max="25" width="10.38"/>
    <col customWidth="1" min="26" max="26" width="9.25"/>
    <col customWidth="1" min="27" max="28" width="8.5"/>
    <col customWidth="1" min="29" max="31" width="9.63"/>
    <col customWidth="1" min="32" max="32" width="10.63"/>
    <col customWidth="1" min="33" max="33" width="10.88"/>
    <col customWidth="1" min="34" max="34" width="7.63"/>
    <col customWidth="1" min="35" max="35" width="8.5"/>
    <col customWidth="1" min="36" max="36" width="7.38"/>
    <col customWidth="1" min="37" max="37" width="8.5"/>
    <col customWidth="1" min="38" max="39" width="13.88"/>
    <col customWidth="1" min="40" max="41" width="8.5"/>
    <col customWidth="1" min="42" max="42" width="11.0"/>
    <col customWidth="1" min="43" max="43" width="9.0"/>
    <col customWidth="1" min="44" max="44" width="13.63"/>
    <col customWidth="1" min="45" max="46" width="12.5"/>
    <col customWidth="1" min="47" max="47" width="11.25"/>
    <col customWidth="1" min="48" max="48" width="14.25"/>
    <col customWidth="1" min="49" max="49" width="16.75"/>
    <col customWidth="1" min="50" max="50" width="14.25"/>
    <col customWidth="1" min="51" max="51" width="13.5"/>
    <col customWidth="1" min="52" max="52" width="7.88"/>
    <col customWidth="1" min="53" max="53" width="8.88"/>
    <col customWidth="1" min="54" max="54" width="7.63"/>
  </cols>
  <sheetData>
    <row r="1">
      <c r="A1" s="104">
        <v>0.08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>
      <c r="A2" s="105"/>
      <c r="B2" s="106"/>
      <c r="C2" s="107"/>
      <c r="D2" s="108" t="s">
        <v>303</v>
      </c>
      <c r="E2" s="109" t="s">
        <v>306</v>
      </c>
      <c r="F2" s="109" t="s">
        <v>662</v>
      </c>
      <c r="G2" s="109" t="s">
        <v>309</v>
      </c>
      <c r="H2" s="109" t="s">
        <v>663</v>
      </c>
      <c r="I2" s="109" t="s">
        <v>311</v>
      </c>
      <c r="J2" s="110" t="s">
        <v>315</v>
      </c>
      <c r="K2" s="110" t="s">
        <v>73</v>
      </c>
      <c r="L2" s="110" t="s">
        <v>77</v>
      </c>
      <c r="M2" s="109" t="s">
        <v>321</v>
      </c>
      <c r="N2" s="109" t="s">
        <v>665</v>
      </c>
      <c r="O2" s="109" t="s">
        <v>87</v>
      </c>
      <c r="P2" s="109" t="s">
        <v>91</v>
      </c>
      <c r="Q2" s="109" t="s">
        <v>95</v>
      </c>
      <c r="R2" s="108" t="s">
        <v>100</v>
      </c>
      <c r="S2" s="109" t="s">
        <v>104</v>
      </c>
      <c r="T2" s="109" t="s">
        <v>110</v>
      </c>
      <c r="U2" s="111">
        <v>17.0</v>
      </c>
      <c r="V2" s="109" t="s">
        <v>117</v>
      </c>
      <c r="W2" s="109" t="s">
        <v>120</v>
      </c>
      <c r="X2" s="109" t="s">
        <v>123</v>
      </c>
      <c r="Y2" s="109" t="s">
        <v>130</v>
      </c>
      <c r="Z2" s="109" t="s">
        <v>134</v>
      </c>
      <c r="AA2" s="109" t="s">
        <v>139</v>
      </c>
      <c r="AB2" s="109" t="s">
        <v>144</v>
      </c>
      <c r="AC2" s="109" t="s">
        <v>150</v>
      </c>
      <c r="AD2" s="111" t="s">
        <v>342</v>
      </c>
      <c r="AE2" s="111" t="s">
        <v>154</v>
      </c>
      <c r="AF2" s="111" t="s">
        <v>159</v>
      </c>
      <c r="AG2" s="111" t="s">
        <v>346</v>
      </c>
      <c r="AH2" s="109" t="s">
        <v>162</v>
      </c>
      <c r="AI2" s="109" t="s">
        <v>167</v>
      </c>
      <c r="AJ2" s="109" t="s">
        <v>173</v>
      </c>
      <c r="AK2" s="109" t="s">
        <v>177</v>
      </c>
      <c r="AL2" s="109" t="s">
        <v>181</v>
      </c>
      <c r="AM2" s="109" t="s">
        <v>184</v>
      </c>
      <c r="AN2" s="109" t="s">
        <v>190</v>
      </c>
      <c r="AO2" s="109" t="s">
        <v>194</v>
      </c>
      <c r="AP2" s="109" t="s">
        <v>198</v>
      </c>
      <c r="AQ2" s="109" t="s">
        <v>203</v>
      </c>
      <c r="AR2" s="109">
        <v>91.0</v>
      </c>
      <c r="AS2" s="109">
        <v>92.0</v>
      </c>
      <c r="AT2" s="111" t="s">
        <v>380</v>
      </c>
      <c r="AU2" s="109">
        <v>93.0</v>
      </c>
      <c r="AV2" s="108" t="s">
        <v>368</v>
      </c>
      <c r="AW2" s="110" t="s">
        <v>391</v>
      </c>
      <c r="AX2" s="108" t="s">
        <v>410</v>
      </c>
      <c r="AY2" s="108" t="s">
        <v>260</v>
      </c>
      <c r="AZ2" s="109" t="s">
        <v>264</v>
      </c>
      <c r="BA2" s="109" t="s">
        <v>267</v>
      </c>
      <c r="BB2" s="109" t="s">
        <v>271</v>
      </c>
    </row>
    <row r="3">
      <c r="A3" s="28"/>
      <c r="B3" s="112"/>
      <c r="C3" s="112"/>
      <c r="D3" s="113" t="s">
        <v>667</v>
      </c>
      <c r="E3" s="113" t="s">
        <v>669</v>
      </c>
      <c r="F3" s="113" t="s">
        <v>669</v>
      </c>
      <c r="G3" s="113" t="s">
        <v>671</v>
      </c>
      <c r="H3" s="113" t="s">
        <v>672</v>
      </c>
      <c r="I3" s="113" t="s">
        <v>673</v>
      </c>
      <c r="J3" s="114" t="s">
        <v>674</v>
      </c>
      <c r="K3" s="114" t="s">
        <v>675</v>
      </c>
      <c r="L3" s="114" t="s">
        <v>676</v>
      </c>
      <c r="M3" s="113" t="s">
        <v>677</v>
      </c>
      <c r="N3" s="113" t="s">
        <v>678</v>
      </c>
      <c r="O3" s="113" t="s">
        <v>679</v>
      </c>
      <c r="P3" s="113" t="s">
        <v>680</v>
      </c>
      <c r="Q3" s="113" t="s">
        <v>681</v>
      </c>
      <c r="R3" s="113" t="s">
        <v>682</v>
      </c>
      <c r="S3" s="113" t="s">
        <v>683</v>
      </c>
      <c r="T3" s="113" t="s">
        <v>684</v>
      </c>
      <c r="U3" s="114" t="s">
        <v>685</v>
      </c>
      <c r="V3" s="114" t="s">
        <v>686</v>
      </c>
      <c r="W3" s="114" t="s">
        <v>687</v>
      </c>
      <c r="X3" s="113" t="s">
        <v>688</v>
      </c>
      <c r="Y3" s="113" t="s">
        <v>689</v>
      </c>
      <c r="Z3" s="113" t="s">
        <v>690</v>
      </c>
      <c r="AA3" s="113" t="s">
        <v>691</v>
      </c>
      <c r="AB3" s="113" t="s">
        <v>692</v>
      </c>
      <c r="AC3" s="113" t="s">
        <v>693</v>
      </c>
      <c r="AD3" s="113" t="s">
        <v>693</v>
      </c>
      <c r="AE3" s="114" t="s">
        <v>675</v>
      </c>
      <c r="AF3" s="114" t="s">
        <v>676</v>
      </c>
      <c r="AG3" s="114" t="s">
        <v>676</v>
      </c>
      <c r="AH3" s="113" t="s">
        <v>694</v>
      </c>
      <c r="AI3" s="113" t="s">
        <v>695</v>
      </c>
      <c r="AJ3" s="113" t="s">
        <v>696</v>
      </c>
      <c r="AK3" s="113" t="s">
        <v>697</v>
      </c>
      <c r="AL3" s="113" t="s">
        <v>698</v>
      </c>
      <c r="AM3" s="113" t="s">
        <v>699</v>
      </c>
      <c r="AN3" s="113" t="s">
        <v>700</v>
      </c>
      <c r="AO3" s="113" t="s">
        <v>701</v>
      </c>
      <c r="AP3" s="113" t="s">
        <v>702</v>
      </c>
      <c r="AQ3" s="113" t="s">
        <v>703</v>
      </c>
      <c r="AR3" s="114" t="s">
        <v>704</v>
      </c>
      <c r="AS3" s="114" t="s">
        <v>705</v>
      </c>
      <c r="AT3" s="114" t="s">
        <v>706</v>
      </c>
      <c r="AU3" s="114" t="s">
        <v>707</v>
      </c>
      <c r="AV3" s="114" t="s">
        <v>708</v>
      </c>
      <c r="AW3" s="114" t="s">
        <v>708</v>
      </c>
      <c r="AX3" s="114" t="s">
        <v>709</v>
      </c>
      <c r="AY3" s="114" t="s">
        <v>710</v>
      </c>
      <c r="AZ3" s="113" t="s">
        <v>711</v>
      </c>
      <c r="BA3" s="113" t="s">
        <v>712</v>
      </c>
      <c r="BB3" s="113" t="s">
        <v>713</v>
      </c>
    </row>
    <row r="4">
      <c r="A4" s="116">
        <f t="shared" ref="A4:A29" si="1">COUNT(D4:BB4)</f>
        <v>37</v>
      </c>
      <c r="B4" s="117">
        <v>5000.0</v>
      </c>
      <c r="C4" s="118" t="s">
        <v>300</v>
      </c>
      <c r="D4" s="119">
        <f t="array" ref="D4">IFERROR(VLOOKUP($C4&amp;D$2,{MASTER!$Y$2:$Y992,MASTER!$F$2:$F992},2,0),"")</f>
        <v>1390</v>
      </c>
      <c r="E4" s="119">
        <f t="array" ref="E4">IFERROR(VLOOKUP($C4&amp;E$2,{MASTER!$Y$2:$Y992,MASTER!$F$2:$F992},2,0),"")</f>
        <v>3240</v>
      </c>
      <c r="F4" s="119" t="str">
        <f t="array" ref="F4">IFERROR(VLOOKUP($C4&amp;F$2,{MASTER!$Y$2:$Y992,MASTER!$F$2:$F992},2,0),"")</f>
        <v/>
      </c>
      <c r="G4" s="119">
        <f t="array" ref="G4">IFERROR(VLOOKUP($C4&amp;G$2,{MASTER!$Y$2:$Y992,MASTER!$F$2:$F992},2,0),"")</f>
        <v>2090</v>
      </c>
      <c r="H4" s="119" t="str">
        <f t="array" ref="H4">IFERROR(VLOOKUP($C4&amp;H$2,{MASTER!$Y$2:$Y992,MASTER!$F$2:$F992},2,0),"")</f>
        <v/>
      </c>
      <c r="I4" s="119">
        <f t="array" ref="I4">IFERROR(VLOOKUP($C4&amp;I$2,{MASTER!$Y$2:$Y992,MASTER!$F$2:$F992},2,0),"")</f>
        <v>1180</v>
      </c>
      <c r="J4" s="119">
        <f t="array" ref="J4">IFERROR(VLOOKUP($C4&amp;J$2,{MASTER!$Y$2:$Y992,MASTER!$F$2:$F992},2,0),"")</f>
        <v>2850</v>
      </c>
      <c r="K4" s="119">
        <f t="array" ref="K4">IFERROR(VLOOKUP($C4&amp;K$2,{MASTER!$Y$2:$Y992,MASTER!$F$2:$F992},2,0),"")</f>
        <v>1490</v>
      </c>
      <c r="L4" s="119">
        <f t="array" ref="L4">IFERROR(VLOOKUP($C4&amp;L$2,{MASTER!$Y$2:$Y992,MASTER!$F$2:$F992},2,0),"")</f>
        <v>1360</v>
      </c>
      <c r="M4" s="119">
        <f t="array" ref="M4">IFERROR(VLOOKUP($C4&amp;M$2,{MASTER!$Y$2:$Y992,MASTER!$F$2:$F992},2,0),"")</f>
        <v>1390</v>
      </c>
      <c r="N4" s="119" t="str">
        <f t="array" ref="N4">IFERROR(VLOOKUP($C4&amp;N$2,{MASTER!$Y$2:$Y992,MASTER!$F$2:$F992},2,0),"")</f>
        <v/>
      </c>
      <c r="O4" s="119">
        <f t="array" ref="O4">IFERROR(VLOOKUP($C4&amp;O$2,{MASTER!$Y$2:$Y992,MASTER!$F$2:$F992},2,0),"")</f>
        <v>890</v>
      </c>
      <c r="P4" s="119">
        <f t="array" ref="P4">IFERROR(VLOOKUP($C4&amp;P$2,{MASTER!$Y$2:$Y992,MASTER!$F$2:$F992},2,0),"")</f>
        <v>1740</v>
      </c>
      <c r="Q4" s="119">
        <f t="array" ref="Q4">IFERROR(VLOOKUP($C4&amp;Q$2,{MASTER!$Y$2:$Y992,MASTER!$F$2:$F992},2,0),"")</f>
        <v>1880</v>
      </c>
      <c r="R4" s="119" t="str">
        <f t="array" ref="R4">IFERROR(VLOOKUP($C4&amp;R$2,{MASTER!$Y$2:$Y992,MASTER!$F$2:$F992},2,0),"")</f>
        <v/>
      </c>
      <c r="S4" s="119">
        <f t="array" ref="S4">IFERROR(VLOOKUP($C4&amp;S$2,{MASTER!$Y$2:$Y992,MASTER!$F$2:$F992},2,0),"")</f>
        <v>1990</v>
      </c>
      <c r="T4" s="119">
        <f t="array" ref="T4">IFERROR(VLOOKUP($C4&amp;T$2,{MASTER!$Y$2:$Y992,MASTER!$F$2:$F992},2,0),"")</f>
        <v>1840</v>
      </c>
      <c r="U4" s="119">
        <f t="array" ref="U4">IFERROR(VLOOKUP($C4&amp;U$2,{MASTER!$Y$2:$Y992,MASTER!$F$2:$F992},2,0),"")</f>
        <v>1990</v>
      </c>
      <c r="V4" s="119">
        <f t="array" ref="V4">IFERROR(VLOOKUP($C4&amp;V$2,{MASTER!$Y$2:$Y992,MASTER!$F$2:$F992},2,0),"")</f>
        <v>1380</v>
      </c>
      <c r="W4" s="119">
        <f t="array" ref="W4">IFERROR(VLOOKUP($C4&amp;W$2,{MASTER!$Y$2:$Y992,MASTER!$F$2:$F992},2,0),"")</f>
        <v>1420</v>
      </c>
      <c r="X4" s="119" t="str">
        <f t="array" ref="X4">IFERROR(VLOOKUP($C4&amp;X$2,{MASTER!$Y$2:$Y992,MASTER!$F$2:$F992},2,0),"")</f>
        <v/>
      </c>
      <c r="Y4" s="119" t="str">
        <f t="array" ref="Y4">IFERROR(VLOOKUP($C4&amp;Y$2,{MASTER!$Y$2:$Y992,MASTER!$F$2:$F992},2,0),"")</f>
        <v/>
      </c>
      <c r="Z4" s="119">
        <f t="array" ref="Z4">IFERROR(VLOOKUP($C4&amp;Z$2,{MASTER!$Y$2:$Y992,MASTER!$F$2:$F992},2,0),"")</f>
        <v>3270</v>
      </c>
      <c r="AA4" s="119">
        <f t="array" ref="AA4">IFERROR(VLOOKUP($C4&amp;AA$2,{MASTER!$Y$2:$Y992,MASTER!$F$2:$F992},2,0),"")</f>
        <v>3680</v>
      </c>
      <c r="AB4" s="119">
        <f t="array" ref="AB4">IFERROR(VLOOKUP($C4&amp;AB$2,{MASTER!$Y$2:$Y992,MASTER!$F$2:$F992},2,0),"")</f>
        <v>5880</v>
      </c>
      <c r="AC4" s="119" t="str">
        <f t="array" ref="AC4">IFERROR(VLOOKUP($C4&amp;AC$2,{MASTER!$Y$2:$Y992,MASTER!$F$2:$F992},2,0),"")</f>
        <v/>
      </c>
      <c r="AD4" s="119">
        <f t="array" ref="AD4">IFERROR(VLOOKUP($C4&amp;AD$2,{MASTER!$Y$2:$Y992,MASTER!$F$2:$F992},2,0),"")</f>
        <v>6130</v>
      </c>
      <c r="AE4" s="119">
        <f t="array" ref="AE4">IFERROR(VLOOKUP($C4&amp;AE$2,{MASTER!$Y$2:$Y992,MASTER!$F$2:$F992},2,0),"")</f>
        <v>3990</v>
      </c>
      <c r="AF4" s="119" t="str">
        <f t="array" ref="AF4">IFERROR(VLOOKUP($C4&amp;AF$2,{MASTER!$Y$2:$Y992,MASTER!$F$2:$F992},2,0),"")</f>
        <v/>
      </c>
      <c r="AG4" s="119">
        <f t="array" ref="AG4">IFERROR(VLOOKUP($C4&amp;AG$2,{MASTER!$Y$2:$Y992,MASTER!$F$2:$F992},2,0),"")</f>
        <v>2140</v>
      </c>
      <c r="AH4" s="119">
        <f t="array" ref="AH4">IFERROR(VLOOKUP($C4&amp;AH$2,{MASTER!$Y$2:$Y992,MASTER!$F$2:$F992},2,0),"")</f>
        <v>3880</v>
      </c>
      <c r="AI4" s="119" t="str">
        <f t="array" ref="AI4">IFERROR(VLOOKUP($C4&amp;AI$2,{MASTER!$Y$2:$Y992,MASTER!$F$2:$F992},2,0),"")</f>
        <v/>
      </c>
      <c r="AJ4" s="119" t="str">
        <f t="array" ref="AJ4">IFERROR(VLOOKUP($C4&amp;AJ$2,{MASTER!$Y$2:$Y992,MASTER!$F$2:$F992},2,0),"")</f>
        <v/>
      </c>
      <c r="AK4" s="119" t="str">
        <f t="array" ref="AK4">IFERROR(VLOOKUP($C4&amp;AK$2,{MASTER!$Y$2:$Y992,MASTER!$F$2:$F992},2,0),"")</f>
        <v/>
      </c>
      <c r="AL4" s="119">
        <f t="array" ref="AL4">IFERROR(VLOOKUP($C4&amp;AL$2,{MASTER!$Y$2:$Y992,MASTER!$F$2:$F992},2,0),"")</f>
        <v>3980</v>
      </c>
      <c r="AM4" s="119">
        <f t="array" ref="AM4">IFERROR(VLOOKUP($C4&amp;AM$2,{MASTER!$Y$2:$Y992,MASTER!$F$2:$F992},2,0),"")</f>
        <v>5380</v>
      </c>
      <c r="AN4" s="119" t="str">
        <f t="array" ref="AN4">IFERROR(VLOOKUP($C4&amp;AN$2,{MASTER!$Y$2:$Y992,MASTER!$F$2:$F992},2,0),"")</f>
        <v/>
      </c>
      <c r="AO4" s="119">
        <f t="array" ref="AO4">IFERROR(VLOOKUP($C4&amp;AO$2,{MASTER!$Y$2:$Y992,MASTER!$F$2:$F992},2,0),"")</f>
        <v>5380</v>
      </c>
      <c r="AP4" s="119" t="str">
        <f t="array" ref="AP4">IFERROR(VLOOKUP($C4&amp;AP$2,{MASTER!$Y$2:$Y992,MASTER!$F$2:$F992},2,0),"")</f>
        <v/>
      </c>
      <c r="AQ4" s="119">
        <f t="array" ref="AQ4">IFERROR(VLOOKUP($C4&amp;AQ$2,{MASTER!$Y$2:$Y992,MASTER!$F$2:$F992},2,0),"")</f>
        <v>6280</v>
      </c>
      <c r="AR4" s="119">
        <f t="array" ref="AR4">IFERROR(VLOOKUP($C4&amp;AR$2,{MASTER!$Y$2:$Y992,MASTER!$F$2:$F992},2,0),"")</f>
        <v>6540</v>
      </c>
      <c r="AS4" s="119">
        <f t="array" ref="AS4">IFERROR(VLOOKUP($C4&amp;AS$2,{MASTER!$Y$2:$Y992,MASTER!$F$2:$F992},2,0),"")</f>
        <v>7450</v>
      </c>
      <c r="AT4" s="119">
        <f t="array" ref="AT4">IFERROR(VLOOKUP($C4&amp;AT$2,{MASTER!$Y$2:$Y992,MASTER!$F$2:$F992},2,0),"")</f>
        <v>7450</v>
      </c>
      <c r="AU4" s="119">
        <f t="array" ref="AU4">IFERROR(VLOOKUP($C4&amp;AU$2,{MASTER!$Y$2:$Y992,MASTER!$F$2:$F992},2,0),"")</f>
        <v>7450</v>
      </c>
      <c r="AV4" s="119">
        <f t="array" ref="AV4">IFERROR(VLOOKUP($C4&amp;AV$2,{MASTER!$Y$2:$Y992,MASTER!$F$2:$F992},2,0),"")</f>
        <v>7450</v>
      </c>
      <c r="AW4" s="119">
        <f t="array" ref="AW4">IFERROR(VLOOKUP($C4&amp;AW$2,{MASTER!$Y$2:$Y992,MASTER!$F$2:$F992},2,0),"")</f>
        <v>7450</v>
      </c>
      <c r="AX4" s="119">
        <f t="array" ref="AX4">IFERROR(VLOOKUP($C4&amp;AX$2,{MASTER!$Y$2:$Y992,MASTER!$F$2:$F992},2,0),"")</f>
        <v>7450</v>
      </c>
      <c r="AY4" s="119" t="str">
        <f t="array" ref="AY4">IFERROR(VLOOKUP($C4&amp;AY$2,{MASTER!$Y$2:$Y992,MASTER!$F$2:$F992},2,0),"")</f>
        <v/>
      </c>
      <c r="AZ4" s="119">
        <f t="array" ref="AZ4">IFERROR(VLOOKUP($C4&amp;AZ$2,{MASTER!$Y$2:$Y992,MASTER!$F$2:$F992},2,0),"")</f>
        <v>1290</v>
      </c>
      <c r="BA4" s="119">
        <f t="array" ref="BA4">IFERROR(VLOOKUP($C4&amp;BA$2,{MASTER!$Y$2:$Y992,MASTER!$F$2:$F992},2,0),"")</f>
        <v>2160</v>
      </c>
      <c r="BB4" s="119">
        <f t="array" ref="BB4">IFERROR(VLOOKUP($C4&amp;BB$2,{MASTER!$Y$2:$Y992,MASTER!$F$2:$F992},2,0),"")</f>
        <v>2380</v>
      </c>
    </row>
    <row r="5">
      <c r="A5" s="116">
        <f t="shared" si="1"/>
        <v>34</v>
      </c>
      <c r="B5" s="120"/>
      <c r="C5" s="118" t="s">
        <v>422</v>
      </c>
      <c r="D5" s="119">
        <f t="array" ref="D5">IFERROR(VLOOKUP($C5&amp;D$2,{MASTER!$Y$2:$Y992,MASTER!$F$2:$F992},2,0),"")</f>
        <v>1390</v>
      </c>
      <c r="E5" s="119" t="str">
        <f t="array" ref="E5">IFERROR(VLOOKUP($C5&amp;E$2,{MASTER!$Y$2:$Y992,MASTER!$F$2:$F992},2,0),"")</f>
        <v/>
      </c>
      <c r="F5" s="119" t="str">
        <f t="array" ref="F5">IFERROR(VLOOKUP($C5&amp;F$2,{MASTER!$Y$2:$Y992,MASTER!$F$2:$F992},2,0),"")</f>
        <v/>
      </c>
      <c r="G5" s="119" t="str">
        <f t="array" ref="G5">IFERROR(VLOOKUP($C5&amp;G$2,{MASTER!$Y$2:$Y992,MASTER!$F$2:$F992},2,0),"")</f>
        <v/>
      </c>
      <c r="H5" s="119" t="str">
        <f t="array" ref="H5">IFERROR(VLOOKUP($C5&amp;H$2,{MASTER!$Y$2:$Y992,MASTER!$F$2:$F992},2,0),"")</f>
        <v/>
      </c>
      <c r="I5" s="119">
        <f t="array" ref="I5">IFERROR(VLOOKUP($C5&amp;I$2,{MASTER!$Y$2:$Y992,MASTER!$F$2:$F992},2,0),"")</f>
        <v>1140</v>
      </c>
      <c r="J5" s="119">
        <f t="array" ref="J5">IFERROR(VLOOKUP($C5&amp;J$2,{MASTER!$Y$2:$Y992,MASTER!$F$2:$F992},2,0),"")</f>
        <v>2840</v>
      </c>
      <c r="K5" s="119">
        <f t="array" ref="K5">IFERROR(VLOOKUP($C5&amp;K$2,{MASTER!$Y$2:$Y992,MASTER!$F$2:$F992},2,0),"")</f>
        <v>1490</v>
      </c>
      <c r="L5" s="119">
        <f t="array" ref="L5">IFERROR(VLOOKUP($C5&amp;L$2,{MASTER!$Y$2:$Y992,MASTER!$F$2:$F992},2,0),"")</f>
        <v>1350</v>
      </c>
      <c r="M5" s="119">
        <f t="array" ref="M5">IFERROR(VLOOKUP($C5&amp;M$2,{MASTER!$Y$2:$Y992,MASTER!$F$2:$F992},2,0),"")</f>
        <v>1350</v>
      </c>
      <c r="N5" s="119" t="str">
        <f t="array" ref="N5">IFERROR(VLOOKUP($C5&amp;N$2,{MASTER!$Y$2:$Y992,MASTER!$F$2:$F992},2,0),"")</f>
        <v/>
      </c>
      <c r="O5" s="119">
        <f t="array" ref="O5">IFERROR(VLOOKUP($C5&amp;O$2,{MASTER!$Y$2:$Y992,MASTER!$F$2:$F992},2,0),"")</f>
        <v>860</v>
      </c>
      <c r="P5" s="119">
        <f t="array" ref="P5">IFERROR(VLOOKUP($C5&amp;P$2,{MASTER!$Y$2:$Y992,MASTER!$F$2:$F992},2,0),"")</f>
        <v>1690</v>
      </c>
      <c r="Q5" s="119">
        <f t="array" ref="Q5">IFERROR(VLOOKUP($C5&amp;Q$2,{MASTER!$Y$2:$Y992,MASTER!$F$2:$F992},2,0),"")</f>
        <v>1880</v>
      </c>
      <c r="R5" s="119" t="str">
        <f t="array" ref="R5">IFERROR(VLOOKUP($C5&amp;R$2,{MASTER!$Y$2:$Y992,MASTER!$F$2:$F992},2,0),"")</f>
        <v/>
      </c>
      <c r="S5" s="119">
        <f t="array" ref="S5">IFERROR(VLOOKUP($C5&amp;S$2,{MASTER!$Y$2:$Y992,MASTER!$F$2:$F992},2,0),"")</f>
        <v>1990</v>
      </c>
      <c r="T5" s="119">
        <f t="array" ref="T5">IFERROR(VLOOKUP($C5&amp;T$2,{MASTER!$Y$2:$Y992,MASTER!$F$2:$F992},2,0),"")</f>
        <v>1790</v>
      </c>
      <c r="U5" s="119">
        <f t="array" ref="U5">IFERROR(VLOOKUP($C5&amp;U$2,{MASTER!$Y$2:$Y992,MASTER!$F$2:$F992},2,0),"")</f>
        <v>1990</v>
      </c>
      <c r="V5" s="119">
        <f t="array" ref="V5">IFERROR(VLOOKUP($C5&amp;V$2,{MASTER!$Y$2:$Y992,MASTER!$F$2:$F992},2,0),"")</f>
        <v>1390</v>
      </c>
      <c r="W5" s="119">
        <f t="array" ref="W5">IFERROR(VLOOKUP($C5&amp;W$2,{MASTER!$Y$2:$Y992,MASTER!$F$2:$F992},2,0),"")</f>
        <v>1430</v>
      </c>
      <c r="X5" s="119" t="str">
        <f t="array" ref="X5">IFERROR(VLOOKUP($C5&amp;X$2,{MASTER!$Y$2:$Y992,MASTER!$F$2:$F992},2,0),"")</f>
        <v/>
      </c>
      <c r="Y5" s="119" t="str">
        <f t="array" ref="Y5">IFERROR(VLOOKUP($C5&amp;Y$2,{MASTER!$Y$2:$Y992,MASTER!$F$2:$F992},2,0),"")</f>
        <v/>
      </c>
      <c r="Z5" s="119">
        <f t="array" ref="Z5">IFERROR(VLOOKUP($C5&amp;Z$2,{MASTER!$Y$2:$Y992,MASTER!$F$2:$F992},2,0),"")</f>
        <v>3260</v>
      </c>
      <c r="AA5" s="119">
        <f t="array" ref="AA5">IFERROR(VLOOKUP($C5&amp;AA$2,{MASTER!$Y$2:$Y992,MASTER!$F$2:$F992},2,0),"")</f>
        <v>4280</v>
      </c>
      <c r="AB5" s="119" t="str">
        <f t="array" ref="AB5">IFERROR(VLOOKUP($C5&amp;AB$2,{MASTER!$Y$2:$Y992,MASTER!$F$2:$F992},2,0),"")</f>
        <v/>
      </c>
      <c r="AC5" s="119" t="str">
        <f t="array" ref="AC5">IFERROR(VLOOKUP($C5&amp;AC$2,{MASTER!$Y$2:$Y992,MASTER!$F$2:$F992},2,0),"")</f>
        <v/>
      </c>
      <c r="AD5" s="119">
        <f t="array" ref="AD5">IFERROR(VLOOKUP($C5&amp;AD$2,{MASTER!$Y$2:$Y992,MASTER!$F$2:$F992},2,0),"")</f>
        <v>6230</v>
      </c>
      <c r="AE5" s="119">
        <f t="array" ref="AE5">IFERROR(VLOOKUP($C5&amp;AE$2,{MASTER!$Y$2:$Y992,MASTER!$F$2:$F992},2,0),"")</f>
        <v>3990</v>
      </c>
      <c r="AF5" s="119" t="str">
        <f t="array" ref="AF5">IFERROR(VLOOKUP($C5&amp;AF$2,{MASTER!$Y$2:$Y992,MASTER!$F$2:$F992},2,0),"")</f>
        <v/>
      </c>
      <c r="AG5" s="119">
        <f t="array" ref="AG5">IFERROR(VLOOKUP($C5&amp;AG$2,{MASTER!$Y$2:$Y992,MASTER!$F$2:$F992},2,0),"")</f>
        <v>2240</v>
      </c>
      <c r="AH5" s="119">
        <f t="array" ref="AH5">IFERROR(VLOOKUP($C5&amp;AH$2,{MASTER!$Y$2:$Y992,MASTER!$F$2:$F992},2,0),"")</f>
        <v>3840</v>
      </c>
      <c r="AI5" s="119" t="str">
        <f t="array" ref="AI5">IFERROR(VLOOKUP($C5&amp;AI$2,{MASTER!$Y$2:$Y992,MASTER!$F$2:$F992},2,0),"")</f>
        <v/>
      </c>
      <c r="AJ5" s="119" t="str">
        <f t="array" ref="AJ5">IFERROR(VLOOKUP($C5&amp;AJ$2,{MASTER!$Y$2:$Y992,MASTER!$F$2:$F992},2,0),"")</f>
        <v/>
      </c>
      <c r="AK5" s="119" t="str">
        <f t="array" ref="AK5">IFERROR(VLOOKUP($C5&amp;AK$2,{MASTER!$Y$2:$Y992,MASTER!$F$2:$F992},2,0),"")</f>
        <v/>
      </c>
      <c r="AL5" s="119">
        <f t="array" ref="AL5">IFERROR(VLOOKUP($C5&amp;AL$2,{MASTER!$Y$2:$Y992,MASTER!$F$2:$F992},2,0),"")</f>
        <v>3990</v>
      </c>
      <c r="AM5" s="119">
        <f t="array" ref="AM5">IFERROR(VLOOKUP($C5&amp;AM$2,{MASTER!$Y$2:$Y992,MASTER!$F$2:$F992},2,0),"")</f>
        <v>5340</v>
      </c>
      <c r="AN5" s="119" t="str">
        <f t="array" ref="AN5">IFERROR(VLOOKUP($C5&amp;AN$2,{MASTER!$Y$2:$Y992,MASTER!$F$2:$F992},2,0),"")</f>
        <v/>
      </c>
      <c r="AO5" s="119">
        <f t="array" ref="AO5">IFERROR(VLOOKUP($C5&amp;AO$2,{MASTER!$Y$2:$Y992,MASTER!$F$2:$F992},2,0),"")</f>
        <v>5340</v>
      </c>
      <c r="AP5" s="119" t="str">
        <f t="array" ref="AP5">IFERROR(VLOOKUP($C5&amp;AP$2,{MASTER!$Y$2:$Y992,MASTER!$F$2:$F992},2,0),"")</f>
        <v/>
      </c>
      <c r="AQ5" s="119">
        <f t="array" ref="AQ5">IFERROR(VLOOKUP($C5&amp;AQ$2,{MASTER!$Y$2:$Y992,MASTER!$F$2:$F992},2,0),"")</f>
        <v>6240</v>
      </c>
      <c r="AR5" s="119">
        <f t="array" ref="AR5">IFERROR(VLOOKUP($C5&amp;AR$2,{MASTER!$Y$2:$Y992,MASTER!$F$2:$F992},2,0),"")</f>
        <v>6470</v>
      </c>
      <c r="AS5" s="119">
        <f t="array" ref="AS5">IFERROR(VLOOKUP($C5&amp;AS$2,{MASTER!$Y$2:$Y992,MASTER!$F$2:$F992},2,0),"")</f>
        <v>7380</v>
      </c>
      <c r="AT5" s="119">
        <f t="array" ref="AT5">IFERROR(VLOOKUP($C5&amp;AT$2,{MASTER!$Y$2:$Y992,MASTER!$F$2:$F992},2,0),"")</f>
        <v>7380</v>
      </c>
      <c r="AU5" s="119">
        <f t="array" ref="AU5">IFERROR(VLOOKUP($C5&amp;AU$2,{MASTER!$Y$2:$Y992,MASTER!$F$2:$F992},2,0),"")</f>
        <v>7380</v>
      </c>
      <c r="AV5" s="119">
        <f t="array" ref="AV5">IFERROR(VLOOKUP($C5&amp;AV$2,{MASTER!$Y$2:$Y992,MASTER!$F$2:$F992},2,0),"")</f>
        <v>7380</v>
      </c>
      <c r="AW5" s="119">
        <f t="array" ref="AW5">IFERROR(VLOOKUP($C5&amp;AW$2,{MASTER!$Y$2:$Y992,MASTER!$F$2:$F992},2,0),"")</f>
        <v>7380</v>
      </c>
      <c r="AX5" s="119">
        <f t="array" ref="AX5">IFERROR(VLOOKUP($C5&amp;AX$2,{MASTER!$Y$2:$Y992,MASTER!$F$2:$F992},2,0),"")</f>
        <v>7380</v>
      </c>
      <c r="AY5" s="119" t="str">
        <f t="array" ref="AY5">IFERROR(VLOOKUP($C5&amp;AY$2,{MASTER!$Y$2:$Y992,MASTER!$F$2:$F992},2,0),"")</f>
        <v/>
      </c>
      <c r="AZ5" s="119">
        <f t="array" ref="AZ5">IFERROR(VLOOKUP($C5&amp;AZ$2,{MASTER!$Y$2:$Y992,MASTER!$F$2:$F992},2,0),"")</f>
        <v>1290</v>
      </c>
      <c r="BA5" s="119">
        <f t="array" ref="BA5">IFERROR(VLOOKUP($C5&amp;BA$2,{MASTER!$Y$2:$Y992,MASTER!$F$2:$F992},2,0),"")</f>
        <v>2080</v>
      </c>
      <c r="BB5" s="119">
        <f t="array" ref="BB5">IFERROR(VLOOKUP($C5&amp;BB$2,{MASTER!$Y$2:$Y992,MASTER!$F$2:$F992},2,0),"")</f>
        <v>2380</v>
      </c>
    </row>
    <row r="6">
      <c r="A6" s="116">
        <f t="shared" si="1"/>
        <v>34</v>
      </c>
      <c r="B6" s="120"/>
      <c r="C6" s="118" t="s">
        <v>511</v>
      </c>
      <c r="D6" s="119">
        <f t="array" ref="D6">IFERROR(VLOOKUP($C6&amp;D$2,{MASTER!$Y$2:$Y992,MASTER!$F$2:$F992},2,0),"")</f>
        <v>1590</v>
      </c>
      <c r="E6" s="119" t="str">
        <f t="array" ref="E6">IFERROR(VLOOKUP($C6&amp;E$2,{MASTER!$Y$2:$Y992,MASTER!$F$2:$F992},2,0),"")</f>
        <v/>
      </c>
      <c r="F6" s="119" t="str">
        <f t="array" ref="F6">IFERROR(VLOOKUP($C6&amp;F$2,{MASTER!$Y$2:$Y992,MASTER!$F$2:$F992},2,0),"")</f>
        <v/>
      </c>
      <c r="G6" s="119">
        <f t="array" ref="G6">IFERROR(VLOOKUP($C6&amp;G$2,{MASTER!$Y$2:$Y992,MASTER!$F$2:$F992},2,0),"")</f>
        <v>2440</v>
      </c>
      <c r="H6" s="119" t="str">
        <f t="array" ref="H6">IFERROR(VLOOKUP($C6&amp;H$2,{MASTER!$Y$2:$Y992,MASTER!$F$2:$F992},2,0),"")</f>
        <v/>
      </c>
      <c r="I6" s="119">
        <f t="array" ref="I6">IFERROR(VLOOKUP($C6&amp;I$2,{MASTER!$Y$2:$Y992,MASTER!$F$2:$F992},2,0),"")</f>
        <v>1540</v>
      </c>
      <c r="J6" s="119">
        <f t="array" ref="J6">IFERROR(VLOOKUP($C6&amp;J$2,{MASTER!$Y$2:$Y992,MASTER!$F$2:$F992},2,0),"")</f>
        <v>2850</v>
      </c>
      <c r="K6" s="119">
        <f t="array" ref="K6">IFERROR(VLOOKUP($C6&amp;K$2,{MASTER!$Y$2:$Y992,MASTER!$F$2:$F992},2,0),"")</f>
        <v>1490</v>
      </c>
      <c r="L6" s="119">
        <f t="array" ref="L6">IFERROR(VLOOKUP($C6&amp;L$2,{MASTER!$Y$2:$Y992,MASTER!$F$2:$F992},2,0),"")</f>
        <v>1360</v>
      </c>
      <c r="M6" s="119">
        <f t="array" ref="M6">IFERROR(VLOOKUP($C6&amp;M$2,{MASTER!$Y$2:$Y992,MASTER!$F$2:$F992},2,0),"")</f>
        <v>1640</v>
      </c>
      <c r="N6" s="119" t="str">
        <f t="array" ref="N6">IFERROR(VLOOKUP($C6&amp;N$2,{MASTER!$Y$2:$Y992,MASTER!$F$2:$F992},2,0),"")</f>
        <v/>
      </c>
      <c r="O6" s="119">
        <f t="array" ref="O6">IFERROR(VLOOKUP($C6&amp;O$2,{MASTER!$Y$2:$Y992,MASTER!$F$2:$F992},2,0),"")</f>
        <v>930</v>
      </c>
      <c r="P6" s="119">
        <f t="array" ref="P6">IFERROR(VLOOKUP($C6&amp;P$2,{MASTER!$Y$2:$Y992,MASTER!$F$2:$F992},2,0),"")</f>
        <v>1730</v>
      </c>
      <c r="Q6" s="119">
        <f t="array" ref="Q6">IFERROR(VLOOKUP($C6&amp;Q$2,{MASTER!$Y$2:$Y992,MASTER!$F$2:$F992},2,0),"")</f>
        <v>2180</v>
      </c>
      <c r="R6" s="119" t="str">
        <f t="array" ref="R6">IFERROR(VLOOKUP($C6&amp;R$2,{MASTER!$Y$2:$Y992,MASTER!$F$2:$F992},2,0),"")</f>
        <v/>
      </c>
      <c r="S6" s="119">
        <f t="array" ref="S6">IFERROR(VLOOKUP($C6&amp;S$2,{MASTER!$Y$2:$Y992,MASTER!$F$2:$F992},2,0),"")</f>
        <v>2060</v>
      </c>
      <c r="T6" s="119">
        <f t="array" ref="T6">IFERROR(VLOOKUP($C6&amp;T$2,{MASTER!$Y$2:$Y992,MASTER!$F$2:$F992},2,0),"")</f>
        <v>1840</v>
      </c>
      <c r="U6" s="119">
        <f t="array" ref="U6">IFERROR(VLOOKUP($C6&amp;U$2,{MASTER!$Y$2:$Y992,MASTER!$F$2:$F992},2,0),"")</f>
        <v>1970</v>
      </c>
      <c r="V6" s="119">
        <f t="array" ref="V6">IFERROR(VLOOKUP($C6&amp;V$2,{MASTER!$Y$2:$Y992,MASTER!$F$2:$F992},2,0),"")</f>
        <v>1410</v>
      </c>
      <c r="W6" s="119">
        <f t="array" ref="W6">IFERROR(VLOOKUP($C6&amp;W$2,{MASTER!$Y$2:$Y992,MASTER!$F$2:$F992},2,0),"")</f>
        <v>1450</v>
      </c>
      <c r="X6" s="119" t="str">
        <f t="array" ref="X6">IFERROR(VLOOKUP($C6&amp;X$2,{MASTER!$Y$2:$Y992,MASTER!$F$2:$F992},2,0),"")</f>
        <v/>
      </c>
      <c r="Y6" s="119" t="str">
        <f t="array" ref="Y6">IFERROR(VLOOKUP($C6&amp;Y$2,{MASTER!$Y$2:$Y992,MASTER!$F$2:$F992},2,0),"")</f>
        <v/>
      </c>
      <c r="Z6" s="119">
        <f t="array" ref="Z6">IFERROR(VLOOKUP($C6&amp;Z$2,{MASTER!$Y$2:$Y992,MASTER!$F$2:$F992},2,0),"")</f>
        <v>3240</v>
      </c>
      <c r="AA6" s="119">
        <f t="array" ref="AA6">IFERROR(VLOOKUP($C6&amp;AA$2,{MASTER!$Y$2:$Y992,MASTER!$F$2:$F992},2,0),"")</f>
        <v>3980</v>
      </c>
      <c r="AB6" s="119" t="str">
        <f t="array" ref="AB6">IFERROR(VLOOKUP($C6&amp;AB$2,{MASTER!$Y$2:$Y992,MASTER!$F$2:$F992},2,0),"")</f>
        <v/>
      </c>
      <c r="AC6" s="119">
        <f t="array" ref="AC6">IFERROR(VLOOKUP($C6&amp;AC$2,{MASTER!$Y$2:$Y992,MASTER!$F$2:$F992},2,0),"")</f>
        <v>6050</v>
      </c>
      <c r="AD6" s="119" t="str">
        <f t="array" ref="AD6">IFERROR(VLOOKUP($C6&amp;AD$2,{MASTER!$Y$2:$Y992,MASTER!$F$2:$F992},2,0),"")</f>
        <v/>
      </c>
      <c r="AE6" s="119">
        <f t="array" ref="AE6">IFERROR(VLOOKUP($C6&amp;AE$2,{MASTER!$Y$2:$Y992,MASTER!$F$2:$F992},2,0),"")</f>
        <v>3990</v>
      </c>
      <c r="AF6" s="119">
        <f t="array" ref="AF6">IFERROR(VLOOKUP($C6&amp;AF$2,{MASTER!$Y$2:$Y992,MASTER!$F$2:$F992},2,0),"")</f>
        <v>2060</v>
      </c>
      <c r="AG6" s="119" t="str">
        <f t="array" ref="AG6">IFERROR(VLOOKUP($C6&amp;AG$2,{MASTER!$Y$2:$Y992,MASTER!$F$2:$F992},2,0),"")</f>
        <v/>
      </c>
      <c r="AH6" s="119">
        <f t="array" ref="AH6">IFERROR(VLOOKUP($C6&amp;AH$2,{MASTER!$Y$2:$Y992,MASTER!$F$2:$F992},2,0),"")</f>
        <v>3990</v>
      </c>
      <c r="AI6" s="119" t="str">
        <f t="array" ref="AI6">IFERROR(VLOOKUP($C6&amp;AI$2,{MASTER!$Y$2:$Y992,MASTER!$F$2:$F992},2,0),"")</f>
        <v/>
      </c>
      <c r="AJ6" s="119" t="str">
        <f t="array" ref="AJ6">IFERROR(VLOOKUP($C6&amp;AJ$2,{MASTER!$Y$2:$Y992,MASTER!$F$2:$F992},2,0),"")</f>
        <v/>
      </c>
      <c r="AK6" s="119" t="str">
        <f t="array" ref="AK6">IFERROR(VLOOKUP($C6&amp;AK$2,{MASTER!$Y$2:$Y992,MASTER!$F$2:$F992},2,0),"")</f>
        <v/>
      </c>
      <c r="AL6" s="119" t="str">
        <f t="array" ref="AL6">IFERROR(VLOOKUP($C6&amp;AL$2,{MASTER!$Y$2:$Y992,MASTER!$F$2:$F992},2,0),"")</f>
        <v/>
      </c>
      <c r="AM6" s="119">
        <f t="array" ref="AM6">IFERROR(VLOOKUP($C6&amp;AM$2,{MASTER!$Y$2:$Y992,MASTER!$F$2:$F992},2,0),"")</f>
        <v>5380</v>
      </c>
      <c r="AN6" s="119" t="str">
        <f t="array" ref="AN6">IFERROR(VLOOKUP($C6&amp;AN$2,{MASTER!$Y$2:$Y992,MASTER!$F$2:$F992},2,0),"")</f>
        <v/>
      </c>
      <c r="AO6" s="119">
        <f t="array" ref="AO6">IFERROR(VLOOKUP($C6&amp;AO$2,{MASTER!$Y$2:$Y992,MASTER!$F$2:$F992},2,0),"")</f>
        <v>5380</v>
      </c>
      <c r="AP6" s="119" t="str">
        <f t="array" ref="AP6">IFERROR(VLOOKUP($C6&amp;AP$2,{MASTER!$Y$2:$Y992,MASTER!$F$2:$F992},2,0),"")</f>
        <v/>
      </c>
      <c r="AQ6" s="119">
        <f t="array" ref="AQ6">IFERROR(VLOOKUP($C6&amp;AQ$2,{MASTER!$Y$2:$Y992,MASTER!$F$2:$F992},2,0),"")</f>
        <v>6540</v>
      </c>
      <c r="AR6" s="119">
        <f t="array" ref="AR6">IFERROR(VLOOKUP($C6&amp;AR$2,{MASTER!$Y$2:$Y992,MASTER!$F$2:$F992},2,0),"")</f>
        <v>6320</v>
      </c>
      <c r="AS6" s="119">
        <f t="array" ref="AS6">IFERROR(VLOOKUP($C6&amp;AS$2,{MASTER!$Y$2:$Y992,MASTER!$F$2:$F992},2,0),"")</f>
        <v>7230</v>
      </c>
      <c r="AT6" s="119">
        <f t="array" ref="AT6">IFERROR(VLOOKUP($C6&amp;AT$2,{MASTER!$Y$2:$Y992,MASTER!$F$2:$F992},2,0),"")</f>
        <v>7230</v>
      </c>
      <c r="AU6" s="119">
        <f t="array" ref="AU6">IFERROR(VLOOKUP($C6&amp;AU$2,{MASTER!$Y$2:$Y992,MASTER!$F$2:$F992},2,0),"")</f>
        <v>7230</v>
      </c>
      <c r="AV6" s="119">
        <f t="array" ref="AV6">IFERROR(VLOOKUP($C6&amp;AV$2,{MASTER!$Y$2:$Y992,MASTER!$F$2:$F992},2,0),"")</f>
        <v>7230</v>
      </c>
      <c r="AW6" s="119">
        <f t="array" ref="AW6">IFERROR(VLOOKUP($C6&amp;AW$2,{MASTER!$Y$2:$Y992,MASTER!$F$2:$F992},2,0),"")</f>
        <v>7230</v>
      </c>
      <c r="AX6" s="119">
        <f t="array" ref="AX6">IFERROR(VLOOKUP($C6&amp;AX$2,{MASTER!$Y$2:$Y992,MASTER!$F$2:$F992},2,0),"")</f>
        <v>7230</v>
      </c>
      <c r="AY6" s="119" t="str">
        <f t="array" ref="AY6">IFERROR(VLOOKUP($C6&amp;AY$2,{MASTER!$Y$2:$Y992,MASTER!$F$2:$F992},2,0),"")</f>
        <v/>
      </c>
      <c r="AZ6" s="119">
        <f t="array" ref="AZ6">IFERROR(VLOOKUP($C6&amp;AZ$2,{MASTER!$Y$2:$Y992,MASTER!$F$2:$F992},2,0),"")</f>
        <v>1290</v>
      </c>
      <c r="BA6" s="119">
        <f t="array" ref="BA6">IFERROR(VLOOKUP($C6&amp;BA$2,{MASTER!$Y$2:$Y992,MASTER!$F$2:$F992},2,0),"")</f>
        <v>2060</v>
      </c>
      <c r="BB6" s="119">
        <f t="array" ref="BB6">IFERROR(VLOOKUP($C6&amp;BB$2,{MASTER!$Y$2:$Y992,MASTER!$F$2:$F992},2,0),"")</f>
        <v>2480</v>
      </c>
    </row>
    <row r="7">
      <c r="A7" s="116">
        <f t="shared" si="1"/>
        <v>34</v>
      </c>
      <c r="B7" s="145"/>
      <c r="C7" s="118" t="s">
        <v>595</v>
      </c>
      <c r="D7" s="119">
        <f t="array" ref="D7">IFERROR(VLOOKUP($C7&amp;D$2,{MASTER!$Y$2:$Y992,MASTER!$F$2:$F992},2,0),"")</f>
        <v>1640</v>
      </c>
      <c r="E7" s="119" t="str">
        <f t="array" ref="E7">IFERROR(VLOOKUP($C7&amp;E$2,{MASTER!$Y$2:$Y992,MASTER!$F$2:$F992},2,0),"")</f>
        <v/>
      </c>
      <c r="F7" s="119" t="str">
        <f t="array" ref="F7">IFERROR(VLOOKUP($C7&amp;F$2,{MASTER!$Y$2:$Y992,MASTER!$F$2:$F992},2,0),"")</f>
        <v/>
      </c>
      <c r="G7" s="119">
        <f t="array" ref="G7">IFERROR(VLOOKUP($C7&amp;G$2,{MASTER!$Y$2:$Y992,MASTER!$F$2:$F992},2,0),"")</f>
        <v>2460</v>
      </c>
      <c r="H7" s="119" t="str">
        <f t="array" ref="H7">IFERROR(VLOOKUP($C7&amp;H$2,{MASTER!$Y$2:$Y992,MASTER!$F$2:$F992},2,0),"")</f>
        <v/>
      </c>
      <c r="I7" s="119">
        <f t="array" ref="I7">IFERROR(VLOOKUP($C7&amp;I$2,{MASTER!$Y$2:$Y992,MASTER!$F$2:$F992},2,0),"")</f>
        <v>1490</v>
      </c>
      <c r="J7" s="119">
        <f t="array" ref="J7">IFERROR(VLOOKUP($C7&amp;J$2,{MASTER!$Y$2:$Y992,MASTER!$F$2:$F992},2,0),"")</f>
        <v>2850</v>
      </c>
      <c r="K7" s="119">
        <f t="array" ref="K7">IFERROR(VLOOKUP($C7&amp;K$2,{MASTER!$Y$2:$Y992,MASTER!$F$2:$F992},2,0),"")</f>
        <v>1490</v>
      </c>
      <c r="L7" s="119">
        <f t="array" ref="L7">IFERROR(VLOOKUP($C7&amp;L$2,{MASTER!$Y$2:$Y992,MASTER!$F$2:$F992},2,0),"")</f>
        <v>1360</v>
      </c>
      <c r="M7" s="119">
        <f t="array" ref="M7">IFERROR(VLOOKUP($C7&amp;M$2,{MASTER!$Y$2:$Y992,MASTER!$F$2:$F992},2,0),"")</f>
        <v>1590</v>
      </c>
      <c r="N7" s="119" t="str">
        <f t="array" ref="N7">IFERROR(VLOOKUP($C7&amp;N$2,{MASTER!$Y$2:$Y992,MASTER!$F$2:$F992},2,0),"")</f>
        <v/>
      </c>
      <c r="O7" s="119">
        <f t="array" ref="O7">IFERROR(VLOOKUP($C7&amp;O$2,{MASTER!$Y$2:$Y992,MASTER!$F$2:$F992},2,0),"")</f>
        <v>860</v>
      </c>
      <c r="P7" s="119">
        <f t="array" ref="P7">IFERROR(VLOOKUP($C7&amp;P$2,{MASTER!$Y$2:$Y992,MASTER!$F$2:$F992},2,0),"")</f>
        <v>1840</v>
      </c>
      <c r="Q7" s="119">
        <f t="array" ref="Q7">IFERROR(VLOOKUP($C7&amp;Q$2,{MASTER!$Y$2:$Y992,MASTER!$F$2:$F992},2,0),"")</f>
        <v>2180</v>
      </c>
      <c r="R7" s="119" t="str">
        <f t="array" ref="R7">IFERROR(VLOOKUP($C7&amp;R$2,{MASTER!$Y$2:$Y992,MASTER!$F$2:$F992},2,0),"")</f>
        <v/>
      </c>
      <c r="S7" s="119">
        <f t="array" ref="S7">IFERROR(VLOOKUP($C7&amp;S$2,{MASTER!$Y$2:$Y992,MASTER!$F$2:$F992},2,0),"")</f>
        <v>2080</v>
      </c>
      <c r="T7" s="119">
        <f t="array" ref="T7">IFERROR(VLOOKUP($C7&amp;T$2,{MASTER!$Y$2:$Y992,MASTER!$F$2:$F992},2,0),"")</f>
        <v>1740</v>
      </c>
      <c r="U7" s="119">
        <f t="array" ref="U7">IFERROR(VLOOKUP($C7&amp;U$2,{MASTER!$Y$2:$Y992,MASTER!$F$2:$F992},2,0),"")</f>
        <v>1980</v>
      </c>
      <c r="V7" s="119">
        <f t="array" ref="V7">IFERROR(VLOOKUP($C7&amp;V$2,{MASTER!$Y$2:$Y992,MASTER!$F$2:$F992},2,0),"")</f>
        <v>1470</v>
      </c>
      <c r="W7" s="119">
        <f t="array" ref="W7">IFERROR(VLOOKUP($C7&amp;W$2,{MASTER!$Y$2:$Y992,MASTER!$F$2:$F992},2,0),"")</f>
        <v>1510</v>
      </c>
      <c r="X7" s="119" t="str">
        <f t="array" ref="X7">IFERROR(VLOOKUP($C7&amp;X$2,{MASTER!$Y$2:$Y992,MASTER!$F$2:$F992},2,0),"")</f>
        <v/>
      </c>
      <c r="Y7" s="119" t="str">
        <f t="array" ref="Y7">IFERROR(VLOOKUP($C7&amp;Y$2,{MASTER!$Y$2:$Y992,MASTER!$F$2:$F992},2,0),"")</f>
        <v/>
      </c>
      <c r="Z7" s="119">
        <f t="array" ref="Z7">IFERROR(VLOOKUP($C7&amp;Z$2,{MASTER!$Y$2:$Y992,MASTER!$F$2:$F992},2,0),"")</f>
        <v>3240</v>
      </c>
      <c r="AA7" s="119">
        <f t="array" ref="AA7">IFERROR(VLOOKUP($C7&amp;AA$2,{MASTER!$Y$2:$Y992,MASTER!$F$2:$F992},2,0),"")</f>
        <v>3990</v>
      </c>
      <c r="AB7" s="119" t="str">
        <f t="array" ref="AB7">IFERROR(VLOOKUP($C7&amp;AB$2,{MASTER!$Y$2:$Y992,MASTER!$F$2:$F992},2,0),"")</f>
        <v/>
      </c>
      <c r="AC7" s="119">
        <f t="array" ref="AC7">IFERROR(VLOOKUP($C7&amp;AC$2,{MASTER!$Y$2:$Y992,MASTER!$F$2:$F992},2,0),"")</f>
        <v>6170</v>
      </c>
      <c r="AD7" s="119" t="str">
        <f t="array" ref="AD7">IFERROR(VLOOKUP($C7&amp;AD$2,{MASTER!$Y$2:$Y992,MASTER!$F$2:$F992},2,0),"")</f>
        <v/>
      </c>
      <c r="AE7" s="119">
        <f t="array" ref="AE7">IFERROR(VLOOKUP($C7&amp;AE$2,{MASTER!$Y$2:$Y992,MASTER!$F$2:$F992},2,0),"")</f>
        <v>3990</v>
      </c>
      <c r="AF7" s="119">
        <f t="array" ref="AF7">IFERROR(VLOOKUP($C7&amp;AF$2,{MASTER!$Y$2:$Y992,MASTER!$F$2:$F992},2,0),"")</f>
        <v>2180</v>
      </c>
      <c r="AG7" s="119" t="str">
        <f t="array" ref="AG7">IFERROR(VLOOKUP($C7&amp;AG$2,{MASTER!$Y$2:$Y992,MASTER!$F$2:$F992},2,0),"")</f>
        <v/>
      </c>
      <c r="AH7" s="119">
        <f t="array" ref="AH7">IFERROR(VLOOKUP($C7&amp;AH$2,{MASTER!$Y$2:$Y992,MASTER!$F$2:$F992},2,0),"")</f>
        <v>3780</v>
      </c>
      <c r="AI7" s="119" t="str">
        <f t="array" ref="AI7">IFERROR(VLOOKUP($C7&amp;AI$2,{MASTER!$Y$2:$Y992,MASTER!$F$2:$F992},2,0),"")</f>
        <v/>
      </c>
      <c r="AJ7" s="119" t="str">
        <f t="array" ref="AJ7">IFERROR(VLOOKUP($C7&amp;AJ$2,{MASTER!$Y$2:$Y992,MASTER!$F$2:$F992},2,0),"")</f>
        <v/>
      </c>
      <c r="AK7" s="119" t="str">
        <f t="array" ref="AK7">IFERROR(VLOOKUP($C7&amp;AK$2,{MASTER!$Y$2:$Y992,MASTER!$F$2:$F992},2,0),"")</f>
        <v/>
      </c>
      <c r="AL7" s="119" t="str">
        <f t="array" ref="AL7">IFERROR(VLOOKUP($C7&amp;AL$2,{MASTER!$Y$2:$Y992,MASTER!$F$2:$F992},2,0),"")</f>
        <v/>
      </c>
      <c r="AM7" s="119">
        <f t="array" ref="AM7">IFERROR(VLOOKUP($C7&amp;AM$2,{MASTER!$Y$2:$Y992,MASTER!$F$2:$F992},2,0),"")</f>
        <v>5380</v>
      </c>
      <c r="AN7" s="119" t="str">
        <f t="array" ref="AN7">IFERROR(VLOOKUP($C7&amp;AN$2,{MASTER!$Y$2:$Y992,MASTER!$F$2:$F992},2,0),"")</f>
        <v/>
      </c>
      <c r="AO7" s="119">
        <f t="array" ref="AO7">IFERROR(VLOOKUP($C7&amp;AO$2,{MASTER!$Y$2:$Y992,MASTER!$F$2:$F992},2,0),"")</f>
        <v>5380</v>
      </c>
      <c r="AP7" s="119" t="str">
        <f t="array" ref="AP7">IFERROR(VLOOKUP($C7&amp;AP$2,{MASTER!$Y$2:$Y992,MASTER!$F$2:$F992},2,0),"")</f>
        <v/>
      </c>
      <c r="AQ7" s="119">
        <f t="array" ref="AQ7">IFERROR(VLOOKUP($C7&amp;AQ$2,{MASTER!$Y$2:$Y992,MASTER!$F$2:$F992},2,0),"")</f>
        <v>6280</v>
      </c>
      <c r="AR7" s="119">
        <f t="array" ref="AR7">IFERROR(VLOOKUP($C7&amp;AR$2,{MASTER!$Y$2:$Y992,MASTER!$F$2:$F992},2,0),"")</f>
        <v>6320</v>
      </c>
      <c r="AS7" s="119">
        <f t="array" ref="AS7">IFERROR(VLOOKUP($C7&amp;AS$2,{MASTER!$Y$2:$Y992,MASTER!$F$2:$F992},2,0),"")</f>
        <v>7230</v>
      </c>
      <c r="AT7" s="119">
        <f t="array" ref="AT7">IFERROR(VLOOKUP($C7&amp;AT$2,{MASTER!$Y$2:$Y992,MASTER!$F$2:$F992},2,0),"")</f>
        <v>7230</v>
      </c>
      <c r="AU7" s="119">
        <f t="array" ref="AU7">IFERROR(VLOOKUP($C7&amp;AU$2,{MASTER!$Y$2:$Y992,MASTER!$F$2:$F992},2,0),"")</f>
        <v>7230</v>
      </c>
      <c r="AV7" s="119">
        <f t="array" ref="AV7">IFERROR(VLOOKUP($C7&amp;AV$2,{MASTER!$Y$2:$Y992,MASTER!$F$2:$F992},2,0),"")</f>
        <v>7230</v>
      </c>
      <c r="AW7" s="119">
        <f t="array" ref="AW7">IFERROR(VLOOKUP($C7&amp;AW$2,{MASTER!$Y$2:$Y992,MASTER!$F$2:$F992},2,0),"")</f>
        <v>7230</v>
      </c>
      <c r="AX7" s="119">
        <f t="array" ref="AX7">IFERROR(VLOOKUP($C7&amp;AX$2,{MASTER!$Y$2:$Y992,MASTER!$F$2:$F992},2,0),"")</f>
        <v>7230</v>
      </c>
      <c r="AY7" s="119" t="str">
        <f t="array" ref="AY7">IFERROR(VLOOKUP($C7&amp;AY$2,{MASTER!$Y$2:$Y992,MASTER!$F$2:$F992},2,0),"")</f>
        <v/>
      </c>
      <c r="AZ7" s="119">
        <f t="array" ref="AZ7">IFERROR(VLOOKUP($C7&amp;AZ$2,{MASTER!$Y$2:$Y992,MASTER!$F$2:$F992},2,0),"")</f>
        <v>1290</v>
      </c>
      <c r="BA7" s="119">
        <f t="array" ref="BA7">IFERROR(VLOOKUP($C7&amp;BA$2,{MASTER!$Y$2:$Y992,MASTER!$F$2:$F992},2,0),"")</f>
        <v>1990</v>
      </c>
      <c r="BB7" s="119">
        <f t="array" ref="BB7">IFERROR(VLOOKUP($C7&amp;BB$2,{MASTER!$Y$2:$Y992,MASTER!$F$2:$F992},2,0),"")</f>
        <v>2340</v>
      </c>
    </row>
    <row r="8">
      <c r="A8" s="116">
        <f t="shared" si="1"/>
        <v>33</v>
      </c>
      <c r="B8" s="117">
        <v>6000.0</v>
      </c>
      <c r="C8" s="162" t="s">
        <v>716</v>
      </c>
      <c r="D8" s="119">
        <f t="array" ref="D8">IFERROR(VLOOKUP($C8&amp;D$2,{MASTER!$Y$2:$Y992,MASTER!$F$2:$F992},2,0),"")</f>
        <v>1940</v>
      </c>
      <c r="E8" s="119" t="str">
        <f t="array" ref="E8">IFERROR(VLOOKUP($C8&amp;E$2,{MASTER!$Y$2:$Y992,MASTER!$F$2:$F992},2,0),"")</f>
        <v/>
      </c>
      <c r="F8" s="119" t="str">
        <f t="array" ref="F8">IFERROR(VLOOKUP($C8&amp;F$2,{MASTER!$Y$2:$Y992,MASTER!$F$2:$F992},2,0),"")</f>
        <v/>
      </c>
      <c r="G8" s="119">
        <f t="array" ref="G8">IFERROR(VLOOKUP($C8&amp;G$2,{MASTER!$Y$2:$Y992,MASTER!$F$2:$F992},2,0),"")</f>
        <v>2680</v>
      </c>
      <c r="H8" s="119" t="str">
        <f t="array" ref="H8">IFERROR(VLOOKUP($C8&amp;H$2,{MASTER!$Y$2:$Y992,MASTER!$F$2:$F992},2,0),"")</f>
        <v/>
      </c>
      <c r="I8" s="119">
        <f t="array" ref="I8">IFERROR(VLOOKUP($C8&amp;I$2,{MASTER!$Y$2:$Y992,MASTER!$F$2:$F992},2,0),"")</f>
        <v>1580</v>
      </c>
      <c r="J8" s="119">
        <f t="array" ref="J8">IFERROR(VLOOKUP($C8&amp;J$2,{MASTER!$Y$2:$Y992,MASTER!$F$2:$F992},2,0),"")</f>
        <v>2880</v>
      </c>
      <c r="K8" s="119">
        <f t="array" ref="K8">IFERROR(VLOOKUP($C8&amp;K$2,{MASTER!$Y$2:$Y992,MASTER!$F$2:$F992},2,0),"")</f>
        <v>1490</v>
      </c>
      <c r="L8" s="119">
        <f t="array" ref="L8">IFERROR(VLOOKUP($C8&amp;L$2,{MASTER!$Y$2:$Y992,MASTER!$F$2:$F992},2,0),"")</f>
        <v>1390</v>
      </c>
      <c r="M8" s="119">
        <f t="array" ref="M8">IFERROR(VLOOKUP($C8&amp;M$2,{MASTER!$Y$2:$Y992,MASTER!$F$2:$F992},2,0),"")</f>
        <v>1880</v>
      </c>
      <c r="N8" s="119" t="str">
        <f t="array" ref="N8">IFERROR(VLOOKUP($C8&amp;N$2,{MASTER!$Y$2:$Y992,MASTER!$F$2:$F992},2,0),"")</f>
        <v/>
      </c>
      <c r="O8" s="119">
        <f t="array" ref="O8">IFERROR(VLOOKUP($C8&amp;O$2,{MASTER!$Y$2:$Y992,MASTER!$F$2:$F992},2,0),"")</f>
        <v>1160</v>
      </c>
      <c r="P8" s="119">
        <f t="array" ref="P8">IFERROR(VLOOKUP($C8&amp;P$2,{MASTER!$Y$2:$Y992,MASTER!$F$2:$F992},2,0),"")</f>
        <v>2140</v>
      </c>
      <c r="Q8" s="119">
        <f t="array" ref="Q8">IFERROR(VLOOKUP($C8&amp;Q$2,{MASTER!$Y$2:$Y992,MASTER!$F$2:$F992},2,0),"")</f>
        <v>2380</v>
      </c>
      <c r="R8" s="119" t="str">
        <f t="array" ref="R8">IFERROR(VLOOKUP($C8&amp;R$2,{MASTER!$Y$2:$Y992,MASTER!$F$2:$F992},2,0),"")</f>
        <v/>
      </c>
      <c r="S8" s="119">
        <f t="array" ref="S8">IFERROR(VLOOKUP($C8&amp;S$2,{MASTER!$Y$2:$Y992,MASTER!$F$2:$F992},2,0),"")</f>
        <v>2440</v>
      </c>
      <c r="T8" s="119">
        <f t="array" ref="T8">IFERROR(VLOOKUP($C8&amp;T$2,{MASTER!$Y$2:$Y992,MASTER!$F$2:$F992},2,0),"")</f>
        <v>2180</v>
      </c>
      <c r="U8" s="119" t="str">
        <f t="array" ref="U8">IFERROR(VLOOKUP($C8&amp;U$2,{MASTER!$Y$2:$Y992,MASTER!$F$2:$F992},2,0),"")</f>
        <v/>
      </c>
      <c r="V8" s="119">
        <f t="array" ref="V8">IFERROR(VLOOKUP($C8&amp;V$2,{MASTER!$Y$2:$Y992,MASTER!$F$2:$F992},2,0),"")</f>
        <v>1410</v>
      </c>
      <c r="W8" s="119">
        <f t="array" ref="W8">IFERROR(VLOOKUP($C8&amp;W$2,{MASTER!$Y$2:$Y992,MASTER!$F$2:$F992},2,0),"")</f>
        <v>1450</v>
      </c>
      <c r="X8" s="119" t="str">
        <f t="array" ref="X8">IFERROR(VLOOKUP($C8&amp;X$2,{MASTER!$Y$2:$Y992,MASTER!$F$2:$F992},2,0),"")</f>
        <v/>
      </c>
      <c r="Y8" s="119" t="str">
        <f t="array" ref="Y8">IFERROR(VLOOKUP($C8&amp;Y$2,{MASTER!$Y$2:$Y992,MASTER!$F$2:$F992},2,0),"")</f>
        <v/>
      </c>
      <c r="Z8" s="119">
        <f t="array" ref="Z8">IFERROR(VLOOKUP($C8&amp;Z$2,{MASTER!$Y$2:$Y992,MASTER!$F$2:$F992},2,0),"")</f>
        <v>4480</v>
      </c>
      <c r="AA8" s="119">
        <f t="array" ref="AA8">IFERROR(VLOOKUP($C8&amp;AA$2,{MASTER!$Y$2:$Y992,MASTER!$F$2:$F992},2,0),"")</f>
        <v>4780</v>
      </c>
      <c r="AB8" s="119" t="str">
        <f t="array" ref="AB8">IFERROR(VLOOKUP($C8&amp;AB$2,{MASTER!$Y$2:$Y992,MASTER!$F$2:$F992},2,0),"")</f>
        <v/>
      </c>
      <c r="AC8" s="119">
        <f t="array" ref="AC8">IFERROR(VLOOKUP($C8&amp;AC$2,{MASTER!$Y$2:$Y992,MASTER!$F$2:$F992},2,0),"")</f>
        <v>6680</v>
      </c>
      <c r="AD8" s="119" t="str">
        <f t="array" ref="AD8">IFERROR(VLOOKUP($C8&amp;AD$2,{MASTER!$Y$2:$Y992,MASTER!$F$2:$F992},2,0),"")</f>
        <v/>
      </c>
      <c r="AE8" s="119">
        <f t="array" ref="AE8">IFERROR(VLOOKUP($C8&amp;AE$2,{MASTER!$Y$2:$Y992,MASTER!$F$2:$F992},2,0),"")</f>
        <v>3990</v>
      </c>
      <c r="AF8" s="119">
        <f t="array" ref="AF8">IFERROR(VLOOKUP($C8&amp;AF$2,{MASTER!$Y$2:$Y992,MASTER!$F$2:$F992},2,0),"")</f>
        <v>2690</v>
      </c>
      <c r="AG8" s="119" t="str">
        <f t="array" ref="AG8">IFERROR(VLOOKUP($C8&amp;AG$2,{MASTER!$Y$2:$Y992,MASTER!$F$2:$F992},2,0),"")</f>
        <v/>
      </c>
      <c r="AH8" s="119">
        <f t="array" ref="AH8">IFERROR(VLOOKUP($C8&amp;AH$2,{MASTER!$Y$2:$Y992,MASTER!$F$2:$F992},2,0),"")</f>
        <v>4640</v>
      </c>
      <c r="AI8" s="119" t="str">
        <f t="array" ref="AI8">IFERROR(VLOOKUP($C8&amp;AI$2,{MASTER!$Y$2:$Y992,MASTER!$F$2:$F992},2,0),"")</f>
        <v/>
      </c>
      <c r="AJ8" s="119" t="str">
        <f t="array" ref="AJ8">IFERROR(VLOOKUP($C8&amp;AJ$2,{MASTER!$Y$2:$Y992,MASTER!$F$2:$F992},2,0),"")</f>
        <v/>
      </c>
      <c r="AK8" s="119" t="str">
        <f t="array" ref="AK8">IFERROR(VLOOKUP($C8&amp;AK$2,{MASTER!$Y$2:$Y992,MASTER!$F$2:$F992},2,0),"")</f>
        <v/>
      </c>
      <c r="AL8" s="119" t="str">
        <f t="array" ref="AL8">IFERROR(VLOOKUP($C8&amp;AL$2,{MASTER!$Y$2:$Y992,MASTER!$F$2:$F992},2,0),"")</f>
        <v/>
      </c>
      <c r="AM8" s="119">
        <f t="array" ref="AM8">IFERROR(VLOOKUP($C8&amp;AM$2,{MASTER!$Y$2:$Y992,MASTER!$F$2:$F992},2,0),"")</f>
        <v>6480</v>
      </c>
      <c r="AN8" s="119" t="str">
        <f t="array" ref="AN8">IFERROR(VLOOKUP($C8&amp;AN$2,{MASTER!$Y$2:$Y992,MASTER!$F$2:$F992},2,0),"")</f>
        <v/>
      </c>
      <c r="AO8" s="119">
        <f t="array" ref="AO8">IFERROR(VLOOKUP($C8&amp;AO$2,{MASTER!$Y$2:$Y992,MASTER!$F$2:$F992},2,0),"")</f>
        <v>6480</v>
      </c>
      <c r="AP8" s="119" t="str">
        <f t="array" ref="AP8">IFERROR(VLOOKUP($C8&amp;AP$2,{MASTER!$Y$2:$Y992,MASTER!$F$2:$F992},2,0),"")</f>
        <v/>
      </c>
      <c r="AQ8" s="119">
        <f t="array" ref="AQ8">IFERROR(VLOOKUP($C8&amp;AQ$2,{MASTER!$Y$2:$Y992,MASTER!$F$2:$F992},2,0),"")</f>
        <v>7540</v>
      </c>
      <c r="AR8" s="119">
        <f t="array" ref="AR8">IFERROR(VLOOKUP($C8&amp;AR$2,{MASTER!$Y$2:$Y992,MASTER!$F$2:$F992},2,0),"")</f>
        <v>6660</v>
      </c>
      <c r="AS8" s="119">
        <f t="array" ref="AS8">IFERROR(VLOOKUP($C8&amp;AS$2,{MASTER!$Y$2:$Y992,MASTER!$F$2:$F992},2,0),"")</f>
        <v>7570</v>
      </c>
      <c r="AT8" s="119">
        <f t="array" ref="AT8">IFERROR(VLOOKUP($C8&amp;AT$2,{MASTER!$Y$2:$Y992,MASTER!$F$2:$F992},2,0),"")</f>
        <v>7570</v>
      </c>
      <c r="AU8" s="119">
        <f t="array" ref="AU8">IFERROR(VLOOKUP($C8&amp;AU$2,{MASTER!$Y$2:$Y992,MASTER!$F$2:$F992},2,0),"")</f>
        <v>7570</v>
      </c>
      <c r="AV8" s="119">
        <f t="array" ref="AV8">IFERROR(VLOOKUP($C8&amp;AV$2,{MASTER!$Y$2:$Y992,MASTER!$F$2:$F992},2,0),"")</f>
        <v>7570</v>
      </c>
      <c r="AW8" s="119">
        <f t="array" ref="AW8">IFERROR(VLOOKUP($C8&amp;AW$2,{MASTER!$Y$2:$Y992,MASTER!$F$2:$F992},2,0),"")</f>
        <v>7570</v>
      </c>
      <c r="AX8" s="119">
        <f t="array" ref="AX8">IFERROR(VLOOKUP($C8&amp;AX$2,{MASTER!$Y$2:$Y992,MASTER!$F$2:$F992},2,0),"")</f>
        <v>7570</v>
      </c>
      <c r="AY8" s="119" t="str">
        <f t="array" ref="AY8">IFERROR(VLOOKUP($C8&amp;AY$2,{MASTER!$Y$2:$Y992,MASTER!$F$2:$F992},2,0),"")</f>
        <v/>
      </c>
      <c r="AZ8" s="119">
        <f t="array" ref="AZ8">IFERROR(VLOOKUP($C8&amp;AZ$2,{MASTER!$Y$2:$Y992,MASTER!$F$2:$F992},2,0),"")</f>
        <v>1760</v>
      </c>
      <c r="BA8" s="119">
        <f t="array" ref="BA8">IFERROR(VLOOKUP($C8&amp;BA$2,{MASTER!$Y$2:$Y992,MASTER!$F$2:$F992},2,0),"")</f>
        <v>2480</v>
      </c>
      <c r="BB8" s="119">
        <f t="array" ref="BB8">IFERROR(VLOOKUP($C8&amp;BB$2,{MASTER!$Y$2:$Y992,MASTER!$F$2:$F992},2,0),"")</f>
        <v>2640</v>
      </c>
    </row>
    <row r="9">
      <c r="A9" s="116">
        <f t="shared" si="1"/>
        <v>0</v>
      </c>
      <c r="B9" s="120"/>
      <c r="C9" s="162" t="s">
        <v>856</v>
      </c>
      <c r="D9" s="119" t="str">
        <f t="array" ref="D9">IFERROR(VLOOKUP($C9&amp;D$2,{MASTER!$Y$2:$Y992,MASTER!$F$2:$F992},2,0),"")</f>
        <v>REMOVED</v>
      </c>
      <c r="E9" s="119" t="str">
        <f t="array" ref="E9">IFERROR(VLOOKUP($C9&amp;E$2,{MASTER!$Y$2:$Y992,MASTER!$F$2:$F992},2,0),"")</f>
        <v>REMOVED</v>
      </c>
      <c r="F9" s="119" t="str">
        <f t="array" ref="F9">IFERROR(VLOOKUP($C9&amp;F$2,{MASTER!$Y$2:$Y992,MASTER!$F$2:$F992},2,0),"")</f>
        <v>REMOVED</v>
      </c>
      <c r="G9" s="119" t="str">
        <f t="array" ref="G9">IFERROR(VLOOKUP($C9&amp;G$2,{MASTER!$Y$2:$Y992,MASTER!$F$2:$F992},2,0),"")</f>
        <v>REMOVED</v>
      </c>
      <c r="H9" s="119" t="str">
        <f t="array" ref="H9">IFERROR(VLOOKUP($C9&amp;H$2,{MASTER!$Y$2:$Y992,MASTER!$F$2:$F992},2,0),"")</f>
        <v/>
      </c>
      <c r="I9" s="119" t="str">
        <f t="array" ref="I9">IFERROR(VLOOKUP($C9&amp;I$2,{MASTER!$Y$2:$Y992,MASTER!$F$2:$F992},2,0),"")</f>
        <v>REMOVED</v>
      </c>
      <c r="J9" s="119" t="str">
        <f t="array" ref="J9">IFERROR(VLOOKUP($C9&amp;J$2,{MASTER!$Y$2:$Y992,MASTER!$F$2:$F992},2,0),"")</f>
        <v>REMOVED</v>
      </c>
      <c r="K9" s="119" t="str">
        <f t="array" ref="K9">IFERROR(VLOOKUP($C9&amp;K$2,{MASTER!$Y$2:$Y992,MASTER!$F$2:$F992},2,0),"")</f>
        <v>REMOVED</v>
      </c>
      <c r="L9" s="119" t="str">
        <f t="array" ref="L9">IFERROR(VLOOKUP($C9&amp;L$2,{MASTER!$Y$2:$Y992,MASTER!$F$2:$F992},2,0),"")</f>
        <v>REMOVED</v>
      </c>
      <c r="M9" s="119" t="str">
        <f t="array" ref="M9">IFERROR(VLOOKUP($C9&amp;M$2,{MASTER!$Y$2:$Y992,MASTER!$F$2:$F992},2,0),"")</f>
        <v>REMOVED</v>
      </c>
      <c r="N9" s="119" t="str">
        <f t="array" ref="N9">IFERROR(VLOOKUP($C9&amp;N$2,{MASTER!$Y$2:$Y992,MASTER!$F$2:$F992},2,0),"")</f>
        <v/>
      </c>
      <c r="O9" s="119" t="str">
        <f t="array" ref="O9">IFERROR(VLOOKUP($C9&amp;O$2,{MASTER!$Y$2:$Y992,MASTER!$F$2:$F992},2,0),"")</f>
        <v>REMOVED</v>
      </c>
      <c r="P9" s="119" t="str">
        <f t="array" ref="P9">IFERROR(VLOOKUP($C9&amp;P$2,{MASTER!$Y$2:$Y992,MASTER!$F$2:$F992},2,0),"")</f>
        <v>REMOVED</v>
      </c>
      <c r="Q9" s="119" t="str">
        <f t="array" ref="Q9">IFERROR(VLOOKUP($C9&amp;Q$2,{MASTER!$Y$2:$Y992,MASTER!$F$2:$F992},2,0),"")</f>
        <v>REMOVED</v>
      </c>
      <c r="R9" s="119" t="str">
        <f t="array" ref="R9">IFERROR(VLOOKUP($C9&amp;R$2,{MASTER!$Y$2:$Y992,MASTER!$F$2:$F992},2,0),"")</f>
        <v>REMOVED</v>
      </c>
      <c r="S9" s="119" t="str">
        <f t="array" ref="S9">IFERROR(VLOOKUP($C9&amp;S$2,{MASTER!$Y$2:$Y992,MASTER!$F$2:$F992},2,0),"")</f>
        <v>REMOVED</v>
      </c>
      <c r="T9" s="119" t="str">
        <f t="array" ref="T9">IFERROR(VLOOKUP($C9&amp;T$2,{MASTER!$Y$2:$Y992,MASTER!$F$2:$F992},2,0),"")</f>
        <v>REMOVED</v>
      </c>
      <c r="U9" s="119" t="str">
        <f t="array" ref="U9">IFERROR(VLOOKUP($C9&amp;U$2,{MASTER!$Y$2:$Y992,MASTER!$F$2:$F992},2,0),"")</f>
        <v/>
      </c>
      <c r="V9" s="119" t="str">
        <f t="array" ref="V9">IFERROR(VLOOKUP($C9&amp;V$2,{MASTER!$Y$2:$Y992,MASTER!$F$2:$F992},2,0),"")</f>
        <v>REMOVED</v>
      </c>
      <c r="W9" s="119" t="str">
        <f t="array" ref="W9">IFERROR(VLOOKUP($C9&amp;W$2,{MASTER!$Y$2:$Y992,MASTER!$F$2:$F992},2,0),"")</f>
        <v>REMOVED</v>
      </c>
      <c r="X9" s="119" t="str">
        <f t="array" ref="X9">IFERROR(VLOOKUP($C9&amp;X$2,{MASTER!$Y$2:$Y992,MASTER!$F$2:$F992},2,0),"")</f>
        <v/>
      </c>
      <c r="Y9" s="119" t="str">
        <f t="array" ref="Y9">IFERROR(VLOOKUP($C9&amp;Y$2,{MASTER!$Y$2:$Y992,MASTER!$F$2:$F992},2,0),"")</f>
        <v/>
      </c>
      <c r="Z9" s="119" t="str">
        <f t="array" ref="Z9">IFERROR(VLOOKUP($C9&amp;Z$2,{MASTER!$Y$2:$Y992,MASTER!$F$2:$F992},2,0),"")</f>
        <v>REMOVED</v>
      </c>
      <c r="AA9" s="119" t="str">
        <f t="array" ref="AA9">IFERROR(VLOOKUP($C9&amp;AA$2,{MASTER!$Y$2:$Y992,MASTER!$F$2:$F992},2,0),"")</f>
        <v>REMOVED</v>
      </c>
      <c r="AB9" s="119" t="str">
        <f t="array" ref="AB9">IFERROR(VLOOKUP($C9&amp;AB$2,{MASTER!$Y$2:$Y992,MASTER!$F$2:$F992},2,0),"")</f>
        <v>REMOVED</v>
      </c>
      <c r="AC9" s="119" t="str">
        <f t="array" ref="AC9">IFERROR(VLOOKUP($C9&amp;AC$2,{MASTER!$Y$2:$Y992,MASTER!$F$2:$F992},2,0),"")</f>
        <v>REMOVED</v>
      </c>
      <c r="AD9" s="119" t="str">
        <f t="array" ref="AD9">IFERROR(VLOOKUP($C9&amp;AD$2,{MASTER!$Y$2:$Y992,MASTER!$F$2:$F992},2,0),"")</f>
        <v>REMOVED</v>
      </c>
      <c r="AE9" s="119" t="str">
        <f t="array" ref="AE9">IFERROR(VLOOKUP($C9&amp;AE$2,{MASTER!$Y$2:$Y992,MASTER!$F$2:$F992},2,0),"")</f>
        <v>REMOVED</v>
      </c>
      <c r="AF9" s="119" t="str">
        <f t="array" ref="AF9">IFERROR(VLOOKUP($C9&amp;AF$2,{MASTER!$Y$2:$Y992,MASTER!$F$2:$F992},2,0),"")</f>
        <v>REMOVED</v>
      </c>
      <c r="AG9" s="119" t="str">
        <f t="array" ref="AG9">IFERROR(VLOOKUP($C9&amp;AG$2,{MASTER!$Y$2:$Y992,MASTER!$F$2:$F992},2,0),"")</f>
        <v/>
      </c>
      <c r="AH9" s="119" t="str">
        <f t="array" ref="AH9">IFERROR(VLOOKUP($C9&amp;AH$2,{MASTER!$Y$2:$Y992,MASTER!$F$2:$F992},2,0),"")</f>
        <v>REMOVED</v>
      </c>
      <c r="AI9" s="119" t="str">
        <f t="array" ref="AI9">IFERROR(VLOOKUP($C9&amp;AI$2,{MASTER!$Y$2:$Y992,MASTER!$F$2:$F992},2,0),"")</f>
        <v/>
      </c>
      <c r="AJ9" s="119" t="str">
        <f t="array" ref="AJ9">IFERROR(VLOOKUP($C9&amp;AJ$2,{MASTER!$Y$2:$Y992,MASTER!$F$2:$F992},2,0),"")</f>
        <v/>
      </c>
      <c r="AK9" s="119" t="str">
        <f t="array" ref="AK9">IFERROR(VLOOKUP($C9&amp;AK$2,{MASTER!$Y$2:$Y992,MASTER!$F$2:$F992},2,0),"")</f>
        <v/>
      </c>
      <c r="AL9" s="119" t="str">
        <f t="array" ref="AL9">IFERROR(VLOOKUP($C9&amp;AL$2,{MASTER!$Y$2:$Y992,MASTER!$F$2:$F992},2,0),"")</f>
        <v/>
      </c>
      <c r="AM9" s="119" t="str">
        <f t="array" ref="AM9">IFERROR(VLOOKUP($C9&amp;AM$2,{MASTER!$Y$2:$Y992,MASTER!$F$2:$F992},2,0),"")</f>
        <v>REMOVED</v>
      </c>
      <c r="AN9" s="119" t="str">
        <f t="array" ref="AN9">IFERROR(VLOOKUP($C9&amp;AN$2,{MASTER!$Y$2:$Y992,MASTER!$F$2:$F992},2,0),"")</f>
        <v/>
      </c>
      <c r="AO9" s="119" t="str">
        <f t="array" ref="AO9">IFERROR(VLOOKUP($C9&amp;AO$2,{MASTER!$Y$2:$Y992,MASTER!$F$2:$F992},2,0),"")</f>
        <v>REMOVED</v>
      </c>
      <c r="AP9" s="119" t="str">
        <f t="array" ref="AP9">IFERROR(VLOOKUP($C9&amp;AP$2,{MASTER!$Y$2:$Y992,MASTER!$F$2:$F992},2,0),"")</f>
        <v/>
      </c>
      <c r="AQ9" s="119" t="str">
        <f t="array" ref="AQ9">IFERROR(VLOOKUP($C9&amp;AQ$2,{MASTER!$Y$2:$Y992,MASTER!$F$2:$F992},2,0),"")</f>
        <v>REMOVED</v>
      </c>
      <c r="AR9" s="119" t="str">
        <f t="array" ref="AR9">IFERROR(VLOOKUP($C9&amp;AR$2,{MASTER!$Y$2:$Y992,MASTER!$F$2:$F992},2,0),"")</f>
        <v>REMOVED</v>
      </c>
      <c r="AS9" s="119" t="str">
        <f t="array" ref="AS9">IFERROR(VLOOKUP($C9&amp;AS$2,{MASTER!$Y$2:$Y992,MASTER!$F$2:$F992},2,0),"")</f>
        <v>REMOVED</v>
      </c>
      <c r="AT9" s="119" t="str">
        <f t="array" ref="AT9">IFERROR(VLOOKUP($C9&amp;AT$2,{MASTER!$Y$2:$Y992,MASTER!$F$2:$F992},2,0),"")</f>
        <v/>
      </c>
      <c r="AU9" s="119" t="str">
        <f t="array" ref="AU9">IFERROR(VLOOKUP($C9&amp;AU$2,{MASTER!$Y$2:$Y992,MASTER!$F$2:$F992},2,0),"")</f>
        <v>REMOVED</v>
      </c>
      <c r="AV9" s="119" t="str">
        <f t="array" ref="AV9">IFERROR(VLOOKUP($C9&amp;AV$2,{MASTER!$Y$2:$Y992,MASTER!$F$2:$F992},2,0),"")</f>
        <v>REMOVED</v>
      </c>
      <c r="AW9" s="119" t="str">
        <f t="array" ref="AW9">IFERROR(VLOOKUP($C9&amp;AW$2,{MASTER!$Y$2:$Y992,MASTER!$F$2:$F992},2,0),"")</f>
        <v/>
      </c>
      <c r="AX9" s="119" t="str">
        <f t="array" ref="AX9">IFERROR(VLOOKUP($C9&amp;AX$2,{MASTER!$Y$2:$Y992,MASTER!$F$2:$F992},2,0),"")</f>
        <v>REMOVED</v>
      </c>
      <c r="AY9" s="119" t="str">
        <f t="array" ref="AY9">IFERROR(VLOOKUP($C9&amp;AY$2,{MASTER!$Y$2:$Y992,MASTER!$F$2:$F992},2,0),"")</f>
        <v>REMOVED</v>
      </c>
      <c r="AZ9" s="119" t="str">
        <f t="array" ref="AZ9">IFERROR(VLOOKUP($C9&amp;AZ$2,{MASTER!$Y$2:$Y992,MASTER!$F$2:$F992},2,0),"")</f>
        <v>REMOVED</v>
      </c>
      <c r="BA9" s="119" t="str">
        <f t="array" ref="BA9">IFERROR(VLOOKUP($C9&amp;BA$2,{MASTER!$Y$2:$Y992,MASTER!$F$2:$F992},2,0),"")</f>
        <v>REMOVED</v>
      </c>
      <c r="BB9" s="119" t="str">
        <f t="array" ref="BB9">IFERROR(VLOOKUP($C9&amp;BB$2,{MASTER!$Y$2:$Y992,MASTER!$F$2:$F992},2,0),"")</f>
        <v>REMOVED</v>
      </c>
    </row>
    <row r="10">
      <c r="A10" s="116">
        <f t="shared" si="1"/>
        <v>33</v>
      </c>
      <c r="B10" s="120"/>
      <c r="C10" s="162" t="s">
        <v>787</v>
      </c>
      <c r="D10" s="119">
        <f t="array" ref="D10">IFERROR(VLOOKUP($C10&amp;D$2,{MASTER!$Y$2:$Y992,MASTER!$F$2:$F992},2,0),"")</f>
        <v>1880</v>
      </c>
      <c r="E10" s="119" t="str">
        <f t="array" ref="E10">IFERROR(VLOOKUP($C10&amp;E$2,{MASTER!$Y$2:$Y992,MASTER!$F$2:$F992},2,0),"")</f>
        <v/>
      </c>
      <c r="F10" s="119" t="str">
        <f t="array" ref="F10">IFERROR(VLOOKUP($C10&amp;F$2,{MASTER!$Y$2:$Y992,MASTER!$F$2:$F992},2,0),"")</f>
        <v/>
      </c>
      <c r="G10" s="119">
        <f t="array" ref="G10">IFERROR(VLOOKUP($C10&amp;G$2,{MASTER!$Y$2:$Y992,MASTER!$F$2:$F992},2,0),"")</f>
        <v>2580</v>
      </c>
      <c r="H10" s="119" t="str">
        <f t="array" ref="H10">IFERROR(VLOOKUP($C10&amp;H$2,{MASTER!$Y$2:$Y992,MASTER!$F$2:$F992},2,0),"")</f>
        <v/>
      </c>
      <c r="I10" s="119">
        <f t="array" ref="I10">IFERROR(VLOOKUP($C10&amp;I$2,{MASTER!$Y$2:$Y992,MASTER!$F$2:$F992},2,0),"")</f>
        <v>1580</v>
      </c>
      <c r="J10" s="119">
        <f t="array" ref="J10">IFERROR(VLOOKUP($C10&amp;J$2,{MASTER!$Y$2:$Y992,MASTER!$F$2:$F992},2,0),"")</f>
        <v>2880</v>
      </c>
      <c r="K10" s="119">
        <f t="array" ref="K10">IFERROR(VLOOKUP($C10&amp;K$2,{MASTER!$Y$2:$Y992,MASTER!$F$2:$F992},2,0),"")</f>
        <v>1490</v>
      </c>
      <c r="L10" s="119">
        <f t="array" ref="L10">IFERROR(VLOOKUP($C10&amp;L$2,{MASTER!$Y$2:$Y992,MASTER!$F$2:$F992},2,0),"")</f>
        <v>1390</v>
      </c>
      <c r="M10" s="119">
        <f t="array" ref="M10">IFERROR(VLOOKUP($C10&amp;M$2,{MASTER!$Y$2:$Y992,MASTER!$F$2:$F992},2,0),"")</f>
        <v>1780</v>
      </c>
      <c r="N10" s="119" t="str">
        <f t="array" ref="N10">IFERROR(VLOOKUP($C10&amp;N$2,{MASTER!$Y$2:$Y992,MASTER!$F$2:$F992},2,0),"")</f>
        <v/>
      </c>
      <c r="O10" s="119">
        <f t="array" ref="O10">IFERROR(VLOOKUP($C10&amp;O$2,{MASTER!$Y$2:$Y992,MASTER!$F$2:$F992},2,0),"")</f>
        <v>1090</v>
      </c>
      <c r="P10" s="119">
        <f t="array" ref="P10">IFERROR(VLOOKUP($C10&amp;P$2,{MASTER!$Y$2:$Y992,MASTER!$F$2:$F992},2,0),"")</f>
        <v>1880</v>
      </c>
      <c r="Q10" s="119">
        <f t="array" ref="Q10">IFERROR(VLOOKUP($C10&amp;Q$2,{MASTER!$Y$2:$Y992,MASTER!$F$2:$F992},2,0),"")</f>
        <v>2180</v>
      </c>
      <c r="R10" s="119" t="str">
        <f t="array" ref="R10">IFERROR(VLOOKUP($C10&amp;R$2,{MASTER!$Y$2:$Y992,MASTER!$F$2:$F992},2,0),"")</f>
        <v/>
      </c>
      <c r="S10" s="119">
        <f t="array" ref="S10">IFERROR(VLOOKUP($C10&amp;S$2,{MASTER!$Y$2:$Y992,MASTER!$F$2:$F992},2,0),"")</f>
        <v>2090</v>
      </c>
      <c r="T10" s="119">
        <f t="array" ref="T10">IFERROR(VLOOKUP($C10&amp;T$2,{MASTER!$Y$2:$Y992,MASTER!$F$2:$F992},2,0),"")</f>
        <v>1940</v>
      </c>
      <c r="U10" s="119" t="str">
        <f t="array" ref="U10">IFERROR(VLOOKUP($C10&amp;U$2,{MASTER!$Y$2:$Y992,MASTER!$F$2:$F992},2,0),"")</f>
        <v/>
      </c>
      <c r="V10" s="119">
        <f t="array" ref="V10">IFERROR(VLOOKUP($C10&amp;V$2,{MASTER!$Y$2:$Y992,MASTER!$F$2:$F992},2,0),"")</f>
        <v>1420</v>
      </c>
      <c r="W10" s="119">
        <f t="array" ref="W10">IFERROR(VLOOKUP($C10&amp;W$2,{MASTER!$Y$2:$Y992,MASTER!$F$2:$F992},2,0),"")</f>
        <v>1460</v>
      </c>
      <c r="X10" s="119" t="str">
        <f t="array" ref="X10">IFERROR(VLOOKUP($C10&amp;X$2,{MASTER!$Y$2:$Y992,MASTER!$F$2:$F992},2,0),"")</f>
        <v/>
      </c>
      <c r="Y10" s="119" t="str">
        <f t="array" ref="Y10">IFERROR(VLOOKUP($C10&amp;Y$2,{MASTER!$Y$2:$Y992,MASTER!$F$2:$F992},2,0),"")</f>
        <v/>
      </c>
      <c r="Z10" s="119">
        <f t="array" ref="Z10">IFERROR(VLOOKUP($C10&amp;Z$2,{MASTER!$Y$2:$Y992,MASTER!$F$2:$F992},2,0),"")</f>
        <v>3780</v>
      </c>
      <c r="AA10" s="119">
        <f t="array" ref="AA10">IFERROR(VLOOKUP($C10&amp;AA$2,{MASTER!$Y$2:$Y992,MASTER!$F$2:$F992},2,0),"")</f>
        <v>3980</v>
      </c>
      <c r="AB10" s="119" t="str">
        <f t="array" ref="AB10">IFERROR(VLOOKUP($C10&amp;AB$2,{MASTER!$Y$2:$Y992,MASTER!$F$2:$F992},2,0),"")</f>
        <v/>
      </c>
      <c r="AC10" s="119">
        <f t="array" ref="AC10">IFERROR(VLOOKUP($C10&amp;AC$2,{MASTER!$Y$2:$Y992,MASTER!$F$2:$F992},2,0),"")</f>
        <v>6570</v>
      </c>
      <c r="AD10" s="119" t="str">
        <f t="array" ref="AD10">IFERROR(VLOOKUP($C10&amp;AD$2,{MASTER!$Y$2:$Y992,MASTER!$F$2:$F992},2,0),"")</f>
        <v/>
      </c>
      <c r="AE10" s="119">
        <f t="array" ref="AE10">IFERROR(VLOOKUP($C10&amp;AE$2,{MASTER!$Y$2:$Y992,MASTER!$F$2:$F992},2,0),"")</f>
        <v>3990</v>
      </c>
      <c r="AF10" s="119">
        <f t="array" ref="AF10">IFERROR(VLOOKUP($C10&amp;AF$2,{MASTER!$Y$2:$Y992,MASTER!$F$2:$F992},2,0),"")</f>
        <v>2580</v>
      </c>
      <c r="AG10" s="119" t="str">
        <f t="array" ref="AG10">IFERROR(VLOOKUP($C10&amp;AG$2,{MASTER!$Y$2:$Y992,MASTER!$F$2:$F992},2,0),"")</f>
        <v/>
      </c>
      <c r="AH10" s="119">
        <f t="array" ref="AH10">IFERROR(VLOOKUP($C10&amp;AH$2,{MASTER!$Y$2:$Y992,MASTER!$F$2:$F992},2,0),"")</f>
        <v>4260</v>
      </c>
      <c r="AI10" s="119" t="str">
        <f t="array" ref="AI10">IFERROR(VLOOKUP($C10&amp;AI$2,{MASTER!$Y$2:$Y992,MASTER!$F$2:$F992},2,0),"")</f>
        <v/>
      </c>
      <c r="AJ10" s="119" t="str">
        <f t="array" ref="AJ10">IFERROR(VLOOKUP($C10&amp;AJ$2,{MASTER!$Y$2:$Y992,MASTER!$F$2:$F992},2,0),"")</f>
        <v/>
      </c>
      <c r="AK10" s="119" t="str">
        <f t="array" ref="AK10">IFERROR(VLOOKUP($C10&amp;AK$2,{MASTER!$Y$2:$Y992,MASTER!$F$2:$F992},2,0),"")</f>
        <v/>
      </c>
      <c r="AL10" s="119" t="str">
        <f t="array" ref="AL10">IFERROR(VLOOKUP($C10&amp;AL$2,{MASTER!$Y$2:$Y992,MASTER!$F$2:$F992},2,0),"")</f>
        <v/>
      </c>
      <c r="AM10" s="119">
        <f t="array" ref="AM10">IFERROR(VLOOKUP($C10&amp;AM$2,{MASTER!$Y$2:$Y992,MASTER!$F$2:$F992},2,0),"")</f>
        <v>6180</v>
      </c>
      <c r="AN10" s="119" t="str">
        <f t="array" ref="AN10">IFERROR(VLOOKUP($C10&amp;AN$2,{MASTER!$Y$2:$Y992,MASTER!$F$2:$F992},2,0),"")</f>
        <v/>
      </c>
      <c r="AO10" s="119">
        <f t="array" ref="AO10">IFERROR(VLOOKUP($C10&amp;AO$2,{MASTER!$Y$2:$Y992,MASTER!$F$2:$F992},2,0),"")</f>
        <v>6180</v>
      </c>
      <c r="AP10" s="119" t="str">
        <f t="array" ref="AP10">IFERROR(VLOOKUP($C10&amp;AP$2,{MASTER!$Y$2:$Y992,MASTER!$F$2:$F992},2,0),"")</f>
        <v/>
      </c>
      <c r="AQ10" s="119">
        <f t="array" ref="AQ10">IFERROR(VLOOKUP($C10&amp;AQ$2,{MASTER!$Y$2:$Y992,MASTER!$F$2:$F992},2,0),"")</f>
        <v>6980</v>
      </c>
      <c r="AR10" s="119">
        <f t="array" ref="AR10">IFERROR(VLOOKUP($C10&amp;AR$2,{MASTER!$Y$2:$Y992,MASTER!$F$2:$F992},2,0),"")</f>
        <v>6420</v>
      </c>
      <c r="AS10" s="119">
        <f t="array" ref="AS10">IFERROR(VLOOKUP($C10&amp;AS$2,{MASTER!$Y$2:$Y992,MASTER!$F$2:$F992},2,0),"")</f>
        <v>7330</v>
      </c>
      <c r="AT10" s="119">
        <f t="array" ref="AT10">IFERROR(VLOOKUP($C10&amp;AT$2,{MASTER!$Y$2:$Y992,MASTER!$F$2:$F992},2,0),"")</f>
        <v>7330</v>
      </c>
      <c r="AU10" s="119">
        <f t="array" ref="AU10">IFERROR(VLOOKUP($C10&amp;AU$2,{MASTER!$Y$2:$Y992,MASTER!$F$2:$F992},2,0),"")</f>
        <v>7330</v>
      </c>
      <c r="AV10" s="119">
        <f t="array" ref="AV10">IFERROR(VLOOKUP($C10&amp;AV$2,{MASTER!$Y$2:$Y992,MASTER!$F$2:$F992},2,0),"")</f>
        <v>7330</v>
      </c>
      <c r="AW10" s="119">
        <f t="array" ref="AW10">IFERROR(VLOOKUP($C10&amp;AW$2,{MASTER!$Y$2:$Y992,MASTER!$F$2:$F992},2,0),"")</f>
        <v>7330</v>
      </c>
      <c r="AX10" s="119">
        <f t="array" ref="AX10">IFERROR(VLOOKUP($C10&amp;AX$2,{MASTER!$Y$2:$Y992,MASTER!$F$2:$F992},2,0),"")</f>
        <v>7330</v>
      </c>
      <c r="AY10" s="119" t="str">
        <f t="array" ref="AY10">IFERROR(VLOOKUP($C10&amp;AY$2,{MASTER!$Y$2:$Y992,MASTER!$F$2:$F992},2,0),"")</f>
        <v/>
      </c>
      <c r="AZ10" s="119">
        <f t="array" ref="AZ10">IFERROR(VLOOKUP($C10&amp;AZ$2,{MASTER!$Y$2:$Y992,MASTER!$F$2:$F992},2,0),"")</f>
        <v>1490</v>
      </c>
      <c r="BA10" s="119">
        <f t="array" ref="BA10">IFERROR(VLOOKUP($C10&amp;BA$2,{MASTER!$Y$2:$Y992,MASTER!$F$2:$F992},2,0),"")</f>
        <v>2180</v>
      </c>
      <c r="BB10" s="119">
        <f t="array" ref="BB10">IFERROR(VLOOKUP($C10&amp;BB$2,{MASTER!$Y$2:$Y992,MASTER!$F$2:$F992},2,0),"")</f>
        <v>2350</v>
      </c>
    </row>
    <row r="11">
      <c r="A11" s="116">
        <f t="shared" si="1"/>
        <v>37</v>
      </c>
      <c r="B11" s="120"/>
      <c r="C11" s="162" t="s">
        <v>1011</v>
      </c>
      <c r="D11" s="119">
        <f t="array" ref="D11">IFERROR(VLOOKUP($C11&amp;D$2,{MASTER!$Y$2:$Y992,MASTER!$F$2:$F992},2,0),"")</f>
        <v>1960</v>
      </c>
      <c r="E11" s="119">
        <f t="array" ref="E11">IFERROR(VLOOKUP($C11&amp;E$2,{MASTER!$Y$2:$Y992,MASTER!$F$2:$F992},2,0),"")</f>
        <v>3930</v>
      </c>
      <c r="F11" s="119">
        <f t="array" ref="F11">IFERROR(VLOOKUP($C11&amp;F$2,{MASTER!$Y$2:$Y992,MASTER!$F$2:$F992},2,0),"")</f>
        <v>3940</v>
      </c>
      <c r="G11" s="119">
        <f t="array" ref="G11">IFERROR(VLOOKUP($C11&amp;G$2,{MASTER!$Y$2:$Y992,MASTER!$F$2:$F992},2,0),"")</f>
        <v>2640</v>
      </c>
      <c r="H11" s="119">
        <f t="array" ref="H11">IFERROR(VLOOKUP($C11&amp;H$2,{MASTER!$Y$2:$Y992,MASTER!$F$2:$F992},2,0),"")</f>
        <v>1390</v>
      </c>
      <c r="I11" s="119">
        <f t="array" ref="I11">IFERROR(VLOOKUP($C11&amp;I$2,{MASTER!$Y$2:$Y992,MASTER!$F$2:$F992},2,0),"")</f>
        <v>1640</v>
      </c>
      <c r="J11" s="119">
        <f t="array" ref="J11">IFERROR(VLOOKUP($C11&amp;J$2,{MASTER!$Y$2:$Y992,MASTER!$F$2:$F992},2,0),"")</f>
        <v>2880</v>
      </c>
      <c r="K11" s="119">
        <f t="array" ref="K11">IFERROR(VLOOKUP($C11&amp;K$2,{MASTER!$Y$2:$Y992,MASTER!$F$2:$F992},2,0),"")</f>
        <v>1490</v>
      </c>
      <c r="L11" s="119">
        <f t="array" ref="L11">IFERROR(VLOOKUP($C11&amp;L$2,{MASTER!$Y$2:$Y992,MASTER!$F$2:$F992},2,0),"")</f>
        <v>1390</v>
      </c>
      <c r="M11" s="119">
        <f t="array" ref="M11">IFERROR(VLOOKUP($C11&amp;M$2,{MASTER!$Y$2:$Y992,MASTER!$F$2:$F992},2,0),"")</f>
        <v>1720</v>
      </c>
      <c r="N11" s="119" t="str">
        <f t="array" ref="N11">IFERROR(VLOOKUP($C11&amp;N$2,{MASTER!$Y$2:$Y992,MASTER!$F$2:$F992},2,0),"")</f>
        <v/>
      </c>
      <c r="O11" s="119">
        <f t="array" ref="O11">IFERROR(VLOOKUP($C11&amp;O$2,{MASTER!$Y$2:$Y992,MASTER!$F$2:$F992},2,0),"")</f>
        <v>1090</v>
      </c>
      <c r="P11" s="119">
        <f t="array" ref="P11">IFERROR(VLOOKUP($C11&amp;P$2,{MASTER!$Y$2:$Y992,MASTER!$F$2:$F992},2,0),"")</f>
        <v>1890</v>
      </c>
      <c r="Q11" s="119">
        <f t="array" ref="Q11">IFERROR(VLOOKUP($C11&amp;Q$2,{MASTER!$Y$2:$Y992,MASTER!$F$2:$F992},2,0),"")</f>
        <v>2580</v>
      </c>
      <c r="R11" s="119">
        <f t="array" ref="R11">IFERROR(VLOOKUP($C11&amp;R$2,{MASTER!$Y$2:$Y992,MASTER!$F$2:$F992},2,0),"")</f>
        <v>2360</v>
      </c>
      <c r="S11" s="119">
        <f t="array" ref="S11">IFERROR(VLOOKUP($C11&amp;S$2,{MASTER!$Y$2:$Y992,MASTER!$F$2:$F992},2,0),"")</f>
        <v>2180</v>
      </c>
      <c r="T11" s="119">
        <f t="array" ref="T11">IFERROR(VLOOKUP($C11&amp;T$2,{MASTER!$Y$2:$Y992,MASTER!$F$2:$F992},2,0),"")</f>
        <v>1990</v>
      </c>
      <c r="U11" s="119" t="str">
        <f t="array" ref="U11">IFERROR(VLOOKUP($C11&amp;U$2,{MASTER!$Y$2:$Y992,MASTER!$F$2:$F992},2,0),"")</f>
        <v/>
      </c>
      <c r="V11" s="119">
        <f t="array" ref="V11">IFERROR(VLOOKUP($C11&amp;V$2,{MASTER!$Y$2:$Y992,MASTER!$F$2:$F992},2,0),"")</f>
        <v>1450</v>
      </c>
      <c r="W11" s="119">
        <f t="array" ref="W11">IFERROR(VLOOKUP($C11&amp;W$2,{MASTER!$Y$2:$Y992,MASTER!$F$2:$F992},2,0),"")</f>
        <v>1490</v>
      </c>
      <c r="X11" s="119" t="str">
        <f t="array" ref="X11">IFERROR(VLOOKUP($C11&amp;X$2,{MASTER!$Y$2:$Y992,MASTER!$F$2:$F992},2,0),"")</f>
        <v/>
      </c>
      <c r="Y11" s="119" t="str">
        <f t="array" ref="Y11">IFERROR(VLOOKUP($C11&amp;Y$2,{MASTER!$Y$2:$Y992,MASTER!$F$2:$F992},2,0),"")</f>
        <v/>
      </c>
      <c r="Z11" s="119">
        <f t="array" ref="Z11">IFERROR(VLOOKUP($C11&amp;Z$2,{MASTER!$Y$2:$Y992,MASTER!$F$2:$F992},2,0),"")</f>
        <v>3840</v>
      </c>
      <c r="AA11" s="119">
        <f t="array" ref="AA11">IFERROR(VLOOKUP($C11&amp;AA$2,{MASTER!$Y$2:$Y992,MASTER!$F$2:$F992},2,0),"")</f>
        <v>4240</v>
      </c>
      <c r="AB11" s="119">
        <f t="array" ref="AB11">IFERROR(VLOOKUP($C11&amp;AB$2,{MASTER!$Y$2:$Y992,MASTER!$F$2:$F992},2,0),"")</f>
        <v>6740</v>
      </c>
      <c r="AC11" s="119">
        <f t="array" ref="AC11">IFERROR(VLOOKUP($C11&amp;AC$2,{MASTER!$Y$2:$Y992,MASTER!$F$2:$F992},2,0),"")</f>
        <v>6450</v>
      </c>
      <c r="AD11" s="119" t="str">
        <f t="array" ref="AD11">IFERROR(VLOOKUP($C11&amp;AD$2,{MASTER!$Y$2:$Y992,MASTER!$F$2:$F992},2,0),"")</f>
        <v>REMOVED</v>
      </c>
      <c r="AE11" s="119">
        <f t="array" ref="AE11">IFERROR(VLOOKUP($C11&amp;AE$2,{MASTER!$Y$2:$Y992,MASTER!$F$2:$F992},2,0),"")</f>
        <v>3990</v>
      </c>
      <c r="AF11" s="119">
        <f t="array" ref="AF11">IFERROR(VLOOKUP($C11&amp;AF$2,{MASTER!$Y$2:$Y992,MASTER!$F$2:$F992},2,0),"")</f>
        <v>2460</v>
      </c>
      <c r="AG11" s="119" t="str">
        <f t="array" ref="AG11">IFERROR(VLOOKUP($C11&amp;AG$2,{MASTER!$Y$2:$Y992,MASTER!$F$2:$F992},2,0),"")</f>
        <v/>
      </c>
      <c r="AH11" s="119">
        <f t="array" ref="AH11">IFERROR(VLOOKUP($C11&amp;AH$2,{MASTER!$Y$2:$Y992,MASTER!$F$2:$F992},2,0),"")</f>
        <v>4280</v>
      </c>
      <c r="AI11" s="119" t="str">
        <f t="array" ref="AI11">IFERROR(VLOOKUP($C11&amp;AI$2,{MASTER!$Y$2:$Y992,MASTER!$F$2:$F992},2,0),"")</f>
        <v/>
      </c>
      <c r="AJ11" s="119" t="str">
        <f t="array" ref="AJ11">IFERROR(VLOOKUP($C11&amp;AJ$2,{MASTER!$Y$2:$Y992,MASTER!$F$2:$F992},2,0),"")</f>
        <v/>
      </c>
      <c r="AK11" s="119" t="str">
        <f t="array" ref="AK11">IFERROR(VLOOKUP($C11&amp;AK$2,{MASTER!$Y$2:$Y992,MASTER!$F$2:$F992},2,0),"")</f>
        <v/>
      </c>
      <c r="AL11" s="119">
        <f t="array" ref="AL11">IFERROR(VLOOKUP($C11&amp;AL$2,{MASTER!$Y$2:$Y992,MASTER!$F$2:$F992},2,0),"")</f>
        <v>5180</v>
      </c>
      <c r="AM11" s="119">
        <f t="array" ref="AM11">IFERROR(VLOOKUP($C11&amp;AM$2,{MASTER!$Y$2:$Y992,MASTER!$F$2:$F992},2,0),"")</f>
        <v>6480</v>
      </c>
      <c r="AN11" s="119" t="str">
        <f t="array" ref="AN11">IFERROR(VLOOKUP($C11&amp;AN$2,{MASTER!$Y$2:$Y992,MASTER!$F$2:$F992},2,0),"")</f>
        <v/>
      </c>
      <c r="AO11" s="119">
        <f t="array" ref="AO11">IFERROR(VLOOKUP($C11&amp;AO$2,{MASTER!$Y$2:$Y992,MASTER!$F$2:$F992},2,0),"")</f>
        <v>6480</v>
      </c>
      <c r="AP11" s="119" t="str">
        <f t="array" ref="AP11">IFERROR(VLOOKUP($C11&amp;AP$2,{MASTER!$Y$2:$Y992,MASTER!$F$2:$F992},2,0),"")</f>
        <v/>
      </c>
      <c r="AQ11" s="119">
        <f t="array" ref="AQ11">IFERROR(VLOOKUP($C11&amp;AQ$2,{MASTER!$Y$2:$Y992,MASTER!$F$2:$F992},2,0),"")</f>
        <v>7480</v>
      </c>
      <c r="AR11" s="119">
        <f t="array" ref="AR11">IFERROR(VLOOKUP($C11&amp;AR$2,{MASTER!$Y$2:$Y992,MASTER!$F$2:$F992},2,0),"")</f>
        <v>6560</v>
      </c>
      <c r="AS11" s="119">
        <f t="array" ref="AS11">IFERROR(VLOOKUP($C11&amp;AS$2,{MASTER!$Y$2:$Y992,MASTER!$F$2:$F992},2,0),"")</f>
        <v>7470</v>
      </c>
      <c r="AT11" s="119" t="str">
        <f t="array" ref="AT11">IFERROR(VLOOKUP($C11&amp;AT$2,{MASTER!$Y$2:$Y992,MASTER!$F$2:$F992},2,0),"")</f>
        <v/>
      </c>
      <c r="AU11" s="119">
        <f t="array" ref="AU11">IFERROR(VLOOKUP($C11&amp;AU$2,{MASTER!$Y$2:$Y992,MASTER!$F$2:$F992},2,0),"")</f>
        <v>7470</v>
      </c>
      <c r="AV11" s="119">
        <f t="array" ref="AV11">IFERROR(VLOOKUP($C11&amp;AV$2,{MASTER!$Y$2:$Y992,MASTER!$F$2:$F992},2,0),"")</f>
        <v>7470</v>
      </c>
      <c r="AW11" s="119" t="str">
        <f t="array" ref="AW11">IFERROR(VLOOKUP($C11&amp;AW$2,{MASTER!$Y$2:$Y992,MASTER!$F$2:$F992},2,0),"")</f>
        <v/>
      </c>
      <c r="AX11" s="119">
        <f t="array" ref="AX11">IFERROR(VLOOKUP($C11&amp;AX$2,{MASTER!$Y$2:$Y992,MASTER!$F$2:$F992},2,0),"")</f>
        <v>7470</v>
      </c>
      <c r="AY11" s="119" t="str">
        <f t="array" ref="AY11">IFERROR(VLOOKUP($C11&amp;AY$2,{MASTER!$Y$2:$Y992,MASTER!$F$2:$F992},2,0),"")</f>
        <v/>
      </c>
      <c r="AZ11" s="119">
        <f t="array" ref="AZ11">IFERROR(VLOOKUP($C11&amp;AZ$2,{MASTER!$Y$2:$Y992,MASTER!$F$2:$F992},2,0),"")</f>
        <v>1390</v>
      </c>
      <c r="BA11" s="119">
        <f t="array" ref="BA11">IFERROR(VLOOKUP($C11&amp;BA$2,{MASTER!$Y$2:$Y992,MASTER!$F$2:$F992},2,0),"")</f>
        <v>2080</v>
      </c>
      <c r="BB11" s="119">
        <f t="array" ref="BB11">IFERROR(VLOOKUP($C11&amp;BB$2,{MASTER!$Y$2:$Y992,MASTER!$F$2:$F992},2,0),"")</f>
        <v>2580</v>
      </c>
    </row>
    <row r="12">
      <c r="A12" s="116">
        <f t="shared" si="1"/>
        <v>39</v>
      </c>
      <c r="B12" s="120"/>
      <c r="C12" s="162" t="s">
        <v>1049</v>
      </c>
      <c r="D12" s="119">
        <f t="array" ref="D12">IFERROR(VLOOKUP($C12&amp;D$2,{MASTER!$Y$2:$Y992,MASTER!$F$2:$F992},2,0),"")</f>
        <v>1920</v>
      </c>
      <c r="E12" s="119">
        <f t="array" ref="E12">IFERROR(VLOOKUP($C12&amp;E$2,{MASTER!$Y$2:$Y992,MASTER!$F$2:$F992},2,0),"")</f>
        <v>3980</v>
      </c>
      <c r="F12" s="119">
        <f t="array" ref="F12">IFERROR(VLOOKUP($C12&amp;F$2,{MASTER!$Y$2:$Y992,MASTER!$F$2:$F992},2,0),"")</f>
        <v>3680</v>
      </c>
      <c r="G12" s="119">
        <f t="array" ref="G12">IFERROR(VLOOKUP($C12&amp;G$2,{MASTER!$Y$2:$Y992,MASTER!$F$2:$F992},2,0),"")</f>
        <v>2440</v>
      </c>
      <c r="H12" s="119">
        <f t="array" ref="H12">IFERROR(VLOOKUP($C12&amp;H$2,{MASTER!$Y$2:$Y992,MASTER!$F$2:$F992},2,0),"")</f>
        <v>1690</v>
      </c>
      <c r="I12" s="119">
        <f t="array" ref="I12">IFERROR(VLOOKUP($C12&amp;I$2,{MASTER!$Y$2:$Y992,MASTER!$F$2:$F992},2,0),"")</f>
        <v>1580</v>
      </c>
      <c r="J12" s="119">
        <f t="array" ref="J12">IFERROR(VLOOKUP($C12&amp;J$2,{MASTER!$Y$2:$Y992,MASTER!$F$2:$F992},2,0),"")</f>
        <v>2880</v>
      </c>
      <c r="K12" s="119">
        <f t="array" ref="K12">IFERROR(VLOOKUP($C12&amp;K$2,{MASTER!$Y$2:$Y992,MASTER!$F$2:$F992},2,0),"")</f>
        <v>1490</v>
      </c>
      <c r="L12" s="119">
        <f t="array" ref="L12">IFERROR(VLOOKUP($C12&amp;L$2,{MASTER!$Y$2:$Y992,MASTER!$F$2:$F992},2,0),"")</f>
        <v>1390</v>
      </c>
      <c r="M12" s="119">
        <f t="array" ref="M12">IFERROR(VLOOKUP($C12&amp;M$2,{MASTER!$Y$2:$Y992,MASTER!$F$2:$F992},2,0),"")</f>
        <v>1740</v>
      </c>
      <c r="N12" s="119" t="str">
        <f t="array" ref="N12">IFERROR(VLOOKUP($C12&amp;N$2,{MASTER!$Y$2:$Y992,MASTER!$F$2:$F992},2,0),"")</f>
        <v/>
      </c>
      <c r="O12" s="119">
        <f t="array" ref="O12">IFERROR(VLOOKUP($C12&amp;O$2,{MASTER!$Y$2:$Y992,MASTER!$F$2:$F992},2,0),"")</f>
        <v>1140</v>
      </c>
      <c r="P12" s="119">
        <f t="array" ref="P12">IFERROR(VLOOKUP($C12&amp;P$2,{MASTER!$Y$2:$Y992,MASTER!$F$2:$F992},2,0),"")</f>
        <v>1940</v>
      </c>
      <c r="Q12" s="119">
        <f t="array" ref="Q12">IFERROR(VLOOKUP($C12&amp;Q$2,{MASTER!$Y$2:$Y992,MASTER!$F$2:$F992},2,0),"")</f>
        <v>2590</v>
      </c>
      <c r="R12" s="119">
        <f t="array" ref="R12">IFERROR(VLOOKUP($C12&amp;R$2,{MASTER!$Y$2:$Y992,MASTER!$F$2:$F992},2,0),"")</f>
        <v>2340</v>
      </c>
      <c r="S12" s="119">
        <f t="array" ref="S12">IFERROR(VLOOKUP($C12&amp;S$2,{MASTER!$Y$2:$Y992,MASTER!$F$2:$F992},2,0),"")</f>
        <v>2180</v>
      </c>
      <c r="T12" s="119">
        <f t="array" ref="T12">IFERROR(VLOOKUP($C12&amp;T$2,{MASTER!$Y$2:$Y992,MASTER!$F$2:$F992},2,0),"")</f>
        <v>1980</v>
      </c>
      <c r="U12" s="119" t="str">
        <f t="array" ref="U12">IFERROR(VLOOKUP($C12&amp;U$2,{MASTER!$Y$2:$Y992,MASTER!$F$2:$F992},2,0),"")</f>
        <v/>
      </c>
      <c r="V12" s="119">
        <f t="array" ref="V12">IFERROR(VLOOKUP($C12&amp;V$2,{MASTER!$Y$2:$Y992,MASTER!$F$2:$F992},2,0),"")</f>
        <v>1450</v>
      </c>
      <c r="W12" s="119">
        <f t="array" ref="W12">IFERROR(VLOOKUP($C12&amp;W$2,{MASTER!$Y$2:$Y992,MASTER!$F$2:$F992},2,0),"")</f>
        <v>1490</v>
      </c>
      <c r="X12" s="119" t="str">
        <f t="array" ref="X12">IFERROR(VLOOKUP($C12&amp;X$2,{MASTER!$Y$2:$Y992,MASTER!$F$2:$F992},2,0),"")</f>
        <v/>
      </c>
      <c r="Y12" s="119" t="str">
        <f t="array" ref="Y12">IFERROR(VLOOKUP($C12&amp;Y$2,{MASTER!$Y$2:$Y992,MASTER!$F$2:$F992},2,0),"")</f>
        <v/>
      </c>
      <c r="Z12" s="119">
        <f t="array" ref="Z12">IFERROR(VLOOKUP($C12&amp;Z$2,{MASTER!$Y$2:$Y992,MASTER!$F$2:$F992},2,0),"")</f>
        <v>3880</v>
      </c>
      <c r="AA12" s="119">
        <f t="array" ref="AA12">IFERROR(VLOOKUP($C12&amp;AA$2,{MASTER!$Y$2:$Y992,MASTER!$F$2:$F992},2,0),"")</f>
        <v>4180</v>
      </c>
      <c r="AB12" s="119">
        <f t="array" ref="AB12">IFERROR(VLOOKUP($C12&amp;AB$2,{MASTER!$Y$2:$Y992,MASTER!$F$2:$F992},2,0),"")</f>
        <v>6640</v>
      </c>
      <c r="AC12" s="119">
        <f t="array" ref="AC12">IFERROR(VLOOKUP($C12&amp;AC$2,{MASTER!$Y$2:$Y992,MASTER!$F$2:$F992},2,0),"")</f>
        <v>6450</v>
      </c>
      <c r="AD12" s="119" t="str">
        <f t="array" ref="AD12">IFERROR(VLOOKUP($C12&amp;AD$2,{MASTER!$Y$2:$Y992,MASTER!$F$2:$F992},2,0),"")</f>
        <v>REMOVED</v>
      </c>
      <c r="AE12" s="119">
        <f t="array" ref="AE12">IFERROR(VLOOKUP($C12&amp;AE$2,{MASTER!$Y$2:$Y992,MASTER!$F$2:$F992},2,0),"")</f>
        <v>3990</v>
      </c>
      <c r="AF12" s="119">
        <f t="array" ref="AF12">IFERROR(VLOOKUP($C12&amp;AF$2,{MASTER!$Y$2:$Y992,MASTER!$F$2:$F992},2,0),"")</f>
        <v>2460</v>
      </c>
      <c r="AG12" s="119" t="str">
        <f t="array" ref="AG12">IFERROR(VLOOKUP($C12&amp;AG$2,{MASTER!$Y$2:$Y992,MASTER!$F$2:$F992},2,0),"")</f>
        <v/>
      </c>
      <c r="AH12" s="119">
        <f t="array" ref="AH12">IFERROR(VLOOKUP($C12&amp;AH$2,{MASTER!$Y$2:$Y992,MASTER!$F$2:$F992},2,0),"")</f>
        <v>4240</v>
      </c>
      <c r="AI12" s="119" t="str">
        <f t="array" ref="AI12">IFERROR(VLOOKUP($C12&amp;AI$2,{MASTER!$Y$2:$Y992,MASTER!$F$2:$F992},2,0),"")</f>
        <v/>
      </c>
      <c r="AJ12" s="119" t="str">
        <f t="array" ref="AJ12">IFERROR(VLOOKUP($C12&amp;AJ$2,{MASTER!$Y$2:$Y992,MASTER!$F$2:$F992},2,0),"")</f>
        <v/>
      </c>
      <c r="AK12" s="119" t="str">
        <f t="array" ref="AK12">IFERROR(VLOOKUP($C12&amp;AK$2,{MASTER!$Y$2:$Y992,MASTER!$F$2:$F992},2,0),"")</f>
        <v/>
      </c>
      <c r="AL12" s="119">
        <f t="array" ref="AL12">IFERROR(VLOOKUP($C12&amp;AL$2,{MASTER!$Y$2:$Y992,MASTER!$F$2:$F992},2,0),"")</f>
        <v>4580</v>
      </c>
      <c r="AM12" s="119">
        <f t="array" ref="AM12">IFERROR(VLOOKUP($C12&amp;AM$2,{MASTER!$Y$2:$Y992,MASTER!$F$2:$F992},2,0),"")</f>
        <v>6440</v>
      </c>
      <c r="AN12" s="119" t="str">
        <f t="array" ref="AN12">IFERROR(VLOOKUP($C12&amp;AN$2,{MASTER!$Y$2:$Y992,MASTER!$F$2:$F992},2,0),"")</f>
        <v/>
      </c>
      <c r="AO12" s="119">
        <f t="array" ref="AO12">IFERROR(VLOOKUP($C12&amp;AO$2,{MASTER!$Y$2:$Y992,MASTER!$F$2:$F992},2,0),"")</f>
        <v>6440</v>
      </c>
      <c r="AP12" s="119" t="str">
        <f t="array" ref="AP12">IFERROR(VLOOKUP($C12&amp;AP$2,{MASTER!$Y$2:$Y992,MASTER!$F$2:$F992},2,0),"")</f>
        <v/>
      </c>
      <c r="AQ12" s="119">
        <f t="array" ref="AQ12">IFERROR(VLOOKUP($C12&amp;AQ$2,{MASTER!$Y$2:$Y992,MASTER!$F$2:$F992},2,0),"")</f>
        <v>7440</v>
      </c>
      <c r="AR12" s="119">
        <f t="array" ref="AR12">IFERROR(VLOOKUP($C12&amp;AR$2,{MASTER!$Y$2:$Y992,MASTER!$F$2:$F992},2,0),"")</f>
        <v>6360</v>
      </c>
      <c r="AS12" s="119">
        <f t="array" ref="AS12">IFERROR(VLOOKUP($C12&amp;AS$2,{MASTER!$Y$2:$Y992,MASTER!$F$2:$F992},2,0),"")</f>
        <v>7270</v>
      </c>
      <c r="AT12" s="119">
        <f t="array" ref="AT12">IFERROR(VLOOKUP($C12&amp;AT$2,{MASTER!$Y$2:$Y992,MASTER!$F$2:$F992},2,0),"")</f>
        <v>7270</v>
      </c>
      <c r="AU12" s="119">
        <f t="array" ref="AU12">IFERROR(VLOOKUP($C12&amp;AU$2,{MASTER!$Y$2:$Y992,MASTER!$F$2:$F992},2,0),"")</f>
        <v>7270</v>
      </c>
      <c r="AV12" s="119">
        <f t="array" ref="AV12">IFERROR(VLOOKUP($C12&amp;AV$2,{MASTER!$Y$2:$Y992,MASTER!$F$2:$F992},2,0),"")</f>
        <v>7270</v>
      </c>
      <c r="AW12" s="119">
        <f t="array" ref="AW12">IFERROR(VLOOKUP($C12&amp;AW$2,{MASTER!$Y$2:$Y992,MASTER!$F$2:$F992},2,0),"")</f>
        <v>7270</v>
      </c>
      <c r="AX12" s="119">
        <f t="array" ref="AX12">IFERROR(VLOOKUP($C12&amp;AX$2,{MASTER!$Y$2:$Y992,MASTER!$F$2:$F992},2,0),"")</f>
        <v>7270</v>
      </c>
      <c r="AY12" s="119" t="str">
        <f t="array" ref="AY12">IFERROR(VLOOKUP($C12&amp;AY$2,{MASTER!$Y$2:$Y992,MASTER!$F$2:$F992},2,0),"")</f>
        <v/>
      </c>
      <c r="AZ12" s="119">
        <f t="array" ref="AZ12">IFERROR(VLOOKUP($C12&amp;AZ$2,{MASTER!$Y$2:$Y992,MASTER!$F$2:$F992},2,0),"")</f>
        <v>1390</v>
      </c>
      <c r="BA12" s="119">
        <f t="array" ref="BA12">IFERROR(VLOOKUP($C12&amp;BA$2,{MASTER!$Y$2:$Y992,MASTER!$F$2:$F992},2,0),"")</f>
        <v>2140</v>
      </c>
      <c r="BB12" s="119">
        <f t="array" ref="BB12">IFERROR(VLOOKUP($C12&amp;BB$2,{MASTER!$Y$2:$Y992,MASTER!$F$2:$F992},2,0),"")</f>
        <v>2490</v>
      </c>
    </row>
    <row r="13">
      <c r="A13" s="116">
        <f t="shared" si="1"/>
        <v>34</v>
      </c>
      <c r="B13" s="120"/>
      <c r="C13" s="162" t="s">
        <v>929</v>
      </c>
      <c r="D13" s="119">
        <f t="array" ref="D13">IFERROR(VLOOKUP($C13&amp;D$2,{MASTER!$Y$2:$Y992,MASTER!$F$2:$F992},2,0),"")</f>
        <v>1640</v>
      </c>
      <c r="E13" s="119">
        <f t="array" ref="E13">IFERROR(VLOOKUP($C13&amp;E$2,{MASTER!$Y$2:$Y992,MASTER!$F$2:$F992},2,0),"")</f>
        <v>4110</v>
      </c>
      <c r="F13" s="119" t="str">
        <f t="array" ref="F13">IFERROR(VLOOKUP($C13&amp;F$2,{MASTER!$Y$2:$Y992,MASTER!$F$2:$F992},2,0),"")</f>
        <v/>
      </c>
      <c r="G13" s="119" t="str">
        <f t="array" ref="G13">IFERROR(VLOOKUP($C13&amp;G$2,{MASTER!$Y$2:$Y992,MASTER!$F$2:$F992},2,0),"")</f>
        <v/>
      </c>
      <c r="H13" s="119">
        <f t="array" ref="H13">IFERROR(VLOOKUP($C13&amp;H$2,{MASTER!$Y$2:$Y992,MASTER!$F$2:$F992},2,0),"")</f>
        <v>1430</v>
      </c>
      <c r="I13" s="119">
        <f t="array" ref="I13">IFERROR(VLOOKUP($C13&amp;I$2,{MASTER!$Y$2:$Y992,MASTER!$F$2:$F992},2,0),"")</f>
        <v>1410</v>
      </c>
      <c r="J13" s="119">
        <f t="array" ref="J13">IFERROR(VLOOKUP($C13&amp;J$2,{MASTER!$Y$2:$Y992,MASTER!$F$2:$F992},2,0),"")</f>
        <v>2880</v>
      </c>
      <c r="K13" s="119">
        <f t="array" ref="K13">IFERROR(VLOOKUP($C13&amp;K$2,{MASTER!$Y$2:$Y992,MASTER!$F$2:$F992},2,0),"")</f>
        <v>1490</v>
      </c>
      <c r="L13" s="119">
        <f t="array" ref="L13">IFERROR(VLOOKUP($C13&amp;L$2,{MASTER!$Y$2:$Y992,MASTER!$F$2:$F992},2,0),"")</f>
        <v>1390</v>
      </c>
      <c r="M13" s="119">
        <f t="array" ref="M13">IFERROR(VLOOKUP($C13&amp;M$2,{MASTER!$Y$2:$Y992,MASTER!$F$2:$F992},2,0),"")</f>
        <v>1510</v>
      </c>
      <c r="N13" s="119">
        <f t="array" ref="N13">IFERROR(VLOOKUP($C13&amp;N$2,{MASTER!$Y$2:$Y992,MASTER!$F$2:$F992},2,0),"")</f>
        <v>1750</v>
      </c>
      <c r="O13" s="119">
        <f t="array" ref="O13">IFERROR(VLOOKUP($C13&amp;O$2,{MASTER!$Y$2:$Y992,MASTER!$F$2:$F992},2,0),"")</f>
        <v>1090</v>
      </c>
      <c r="P13" s="119">
        <f t="array" ref="P13">IFERROR(VLOOKUP($C13&amp;P$2,{MASTER!$Y$2:$Y992,MASTER!$F$2:$F992},2,0),"")</f>
        <v>1790</v>
      </c>
      <c r="Q13" s="119">
        <f t="array" ref="Q13">IFERROR(VLOOKUP($C13&amp;Q$2,{MASTER!$Y$2:$Y992,MASTER!$F$2:$F992},2,0),"")</f>
        <v>2180</v>
      </c>
      <c r="R13" s="119" t="str">
        <f t="array" ref="R13">IFERROR(VLOOKUP($C13&amp;R$2,{MASTER!$Y$2:$Y992,MASTER!$F$2:$F992},2,0),"")</f>
        <v/>
      </c>
      <c r="S13" s="119">
        <f t="array" ref="S13">IFERROR(VLOOKUP($C13&amp;S$2,{MASTER!$Y$2:$Y992,MASTER!$F$2:$F992},2,0),"")</f>
        <v>2080</v>
      </c>
      <c r="T13" s="119">
        <f t="array" ref="T13">IFERROR(VLOOKUP($C13&amp;T$2,{MASTER!$Y$2:$Y992,MASTER!$F$2:$F992},2,0),"")</f>
        <v>1960</v>
      </c>
      <c r="U13" s="119" t="str">
        <f t="array" ref="U13">IFERROR(VLOOKUP($C13&amp;U$2,{MASTER!$Y$2:$Y992,MASTER!$F$2:$F992},2,0),"")</f>
        <v/>
      </c>
      <c r="V13" s="119">
        <f t="array" ref="V13">IFERROR(VLOOKUP($C13&amp;V$2,{MASTER!$Y$2:$Y992,MASTER!$F$2:$F992},2,0),"")</f>
        <v>1390</v>
      </c>
      <c r="W13" s="119">
        <f t="array" ref="W13">IFERROR(VLOOKUP($C13&amp;W$2,{MASTER!$Y$2:$Y992,MASTER!$F$2:$F992},2,0),"")</f>
        <v>1430</v>
      </c>
      <c r="X13" s="119" t="str">
        <f t="array" ref="X13">IFERROR(VLOOKUP($C13&amp;X$2,{MASTER!$Y$2:$Y992,MASTER!$F$2:$F992},2,0),"")</f>
        <v/>
      </c>
      <c r="Y13" s="119" t="str">
        <f t="array" ref="Y13">IFERROR(VLOOKUP($C13&amp;Y$2,{MASTER!$Y$2:$Y992,MASTER!$F$2:$F992},2,0),"")</f>
        <v/>
      </c>
      <c r="Z13" s="119">
        <f t="array" ref="Z13">IFERROR(VLOOKUP($C13&amp;Z$2,{MASTER!$Y$2:$Y992,MASTER!$F$2:$F992},2,0),"")</f>
        <v>3740</v>
      </c>
      <c r="AA13" s="119">
        <f t="array" ref="AA13">IFERROR(VLOOKUP($C13&amp;AA$2,{MASTER!$Y$2:$Y992,MASTER!$F$2:$F992},2,0),"")</f>
        <v>3880</v>
      </c>
      <c r="AB13" s="119">
        <f t="array" ref="AB13">IFERROR(VLOOKUP($C13&amp;AB$2,{MASTER!$Y$2:$Y992,MASTER!$F$2:$F992},2,0),"")</f>
        <v>6480</v>
      </c>
      <c r="AC13" s="119">
        <f t="array" ref="AC13">IFERROR(VLOOKUP($C13&amp;AC$2,{MASTER!$Y$2:$Y992,MASTER!$F$2:$F992},2,0),"")</f>
        <v>6360</v>
      </c>
      <c r="AD13" s="119" t="str">
        <f t="array" ref="AD13">IFERROR(VLOOKUP($C13&amp;AD$2,{MASTER!$Y$2:$Y992,MASTER!$F$2:$F992},2,0),"")</f>
        <v>REMOVED</v>
      </c>
      <c r="AE13" s="119">
        <f t="array" ref="AE13">IFERROR(VLOOKUP($C13&amp;AE$2,{MASTER!$Y$2:$Y992,MASTER!$F$2:$F992},2,0),"")</f>
        <v>3990</v>
      </c>
      <c r="AF13" s="119">
        <f t="array" ref="AF13">IFERROR(VLOOKUP($C13&amp;AF$2,{MASTER!$Y$2:$Y992,MASTER!$F$2:$F992},2,0),"")</f>
        <v>2370</v>
      </c>
      <c r="AG13" s="119" t="str">
        <f t="array" ref="AG13">IFERROR(VLOOKUP($C13&amp;AG$2,{MASTER!$Y$2:$Y992,MASTER!$F$2:$F992},2,0),"")</f>
        <v/>
      </c>
      <c r="AH13" s="119">
        <f t="array" ref="AH13">IFERROR(VLOOKUP($C13&amp;AH$2,{MASTER!$Y$2:$Y992,MASTER!$F$2:$F992},2,0),"")</f>
        <v>4160</v>
      </c>
      <c r="AI13" s="119" t="str">
        <f t="array" ref="AI13">IFERROR(VLOOKUP($C13&amp;AI$2,{MASTER!$Y$2:$Y992,MASTER!$F$2:$F992},2,0),"")</f>
        <v/>
      </c>
      <c r="AJ13" s="119" t="str">
        <f t="array" ref="AJ13">IFERROR(VLOOKUP($C13&amp;AJ$2,{MASTER!$Y$2:$Y992,MASTER!$F$2:$F992},2,0),"")</f>
        <v/>
      </c>
      <c r="AK13" s="119" t="str">
        <f t="array" ref="AK13">IFERROR(VLOOKUP($C13&amp;AK$2,{MASTER!$Y$2:$Y992,MASTER!$F$2:$F992},2,0),"")</f>
        <v/>
      </c>
      <c r="AL13" s="119" t="str">
        <f t="array" ref="AL13">IFERROR(VLOOKUP($C13&amp;AL$2,{MASTER!$Y$2:$Y992,MASTER!$F$2:$F992},2,0),"")</f>
        <v/>
      </c>
      <c r="AM13" s="119">
        <f t="array" ref="AM13">IFERROR(VLOOKUP($C13&amp;AM$2,{MASTER!$Y$2:$Y992,MASTER!$F$2:$F992},2,0),"")</f>
        <v>5940</v>
      </c>
      <c r="AN13" s="119" t="str">
        <f t="array" ref="AN13">IFERROR(VLOOKUP($C13&amp;AN$2,{MASTER!$Y$2:$Y992,MASTER!$F$2:$F992},2,0),"")</f>
        <v/>
      </c>
      <c r="AO13" s="119">
        <f t="array" ref="AO13">IFERROR(VLOOKUP($C13&amp;AO$2,{MASTER!$Y$2:$Y992,MASTER!$F$2:$F992},2,0),"")</f>
        <v>5940</v>
      </c>
      <c r="AP13" s="119" t="str">
        <f t="array" ref="AP13">IFERROR(VLOOKUP($C13&amp;AP$2,{MASTER!$Y$2:$Y992,MASTER!$F$2:$F992},2,0),"")</f>
        <v/>
      </c>
      <c r="AQ13" s="119">
        <f t="array" ref="AQ13">IFERROR(VLOOKUP($C13&amp;AQ$2,{MASTER!$Y$2:$Y992,MASTER!$F$2:$F992},2,0),"")</f>
        <v>6930</v>
      </c>
      <c r="AR13" s="119">
        <f t="array" ref="AR13">IFERROR(VLOOKUP($C13&amp;AR$2,{MASTER!$Y$2:$Y992,MASTER!$F$2:$F992},2,0),"")</f>
        <v>6560</v>
      </c>
      <c r="AS13" s="119">
        <f t="array" ref="AS13">IFERROR(VLOOKUP($C13&amp;AS$2,{MASTER!$Y$2:$Y992,MASTER!$F$2:$F992},2,0),"")</f>
        <v>7470</v>
      </c>
      <c r="AT13" s="119" t="str">
        <f t="array" ref="AT13">IFERROR(VLOOKUP($C13&amp;AT$2,{MASTER!$Y$2:$Y992,MASTER!$F$2:$F992},2,0),"")</f>
        <v/>
      </c>
      <c r="AU13" s="119">
        <f t="array" ref="AU13">IFERROR(VLOOKUP($C13&amp;AU$2,{MASTER!$Y$2:$Y992,MASTER!$F$2:$F992},2,0),"")</f>
        <v>7470</v>
      </c>
      <c r="AV13" s="119">
        <f t="array" ref="AV13">IFERROR(VLOOKUP($C13&amp;AV$2,{MASTER!$Y$2:$Y992,MASTER!$F$2:$F992},2,0),"")</f>
        <v>7470</v>
      </c>
      <c r="AW13" s="119" t="str">
        <f t="array" ref="AW13">IFERROR(VLOOKUP($C13&amp;AW$2,{MASTER!$Y$2:$Y992,MASTER!$F$2:$F992},2,0),"")</f>
        <v/>
      </c>
      <c r="AX13" s="119">
        <f t="array" ref="AX13">IFERROR(VLOOKUP($C13&amp;AX$2,{MASTER!$Y$2:$Y992,MASTER!$F$2:$F992},2,0),"")</f>
        <v>7470</v>
      </c>
      <c r="AY13" s="119" t="str">
        <f t="array" ref="AY13">IFERROR(VLOOKUP($C13&amp;AY$2,{MASTER!$Y$2:$Y992,MASTER!$F$2:$F992},2,0),"")</f>
        <v/>
      </c>
      <c r="AZ13" s="119">
        <f t="array" ref="AZ13">IFERROR(VLOOKUP($C13&amp;AZ$2,{MASTER!$Y$2:$Y992,MASTER!$F$2:$F992},2,0),"")</f>
        <v>1290</v>
      </c>
      <c r="BA13" s="119">
        <f t="array" ref="BA13">IFERROR(VLOOKUP($C13&amp;BA$2,{MASTER!$Y$2:$Y992,MASTER!$F$2:$F992},2,0),"")</f>
        <v>2080</v>
      </c>
      <c r="BB13" s="119">
        <f t="array" ref="BB13">IFERROR(VLOOKUP($C13&amp;BB$2,{MASTER!$Y$2:$Y992,MASTER!$F$2:$F992},2,0),"")</f>
        <v>2490</v>
      </c>
    </row>
    <row r="14">
      <c r="A14" s="116">
        <f t="shared" si="1"/>
        <v>0</v>
      </c>
      <c r="B14" s="145"/>
      <c r="C14" s="162" t="s">
        <v>1320</v>
      </c>
      <c r="D14" s="119" t="str">
        <f t="array" ref="D14">IFERROR(VLOOKUP($C14&amp;D$2,{MASTER!$Y$2:$Y992,MASTER!$F$2:$F992},2,0),"")</f>
        <v/>
      </c>
      <c r="E14" s="119" t="str">
        <f t="array" ref="E14">IFERROR(VLOOKUP($C14&amp;E$2,{MASTER!$Y$2:$Y992,MASTER!$F$2:$F992},2,0),"")</f>
        <v/>
      </c>
      <c r="F14" s="119" t="str">
        <f t="array" ref="F14">IFERROR(VLOOKUP($C14&amp;F$2,{MASTER!$Y$2:$Y992,MASTER!$F$2:$F992},2,0),"")</f>
        <v/>
      </c>
      <c r="G14" s="119" t="str">
        <f t="array" ref="G14">IFERROR(VLOOKUP($C14&amp;G$2,{MASTER!$Y$2:$Y992,MASTER!$F$2:$F992},2,0),"")</f>
        <v/>
      </c>
      <c r="H14" s="119" t="str">
        <f t="array" ref="H14">IFERROR(VLOOKUP($C14&amp;H$2,{MASTER!$Y$2:$Y992,MASTER!$F$2:$F992},2,0),"")</f>
        <v/>
      </c>
      <c r="I14" s="119" t="str">
        <f t="array" ref="I14">IFERROR(VLOOKUP($C14&amp;I$2,{MASTER!$Y$2:$Y992,MASTER!$F$2:$F992},2,0),"")</f>
        <v/>
      </c>
      <c r="J14" s="119" t="str">
        <f t="array" ref="J14">IFERROR(VLOOKUP($C14&amp;J$2,{MASTER!$Y$2:$Y992,MASTER!$F$2:$F992},2,0),"")</f>
        <v/>
      </c>
      <c r="K14" s="119" t="str">
        <f t="array" ref="K14">IFERROR(VLOOKUP($C14&amp;K$2,{MASTER!$Y$2:$Y992,MASTER!$F$2:$F992},2,0),"")</f>
        <v/>
      </c>
      <c r="L14" s="119" t="str">
        <f t="array" ref="L14">IFERROR(VLOOKUP($C14&amp;L$2,{MASTER!$Y$2:$Y992,MASTER!$F$2:$F992},2,0),"")</f>
        <v/>
      </c>
      <c r="M14" s="119" t="str">
        <f t="array" ref="M14">IFERROR(VLOOKUP($C14&amp;M$2,{MASTER!$Y$2:$Y992,MASTER!$F$2:$F992},2,0),"")</f>
        <v/>
      </c>
      <c r="N14" s="119" t="str">
        <f t="array" ref="N14">IFERROR(VLOOKUP($C14&amp;N$2,{MASTER!$Y$2:$Y992,MASTER!$F$2:$F992},2,0),"")</f>
        <v/>
      </c>
      <c r="O14" s="119" t="str">
        <f t="array" ref="O14">IFERROR(VLOOKUP($C14&amp;O$2,{MASTER!$Y$2:$Y992,MASTER!$F$2:$F992},2,0),"")</f>
        <v/>
      </c>
      <c r="P14" s="119" t="str">
        <f t="array" ref="P14">IFERROR(VLOOKUP($C14&amp;P$2,{MASTER!$Y$2:$Y992,MASTER!$F$2:$F992},2,0),"")</f>
        <v/>
      </c>
      <c r="Q14" s="119" t="str">
        <f t="array" ref="Q14">IFERROR(VLOOKUP($C14&amp;Q$2,{MASTER!$Y$2:$Y992,MASTER!$F$2:$F992},2,0),"")</f>
        <v/>
      </c>
      <c r="R14" s="119" t="str">
        <f t="array" ref="R14">IFERROR(VLOOKUP($C14&amp;R$2,{MASTER!$Y$2:$Y992,MASTER!$F$2:$F992},2,0),"")</f>
        <v/>
      </c>
      <c r="S14" s="119" t="str">
        <f t="array" ref="S14">IFERROR(VLOOKUP($C14&amp;S$2,{MASTER!$Y$2:$Y992,MASTER!$F$2:$F992},2,0),"")</f>
        <v/>
      </c>
      <c r="T14" s="119" t="str">
        <f t="array" ref="T14">IFERROR(VLOOKUP($C14&amp;T$2,{MASTER!$Y$2:$Y992,MASTER!$F$2:$F992},2,0),"")</f>
        <v/>
      </c>
      <c r="U14" s="119" t="str">
        <f t="array" ref="U14">IFERROR(VLOOKUP($C14&amp;U$2,{MASTER!$Y$2:$Y992,MASTER!$F$2:$F992},2,0),"")</f>
        <v/>
      </c>
      <c r="V14" s="119" t="str">
        <f t="array" ref="V14">IFERROR(VLOOKUP($C14&amp;V$2,{MASTER!$Y$2:$Y992,MASTER!$F$2:$F992},2,0),"")</f>
        <v/>
      </c>
      <c r="W14" s="119" t="str">
        <f t="array" ref="W14">IFERROR(VLOOKUP($C14&amp;W$2,{MASTER!$Y$2:$Y992,MASTER!$F$2:$F992},2,0),"")</f>
        <v/>
      </c>
      <c r="X14" s="119" t="str">
        <f t="array" ref="X14">IFERROR(VLOOKUP($C14&amp;X$2,{MASTER!$Y$2:$Y992,MASTER!$F$2:$F992},2,0),"")</f>
        <v/>
      </c>
      <c r="Y14" s="119" t="str">
        <f t="array" ref="Y14">IFERROR(VLOOKUP($C14&amp;Y$2,{MASTER!$Y$2:$Y992,MASTER!$F$2:$F992},2,0),"")</f>
        <v/>
      </c>
      <c r="Z14" s="119" t="str">
        <f t="array" ref="Z14">IFERROR(VLOOKUP($C14&amp;Z$2,{MASTER!$Y$2:$Y992,MASTER!$F$2:$F992},2,0),"")</f>
        <v/>
      </c>
      <c r="AA14" s="119" t="str">
        <f t="array" ref="AA14">IFERROR(VLOOKUP($C14&amp;AA$2,{MASTER!$Y$2:$Y992,MASTER!$F$2:$F992},2,0),"")</f>
        <v/>
      </c>
      <c r="AB14" s="119" t="str">
        <f t="array" ref="AB14">IFERROR(VLOOKUP($C14&amp;AB$2,{MASTER!$Y$2:$Y992,MASTER!$F$2:$F992},2,0),"")</f>
        <v/>
      </c>
      <c r="AC14" s="119" t="str">
        <f t="array" ref="AC14">IFERROR(VLOOKUP($C14&amp;AC$2,{MASTER!$Y$2:$Y992,MASTER!$F$2:$F992},2,0),"")</f>
        <v/>
      </c>
      <c r="AD14" s="119" t="str">
        <f t="array" ref="AD14">IFERROR(VLOOKUP($C14&amp;AD$2,{MASTER!$Y$2:$Y992,MASTER!$F$2:$F992},2,0),"")</f>
        <v/>
      </c>
      <c r="AE14" s="119" t="str">
        <f t="array" ref="AE14">IFERROR(VLOOKUP($C14&amp;AE$2,{MASTER!$Y$2:$Y992,MASTER!$F$2:$F992},2,0),"")</f>
        <v/>
      </c>
      <c r="AF14" s="119" t="str">
        <f t="array" ref="AF14">IFERROR(VLOOKUP($C14&amp;AF$2,{MASTER!$Y$2:$Y992,MASTER!$F$2:$F992},2,0),"")</f>
        <v/>
      </c>
      <c r="AG14" s="119" t="str">
        <f t="array" ref="AG14">IFERROR(VLOOKUP($C14&amp;AG$2,{MASTER!$Y$2:$Y992,MASTER!$F$2:$F992},2,0),"")</f>
        <v/>
      </c>
      <c r="AH14" s="119" t="str">
        <f t="array" ref="AH14">IFERROR(VLOOKUP($C14&amp;AH$2,{MASTER!$Y$2:$Y992,MASTER!$F$2:$F992},2,0),"")</f>
        <v/>
      </c>
      <c r="AI14" s="119" t="str">
        <f t="array" ref="AI14">IFERROR(VLOOKUP($C14&amp;AI$2,{MASTER!$Y$2:$Y992,MASTER!$F$2:$F992},2,0),"")</f>
        <v/>
      </c>
      <c r="AJ14" s="119" t="str">
        <f t="array" ref="AJ14">IFERROR(VLOOKUP($C14&amp;AJ$2,{MASTER!$Y$2:$Y992,MASTER!$F$2:$F992},2,0),"")</f>
        <v/>
      </c>
      <c r="AK14" s="119" t="str">
        <f t="array" ref="AK14">IFERROR(VLOOKUP($C14&amp;AK$2,{MASTER!$Y$2:$Y992,MASTER!$F$2:$F992},2,0),"")</f>
        <v/>
      </c>
      <c r="AL14" s="119" t="str">
        <f t="array" ref="AL14">IFERROR(VLOOKUP($C14&amp;AL$2,{MASTER!$Y$2:$Y992,MASTER!$F$2:$F992},2,0),"")</f>
        <v/>
      </c>
      <c r="AM14" s="119" t="str">
        <f t="array" ref="AM14">IFERROR(VLOOKUP($C14&amp;AM$2,{MASTER!$Y$2:$Y992,MASTER!$F$2:$F992},2,0),"")</f>
        <v/>
      </c>
      <c r="AN14" s="119" t="str">
        <f t="array" ref="AN14">IFERROR(VLOOKUP($C14&amp;AN$2,{MASTER!$Y$2:$Y992,MASTER!$F$2:$F992},2,0),"")</f>
        <v/>
      </c>
      <c r="AO14" s="119" t="str">
        <f t="array" ref="AO14">IFERROR(VLOOKUP($C14&amp;AO$2,{MASTER!$Y$2:$Y992,MASTER!$F$2:$F992},2,0),"")</f>
        <v/>
      </c>
      <c r="AP14" s="119" t="str">
        <f t="array" ref="AP14">IFERROR(VLOOKUP($C14&amp;AP$2,{MASTER!$Y$2:$Y992,MASTER!$F$2:$F992},2,0),"")</f>
        <v/>
      </c>
      <c r="AQ14" s="119" t="str">
        <f t="array" ref="AQ14">IFERROR(VLOOKUP($C14&amp;AQ$2,{MASTER!$Y$2:$Y992,MASTER!$F$2:$F992},2,0),"")</f>
        <v/>
      </c>
      <c r="AR14" s="119" t="str">
        <f t="array" ref="AR14">IFERROR(VLOOKUP($C14&amp;AR$2,{MASTER!$Y$2:$Y992,MASTER!$F$2:$F992},2,0),"")</f>
        <v/>
      </c>
      <c r="AS14" s="119" t="str">
        <f t="array" ref="AS14">IFERROR(VLOOKUP($C14&amp;AS$2,{MASTER!$Y$2:$Y992,MASTER!$F$2:$F992},2,0),"")</f>
        <v/>
      </c>
      <c r="AT14" s="119" t="str">
        <f t="array" ref="AT14">IFERROR(VLOOKUP($C14&amp;AT$2,{MASTER!$Y$2:$Y992,MASTER!$F$2:$F992},2,0),"")</f>
        <v/>
      </c>
      <c r="AU14" s="119" t="str">
        <f t="array" ref="AU14">IFERROR(VLOOKUP($C14&amp;AU$2,{MASTER!$Y$2:$Y992,MASTER!$F$2:$F992},2,0),"")</f>
        <v/>
      </c>
      <c r="AV14" s="119" t="str">
        <f t="array" ref="AV14">IFERROR(VLOOKUP($C14&amp;AV$2,{MASTER!$Y$2:$Y992,MASTER!$F$2:$F992},2,0),"")</f>
        <v/>
      </c>
      <c r="AW14" s="119" t="str">
        <f t="array" ref="AW14">IFERROR(VLOOKUP($C14&amp;AW$2,{MASTER!$Y$2:$Y992,MASTER!$F$2:$F992},2,0),"")</f>
        <v/>
      </c>
      <c r="AX14" s="119" t="str">
        <f t="array" ref="AX14">IFERROR(VLOOKUP($C14&amp;AX$2,{MASTER!$Y$2:$Y992,MASTER!$F$2:$F992},2,0),"")</f>
        <v/>
      </c>
      <c r="AY14" s="119" t="str">
        <f t="array" ref="AY14">IFERROR(VLOOKUP($C14&amp;AY$2,{MASTER!$Y$2:$Y992,MASTER!$F$2:$F992},2,0),"")</f>
        <v/>
      </c>
      <c r="AZ14" s="119" t="str">
        <f t="array" ref="AZ14">IFERROR(VLOOKUP($C14&amp;AZ$2,{MASTER!$Y$2:$Y992,MASTER!$F$2:$F992},2,0),"")</f>
        <v/>
      </c>
      <c r="BA14" s="119" t="str">
        <f t="array" ref="BA14">IFERROR(VLOOKUP($C14&amp;BA$2,{MASTER!$Y$2:$Y992,MASTER!$F$2:$F992},2,0),"")</f>
        <v/>
      </c>
      <c r="BB14" s="119" t="str">
        <f t="array" ref="BB14">IFERROR(VLOOKUP($C14&amp;BB$2,{MASTER!$Y$2:$Y992,MASTER!$F$2:$F992},2,0),"")</f>
        <v/>
      </c>
    </row>
    <row r="15">
      <c r="A15" s="116">
        <f t="shared" si="1"/>
        <v>30</v>
      </c>
      <c r="B15" s="117">
        <v>7000.0</v>
      </c>
      <c r="C15" s="230" t="s">
        <v>1235</v>
      </c>
      <c r="D15" s="119">
        <f t="array" ref="D15">IFERROR(VLOOKUP($C15&amp;D$2,{MASTER!$Y$2:$Y992,MASTER!$F$2:$F992},2,0),"")</f>
        <v>2590</v>
      </c>
      <c r="E15" s="119">
        <f t="array" ref="E15">IFERROR(VLOOKUP($C15&amp;E$2,{MASTER!$Y$2:$Y992,MASTER!$F$2:$F992},2,0),"")</f>
        <v>5480</v>
      </c>
      <c r="F15" s="119" t="str">
        <f t="array" ref="F15">IFERROR(VLOOKUP($C15&amp;F$2,{MASTER!$Y$2:$Y992,MASTER!$F$2:$F992},2,0),"")</f>
        <v/>
      </c>
      <c r="G15" s="119">
        <f t="array" ref="G15">IFERROR(VLOOKUP($C15&amp;G$2,{MASTER!$Y$2:$Y992,MASTER!$F$2:$F992},2,0),"")</f>
        <v>3180</v>
      </c>
      <c r="H15" s="119" t="str">
        <f t="array" ref="H15">IFERROR(VLOOKUP($C15&amp;H$2,{MASTER!$Y$2:$Y992,MASTER!$F$2:$F992},2,0),"")</f>
        <v/>
      </c>
      <c r="I15" s="119">
        <f t="array" ref="I15">IFERROR(VLOOKUP($C15&amp;I$2,{MASTER!$Y$2:$Y992,MASTER!$F$2:$F992},2,0),"")</f>
        <v>2270</v>
      </c>
      <c r="J15" s="119" t="str">
        <f t="array" ref="J15">IFERROR(VLOOKUP($C15&amp;J$2,{MASTER!$Y$2:$Y992,MASTER!$F$2:$F992},2,0),"")</f>
        <v/>
      </c>
      <c r="K15" s="119" t="str">
        <f t="array" ref="K15">IFERROR(VLOOKUP($C15&amp;K$2,{MASTER!$Y$2:$Y992,MASTER!$F$2:$F992},2,0),"")</f>
        <v/>
      </c>
      <c r="L15" s="119" t="str">
        <f t="array" ref="L15">IFERROR(VLOOKUP($C15&amp;L$2,{MASTER!$Y$2:$Y992,MASTER!$F$2:$F992},2,0),"")</f>
        <v/>
      </c>
      <c r="M15" s="119">
        <f t="array" ref="M15">IFERROR(VLOOKUP($C15&amp;M$2,{MASTER!$Y$2:$Y992,MASTER!$F$2:$F992},2,0),"")</f>
        <v>2590</v>
      </c>
      <c r="N15" s="119" t="str">
        <f t="array" ref="N15">IFERROR(VLOOKUP($C15&amp;N$2,{MASTER!$Y$2:$Y992,MASTER!$F$2:$F992},2,0),"")</f>
        <v/>
      </c>
      <c r="O15" s="119">
        <f t="array" ref="O15">IFERROR(VLOOKUP($C15&amp;O$2,{MASTER!$Y$2:$Y992,MASTER!$F$2:$F992},2,0),"")</f>
        <v>1790</v>
      </c>
      <c r="P15" s="119">
        <f t="array" ref="P15">IFERROR(VLOOKUP($C15&amp;P$2,{MASTER!$Y$2:$Y992,MASTER!$F$2:$F992},2,0),"")</f>
        <v>2690</v>
      </c>
      <c r="Q15" s="119" t="str">
        <f t="array" ref="Q15">IFERROR(VLOOKUP($C15&amp;Q$2,{MASTER!$Y$2:$Y992,MASTER!$F$2:$F992},2,0),"")</f>
        <v/>
      </c>
      <c r="R15" s="119">
        <f t="array" ref="R15">IFERROR(VLOOKUP($C15&amp;R$2,{MASTER!$Y$2:$Y992,MASTER!$F$2:$F992},2,0),"")</f>
        <v>3080</v>
      </c>
      <c r="S15" s="119">
        <f t="array" ref="S15">IFERROR(VLOOKUP($C15&amp;S$2,{MASTER!$Y$2:$Y992,MASTER!$F$2:$F992},2,0),"")</f>
        <v>3580</v>
      </c>
      <c r="T15" s="119">
        <f t="array" ref="T15">IFERROR(VLOOKUP($C15&amp;T$2,{MASTER!$Y$2:$Y992,MASTER!$F$2:$F992},2,0),"")</f>
        <v>3050</v>
      </c>
      <c r="U15" s="119" t="str">
        <f t="array" ref="U15">IFERROR(VLOOKUP($C15&amp;U$2,{MASTER!$Y$2:$Y992,MASTER!$F$2:$F992},2,0),"")</f>
        <v/>
      </c>
      <c r="V15" s="119">
        <f t="array" ref="V15">IFERROR(VLOOKUP($C15&amp;V$2,{MASTER!$Y$2:$Y992,MASTER!$F$2:$F992},2,0),"")</f>
        <v>2140</v>
      </c>
      <c r="W15" s="119">
        <f t="array" ref="W15">IFERROR(VLOOKUP($C15&amp;W$2,{MASTER!$Y$2:$Y992,MASTER!$F$2:$F992},2,0),"")</f>
        <v>2190</v>
      </c>
      <c r="X15" s="119" t="str">
        <f t="array" ref="X15">IFERROR(VLOOKUP($C15&amp;X$2,{MASTER!$Y$2:$Y992,MASTER!$F$2:$F992},2,0),"")</f>
        <v/>
      </c>
      <c r="Y15" s="119" t="str">
        <f t="array" ref="Y15">IFERROR(VLOOKUP($C15&amp;Y$2,{MASTER!$Y$2:$Y992,MASTER!$F$2:$F992},2,0),"")</f>
        <v/>
      </c>
      <c r="Z15" s="119" t="str">
        <f t="array" ref="Z15">IFERROR(VLOOKUP($C15&amp;Z$2,{MASTER!$Y$2:$Y992,MASTER!$F$2:$F992},2,0),"")</f>
        <v/>
      </c>
      <c r="AA15" s="119">
        <f t="array" ref="AA15">IFERROR(VLOOKUP($C15&amp;AA$2,{MASTER!$Y$2:$Y992,MASTER!$F$2:$F992},2,0),"")</f>
        <v>6570</v>
      </c>
      <c r="AB15" s="119">
        <f t="array" ref="AB15">IFERROR(VLOOKUP($C15&amp;AB$2,{MASTER!$Y$2:$Y992,MASTER!$F$2:$F992},2,0),"")</f>
        <v>9250</v>
      </c>
      <c r="AC15" s="119">
        <f t="array" ref="AC15">IFERROR(VLOOKUP($C15&amp;AC$2,{MASTER!$Y$2:$Y992,MASTER!$F$2:$F992},2,0),"")</f>
        <v>8170</v>
      </c>
      <c r="AD15" s="119" t="str">
        <f t="array" ref="AD15">IFERROR(VLOOKUP($C15&amp;AD$2,{MASTER!$Y$2:$Y992,MASTER!$F$2:$F992},2,0),"")</f>
        <v/>
      </c>
      <c r="AE15" s="119">
        <f t="array" ref="AE15">IFERROR(VLOOKUP($C15&amp;AE$2,{MASTER!$Y$2:$Y992,MASTER!$F$2:$F992},2,0),"")</f>
        <v>3990</v>
      </c>
      <c r="AF15" s="119">
        <f t="array" ref="AF15">IFERROR(VLOOKUP($C15&amp;AF$2,{MASTER!$Y$2:$Y992,MASTER!$F$2:$F992},2,0),"")</f>
        <v>4180</v>
      </c>
      <c r="AG15" s="119" t="str">
        <f t="array" ref="AG15">IFERROR(VLOOKUP($C15&amp;AG$2,{MASTER!$Y$2:$Y992,MASTER!$F$2:$F992},2,0),"")</f>
        <v/>
      </c>
      <c r="AH15" s="119">
        <f t="array" ref="AH15">IFERROR(VLOOKUP($C15&amp;AH$2,{MASTER!$Y$2:$Y992,MASTER!$F$2:$F992},2,0),"")</f>
        <v>7180</v>
      </c>
      <c r="AI15" s="119" t="str">
        <f t="array" ref="AI15">IFERROR(VLOOKUP($C15&amp;AI$2,{MASTER!$Y$2:$Y992,MASTER!$F$2:$F992},2,0),"")</f>
        <v/>
      </c>
      <c r="AJ15" s="119" t="str">
        <f t="array" ref="AJ15">IFERROR(VLOOKUP($C15&amp;AJ$2,{MASTER!$Y$2:$Y992,MASTER!$F$2:$F992},2,0),"")</f>
        <v/>
      </c>
      <c r="AK15" s="119" t="str">
        <f t="array" ref="AK15">IFERROR(VLOOKUP($C15&amp;AK$2,{MASTER!$Y$2:$Y992,MASTER!$F$2:$F992},2,0),"")</f>
        <v/>
      </c>
      <c r="AL15" s="119" t="str">
        <f t="array" ref="AL15">IFERROR(VLOOKUP($C15&amp;AL$2,{MASTER!$Y$2:$Y992,MASTER!$F$2:$F992},2,0),"")</f>
        <v/>
      </c>
      <c r="AM15" s="119">
        <f t="array" ref="AM15">IFERROR(VLOOKUP($C15&amp;AM$2,{MASTER!$Y$2:$Y992,MASTER!$F$2:$F992},2,0),"")</f>
        <v>8470</v>
      </c>
      <c r="AN15" s="119" t="str">
        <f t="array" ref="AN15">IFERROR(VLOOKUP($C15&amp;AN$2,{MASTER!$Y$2:$Y992,MASTER!$F$2:$F992},2,0),"")</f>
        <v/>
      </c>
      <c r="AO15" s="119">
        <f t="array" ref="AO15">IFERROR(VLOOKUP($C15&amp;AO$2,{MASTER!$Y$2:$Y992,MASTER!$F$2:$F992},2,0),"")</f>
        <v>8470</v>
      </c>
      <c r="AP15" s="119" t="str">
        <f t="array" ref="AP15">IFERROR(VLOOKUP($C15&amp;AP$2,{MASTER!$Y$2:$Y992,MASTER!$F$2:$F992},2,0),"")</f>
        <v/>
      </c>
      <c r="AQ15" s="119">
        <f t="array" ref="AQ15">IFERROR(VLOOKUP($C15&amp;AQ$2,{MASTER!$Y$2:$Y992,MASTER!$F$2:$F992},2,0),"")</f>
        <v>9650</v>
      </c>
      <c r="AR15" s="119">
        <f t="array" ref="AR15">IFERROR(VLOOKUP($C15&amp;AR$2,{MASTER!$Y$2:$Y992,MASTER!$F$2:$F992},2,0),"")</f>
        <v>7070</v>
      </c>
      <c r="AS15" s="119">
        <f t="array" ref="AS15">IFERROR(VLOOKUP($C15&amp;AS$2,{MASTER!$Y$2:$Y992,MASTER!$F$2:$F992},2,0),"")</f>
        <v>7980</v>
      </c>
      <c r="AT15" s="119" t="str">
        <f t="array" ref="AT15">IFERROR(VLOOKUP($C15&amp;AT$2,{MASTER!$Y$2:$Y992,MASTER!$F$2:$F992},2,0),"")</f>
        <v/>
      </c>
      <c r="AU15" s="119">
        <f t="array" ref="AU15">IFERROR(VLOOKUP($C15&amp;AU$2,{MASTER!$Y$2:$Y992,MASTER!$F$2:$F992},2,0),"")</f>
        <v>7980</v>
      </c>
      <c r="AV15" s="119">
        <f t="array" ref="AV15">IFERROR(VLOOKUP($C15&amp;AV$2,{MASTER!$Y$2:$Y992,MASTER!$F$2:$F992},2,0),"")</f>
        <v>7980</v>
      </c>
      <c r="AW15" s="119" t="str">
        <f t="array" ref="AW15">IFERROR(VLOOKUP($C15&amp;AW$2,{MASTER!$Y$2:$Y992,MASTER!$F$2:$F992},2,0),"")</f>
        <v/>
      </c>
      <c r="AX15" s="119">
        <f t="array" ref="AX15">IFERROR(VLOOKUP($C15&amp;AX$2,{MASTER!$Y$2:$Y992,MASTER!$F$2:$F992},2,0),"")</f>
        <v>7980</v>
      </c>
      <c r="AY15" s="119">
        <f t="array" ref="AY15">IFERROR(VLOOKUP($C15&amp;AY$2,{MASTER!$Y$2:$Y992,MASTER!$F$2:$F992},2,0),"")</f>
        <v>10160</v>
      </c>
      <c r="AZ15" s="119">
        <f t="array" ref="AZ15">IFERROR(VLOOKUP($C15&amp;AZ$2,{MASTER!$Y$2:$Y992,MASTER!$F$2:$F992},2,0),"")</f>
        <v>1940</v>
      </c>
      <c r="BA15" s="119">
        <f t="array" ref="BA15">IFERROR(VLOOKUP($C15&amp;BA$2,{MASTER!$Y$2:$Y992,MASTER!$F$2:$F992},2,0),"")</f>
        <v>2730</v>
      </c>
      <c r="BB15" s="119">
        <f t="array" ref="BB15">IFERROR(VLOOKUP($C15&amp;BB$2,{MASTER!$Y$2:$Y992,MASTER!$F$2:$F992},2,0),"")</f>
        <v>3080</v>
      </c>
    </row>
    <row r="16">
      <c r="A16" s="116">
        <f t="shared" si="1"/>
        <v>20</v>
      </c>
      <c r="B16" s="120"/>
      <c r="C16" s="230" t="s">
        <v>1166</v>
      </c>
      <c r="D16" s="119">
        <f t="array" ref="D16">IFERROR(VLOOKUP($C16&amp;D$2,{MASTER!$Y$2:$Y992,MASTER!$F$2:$F992},2,0),"")</f>
        <v>1640</v>
      </c>
      <c r="E16" s="119" t="str">
        <f t="array" ref="E16">IFERROR(VLOOKUP($C16&amp;E$2,{MASTER!$Y$2:$Y992,MASTER!$F$2:$F992},2,0),"")</f>
        <v/>
      </c>
      <c r="F16" s="119" t="str">
        <f t="array" ref="F16">IFERROR(VLOOKUP($C16&amp;F$2,{MASTER!$Y$2:$Y992,MASTER!$F$2:$F992},2,0),"")</f>
        <v/>
      </c>
      <c r="G16" s="119" t="str">
        <f t="array" ref="G16">IFERROR(VLOOKUP($C16&amp;G$2,{MASTER!$Y$2:$Y992,MASTER!$F$2:$F992},2,0),"")</f>
        <v/>
      </c>
      <c r="H16" s="119">
        <f t="array" ref="H16">IFERROR(VLOOKUP($C16&amp;H$2,{MASTER!$Y$2:$Y992,MASTER!$F$2:$F992},2,0),"")</f>
        <v>1490</v>
      </c>
      <c r="I16" s="119">
        <f t="array" ref="I16">IFERROR(VLOOKUP($C16&amp;I$2,{MASTER!$Y$2:$Y992,MASTER!$F$2:$F992},2,0),"")</f>
        <v>1490</v>
      </c>
      <c r="J16" s="119" t="str">
        <f t="array" ref="J16">IFERROR(VLOOKUP($C16&amp;J$2,{MASTER!$Y$2:$Y992,MASTER!$F$2:$F992},2,0),"")</f>
        <v/>
      </c>
      <c r="K16" s="119" t="str">
        <f t="array" ref="K16">IFERROR(VLOOKUP($C16&amp;K$2,{MASTER!$Y$2:$Y992,MASTER!$F$2:$F992},2,0),"")</f>
        <v/>
      </c>
      <c r="L16" s="119" t="str">
        <f t="array" ref="L16">IFERROR(VLOOKUP($C16&amp;L$2,{MASTER!$Y$2:$Y992,MASTER!$F$2:$F992},2,0),"")</f>
        <v/>
      </c>
      <c r="M16" s="119">
        <f t="array" ref="M16">IFERROR(VLOOKUP($C16&amp;M$2,{MASTER!$Y$2:$Y992,MASTER!$F$2:$F992},2,0),"")</f>
        <v>1780</v>
      </c>
      <c r="N16" s="119">
        <f t="array" ref="N16">IFERROR(VLOOKUP($C16&amp;N$2,{MASTER!$Y$2:$Y992,MASTER!$F$2:$F992},2,0),"")</f>
        <v>1890</v>
      </c>
      <c r="O16" s="119">
        <f t="array" ref="O16">IFERROR(VLOOKUP($C16&amp;O$2,{MASTER!$Y$2:$Y992,MASTER!$F$2:$F992},2,0),"")</f>
        <v>1260</v>
      </c>
      <c r="P16" s="119">
        <f t="array" ref="P16">IFERROR(VLOOKUP($C16&amp;P$2,{MASTER!$Y$2:$Y992,MASTER!$F$2:$F992},2,0),"")</f>
        <v>2390</v>
      </c>
      <c r="Q16" s="119">
        <f t="array" ref="Q16">IFERROR(VLOOKUP($C16&amp;Q$2,{MASTER!$Y$2:$Y992,MASTER!$F$2:$F992},2,0),"")</f>
        <v>2660</v>
      </c>
      <c r="R16" s="119" t="str">
        <f t="array" ref="R16">IFERROR(VLOOKUP($C16&amp;R$2,{MASTER!$Y$2:$Y992,MASTER!$F$2:$F992},2,0),"")</f>
        <v/>
      </c>
      <c r="S16" s="119">
        <f t="array" ref="S16">IFERROR(VLOOKUP($C16&amp;S$2,{MASTER!$Y$2:$Y992,MASTER!$F$2:$F992},2,0),"")</f>
        <v>2970</v>
      </c>
      <c r="T16" s="119">
        <f t="array" ref="T16">IFERROR(VLOOKUP($C16&amp;T$2,{MASTER!$Y$2:$Y992,MASTER!$F$2:$F992},2,0),"")</f>
        <v>2770</v>
      </c>
      <c r="U16" s="119" t="str">
        <f t="array" ref="U16">IFERROR(VLOOKUP($C16&amp;U$2,{MASTER!$Y$2:$Y992,MASTER!$F$2:$F992},2,0),"")</f>
        <v/>
      </c>
      <c r="V16" s="119">
        <f t="array" ref="V16">IFERROR(VLOOKUP($C16&amp;V$2,{MASTER!$Y$2:$Y992,MASTER!$F$2:$F992},2,0),"")</f>
        <v>1770</v>
      </c>
      <c r="W16" s="119">
        <f t="array" ref="W16">IFERROR(VLOOKUP($C16&amp;W$2,{MASTER!$Y$2:$Y992,MASTER!$F$2:$F992},2,0),"")</f>
        <v>1820</v>
      </c>
      <c r="X16" s="119">
        <f t="array" ref="X16">IFERROR(VLOOKUP($C16&amp;X$2,{MASTER!$Y$2:$Y992,MASTER!$F$2:$F992},2,0),"")</f>
        <v>1390</v>
      </c>
      <c r="Y16" s="119">
        <f t="array" ref="Y16">IFERROR(VLOOKUP($C16&amp;Y$2,{MASTER!$Y$2:$Y992,MASTER!$F$2:$F992},2,0),"")</f>
        <v>1350</v>
      </c>
      <c r="Z16" s="119">
        <f t="array" ref="Z16">IFERROR(VLOOKUP($C16&amp;Z$2,{MASTER!$Y$2:$Y992,MASTER!$F$2:$F992},2,0),"")</f>
        <v>5490</v>
      </c>
      <c r="AA16" s="119" t="str">
        <f t="array" ref="AA16">IFERROR(VLOOKUP($C16&amp;AA$2,{MASTER!$Y$2:$Y992,MASTER!$F$2:$F992},2,0),"")</f>
        <v/>
      </c>
      <c r="AB16" s="119" t="str">
        <f t="array" ref="AB16">IFERROR(VLOOKUP($C16&amp;AB$2,{MASTER!$Y$2:$Y992,MASTER!$F$2:$F992},2,0),"")</f>
        <v/>
      </c>
      <c r="AC16" s="119" t="str">
        <f t="array" ref="AC16">IFERROR(VLOOKUP($C16&amp;AC$2,{MASTER!$Y$2:$Y992,MASTER!$F$2:$F992},2,0),"")</f>
        <v/>
      </c>
      <c r="AD16" s="119" t="str">
        <f t="array" ref="AD16">IFERROR(VLOOKUP($C16&amp;AD$2,{MASTER!$Y$2:$Y992,MASTER!$F$2:$F992},2,0),"")</f>
        <v/>
      </c>
      <c r="AE16" s="119" t="str">
        <f t="array" ref="AE16">IFERROR(VLOOKUP($C16&amp;AE$2,{MASTER!$Y$2:$Y992,MASTER!$F$2:$F992},2,0),"")</f>
        <v/>
      </c>
      <c r="AF16" s="119" t="str">
        <f t="array" ref="AF16">IFERROR(VLOOKUP($C16&amp;AF$2,{MASTER!$Y$2:$Y992,MASTER!$F$2:$F992},2,0),"")</f>
        <v/>
      </c>
      <c r="AG16" s="119" t="str">
        <f t="array" ref="AG16">IFERROR(VLOOKUP($C16&amp;AG$2,{MASTER!$Y$2:$Y992,MASTER!$F$2:$F992},2,0),"")</f>
        <v/>
      </c>
      <c r="AH16" s="119">
        <f t="array" ref="AH16">IFERROR(VLOOKUP($C16&amp;AH$2,{MASTER!$Y$2:$Y992,MASTER!$F$2:$F992},2,0),"")</f>
        <v>5980</v>
      </c>
      <c r="AI16" s="119" t="str">
        <f t="array" ref="AI16">IFERROR(VLOOKUP($C16&amp;AI$2,{MASTER!$Y$2:$Y992,MASTER!$F$2:$F992},2,0),"")</f>
        <v/>
      </c>
      <c r="AJ16" s="119" t="str">
        <f t="array" ref="AJ16">IFERROR(VLOOKUP($C16&amp;AJ$2,{MASTER!$Y$2:$Y992,MASTER!$F$2:$F992},2,0),"")</f>
        <v/>
      </c>
      <c r="AK16" s="119" t="str">
        <f t="array" ref="AK16">IFERROR(VLOOKUP($C16&amp;AK$2,{MASTER!$Y$2:$Y992,MASTER!$F$2:$F992},2,0),"")</f>
        <v/>
      </c>
      <c r="AL16" s="119" t="str">
        <f t="array" ref="AL16">IFERROR(VLOOKUP($C16&amp;AL$2,{MASTER!$Y$2:$Y992,MASTER!$F$2:$F992},2,0),"")</f>
        <v/>
      </c>
      <c r="AM16" s="119">
        <f t="array" ref="AM16">IFERROR(VLOOKUP($C16&amp;AM$2,{MASTER!$Y$2:$Y992,MASTER!$F$2:$F992},2,0),"")</f>
        <v>7680</v>
      </c>
      <c r="AN16" s="119" t="str">
        <f t="array" ref="AN16">IFERROR(VLOOKUP($C16&amp;AN$2,{MASTER!$Y$2:$Y992,MASTER!$F$2:$F992},2,0),"")</f>
        <v/>
      </c>
      <c r="AO16" s="119">
        <f t="array" ref="AO16">IFERROR(VLOOKUP($C16&amp;AO$2,{MASTER!$Y$2:$Y992,MASTER!$F$2:$F992},2,0),"")</f>
        <v>7680</v>
      </c>
      <c r="AP16" s="119" t="str">
        <f t="array" ref="AP16">IFERROR(VLOOKUP($C16&amp;AP$2,{MASTER!$Y$2:$Y992,MASTER!$F$2:$F992},2,0),"")</f>
        <v/>
      </c>
      <c r="AQ16" s="119">
        <f t="array" ref="AQ16">IFERROR(VLOOKUP($C16&amp;AQ$2,{MASTER!$Y$2:$Y992,MASTER!$F$2:$F992},2,0),"")</f>
        <v>8680</v>
      </c>
      <c r="AR16" s="119" t="str">
        <f t="array" ref="AR16">IFERROR(VLOOKUP($C16&amp;AR$2,{MASTER!$Y$2:$Y992,MASTER!$F$2:$F992},2,0),"")</f>
        <v/>
      </c>
      <c r="AS16" s="119" t="str">
        <f t="array" ref="AS16">IFERROR(VLOOKUP($C16&amp;AS$2,{MASTER!$Y$2:$Y992,MASTER!$F$2:$F992},2,0),"")</f>
        <v/>
      </c>
      <c r="AT16" s="119" t="str">
        <f t="array" ref="AT16">IFERROR(VLOOKUP($C16&amp;AT$2,{MASTER!$Y$2:$Y992,MASTER!$F$2:$F992},2,0),"")</f>
        <v/>
      </c>
      <c r="AU16" s="119" t="str">
        <f t="array" ref="AU16">IFERROR(VLOOKUP($C16&amp;AU$2,{MASTER!$Y$2:$Y992,MASTER!$F$2:$F992},2,0),"")</f>
        <v/>
      </c>
      <c r="AV16" s="119" t="str">
        <f t="array" ref="AV16">IFERROR(VLOOKUP($C16&amp;AV$2,{MASTER!$Y$2:$Y992,MASTER!$F$2:$F992},2,0),"")</f>
        <v/>
      </c>
      <c r="AW16" s="119" t="str">
        <f t="array" ref="AW16">IFERROR(VLOOKUP($C16&amp;AW$2,{MASTER!$Y$2:$Y992,MASTER!$F$2:$F992},2,0),"")</f>
        <v/>
      </c>
      <c r="AX16" s="119" t="str">
        <f t="array" ref="AX16">IFERROR(VLOOKUP($C16&amp;AX$2,{MASTER!$Y$2:$Y992,MASTER!$F$2:$F992},2,0),"")</f>
        <v/>
      </c>
      <c r="AY16" s="119" t="str">
        <f t="array" ref="AY16">IFERROR(VLOOKUP($C16&amp;AY$2,{MASTER!$Y$2:$Y992,MASTER!$F$2:$F992},2,0),"")</f>
        <v/>
      </c>
      <c r="AZ16" s="119" t="str">
        <f t="array" ref="AZ16">IFERROR(VLOOKUP($C16&amp;AZ$2,{MASTER!$Y$2:$Y992,MASTER!$F$2:$F992},2,0),"")</f>
        <v/>
      </c>
      <c r="BA16" s="119" t="str">
        <f t="array" ref="BA16">IFERROR(VLOOKUP($C16&amp;BA$2,{MASTER!$Y$2:$Y992,MASTER!$F$2:$F992},2,0),"")</f>
        <v/>
      </c>
      <c r="BB16" s="119">
        <f t="array" ref="BB16">IFERROR(VLOOKUP($C16&amp;BB$2,{MASTER!$Y$2:$Y992,MASTER!$F$2:$F992},2,0),"")</f>
        <v>2520</v>
      </c>
    </row>
    <row r="17">
      <c r="A17" s="116">
        <f t="shared" si="1"/>
        <v>20</v>
      </c>
      <c r="B17" s="120"/>
      <c r="C17" s="230" t="s">
        <v>1169</v>
      </c>
      <c r="D17" s="119">
        <f t="array" ref="D17">IFERROR(VLOOKUP($C17&amp;D$2,{MASTER!$Y$2:$Y992,MASTER!$F$2:$F992},2,0),"")</f>
        <v>1670</v>
      </c>
      <c r="E17" s="119" t="str">
        <f t="array" ref="E17">IFERROR(VLOOKUP($C17&amp;E$2,{MASTER!$Y$2:$Y992,MASTER!$F$2:$F992},2,0),"")</f>
        <v/>
      </c>
      <c r="F17" s="119" t="str">
        <f t="array" ref="F17">IFERROR(VLOOKUP($C17&amp;F$2,{MASTER!$Y$2:$Y992,MASTER!$F$2:$F992},2,0),"")</f>
        <v/>
      </c>
      <c r="G17" s="119" t="str">
        <f t="array" ref="G17">IFERROR(VLOOKUP($C17&amp;G$2,{MASTER!$Y$2:$Y992,MASTER!$F$2:$F992},2,0),"")</f>
        <v/>
      </c>
      <c r="H17" s="119">
        <f t="array" ref="H17">IFERROR(VLOOKUP($C17&amp;H$2,{MASTER!$Y$2:$Y992,MASTER!$F$2:$F992},2,0),"")</f>
        <v>1550</v>
      </c>
      <c r="I17" s="119">
        <f t="array" ref="I17">IFERROR(VLOOKUP($C17&amp;I$2,{MASTER!$Y$2:$Y992,MASTER!$F$2:$F992},2,0),"")</f>
        <v>1540</v>
      </c>
      <c r="J17" s="119" t="str">
        <f t="array" ref="J17">IFERROR(VLOOKUP($C17&amp;J$2,{MASTER!$Y$2:$Y992,MASTER!$F$2:$F992},2,0),"")</f>
        <v/>
      </c>
      <c r="K17" s="119" t="str">
        <f t="array" ref="K17">IFERROR(VLOOKUP($C17&amp;K$2,{MASTER!$Y$2:$Y992,MASTER!$F$2:$F992},2,0),"")</f>
        <v/>
      </c>
      <c r="L17" s="119" t="str">
        <f t="array" ref="L17">IFERROR(VLOOKUP($C17&amp;L$2,{MASTER!$Y$2:$Y992,MASTER!$F$2:$F992},2,0),"")</f>
        <v/>
      </c>
      <c r="M17" s="119">
        <f t="array" ref="M17">IFERROR(VLOOKUP($C17&amp;M$2,{MASTER!$Y$2:$Y992,MASTER!$F$2:$F992},2,0),"")</f>
        <v>1770</v>
      </c>
      <c r="N17" s="119">
        <f t="array" ref="N17">IFERROR(VLOOKUP($C17&amp;N$2,{MASTER!$Y$2:$Y992,MASTER!$F$2:$F992},2,0),"")</f>
        <v>1940</v>
      </c>
      <c r="O17" s="119">
        <f t="array" ref="O17">IFERROR(VLOOKUP($C17&amp;O$2,{MASTER!$Y$2:$Y992,MASTER!$F$2:$F992},2,0),"")</f>
        <v>1290</v>
      </c>
      <c r="P17" s="119">
        <f t="array" ref="P17">IFERROR(VLOOKUP($C17&amp;P$2,{MASTER!$Y$2:$Y992,MASTER!$F$2:$F992},2,0),"")</f>
        <v>2360</v>
      </c>
      <c r="Q17" s="119">
        <f t="array" ref="Q17">IFERROR(VLOOKUP($C17&amp;Q$2,{MASTER!$Y$2:$Y992,MASTER!$F$2:$F992},2,0),"")</f>
        <v>2680</v>
      </c>
      <c r="R17" s="119" t="str">
        <f t="array" ref="R17">IFERROR(VLOOKUP($C17&amp;R$2,{MASTER!$Y$2:$Y992,MASTER!$F$2:$F992},2,0),"")</f>
        <v/>
      </c>
      <c r="S17" s="119">
        <f t="array" ref="S17">IFERROR(VLOOKUP($C17&amp;S$2,{MASTER!$Y$2:$Y992,MASTER!$F$2:$F992},2,0),"")</f>
        <v>3120</v>
      </c>
      <c r="T17" s="119">
        <f t="array" ref="T17">IFERROR(VLOOKUP($C17&amp;T$2,{MASTER!$Y$2:$Y992,MASTER!$F$2:$F992},2,0),"")</f>
        <v>2790</v>
      </c>
      <c r="U17" s="119" t="str">
        <f t="array" ref="U17">IFERROR(VLOOKUP($C17&amp;U$2,{MASTER!$Y$2:$Y992,MASTER!$F$2:$F992},2,0),"")</f>
        <v/>
      </c>
      <c r="V17" s="119">
        <f t="array" ref="V17">IFERROR(VLOOKUP($C17&amp;V$2,{MASTER!$Y$2:$Y992,MASTER!$F$2:$F992},2,0),"")</f>
        <v>1840</v>
      </c>
      <c r="W17" s="119">
        <f t="array" ref="W17">IFERROR(VLOOKUP($C17&amp;W$2,{MASTER!$Y$2:$Y992,MASTER!$F$2:$F992},2,0),"")</f>
        <v>1890</v>
      </c>
      <c r="X17" s="119">
        <f t="array" ref="X17">IFERROR(VLOOKUP($C17&amp;X$2,{MASTER!$Y$2:$Y992,MASTER!$F$2:$F992},2,0),"")</f>
        <v>1380</v>
      </c>
      <c r="Y17" s="119">
        <f t="array" ref="Y17">IFERROR(VLOOKUP($C17&amp;Y$2,{MASTER!$Y$2:$Y992,MASTER!$F$2:$F992},2,0),"")</f>
        <v>1360</v>
      </c>
      <c r="Z17" s="119">
        <f t="array" ref="Z17">IFERROR(VLOOKUP($C17&amp;Z$2,{MASTER!$Y$2:$Y992,MASTER!$F$2:$F992},2,0),"")</f>
        <v>5480</v>
      </c>
      <c r="AA17" s="119" t="str">
        <f t="array" ref="AA17">IFERROR(VLOOKUP($C17&amp;AA$2,{MASTER!$Y$2:$Y992,MASTER!$F$2:$F992},2,0),"")</f>
        <v/>
      </c>
      <c r="AB17" s="119" t="str">
        <f t="array" ref="AB17">IFERROR(VLOOKUP($C17&amp;AB$2,{MASTER!$Y$2:$Y992,MASTER!$F$2:$F992},2,0),"")</f>
        <v/>
      </c>
      <c r="AC17" s="119" t="str">
        <f t="array" ref="AC17">IFERROR(VLOOKUP($C17&amp;AC$2,{MASTER!$Y$2:$Y992,MASTER!$F$2:$F992},2,0),"")</f>
        <v/>
      </c>
      <c r="AD17" s="119" t="str">
        <f t="array" ref="AD17">IFERROR(VLOOKUP($C17&amp;AD$2,{MASTER!$Y$2:$Y992,MASTER!$F$2:$F992},2,0),"")</f>
        <v/>
      </c>
      <c r="AE17" s="119" t="str">
        <f t="array" ref="AE17">IFERROR(VLOOKUP($C17&amp;AE$2,{MASTER!$Y$2:$Y992,MASTER!$F$2:$F992},2,0),"")</f>
        <v/>
      </c>
      <c r="AF17" s="119" t="str">
        <f t="array" ref="AF17">IFERROR(VLOOKUP($C17&amp;AF$2,{MASTER!$Y$2:$Y992,MASTER!$F$2:$F992},2,0),"")</f>
        <v/>
      </c>
      <c r="AG17" s="119" t="str">
        <f t="array" ref="AG17">IFERROR(VLOOKUP($C17&amp;AG$2,{MASTER!$Y$2:$Y992,MASTER!$F$2:$F992},2,0),"")</f>
        <v/>
      </c>
      <c r="AH17" s="119">
        <f t="array" ref="AH17">IFERROR(VLOOKUP($C17&amp;AH$2,{MASTER!$Y$2:$Y992,MASTER!$F$2:$F992},2,0),"")</f>
        <v>5890</v>
      </c>
      <c r="AI17" s="119" t="str">
        <f t="array" ref="AI17">IFERROR(VLOOKUP($C17&amp;AI$2,{MASTER!$Y$2:$Y992,MASTER!$F$2:$F992},2,0),"")</f>
        <v/>
      </c>
      <c r="AJ17" s="119" t="str">
        <f t="array" ref="AJ17">IFERROR(VLOOKUP($C17&amp;AJ$2,{MASTER!$Y$2:$Y992,MASTER!$F$2:$F992},2,0),"")</f>
        <v/>
      </c>
      <c r="AK17" s="119" t="str">
        <f t="array" ref="AK17">IFERROR(VLOOKUP($C17&amp;AK$2,{MASTER!$Y$2:$Y992,MASTER!$F$2:$F992},2,0),"")</f>
        <v/>
      </c>
      <c r="AL17" s="119" t="str">
        <f t="array" ref="AL17">IFERROR(VLOOKUP($C17&amp;AL$2,{MASTER!$Y$2:$Y992,MASTER!$F$2:$F992},2,0),"")</f>
        <v/>
      </c>
      <c r="AM17" s="119">
        <f t="array" ref="AM17">IFERROR(VLOOKUP($C17&amp;AM$2,{MASTER!$Y$2:$Y992,MASTER!$F$2:$F992},2,0),"")</f>
        <v>7680</v>
      </c>
      <c r="AN17" s="119" t="str">
        <f t="array" ref="AN17">IFERROR(VLOOKUP($C17&amp;AN$2,{MASTER!$Y$2:$Y992,MASTER!$F$2:$F992},2,0),"")</f>
        <v/>
      </c>
      <c r="AO17" s="119">
        <f t="array" ref="AO17">IFERROR(VLOOKUP($C17&amp;AO$2,{MASTER!$Y$2:$Y992,MASTER!$F$2:$F992},2,0),"")</f>
        <v>7680</v>
      </c>
      <c r="AP17" s="119" t="str">
        <f t="array" ref="AP17">IFERROR(VLOOKUP($C17&amp;AP$2,{MASTER!$Y$2:$Y992,MASTER!$F$2:$F992},2,0),"")</f>
        <v/>
      </c>
      <c r="AQ17" s="119">
        <f t="array" ref="AQ17">IFERROR(VLOOKUP($C17&amp;AQ$2,{MASTER!$Y$2:$Y992,MASTER!$F$2:$F992},2,0),"")</f>
        <v>8680</v>
      </c>
      <c r="AR17" s="119" t="str">
        <f t="array" ref="AR17">IFERROR(VLOOKUP($C17&amp;AR$2,{MASTER!$Y$2:$Y992,MASTER!$F$2:$F992},2,0),"")</f>
        <v/>
      </c>
      <c r="AS17" s="119" t="str">
        <f t="array" ref="AS17">IFERROR(VLOOKUP($C17&amp;AS$2,{MASTER!$Y$2:$Y992,MASTER!$F$2:$F992},2,0),"")</f>
        <v/>
      </c>
      <c r="AT17" s="119" t="str">
        <f t="array" ref="AT17">IFERROR(VLOOKUP($C17&amp;AT$2,{MASTER!$Y$2:$Y992,MASTER!$F$2:$F992},2,0),"")</f>
        <v/>
      </c>
      <c r="AU17" s="119" t="str">
        <f t="array" ref="AU17">IFERROR(VLOOKUP($C17&amp;AU$2,{MASTER!$Y$2:$Y992,MASTER!$F$2:$F992},2,0),"")</f>
        <v/>
      </c>
      <c r="AV17" s="119" t="str">
        <f t="array" ref="AV17">IFERROR(VLOOKUP($C17&amp;AV$2,{MASTER!$Y$2:$Y992,MASTER!$F$2:$F992},2,0),"")</f>
        <v/>
      </c>
      <c r="AW17" s="119" t="str">
        <f t="array" ref="AW17">IFERROR(VLOOKUP($C17&amp;AW$2,{MASTER!$Y$2:$Y992,MASTER!$F$2:$F992},2,0),"")</f>
        <v/>
      </c>
      <c r="AX17" s="119" t="str">
        <f t="array" ref="AX17">IFERROR(VLOOKUP($C17&amp;AX$2,{MASTER!$Y$2:$Y992,MASTER!$F$2:$F992},2,0),"")</f>
        <v/>
      </c>
      <c r="AY17" s="119" t="str">
        <f t="array" ref="AY17">IFERROR(VLOOKUP($C17&amp;AY$2,{MASTER!$Y$2:$Y992,MASTER!$F$2:$F992},2,0),"")</f>
        <v/>
      </c>
      <c r="AZ17" s="119" t="str">
        <f t="array" ref="AZ17">IFERROR(VLOOKUP($C17&amp;AZ$2,{MASTER!$Y$2:$Y992,MASTER!$F$2:$F992},2,0),"")</f>
        <v/>
      </c>
      <c r="BA17" s="119" t="str">
        <f t="array" ref="BA17">IFERROR(VLOOKUP($C17&amp;BA$2,{MASTER!$Y$2:$Y992,MASTER!$F$2:$F992},2,0),"")</f>
        <v/>
      </c>
      <c r="BB17" s="119">
        <f t="array" ref="BB17">IFERROR(VLOOKUP($C17&amp;BB$2,{MASTER!$Y$2:$Y992,MASTER!$F$2:$F992},2,0),"")</f>
        <v>2580</v>
      </c>
    </row>
    <row r="18">
      <c r="A18" s="116">
        <f t="shared" si="1"/>
        <v>21</v>
      </c>
      <c r="B18" s="120"/>
      <c r="C18" s="230" t="s">
        <v>1121</v>
      </c>
      <c r="D18" s="119">
        <f t="array" ref="D18">IFERROR(VLOOKUP($C18&amp;D$2,{MASTER!$Y$2:$Y992,MASTER!$F$2:$F992},2,0),"")</f>
        <v>1990</v>
      </c>
      <c r="E18" s="119">
        <f t="array" ref="E18">IFERROR(VLOOKUP($C18&amp;E$2,{MASTER!$Y$2:$Y992,MASTER!$F$2:$F992},2,0),"")</f>
        <v>3990</v>
      </c>
      <c r="F18" s="119" t="str">
        <f t="array" ref="F18">IFERROR(VLOOKUP($C18&amp;F$2,{MASTER!$Y$2:$Y992,MASTER!$F$2:$F992},2,0),"")</f>
        <v/>
      </c>
      <c r="G18" s="119">
        <f t="array" ref="G18">IFERROR(VLOOKUP($C18&amp;G$2,{MASTER!$Y$2:$Y992,MASTER!$F$2:$F992},2,0),"")</f>
        <v>2690</v>
      </c>
      <c r="H18" s="119" t="str">
        <f t="array" ref="H18">IFERROR(VLOOKUP($C18&amp;H$2,{MASTER!$Y$2:$Y992,MASTER!$F$2:$F992},2,0),"")</f>
        <v/>
      </c>
      <c r="I18" s="119">
        <f t="array" ref="I18">IFERROR(VLOOKUP($C18&amp;I$2,{MASTER!$Y$2:$Y992,MASTER!$F$2:$F992},2,0),"")</f>
        <v>1740</v>
      </c>
      <c r="J18" s="119">
        <f t="array" ref="J18">IFERROR(VLOOKUP($C18&amp;J$2,{MASTER!$Y$2:$Y992,MASTER!$F$2:$F992},2,0),"")</f>
        <v>2880</v>
      </c>
      <c r="K18" s="119">
        <f t="array" ref="K18">IFERROR(VLOOKUP($C18&amp;K$2,{MASTER!$Y$2:$Y992,MASTER!$F$2:$F992},2,0),"")</f>
        <v>1490</v>
      </c>
      <c r="L18" s="119">
        <f t="array" ref="L18">IFERROR(VLOOKUP($C18&amp;L$2,{MASTER!$Y$2:$Y992,MASTER!$F$2:$F992},2,0),"")</f>
        <v>1390</v>
      </c>
      <c r="M18" s="119">
        <f t="array" ref="M18">IFERROR(VLOOKUP($C18&amp;M$2,{MASTER!$Y$2:$Y992,MASTER!$F$2:$F992},2,0),"")</f>
        <v>2080</v>
      </c>
      <c r="N18" s="119" t="str">
        <f t="array" ref="N18">IFERROR(VLOOKUP($C18&amp;N$2,{MASTER!$Y$2:$Y992,MASTER!$F$2:$F992},2,0),"")</f>
        <v/>
      </c>
      <c r="O18" s="119">
        <f t="array" ref="O18">IFERROR(VLOOKUP($C18&amp;O$2,{MASTER!$Y$2:$Y992,MASTER!$F$2:$F992},2,0),"")</f>
        <v>1460</v>
      </c>
      <c r="P18" s="119">
        <f t="array" ref="P18">IFERROR(VLOOKUP($C18&amp;P$2,{MASTER!$Y$2:$Y992,MASTER!$F$2:$F992},2,0),"")</f>
        <v>2620</v>
      </c>
      <c r="Q18" s="119">
        <f t="array" ref="Q18">IFERROR(VLOOKUP($C18&amp;Q$2,{MASTER!$Y$2:$Y992,MASTER!$F$2:$F992},2,0),"")</f>
        <v>2830</v>
      </c>
      <c r="R18" s="119" t="str">
        <f t="array" ref="R18">IFERROR(VLOOKUP($C18&amp;R$2,{MASTER!$Y$2:$Y992,MASTER!$F$2:$F992},2,0),"")</f>
        <v/>
      </c>
      <c r="S18" s="119">
        <f t="array" ref="S18">IFERROR(VLOOKUP($C18&amp;S$2,{MASTER!$Y$2:$Y992,MASTER!$F$2:$F992},2,0),"")</f>
        <v>2950</v>
      </c>
      <c r="T18" s="119">
        <f t="array" ref="T18">IFERROR(VLOOKUP($C18&amp;T$2,{MASTER!$Y$2:$Y992,MASTER!$F$2:$F992},2,0),"")</f>
        <v>2580</v>
      </c>
      <c r="U18" s="119" t="str">
        <f t="array" ref="U18">IFERROR(VLOOKUP($C18&amp;U$2,{MASTER!$Y$2:$Y992,MASTER!$F$2:$F992},2,0),"")</f>
        <v/>
      </c>
      <c r="V18" s="119">
        <f t="array" ref="V18">IFERROR(VLOOKUP($C18&amp;V$2,{MASTER!$Y$2:$Y992,MASTER!$F$2:$F992},2,0),"")</f>
        <v>1780</v>
      </c>
      <c r="W18" s="119">
        <f t="array" ref="W18">IFERROR(VLOOKUP($C18&amp;W$2,{MASTER!$Y$2:$Y992,MASTER!$F$2:$F992},2,0),"")</f>
        <v>1830</v>
      </c>
      <c r="X18" s="119" t="str">
        <f t="array" ref="X18">IFERROR(VLOOKUP($C18&amp;X$2,{MASTER!$Y$2:$Y992,MASTER!$F$2:$F992},2,0),"")</f>
        <v/>
      </c>
      <c r="Y18" s="119" t="str">
        <f t="array" ref="Y18">IFERROR(VLOOKUP($C18&amp;Y$2,{MASTER!$Y$2:$Y992,MASTER!$F$2:$F992},2,0),"")</f>
        <v/>
      </c>
      <c r="Z18" s="119">
        <f t="array" ref="Z18">IFERROR(VLOOKUP($C18&amp;Z$2,{MASTER!$Y$2:$Y992,MASTER!$F$2:$F992},2,0),"")</f>
        <v>5480</v>
      </c>
      <c r="AA18" s="119" t="str">
        <f t="array" ref="AA18">IFERROR(VLOOKUP($C18&amp;AA$2,{MASTER!$Y$2:$Y992,MASTER!$F$2:$F992},2,0),"")</f>
        <v/>
      </c>
      <c r="AB18" s="119" t="str">
        <f t="array" ref="AB18">IFERROR(VLOOKUP($C18&amp;AB$2,{MASTER!$Y$2:$Y992,MASTER!$F$2:$F992},2,0),"")</f>
        <v/>
      </c>
      <c r="AC18" s="119" t="str">
        <f t="array" ref="AC18">IFERROR(VLOOKUP($C18&amp;AC$2,{MASTER!$Y$2:$Y992,MASTER!$F$2:$F992},2,0),"")</f>
        <v/>
      </c>
      <c r="AD18" s="119" t="str">
        <f t="array" ref="AD18">IFERROR(VLOOKUP($C18&amp;AD$2,{MASTER!$Y$2:$Y992,MASTER!$F$2:$F992},2,0),"")</f>
        <v/>
      </c>
      <c r="AE18" s="119" t="str">
        <f t="array" ref="AE18">IFERROR(VLOOKUP($C18&amp;AE$2,{MASTER!$Y$2:$Y992,MASTER!$F$2:$F992},2,0),"")</f>
        <v/>
      </c>
      <c r="AF18" s="119" t="str">
        <f t="array" ref="AF18">IFERROR(VLOOKUP($C18&amp;AF$2,{MASTER!$Y$2:$Y992,MASTER!$F$2:$F992},2,0),"")</f>
        <v/>
      </c>
      <c r="AG18" s="119" t="str">
        <f t="array" ref="AG18">IFERROR(VLOOKUP($C18&amp;AG$2,{MASTER!$Y$2:$Y992,MASTER!$F$2:$F992},2,0),"")</f>
        <v/>
      </c>
      <c r="AH18" s="119">
        <f t="array" ref="AH18">IFERROR(VLOOKUP($C18&amp;AH$2,{MASTER!$Y$2:$Y992,MASTER!$F$2:$F992},2,0),"")</f>
        <v>5990</v>
      </c>
      <c r="AI18" s="119" t="str">
        <f t="array" ref="AI18">IFERROR(VLOOKUP($C18&amp;AI$2,{MASTER!$Y$2:$Y992,MASTER!$F$2:$F992},2,0),"")</f>
        <v/>
      </c>
      <c r="AJ18" s="119" t="str">
        <f t="array" ref="AJ18">IFERROR(VLOOKUP($C18&amp;AJ$2,{MASTER!$Y$2:$Y992,MASTER!$F$2:$F992},2,0),"")</f>
        <v/>
      </c>
      <c r="AK18" s="119" t="str">
        <f t="array" ref="AK18">IFERROR(VLOOKUP($C18&amp;AK$2,{MASTER!$Y$2:$Y992,MASTER!$F$2:$F992},2,0),"")</f>
        <v/>
      </c>
      <c r="AL18" s="119" t="str">
        <f t="array" ref="AL18">IFERROR(VLOOKUP($C18&amp;AL$2,{MASTER!$Y$2:$Y992,MASTER!$F$2:$F992},2,0),"")</f>
        <v/>
      </c>
      <c r="AM18" s="119">
        <f t="array" ref="AM18">IFERROR(VLOOKUP($C18&amp;AM$2,{MASTER!$Y$2:$Y992,MASTER!$F$2:$F992},2,0),"")</f>
        <v>7680</v>
      </c>
      <c r="AN18" s="119" t="str">
        <f t="array" ref="AN18">IFERROR(VLOOKUP($C18&amp;AN$2,{MASTER!$Y$2:$Y992,MASTER!$F$2:$F992},2,0),"")</f>
        <v/>
      </c>
      <c r="AO18" s="119">
        <f t="array" ref="AO18">IFERROR(VLOOKUP($C18&amp;AO$2,{MASTER!$Y$2:$Y992,MASTER!$F$2:$F992},2,0),"")</f>
        <v>7680</v>
      </c>
      <c r="AP18" s="119" t="str">
        <f t="array" ref="AP18">IFERROR(VLOOKUP($C18&amp;AP$2,{MASTER!$Y$2:$Y992,MASTER!$F$2:$F992},2,0),"")</f>
        <v/>
      </c>
      <c r="AQ18" s="119">
        <f t="array" ref="AQ18">IFERROR(VLOOKUP($C18&amp;AQ$2,{MASTER!$Y$2:$Y992,MASTER!$F$2:$F992},2,0),"")</f>
        <v>8540</v>
      </c>
      <c r="AR18" s="119" t="str">
        <f t="array" ref="AR18">IFERROR(VLOOKUP($C18&amp;AR$2,{MASTER!$Y$2:$Y992,MASTER!$F$2:$F992},2,0),"")</f>
        <v/>
      </c>
      <c r="AS18" s="119" t="str">
        <f t="array" ref="AS18">IFERROR(VLOOKUP($C18&amp;AS$2,{MASTER!$Y$2:$Y992,MASTER!$F$2:$F992},2,0),"")</f>
        <v/>
      </c>
      <c r="AT18" s="119" t="str">
        <f t="array" ref="AT18">IFERROR(VLOOKUP($C18&amp;AT$2,{MASTER!$Y$2:$Y992,MASTER!$F$2:$F992},2,0),"")</f>
        <v/>
      </c>
      <c r="AU18" s="119" t="str">
        <f t="array" ref="AU18">IFERROR(VLOOKUP($C18&amp;AU$2,{MASTER!$Y$2:$Y992,MASTER!$F$2:$F992},2,0),"")</f>
        <v/>
      </c>
      <c r="AV18" s="119" t="str">
        <f t="array" ref="AV18">IFERROR(VLOOKUP($C18&amp;AV$2,{MASTER!$Y$2:$Y992,MASTER!$F$2:$F992},2,0),"")</f>
        <v/>
      </c>
      <c r="AW18" s="119" t="str">
        <f t="array" ref="AW18">IFERROR(VLOOKUP($C18&amp;AW$2,{MASTER!$Y$2:$Y992,MASTER!$F$2:$F992},2,0),"")</f>
        <v/>
      </c>
      <c r="AX18" s="119" t="str">
        <f t="array" ref="AX18">IFERROR(VLOOKUP($C18&amp;AX$2,{MASTER!$Y$2:$Y992,MASTER!$F$2:$F992},2,0),"")</f>
        <v/>
      </c>
      <c r="AY18" s="119" t="str">
        <f t="array" ref="AY18">IFERROR(VLOOKUP($C18&amp;AY$2,{MASTER!$Y$2:$Y992,MASTER!$F$2:$F992},2,0),"")</f>
        <v/>
      </c>
      <c r="AZ18" s="119" t="str">
        <f t="array" ref="AZ18">IFERROR(VLOOKUP($C18&amp;AZ$2,{MASTER!$Y$2:$Y992,MASTER!$F$2:$F992},2,0),"")</f>
        <v/>
      </c>
      <c r="BA18" s="119" t="str">
        <f t="array" ref="BA18">IFERROR(VLOOKUP($C18&amp;BA$2,{MASTER!$Y$2:$Y992,MASTER!$F$2:$F992},2,0),"")</f>
        <v/>
      </c>
      <c r="BB18" s="119">
        <f t="array" ref="BB18">IFERROR(VLOOKUP($C18&amp;BB$2,{MASTER!$Y$2:$Y992,MASTER!$F$2:$F992},2,0),"")</f>
        <v>2380</v>
      </c>
    </row>
    <row r="19">
      <c r="A19" s="116">
        <f t="shared" si="1"/>
        <v>38</v>
      </c>
      <c r="B19" s="120"/>
      <c r="C19" s="230" t="s">
        <v>1129</v>
      </c>
      <c r="D19" s="119">
        <f t="array" ref="D19">IFERROR(VLOOKUP($C19&amp;D$2,{MASTER!$Y$2:$Y992,MASTER!$F$2:$F992},2,0),"")</f>
        <v>1880</v>
      </c>
      <c r="E19" s="119">
        <f t="array" ref="E19">IFERROR(VLOOKUP($C19&amp;E$2,{MASTER!$Y$2:$Y992,MASTER!$F$2:$F992},2,0),"")</f>
        <v>3880</v>
      </c>
      <c r="F19" s="119" t="str">
        <f t="array" ref="F19">IFERROR(VLOOKUP($C19&amp;F$2,{MASTER!$Y$2:$Y992,MASTER!$F$2:$F992},2,0),"")</f>
        <v/>
      </c>
      <c r="G19" s="119">
        <f t="array" ref="G19">IFERROR(VLOOKUP($C19&amp;G$2,{MASTER!$Y$2:$Y992,MASTER!$F$2:$F992},2,0),"")</f>
        <v>2490</v>
      </c>
      <c r="H19" s="119" t="str">
        <f t="array" ref="H19">IFERROR(VLOOKUP($C19&amp;H$2,{MASTER!$Y$2:$Y992,MASTER!$F$2:$F992},2,0),"")</f>
        <v/>
      </c>
      <c r="I19" s="119">
        <f t="array" ref="I19">IFERROR(VLOOKUP($C19&amp;I$2,{MASTER!$Y$2:$Y992,MASTER!$F$2:$F992},2,0),"")</f>
        <v>1490</v>
      </c>
      <c r="J19" s="119">
        <f t="array" ref="J19">IFERROR(VLOOKUP($C19&amp;J$2,{MASTER!$Y$2:$Y992,MASTER!$F$2:$F992},2,0),"")</f>
        <v>2880</v>
      </c>
      <c r="K19" s="119">
        <f t="array" ref="K19">IFERROR(VLOOKUP($C19&amp;K$2,{MASTER!$Y$2:$Y992,MASTER!$F$2:$F992},2,0),"")</f>
        <v>1490</v>
      </c>
      <c r="L19" s="119">
        <f t="array" ref="L19">IFERROR(VLOOKUP($C19&amp;L$2,{MASTER!$Y$2:$Y992,MASTER!$F$2:$F992},2,0),"")</f>
        <v>1390</v>
      </c>
      <c r="M19" s="119">
        <f t="array" ref="M19">IFERROR(VLOOKUP($C19&amp;M$2,{MASTER!$Y$2:$Y992,MASTER!$F$2:$F992},2,0),"")</f>
        <v>1790</v>
      </c>
      <c r="N19" s="119" t="str">
        <f t="array" ref="N19">IFERROR(VLOOKUP($C19&amp;N$2,{MASTER!$Y$2:$Y992,MASTER!$F$2:$F992},2,0),"")</f>
        <v/>
      </c>
      <c r="O19" s="119">
        <f t="array" ref="O19">IFERROR(VLOOKUP($C19&amp;O$2,{MASTER!$Y$2:$Y992,MASTER!$F$2:$F992},2,0),"")</f>
        <v>1290</v>
      </c>
      <c r="P19" s="119">
        <f t="array" ref="P19">IFERROR(VLOOKUP($C19&amp;P$2,{MASTER!$Y$2:$Y992,MASTER!$F$2:$F992},2,0),"")</f>
        <v>2080</v>
      </c>
      <c r="Q19" s="119">
        <f t="array" ref="Q19">IFERROR(VLOOKUP($C19&amp;Q$2,{MASTER!$Y$2:$Y992,MASTER!$F$2:$F992},2,0),"")</f>
        <v>2490</v>
      </c>
      <c r="R19" s="119" t="str">
        <f t="array" ref="R19">IFERROR(VLOOKUP($C19&amp;R$2,{MASTER!$Y$2:$Y992,MASTER!$F$2:$F992},2,0),"")</f>
        <v/>
      </c>
      <c r="S19" s="119">
        <f t="array" ref="S19">IFERROR(VLOOKUP($C19&amp;S$2,{MASTER!$Y$2:$Y992,MASTER!$F$2:$F992},2,0),"")</f>
        <v>2710</v>
      </c>
      <c r="T19" s="119">
        <f t="array" ref="T19">IFERROR(VLOOKUP($C19&amp;T$2,{MASTER!$Y$2:$Y992,MASTER!$F$2:$F992},2,0),"")</f>
        <v>2490</v>
      </c>
      <c r="U19" s="119" t="str">
        <f t="array" ref="U19">IFERROR(VLOOKUP($C19&amp;U$2,{MASTER!$Y$2:$Y992,MASTER!$F$2:$F992},2,0),"")</f>
        <v/>
      </c>
      <c r="V19" s="119">
        <f t="array" ref="V19">IFERROR(VLOOKUP($C19&amp;V$2,{MASTER!$Y$2:$Y992,MASTER!$F$2:$F992},2,0),"")</f>
        <v>1740</v>
      </c>
      <c r="W19" s="119">
        <f t="array" ref="W19">IFERROR(VLOOKUP($C19&amp;W$2,{MASTER!$Y$2:$Y992,MASTER!$F$2:$F992},2,0),"")</f>
        <v>1790</v>
      </c>
      <c r="X19" s="119" t="str">
        <f t="array" ref="X19">IFERROR(VLOOKUP($C19&amp;X$2,{MASTER!$Y$2:$Y992,MASTER!$F$2:$F992},2,0),"")</f>
        <v/>
      </c>
      <c r="Y19" s="119" t="str">
        <f t="array" ref="Y19">IFERROR(VLOOKUP($C19&amp;Y$2,{MASTER!$Y$2:$Y992,MASTER!$F$2:$F992},2,0),"")</f>
        <v/>
      </c>
      <c r="Z19" s="119">
        <f t="array" ref="Z19">IFERROR(VLOOKUP($C19&amp;Z$2,{MASTER!$Y$2:$Y992,MASTER!$F$2:$F992},2,0),"")</f>
        <v>4990</v>
      </c>
      <c r="AA19" s="119">
        <f t="array" ref="AA19">IFERROR(VLOOKUP($C19&amp;AA$2,{MASTER!$Y$2:$Y992,MASTER!$F$2:$F992},2,0),"")</f>
        <v>4680</v>
      </c>
      <c r="AB19" s="119">
        <f t="array" ref="AB19">IFERROR(VLOOKUP($C19&amp;AB$2,{MASTER!$Y$2:$Y992,MASTER!$F$2:$F992},2,0),"")</f>
        <v>6680</v>
      </c>
      <c r="AC19" s="119">
        <f t="array" ref="AC19">IFERROR(VLOOKUP($C19&amp;AC$2,{MASTER!$Y$2:$Y992,MASTER!$F$2:$F992},2,0),"")</f>
        <v>6680</v>
      </c>
      <c r="AD19" s="119" t="str">
        <f t="array" ref="AD19">IFERROR(VLOOKUP($C19&amp;AD$2,{MASTER!$Y$2:$Y992,MASTER!$F$2:$F992},2,0),"")</f>
        <v/>
      </c>
      <c r="AE19" s="119">
        <f t="array" ref="AE19">IFERROR(VLOOKUP($C19&amp;AE$2,{MASTER!$Y$2:$Y992,MASTER!$F$2:$F992},2,0),"")</f>
        <v>3990</v>
      </c>
      <c r="AF19" s="119">
        <f t="array" ref="AF19">IFERROR(VLOOKUP($C19&amp;AF$2,{MASTER!$Y$2:$Y992,MASTER!$F$2:$F992},2,0),"")</f>
        <v>2690</v>
      </c>
      <c r="AG19" s="119" t="str">
        <f t="array" ref="AG19">IFERROR(VLOOKUP($C19&amp;AG$2,{MASTER!$Y$2:$Y992,MASTER!$F$2:$F992},2,0),"")</f>
        <v/>
      </c>
      <c r="AH19" s="119">
        <f t="array" ref="AH19">IFERROR(VLOOKUP($C19&amp;AH$2,{MASTER!$Y$2:$Y992,MASTER!$F$2:$F992},2,0),"")</f>
        <v>5480</v>
      </c>
      <c r="AI19" s="119" t="str">
        <f t="array" ref="AI19">IFERROR(VLOOKUP($C19&amp;AI$2,{MASTER!$Y$2:$Y992,MASTER!$F$2:$F992},2,0),"")</f>
        <v/>
      </c>
      <c r="AJ19" s="119" t="str">
        <f t="array" ref="AJ19">IFERROR(VLOOKUP($C19&amp;AJ$2,{MASTER!$Y$2:$Y992,MASTER!$F$2:$F992},2,0),"")</f>
        <v/>
      </c>
      <c r="AK19" s="119" t="str">
        <f t="array" ref="AK19">IFERROR(VLOOKUP($C19&amp;AK$2,{MASTER!$Y$2:$Y992,MASTER!$F$2:$F992},2,0),"")</f>
        <v/>
      </c>
      <c r="AL19" s="119" t="str">
        <f t="array" ref="AL19">IFERROR(VLOOKUP($C19&amp;AL$2,{MASTER!$Y$2:$Y992,MASTER!$F$2:$F992},2,0),"")</f>
        <v/>
      </c>
      <c r="AM19" s="119">
        <f t="array" ref="AM19">IFERROR(VLOOKUP($C19&amp;AM$2,{MASTER!$Y$2:$Y992,MASTER!$F$2:$F992},2,0),"")</f>
        <v>7380</v>
      </c>
      <c r="AN19" s="119">
        <f t="array" ref="AN19">IFERROR(VLOOKUP($C19&amp;AN$2,{MASTER!$Y$2:$Y992,MASTER!$F$2:$F992},2,0),"")</f>
        <v>6840</v>
      </c>
      <c r="AO19" s="119">
        <f t="array" ref="AO19">IFERROR(VLOOKUP($C19&amp;AO$2,{MASTER!$Y$2:$Y992,MASTER!$F$2:$F992},2,0),"")</f>
        <v>7380</v>
      </c>
      <c r="AP19" s="119">
        <f t="array" ref="AP19">IFERROR(VLOOKUP($C19&amp;AP$2,{MASTER!$Y$2:$Y992,MASTER!$F$2:$F992},2,0),"")</f>
        <v>10980</v>
      </c>
      <c r="AQ19" s="119">
        <f t="array" ref="AQ19">IFERROR(VLOOKUP($C19&amp;AQ$2,{MASTER!$Y$2:$Y992,MASTER!$F$2:$F992},2,0),"")</f>
        <v>8260</v>
      </c>
      <c r="AR19" s="119">
        <f t="array" ref="AR19">IFERROR(VLOOKUP($C19&amp;AR$2,{MASTER!$Y$2:$Y992,MASTER!$F$2:$F992},2,0),"")</f>
        <v>6620</v>
      </c>
      <c r="AS19" s="119">
        <f t="array" ref="AS19">IFERROR(VLOOKUP($C19&amp;AS$2,{MASTER!$Y$2:$Y992,MASTER!$F$2:$F992},2,0),"")</f>
        <v>7530</v>
      </c>
      <c r="AT19" s="119">
        <f t="array" ref="AT19">IFERROR(VLOOKUP($C19&amp;AT$2,{MASTER!$Y$2:$Y992,MASTER!$F$2:$F992},2,0),"")</f>
        <v>7530</v>
      </c>
      <c r="AU19" s="119">
        <f t="array" ref="AU19">IFERROR(VLOOKUP($C19&amp;AU$2,{MASTER!$Y$2:$Y992,MASTER!$F$2:$F992},2,0),"")</f>
        <v>7530</v>
      </c>
      <c r="AV19" s="119">
        <f t="array" ref="AV19">IFERROR(VLOOKUP($C19&amp;AV$2,{MASTER!$Y$2:$Y992,MASTER!$F$2:$F992},2,0),"")</f>
        <v>7530</v>
      </c>
      <c r="AW19" s="119">
        <f t="array" ref="AW19">IFERROR(VLOOKUP($C19&amp;AW$2,{MASTER!$Y$2:$Y992,MASTER!$F$2:$F992},2,0),"")</f>
        <v>7530</v>
      </c>
      <c r="AX19" s="119">
        <f t="array" ref="AX19">IFERROR(VLOOKUP($C19&amp;AX$2,{MASTER!$Y$2:$Y992,MASTER!$F$2:$F992},2,0),"")</f>
        <v>7530</v>
      </c>
      <c r="AY19" s="119">
        <f t="array" ref="AY19">IFERROR(VLOOKUP($C19&amp;AY$2,{MASTER!$Y$2:$Y992,MASTER!$F$2:$F992},2,0),"")</f>
        <v>9690</v>
      </c>
      <c r="AZ19" s="119">
        <f t="array" ref="AZ19">IFERROR(VLOOKUP($C19&amp;AZ$2,{MASTER!$Y$2:$Y992,MASTER!$F$2:$F992},2,0),"")</f>
        <v>1390</v>
      </c>
      <c r="BA19" s="119">
        <f t="array" ref="BA19">IFERROR(VLOOKUP($C19&amp;BA$2,{MASTER!$Y$2:$Y992,MASTER!$F$2:$F992},2,0),"")</f>
        <v>2290</v>
      </c>
      <c r="BB19" s="119">
        <f t="array" ref="BB19">IFERROR(VLOOKUP($C19&amp;BB$2,{MASTER!$Y$2:$Y992,MASTER!$F$2:$F992},2,0),"")</f>
        <v>2350</v>
      </c>
    </row>
    <row r="20">
      <c r="A20" s="116">
        <f t="shared" si="1"/>
        <v>22</v>
      </c>
      <c r="B20" s="120"/>
      <c r="C20" s="230" t="s">
        <v>1183</v>
      </c>
      <c r="D20" s="119">
        <f t="array" ref="D20">IFERROR(VLOOKUP($C20&amp;D$2,{MASTER!$Y$2:$Y992,MASTER!$F$2:$F992},2,0),"")</f>
        <v>1980</v>
      </c>
      <c r="E20" s="119">
        <f t="array" ref="E20">IFERROR(VLOOKUP($C20&amp;E$2,{MASTER!$Y$2:$Y992,MASTER!$F$2:$F992},2,0),"")</f>
        <v>3990</v>
      </c>
      <c r="F20" s="119" t="str">
        <f t="array" ref="F20">IFERROR(VLOOKUP($C20&amp;F$2,{MASTER!$Y$2:$Y992,MASTER!$F$2:$F992},2,0),"")</f>
        <v/>
      </c>
      <c r="G20" s="119">
        <f t="array" ref="G20">IFERROR(VLOOKUP($C20&amp;G$2,{MASTER!$Y$2:$Y992,MASTER!$F$2:$F992},2,0),"")</f>
        <v>2680</v>
      </c>
      <c r="H20" s="119" t="str">
        <f t="array" ref="H20">IFERROR(VLOOKUP($C20&amp;H$2,{MASTER!$Y$2:$Y992,MASTER!$F$2:$F992},2,0),"")</f>
        <v/>
      </c>
      <c r="I20" s="119">
        <f t="array" ref="I20">IFERROR(VLOOKUP($C20&amp;I$2,{MASTER!$Y$2:$Y992,MASTER!$F$2:$F992},2,0),"")</f>
        <v>1680</v>
      </c>
      <c r="J20" s="119">
        <f t="array" ref="J20">IFERROR(VLOOKUP($C20&amp;J$2,{MASTER!$Y$2:$Y992,MASTER!$F$2:$F992},2,0),"")</f>
        <v>2980</v>
      </c>
      <c r="K20" s="119">
        <f t="array" ref="K20">IFERROR(VLOOKUP($C20&amp;K$2,{MASTER!$Y$2:$Y992,MASTER!$F$2:$F992},2,0),"")</f>
        <v>1490</v>
      </c>
      <c r="L20" s="119">
        <f t="array" ref="L20">IFERROR(VLOOKUP($C20&amp;L$2,{MASTER!$Y$2:$Y992,MASTER!$F$2:$F992},2,0),"")</f>
        <v>1490</v>
      </c>
      <c r="M20" s="119">
        <f t="array" ref="M20">IFERROR(VLOOKUP($C20&amp;M$2,{MASTER!$Y$2:$Y992,MASTER!$F$2:$F992},2,0),"")</f>
        <v>1990</v>
      </c>
      <c r="N20" s="119" t="str">
        <f t="array" ref="N20">IFERROR(VLOOKUP($C20&amp;N$2,{MASTER!$Y$2:$Y992,MASTER!$F$2:$F992},2,0),"")</f>
        <v/>
      </c>
      <c r="O20" s="119">
        <f t="array" ref="O20">IFERROR(VLOOKUP($C20&amp;O$2,{MASTER!$Y$2:$Y992,MASTER!$F$2:$F992},2,0),"")</f>
        <v>1490</v>
      </c>
      <c r="P20" s="119">
        <f t="array" ref="P20">IFERROR(VLOOKUP($C20&amp;P$2,{MASTER!$Y$2:$Y992,MASTER!$F$2:$F992},2,0),"")</f>
        <v>2340</v>
      </c>
      <c r="Q20" s="119">
        <f t="array" ref="Q20">IFERROR(VLOOKUP($C20&amp;Q$2,{MASTER!$Y$2:$Y992,MASTER!$F$2:$F992},2,0),"")</f>
        <v>2780</v>
      </c>
      <c r="R20" s="119" t="str">
        <f t="array" ref="R20">IFERROR(VLOOKUP($C20&amp;R$2,{MASTER!$Y$2:$Y992,MASTER!$F$2:$F992},2,0),"")</f>
        <v/>
      </c>
      <c r="S20" s="119">
        <f t="array" ref="S20">IFERROR(VLOOKUP($C20&amp;S$2,{MASTER!$Y$2:$Y992,MASTER!$F$2:$F992},2,0),"")</f>
        <v>2940</v>
      </c>
      <c r="T20" s="119">
        <f t="array" ref="T20">IFERROR(VLOOKUP($C20&amp;T$2,{MASTER!$Y$2:$Y992,MASTER!$F$2:$F992},2,0),"")</f>
        <v>2580</v>
      </c>
      <c r="U20" s="119" t="str">
        <f t="array" ref="U20">IFERROR(VLOOKUP($C20&amp;U$2,{MASTER!$Y$2:$Y992,MASTER!$F$2:$F992},2,0),"")</f>
        <v/>
      </c>
      <c r="V20" s="119">
        <f t="array" ref="V20">IFERROR(VLOOKUP($C20&amp;V$2,{MASTER!$Y$2:$Y992,MASTER!$F$2:$F992},2,0),"")</f>
        <v>1790</v>
      </c>
      <c r="W20" s="119">
        <f t="array" ref="W20">IFERROR(VLOOKUP($C20&amp;W$2,{MASTER!$Y$2:$Y992,MASTER!$F$2:$F992},2,0),"")</f>
        <v>1840</v>
      </c>
      <c r="X20" s="119" t="str">
        <f t="array" ref="X20">IFERROR(VLOOKUP($C20&amp;X$2,{MASTER!$Y$2:$Y992,MASTER!$F$2:$F992},2,0),"")</f>
        <v/>
      </c>
      <c r="Y20" s="119" t="str">
        <f t="array" ref="Y20">IFERROR(VLOOKUP($C20&amp;Y$2,{MASTER!$Y$2:$Y992,MASTER!$F$2:$F992},2,0),"")</f>
        <v/>
      </c>
      <c r="Z20" s="119">
        <f t="array" ref="Z20">IFERROR(VLOOKUP($C20&amp;Z$2,{MASTER!$Y$2:$Y992,MASTER!$F$2:$F992},2,0),"")</f>
        <v>5380</v>
      </c>
      <c r="AA20" s="119" t="str">
        <f t="array" ref="AA20">IFERROR(VLOOKUP($C20&amp;AA$2,{MASTER!$Y$2:$Y992,MASTER!$F$2:$F992},2,0),"")</f>
        <v/>
      </c>
      <c r="AB20" s="119" t="str">
        <f t="array" ref="AB20">IFERROR(VLOOKUP($C20&amp;AB$2,{MASTER!$Y$2:$Y992,MASTER!$F$2:$F992},2,0),"")</f>
        <v/>
      </c>
      <c r="AC20" s="119" t="str">
        <f t="array" ref="AC20">IFERROR(VLOOKUP($C20&amp;AC$2,{MASTER!$Y$2:$Y992,MASTER!$F$2:$F992},2,0),"")</f>
        <v/>
      </c>
      <c r="AD20" s="119" t="str">
        <f t="array" ref="AD20">IFERROR(VLOOKUP($C20&amp;AD$2,{MASTER!$Y$2:$Y992,MASTER!$F$2:$F992},2,0),"")</f>
        <v/>
      </c>
      <c r="AE20" s="119" t="str">
        <f t="array" ref="AE20">IFERROR(VLOOKUP($C20&amp;AE$2,{MASTER!$Y$2:$Y992,MASTER!$F$2:$F992},2,0),"")</f>
        <v/>
      </c>
      <c r="AF20" s="119" t="str">
        <f t="array" ref="AF20">IFERROR(VLOOKUP($C20&amp;AF$2,{MASTER!$Y$2:$Y992,MASTER!$F$2:$F992},2,0),"")</f>
        <v/>
      </c>
      <c r="AG20" s="119" t="str">
        <f t="array" ref="AG20">IFERROR(VLOOKUP($C20&amp;AG$2,{MASTER!$Y$2:$Y992,MASTER!$F$2:$F992},2,0),"")</f>
        <v/>
      </c>
      <c r="AH20" s="119">
        <f t="array" ref="AH20">IFERROR(VLOOKUP($C20&amp;AH$2,{MASTER!$Y$2:$Y992,MASTER!$F$2:$F992},2,0),"")</f>
        <v>5990</v>
      </c>
      <c r="AI20" s="119" t="str">
        <f t="array" ref="AI20">IFERROR(VLOOKUP($C20&amp;AI$2,{MASTER!$Y$2:$Y992,MASTER!$F$2:$F992},2,0),"")</f>
        <v/>
      </c>
      <c r="AJ20" s="119" t="str">
        <f t="array" ref="AJ20">IFERROR(VLOOKUP($C20&amp;AJ$2,{MASTER!$Y$2:$Y992,MASTER!$F$2:$F992},2,0),"")</f>
        <v/>
      </c>
      <c r="AK20" s="119" t="str">
        <f t="array" ref="AK20">IFERROR(VLOOKUP($C20&amp;AK$2,{MASTER!$Y$2:$Y992,MASTER!$F$2:$F992},2,0),"")</f>
        <v/>
      </c>
      <c r="AL20" s="119" t="str">
        <f t="array" ref="AL20">IFERROR(VLOOKUP($C20&amp;AL$2,{MASTER!$Y$2:$Y992,MASTER!$F$2:$F992},2,0),"")</f>
        <v/>
      </c>
      <c r="AM20" s="119">
        <f t="array" ref="AM20">IFERROR(VLOOKUP($C20&amp;AM$2,{MASTER!$Y$2:$Y992,MASTER!$F$2:$F992},2,0),"")</f>
        <v>7480</v>
      </c>
      <c r="AN20" s="119" t="str">
        <f t="array" ref="AN20">IFERROR(VLOOKUP($C20&amp;AN$2,{MASTER!$Y$2:$Y992,MASTER!$F$2:$F992},2,0),"")</f>
        <v/>
      </c>
      <c r="AO20" s="119">
        <f t="array" ref="AO20">IFERROR(VLOOKUP($C20&amp;AO$2,{MASTER!$Y$2:$Y992,MASTER!$F$2:$F992},2,0),"")</f>
        <v>7480</v>
      </c>
      <c r="AP20" s="119" t="str">
        <f t="array" ref="AP20">IFERROR(VLOOKUP($C20&amp;AP$2,{MASTER!$Y$2:$Y992,MASTER!$F$2:$F992},2,0),"")</f>
        <v/>
      </c>
      <c r="AQ20" s="119">
        <f t="array" ref="AQ20">IFERROR(VLOOKUP($C20&amp;AQ$2,{MASTER!$Y$2:$Y992,MASTER!$F$2:$F992},2,0),"")</f>
        <v>8480</v>
      </c>
      <c r="AR20" s="119" t="str">
        <f t="array" ref="AR20">IFERROR(VLOOKUP($C20&amp;AR$2,{MASTER!$Y$2:$Y992,MASTER!$F$2:$F992},2,0),"")</f>
        <v/>
      </c>
      <c r="AS20" s="119" t="str">
        <f t="array" ref="AS20">IFERROR(VLOOKUP($C20&amp;AS$2,{MASTER!$Y$2:$Y992,MASTER!$F$2:$F992},2,0),"")</f>
        <v/>
      </c>
      <c r="AT20" s="119" t="str">
        <f t="array" ref="AT20">IFERROR(VLOOKUP($C20&amp;AT$2,{MASTER!$Y$2:$Y992,MASTER!$F$2:$F992},2,0),"")</f>
        <v/>
      </c>
      <c r="AU20" s="119" t="str">
        <f t="array" ref="AU20">IFERROR(VLOOKUP($C20&amp;AU$2,{MASTER!$Y$2:$Y992,MASTER!$F$2:$F992},2,0),"")</f>
        <v/>
      </c>
      <c r="AV20" s="119" t="str">
        <f t="array" ref="AV20">IFERROR(VLOOKUP($C20&amp;AV$2,{MASTER!$Y$2:$Y992,MASTER!$F$2:$F992},2,0),"")</f>
        <v/>
      </c>
      <c r="AW20" s="119" t="str">
        <f t="array" ref="AW20">IFERROR(VLOOKUP($C20&amp;AW$2,{MASTER!$Y$2:$Y992,MASTER!$F$2:$F992},2,0),"")</f>
        <v/>
      </c>
      <c r="AX20" s="119" t="str">
        <f t="array" ref="AX20">IFERROR(VLOOKUP($C20&amp;AX$2,{MASTER!$Y$2:$Y992,MASTER!$F$2:$F992},2,0),"")</f>
        <v/>
      </c>
      <c r="AY20" s="119">
        <f t="array" ref="AY20">IFERROR(VLOOKUP($C20&amp;AY$2,{MASTER!$Y$2:$Y992,MASTER!$F$2:$F992},2,0),"")</f>
        <v>9790</v>
      </c>
      <c r="AZ20" s="119" t="str">
        <f t="array" ref="AZ20">IFERROR(VLOOKUP($C20&amp;AZ$2,{MASTER!$Y$2:$Y992,MASTER!$F$2:$F992},2,0),"")</f>
        <v/>
      </c>
      <c r="BA20" s="119" t="str">
        <f t="array" ref="BA20">IFERROR(VLOOKUP($C20&amp;BA$2,{MASTER!$Y$2:$Y992,MASTER!$F$2:$F992},2,0),"")</f>
        <v/>
      </c>
      <c r="BB20" s="119">
        <f t="array" ref="BB20">IFERROR(VLOOKUP($C20&amp;BB$2,{MASTER!$Y$2:$Y992,MASTER!$F$2:$F992},2,0),"")</f>
        <v>2480</v>
      </c>
    </row>
    <row r="21">
      <c r="A21" s="116">
        <f t="shared" si="1"/>
        <v>36</v>
      </c>
      <c r="B21" s="120"/>
      <c r="C21" s="230" t="s">
        <v>1189</v>
      </c>
      <c r="D21" s="119">
        <f t="array" ref="D21">IFERROR(VLOOKUP($C21&amp;D$2,{MASTER!$Y$2:$Y992,MASTER!$F$2:$F992},2,0),"")</f>
        <v>1990</v>
      </c>
      <c r="E21" s="119">
        <f t="array" ref="E21">IFERROR(VLOOKUP($C21&amp;E$2,{MASTER!$Y$2:$Y992,MASTER!$F$2:$F992},2,0),"")</f>
        <v>3990</v>
      </c>
      <c r="F21" s="119" t="str">
        <f t="array" ref="F21">IFERROR(VLOOKUP($C21&amp;F$2,{MASTER!$Y$2:$Y992,MASTER!$F$2:$F992},2,0),"")</f>
        <v/>
      </c>
      <c r="G21" s="119">
        <f t="array" ref="G21">IFERROR(VLOOKUP($C21&amp;G$2,{MASTER!$Y$2:$Y992,MASTER!$F$2:$F992},2,0),"")</f>
        <v>2690</v>
      </c>
      <c r="H21" s="119" t="str">
        <f t="array" ref="H21">IFERROR(VLOOKUP($C21&amp;H$2,{MASTER!$Y$2:$Y992,MASTER!$F$2:$F992},2,0),"")</f>
        <v/>
      </c>
      <c r="I21" s="119">
        <f t="array" ref="I21">IFERROR(VLOOKUP($C21&amp;I$2,{MASTER!$Y$2:$Y992,MASTER!$F$2:$F992},2,0),"")</f>
        <v>1530</v>
      </c>
      <c r="J21" s="119">
        <f t="array" ref="J21">IFERROR(VLOOKUP($C21&amp;J$2,{MASTER!$Y$2:$Y992,MASTER!$F$2:$F992},2,0),"")</f>
        <v>2980</v>
      </c>
      <c r="K21" s="119">
        <f t="array" ref="K21">IFERROR(VLOOKUP($C21&amp;K$2,{MASTER!$Y$2:$Y992,MASTER!$F$2:$F992},2,0),"")</f>
        <v>1490</v>
      </c>
      <c r="L21" s="119">
        <f t="array" ref="L21">IFERROR(VLOOKUP($C21&amp;L$2,{MASTER!$Y$2:$Y992,MASTER!$F$2:$F992},2,0),"")</f>
        <v>1490</v>
      </c>
      <c r="M21" s="119">
        <f t="array" ref="M21">IFERROR(VLOOKUP($C21&amp;M$2,{MASTER!$Y$2:$Y992,MASTER!$F$2:$F992},2,0),"")</f>
        <v>1940</v>
      </c>
      <c r="N21" s="119" t="str">
        <f t="array" ref="N21">IFERROR(VLOOKUP($C21&amp;N$2,{MASTER!$Y$2:$Y992,MASTER!$F$2:$F992},2,0),"")</f>
        <v/>
      </c>
      <c r="O21" s="119">
        <f t="array" ref="O21">IFERROR(VLOOKUP($C21&amp;O$2,{MASTER!$Y$2:$Y992,MASTER!$F$2:$F992},2,0),"")</f>
        <v>1390</v>
      </c>
      <c r="P21" s="119">
        <f t="array" ref="P21">IFERROR(VLOOKUP($C21&amp;P$2,{MASTER!$Y$2:$Y992,MASTER!$F$2:$F992},2,0),"")</f>
        <v>2180</v>
      </c>
      <c r="Q21" s="119">
        <f t="array" ref="Q21">IFERROR(VLOOKUP($C21&amp;Q$2,{MASTER!$Y$2:$Y992,MASTER!$F$2:$F992},2,0),"")</f>
        <v>2580</v>
      </c>
      <c r="R21" s="119" t="str">
        <f t="array" ref="R21">IFERROR(VLOOKUP($C21&amp;R$2,{MASTER!$Y$2:$Y992,MASTER!$F$2:$F992},2,0),"")</f>
        <v/>
      </c>
      <c r="S21" s="119">
        <f t="array" ref="S21">IFERROR(VLOOKUP($C21&amp;S$2,{MASTER!$Y$2:$Y992,MASTER!$F$2:$F992},2,0),"")</f>
        <v>2790</v>
      </c>
      <c r="T21" s="119">
        <f t="array" ref="T21">IFERROR(VLOOKUP($C21&amp;T$2,{MASTER!$Y$2:$Y992,MASTER!$F$2:$F992},2,0),"")</f>
        <v>2490</v>
      </c>
      <c r="U21" s="119" t="str">
        <f t="array" ref="U21">IFERROR(VLOOKUP($C21&amp;U$2,{MASTER!$Y$2:$Y992,MASTER!$F$2:$F992},2,0),"")</f>
        <v/>
      </c>
      <c r="V21" s="119">
        <f t="array" ref="V21">IFERROR(VLOOKUP($C21&amp;V$2,{MASTER!$Y$2:$Y992,MASTER!$F$2:$F992},2,0),"")</f>
        <v>1790</v>
      </c>
      <c r="W21" s="119">
        <f t="array" ref="W21">IFERROR(VLOOKUP($C21&amp;W$2,{MASTER!$Y$2:$Y992,MASTER!$F$2:$F992},2,0),"")</f>
        <v>1840</v>
      </c>
      <c r="X21" s="119" t="str">
        <f t="array" ref="X21">IFERROR(VLOOKUP($C21&amp;X$2,{MASTER!$Y$2:$Y992,MASTER!$F$2:$F992},2,0),"")</f>
        <v/>
      </c>
      <c r="Y21" s="119" t="str">
        <f t="array" ref="Y21">IFERROR(VLOOKUP($C21&amp;Y$2,{MASTER!$Y$2:$Y992,MASTER!$F$2:$F992},2,0),"")</f>
        <v/>
      </c>
      <c r="Z21" s="119">
        <f t="array" ref="Z21">IFERROR(VLOOKUP($C21&amp;Z$2,{MASTER!$Y$2:$Y992,MASTER!$F$2:$F992},2,0),"")</f>
        <v>5480</v>
      </c>
      <c r="AA21" s="119">
        <f t="array" ref="AA21">IFERROR(VLOOKUP($C21&amp;AA$2,{MASTER!$Y$2:$Y992,MASTER!$F$2:$F992},2,0),"")</f>
        <v>5480</v>
      </c>
      <c r="AB21" s="119">
        <f t="array" ref="AB21">IFERROR(VLOOKUP($C21&amp;AB$2,{MASTER!$Y$2:$Y992,MASTER!$F$2:$F992},2,0),"")</f>
        <v>6990</v>
      </c>
      <c r="AC21" s="119">
        <f t="array" ref="AC21">IFERROR(VLOOKUP($C21&amp;AC$2,{MASTER!$Y$2:$Y992,MASTER!$F$2:$F992},2,0),"")</f>
        <v>6680</v>
      </c>
      <c r="AD21" s="119" t="str">
        <f t="array" ref="AD21">IFERROR(VLOOKUP($C21&amp;AD$2,{MASTER!$Y$2:$Y992,MASTER!$F$2:$F992},2,0),"")</f>
        <v/>
      </c>
      <c r="AE21" s="119">
        <f t="array" ref="AE21">IFERROR(VLOOKUP($C21&amp;AE$2,{MASTER!$Y$2:$Y992,MASTER!$F$2:$F992},2,0),"")</f>
        <v>3990</v>
      </c>
      <c r="AF21" s="119">
        <f t="array" ref="AF21">IFERROR(VLOOKUP($C21&amp;AF$2,{MASTER!$Y$2:$Y992,MASTER!$F$2:$F992},2,0),"")</f>
        <v>2690</v>
      </c>
      <c r="AG21" s="119" t="str">
        <f t="array" ref="AG21">IFERROR(VLOOKUP($C21&amp;AG$2,{MASTER!$Y$2:$Y992,MASTER!$F$2:$F992},2,0),"")</f>
        <v/>
      </c>
      <c r="AH21" s="119">
        <f t="array" ref="AH21">IFERROR(VLOOKUP($C21&amp;AH$2,{MASTER!$Y$2:$Y992,MASTER!$F$2:$F992},2,0),"")</f>
        <v>5450</v>
      </c>
      <c r="AI21" s="119" t="str">
        <f t="array" ref="AI21">IFERROR(VLOOKUP($C21&amp;AI$2,{MASTER!$Y$2:$Y992,MASTER!$F$2:$F992},2,0),"")</f>
        <v/>
      </c>
      <c r="AJ21" s="119" t="str">
        <f t="array" ref="AJ21">IFERROR(VLOOKUP($C21&amp;AJ$2,{MASTER!$Y$2:$Y992,MASTER!$F$2:$F992},2,0),"")</f>
        <v/>
      </c>
      <c r="AK21" s="119" t="str">
        <f t="array" ref="AK21">IFERROR(VLOOKUP($C21&amp;AK$2,{MASTER!$Y$2:$Y992,MASTER!$F$2:$F992},2,0),"")</f>
        <v/>
      </c>
      <c r="AL21" s="119" t="str">
        <f t="array" ref="AL21">IFERROR(VLOOKUP($C21&amp;AL$2,{MASTER!$Y$2:$Y992,MASTER!$F$2:$F992},2,0),"")</f>
        <v/>
      </c>
      <c r="AM21" s="119">
        <f t="array" ref="AM21">IFERROR(VLOOKUP($C21&amp;AM$2,{MASTER!$Y$2:$Y992,MASTER!$F$2:$F992},2,0),"")</f>
        <v>7380</v>
      </c>
      <c r="AN21" s="119">
        <f t="array" ref="AN21">IFERROR(VLOOKUP($C21&amp;AN$2,{MASTER!$Y$2:$Y992,MASTER!$F$2:$F992},2,0),"")</f>
        <v>6580</v>
      </c>
      <c r="AO21" s="119">
        <f t="array" ref="AO21">IFERROR(VLOOKUP($C21&amp;AO$2,{MASTER!$Y$2:$Y992,MASTER!$F$2:$F992},2,0),"")</f>
        <v>7380</v>
      </c>
      <c r="AP21" s="119">
        <f t="array" ref="AP21">IFERROR(VLOOKUP($C21&amp;AP$2,{MASTER!$Y$2:$Y992,MASTER!$F$2:$F992},2,0),"")</f>
        <v>10980</v>
      </c>
      <c r="AQ21" s="119">
        <f t="array" ref="AQ21">IFERROR(VLOOKUP($C21&amp;AQ$2,{MASTER!$Y$2:$Y992,MASTER!$F$2:$F992},2,0),"")</f>
        <v>8720</v>
      </c>
      <c r="AR21" s="119">
        <f t="array" ref="AR21">IFERROR(VLOOKUP($C21&amp;AR$2,{MASTER!$Y$2:$Y992,MASTER!$F$2:$F992},2,0),"")</f>
        <v>6560</v>
      </c>
      <c r="AS21" s="119">
        <f t="array" ref="AS21">IFERROR(VLOOKUP($C21&amp;AS$2,{MASTER!$Y$2:$Y992,MASTER!$F$2:$F992},2,0),"")</f>
        <v>7470</v>
      </c>
      <c r="AT21" s="119" t="str">
        <f t="array" ref="AT21">IFERROR(VLOOKUP($C21&amp;AT$2,{MASTER!$Y$2:$Y992,MASTER!$F$2:$F992},2,0),"")</f>
        <v/>
      </c>
      <c r="AU21" s="119">
        <f t="array" ref="AU21">IFERROR(VLOOKUP($C21&amp;AU$2,{MASTER!$Y$2:$Y992,MASTER!$F$2:$F992},2,0),"")</f>
        <v>7470</v>
      </c>
      <c r="AV21" s="119">
        <f t="array" ref="AV21">IFERROR(VLOOKUP($C21&amp;AV$2,{MASTER!$Y$2:$Y992,MASTER!$F$2:$F992},2,0),"")</f>
        <v>7470</v>
      </c>
      <c r="AW21" s="119" t="str">
        <f t="array" ref="AW21">IFERROR(VLOOKUP($C21&amp;AW$2,{MASTER!$Y$2:$Y992,MASTER!$F$2:$F992},2,0),"")</f>
        <v/>
      </c>
      <c r="AX21" s="119">
        <f t="array" ref="AX21">IFERROR(VLOOKUP($C21&amp;AX$2,{MASTER!$Y$2:$Y992,MASTER!$F$2:$F992},2,0),"")</f>
        <v>7470</v>
      </c>
      <c r="AY21" s="119">
        <f t="array" ref="AY21">IFERROR(VLOOKUP($C21&amp;AY$2,{MASTER!$Y$2:$Y992,MASTER!$F$2:$F992},2,0),"")</f>
        <v>9690</v>
      </c>
      <c r="AZ21" s="119">
        <f t="array" ref="AZ21">IFERROR(VLOOKUP($C21&amp;AZ$2,{MASTER!$Y$2:$Y992,MASTER!$F$2:$F992},2,0),"")</f>
        <v>1530</v>
      </c>
      <c r="BA21" s="119">
        <f t="array" ref="BA21">IFERROR(VLOOKUP($C21&amp;BA$2,{MASTER!$Y$2:$Y992,MASTER!$F$2:$F992},2,0),"")</f>
        <v>2320</v>
      </c>
      <c r="BB21" s="119">
        <f t="array" ref="BB21">IFERROR(VLOOKUP($C21&amp;BB$2,{MASTER!$Y$2:$Y992,MASTER!$F$2:$F992},2,0),"")</f>
        <v>2480</v>
      </c>
    </row>
    <row r="22">
      <c r="A22" s="116">
        <f t="shared" si="1"/>
        <v>30</v>
      </c>
      <c r="B22" s="145"/>
      <c r="C22" s="230" t="s">
        <v>1202</v>
      </c>
      <c r="D22" s="119">
        <f t="array" ref="D22">IFERROR(VLOOKUP($C22&amp;D$2,{MASTER!$Y$2:$Y992,MASTER!$F$2:$F992},2,0),"")</f>
        <v>2540</v>
      </c>
      <c r="E22" s="119">
        <f t="array" ref="E22">IFERROR(VLOOKUP($C22&amp;E$2,{MASTER!$Y$2:$Y992,MASTER!$F$2:$F992},2,0),"")</f>
        <v>4760</v>
      </c>
      <c r="F22" s="119" t="str">
        <f t="array" ref="F22">IFERROR(VLOOKUP($C22&amp;F$2,{MASTER!$Y$2:$Y992,MASTER!$F$2:$F992},2,0),"")</f>
        <v/>
      </c>
      <c r="G22" s="119">
        <f t="array" ref="G22">IFERROR(VLOOKUP($C22&amp;G$2,{MASTER!$Y$2:$Y992,MASTER!$F$2:$F992},2,0),"")</f>
        <v>3320</v>
      </c>
      <c r="H22" s="119" t="str">
        <f t="array" ref="H22">IFERROR(VLOOKUP($C22&amp;H$2,{MASTER!$Y$2:$Y992,MASTER!$F$2:$F992},2,0),"")</f>
        <v/>
      </c>
      <c r="I22" s="119">
        <f t="array" ref="I22">IFERROR(VLOOKUP($C22&amp;I$2,{MASTER!$Y$2:$Y992,MASTER!$F$2:$F992},2,0),"")</f>
        <v>1990</v>
      </c>
      <c r="J22" s="119" t="str">
        <f t="array" ref="J22">IFERROR(VLOOKUP($C22&amp;J$2,{MASTER!$Y$2:$Y992,MASTER!$F$2:$F992},2,0),"")</f>
        <v/>
      </c>
      <c r="K22" s="119" t="str">
        <f t="array" ref="K22">IFERROR(VLOOKUP($C22&amp;K$2,{MASTER!$Y$2:$Y992,MASTER!$F$2:$F992},2,0),"")</f>
        <v/>
      </c>
      <c r="L22" s="119" t="str">
        <f t="array" ref="L22">IFERROR(VLOOKUP($C22&amp;L$2,{MASTER!$Y$2:$Y992,MASTER!$F$2:$F992},2,0),"")</f>
        <v/>
      </c>
      <c r="M22" s="119">
        <f t="array" ref="M22">IFERROR(VLOOKUP($C22&amp;M$2,{MASTER!$Y$2:$Y992,MASTER!$F$2:$F992},2,0),"")</f>
        <v>2190</v>
      </c>
      <c r="N22" s="119" t="str">
        <f t="array" ref="N22">IFERROR(VLOOKUP($C22&amp;N$2,{MASTER!$Y$2:$Y992,MASTER!$F$2:$F992},2,0),"")</f>
        <v/>
      </c>
      <c r="O22" s="119">
        <f t="array" ref="O22">IFERROR(VLOOKUP($C22&amp;O$2,{MASTER!$Y$2:$Y992,MASTER!$F$2:$F992},2,0),"")</f>
        <v>1490</v>
      </c>
      <c r="P22" s="119">
        <f t="array" ref="P22">IFERROR(VLOOKUP($C22&amp;P$2,{MASTER!$Y$2:$Y992,MASTER!$F$2:$F992},2,0),"")</f>
        <v>2580</v>
      </c>
      <c r="Q22" s="119" t="str">
        <f t="array" ref="Q22">IFERROR(VLOOKUP($C22&amp;Q$2,{MASTER!$Y$2:$Y992,MASTER!$F$2:$F992},2,0),"")</f>
        <v/>
      </c>
      <c r="R22" s="119">
        <f t="array" ref="R22">IFERROR(VLOOKUP($C22&amp;R$2,{MASTER!$Y$2:$Y992,MASTER!$F$2:$F992},2,0),"")</f>
        <v>2870</v>
      </c>
      <c r="S22" s="119">
        <f t="array" ref="S22">IFERROR(VLOOKUP($C22&amp;S$2,{MASTER!$Y$2:$Y992,MASTER!$F$2:$F992},2,0),"")</f>
        <v>3220</v>
      </c>
      <c r="T22" s="119">
        <f t="array" ref="T22">IFERROR(VLOOKUP($C22&amp;T$2,{MASTER!$Y$2:$Y992,MASTER!$F$2:$F992},2,0),"")</f>
        <v>2880</v>
      </c>
      <c r="U22" s="119" t="str">
        <f t="array" ref="U22">IFERROR(VLOOKUP($C22&amp;U$2,{MASTER!$Y$2:$Y992,MASTER!$F$2:$F992},2,0),"")</f>
        <v/>
      </c>
      <c r="V22" s="119">
        <f t="array" ref="V22">IFERROR(VLOOKUP($C22&amp;V$2,{MASTER!$Y$2:$Y992,MASTER!$F$2:$F992},2,0),"")</f>
        <v>1920</v>
      </c>
      <c r="W22" s="119">
        <f t="array" ref="W22">IFERROR(VLOOKUP($C22&amp;W$2,{MASTER!$Y$2:$Y992,MASTER!$F$2:$F992},2,0),"")</f>
        <v>1970</v>
      </c>
      <c r="X22" s="119" t="str">
        <f t="array" ref="X22">IFERROR(VLOOKUP($C22&amp;X$2,{MASTER!$Y$2:$Y992,MASTER!$F$2:$F992},2,0),"")</f>
        <v/>
      </c>
      <c r="Y22" s="119" t="str">
        <f t="array" ref="Y22">IFERROR(VLOOKUP($C22&amp;Y$2,{MASTER!$Y$2:$Y992,MASTER!$F$2:$F992},2,0),"")</f>
        <v/>
      </c>
      <c r="Z22" s="119">
        <f t="array" ref="Z22">IFERROR(VLOOKUP($C22&amp;Z$2,{MASTER!$Y$2:$Y992,MASTER!$F$2:$F992},2,0),"")</f>
        <v>5480</v>
      </c>
      <c r="AA22" s="119">
        <f t="array" ref="AA22">IFERROR(VLOOKUP($C22&amp;AA$2,{MASTER!$Y$2:$Y992,MASTER!$F$2:$F992},2,0),"")</f>
        <v>6480</v>
      </c>
      <c r="AB22" s="119">
        <f t="array" ref="AB22">IFERROR(VLOOKUP($C22&amp;AB$2,{MASTER!$Y$2:$Y992,MASTER!$F$2:$F992},2,0),"")</f>
        <v>9490</v>
      </c>
      <c r="AC22" s="119">
        <f t="array" ref="AC22">IFERROR(VLOOKUP($C22&amp;AC$2,{MASTER!$Y$2:$Y992,MASTER!$F$2:$F992},2,0),"")</f>
        <v>8170</v>
      </c>
      <c r="AD22" s="119" t="str">
        <f t="array" ref="AD22">IFERROR(VLOOKUP($C22&amp;AD$2,{MASTER!$Y$2:$Y992,MASTER!$F$2:$F992},2,0),"")</f>
        <v/>
      </c>
      <c r="AE22" s="119">
        <f t="array" ref="AE22">IFERROR(VLOOKUP($C22&amp;AE$2,{MASTER!$Y$2:$Y992,MASTER!$F$2:$F992},2,0),"")</f>
        <v>3990</v>
      </c>
      <c r="AF22" s="119">
        <f t="array" ref="AF22">IFERROR(VLOOKUP($C22&amp;AF$2,{MASTER!$Y$2:$Y992,MASTER!$F$2:$F992},2,0),"")</f>
        <v>4180</v>
      </c>
      <c r="AG22" s="119" t="str">
        <f t="array" ref="AG22">IFERROR(VLOOKUP($C22&amp;AG$2,{MASTER!$Y$2:$Y992,MASTER!$F$2:$F992},2,0),"")</f>
        <v/>
      </c>
      <c r="AH22" s="119">
        <f t="array" ref="AH22">IFERROR(VLOOKUP($C22&amp;AH$2,{MASTER!$Y$2:$Y992,MASTER!$F$2:$F992},2,0),"")</f>
        <v>6280</v>
      </c>
      <c r="AI22" s="119" t="str">
        <f t="array" ref="AI22">IFERROR(VLOOKUP($C22&amp;AI$2,{MASTER!$Y$2:$Y992,MASTER!$F$2:$F992},2,0),"")</f>
        <v/>
      </c>
      <c r="AJ22" s="119" t="str">
        <f t="array" ref="AJ22">IFERROR(VLOOKUP($C22&amp;AJ$2,{MASTER!$Y$2:$Y992,MASTER!$F$2:$F992},2,0),"")</f>
        <v/>
      </c>
      <c r="AK22" s="119" t="str">
        <f t="array" ref="AK22">IFERROR(VLOOKUP($C22&amp;AK$2,{MASTER!$Y$2:$Y992,MASTER!$F$2:$F992},2,0),"")</f>
        <v/>
      </c>
      <c r="AL22" s="119" t="str">
        <f t="array" ref="AL22">IFERROR(VLOOKUP($C22&amp;AL$2,{MASTER!$Y$2:$Y992,MASTER!$F$2:$F992},2,0),"")</f>
        <v/>
      </c>
      <c r="AM22" s="119">
        <f t="array" ref="AM22">IFERROR(VLOOKUP($C22&amp;AM$2,{MASTER!$Y$2:$Y992,MASTER!$F$2:$F992},2,0),"")</f>
        <v>8640</v>
      </c>
      <c r="AN22" s="119" t="str">
        <f t="array" ref="AN22">IFERROR(VLOOKUP($C22&amp;AN$2,{MASTER!$Y$2:$Y992,MASTER!$F$2:$F992},2,0),"")</f>
        <v/>
      </c>
      <c r="AO22" s="119">
        <f t="array" ref="AO22">IFERROR(VLOOKUP($C22&amp;AO$2,{MASTER!$Y$2:$Y992,MASTER!$F$2:$F992},2,0),"")</f>
        <v>8640</v>
      </c>
      <c r="AP22" s="119" t="str">
        <f t="array" ref="AP22">IFERROR(VLOOKUP($C22&amp;AP$2,{MASTER!$Y$2:$Y992,MASTER!$F$2:$F992},2,0),"")</f>
        <v/>
      </c>
      <c r="AQ22" s="119">
        <f t="array" ref="AQ22">IFERROR(VLOOKUP($C22&amp;AQ$2,{MASTER!$Y$2:$Y992,MASTER!$F$2:$F992},2,0),"")</f>
        <v>9680</v>
      </c>
      <c r="AR22" s="119">
        <f t="array" ref="AR22">IFERROR(VLOOKUP($C22&amp;AR$2,{MASTER!$Y$2:$Y992,MASTER!$F$2:$F992},2,0),"")</f>
        <v>7060</v>
      </c>
      <c r="AS22" s="119">
        <f t="array" ref="AS22">IFERROR(VLOOKUP($C22&amp;AS$2,{MASTER!$Y$2:$Y992,MASTER!$F$2:$F992},2,0),"")</f>
        <v>7970</v>
      </c>
      <c r="AT22" s="119" t="str">
        <f t="array" ref="AT22">IFERROR(VLOOKUP($C22&amp;AT$2,{MASTER!$Y$2:$Y992,MASTER!$F$2:$F992},2,0),"")</f>
        <v/>
      </c>
      <c r="AU22" s="119">
        <f t="array" ref="AU22">IFERROR(VLOOKUP($C22&amp;AU$2,{MASTER!$Y$2:$Y992,MASTER!$F$2:$F992},2,0),"")</f>
        <v>7970</v>
      </c>
      <c r="AV22" s="119">
        <f t="array" ref="AV22">IFERROR(VLOOKUP($C22&amp;AV$2,{MASTER!$Y$2:$Y992,MASTER!$F$2:$F992},2,0),"")</f>
        <v>7970</v>
      </c>
      <c r="AW22" s="119" t="str">
        <f t="array" ref="AW22">IFERROR(VLOOKUP($C22&amp;AW$2,{MASTER!$Y$2:$Y992,MASTER!$F$2:$F992},2,0),"")</f>
        <v/>
      </c>
      <c r="AX22" s="119">
        <f t="array" ref="AX22">IFERROR(VLOOKUP($C22&amp;AX$2,{MASTER!$Y$2:$Y992,MASTER!$F$2:$F992},2,0),"")</f>
        <v>7970</v>
      </c>
      <c r="AY22" s="119" t="str">
        <f t="array" ref="AY22">IFERROR(VLOOKUP($C22&amp;AY$2,{MASTER!$Y$2:$Y992,MASTER!$F$2:$F992},2,0),"")</f>
        <v/>
      </c>
      <c r="AZ22" s="119">
        <f t="array" ref="AZ22">IFERROR(VLOOKUP($C22&amp;AZ$2,{MASTER!$Y$2:$Y992,MASTER!$F$2:$F992},2,0),"")</f>
        <v>1690</v>
      </c>
      <c r="BA22" s="119">
        <f t="array" ref="BA22">IFERROR(VLOOKUP($C22&amp;BA$2,{MASTER!$Y$2:$Y992,MASTER!$F$2:$F992},2,0),"")</f>
        <v>2720</v>
      </c>
      <c r="BB22" s="119">
        <f t="array" ref="BB22">IFERROR(VLOOKUP($C22&amp;BB$2,{MASTER!$Y$2:$Y992,MASTER!$F$2:$F992},2,0),"")</f>
        <v>2640</v>
      </c>
    </row>
    <row r="23">
      <c r="A23" s="116">
        <f t="shared" si="1"/>
        <v>31</v>
      </c>
      <c r="B23" s="117">
        <v>8000.0</v>
      </c>
      <c r="C23" s="285" t="s">
        <v>1271</v>
      </c>
      <c r="D23" s="119">
        <f t="array" ref="D23">IFERROR(VLOOKUP($C23&amp;D$2,{MASTER!$Y$2:$Y992,MASTER!$F$2:$F992},2,0),"")</f>
        <v>3470</v>
      </c>
      <c r="E23" s="119">
        <f t="array" ref="E23">IFERROR(VLOOKUP($C23&amp;E$2,{MASTER!$Y$2:$Y992,MASTER!$F$2:$F992},2,0),"")</f>
        <v>5160</v>
      </c>
      <c r="F23" s="119" t="str">
        <f t="array" ref="F23">IFERROR(VLOOKUP($C23&amp;F$2,{MASTER!$Y$2:$Y992,MASTER!$F$2:$F992},2,0),"")</f>
        <v/>
      </c>
      <c r="G23" s="119" t="str">
        <f t="array" ref="G23">IFERROR(VLOOKUP($C23&amp;G$2,{MASTER!$Y$2:$Y992,MASTER!$F$2:$F992},2,0),"")</f>
        <v/>
      </c>
      <c r="H23" s="119" t="str">
        <f t="array" ref="H23">IFERROR(VLOOKUP($C23&amp;H$2,{MASTER!$Y$2:$Y992,MASTER!$F$2:$F992},2,0),"")</f>
        <v/>
      </c>
      <c r="I23" s="119">
        <f t="array" ref="I23">IFERROR(VLOOKUP($C23&amp;I$2,{MASTER!$Y$2:$Y992,MASTER!$F$2:$F992},2,0),"")</f>
        <v>2320</v>
      </c>
      <c r="J23" s="119" t="str">
        <f t="array" ref="J23">IFERROR(VLOOKUP($C23&amp;J$2,{MASTER!$Y$2:$Y992,MASTER!$F$2:$F992},2,0),"")</f>
        <v/>
      </c>
      <c r="K23" s="119" t="str">
        <f t="array" ref="K23">IFERROR(VLOOKUP($C23&amp;K$2,{MASTER!$Y$2:$Y992,MASTER!$F$2:$F992},2,0),"")</f>
        <v/>
      </c>
      <c r="L23" s="119" t="str">
        <f t="array" ref="L23">IFERROR(VLOOKUP($C23&amp;L$2,{MASTER!$Y$2:$Y992,MASTER!$F$2:$F992},2,0),"")</f>
        <v/>
      </c>
      <c r="M23" s="119">
        <f t="array" ref="M23">IFERROR(VLOOKUP($C23&amp;M$2,{MASTER!$Y$2:$Y992,MASTER!$F$2:$F992},2,0),"")</f>
        <v>2530</v>
      </c>
      <c r="N23" s="119" t="str">
        <f t="array" ref="N23">IFERROR(VLOOKUP($C23&amp;N$2,{MASTER!$Y$2:$Y992,MASTER!$F$2:$F992},2,0),"")</f>
        <v/>
      </c>
      <c r="O23" s="119">
        <f t="array" ref="O23">IFERROR(VLOOKUP($C23&amp;O$2,{MASTER!$Y$2:$Y992,MASTER!$F$2:$F992},2,0),"")</f>
        <v>1970</v>
      </c>
      <c r="P23" s="119">
        <f t="array" ref="P23">IFERROR(VLOOKUP($C23&amp;P$2,{MASTER!$Y$2:$Y992,MASTER!$F$2:$F992},2,0),"")</f>
        <v>2880</v>
      </c>
      <c r="Q23" s="119">
        <f t="array" ref="Q23">IFERROR(VLOOKUP($C23&amp;Q$2,{MASTER!$Y$2:$Y992,MASTER!$F$2:$F992},2,0),"")</f>
        <v>3880</v>
      </c>
      <c r="R23" s="119" t="str">
        <f t="array" ref="R23">IFERROR(VLOOKUP($C23&amp;R$2,{MASTER!$Y$2:$Y992,MASTER!$F$2:$F992},2,0),"")</f>
        <v/>
      </c>
      <c r="S23" s="119">
        <f t="array" ref="S23">IFERROR(VLOOKUP($C23&amp;S$2,{MASTER!$Y$2:$Y992,MASTER!$F$2:$F992},2,0),"")</f>
        <v>3480</v>
      </c>
      <c r="T23" s="119">
        <f t="array" ref="T23">IFERROR(VLOOKUP($C23&amp;T$2,{MASTER!$Y$2:$Y992,MASTER!$F$2:$F992},2,0),"")</f>
        <v>2940</v>
      </c>
      <c r="U23" s="119" t="str">
        <f t="array" ref="U23">IFERROR(VLOOKUP($C23&amp;U$2,{MASTER!$Y$2:$Y992,MASTER!$F$2:$F992},2,0),"")</f>
        <v/>
      </c>
      <c r="V23" s="119">
        <f t="array" ref="V23">IFERROR(VLOOKUP($C23&amp;V$2,{MASTER!$Y$2:$Y992,MASTER!$F$2:$F992},2,0),"")</f>
        <v>2190</v>
      </c>
      <c r="W23" s="119">
        <f t="array" ref="W23">IFERROR(VLOOKUP($C23&amp;W$2,{MASTER!$Y$2:$Y992,MASTER!$F$2:$F992},2,0),"")</f>
        <v>2250</v>
      </c>
      <c r="X23" s="119" t="str">
        <f t="array" ref="X23">IFERROR(VLOOKUP($C23&amp;X$2,{MASTER!$Y$2:$Y992,MASTER!$F$2:$F992},2,0),"")</f>
        <v/>
      </c>
      <c r="Y23" s="119" t="str">
        <f t="array" ref="Y23">IFERROR(VLOOKUP($C23&amp;Y$2,{MASTER!$Y$2:$Y992,MASTER!$F$2:$F992},2,0),"")</f>
        <v/>
      </c>
      <c r="Z23" s="119" t="str">
        <f t="array" ref="Z23">IFERROR(VLOOKUP($C23&amp;Z$2,{MASTER!$Y$2:$Y992,MASTER!$F$2:$F992},2,0),"")</f>
        <v/>
      </c>
      <c r="AA23" s="119">
        <f t="array" ref="AA23">IFERROR(VLOOKUP($C23&amp;AA$2,{MASTER!$Y$2:$Y992,MASTER!$F$2:$F992},2,0),"")</f>
        <v>7780</v>
      </c>
      <c r="AB23" s="119">
        <f t="array" ref="AB23">IFERROR(VLOOKUP($C23&amp;AB$2,{MASTER!$Y$2:$Y992,MASTER!$F$2:$F992},2,0),"")</f>
        <v>10850</v>
      </c>
      <c r="AC23" s="119">
        <f t="array" ref="AC23">IFERROR(VLOOKUP($C23&amp;AC$2,{MASTER!$Y$2:$Y992,MASTER!$F$2:$F992},2,0),"")</f>
        <v>8650</v>
      </c>
      <c r="AD23" s="119" t="str">
        <f t="array" ref="AD23">IFERROR(VLOOKUP($C23&amp;AD$2,{MASTER!$Y$2:$Y992,MASTER!$F$2:$F992},2,0),"")</f>
        <v/>
      </c>
      <c r="AE23" s="119">
        <f t="array" ref="AE23">IFERROR(VLOOKUP($C23&amp;AE$2,{MASTER!$Y$2:$Y992,MASTER!$F$2:$F992},2,0),"")</f>
        <v>3990</v>
      </c>
      <c r="AF23" s="119">
        <f t="array" ref="AF23">IFERROR(VLOOKUP($C23&amp;AF$2,{MASTER!$Y$2:$Y992,MASTER!$F$2:$F992},2,0),"")</f>
        <v>4660</v>
      </c>
      <c r="AG23" s="119" t="str">
        <f t="array" ref="AG23">IFERROR(VLOOKUP($C23&amp;AG$2,{MASTER!$Y$2:$Y992,MASTER!$F$2:$F992},2,0),"")</f>
        <v/>
      </c>
      <c r="AH23" s="119">
        <f t="array" ref="AH23">IFERROR(VLOOKUP($C23&amp;AH$2,{MASTER!$Y$2:$Y992,MASTER!$F$2:$F992},2,0),"")</f>
        <v>6590</v>
      </c>
      <c r="AI23" s="119">
        <f t="array" ref="AI23">IFERROR(VLOOKUP($C23&amp;AI$2,{MASTER!$Y$2:$Y992,MASTER!$F$2:$F992},2,0),"")</f>
        <v>9480</v>
      </c>
      <c r="AJ23" s="119" t="str">
        <f t="array" ref="AJ23">IFERROR(VLOOKUP($C23&amp;AJ$2,{MASTER!$Y$2:$Y992,MASTER!$F$2:$F992},2,0),"")</f>
        <v/>
      </c>
      <c r="AK23" s="119" t="str">
        <f t="array" ref="AK23">IFERROR(VLOOKUP($C23&amp;AK$2,{MASTER!$Y$2:$Y992,MASTER!$F$2:$F992},2,0),"")</f>
        <v/>
      </c>
      <c r="AL23" s="119" t="str">
        <f t="array" ref="AL23">IFERROR(VLOOKUP($C23&amp;AL$2,{MASTER!$Y$2:$Y992,MASTER!$F$2:$F992},2,0),"")</f>
        <v/>
      </c>
      <c r="AM23" s="119">
        <f t="array" ref="AM23">IFERROR(VLOOKUP($C23&amp;AM$2,{MASTER!$Y$2:$Y992,MASTER!$F$2:$F992},2,0),"")</f>
        <v>8790</v>
      </c>
      <c r="AN23" s="119">
        <f t="array" ref="AN23">IFERROR(VLOOKUP($C23&amp;AN$2,{MASTER!$Y$2:$Y992,MASTER!$F$2:$F992},2,0),"")</f>
        <v>7760</v>
      </c>
      <c r="AO23" s="119">
        <f t="array" ref="AO23">IFERROR(VLOOKUP($C23&amp;AO$2,{MASTER!$Y$2:$Y992,MASTER!$F$2:$F992},2,0),"")</f>
        <v>8790</v>
      </c>
      <c r="AP23" s="119">
        <f t="array" ref="AP23">IFERROR(VLOOKUP($C23&amp;AP$2,{MASTER!$Y$2:$Y992,MASTER!$F$2:$F992},2,0),"")</f>
        <v>11430</v>
      </c>
      <c r="AQ23" s="119">
        <f t="array" ref="AQ23">IFERROR(VLOOKUP($C23&amp;AQ$2,{MASTER!$Y$2:$Y992,MASTER!$F$2:$F992},2,0),"")</f>
        <v>9980</v>
      </c>
      <c r="AR23" s="119">
        <f t="array" ref="AR23">IFERROR(VLOOKUP($C23&amp;AR$2,{MASTER!$Y$2:$Y992,MASTER!$F$2:$F992},2,0),"")</f>
        <v>7250</v>
      </c>
      <c r="AS23" s="119">
        <f t="array" ref="AS23">IFERROR(VLOOKUP($C23&amp;AS$2,{MASTER!$Y$2:$Y992,MASTER!$F$2:$F992},2,0),"")</f>
        <v>8160</v>
      </c>
      <c r="AT23" s="119" t="str">
        <f t="array" ref="AT23">IFERROR(VLOOKUP($C23&amp;AT$2,{MASTER!$Y$2:$Y992,MASTER!$F$2:$F992},2,0),"")</f>
        <v/>
      </c>
      <c r="AU23" s="119">
        <f t="array" ref="AU23">IFERROR(VLOOKUP($C23&amp;AU$2,{MASTER!$Y$2:$Y992,MASTER!$F$2:$F992},2,0),"")</f>
        <v>8160</v>
      </c>
      <c r="AV23" s="119">
        <f t="array" ref="AV23">IFERROR(VLOOKUP($C23&amp;AV$2,{MASTER!$Y$2:$Y992,MASTER!$F$2:$F992},2,0),"")</f>
        <v>8160</v>
      </c>
      <c r="AW23" s="119" t="str">
        <f t="array" ref="AW23">IFERROR(VLOOKUP($C23&amp;AW$2,{MASTER!$Y$2:$Y992,MASTER!$F$2:$F992},2,0),"")</f>
        <v/>
      </c>
      <c r="AX23" s="119">
        <f t="array" ref="AX23">IFERROR(VLOOKUP($C23&amp;AX$2,{MASTER!$Y$2:$Y992,MASTER!$F$2:$F992},2,0),"")</f>
        <v>8160</v>
      </c>
      <c r="AY23" s="119" t="str">
        <f t="array" ref="AY23">IFERROR(VLOOKUP($C23&amp;AY$2,{MASTER!$Y$2:$Y992,MASTER!$F$2:$F992},2,0),"")</f>
        <v/>
      </c>
      <c r="AZ23" s="119">
        <f t="array" ref="AZ23">IFERROR(VLOOKUP($C23&amp;AZ$2,{MASTER!$Y$2:$Y992,MASTER!$F$2:$F992},2,0),"")</f>
        <v>2070</v>
      </c>
      <c r="BA23" s="119">
        <f t="array" ref="BA23">IFERROR(VLOOKUP($C23&amp;BA$2,{MASTER!$Y$2:$Y992,MASTER!$F$2:$F992},2,0),"")</f>
        <v>2830</v>
      </c>
      <c r="BB23" s="119">
        <f t="array" ref="BB23">IFERROR(VLOOKUP($C23&amp;BB$2,{MASTER!$Y$2:$Y992,MASTER!$F$2:$F992},2,0),"")</f>
        <v>3860</v>
      </c>
    </row>
    <row r="24">
      <c r="A24" s="116">
        <f t="shared" si="1"/>
        <v>22</v>
      </c>
      <c r="B24" s="120"/>
      <c r="C24" s="285" t="s">
        <v>1247</v>
      </c>
      <c r="D24" s="119">
        <f t="array" ref="D24">IFERROR(VLOOKUP($C24&amp;D$2,{MASTER!$Y$2:$Y992,MASTER!$F$2:$F992},2,0),"")</f>
        <v>2090</v>
      </c>
      <c r="E24" s="119" t="str">
        <f t="array" ref="E24">IFERROR(VLOOKUP($C24&amp;E$2,{MASTER!$Y$2:$Y992,MASTER!$F$2:$F992},2,0),"")</f>
        <v/>
      </c>
      <c r="F24" s="119" t="str">
        <f t="array" ref="F24">IFERROR(VLOOKUP($C24&amp;F$2,{MASTER!$Y$2:$Y992,MASTER!$F$2:$F992},2,0),"")</f>
        <v/>
      </c>
      <c r="G24" s="119">
        <f t="array" ref="G24">IFERROR(VLOOKUP($C24&amp;G$2,{MASTER!$Y$2:$Y992,MASTER!$F$2:$F992},2,0),"")</f>
        <v>2260</v>
      </c>
      <c r="H24" s="119">
        <f t="array" ref="H24">IFERROR(VLOOKUP($C24&amp;H$2,{MASTER!$Y$2:$Y992,MASTER!$F$2:$F992},2,0),"")</f>
        <v>1720</v>
      </c>
      <c r="I24" s="119">
        <f t="array" ref="I24">IFERROR(VLOOKUP($C24&amp;I$2,{MASTER!$Y$2:$Y992,MASTER!$F$2:$F992},2,0),"")</f>
        <v>1750</v>
      </c>
      <c r="J24" s="119" t="str">
        <f t="array" ref="J24">IFERROR(VLOOKUP($C24&amp;J$2,{MASTER!$Y$2:$Y992,MASTER!$F$2:$F992},2,0),"")</f>
        <v/>
      </c>
      <c r="K24" s="119" t="str">
        <f t="array" ref="K24">IFERROR(VLOOKUP($C24&amp;K$2,{MASTER!$Y$2:$Y992,MASTER!$F$2:$F992},2,0),"")</f>
        <v/>
      </c>
      <c r="L24" s="119" t="str">
        <f t="array" ref="L24">IFERROR(VLOOKUP($C24&amp;L$2,{MASTER!$Y$2:$Y992,MASTER!$F$2:$F992},2,0),"")</f>
        <v/>
      </c>
      <c r="M24" s="119">
        <f t="array" ref="M24">IFERROR(VLOOKUP($C24&amp;M$2,{MASTER!$Y$2:$Y992,MASTER!$F$2:$F992},2,0),"")</f>
        <v>1950</v>
      </c>
      <c r="N24" s="119">
        <f t="array" ref="N24">IFERROR(VLOOKUP($C24&amp;N$2,{MASTER!$Y$2:$Y992,MASTER!$F$2:$F992},2,0),"")</f>
        <v>2130</v>
      </c>
      <c r="O24" s="119">
        <f t="array" ref="O24">IFERROR(VLOOKUP($C24&amp;O$2,{MASTER!$Y$2:$Y992,MASTER!$F$2:$F992},2,0),"")</f>
        <v>1640</v>
      </c>
      <c r="P24" s="119">
        <f t="array" ref="P24">IFERROR(VLOOKUP($C24&amp;P$2,{MASTER!$Y$2:$Y992,MASTER!$F$2:$F992},2,0),"")</f>
        <v>2490</v>
      </c>
      <c r="Q24" s="119">
        <f t="array" ref="Q24">IFERROR(VLOOKUP($C24&amp;Q$2,{MASTER!$Y$2:$Y992,MASTER!$F$2:$F992},2,0),"")</f>
        <v>2990</v>
      </c>
      <c r="R24" s="119" t="str">
        <f t="array" ref="R24">IFERROR(VLOOKUP($C24&amp;R$2,{MASTER!$Y$2:$Y992,MASTER!$F$2:$F992},2,0),"")</f>
        <v/>
      </c>
      <c r="S24" s="119">
        <f t="array" ref="S24">IFERROR(VLOOKUP($C24&amp;S$2,{MASTER!$Y$2:$Y992,MASTER!$F$2:$F992},2,0),"")</f>
        <v>4380</v>
      </c>
      <c r="T24" s="119">
        <f t="array" ref="T24">IFERROR(VLOOKUP($C24&amp;T$2,{MASTER!$Y$2:$Y992,MASTER!$F$2:$F992},2,0),"")</f>
        <v>3990</v>
      </c>
      <c r="U24" s="119" t="str">
        <f t="array" ref="U24">IFERROR(VLOOKUP($C24&amp;U$2,{MASTER!$Y$2:$Y992,MASTER!$F$2:$F992},2,0),"")</f>
        <v/>
      </c>
      <c r="V24" s="119">
        <f t="array" ref="V24">IFERROR(VLOOKUP($C24&amp;V$2,{MASTER!$Y$2:$Y992,MASTER!$F$2:$F992},2,0),"")</f>
        <v>2130</v>
      </c>
      <c r="W24" s="119">
        <f t="array" ref="W24">IFERROR(VLOOKUP($C24&amp;W$2,{MASTER!$Y$2:$Y992,MASTER!$F$2:$F992},2,0),"")</f>
        <v>2190</v>
      </c>
      <c r="X24" s="119">
        <f t="array" ref="X24">IFERROR(VLOOKUP($C24&amp;X$2,{MASTER!$Y$2:$Y992,MASTER!$F$2:$F992},2,0),"")</f>
        <v>1630</v>
      </c>
      <c r="Y24" s="119">
        <f t="array" ref="Y24">IFERROR(VLOOKUP($C24&amp;Y$2,{MASTER!$Y$2:$Y992,MASTER!$F$2:$F992},2,0),"")</f>
        <v>1630</v>
      </c>
      <c r="Z24" s="119">
        <f t="array" ref="Z24">IFERROR(VLOOKUP($C24&amp;Z$2,{MASTER!$Y$2:$Y992,MASTER!$F$2:$F992},2,0),"")</f>
        <v>5980</v>
      </c>
      <c r="AA24" s="119" t="str">
        <f t="array" ref="AA24">IFERROR(VLOOKUP($C24&amp;AA$2,{MASTER!$Y$2:$Y992,MASTER!$F$2:$F992},2,0),"")</f>
        <v/>
      </c>
      <c r="AB24" s="119" t="str">
        <f t="array" ref="AB24">IFERROR(VLOOKUP($C24&amp;AB$2,{MASTER!$Y$2:$Y992,MASTER!$F$2:$F992},2,0),"")</f>
        <v/>
      </c>
      <c r="AC24" s="119" t="str">
        <f t="array" ref="AC24">IFERROR(VLOOKUP($C24&amp;AC$2,{MASTER!$Y$2:$Y992,MASTER!$F$2:$F992},2,0),"")</f>
        <v/>
      </c>
      <c r="AD24" s="119" t="str">
        <f t="array" ref="AD24">IFERROR(VLOOKUP($C24&amp;AD$2,{MASTER!$Y$2:$Y992,MASTER!$F$2:$F992},2,0),"")</f>
        <v/>
      </c>
      <c r="AE24" s="119" t="str">
        <f t="array" ref="AE24">IFERROR(VLOOKUP($C24&amp;AE$2,{MASTER!$Y$2:$Y992,MASTER!$F$2:$F992},2,0),"")</f>
        <v/>
      </c>
      <c r="AF24" s="119" t="str">
        <f t="array" ref="AF24">IFERROR(VLOOKUP($C24&amp;AF$2,{MASTER!$Y$2:$Y992,MASTER!$F$2:$F992},2,0),"")</f>
        <v/>
      </c>
      <c r="AG24" s="119" t="str">
        <f t="array" ref="AG24">IFERROR(VLOOKUP($C24&amp;AG$2,{MASTER!$Y$2:$Y992,MASTER!$F$2:$F992},2,0),"")</f>
        <v/>
      </c>
      <c r="AH24" s="119">
        <f t="array" ref="AH24">IFERROR(VLOOKUP($C24&amp;AH$2,{MASTER!$Y$2:$Y992,MASTER!$F$2:$F992},2,0),"")</f>
        <v>7280</v>
      </c>
      <c r="AI24" s="119" t="str">
        <f t="array" ref="AI24">IFERROR(VLOOKUP($C24&amp;AI$2,{MASTER!$Y$2:$Y992,MASTER!$F$2:$F992},2,0),"")</f>
        <v/>
      </c>
      <c r="AJ24" s="119" t="str">
        <f t="array" ref="AJ24">IFERROR(VLOOKUP($C24&amp;AJ$2,{MASTER!$Y$2:$Y992,MASTER!$F$2:$F992},2,0),"")</f>
        <v/>
      </c>
      <c r="AK24" s="119" t="str">
        <f t="array" ref="AK24">IFERROR(VLOOKUP($C24&amp;AK$2,{MASTER!$Y$2:$Y992,MASTER!$F$2:$F992},2,0),"")</f>
        <v/>
      </c>
      <c r="AL24" s="119" t="str">
        <f t="array" ref="AL24">IFERROR(VLOOKUP($C24&amp;AL$2,{MASTER!$Y$2:$Y992,MASTER!$F$2:$F992},2,0),"")</f>
        <v/>
      </c>
      <c r="AM24" s="119">
        <f t="array" ref="AM24">IFERROR(VLOOKUP($C24&amp;AM$2,{MASTER!$Y$2:$Y992,MASTER!$F$2:$F992},2,0),"")</f>
        <v>8860</v>
      </c>
      <c r="AN24" s="119" t="str">
        <f t="array" ref="AN24">IFERROR(VLOOKUP($C24&amp;AN$2,{MASTER!$Y$2:$Y992,MASTER!$F$2:$F992},2,0),"")</f>
        <v/>
      </c>
      <c r="AO24" s="119">
        <f t="array" ref="AO24">IFERROR(VLOOKUP($C24&amp;AO$2,{MASTER!$Y$2:$Y992,MASTER!$F$2:$F992},2,0),"")</f>
        <v>8860</v>
      </c>
      <c r="AP24" s="119" t="str">
        <f t="array" ref="AP24">IFERROR(VLOOKUP($C24&amp;AP$2,{MASTER!$Y$2:$Y992,MASTER!$F$2:$F992},2,0),"")</f>
        <v/>
      </c>
      <c r="AQ24" s="119">
        <f t="array" ref="AQ24">IFERROR(VLOOKUP($C24&amp;AQ$2,{MASTER!$Y$2:$Y992,MASTER!$F$2:$F992},2,0),"")</f>
        <v>9980</v>
      </c>
      <c r="AR24" s="119" t="str">
        <f t="array" ref="AR24">IFERROR(VLOOKUP($C24&amp;AR$2,{MASTER!$Y$2:$Y992,MASTER!$F$2:$F992},2,0),"")</f>
        <v/>
      </c>
      <c r="AS24" s="119" t="str">
        <f t="array" ref="AS24">IFERROR(VLOOKUP($C24&amp;AS$2,{MASTER!$Y$2:$Y992,MASTER!$F$2:$F992},2,0),"")</f>
        <v/>
      </c>
      <c r="AT24" s="119" t="str">
        <f t="array" ref="AT24">IFERROR(VLOOKUP($C24&amp;AT$2,{MASTER!$Y$2:$Y992,MASTER!$F$2:$F992},2,0),"")</f>
        <v/>
      </c>
      <c r="AU24" s="119" t="str">
        <f t="array" ref="AU24">IFERROR(VLOOKUP($C24&amp;AU$2,{MASTER!$Y$2:$Y992,MASTER!$F$2:$F992},2,0),"")</f>
        <v/>
      </c>
      <c r="AV24" s="119" t="str">
        <f t="array" ref="AV24">IFERROR(VLOOKUP($C24&amp;AV$2,{MASTER!$Y$2:$Y992,MASTER!$F$2:$F992},2,0),"")</f>
        <v/>
      </c>
      <c r="AW24" s="119" t="str">
        <f t="array" ref="AW24">IFERROR(VLOOKUP($C24&amp;AW$2,{MASTER!$Y$2:$Y992,MASTER!$F$2:$F992},2,0),"")</f>
        <v/>
      </c>
      <c r="AX24" s="119" t="str">
        <f t="array" ref="AX24">IFERROR(VLOOKUP($C24&amp;AX$2,{MASTER!$Y$2:$Y992,MASTER!$F$2:$F992},2,0),"")</f>
        <v/>
      </c>
      <c r="AY24" s="119">
        <f t="array" ref="AY24">IFERROR(VLOOKUP($C24&amp;AY$2,{MASTER!$Y$2:$Y992,MASTER!$F$2:$F992},2,0),"")</f>
        <v>9980</v>
      </c>
      <c r="AZ24" s="119" t="str">
        <f t="array" ref="AZ24">IFERROR(VLOOKUP($C24&amp;AZ$2,{MASTER!$Y$2:$Y992,MASTER!$F$2:$F992},2,0),"")</f>
        <v/>
      </c>
      <c r="BA24" s="119" t="str">
        <f t="array" ref="BA24">IFERROR(VLOOKUP($C24&amp;BA$2,{MASTER!$Y$2:$Y992,MASTER!$F$2:$F992},2,0),"")</f>
        <v/>
      </c>
      <c r="BB24" s="119">
        <f t="array" ref="BB24">IFERROR(VLOOKUP($C24&amp;BB$2,{MASTER!$Y$2:$Y992,MASTER!$F$2:$F992},2,0),"")</f>
        <v>3970</v>
      </c>
    </row>
    <row r="25">
      <c r="A25" s="116">
        <f t="shared" si="1"/>
        <v>0</v>
      </c>
      <c r="B25" s="120"/>
      <c r="C25" s="285" t="s">
        <v>1250</v>
      </c>
      <c r="D25" s="119" t="str">
        <f t="array" ref="D25">IFERROR(VLOOKUP($C25&amp;D$2,{MASTER!$Y$2:$Y992,MASTER!$F$2:$F992},2,0),"")</f>
        <v>REMOVED</v>
      </c>
      <c r="E25" s="119" t="str">
        <f t="array" ref="E25">IFERROR(VLOOKUP($C25&amp;E$2,{MASTER!$Y$2:$Y992,MASTER!$F$2:$F992},2,0),"")</f>
        <v/>
      </c>
      <c r="F25" s="119" t="str">
        <f t="array" ref="F25">IFERROR(VLOOKUP($C25&amp;F$2,{MASTER!$Y$2:$Y992,MASTER!$F$2:$F992},2,0),"")</f>
        <v/>
      </c>
      <c r="G25" s="119" t="str">
        <f t="array" ref="G25">IFERROR(VLOOKUP($C25&amp;G$2,{MASTER!$Y$2:$Y992,MASTER!$F$2:$F992},2,0),"")</f>
        <v/>
      </c>
      <c r="H25" s="119" t="str">
        <f t="array" ref="H25">IFERROR(VLOOKUP($C25&amp;H$2,{MASTER!$Y$2:$Y992,MASTER!$F$2:$F992},2,0),"")</f>
        <v/>
      </c>
      <c r="I25" s="119" t="str">
        <f t="array" ref="I25">IFERROR(VLOOKUP($C25&amp;I$2,{MASTER!$Y$2:$Y992,MASTER!$F$2:$F992},2,0),"")</f>
        <v>REMOVED</v>
      </c>
      <c r="J25" s="119" t="str">
        <f t="array" ref="J25">IFERROR(VLOOKUP($C25&amp;J$2,{MASTER!$Y$2:$Y992,MASTER!$F$2:$F992},2,0),"")</f>
        <v/>
      </c>
      <c r="K25" s="119" t="str">
        <f t="array" ref="K25">IFERROR(VLOOKUP($C25&amp;K$2,{MASTER!$Y$2:$Y992,MASTER!$F$2:$F992},2,0),"")</f>
        <v/>
      </c>
      <c r="L25" s="119" t="str">
        <f t="array" ref="L25">IFERROR(VLOOKUP($C25&amp;L$2,{MASTER!$Y$2:$Y992,MASTER!$F$2:$F992},2,0),"")</f>
        <v/>
      </c>
      <c r="M25" s="119" t="str">
        <f t="array" ref="M25">IFERROR(VLOOKUP($C25&amp;M$2,{MASTER!$Y$2:$Y992,MASTER!$F$2:$F992},2,0),"")</f>
        <v>REMOVED</v>
      </c>
      <c r="N25" s="119" t="str">
        <f t="array" ref="N25">IFERROR(VLOOKUP($C25&amp;N$2,{MASTER!$Y$2:$Y992,MASTER!$F$2:$F992},2,0),"")</f>
        <v>REMOVED</v>
      </c>
      <c r="O25" s="119" t="str">
        <f t="array" ref="O25">IFERROR(VLOOKUP($C25&amp;O$2,{MASTER!$Y$2:$Y992,MASTER!$F$2:$F992},2,0),"")</f>
        <v>REMOVED</v>
      </c>
      <c r="P25" s="119" t="str">
        <f t="array" ref="P25">IFERROR(VLOOKUP($C25&amp;P$2,{MASTER!$Y$2:$Y992,MASTER!$F$2:$F992},2,0),"")</f>
        <v>REMOVED</v>
      </c>
      <c r="Q25" s="119" t="str">
        <f t="array" ref="Q25">IFERROR(VLOOKUP($C25&amp;Q$2,{MASTER!$Y$2:$Y992,MASTER!$F$2:$F992},2,0),"")</f>
        <v>REMOVED</v>
      </c>
      <c r="R25" s="119" t="str">
        <f t="array" ref="R25">IFERROR(VLOOKUP($C25&amp;R$2,{MASTER!$Y$2:$Y992,MASTER!$F$2:$F992},2,0),"")</f>
        <v/>
      </c>
      <c r="S25" s="119" t="str">
        <f t="array" ref="S25">IFERROR(VLOOKUP($C25&amp;S$2,{MASTER!$Y$2:$Y992,MASTER!$F$2:$F992},2,0),"")</f>
        <v>REMOVED</v>
      </c>
      <c r="T25" s="119" t="str">
        <f t="array" ref="T25">IFERROR(VLOOKUP($C25&amp;T$2,{MASTER!$Y$2:$Y992,MASTER!$F$2:$F992},2,0),"")</f>
        <v>REMOVED</v>
      </c>
      <c r="U25" s="119" t="str">
        <f t="array" ref="U25">IFERROR(VLOOKUP($C25&amp;U$2,{MASTER!$Y$2:$Y992,MASTER!$F$2:$F992},2,0),"")</f>
        <v/>
      </c>
      <c r="V25" s="119" t="str">
        <f t="array" ref="V25">IFERROR(VLOOKUP($C25&amp;V$2,{MASTER!$Y$2:$Y992,MASTER!$F$2:$F992},2,0),"")</f>
        <v>REMOVED</v>
      </c>
      <c r="W25" s="119" t="str">
        <f t="array" ref="W25">IFERROR(VLOOKUP($C25&amp;W$2,{MASTER!$Y$2:$Y992,MASTER!$F$2:$F992},2,0),"")</f>
        <v>REMOVED</v>
      </c>
      <c r="X25" s="119" t="str">
        <f t="array" ref="X25">IFERROR(VLOOKUP($C25&amp;X$2,{MASTER!$Y$2:$Y992,MASTER!$F$2:$F992},2,0),"")</f>
        <v>REMOVED</v>
      </c>
      <c r="Y25" s="119" t="str">
        <f t="array" ref="Y25">IFERROR(VLOOKUP($C25&amp;Y$2,{MASTER!$Y$2:$Y992,MASTER!$F$2:$F992},2,0),"")</f>
        <v>REMOVED</v>
      </c>
      <c r="Z25" s="119" t="str">
        <f t="array" ref="Z25">IFERROR(VLOOKUP($C25&amp;Z$2,{MASTER!$Y$2:$Y992,MASTER!$F$2:$F992},2,0),"")</f>
        <v>REMOVED</v>
      </c>
      <c r="AA25" s="119" t="str">
        <f t="array" ref="AA25">IFERROR(VLOOKUP($C25&amp;AA$2,{MASTER!$Y$2:$Y992,MASTER!$F$2:$F992},2,0),"")</f>
        <v/>
      </c>
      <c r="AB25" s="119" t="str">
        <f t="array" ref="AB25">IFERROR(VLOOKUP($C25&amp;AB$2,{MASTER!$Y$2:$Y992,MASTER!$F$2:$F992},2,0),"")</f>
        <v/>
      </c>
      <c r="AC25" s="119" t="str">
        <f t="array" ref="AC25">IFERROR(VLOOKUP($C25&amp;AC$2,{MASTER!$Y$2:$Y992,MASTER!$F$2:$F992},2,0),"")</f>
        <v/>
      </c>
      <c r="AD25" s="119" t="str">
        <f t="array" ref="AD25">IFERROR(VLOOKUP($C25&amp;AD$2,{MASTER!$Y$2:$Y992,MASTER!$F$2:$F992},2,0),"")</f>
        <v/>
      </c>
      <c r="AE25" s="119" t="str">
        <f t="array" ref="AE25">IFERROR(VLOOKUP($C25&amp;AE$2,{MASTER!$Y$2:$Y992,MASTER!$F$2:$F992},2,0),"")</f>
        <v/>
      </c>
      <c r="AF25" s="119" t="str">
        <f t="array" ref="AF25">IFERROR(VLOOKUP($C25&amp;AF$2,{MASTER!$Y$2:$Y992,MASTER!$F$2:$F992},2,0),"")</f>
        <v/>
      </c>
      <c r="AG25" s="119" t="str">
        <f t="array" ref="AG25">IFERROR(VLOOKUP($C25&amp;AG$2,{MASTER!$Y$2:$Y992,MASTER!$F$2:$F992},2,0),"")</f>
        <v/>
      </c>
      <c r="AH25" s="119" t="str">
        <f t="array" ref="AH25">IFERROR(VLOOKUP($C25&amp;AH$2,{MASTER!$Y$2:$Y992,MASTER!$F$2:$F992},2,0),"")</f>
        <v>REMOVED</v>
      </c>
      <c r="AI25" s="119" t="str">
        <f t="array" ref="AI25">IFERROR(VLOOKUP($C25&amp;AI$2,{MASTER!$Y$2:$Y992,MASTER!$F$2:$F992},2,0),"")</f>
        <v/>
      </c>
      <c r="AJ25" s="119" t="str">
        <f t="array" ref="AJ25">IFERROR(VLOOKUP($C25&amp;AJ$2,{MASTER!$Y$2:$Y992,MASTER!$F$2:$F992},2,0),"")</f>
        <v/>
      </c>
      <c r="AK25" s="119" t="str">
        <f t="array" ref="AK25">IFERROR(VLOOKUP($C25&amp;AK$2,{MASTER!$Y$2:$Y992,MASTER!$F$2:$F992},2,0),"")</f>
        <v/>
      </c>
      <c r="AL25" s="119" t="str">
        <f t="array" ref="AL25">IFERROR(VLOOKUP($C25&amp;AL$2,{MASTER!$Y$2:$Y992,MASTER!$F$2:$F992},2,0),"")</f>
        <v/>
      </c>
      <c r="AM25" s="119" t="str">
        <f t="array" ref="AM25">IFERROR(VLOOKUP($C25&amp;AM$2,{MASTER!$Y$2:$Y992,MASTER!$F$2:$F992},2,0),"")</f>
        <v>REMOVED</v>
      </c>
      <c r="AN25" s="119" t="str">
        <f t="array" ref="AN25">IFERROR(VLOOKUP($C25&amp;AN$2,{MASTER!$Y$2:$Y992,MASTER!$F$2:$F992},2,0),"")</f>
        <v/>
      </c>
      <c r="AO25" s="119" t="str">
        <f t="array" ref="AO25">IFERROR(VLOOKUP($C25&amp;AO$2,{MASTER!$Y$2:$Y992,MASTER!$F$2:$F992},2,0),"")</f>
        <v>REMOVED</v>
      </c>
      <c r="AP25" s="119" t="str">
        <f t="array" ref="AP25">IFERROR(VLOOKUP($C25&amp;AP$2,{MASTER!$Y$2:$Y992,MASTER!$F$2:$F992},2,0),"")</f>
        <v/>
      </c>
      <c r="AQ25" s="119" t="str">
        <f t="array" ref="AQ25">IFERROR(VLOOKUP($C25&amp;AQ$2,{MASTER!$Y$2:$Y992,MASTER!$F$2:$F992},2,0),"")</f>
        <v>REMOVED</v>
      </c>
      <c r="AR25" s="119" t="str">
        <f t="array" ref="AR25">IFERROR(VLOOKUP($C25&amp;AR$2,{MASTER!$Y$2:$Y992,MASTER!$F$2:$F992},2,0),"")</f>
        <v/>
      </c>
      <c r="AS25" s="119" t="str">
        <f t="array" ref="AS25">IFERROR(VLOOKUP($C25&amp;AS$2,{MASTER!$Y$2:$Y992,MASTER!$F$2:$F992},2,0),"")</f>
        <v/>
      </c>
      <c r="AT25" s="119" t="str">
        <f t="array" ref="AT25">IFERROR(VLOOKUP($C25&amp;AT$2,{MASTER!$Y$2:$Y992,MASTER!$F$2:$F992},2,0),"")</f>
        <v/>
      </c>
      <c r="AU25" s="119" t="str">
        <f t="array" ref="AU25">IFERROR(VLOOKUP($C25&amp;AU$2,{MASTER!$Y$2:$Y992,MASTER!$F$2:$F992},2,0),"")</f>
        <v/>
      </c>
      <c r="AV25" s="119" t="str">
        <f t="array" ref="AV25">IFERROR(VLOOKUP($C25&amp;AV$2,{MASTER!$Y$2:$Y992,MASTER!$F$2:$F992},2,0),"")</f>
        <v/>
      </c>
      <c r="AW25" s="119" t="str">
        <f t="array" ref="AW25">IFERROR(VLOOKUP($C25&amp;AW$2,{MASTER!$Y$2:$Y992,MASTER!$F$2:$F992},2,0),"")</f>
        <v/>
      </c>
      <c r="AX25" s="119" t="str">
        <f t="array" ref="AX25">IFERROR(VLOOKUP($C25&amp;AX$2,{MASTER!$Y$2:$Y992,MASTER!$F$2:$F992},2,0),"")</f>
        <v/>
      </c>
      <c r="AY25" s="119" t="str">
        <f t="array" ref="AY25">IFERROR(VLOOKUP($C25&amp;AY$2,{MASTER!$Y$2:$Y992,MASTER!$F$2:$F992},2,0),"")</f>
        <v>REMOVED</v>
      </c>
      <c r="AZ25" s="119" t="str">
        <f t="array" ref="AZ25">IFERROR(VLOOKUP($C25&amp;AZ$2,{MASTER!$Y$2:$Y992,MASTER!$F$2:$F992},2,0),"")</f>
        <v/>
      </c>
      <c r="BA25" s="119" t="str">
        <f t="array" ref="BA25">IFERROR(VLOOKUP($C25&amp;BA$2,{MASTER!$Y$2:$Y992,MASTER!$F$2:$F992},2,0),"")</f>
        <v/>
      </c>
      <c r="BB25" s="119" t="str">
        <f t="array" ref="BB25">IFERROR(VLOOKUP($C25&amp;BB$2,{MASTER!$Y$2:$Y992,MASTER!$F$2:$F992},2,0),"")</f>
        <v>REMOVED</v>
      </c>
    </row>
    <row r="26">
      <c r="A26" s="116">
        <f t="shared" si="1"/>
        <v>36</v>
      </c>
      <c r="B26" s="120"/>
      <c r="C26" s="285" t="s">
        <v>1269</v>
      </c>
      <c r="D26" s="119">
        <f t="array" ref="D26">IFERROR(VLOOKUP($C26&amp;D$2,{MASTER!$Y$2:$Y992,MASTER!$F$2:$F992},2,0),"")</f>
        <v>1880</v>
      </c>
      <c r="E26" s="119">
        <f t="array" ref="E26">IFERROR(VLOOKUP($C26&amp;E$2,{MASTER!$Y$2:$Y992,MASTER!$F$2:$F992},2,0),"")</f>
        <v>4220</v>
      </c>
      <c r="F26" s="119" t="str">
        <f t="array" ref="F26">IFERROR(VLOOKUP($C26&amp;F$2,{MASTER!$Y$2:$Y992,MASTER!$F$2:$F992},2,0),"")</f>
        <v/>
      </c>
      <c r="G26" s="119">
        <f t="array" ref="G26">IFERROR(VLOOKUP($C26&amp;G$2,{MASTER!$Y$2:$Y992,MASTER!$F$2:$F992},2,0),"")</f>
        <v>2840</v>
      </c>
      <c r="H26" s="119" t="str">
        <f t="array" ref="H26">IFERROR(VLOOKUP($C26&amp;H$2,{MASTER!$Y$2:$Y992,MASTER!$F$2:$F992},2,0),"")</f>
        <v/>
      </c>
      <c r="I26" s="119">
        <f t="array" ref="I26">IFERROR(VLOOKUP($C26&amp;I$2,{MASTER!$Y$2:$Y992,MASTER!$F$2:$F992},2,0),"")</f>
        <v>1860</v>
      </c>
      <c r="J26" s="119" t="str">
        <f t="array" ref="J26">IFERROR(VLOOKUP($C26&amp;J$2,{MASTER!$Y$2:$Y992,MASTER!$F$2:$F992},2,0),"")</f>
        <v/>
      </c>
      <c r="K26" s="119" t="str">
        <f t="array" ref="K26">IFERROR(VLOOKUP($C26&amp;K$2,{MASTER!$Y$2:$Y992,MASTER!$F$2:$F992},2,0),"")</f>
        <v/>
      </c>
      <c r="L26" s="119" t="str">
        <f t="array" ref="L26">IFERROR(VLOOKUP($C26&amp;L$2,{MASTER!$Y$2:$Y992,MASTER!$F$2:$F992},2,0),"")</f>
        <v/>
      </c>
      <c r="M26" s="119">
        <f t="array" ref="M26">IFERROR(VLOOKUP($C26&amp;M$2,{MASTER!$Y$2:$Y992,MASTER!$F$2:$F992},2,0),"")</f>
        <v>2080</v>
      </c>
      <c r="N26" s="119" t="str">
        <f t="array" ref="N26">IFERROR(VLOOKUP($C26&amp;N$2,{MASTER!$Y$2:$Y992,MASTER!$F$2:$F992},2,0),"")</f>
        <v/>
      </c>
      <c r="O26" s="119">
        <f t="array" ref="O26">IFERROR(VLOOKUP($C26&amp;O$2,{MASTER!$Y$2:$Y992,MASTER!$F$2:$F992},2,0),"")</f>
        <v>1590</v>
      </c>
      <c r="P26" s="119">
        <f t="array" ref="P26">IFERROR(VLOOKUP($C26&amp;P$2,{MASTER!$Y$2:$Y992,MASTER!$F$2:$F992},2,0),"")</f>
        <v>2440</v>
      </c>
      <c r="Q26" s="119">
        <f t="array" ref="Q26">IFERROR(VLOOKUP($C26&amp;Q$2,{MASTER!$Y$2:$Y992,MASTER!$F$2:$F992},2,0),"")</f>
        <v>2870</v>
      </c>
      <c r="R26" s="119" t="str">
        <f t="array" ref="R26">IFERROR(VLOOKUP($C26&amp;R$2,{MASTER!$Y$2:$Y992,MASTER!$F$2:$F992},2,0),"")</f>
        <v/>
      </c>
      <c r="S26" s="119">
        <f t="array" ref="S26">IFERROR(VLOOKUP($C26&amp;S$2,{MASTER!$Y$2:$Y992,MASTER!$F$2:$F992},2,0),"")</f>
        <v>3140</v>
      </c>
      <c r="T26" s="119">
        <f t="array" ref="T26">IFERROR(VLOOKUP($C26&amp;T$2,{MASTER!$Y$2:$Y992,MASTER!$F$2:$F992},2,0),"")</f>
        <v>2970</v>
      </c>
      <c r="U26" s="119" t="str">
        <f t="array" ref="U26">IFERROR(VLOOKUP($C26&amp;U$2,{MASTER!$Y$2:$Y992,MASTER!$F$2:$F992},2,0),"")</f>
        <v/>
      </c>
      <c r="V26" s="119">
        <f t="array" ref="V26">IFERROR(VLOOKUP($C26&amp;V$2,{MASTER!$Y$2:$Y992,MASTER!$F$2:$F992},2,0),"")</f>
        <v>2120</v>
      </c>
      <c r="W26" s="119">
        <f t="array" ref="W26">IFERROR(VLOOKUP($C26&amp;W$2,{MASTER!$Y$2:$Y992,MASTER!$F$2:$F992},2,0),"")</f>
        <v>2180</v>
      </c>
      <c r="X26" s="119" t="str">
        <f t="array" ref="X26">IFERROR(VLOOKUP($C26&amp;X$2,{MASTER!$Y$2:$Y992,MASTER!$F$2:$F992},2,0),"")</f>
        <v/>
      </c>
      <c r="Y26" s="119" t="str">
        <f t="array" ref="Y26">IFERROR(VLOOKUP($C26&amp;Y$2,{MASTER!$Y$2:$Y992,MASTER!$F$2:$F992},2,0),"")</f>
        <v/>
      </c>
      <c r="Z26" s="119">
        <f t="array" ref="Z26">IFERROR(VLOOKUP($C26&amp;Z$2,{MASTER!$Y$2:$Y992,MASTER!$F$2:$F992},2,0),"")</f>
        <v>5450</v>
      </c>
      <c r="AA26" s="119">
        <f t="array" ref="AA26">IFERROR(VLOOKUP($C26&amp;AA$2,{MASTER!$Y$2:$Y992,MASTER!$F$2:$F992},2,0),"")</f>
        <v>4680</v>
      </c>
      <c r="AB26" s="119">
        <f t="array" ref="AB26">IFERROR(VLOOKUP($C26&amp;AB$2,{MASTER!$Y$2:$Y992,MASTER!$F$2:$F992},2,0),"")</f>
        <v>6760</v>
      </c>
      <c r="AC26" s="119">
        <f t="array" ref="AC26">IFERROR(VLOOKUP($C26&amp;AC$2,{MASTER!$Y$2:$Y992,MASTER!$F$2:$F992},2,0),"")</f>
        <v>6980</v>
      </c>
      <c r="AD26" s="119" t="str">
        <f t="array" ref="AD26">IFERROR(VLOOKUP($C26&amp;AD$2,{MASTER!$Y$2:$Y992,MASTER!$F$2:$F992},2,0),"")</f>
        <v/>
      </c>
      <c r="AE26" s="119">
        <f t="array" ref="AE26">IFERROR(VLOOKUP($C26&amp;AE$2,{MASTER!$Y$2:$Y992,MASTER!$F$2:$F992},2,0),"")</f>
        <v>3990</v>
      </c>
      <c r="AF26" s="119">
        <f t="array" ref="AF26">IFERROR(VLOOKUP($C26&amp;AF$2,{MASTER!$Y$2:$Y992,MASTER!$F$2:$F992},2,0),"")</f>
        <v>2990</v>
      </c>
      <c r="AG26" s="119" t="str">
        <f t="array" ref="AG26">IFERROR(VLOOKUP($C26&amp;AG$2,{MASTER!$Y$2:$Y992,MASTER!$F$2:$F992},2,0),"")</f>
        <v/>
      </c>
      <c r="AH26" s="119">
        <f t="array" ref="AH26">IFERROR(VLOOKUP($C26&amp;AH$2,{MASTER!$Y$2:$Y992,MASTER!$F$2:$F992},2,0),"")</f>
        <v>5780</v>
      </c>
      <c r="AI26" s="119">
        <f t="array" ref="AI26">IFERROR(VLOOKUP($C26&amp;AI$2,{MASTER!$Y$2:$Y992,MASTER!$F$2:$F992},2,0),"")</f>
        <v>8180</v>
      </c>
      <c r="AJ26" s="119" t="str">
        <f t="array" ref="AJ26">IFERROR(VLOOKUP($C26&amp;AJ$2,{MASTER!$Y$2:$Y992,MASTER!$F$2:$F992},2,0),"")</f>
        <v/>
      </c>
      <c r="AK26" s="119" t="str">
        <f t="array" ref="AK26">IFERROR(VLOOKUP($C26&amp;AK$2,{MASTER!$Y$2:$Y992,MASTER!$F$2:$F992},2,0),"")</f>
        <v/>
      </c>
      <c r="AL26" s="119" t="str">
        <f t="array" ref="AL26">IFERROR(VLOOKUP($C26&amp;AL$2,{MASTER!$Y$2:$Y992,MASTER!$F$2:$F992},2,0),"")</f>
        <v/>
      </c>
      <c r="AM26" s="119">
        <f t="array" ref="AM26">IFERROR(VLOOKUP($C26&amp;AM$2,{MASTER!$Y$2:$Y992,MASTER!$F$2:$F992},2,0),"")</f>
        <v>8180</v>
      </c>
      <c r="AN26" s="119">
        <f t="array" ref="AN26">IFERROR(VLOOKUP($C26&amp;AN$2,{MASTER!$Y$2:$Y992,MASTER!$F$2:$F992},2,0),"")</f>
        <v>7180</v>
      </c>
      <c r="AO26" s="119">
        <f t="array" ref="AO26">IFERROR(VLOOKUP($C26&amp;AO$2,{MASTER!$Y$2:$Y992,MASTER!$F$2:$F992},2,0),"")</f>
        <v>8180</v>
      </c>
      <c r="AP26" s="119">
        <f t="array" ref="AP26">IFERROR(VLOOKUP($C26&amp;AP$2,{MASTER!$Y$2:$Y992,MASTER!$F$2:$F992},2,0),"")</f>
        <v>10980</v>
      </c>
      <c r="AQ26" s="119">
        <f t="array" ref="AQ26">IFERROR(VLOOKUP($C26&amp;AQ$2,{MASTER!$Y$2:$Y992,MASTER!$F$2:$F992},2,0),"")</f>
        <v>9280</v>
      </c>
      <c r="AR26" s="119">
        <f t="array" ref="AR26">IFERROR(VLOOKUP($C26&amp;AR$2,{MASTER!$Y$2:$Y992,MASTER!$F$2:$F992},2,0),"")</f>
        <v>6860</v>
      </c>
      <c r="AS26" s="119">
        <f t="array" ref="AS26">IFERROR(VLOOKUP($C26&amp;AS$2,{MASTER!$Y$2:$Y992,MASTER!$F$2:$F992},2,0),"")</f>
        <v>7770</v>
      </c>
      <c r="AT26" s="119">
        <f t="array" ref="AT26">IFERROR(VLOOKUP($C26&amp;AT$2,{MASTER!$Y$2:$Y992,MASTER!$F$2:$F992},2,0),"")</f>
        <v>7770</v>
      </c>
      <c r="AU26" s="119">
        <f t="array" ref="AU26">IFERROR(VLOOKUP($C26&amp;AU$2,{MASTER!$Y$2:$Y992,MASTER!$F$2:$F992},2,0),"")</f>
        <v>7770</v>
      </c>
      <c r="AV26" s="119">
        <f t="array" ref="AV26">IFERROR(VLOOKUP($C26&amp;AV$2,{MASTER!$Y$2:$Y992,MASTER!$F$2:$F992},2,0),"")</f>
        <v>7770</v>
      </c>
      <c r="AW26" s="119">
        <f t="array" ref="AW26">IFERROR(VLOOKUP($C26&amp;AW$2,{MASTER!$Y$2:$Y992,MASTER!$F$2:$F992},2,0),"")</f>
        <v>7770</v>
      </c>
      <c r="AX26" s="119">
        <f t="array" ref="AX26">IFERROR(VLOOKUP($C26&amp;AX$2,{MASTER!$Y$2:$Y992,MASTER!$F$2:$F992},2,0),"")</f>
        <v>7770</v>
      </c>
      <c r="AY26" s="119">
        <f t="array" ref="AY26">IFERROR(VLOOKUP($C26&amp;AY$2,{MASTER!$Y$2:$Y992,MASTER!$F$2:$F992},2,0),"")</f>
        <v>9820</v>
      </c>
      <c r="AZ26" s="119">
        <f t="array" ref="AZ26">IFERROR(VLOOKUP($C26&amp;AZ$2,{MASTER!$Y$2:$Y992,MASTER!$F$2:$F992},2,0),"")</f>
        <v>1830</v>
      </c>
      <c r="BA26" s="119">
        <f t="array" ref="BA26">IFERROR(VLOOKUP($C26&amp;BA$2,{MASTER!$Y$2:$Y992,MASTER!$F$2:$F992},2,0),"")</f>
        <v>2590</v>
      </c>
      <c r="BB26" s="119">
        <f t="array" ref="BB26">IFERROR(VLOOKUP($C26&amp;BB$2,{MASTER!$Y$2:$Y992,MASTER!$F$2:$F992},2,0),"")</f>
        <v>3540</v>
      </c>
    </row>
    <row r="27">
      <c r="A27" s="116">
        <f t="shared" si="1"/>
        <v>0</v>
      </c>
      <c r="B27" s="120"/>
      <c r="C27" s="285" t="s">
        <v>1256</v>
      </c>
      <c r="D27" s="119" t="str">
        <f t="array" ref="D27">IFERROR(VLOOKUP($C27&amp;D$2,{MASTER!$Y$2:$Y992,MASTER!$F$2:$F992},2,0),"")</f>
        <v>REMOVED</v>
      </c>
      <c r="E27" s="119" t="str">
        <f t="array" ref="E27">IFERROR(VLOOKUP($C27&amp;E$2,{MASTER!$Y$2:$Y992,MASTER!$F$2:$F992},2,0),"")</f>
        <v>REMOVED</v>
      </c>
      <c r="F27" s="119" t="str">
        <f t="array" ref="F27">IFERROR(VLOOKUP($C27&amp;F$2,{MASTER!$Y$2:$Y992,MASTER!$F$2:$F992},2,0),"")</f>
        <v/>
      </c>
      <c r="G27" s="119" t="str">
        <f t="array" ref="G27">IFERROR(VLOOKUP($C27&amp;G$2,{MASTER!$Y$2:$Y992,MASTER!$F$2:$F992},2,0),"")</f>
        <v/>
      </c>
      <c r="H27" s="119" t="str">
        <f t="array" ref="H27">IFERROR(VLOOKUP($C27&amp;H$2,{MASTER!$Y$2:$Y992,MASTER!$F$2:$F992},2,0),"")</f>
        <v/>
      </c>
      <c r="I27" s="119" t="str">
        <f t="array" ref="I27">IFERROR(VLOOKUP($C27&amp;I$2,{MASTER!$Y$2:$Y992,MASTER!$F$2:$F992},2,0),"")</f>
        <v/>
      </c>
      <c r="J27" s="119" t="str">
        <f t="array" ref="J27">IFERROR(VLOOKUP($C27&amp;J$2,{MASTER!$Y$2:$Y992,MASTER!$F$2:$F992},2,0),"")</f>
        <v/>
      </c>
      <c r="K27" s="119" t="str">
        <f t="array" ref="K27">IFERROR(VLOOKUP($C27&amp;K$2,{MASTER!$Y$2:$Y992,MASTER!$F$2:$F992},2,0),"")</f>
        <v/>
      </c>
      <c r="L27" s="119" t="str">
        <f t="array" ref="L27">IFERROR(VLOOKUP($C27&amp;L$2,{MASTER!$Y$2:$Y992,MASTER!$F$2:$F992},2,0),"")</f>
        <v/>
      </c>
      <c r="M27" s="119" t="str">
        <f t="array" ref="M27">IFERROR(VLOOKUP($C27&amp;M$2,{MASTER!$Y$2:$Y992,MASTER!$F$2:$F992},2,0),"")</f>
        <v>REMOVED</v>
      </c>
      <c r="N27" s="119" t="str">
        <f t="array" ref="N27">IFERROR(VLOOKUP($C27&amp;N$2,{MASTER!$Y$2:$Y992,MASTER!$F$2:$F992},2,0),"")</f>
        <v/>
      </c>
      <c r="O27" s="119" t="str">
        <f t="array" ref="O27">IFERROR(VLOOKUP($C27&amp;O$2,{MASTER!$Y$2:$Y992,MASTER!$F$2:$F992},2,0),"")</f>
        <v>REMOVED</v>
      </c>
      <c r="P27" s="119" t="str">
        <f t="array" ref="P27">IFERROR(VLOOKUP($C27&amp;P$2,{MASTER!$Y$2:$Y992,MASTER!$F$2:$F992},2,0),"")</f>
        <v>REMOVED</v>
      </c>
      <c r="Q27" s="119" t="str">
        <f t="array" ref="Q27">IFERROR(VLOOKUP($C27&amp;Q$2,{MASTER!$Y$2:$Y992,MASTER!$F$2:$F992},2,0),"")</f>
        <v>REMOVED</v>
      </c>
      <c r="R27" s="119" t="str">
        <f t="array" ref="R27">IFERROR(VLOOKUP($C27&amp;R$2,{MASTER!$Y$2:$Y992,MASTER!$F$2:$F992},2,0),"")</f>
        <v/>
      </c>
      <c r="S27" s="119" t="str">
        <f t="array" ref="S27">IFERROR(VLOOKUP($C27&amp;S$2,{MASTER!$Y$2:$Y992,MASTER!$F$2:$F992},2,0),"")</f>
        <v>REMOVED</v>
      </c>
      <c r="T27" s="119" t="str">
        <f t="array" ref="T27">IFERROR(VLOOKUP($C27&amp;T$2,{MASTER!$Y$2:$Y992,MASTER!$F$2:$F992},2,0),"")</f>
        <v>REMOVED</v>
      </c>
      <c r="U27" s="119" t="str">
        <f t="array" ref="U27">IFERROR(VLOOKUP($C27&amp;U$2,{MASTER!$Y$2:$Y992,MASTER!$F$2:$F992},2,0),"")</f>
        <v/>
      </c>
      <c r="V27" s="119" t="str">
        <f t="array" ref="V27">IFERROR(VLOOKUP($C27&amp;V$2,{MASTER!$Y$2:$Y992,MASTER!$F$2:$F992},2,0),"")</f>
        <v>REMOVED</v>
      </c>
      <c r="W27" s="119" t="str">
        <f t="array" ref="W27">IFERROR(VLOOKUP($C27&amp;W$2,{MASTER!$Y$2:$Y992,MASTER!$F$2:$F992},2,0),"")</f>
        <v>REMOVED</v>
      </c>
      <c r="X27" s="119" t="str">
        <f t="array" ref="X27">IFERROR(VLOOKUP($C27&amp;X$2,{MASTER!$Y$2:$Y992,MASTER!$F$2:$F992},2,0),"")</f>
        <v/>
      </c>
      <c r="Y27" s="119" t="str">
        <f t="array" ref="Y27">IFERROR(VLOOKUP($C27&amp;Y$2,{MASTER!$Y$2:$Y992,MASTER!$F$2:$F992},2,0),"")</f>
        <v/>
      </c>
      <c r="Z27" s="119" t="str">
        <f t="array" ref="Z27">IFERROR(VLOOKUP($C27&amp;Z$2,{MASTER!$Y$2:$Y992,MASTER!$F$2:$F992},2,0),"")</f>
        <v/>
      </c>
      <c r="AA27" s="119" t="str">
        <f t="array" ref="AA27">IFERROR(VLOOKUP($C27&amp;AA$2,{MASTER!$Y$2:$Y992,MASTER!$F$2:$F992},2,0),"")</f>
        <v>REMOVED</v>
      </c>
      <c r="AB27" s="119" t="str">
        <f t="array" ref="AB27">IFERROR(VLOOKUP($C27&amp;AB$2,{MASTER!$Y$2:$Y992,MASTER!$F$2:$F992},2,0),"")</f>
        <v>REMOVED</v>
      </c>
      <c r="AC27" s="119" t="str">
        <f t="array" ref="AC27">IFERROR(VLOOKUP($C27&amp;AC$2,{MASTER!$Y$2:$Y992,MASTER!$F$2:$F992},2,0),"")</f>
        <v>REMOVED</v>
      </c>
      <c r="AD27" s="119" t="str">
        <f t="array" ref="AD27">IFERROR(VLOOKUP($C27&amp;AD$2,{MASTER!$Y$2:$Y992,MASTER!$F$2:$F992},2,0),"")</f>
        <v/>
      </c>
      <c r="AE27" s="119" t="str">
        <f t="array" ref="AE27">IFERROR(VLOOKUP($C27&amp;AE$2,{MASTER!$Y$2:$Y992,MASTER!$F$2:$F992},2,0),"")</f>
        <v>REMOVED</v>
      </c>
      <c r="AF27" s="119" t="str">
        <f t="array" ref="AF27">IFERROR(VLOOKUP($C27&amp;AF$2,{MASTER!$Y$2:$Y992,MASTER!$F$2:$F992},2,0),"")</f>
        <v>REMOVED</v>
      </c>
      <c r="AG27" s="119" t="str">
        <f t="array" ref="AG27">IFERROR(VLOOKUP($C27&amp;AG$2,{MASTER!$Y$2:$Y992,MASTER!$F$2:$F992},2,0),"")</f>
        <v/>
      </c>
      <c r="AH27" s="119" t="str">
        <f t="array" ref="AH27">IFERROR(VLOOKUP($C27&amp;AH$2,{MASTER!$Y$2:$Y992,MASTER!$F$2:$F992},2,0),"")</f>
        <v>REMOVED</v>
      </c>
      <c r="AI27" s="119" t="str">
        <f t="array" ref="AI27">IFERROR(VLOOKUP($C27&amp;AI$2,{MASTER!$Y$2:$Y992,MASTER!$F$2:$F992},2,0),"")</f>
        <v>REMOVED</v>
      </c>
      <c r="AJ27" s="119" t="str">
        <f t="array" ref="AJ27">IFERROR(VLOOKUP($C27&amp;AJ$2,{MASTER!$Y$2:$Y992,MASTER!$F$2:$F992},2,0),"")</f>
        <v/>
      </c>
      <c r="AK27" s="119" t="str">
        <f t="array" ref="AK27">IFERROR(VLOOKUP($C27&amp;AK$2,{MASTER!$Y$2:$Y992,MASTER!$F$2:$F992},2,0),"")</f>
        <v>REMOVED</v>
      </c>
      <c r="AL27" s="119" t="str">
        <f t="array" ref="AL27">IFERROR(VLOOKUP($C27&amp;AL$2,{MASTER!$Y$2:$Y992,MASTER!$F$2:$F992},2,0),"")</f>
        <v/>
      </c>
      <c r="AM27" s="119" t="str">
        <f t="array" ref="AM27">IFERROR(VLOOKUP($C27&amp;AM$2,{MASTER!$Y$2:$Y992,MASTER!$F$2:$F992},2,0),"")</f>
        <v>REMOVED</v>
      </c>
      <c r="AN27" s="119" t="str">
        <f t="array" ref="AN27">IFERROR(VLOOKUP($C27&amp;AN$2,{MASTER!$Y$2:$Y992,MASTER!$F$2:$F992},2,0),"")</f>
        <v>REMOVED</v>
      </c>
      <c r="AO27" s="119" t="str">
        <f t="array" ref="AO27">IFERROR(VLOOKUP($C27&amp;AO$2,{MASTER!$Y$2:$Y992,MASTER!$F$2:$F992},2,0),"")</f>
        <v>REMOVED</v>
      </c>
      <c r="AP27" s="119" t="str">
        <f t="array" ref="AP27">IFERROR(VLOOKUP($C27&amp;AP$2,{MASTER!$Y$2:$Y992,MASTER!$F$2:$F992},2,0),"")</f>
        <v>REMOVED</v>
      </c>
      <c r="AQ27" s="119" t="str">
        <f t="array" ref="AQ27">IFERROR(VLOOKUP($C27&amp;AQ$2,{MASTER!$Y$2:$Y992,MASTER!$F$2:$F992},2,0),"")</f>
        <v>REMOVED</v>
      </c>
      <c r="AR27" s="119" t="str">
        <f t="array" ref="AR27">IFERROR(VLOOKUP($C27&amp;AR$2,{MASTER!$Y$2:$Y992,MASTER!$F$2:$F992},2,0),"")</f>
        <v>REMOVED</v>
      </c>
      <c r="AS27" s="119" t="str">
        <f t="array" ref="AS27">IFERROR(VLOOKUP($C27&amp;AS$2,{MASTER!$Y$2:$Y992,MASTER!$F$2:$F992},2,0),"")</f>
        <v>REMOVED</v>
      </c>
      <c r="AT27" s="119" t="str">
        <f t="array" ref="AT27">IFERROR(VLOOKUP($C27&amp;AT$2,{MASTER!$Y$2:$Y992,MASTER!$F$2:$F992},2,0),"")</f>
        <v/>
      </c>
      <c r="AU27" s="119" t="str">
        <f t="array" ref="AU27">IFERROR(VLOOKUP($C27&amp;AU$2,{MASTER!$Y$2:$Y992,MASTER!$F$2:$F992},2,0),"")</f>
        <v>REMOVED</v>
      </c>
      <c r="AV27" s="119" t="str">
        <f t="array" ref="AV27">IFERROR(VLOOKUP($C27&amp;AV$2,{MASTER!$Y$2:$Y992,MASTER!$F$2:$F992},2,0),"")</f>
        <v>REMOVED</v>
      </c>
      <c r="AW27" s="119" t="str">
        <f t="array" ref="AW27">IFERROR(VLOOKUP($C27&amp;AW$2,{MASTER!$Y$2:$Y992,MASTER!$F$2:$F992},2,0),"")</f>
        <v/>
      </c>
      <c r="AX27" s="119" t="str">
        <f t="array" ref="AX27">IFERROR(VLOOKUP($C27&amp;AX$2,{MASTER!$Y$2:$Y992,MASTER!$F$2:$F992},2,0),"")</f>
        <v>REMOVED</v>
      </c>
      <c r="AY27" s="119" t="str">
        <f t="array" ref="AY27">IFERROR(VLOOKUP($C27&amp;AY$2,{MASTER!$Y$2:$Y992,MASTER!$F$2:$F992},2,0),"")</f>
        <v/>
      </c>
      <c r="AZ27" s="119" t="str">
        <f t="array" ref="AZ27">IFERROR(VLOOKUP($C27&amp;AZ$2,{MASTER!$Y$2:$Y992,MASTER!$F$2:$F992},2,0),"")</f>
        <v/>
      </c>
      <c r="BA27" s="119" t="str">
        <f t="array" ref="BA27">IFERROR(VLOOKUP($C27&amp;BA$2,{MASTER!$Y$2:$Y992,MASTER!$F$2:$F992},2,0),"")</f>
        <v/>
      </c>
      <c r="BB27" s="119" t="str">
        <f t="array" ref="BB27">IFERROR(VLOOKUP($C27&amp;BB$2,{MASTER!$Y$2:$Y992,MASTER!$F$2:$F992},2,0),"")</f>
        <v/>
      </c>
    </row>
    <row r="28">
      <c r="A28" s="116">
        <f t="shared" si="1"/>
        <v>32</v>
      </c>
      <c r="B28" s="145"/>
      <c r="C28" s="285" t="s">
        <v>1273</v>
      </c>
      <c r="D28" s="119">
        <f t="array" ref="D28">IFERROR(VLOOKUP($C28&amp;D$2,{MASTER!$Y$2:$Y992,MASTER!$F$2:$F992},2,0),"")</f>
        <v>2890</v>
      </c>
      <c r="E28" s="119">
        <f t="array" ref="E28">IFERROR(VLOOKUP($C28&amp;E$2,{MASTER!$Y$2:$Y992,MASTER!$F$2:$F992},2,0),"")</f>
        <v>5390</v>
      </c>
      <c r="F28" s="119" t="str">
        <f t="array" ref="F28">IFERROR(VLOOKUP($C28&amp;F$2,{MASTER!$Y$2:$Y992,MASTER!$F$2:$F992},2,0),"")</f>
        <v/>
      </c>
      <c r="G28" s="119">
        <f t="array" ref="G28">IFERROR(VLOOKUP($C28&amp;G$2,{MASTER!$Y$2:$Y992,MASTER!$F$2:$F992},2,0),"")</f>
        <v>3340</v>
      </c>
      <c r="H28" s="119" t="str">
        <f t="array" ref="H28">IFERROR(VLOOKUP($C28&amp;H$2,{MASTER!$Y$2:$Y992,MASTER!$F$2:$F992},2,0),"")</f>
        <v/>
      </c>
      <c r="I28" s="119">
        <f t="array" ref="I28">IFERROR(VLOOKUP($C28&amp;I$2,{MASTER!$Y$2:$Y992,MASTER!$F$2:$F992},2,0),"")</f>
        <v>2190</v>
      </c>
      <c r="J28" s="119" t="str">
        <f t="array" ref="J28">IFERROR(VLOOKUP($C28&amp;J$2,{MASTER!$Y$2:$Y992,MASTER!$F$2:$F992},2,0),"")</f>
        <v/>
      </c>
      <c r="K28" s="119" t="str">
        <f t="array" ref="K28">IFERROR(VLOOKUP($C28&amp;K$2,{MASTER!$Y$2:$Y992,MASTER!$F$2:$F992},2,0),"")</f>
        <v/>
      </c>
      <c r="L28" s="119" t="str">
        <f t="array" ref="L28">IFERROR(VLOOKUP($C28&amp;L$2,{MASTER!$Y$2:$Y992,MASTER!$F$2:$F992},2,0),"")</f>
        <v/>
      </c>
      <c r="M28" s="119">
        <f t="array" ref="M28">IFERROR(VLOOKUP($C28&amp;M$2,{MASTER!$Y$2:$Y992,MASTER!$F$2:$F992},2,0),"")</f>
        <v>2510</v>
      </c>
      <c r="N28" s="119" t="str">
        <f t="array" ref="N28">IFERROR(VLOOKUP($C28&amp;N$2,{MASTER!$Y$2:$Y992,MASTER!$F$2:$F992},2,0),"")</f>
        <v/>
      </c>
      <c r="O28" s="119">
        <f t="array" ref="O28">IFERROR(VLOOKUP($C28&amp;O$2,{MASTER!$Y$2:$Y992,MASTER!$F$2:$F992},2,0),"")</f>
        <v>1920</v>
      </c>
      <c r="P28" s="119">
        <f t="array" ref="P28">IFERROR(VLOOKUP($C28&amp;P$2,{MASTER!$Y$2:$Y992,MASTER!$F$2:$F992},2,0),"")</f>
        <v>2880</v>
      </c>
      <c r="Q28" s="119" t="str">
        <f t="array" ref="Q28">IFERROR(VLOOKUP($C28&amp;Q$2,{MASTER!$Y$2:$Y992,MASTER!$F$2:$F992},2,0),"")</f>
        <v/>
      </c>
      <c r="R28" s="119">
        <f t="array" ref="R28">IFERROR(VLOOKUP($C28&amp;R$2,{MASTER!$Y$2:$Y992,MASTER!$F$2:$F992},2,0),"")</f>
        <v>3130</v>
      </c>
      <c r="S28" s="119">
        <f t="array" ref="S28">IFERROR(VLOOKUP($C28&amp;S$2,{MASTER!$Y$2:$Y992,MASTER!$F$2:$F992},2,0),"")</f>
        <v>3560</v>
      </c>
      <c r="T28" s="119">
        <f t="array" ref="T28">IFERROR(VLOOKUP($C28&amp;T$2,{MASTER!$Y$2:$Y992,MASTER!$F$2:$F992},2,0),"")</f>
        <v>3170</v>
      </c>
      <c r="U28" s="119" t="str">
        <f t="array" ref="U28">IFERROR(VLOOKUP($C28&amp;U$2,{MASTER!$Y$2:$Y992,MASTER!$F$2:$F992},2,0),"")</f>
        <v/>
      </c>
      <c r="V28" s="119">
        <f t="array" ref="V28">IFERROR(VLOOKUP($C28&amp;V$2,{MASTER!$Y$2:$Y992,MASTER!$F$2:$F992},2,0),"")</f>
        <v>2160</v>
      </c>
      <c r="W28" s="119">
        <f t="array" ref="W28">IFERROR(VLOOKUP($C28&amp;W$2,{MASTER!$Y$2:$Y992,MASTER!$F$2:$F992},2,0),"")</f>
        <v>2220</v>
      </c>
      <c r="X28" s="119" t="str">
        <f t="array" ref="X28">IFERROR(VLOOKUP($C28&amp;X$2,{MASTER!$Y$2:$Y992,MASTER!$F$2:$F992},2,0),"")</f>
        <v/>
      </c>
      <c r="Y28" s="119" t="str">
        <f t="array" ref="Y28">IFERROR(VLOOKUP($C28&amp;Y$2,{MASTER!$Y$2:$Y992,MASTER!$F$2:$F992},2,0),"")</f>
        <v/>
      </c>
      <c r="Z28" s="119" t="str">
        <f t="array" ref="Z28">IFERROR(VLOOKUP($C28&amp;Z$2,{MASTER!$Y$2:$Y992,MASTER!$F$2:$F992},2,0),"")</f>
        <v/>
      </c>
      <c r="AA28" s="119">
        <f t="array" ref="AA28">IFERROR(VLOOKUP($C28&amp;AA$2,{MASTER!$Y$2:$Y992,MASTER!$F$2:$F992},2,0),"")</f>
        <v>5590</v>
      </c>
      <c r="AB28" s="119">
        <f t="array" ref="AB28">IFERROR(VLOOKUP($C28&amp;AB$2,{MASTER!$Y$2:$Y992,MASTER!$F$2:$F992},2,0),"")</f>
        <v>7980</v>
      </c>
      <c r="AC28" s="119">
        <f t="array" ref="AC28">IFERROR(VLOOKUP($C28&amp;AC$2,{MASTER!$Y$2:$Y992,MASTER!$F$2:$F992},2,0),"")</f>
        <v>7140</v>
      </c>
      <c r="AD28" s="119" t="str">
        <f t="array" ref="AD28">IFERROR(VLOOKUP($C28&amp;AD$2,{MASTER!$Y$2:$Y992,MASTER!$F$2:$F992},2,0),"")</f>
        <v/>
      </c>
      <c r="AE28" s="119">
        <f t="array" ref="AE28">IFERROR(VLOOKUP($C28&amp;AE$2,{MASTER!$Y$2:$Y992,MASTER!$F$2:$F992},2,0),"")</f>
        <v>3990</v>
      </c>
      <c r="AF28" s="119">
        <f t="array" ref="AF28">IFERROR(VLOOKUP($C28&amp;AF$2,{MASTER!$Y$2:$Y992,MASTER!$F$2:$F992},2,0),"")</f>
        <v>3150</v>
      </c>
      <c r="AG28" s="119" t="str">
        <f t="array" ref="AG28">IFERROR(VLOOKUP($C28&amp;AG$2,{MASTER!$Y$2:$Y992,MASTER!$F$2:$F992},2,0),"")</f>
        <v/>
      </c>
      <c r="AH28" s="119">
        <f t="array" ref="AH28">IFERROR(VLOOKUP($C28&amp;AH$2,{MASTER!$Y$2:$Y992,MASTER!$F$2:$F992},2,0),"")</f>
        <v>6980</v>
      </c>
      <c r="AI28" s="119" t="str">
        <f t="array" ref="AI28">IFERROR(VLOOKUP($C28&amp;AI$2,{MASTER!$Y$2:$Y992,MASTER!$F$2:$F992},2,0),"")</f>
        <v/>
      </c>
      <c r="AJ28" s="119" t="str">
        <f t="array" ref="AJ28">IFERROR(VLOOKUP($C28&amp;AJ$2,{MASTER!$Y$2:$Y992,MASTER!$F$2:$F992},2,0),"")</f>
        <v/>
      </c>
      <c r="AK28" s="119">
        <f t="array" ref="AK28">IFERROR(VLOOKUP($C28&amp;AK$2,{MASTER!$Y$2:$Y992,MASTER!$F$2:$F992},2,0),"")</f>
        <v>7890</v>
      </c>
      <c r="AL28" s="119" t="str">
        <f t="array" ref="AL28">IFERROR(VLOOKUP($C28&amp;AL$2,{MASTER!$Y$2:$Y992,MASTER!$F$2:$F992},2,0),"")</f>
        <v/>
      </c>
      <c r="AM28" s="119">
        <f t="array" ref="AM28">IFERROR(VLOOKUP($C28&amp;AM$2,{MASTER!$Y$2:$Y992,MASTER!$F$2:$F992},2,0),"")</f>
        <v>9490</v>
      </c>
      <c r="AN28" s="119">
        <f t="array" ref="AN28">IFERROR(VLOOKUP($C28&amp;AN$2,{MASTER!$Y$2:$Y992,MASTER!$F$2:$F992},2,0),"")</f>
        <v>7260</v>
      </c>
      <c r="AO28" s="119">
        <f t="array" ref="AO28">IFERROR(VLOOKUP($C28&amp;AO$2,{MASTER!$Y$2:$Y992,MASTER!$F$2:$F992},2,0),"")</f>
        <v>9490</v>
      </c>
      <c r="AP28" s="119">
        <f t="array" ref="AP28">IFERROR(VLOOKUP($C28&amp;AP$2,{MASTER!$Y$2:$Y992,MASTER!$F$2:$F992},2,0),"")</f>
        <v>11240</v>
      </c>
      <c r="AQ28" s="119">
        <f t="array" ref="AQ28">IFERROR(VLOOKUP($C28&amp;AQ$2,{MASTER!$Y$2:$Y992,MASTER!$F$2:$F992},2,0),"")</f>
        <v>10790</v>
      </c>
      <c r="AR28" s="119">
        <f t="array" ref="AR28">IFERROR(VLOOKUP($C28&amp;AR$2,{MASTER!$Y$2:$Y992,MASTER!$F$2:$F992},2,0),"")</f>
        <v>6800</v>
      </c>
      <c r="AS28" s="119">
        <f t="array" ref="AS28">IFERROR(VLOOKUP($C28&amp;AS$2,{MASTER!$Y$2:$Y992,MASTER!$F$2:$F992},2,0),"")</f>
        <v>7710</v>
      </c>
      <c r="AT28" s="119" t="str">
        <f t="array" ref="AT28">IFERROR(VLOOKUP($C28&amp;AT$2,{MASTER!$Y$2:$Y992,MASTER!$F$2:$F992},2,0),"")</f>
        <v/>
      </c>
      <c r="AU28" s="119">
        <f t="array" ref="AU28">IFERROR(VLOOKUP($C28&amp;AU$2,{MASTER!$Y$2:$Y992,MASTER!$F$2:$F992},2,0),"")</f>
        <v>7710</v>
      </c>
      <c r="AV28" s="119">
        <f t="array" ref="AV28">IFERROR(VLOOKUP($C28&amp;AV$2,{MASTER!$Y$2:$Y992,MASTER!$F$2:$F992},2,0),"")</f>
        <v>7710</v>
      </c>
      <c r="AW28" s="119" t="str">
        <f t="array" ref="AW28">IFERROR(VLOOKUP($C28&amp;AW$2,{MASTER!$Y$2:$Y992,MASTER!$F$2:$F992},2,0),"")</f>
        <v/>
      </c>
      <c r="AX28" s="119">
        <f t="array" ref="AX28">IFERROR(VLOOKUP($C28&amp;AX$2,{MASTER!$Y$2:$Y992,MASTER!$F$2:$F992},2,0),"")</f>
        <v>7710</v>
      </c>
      <c r="AY28" s="119" t="str">
        <f t="array" ref="AY28">IFERROR(VLOOKUP($C28&amp;AY$2,{MASTER!$Y$2:$Y992,MASTER!$F$2:$F992},2,0),"")</f>
        <v/>
      </c>
      <c r="AZ28" s="119">
        <f t="array" ref="AZ28">IFERROR(VLOOKUP($C28&amp;AZ$2,{MASTER!$Y$2:$Y992,MASTER!$F$2:$F992},2,0),"")</f>
        <v>1650</v>
      </c>
      <c r="BA28" s="119">
        <f t="array" ref="BA28">IFERROR(VLOOKUP($C28&amp;BA$2,{MASTER!$Y$2:$Y992,MASTER!$F$2:$F992},2,0),"")</f>
        <v>2340</v>
      </c>
      <c r="BB28" s="119">
        <f t="array" ref="BB28">IFERROR(VLOOKUP($C28&amp;BB$2,{MASTER!$Y$2:$Y992,MASTER!$F$2:$F992},2,0),"")</f>
        <v>3650</v>
      </c>
    </row>
    <row r="29">
      <c r="A29" s="116">
        <f t="shared" si="1"/>
        <v>36</v>
      </c>
      <c r="B29" s="308">
        <v>9000.0</v>
      </c>
      <c r="C29" s="309" t="s">
        <v>1275</v>
      </c>
      <c r="D29" s="119">
        <f t="array" ref="D29">IFERROR(VLOOKUP($C29&amp;D$2,{MASTER!$Y$2:$Y992,MASTER!$F$2:$F992},2,0),"")</f>
        <v>2770</v>
      </c>
      <c r="E29" s="119" t="str">
        <f t="array" ref="E29">IFERROR(VLOOKUP($C29&amp;E$2,{MASTER!$Y$2:$Y992,MASTER!$F$2:$F992},2,0),"")</f>
        <v/>
      </c>
      <c r="F29" s="119" t="str">
        <f t="array" ref="F29">IFERROR(VLOOKUP($C29&amp;F$2,{MASTER!$Y$2:$Y992,MASTER!$F$2:$F992},2,0),"")</f>
        <v/>
      </c>
      <c r="G29" s="119" t="str">
        <f t="array" ref="G29">IFERROR(VLOOKUP($C29&amp;G$2,{MASTER!$Y$2:$Y992,MASTER!$F$2:$F992},2,0),"")</f>
        <v/>
      </c>
      <c r="H29" s="119" t="str">
        <f t="array" ref="H29">IFERROR(VLOOKUP($C29&amp;H$2,{MASTER!$Y$2:$Y992,MASTER!$F$2:$F992},2,0),"")</f>
        <v/>
      </c>
      <c r="I29" s="119">
        <f t="array" ref="I29">IFERROR(VLOOKUP($C29&amp;I$2,{MASTER!$Y$2:$Y992,MASTER!$F$2:$F992},2,0),"")</f>
        <v>2320</v>
      </c>
      <c r="J29" s="119" t="str">
        <f t="array" ref="J29">IFERROR(VLOOKUP($C29&amp;J$2,{MASTER!$Y$2:$Y992,MASTER!$F$2:$F992},2,0),"")</f>
        <v/>
      </c>
      <c r="K29" s="119" t="str">
        <f t="array" ref="K29">IFERROR(VLOOKUP($C29&amp;K$2,{MASTER!$Y$2:$Y992,MASTER!$F$2:$F992},2,0),"")</f>
        <v/>
      </c>
      <c r="L29" s="119" t="str">
        <f t="array" ref="L29">IFERROR(VLOOKUP($C29&amp;L$2,{MASTER!$Y$2:$Y992,MASTER!$F$2:$F992},2,0),"")</f>
        <v/>
      </c>
      <c r="M29" s="119">
        <f t="array" ref="M29">IFERROR(VLOOKUP($C29&amp;M$2,{MASTER!$Y$2:$Y992,MASTER!$F$2:$F992},2,0),"")</f>
        <v>2650</v>
      </c>
      <c r="N29" s="119" t="str">
        <f t="array" ref="N29">IFERROR(VLOOKUP($C29&amp;N$2,{MASTER!$Y$2:$Y992,MASTER!$F$2:$F992},2,0),"")</f>
        <v/>
      </c>
      <c r="O29" s="119">
        <f t="array" ref="O29">IFERROR(VLOOKUP($C29&amp;O$2,{MASTER!$Y$2:$Y992,MASTER!$F$2:$F992},2,0),"")</f>
        <v>1980</v>
      </c>
      <c r="P29" s="119">
        <f t="array" ref="P29">IFERROR(VLOOKUP($C29&amp;P$2,{MASTER!$Y$2:$Y992,MASTER!$F$2:$F992},2,0),"")</f>
        <v>3080</v>
      </c>
      <c r="Q29" s="119">
        <f t="array" ref="Q29">IFERROR(VLOOKUP($C29&amp;Q$2,{MASTER!$Y$2:$Y992,MASTER!$F$2:$F992},2,0),"")</f>
        <v>3540</v>
      </c>
      <c r="R29" s="119">
        <f t="array" ref="R29">IFERROR(VLOOKUP($C29&amp;R$2,{MASTER!$Y$2:$Y992,MASTER!$F$2:$F992},2,0),"")</f>
        <v>2720</v>
      </c>
      <c r="S29" s="119">
        <f t="array" ref="S29">IFERROR(VLOOKUP($C29&amp;S$2,{MASTER!$Y$2:$Y992,MASTER!$F$2:$F992},2,0),"")</f>
        <v>3780</v>
      </c>
      <c r="T29" s="119">
        <f t="array" ref="T29">IFERROR(VLOOKUP($C29&amp;T$2,{MASTER!$Y$2:$Y992,MASTER!$F$2:$F992},2,0),"")</f>
        <v>3380</v>
      </c>
      <c r="U29" s="119" t="str">
        <f t="array" ref="U29">IFERROR(VLOOKUP($C29&amp;U$2,{MASTER!$Y$2:$Y992,MASTER!$F$2:$F992},2,0),"")</f>
        <v/>
      </c>
      <c r="V29" s="119">
        <f t="array" ref="V29">IFERROR(VLOOKUP($C29&amp;V$2,{MASTER!$Y$2:$Y992,MASTER!$F$2:$F992},2,0),"")</f>
        <v>2130</v>
      </c>
      <c r="W29" s="119">
        <f t="array" ref="W29">IFERROR(VLOOKUP($C29&amp;W$2,{MASTER!$Y$2:$Y992,MASTER!$F$2:$F992},2,0),"")</f>
        <v>2190</v>
      </c>
      <c r="X29" s="119" t="str">
        <f t="array" ref="X29">IFERROR(VLOOKUP($C29&amp;X$2,{MASTER!$Y$2:$Y992,MASTER!$F$2:$F992},2,0),"")</f>
        <v/>
      </c>
      <c r="Y29" s="119" t="str">
        <f t="array" ref="Y29">IFERROR(VLOOKUP($C29&amp;Y$2,{MASTER!$Y$2:$Y992,MASTER!$F$2:$F992},2,0),"")</f>
        <v/>
      </c>
      <c r="Z29" s="119">
        <f t="array" ref="Z29">IFERROR(VLOOKUP($C29&amp;Z$2,{MASTER!$Y$2:$Y992,MASTER!$F$2:$F992},2,0),"")</f>
        <v>6350</v>
      </c>
      <c r="AA29" s="119">
        <f t="array" ref="AA29">IFERROR(VLOOKUP($C29&amp;AA$2,{MASTER!$Y$2:$Y992,MASTER!$F$2:$F992},2,0),"")</f>
        <v>5520</v>
      </c>
      <c r="AB29" s="119">
        <f t="array" ref="AB29">IFERROR(VLOOKUP($C29&amp;AB$2,{MASTER!$Y$2:$Y992,MASTER!$F$2:$F992},2,0),"")</f>
        <v>8220</v>
      </c>
      <c r="AC29" s="119">
        <f t="array" ref="AC29">IFERROR(VLOOKUP($C29&amp;AC$2,{MASTER!$Y$2:$Y992,MASTER!$F$2:$F992},2,0),"")</f>
        <v>7200</v>
      </c>
      <c r="AD29" s="119" t="str">
        <f t="array" ref="AD29">IFERROR(VLOOKUP($C29&amp;AD$2,{MASTER!$Y$2:$Y992,MASTER!$F$2:$F992},2,0),"")</f>
        <v/>
      </c>
      <c r="AE29" s="119">
        <f t="array" ref="AE29">IFERROR(VLOOKUP($C29&amp;AE$2,{MASTER!$Y$2:$Y992,MASTER!$F$2:$F992},2,0),"")</f>
        <v>3990</v>
      </c>
      <c r="AF29" s="119">
        <f t="array" ref="AF29">IFERROR(VLOOKUP($C29&amp;AF$2,{MASTER!$Y$2:$Y992,MASTER!$F$2:$F992},2,0),"")</f>
        <v>3210</v>
      </c>
      <c r="AG29" s="119" t="str">
        <f t="array" ref="AG29">IFERROR(VLOOKUP($C29&amp;AG$2,{MASTER!$Y$2:$Y992,MASTER!$F$2:$F992},2,0),"")</f>
        <v/>
      </c>
      <c r="AH29" s="119">
        <f t="array" ref="AH29">IFERROR(VLOOKUP($C29&amp;AH$2,{MASTER!$Y$2:$Y992,MASTER!$F$2:$F992},2,0),"")</f>
        <v>6980</v>
      </c>
      <c r="AI29" s="119" t="str">
        <f t="array" ref="AI29">IFERROR(VLOOKUP($C29&amp;AI$2,{MASTER!$Y$2:$Y992,MASTER!$F$2:$F992},2,0),"")</f>
        <v/>
      </c>
      <c r="AJ29" s="119">
        <f t="array" ref="AJ29">IFERROR(VLOOKUP($C29&amp;AJ$2,{MASTER!$Y$2:$Y992,MASTER!$F$2:$F992},2,0),"")</f>
        <v>6480</v>
      </c>
      <c r="AK29" s="119" t="str">
        <f t="array" ref="AK29">IFERROR(VLOOKUP($C29&amp;AK$2,{MASTER!$Y$2:$Y992,MASTER!$F$2:$F992},2,0),"")</f>
        <v/>
      </c>
      <c r="AL29" s="119">
        <f t="array" ref="AL29">IFERROR(VLOOKUP($C29&amp;AL$2,{MASTER!$Y$2:$Y992,MASTER!$F$2:$F992},2,0),"")</f>
        <v>7440</v>
      </c>
      <c r="AM29" s="119">
        <f t="array" ref="AM29">IFERROR(VLOOKUP($C29&amp;AM$2,{MASTER!$Y$2:$Y992,MASTER!$F$2:$F992},2,0),"")</f>
        <v>9840</v>
      </c>
      <c r="AN29" s="119">
        <f t="array" ref="AN29">IFERROR(VLOOKUP($C29&amp;AN$2,{MASTER!$Y$2:$Y992,MASTER!$F$2:$F992},2,0),"")</f>
        <v>7440</v>
      </c>
      <c r="AO29" s="119">
        <f t="array" ref="AO29">IFERROR(VLOOKUP($C29&amp;AO$2,{MASTER!$Y$2:$Y992,MASTER!$F$2:$F992},2,0),"")</f>
        <v>9840</v>
      </c>
      <c r="AP29" s="119">
        <f t="array" ref="AP29">IFERROR(VLOOKUP($C29&amp;AP$2,{MASTER!$Y$2:$Y992,MASTER!$F$2:$F992},2,0),"")</f>
        <v>11240</v>
      </c>
      <c r="AQ29" s="119">
        <f t="array" ref="AQ29">IFERROR(VLOOKUP($C29&amp;AQ$2,{MASTER!$Y$2:$Y992,MASTER!$F$2:$F992},2,0),"")</f>
        <v>10980</v>
      </c>
      <c r="AR29" s="119">
        <f t="array" ref="AR29">IFERROR(VLOOKUP($C29&amp;AR$2,{MASTER!$Y$2:$Y992,MASTER!$F$2:$F992},2,0),"")</f>
        <v>6860</v>
      </c>
      <c r="AS29" s="119">
        <f t="array" ref="AS29">IFERROR(VLOOKUP($C29&amp;AS$2,{MASTER!$Y$2:$Y992,MASTER!$F$2:$F992},2,0),"")</f>
        <v>7770</v>
      </c>
      <c r="AT29" s="119">
        <f t="array" ref="AT29">IFERROR(VLOOKUP($C29&amp;AT$2,{MASTER!$Y$2:$Y992,MASTER!$F$2:$F992},2,0),"")</f>
        <v>7770</v>
      </c>
      <c r="AU29" s="119">
        <f t="array" ref="AU29">IFERROR(VLOOKUP($C29&amp;AU$2,{MASTER!$Y$2:$Y992,MASTER!$F$2:$F992},2,0),"")</f>
        <v>7770</v>
      </c>
      <c r="AV29" s="119">
        <f t="array" ref="AV29">IFERROR(VLOOKUP($C29&amp;AV$2,{MASTER!$Y$2:$Y992,MASTER!$F$2:$F992},2,0),"")</f>
        <v>7770</v>
      </c>
      <c r="AW29" s="119">
        <f t="array" ref="AW29">IFERROR(VLOOKUP($C29&amp;AW$2,{MASTER!$Y$2:$Y992,MASTER!$F$2:$F992},2,0),"")</f>
        <v>7770</v>
      </c>
      <c r="AX29" s="119">
        <f t="array" ref="AX29">IFERROR(VLOOKUP($C29&amp;AX$2,{MASTER!$Y$2:$Y992,MASTER!$F$2:$F992},2,0),"")</f>
        <v>7770</v>
      </c>
      <c r="AY29" s="119">
        <f t="array" ref="AY29">IFERROR(VLOOKUP($C29&amp;AY$2,{MASTER!$Y$2:$Y992,MASTER!$F$2:$F992},2,0),"")</f>
        <v>10320</v>
      </c>
      <c r="AZ29" s="119">
        <f t="array" ref="AZ29">IFERROR(VLOOKUP($C29&amp;AZ$2,{MASTER!$Y$2:$Y992,MASTER!$F$2:$F992},2,0),"")</f>
        <v>2380</v>
      </c>
      <c r="BA29" s="119">
        <f t="array" ref="BA29">IFERROR(VLOOKUP($C29&amp;BA$2,{MASTER!$Y$2:$Y992,MASTER!$F$2:$F992},2,0),"")</f>
        <v>3090</v>
      </c>
      <c r="BB29" s="119">
        <f t="array" ref="BB29">IFERROR(VLOOKUP($C29&amp;BB$2,{MASTER!$Y$2:$Y992,MASTER!$F$2:$F992},2,0),"")</f>
        <v>3490</v>
      </c>
    </row>
    <row r="30">
      <c r="A30" s="2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</row>
    <row r="31">
      <c r="A31" s="28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</row>
    <row r="32">
      <c r="A32" s="28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</row>
    <row r="33">
      <c r="A33" s="28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</row>
    <row r="34">
      <c r="A34" s="2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</row>
    <row r="35">
      <c r="A35" s="28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</row>
    <row r="36">
      <c r="A36" s="28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</row>
    <row r="37">
      <c r="A37" s="28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</row>
    <row r="38">
      <c r="A38" s="28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</row>
    <row r="39">
      <c r="A39" s="28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</row>
    <row r="40">
      <c r="A40" s="28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</row>
    <row r="41">
      <c r="A41" s="28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</row>
    <row r="42">
      <c r="A42" s="28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</row>
    <row r="43">
      <c r="A43" s="28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</row>
    <row r="44">
      <c r="A44" s="28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</row>
    <row r="45">
      <c r="A45" s="28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</row>
    <row r="46">
      <c r="A46" s="28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</row>
    <row r="47">
      <c r="A47" s="28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</row>
    <row r="48">
      <c r="A48" s="28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</row>
    <row r="49">
      <c r="A49" s="28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</row>
    <row r="50">
      <c r="A50" s="28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</row>
    <row r="51">
      <c r="A51" s="28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</row>
    <row r="52">
      <c r="A52" s="28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</row>
    <row r="53">
      <c r="A53" s="28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</row>
    <row r="54">
      <c r="A54" s="28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</row>
    <row r="55">
      <c r="A55" s="28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</row>
    <row r="56">
      <c r="A56" s="28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</row>
    <row r="57">
      <c r="A57" s="28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</row>
    <row r="58">
      <c r="A58" s="28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</row>
    <row r="59">
      <c r="A59" s="28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</row>
    <row r="60">
      <c r="A60" s="2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</row>
    <row r="61">
      <c r="A61" s="28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</row>
    <row r="62">
      <c r="A62" s="28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</row>
    <row r="63">
      <c r="A63" s="28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</row>
    <row r="64">
      <c r="A64" s="28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</row>
    <row r="65">
      <c r="A65" s="28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</row>
    <row r="66">
      <c r="A66" s="28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</row>
    <row r="67">
      <c r="A67" s="28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</row>
    <row r="68">
      <c r="A68" s="28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</row>
    <row r="69">
      <c r="A69" s="28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</row>
    <row r="70">
      <c r="A70" s="28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</row>
    <row r="71">
      <c r="A71" s="28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</row>
    <row r="72">
      <c r="A72" s="28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</row>
    <row r="73">
      <c r="A73" s="28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</row>
    <row r="74">
      <c r="A74" s="28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</row>
    <row r="75">
      <c r="A75" s="28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</row>
    <row r="76">
      <c r="A76" s="28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</row>
    <row r="77">
      <c r="A77" s="28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</row>
    <row r="78">
      <c r="A78" s="28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</row>
    <row r="79">
      <c r="A79" s="28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</row>
    <row r="80">
      <c r="A80" s="28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/>
      <c r="BB80" s="139"/>
    </row>
    <row r="81">
      <c r="A81" s="28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139"/>
    </row>
    <row r="82">
      <c r="A82" s="28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39"/>
      <c r="AM82" s="139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</row>
    <row r="83">
      <c r="A83" s="28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  <c r="AN83" s="139"/>
      <c r="AO83" s="139"/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</row>
    <row r="84">
      <c r="A84" s="28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/>
      <c r="AL84" s="139"/>
      <c r="AM84" s="139"/>
      <c r="AN84" s="139"/>
      <c r="AO84" s="139"/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/>
      <c r="BB84" s="139"/>
    </row>
    <row r="85">
      <c r="A85" s="28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39"/>
      <c r="AI85" s="139"/>
      <c r="AJ85" s="139"/>
      <c r="AK85" s="139"/>
      <c r="AL85" s="139"/>
      <c r="AM85" s="139"/>
      <c r="AN85" s="139"/>
      <c r="AO85" s="139"/>
      <c r="AP85" s="139"/>
      <c r="AQ85" s="139"/>
      <c r="AR85" s="139"/>
      <c r="AS85" s="139"/>
      <c r="AT85" s="139"/>
      <c r="AU85" s="139"/>
      <c r="AV85" s="139"/>
      <c r="AW85" s="139"/>
      <c r="AX85" s="139"/>
      <c r="AY85" s="139"/>
      <c r="AZ85" s="139"/>
      <c r="BA85" s="139"/>
      <c r="BB85" s="139"/>
    </row>
    <row r="86">
      <c r="A86" s="28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</row>
    <row r="87">
      <c r="A87" s="28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  <c r="AK87" s="139"/>
      <c r="AL87" s="139"/>
      <c r="AM87" s="139"/>
      <c r="AN87" s="139"/>
      <c r="AO87" s="139"/>
      <c r="AP87" s="139"/>
      <c r="AQ87" s="139"/>
      <c r="AR87" s="139"/>
      <c r="AS87" s="139"/>
      <c r="AT87" s="139"/>
      <c r="AU87" s="139"/>
      <c r="AV87" s="139"/>
      <c r="AW87" s="139"/>
      <c r="AX87" s="139"/>
      <c r="AY87" s="139"/>
      <c r="AZ87" s="139"/>
      <c r="BA87" s="139"/>
      <c r="BB87" s="139"/>
    </row>
    <row r="88">
      <c r="A88" s="28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</row>
    <row r="89">
      <c r="A89" s="28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  <c r="AK89" s="139"/>
      <c r="AL89" s="139"/>
      <c r="AM89" s="139"/>
      <c r="AN89" s="139"/>
      <c r="AO89" s="139"/>
      <c r="AP89" s="139"/>
      <c r="AQ89" s="139"/>
      <c r="AR89" s="139"/>
      <c r="AS89" s="139"/>
      <c r="AT89" s="139"/>
      <c r="AU89" s="139"/>
      <c r="AV89" s="139"/>
      <c r="AW89" s="139"/>
      <c r="AX89" s="139"/>
      <c r="AY89" s="139"/>
      <c r="AZ89" s="139"/>
      <c r="BA89" s="139"/>
      <c r="BB89" s="139"/>
    </row>
    <row r="90">
      <c r="A90" s="28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39"/>
      <c r="AI90" s="139"/>
      <c r="AJ90" s="139"/>
      <c r="AK90" s="139"/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</row>
    <row r="91">
      <c r="A91" s="28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  <c r="AF91" s="139"/>
      <c r="AG91" s="139"/>
      <c r="AH91" s="139"/>
      <c r="AI91" s="139"/>
      <c r="AJ91" s="139"/>
      <c r="AK91" s="139"/>
      <c r="AL91" s="139"/>
      <c r="AM91" s="139"/>
      <c r="AN91" s="139"/>
      <c r="AO91" s="139"/>
      <c r="AP91" s="139"/>
      <c r="AQ91" s="139"/>
      <c r="AR91" s="139"/>
      <c r="AS91" s="139"/>
      <c r="AT91" s="139"/>
      <c r="AU91" s="139"/>
      <c r="AV91" s="139"/>
      <c r="AW91" s="139"/>
      <c r="AX91" s="139"/>
      <c r="AY91" s="139"/>
      <c r="AZ91" s="139"/>
      <c r="BA91" s="139"/>
      <c r="BB91" s="139"/>
    </row>
    <row r="92">
      <c r="A92" s="28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  <c r="AH92" s="139"/>
      <c r="AI92" s="139"/>
      <c r="AJ92" s="139"/>
      <c r="AK92" s="139"/>
      <c r="AL92" s="139"/>
      <c r="AM92" s="139"/>
      <c r="AN92" s="139"/>
      <c r="AO92" s="139"/>
      <c r="AP92" s="139"/>
      <c r="AQ92" s="139"/>
      <c r="AR92" s="139"/>
      <c r="AS92" s="139"/>
      <c r="AT92" s="139"/>
      <c r="AU92" s="139"/>
      <c r="AV92" s="139"/>
      <c r="AW92" s="139"/>
      <c r="AX92" s="139"/>
      <c r="AY92" s="139"/>
      <c r="AZ92" s="139"/>
      <c r="BA92" s="139"/>
      <c r="BB92" s="139"/>
    </row>
    <row r="93">
      <c r="A93" s="28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  <c r="AV93" s="139"/>
      <c r="AW93" s="139"/>
      <c r="AX93" s="139"/>
      <c r="AY93" s="139"/>
      <c r="AZ93" s="139"/>
      <c r="BA93" s="139"/>
      <c r="BB93" s="139"/>
    </row>
    <row r="94">
      <c r="A94" s="28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139"/>
      <c r="AN94" s="139"/>
      <c r="AO94" s="139"/>
      <c r="AP94" s="139"/>
      <c r="AQ94" s="139"/>
      <c r="AR94" s="139"/>
      <c r="AS94" s="139"/>
      <c r="AT94" s="139"/>
      <c r="AU94" s="139"/>
      <c r="AV94" s="139"/>
      <c r="AW94" s="139"/>
      <c r="AX94" s="139"/>
      <c r="AY94" s="139"/>
      <c r="AZ94" s="139"/>
      <c r="BA94" s="139"/>
      <c r="BB94" s="139"/>
    </row>
    <row r="95">
      <c r="A95" s="28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39"/>
      <c r="AV95" s="139"/>
      <c r="AW95" s="139"/>
      <c r="AX95" s="139"/>
      <c r="AY95" s="139"/>
      <c r="AZ95" s="139"/>
      <c r="BA95" s="139"/>
      <c r="BB95" s="139"/>
    </row>
    <row r="96">
      <c r="A96" s="28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9"/>
      <c r="AG96" s="139"/>
      <c r="AH96" s="139"/>
      <c r="AI96" s="139"/>
      <c r="AJ96" s="139"/>
      <c r="AK96" s="139"/>
      <c r="AL96" s="139"/>
      <c r="AM96" s="139"/>
      <c r="AN96" s="139"/>
      <c r="AO96" s="139"/>
      <c r="AP96" s="139"/>
      <c r="AQ96" s="139"/>
      <c r="AR96" s="139"/>
      <c r="AS96" s="139"/>
      <c r="AT96" s="139"/>
      <c r="AU96" s="139"/>
      <c r="AV96" s="139"/>
      <c r="AW96" s="139"/>
      <c r="AX96" s="139"/>
      <c r="AY96" s="139"/>
      <c r="AZ96" s="139"/>
      <c r="BA96" s="139"/>
      <c r="BB96" s="139"/>
    </row>
    <row r="97">
      <c r="A97" s="28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  <c r="AR97" s="139"/>
      <c r="AS97" s="139"/>
      <c r="AT97" s="139"/>
      <c r="AU97" s="139"/>
      <c r="AV97" s="139"/>
      <c r="AW97" s="139"/>
      <c r="AX97" s="139"/>
      <c r="AY97" s="139"/>
      <c r="AZ97" s="139"/>
      <c r="BA97" s="139"/>
      <c r="BB97" s="139"/>
    </row>
    <row r="98">
      <c r="A98" s="28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  <c r="AO98" s="139"/>
      <c r="AP98" s="139"/>
      <c r="AQ98" s="139"/>
      <c r="AR98" s="139"/>
      <c r="AS98" s="139"/>
      <c r="AT98" s="139"/>
      <c r="AU98" s="139"/>
      <c r="AV98" s="139"/>
      <c r="AW98" s="139"/>
      <c r="AX98" s="139"/>
      <c r="AY98" s="139"/>
      <c r="AZ98" s="139"/>
      <c r="BA98" s="139"/>
      <c r="BB98" s="139"/>
    </row>
    <row r="99">
      <c r="A99" s="28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139"/>
      <c r="AG99" s="139"/>
      <c r="AH99" s="139"/>
      <c r="AI99" s="139"/>
      <c r="AJ99" s="139"/>
      <c r="AK99" s="139"/>
      <c r="AL99" s="139"/>
      <c r="AM99" s="139"/>
      <c r="AN99" s="139"/>
      <c r="AO99" s="139"/>
      <c r="AP99" s="139"/>
      <c r="AQ99" s="139"/>
      <c r="AR99" s="139"/>
      <c r="AS99" s="139"/>
      <c r="AT99" s="139"/>
      <c r="AU99" s="139"/>
      <c r="AV99" s="139"/>
      <c r="AW99" s="139"/>
      <c r="AX99" s="139"/>
      <c r="AY99" s="139"/>
      <c r="AZ99" s="139"/>
      <c r="BA99" s="139"/>
      <c r="BB99" s="139"/>
    </row>
    <row r="100">
      <c r="A100" s="28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  <c r="AF100" s="139"/>
      <c r="AG100" s="139"/>
      <c r="AH100" s="139"/>
      <c r="AI100" s="139"/>
      <c r="AJ100" s="139"/>
      <c r="AK100" s="139"/>
      <c r="AL100" s="139"/>
      <c r="AM100" s="139"/>
      <c r="AN100" s="139"/>
      <c r="AO100" s="139"/>
      <c r="AP100" s="139"/>
      <c r="AQ100" s="139"/>
      <c r="AR100" s="139"/>
      <c r="AS100" s="139"/>
      <c r="AT100" s="139"/>
      <c r="AU100" s="139"/>
      <c r="AV100" s="139"/>
      <c r="AW100" s="139"/>
      <c r="AX100" s="139"/>
      <c r="AY100" s="139"/>
      <c r="AZ100" s="139"/>
      <c r="BA100" s="139"/>
      <c r="BB100" s="139"/>
    </row>
    <row r="101">
      <c r="A101" s="28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39"/>
      <c r="AJ101" s="139"/>
      <c r="AK101" s="139"/>
      <c r="AL101" s="139"/>
      <c r="AM101" s="139"/>
      <c r="AN101" s="139"/>
      <c r="AO101" s="139"/>
      <c r="AP101" s="139"/>
      <c r="AQ101" s="139"/>
      <c r="AR101" s="139"/>
      <c r="AS101" s="139"/>
      <c r="AT101" s="139"/>
      <c r="AU101" s="139"/>
      <c r="AV101" s="139"/>
      <c r="AW101" s="139"/>
      <c r="AX101" s="139"/>
      <c r="AY101" s="139"/>
      <c r="AZ101" s="139"/>
      <c r="BA101" s="139"/>
      <c r="BB101" s="139"/>
    </row>
    <row r="102">
      <c r="A102" s="28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  <c r="AK102" s="139"/>
      <c r="AL102" s="139"/>
      <c r="AM102" s="139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/>
      <c r="AZ102" s="139"/>
      <c r="BA102" s="139"/>
      <c r="BB102" s="139"/>
    </row>
    <row r="103">
      <c r="A103" s="28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  <c r="AJ103" s="139"/>
      <c r="AK103" s="139"/>
      <c r="AL103" s="139"/>
      <c r="AM103" s="139"/>
      <c r="AN103" s="139"/>
      <c r="AO103" s="139"/>
      <c r="AP103" s="139"/>
      <c r="AQ103" s="139"/>
      <c r="AR103" s="139"/>
      <c r="AS103" s="139"/>
      <c r="AT103" s="139"/>
      <c r="AU103" s="139"/>
      <c r="AV103" s="139"/>
      <c r="AW103" s="139"/>
      <c r="AX103" s="139"/>
      <c r="AY103" s="139"/>
      <c r="AZ103" s="139"/>
      <c r="BA103" s="139"/>
      <c r="BB103" s="139"/>
    </row>
    <row r="104">
      <c r="A104" s="28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39"/>
      <c r="AQ104" s="139"/>
      <c r="AR104" s="139"/>
      <c r="AS104" s="139"/>
      <c r="AT104" s="139"/>
      <c r="AU104" s="139"/>
      <c r="AV104" s="139"/>
      <c r="AW104" s="139"/>
      <c r="AX104" s="139"/>
      <c r="AY104" s="139"/>
      <c r="AZ104" s="139"/>
      <c r="BA104" s="139"/>
      <c r="BB104" s="139"/>
    </row>
    <row r="105">
      <c r="A105" s="28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  <c r="AJ105" s="139"/>
      <c r="AK105" s="139"/>
      <c r="AL105" s="139"/>
      <c r="AM105" s="139"/>
      <c r="AN105" s="139"/>
      <c r="AO105" s="139"/>
      <c r="AP105" s="139"/>
      <c r="AQ105" s="139"/>
      <c r="AR105" s="139"/>
      <c r="AS105" s="139"/>
      <c r="AT105" s="139"/>
      <c r="AU105" s="139"/>
      <c r="AV105" s="139"/>
      <c r="AW105" s="139"/>
      <c r="AX105" s="139"/>
      <c r="AY105" s="139"/>
      <c r="AZ105" s="139"/>
      <c r="BA105" s="139"/>
      <c r="BB105" s="139"/>
    </row>
    <row r="106">
      <c r="A106" s="28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9"/>
      <c r="AM106" s="139"/>
      <c r="AN106" s="139"/>
      <c r="AO106" s="139"/>
      <c r="AP106" s="139"/>
      <c r="AQ106" s="139"/>
      <c r="AR106" s="139"/>
      <c r="AS106" s="139"/>
      <c r="AT106" s="139"/>
      <c r="AU106" s="139"/>
      <c r="AV106" s="139"/>
      <c r="AW106" s="139"/>
      <c r="AX106" s="139"/>
      <c r="AY106" s="139"/>
      <c r="AZ106" s="139"/>
      <c r="BA106" s="139"/>
      <c r="BB106" s="139"/>
    </row>
    <row r="107">
      <c r="A107" s="28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9"/>
      <c r="AM107" s="139"/>
      <c r="AN107" s="139"/>
      <c r="AO107" s="139"/>
      <c r="AP107" s="139"/>
      <c r="AQ107" s="139"/>
      <c r="AR107" s="139"/>
      <c r="AS107" s="139"/>
      <c r="AT107" s="139"/>
      <c r="AU107" s="139"/>
      <c r="AV107" s="139"/>
      <c r="AW107" s="139"/>
      <c r="AX107" s="139"/>
      <c r="AY107" s="139"/>
      <c r="AZ107" s="139"/>
      <c r="BA107" s="139"/>
      <c r="BB107" s="139"/>
    </row>
    <row r="108">
      <c r="A108" s="28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39"/>
      <c r="AF108" s="139"/>
      <c r="AG108" s="139"/>
      <c r="AH108" s="139"/>
      <c r="AI108" s="139"/>
      <c r="AJ108" s="139"/>
      <c r="AK108" s="139"/>
      <c r="AL108" s="139"/>
      <c r="AM108" s="139"/>
      <c r="AN108" s="139"/>
      <c r="AO108" s="139"/>
      <c r="AP108" s="139"/>
      <c r="AQ108" s="139"/>
      <c r="AR108" s="139"/>
      <c r="AS108" s="139"/>
      <c r="AT108" s="139"/>
      <c r="AU108" s="139"/>
      <c r="AV108" s="139"/>
      <c r="AW108" s="139"/>
      <c r="AX108" s="139"/>
      <c r="AY108" s="139"/>
      <c r="AZ108" s="139"/>
      <c r="BA108" s="139"/>
      <c r="BB108" s="139"/>
    </row>
    <row r="109">
      <c r="A109" s="28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39"/>
      <c r="AW109" s="139"/>
      <c r="AX109" s="139"/>
      <c r="AY109" s="139"/>
      <c r="AZ109" s="139"/>
      <c r="BA109" s="139"/>
      <c r="BB109" s="139"/>
    </row>
    <row r="110">
      <c r="A110" s="28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  <c r="AK110" s="139"/>
      <c r="AL110" s="139"/>
      <c r="AM110" s="139"/>
      <c r="AN110" s="139"/>
      <c r="AO110" s="139"/>
      <c r="AP110" s="139"/>
      <c r="AQ110" s="139"/>
      <c r="AR110" s="139"/>
      <c r="AS110" s="139"/>
      <c r="AT110" s="139"/>
      <c r="AU110" s="139"/>
      <c r="AV110" s="139"/>
      <c r="AW110" s="139"/>
      <c r="AX110" s="139"/>
      <c r="AY110" s="139"/>
      <c r="AZ110" s="139"/>
      <c r="BA110" s="139"/>
      <c r="BB110" s="139"/>
    </row>
    <row r="111">
      <c r="A111" s="28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  <c r="AC111" s="139"/>
      <c r="AD111" s="139"/>
      <c r="AE111" s="139"/>
      <c r="AF111" s="139"/>
      <c r="AG111" s="139"/>
      <c r="AH111" s="139"/>
      <c r="AI111" s="139"/>
      <c r="AJ111" s="139"/>
      <c r="AK111" s="139"/>
      <c r="AL111" s="139"/>
      <c r="AM111" s="139"/>
      <c r="AN111" s="139"/>
      <c r="AO111" s="139"/>
      <c r="AP111" s="139"/>
      <c r="AQ111" s="139"/>
      <c r="AR111" s="139"/>
      <c r="AS111" s="139"/>
      <c r="AT111" s="139"/>
      <c r="AU111" s="139"/>
      <c r="AV111" s="139"/>
      <c r="AW111" s="139"/>
      <c r="AX111" s="139"/>
      <c r="AY111" s="139"/>
      <c r="AZ111" s="139"/>
      <c r="BA111" s="139"/>
      <c r="BB111" s="139"/>
    </row>
    <row r="112">
      <c r="A112" s="28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9"/>
      <c r="AG112" s="139"/>
      <c r="AH112" s="139"/>
      <c r="AI112" s="139"/>
      <c r="AJ112" s="139"/>
      <c r="AK112" s="139"/>
      <c r="AL112" s="139"/>
      <c r="AM112" s="139"/>
      <c r="AN112" s="139"/>
      <c r="AO112" s="139"/>
      <c r="AP112" s="139"/>
      <c r="AQ112" s="139"/>
      <c r="AR112" s="139"/>
      <c r="AS112" s="139"/>
      <c r="AT112" s="139"/>
      <c r="AU112" s="139"/>
      <c r="AV112" s="139"/>
      <c r="AW112" s="139"/>
      <c r="AX112" s="139"/>
      <c r="AY112" s="139"/>
      <c r="AZ112" s="139"/>
      <c r="BA112" s="139"/>
      <c r="BB112" s="139"/>
    </row>
    <row r="113">
      <c r="A113" s="28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  <c r="AK113" s="139"/>
      <c r="AL113" s="139"/>
      <c r="AM113" s="139"/>
      <c r="AN113" s="139"/>
      <c r="AO113" s="139"/>
      <c r="AP113" s="139"/>
      <c r="AQ113" s="139"/>
      <c r="AR113" s="139"/>
      <c r="AS113" s="139"/>
      <c r="AT113" s="139"/>
      <c r="AU113" s="139"/>
      <c r="AV113" s="139"/>
      <c r="AW113" s="139"/>
      <c r="AX113" s="139"/>
      <c r="AY113" s="139"/>
      <c r="AZ113" s="139"/>
      <c r="BA113" s="139"/>
      <c r="BB113" s="139"/>
    </row>
    <row r="114">
      <c r="A114" s="28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  <c r="AK114" s="139"/>
      <c r="AL114" s="139"/>
      <c r="AM114" s="139"/>
      <c r="AN114" s="139"/>
      <c r="AO114" s="139"/>
      <c r="AP114" s="139"/>
      <c r="AQ114" s="139"/>
      <c r="AR114" s="139"/>
      <c r="AS114" s="139"/>
      <c r="AT114" s="139"/>
      <c r="AU114" s="139"/>
      <c r="AV114" s="139"/>
      <c r="AW114" s="139"/>
      <c r="AX114" s="139"/>
      <c r="AY114" s="139"/>
      <c r="AZ114" s="139"/>
      <c r="BA114" s="139"/>
      <c r="BB114" s="139"/>
    </row>
    <row r="115">
      <c r="A115" s="28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139"/>
      <c r="AD115" s="139"/>
      <c r="AE115" s="139"/>
      <c r="AF115" s="139"/>
      <c r="AG115" s="139"/>
      <c r="AH115" s="139"/>
      <c r="AI115" s="139"/>
      <c r="AJ115" s="139"/>
      <c r="AK115" s="139"/>
      <c r="AL115" s="139"/>
      <c r="AM115" s="139"/>
      <c r="AN115" s="139"/>
      <c r="AO115" s="139"/>
      <c r="AP115" s="139"/>
      <c r="AQ115" s="139"/>
      <c r="AR115" s="139"/>
      <c r="AS115" s="139"/>
      <c r="AT115" s="139"/>
      <c r="AU115" s="139"/>
      <c r="AV115" s="139"/>
      <c r="AW115" s="139"/>
      <c r="AX115" s="139"/>
      <c r="AY115" s="139"/>
      <c r="AZ115" s="139"/>
      <c r="BA115" s="139"/>
      <c r="BB115" s="139"/>
    </row>
    <row r="116">
      <c r="A116" s="28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  <c r="AK116" s="139"/>
      <c r="AL116" s="139"/>
      <c r="AM116" s="139"/>
      <c r="AN116" s="139"/>
      <c r="AO116" s="139"/>
      <c r="AP116" s="139"/>
      <c r="AQ116" s="139"/>
      <c r="AR116" s="139"/>
      <c r="AS116" s="139"/>
      <c r="AT116" s="139"/>
      <c r="AU116" s="139"/>
      <c r="AV116" s="139"/>
      <c r="AW116" s="139"/>
      <c r="AX116" s="139"/>
      <c r="AY116" s="139"/>
      <c r="AZ116" s="139"/>
      <c r="BA116" s="139"/>
      <c r="BB116" s="139"/>
    </row>
    <row r="117">
      <c r="A117" s="28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</row>
    <row r="118">
      <c r="A118" s="28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  <c r="AF118" s="139"/>
      <c r="AG118" s="139"/>
      <c r="AH118" s="139"/>
      <c r="AI118" s="139"/>
      <c r="AJ118" s="139"/>
      <c r="AK118" s="139"/>
      <c r="AL118" s="139"/>
      <c r="AM118" s="139"/>
      <c r="AN118" s="139"/>
      <c r="AO118" s="139"/>
      <c r="AP118" s="139"/>
      <c r="AQ118" s="139"/>
      <c r="AR118" s="139"/>
      <c r="AS118" s="139"/>
      <c r="AT118" s="139"/>
      <c r="AU118" s="139"/>
      <c r="AV118" s="139"/>
      <c r="AW118" s="139"/>
      <c r="AX118" s="139"/>
      <c r="AY118" s="139"/>
      <c r="AZ118" s="139"/>
      <c r="BA118" s="139"/>
      <c r="BB118" s="139"/>
    </row>
    <row r="119">
      <c r="A119" s="28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139"/>
      <c r="AJ119" s="139"/>
      <c r="AK119" s="139"/>
      <c r="AL119" s="139"/>
      <c r="AM119" s="139"/>
      <c r="AN119" s="139"/>
      <c r="AO119" s="139"/>
      <c r="AP119" s="139"/>
      <c r="AQ119" s="139"/>
      <c r="AR119" s="139"/>
      <c r="AS119" s="139"/>
      <c r="AT119" s="139"/>
      <c r="AU119" s="139"/>
      <c r="AV119" s="139"/>
      <c r="AW119" s="139"/>
      <c r="AX119" s="139"/>
      <c r="AY119" s="139"/>
      <c r="AZ119" s="139"/>
      <c r="BA119" s="139"/>
      <c r="BB119" s="139"/>
    </row>
    <row r="120">
      <c r="A120" s="28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  <c r="AK120" s="139"/>
      <c r="AL120" s="139"/>
      <c r="AM120" s="139"/>
      <c r="AN120" s="139"/>
      <c r="AO120" s="139"/>
      <c r="AP120" s="139"/>
      <c r="AQ120" s="139"/>
      <c r="AR120" s="139"/>
      <c r="AS120" s="139"/>
      <c r="AT120" s="139"/>
      <c r="AU120" s="139"/>
      <c r="AV120" s="139"/>
      <c r="AW120" s="139"/>
      <c r="AX120" s="139"/>
      <c r="AY120" s="139"/>
      <c r="AZ120" s="139"/>
      <c r="BA120" s="139"/>
      <c r="BB120" s="139"/>
    </row>
    <row r="121">
      <c r="A121" s="28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  <c r="AB121" s="139"/>
      <c r="AC121" s="139"/>
      <c r="AD121" s="139"/>
      <c r="AE121" s="139"/>
      <c r="AF121" s="139"/>
      <c r="AG121" s="139"/>
      <c r="AH121" s="139"/>
      <c r="AI121" s="139"/>
      <c r="AJ121" s="139"/>
      <c r="AK121" s="139"/>
      <c r="AL121" s="139"/>
      <c r="AM121" s="139"/>
      <c r="AN121" s="139"/>
      <c r="AO121" s="139"/>
      <c r="AP121" s="139"/>
      <c r="AQ121" s="139"/>
      <c r="AR121" s="139"/>
      <c r="AS121" s="139"/>
      <c r="AT121" s="139"/>
      <c r="AU121" s="139"/>
      <c r="AV121" s="139"/>
      <c r="AW121" s="139"/>
      <c r="AX121" s="139"/>
      <c r="AY121" s="139"/>
      <c r="AZ121" s="139"/>
      <c r="BA121" s="139"/>
      <c r="BB121" s="139"/>
    </row>
    <row r="122">
      <c r="A122" s="28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9"/>
      <c r="AW122" s="139"/>
      <c r="AX122" s="139"/>
      <c r="AY122" s="139"/>
      <c r="AZ122" s="139"/>
      <c r="BA122" s="139"/>
      <c r="BB122" s="139"/>
    </row>
    <row r="123">
      <c r="A123" s="28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  <c r="AG123" s="139"/>
      <c r="AH123" s="139"/>
      <c r="AI123" s="139"/>
      <c r="AJ123" s="139"/>
      <c r="AK123" s="139"/>
      <c r="AL123" s="139"/>
      <c r="AM123" s="139"/>
      <c r="AN123" s="139"/>
      <c r="AO123" s="139"/>
      <c r="AP123" s="139"/>
      <c r="AQ123" s="139"/>
      <c r="AR123" s="139"/>
      <c r="AS123" s="139"/>
      <c r="AT123" s="139"/>
      <c r="AU123" s="139"/>
      <c r="AV123" s="139"/>
      <c r="AW123" s="139"/>
      <c r="AX123" s="139"/>
      <c r="AY123" s="139"/>
      <c r="AZ123" s="139"/>
      <c r="BA123" s="139"/>
      <c r="BB123" s="139"/>
    </row>
    <row r="124">
      <c r="A124" s="28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39"/>
      <c r="AH124" s="139"/>
      <c r="AI124" s="139"/>
      <c r="AJ124" s="139"/>
      <c r="AK124" s="139"/>
      <c r="AL124" s="139"/>
      <c r="AM124" s="139"/>
      <c r="AN124" s="139"/>
      <c r="AO124" s="139"/>
      <c r="AP124" s="139"/>
      <c r="AQ124" s="139"/>
      <c r="AR124" s="139"/>
      <c r="AS124" s="139"/>
      <c r="AT124" s="139"/>
      <c r="AU124" s="139"/>
      <c r="AV124" s="139"/>
      <c r="AW124" s="139"/>
      <c r="AX124" s="139"/>
      <c r="AY124" s="139"/>
      <c r="AZ124" s="139"/>
      <c r="BA124" s="139"/>
      <c r="BB124" s="139"/>
    </row>
    <row r="125">
      <c r="A125" s="28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  <c r="AF125" s="139"/>
      <c r="AG125" s="139"/>
      <c r="AH125" s="139"/>
      <c r="AI125" s="139"/>
      <c r="AJ125" s="139"/>
      <c r="AK125" s="139"/>
      <c r="AL125" s="139"/>
      <c r="AM125" s="139"/>
      <c r="AN125" s="139"/>
      <c r="AO125" s="139"/>
      <c r="AP125" s="139"/>
      <c r="AQ125" s="139"/>
      <c r="AR125" s="139"/>
      <c r="AS125" s="139"/>
      <c r="AT125" s="139"/>
      <c r="AU125" s="139"/>
      <c r="AV125" s="139"/>
      <c r="AW125" s="139"/>
      <c r="AX125" s="139"/>
      <c r="AY125" s="139"/>
      <c r="AZ125" s="139"/>
      <c r="BA125" s="139"/>
      <c r="BB125" s="139"/>
    </row>
    <row r="126">
      <c r="A126" s="28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39"/>
      <c r="BB126" s="139"/>
    </row>
    <row r="127">
      <c r="A127" s="28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39"/>
      <c r="BB127" s="139"/>
    </row>
    <row r="128">
      <c r="A128" s="28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139"/>
      <c r="AZ128" s="139"/>
      <c r="BA128" s="139"/>
      <c r="BB128" s="139"/>
    </row>
    <row r="129">
      <c r="A129" s="28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9"/>
      <c r="AM129" s="139"/>
      <c r="AN129" s="139"/>
      <c r="AO129" s="139"/>
      <c r="AP129" s="139"/>
      <c r="AQ129" s="139"/>
      <c r="AR129" s="139"/>
      <c r="AS129" s="139"/>
      <c r="AT129" s="139"/>
      <c r="AU129" s="139"/>
      <c r="AV129" s="139"/>
      <c r="AW129" s="139"/>
      <c r="AX129" s="139"/>
      <c r="AY129" s="139"/>
      <c r="AZ129" s="139"/>
      <c r="BA129" s="139"/>
      <c r="BB129" s="139"/>
    </row>
    <row r="130">
      <c r="A130" s="28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  <c r="AK130" s="139"/>
      <c r="AL130" s="139"/>
      <c r="AM130" s="139"/>
      <c r="AN130" s="139"/>
      <c r="AO130" s="139"/>
      <c r="AP130" s="139"/>
      <c r="AQ130" s="139"/>
      <c r="AR130" s="139"/>
      <c r="AS130" s="139"/>
      <c r="AT130" s="139"/>
      <c r="AU130" s="139"/>
      <c r="AV130" s="139"/>
      <c r="AW130" s="139"/>
      <c r="AX130" s="139"/>
      <c r="AY130" s="139"/>
      <c r="AZ130" s="139"/>
      <c r="BA130" s="139"/>
      <c r="BB130" s="139"/>
    </row>
    <row r="131">
      <c r="A131" s="28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9"/>
      <c r="AM131" s="139"/>
      <c r="AN131" s="139"/>
      <c r="AO131" s="139"/>
      <c r="AP131" s="139"/>
      <c r="AQ131" s="139"/>
      <c r="AR131" s="139"/>
      <c r="AS131" s="139"/>
      <c r="AT131" s="139"/>
      <c r="AU131" s="139"/>
      <c r="AV131" s="139"/>
      <c r="AW131" s="139"/>
      <c r="AX131" s="139"/>
      <c r="AY131" s="139"/>
      <c r="AZ131" s="139"/>
      <c r="BA131" s="139"/>
      <c r="BB131" s="139"/>
    </row>
    <row r="132">
      <c r="A132" s="28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39"/>
      <c r="AV132" s="139"/>
      <c r="AW132" s="139"/>
      <c r="AX132" s="139"/>
      <c r="AY132" s="139"/>
      <c r="AZ132" s="139"/>
      <c r="BA132" s="139"/>
      <c r="BB132" s="139"/>
    </row>
    <row r="133">
      <c r="A133" s="28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39"/>
      <c r="AK133" s="139"/>
      <c r="AL133" s="139"/>
      <c r="AM133" s="139"/>
      <c r="AN133" s="139"/>
      <c r="AO133" s="139"/>
      <c r="AP133" s="139"/>
      <c r="AQ133" s="139"/>
      <c r="AR133" s="139"/>
      <c r="AS133" s="139"/>
      <c r="AT133" s="139"/>
      <c r="AU133" s="139"/>
      <c r="AV133" s="139"/>
      <c r="AW133" s="139"/>
      <c r="AX133" s="139"/>
      <c r="AY133" s="139"/>
      <c r="AZ133" s="139"/>
      <c r="BA133" s="139"/>
      <c r="BB133" s="139"/>
    </row>
    <row r="134">
      <c r="A134" s="28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  <c r="AO134" s="139"/>
      <c r="AP134" s="139"/>
      <c r="AQ134" s="139"/>
      <c r="AR134" s="139"/>
      <c r="AS134" s="139"/>
      <c r="AT134" s="139"/>
      <c r="AU134" s="139"/>
      <c r="AV134" s="139"/>
      <c r="AW134" s="139"/>
      <c r="AX134" s="139"/>
      <c r="AY134" s="139"/>
      <c r="AZ134" s="139"/>
      <c r="BA134" s="139"/>
      <c r="BB134" s="139"/>
    </row>
    <row r="135">
      <c r="A135" s="28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39"/>
      <c r="AW135" s="139"/>
      <c r="AX135" s="139"/>
      <c r="AY135" s="139"/>
      <c r="AZ135" s="139"/>
      <c r="BA135" s="139"/>
      <c r="BB135" s="139"/>
    </row>
    <row r="136">
      <c r="A136" s="28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39"/>
      <c r="AV136" s="139"/>
      <c r="AW136" s="139"/>
      <c r="AX136" s="139"/>
      <c r="AY136" s="139"/>
      <c r="AZ136" s="139"/>
      <c r="BA136" s="139"/>
      <c r="BB136" s="139"/>
    </row>
    <row r="137">
      <c r="A137" s="28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9"/>
      <c r="AM137" s="139"/>
      <c r="AN137" s="139"/>
      <c r="AO137" s="139"/>
      <c r="AP137" s="139"/>
      <c r="AQ137" s="139"/>
      <c r="AR137" s="139"/>
      <c r="AS137" s="139"/>
      <c r="AT137" s="139"/>
      <c r="AU137" s="139"/>
      <c r="AV137" s="139"/>
      <c r="AW137" s="139"/>
      <c r="AX137" s="139"/>
      <c r="AY137" s="139"/>
      <c r="AZ137" s="139"/>
      <c r="BA137" s="139"/>
      <c r="BB137" s="139"/>
    </row>
    <row r="138">
      <c r="A138" s="28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9"/>
      <c r="AM138" s="139"/>
      <c r="AN138" s="139"/>
      <c r="AO138" s="139"/>
      <c r="AP138" s="139"/>
      <c r="AQ138" s="139"/>
      <c r="AR138" s="139"/>
      <c r="AS138" s="139"/>
      <c r="AT138" s="139"/>
      <c r="AU138" s="139"/>
      <c r="AV138" s="139"/>
      <c r="AW138" s="139"/>
      <c r="AX138" s="139"/>
      <c r="AY138" s="139"/>
      <c r="AZ138" s="139"/>
      <c r="BA138" s="139"/>
      <c r="BB138" s="139"/>
    </row>
    <row r="139">
      <c r="A139" s="28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  <c r="AC139" s="139"/>
      <c r="AD139" s="139"/>
      <c r="AE139" s="139"/>
      <c r="AF139" s="139"/>
      <c r="AG139" s="139"/>
      <c r="AH139" s="139"/>
      <c r="AI139" s="139"/>
      <c r="AJ139" s="139"/>
      <c r="AK139" s="139"/>
      <c r="AL139" s="139"/>
      <c r="AM139" s="139"/>
      <c r="AN139" s="139"/>
      <c r="AO139" s="139"/>
      <c r="AP139" s="139"/>
      <c r="AQ139" s="139"/>
      <c r="AR139" s="139"/>
      <c r="AS139" s="139"/>
      <c r="AT139" s="139"/>
      <c r="AU139" s="139"/>
      <c r="AV139" s="139"/>
      <c r="AW139" s="139"/>
      <c r="AX139" s="139"/>
      <c r="AY139" s="139"/>
      <c r="AZ139" s="139"/>
      <c r="BA139" s="139"/>
      <c r="BB139" s="139"/>
    </row>
    <row r="140">
      <c r="A140" s="28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  <c r="AU140" s="139"/>
      <c r="AV140" s="139"/>
      <c r="AW140" s="139"/>
      <c r="AX140" s="139"/>
      <c r="AY140" s="139"/>
      <c r="AZ140" s="139"/>
      <c r="BA140" s="139"/>
      <c r="BB140" s="139"/>
    </row>
    <row r="141">
      <c r="A141" s="28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  <c r="AU141" s="139"/>
      <c r="AV141" s="139"/>
      <c r="AW141" s="139"/>
      <c r="AX141" s="139"/>
      <c r="AY141" s="139"/>
      <c r="AZ141" s="139"/>
      <c r="BA141" s="139"/>
      <c r="BB141" s="139"/>
    </row>
    <row r="142">
      <c r="A142" s="28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39"/>
      <c r="AQ142" s="139"/>
      <c r="AR142" s="139"/>
      <c r="AS142" s="139"/>
      <c r="AT142" s="139"/>
      <c r="AU142" s="139"/>
      <c r="AV142" s="139"/>
      <c r="AW142" s="139"/>
      <c r="AX142" s="139"/>
      <c r="AY142" s="139"/>
      <c r="AZ142" s="139"/>
      <c r="BA142" s="139"/>
      <c r="BB142" s="139"/>
    </row>
    <row r="143">
      <c r="A143" s="28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39"/>
      <c r="AW143" s="139"/>
      <c r="AX143" s="139"/>
      <c r="AY143" s="139"/>
      <c r="AZ143" s="139"/>
      <c r="BA143" s="139"/>
      <c r="BB143" s="139"/>
    </row>
    <row r="144">
      <c r="A144" s="28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39"/>
      <c r="BB144" s="139"/>
    </row>
    <row r="145">
      <c r="A145" s="28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39"/>
      <c r="AW145" s="139"/>
      <c r="AX145" s="139"/>
      <c r="AY145" s="139"/>
      <c r="AZ145" s="139"/>
      <c r="BA145" s="139"/>
      <c r="BB145" s="139"/>
    </row>
    <row r="146">
      <c r="A146" s="28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  <c r="AK146" s="139"/>
      <c r="AL146" s="139"/>
      <c r="AM146" s="139"/>
      <c r="AN146" s="139"/>
      <c r="AO146" s="139"/>
      <c r="AP146" s="139"/>
      <c r="AQ146" s="139"/>
      <c r="AR146" s="139"/>
      <c r="AS146" s="139"/>
      <c r="AT146" s="139"/>
      <c r="AU146" s="139"/>
      <c r="AV146" s="139"/>
      <c r="AW146" s="139"/>
      <c r="AX146" s="139"/>
      <c r="AY146" s="139"/>
      <c r="AZ146" s="139"/>
      <c r="BA146" s="139"/>
      <c r="BB146" s="139"/>
    </row>
    <row r="147">
      <c r="A147" s="28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39"/>
      <c r="AH147" s="139"/>
      <c r="AI147" s="139"/>
      <c r="AJ147" s="139"/>
      <c r="AK147" s="139"/>
      <c r="AL147" s="139"/>
      <c r="AM147" s="139"/>
      <c r="AN147" s="139"/>
      <c r="AO147" s="139"/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39"/>
      <c r="BB147" s="139"/>
    </row>
    <row r="148">
      <c r="A148" s="28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  <c r="AJ148" s="139"/>
      <c r="AK148" s="139"/>
      <c r="AL148" s="139"/>
      <c r="AM148" s="139"/>
      <c r="AN148" s="139"/>
      <c r="AO148" s="139"/>
      <c r="AP148" s="139"/>
      <c r="AQ148" s="139"/>
      <c r="AR148" s="139"/>
      <c r="AS148" s="139"/>
      <c r="AT148" s="139"/>
      <c r="AU148" s="139"/>
      <c r="AV148" s="139"/>
      <c r="AW148" s="139"/>
      <c r="AX148" s="139"/>
      <c r="AY148" s="139"/>
      <c r="AZ148" s="139"/>
      <c r="BA148" s="139"/>
      <c r="BB148" s="139"/>
    </row>
    <row r="149">
      <c r="A149" s="28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  <c r="AC149" s="139"/>
      <c r="AD149" s="139"/>
      <c r="AE149" s="139"/>
      <c r="AF149" s="139"/>
      <c r="AG149" s="139"/>
      <c r="AH149" s="139"/>
      <c r="AI149" s="139"/>
      <c r="AJ149" s="139"/>
      <c r="AK149" s="139"/>
      <c r="AL149" s="139"/>
      <c r="AM149" s="139"/>
      <c r="AN149" s="139"/>
      <c r="AO149" s="139"/>
      <c r="AP149" s="139"/>
      <c r="AQ149" s="139"/>
      <c r="AR149" s="139"/>
      <c r="AS149" s="139"/>
      <c r="AT149" s="139"/>
      <c r="AU149" s="139"/>
      <c r="AV149" s="139"/>
      <c r="AW149" s="139"/>
      <c r="AX149" s="139"/>
      <c r="AY149" s="139"/>
      <c r="AZ149" s="139"/>
      <c r="BA149" s="139"/>
      <c r="BB149" s="139"/>
    </row>
    <row r="150">
      <c r="A150" s="28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39"/>
      <c r="AK150" s="139"/>
      <c r="AL150" s="139"/>
      <c r="AM150" s="139"/>
      <c r="AN150" s="139"/>
      <c r="AO150" s="139"/>
      <c r="AP150" s="139"/>
      <c r="AQ150" s="139"/>
      <c r="AR150" s="139"/>
      <c r="AS150" s="139"/>
      <c r="AT150" s="139"/>
      <c r="AU150" s="139"/>
      <c r="AV150" s="139"/>
      <c r="AW150" s="139"/>
      <c r="AX150" s="139"/>
      <c r="AY150" s="139"/>
      <c r="AZ150" s="139"/>
      <c r="BA150" s="139"/>
      <c r="BB150" s="139"/>
    </row>
    <row r="151">
      <c r="A151" s="28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39"/>
      <c r="AK151" s="139"/>
      <c r="AL151" s="139"/>
      <c r="AM151" s="139"/>
      <c r="AN151" s="139"/>
      <c r="AO151" s="139"/>
      <c r="AP151" s="139"/>
      <c r="AQ151" s="139"/>
      <c r="AR151" s="139"/>
      <c r="AS151" s="139"/>
      <c r="AT151" s="139"/>
      <c r="AU151" s="139"/>
      <c r="AV151" s="139"/>
      <c r="AW151" s="139"/>
      <c r="AX151" s="139"/>
      <c r="AY151" s="139"/>
      <c r="AZ151" s="139"/>
      <c r="BA151" s="139"/>
      <c r="BB151" s="139"/>
    </row>
    <row r="152">
      <c r="A152" s="28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39"/>
      <c r="AJ152" s="139"/>
      <c r="AK152" s="139"/>
      <c r="AL152" s="139"/>
      <c r="AM152" s="139"/>
      <c r="AN152" s="139"/>
      <c r="AO152" s="139"/>
      <c r="AP152" s="139"/>
      <c r="AQ152" s="139"/>
      <c r="AR152" s="139"/>
      <c r="AS152" s="139"/>
      <c r="AT152" s="139"/>
      <c r="AU152" s="139"/>
      <c r="AV152" s="139"/>
      <c r="AW152" s="139"/>
      <c r="AX152" s="139"/>
      <c r="AY152" s="139"/>
      <c r="AZ152" s="139"/>
      <c r="BA152" s="139"/>
      <c r="BB152" s="139"/>
    </row>
    <row r="153">
      <c r="A153" s="28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  <c r="AF153" s="139"/>
      <c r="AG153" s="139"/>
      <c r="AH153" s="139"/>
      <c r="AI153" s="139"/>
      <c r="AJ153" s="139"/>
      <c r="AK153" s="139"/>
      <c r="AL153" s="139"/>
      <c r="AM153" s="139"/>
      <c r="AN153" s="139"/>
      <c r="AO153" s="139"/>
      <c r="AP153" s="139"/>
      <c r="AQ153" s="139"/>
      <c r="AR153" s="139"/>
      <c r="AS153" s="139"/>
      <c r="AT153" s="139"/>
      <c r="AU153" s="139"/>
      <c r="AV153" s="139"/>
      <c r="AW153" s="139"/>
      <c r="AX153" s="139"/>
      <c r="AY153" s="139"/>
      <c r="AZ153" s="139"/>
      <c r="BA153" s="139"/>
      <c r="BB153" s="139"/>
    </row>
    <row r="154">
      <c r="A154" s="28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39"/>
    </row>
    <row r="155">
      <c r="A155" s="28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39"/>
      <c r="AK155" s="139"/>
      <c r="AL155" s="139"/>
      <c r="AM155" s="139"/>
      <c r="AN155" s="139"/>
      <c r="AO155" s="139"/>
      <c r="AP155" s="139"/>
      <c r="AQ155" s="139"/>
      <c r="AR155" s="139"/>
      <c r="AS155" s="139"/>
      <c r="AT155" s="139"/>
      <c r="AU155" s="139"/>
      <c r="AV155" s="139"/>
      <c r="AW155" s="139"/>
      <c r="AX155" s="139"/>
      <c r="AY155" s="139"/>
      <c r="AZ155" s="139"/>
      <c r="BA155" s="139"/>
      <c r="BB155" s="139"/>
    </row>
    <row r="156">
      <c r="A156" s="28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9"/>
      <c r="AM156" s="139"/>
      <c r="AN156" s="139"/>
      <c r="AO156" s="139"/>
      <c r="AP156" s="139"/>
      <c r="AQ156" s="139"/>
      <c r="AR156" s="139"/>
      <c r="AS156" s="139"/>
      <c r="AT156" s="139"/>
      <c r="AU156" s="139"/>
      <c r="AV156" s="139"/>
      <c r="AW156" s="139"/>
      <c r="AX156" s="139"/>
      <c r="AY156" s="139"/>
      <c r="AZ156" s="139"/>
      <c r="BA156" s="139"/>
      <c r="BB156" s="139"/>
    </row>
    <row r="157">
      <c r="A157" s="28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  <c r="AV157" s="139"/>
      <c r="AW157" s="139"/>
      <c r="AX157" s="139"/>
      <c r="AY157" s="139"/>
      <c r="AZ157" s="139"/>
      <c r="BA157" s="139"/>
      <c r="BB157" s="139"/>
    </row>
    <row r="158">
      <c r="A158" s="28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  <c r="AW158" s="139"/>
      <c r="AX158" s="139"/>
      <c r="AY158" s="139"/>
      <c r="AZ158" s="139"/>
      <c r="BA158" s="139"/>
      <c r="BB158" s="139"/>
    </row>
    <row r="159">
      <c r="A159" s="28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39"/>
      <c r="AW159" s="139"/>
      <c r="AX159" s="139"/>
      <c r="AY159" s="139"/>
      <c r="AZ159" s="139"/>
      <c r="BA159" s="139"/>
      <c r="BB159" s="139"/>
    </row>
    <row r="160">
      <c r="A160" s="28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  <c r="AW160" s="139"/>
      <c r="AX160" s="139"/>
      <c r="AY160" s="139"/>
      <c r="AZ160" s="139"/>
      <c r="BA160" s="139"/>
      <c r="BB160" s="139"/>
    </row>
    <row r="161">
      <c r="A161" s="28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39"/>
      <c r="AW161" s="139"/>
      <c r="AX161" s="139"/>
      <c r="AY161" s="139"/>
      <c r="AZ161" s="139"/>
      <c r="BA161" s="139"/>
      <c r="BB161" s="139"/>
    </row>
    <row r="162">
      <c r="A162" s="28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39"/>
      <c r="AW162" s="139"/>
      <c r="AX162" s="139"/>
      <c r="AY162" s="139"/>
      <c r="AZ162" s="139"/>
      <c r="BA162" s="139"/>
      <c r="BB162" s="139"/>
    </row>
    <row r="163">
      <c r="A163" s="28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9"/>
      <c r="AM163" s="139"/>
      <c r="AN163" s="139"/>
      <c r="AO163" s="139"/>
      <c r="AP163" s="139"/>
      <c r="AQ163" s="139"/>
      <c r="AR163" s="139"/>
      <c r="AS163" s="139"/>
      <c r="AT163" s="139"/>
      <c r="AU163" s="139"/>
      <c r="AV163" s="139"/>
      <c r="AW163" s="139"/>
      <c r="AX163" s="139"/>
      <c r="AY163" s="139"/>
      <c r="AZ163" s="139"/>
      <c r="BA163" s="139"/>
      <c r="BB163" s="139"/>
    </row>
    <row r="164">
      <c r="A164" s="28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9"/>
      <c r="AM164" s="139"/>
      <c r="AN164" s="139"/>
      <c r="AO164" s="139"/>
      <c r="AP164" s="139"/>
      <c r="AQ164" s="139"/>
      <c r="AR164" s="139"/>
      <c r="AS164" s="139"/>
      <c r="AT164" s="139"/>
      <c r="AU164" s="139"/>
      <c r="AV164" s="139"/>
      <c r="AW164" s="139"/>
      <c r="AX164" s="139"/>
      <c r="AY164" s="139"/>
      <c r="AZ164" s="139"/>
      <c r="BA164" s="139"/>
      <c r="BB164" s="139"/>
    </row>
    <row r="165">
      <c r="A165" s="28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  <c r="AV165" s="139"/>
      <c r="AW165" s="139"/>
      <c r="AX165" s="139"/>
      <c r="AY165" s="139"/>
      <c r="AZ165" s="139"/>
      <c r="BA165" s="139"/>
      <c r="BB165" s="139"/>
    </row>
    <row r="166">
      <c r="A166" s="28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/>
      <c r="AM166" s="139"/>
      <c r="AN166" s="139"/>
      <c r="AO166" s="139"/>
      <c r="AP166" s="139"/>
      <c r="AQ166" s="139"/>
      <c r="AR166" s="139"/>
      <c r="AS166" s="139"/>
      <c r="AT166" s="139"/>
      <c r="AU166" s="139"/>
      <c r="AV166" s="139"/>
      <c r="AW166" s="139"/>
      <c r="AX166" s="139"/>
      <c r="AY166" s="139"/>
      <c r="AZ166" s="139"/>
      <c r="BA166" s="139"/>
      <c r="BB166" s="139"/>
    </row>
    <row r="167">
      <c r="A167" s="28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9"/>
      <c r="AM167" s="139"/>
      <c r="AN167" s="139"/>
      <c r="AO167" s="139"/>
      <c r="AP167" s="139"/>
      <c r="AQ167" s="139"/>
      <c r="AR167" s="139"/>
      <c r="AS167" s="139"/>
      <c r="AT167" s="139"/>
      <c r="AU167" s="139"/>
      <c r="AV167" s="139"/>
      <c r="AW167" s="139"/>
      <c r="AX167" s="139"/>
      <c r="AY167" s="139"/>
      <c r="AZ167" s="139"/>
      <c r="BA167" s="139"/>
      <c r="BB167" s="139"/>
    </row>
    <row r="168">
      <c r="A168" s="28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  <c r="AO168" s="139"/>
      <c r="AP168" s="139"/>
      <c r="AQ168" s="139"/>
      <c r="AR168" s="139"/>
      <c r="AS168" s="139"/>
      <c r="AT168" s="139"/>
      <c r="AU168" s="139"/>
      <c r="AV168" s="139"/>
      <c r="AW168" s="139"/>
      <c r="AX168" s="139"/>
      <c r="AY168" s="139"/>
      <c r="AZ168" s="139"/>
      <c r="BA168" s="139"/>
      <c r="BB168" s="139"/>
    </row>
    <row r="169">
      <c r="A169" s="28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9"/>
      <c r="AM169" s="139"/>
      <c r="AN169" s="139"/>
      <c r="AO169" s="139"/>
      <c r="AP169" s="139"/>
      <c r="AQ169" s="139"/>
      <c r="AR169" s="139"/>
      <c r="AS169" s="139"/>
      <c r="AT169" s="139"/>
      <c r="AU169" s="139"/>
      <c r="AV169" s="139"/>
      <c r="AW169" s="139"/>
      <c r="AX169" s="139"/>
      <c r="AY169" s="139"/>
      <c r="AZ169" s="139"/>
      <c r="BA169" s="139"/>
      <c r="BB169" s="139"/>
    </row>
    <row r="170">
      <c r="A170" s="28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39"/>
      <c r="AW170" s="139"/>
      <c r="AX170" s="139"/>
      <c r="AY170" s="139"/>
      <c r="AZ170" s="139"/>
      <c r="BA170" s="139"/>
      <c r="BB170" s="139"/>
    </row>
    <row r="171">
      <c r="A171" s="28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9"/>
      <c r="AM171" s="139"/>
      <c r="AN171" s="139"/>
      <c r="AO171" s="139"/>
      <c r="AP171" s="139"/>
      <c r="AQ171" s="139"/>
      <c r="AR171" s="139"/>
      <c r="AS171" s="139"/>
      <c r="AT171" s="139"/>
      <c r="AU171" s="139"/>
      <c r="AV171" s="139"/>
      <c r="AW171" s="139"/>
      <c r="AX171" s="139"/>
      <c r="AY171" s="139"/>
      <c r="AZ171" s="139"/>
      <c r="BA171" s="139"/>
      <c r="BB171" s="139"/>
    </row>
    <row r="172">
      <c r="A172" s="28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  <c r="AO172" s="139"/>
      <c r="AP172" s="139"/>
      <c r="AQ172" s="139"/>
      <c r="AR172" s="139"/>
      <c r="AS172" s="139"/>
      <c r="AT172" s="139"/>
      <c r="AU172" s="139"/>
      <c r="AV172" s="139"/>
      <c r="AW172" s="139"/>
      <c r="AX172" s="139"/>
      <c r="AY172" s="139"/>
      <c r="AZ172" s="139"/>
      <c r="BA172" s="139"/>
      <c r="BB172" s="139"/>
    </row>
    <row r="173">
      <c r="A173" s="28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s="139"/>
      <c r="AV173" s="139"/>
      <c r="AW173" s="139"/>
      <c r="AX173" s="139"/>
      <c r="AY173" s="139"/>
      <c r="AZ173" s="139"/>
      <c r="BA173" s="139"/>
      <c r="BB173" s="139"/>
    </row>
    <row r="174">
      <c r="A174" s="28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  <c r="AO174" s="139"/>
      <c r="AP174" s="139"/>
      <c r="AQ174" s="139"/>
      <c r="AR174" s="139"/>
      <c r="AS174" s="139"/>
      <c r="AT174" s="139"/>
      <c r="AU174" s="139"/>
      <c r="AV174" s="139"/>
      <c r="AW174" s="139"/>
      <c r="AX174" s="139"/>
      <c r="AY174" s="139"/>
      <c r="AZ174" s="139"/>
      <c r="BA174" s="139"/>
      <c r="BB174" s="139"/>
    </row>
    <row r="175">
      <c r="A175" s="28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  <c r="AO175" s="139"/>
      <c r="AP175" s="139"/>
      <c r="AQ175" s="139"/>
      <c r="AR175" s="139"/>
      <c r="AS175" s="139"/>
      <c r="AT175" s="139"/>
      <c r="AU175" s="139"/>
      <c r="AV175" s="139"/>
      <c r="AW175" s="139"/>
      <c r="AX175" s="139"/>
      <c r="AY175" s="139"/>
      <c r="AZ175" s="139"/>
      <c r="BA175" s="139"/>
      <c r="BB175" s="139"/>
    </row>
    <row r="176">
      <c r="A176" s="28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  <c r="AO176" s="139"/>
      <c r="AP176" s="139"/>
      <c r="AQ176" s="139"/>
      <c r="AR176" s="139"/>
      <c r="AS176" s="139"/>
      <c r="AT176" s="139"/>
      <c r="AU176" s="139"/>
      <c r="AV176" s="139"/>
      <c r="AW176" s="139"/>
      <c r="AX176" s="139"/>
      <c r="AY176" s="139"/>
      <c r="AZ176" s="139"/>
      <c r="BA176" s="139"/>
      <c r="BB176" s="139"/>
    </row>
    <row r="177">
      <c r="A177" s="28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139"/>
      <c r="AU177" s="139"/>
      <c r="AV177" s="139"/>
      <c r="AW177" s="139"/>
      <c r="AX177" s="139"/>
      <c r="AY177" s="139"/>
      <c r="AZ177" s="139"/>
      <c r="BA177" s="139"/>
      <c r="BB177" s="139"/>
    </row>
    <row r="178">
      <c r="A178" s="28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  <c r="AO178" s="139"/>
      <c r="AP178" s="139"/>
      <c r="AQ178" s="139"/>
      <c r="AR178" s="139"/>
      <c r="AS178" s="139"/>
      <c r="AT178" s="139"/>
      <c r="AU178" s="139"/>
      <c r="AV178" s="139"/>
      <c r="AW178" s="139"/>
      <c r="AX178" s="139"/>
      <c r="AY178" s="139"/>
      <c r="AZ178" s="139"/>
      <c r="BA178" s="139"/>
      <c r="BB178" s="139"/>
    </row>
    <row r="179">
      <c r="A179" s="28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9"/>
      <c r="AM179" s="139"/>
      <c r="AN179" s="139"/>
      <c r="AO179" s="139"/>
      <c r="AP179" s="139"/>
      <c r="AQ179" s="139"/>
      <c r="AR179" s="139"/>
      <c r="AS179" s="139"/>
      <c r="AT179" s="139"/>
      <c r="AU179" s="139"/>
      <c r="AV179" s="139"/>
      <c r="AW179" s="139"/>
      <c r="AX179" s="139"/>
      <c r="AY179" s="139"/>
      <c r="AZ179" s="139"/>
      <c r="BA179" s="139"/>
      <c r="BB179" s="139"/>
    </row>
    <row r="180">
      <c r="A180" s="28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9"/>
      <c r="AM180" s="139"/>
      <c r="AN180" s="139"/>
      <c r="AO180" s="139"/>
      <c r="AP180" s="139"/>
      <c r="AQ180" s="139"/>
      <c r="AR180" s="139"/>
      <c r="AS180" s="139"/>
      <c r="AT180" s="139"/>
      <c r="AU180" s="139"/>
      <c r="AV180" s="139"/>
      <c r="AW180" s="139"/>
      <c r="AX180" s="139"/>
      <c r="AY180" s="139"/>
      <c r="AZ180" s="139"/>
      <c r="BA180" s="139"/>
      <c r="BB180" s="139"/>
    </row>
    <row r="181">
      <c r="A181" s="28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  <c r="AO181" s="139"/>
      <c r="AP181" s="139"/>
      <c r="AQ181" s="139"/>
      <c r="AR181" s="139"/>
      <c r="AS181" s="139"/>
      <c r="AT181" s="139"/>
      <c r="AU181" s="139"/>
      <c r="AV181" s="139"/>
      <c r="AW181" s="139"/>
      <c r="AX181" s="139"/>
      <c r="AY181" s="139"/>
      <c r="AZ181" s="139"/>
      <c r="BA181" s="139"/>
      <c r="BB181" s="139"/>
    </row>
    <row r="182">
      <c r="A182" s="28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9"/>
      <c r="AM182" s="139"/>
      <c r="AN182" s="139"/>
      <c r="AO182" s="139"/>
      <c r="AP182" s="139"/>
      <c r="AQ182" s="139"/>
      <c r="AR182" s="139"/>
      <c r="AS182" s="139"/>
      <c r="AT182" s="139"/>
      <c r="AU182" s="139"/>
      <c r="AV182" s="139"/>
      <c r="AW182" s="139"/>
      <c r="AX182" s="139"/>
      <c r="AY182" s="139"/>
      <c r="AZ182" s="139"/>
      <c r="BA182" s="139"/>
      <c r="BB182" s="139"/>
    </row>
    <row r="183">
      <c r="A183" s="28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  <c r="AC183" s="139"/>
      <c r="AD183" s="139"/>
      <c r="AE183" s="139"/>
      <c r="AF183" s="139"/>
      <c r="AG183" s="139"/>
      <c r="AH183" s="139"/>
      <c r="AI183" s="139"/>
      <c r="AJ183" s="139"/>
      <c r="AK183" s="139"/>
      <c r="AL183" s="139"/>
      <c r="AM183" s="139"/>
      <c r="AN183" s="139"/>
      <c r="AO183" s="139"/>
      <c r="AP183" s="139"/>
      <c r="AQ183" s="139"/>
      <c r="AR183" s="139"/>
      <c r="AS183" s="139"/>
      <c r="AT183" s="139"/>
      <c r="AU183" s="139"/>
      <c r="AV183" s="139"/>
      <c r="AW183" s="139"/>
      <c r="AX183" s="139"/>
      <c r="AY183" s="139"/>
      <c r="AZ183" s="139"/>
      <c r="BA183" s="139"/>
      <c r="BB183" s="139"/>
    </row>
    <row r="184">
      <c r="A184" s="28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/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  <c r="AW184" s="139"/>
      <c r="AX184" s="139"/>
      <c r="AY184" s="139"/>
      <c r="AZ184" s="139"/>
      <c r="BA184" s="139"/>
      <c r="BB184" s="139"/>
    </row>
    <row r="185">
      <c r="A185" s="28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  <c r="AO185" s="139"/>
      <c r="AP185" s="139"/>
      <c r="AQ185" s="139"/>
      <c r="AR185" s="139"/>
      <c r="AS185" s="139"/>
      <c r="AT185" s="139"/>
      <c r="AU185" s="139"/>
      <c r="AV185" s="139"/>
      <c r="AW185" s="139"/>
      <c r="AX185" s="139"/>
      <c r="AY185" s="139"/>
      <c r="AZ185" s="139"/>
      <c r="BA185" s="139"/>
      <c r="BB185" s="139"/>
    </row>
    <row r="186">
      <c r="A186" s="28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/>
      <c r="AM186" s="139"/>
      <c r="AN186" s="139"/>
      <c r="AO186" s="139"/>
      <c r="AP186" s="139"/>
      <c r="AQ186" s="139"/>
      <c r="AR186" s="139"/>
      <c r="AS186" s="139"/>
      <c r="AT186" s="139"/>
      <c r="AU186" s="139"/>
      <c r="AV186" s="139"/>
      <c r="AW186" s="139"/>
      <c r="AX186" s="139"/>
      <c r="AY186" s="139"/>
      <c r="AZ186" s="139"/>
      <c r="BA186" s="139"/>
      <c r="BB186" s="139"/>
    </row>
    <row r="187">
      <c r="A187" s="28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9"/>
      <c r="AM187" s="139"/>
      <c r="AN187" s="139"/>
      <c r="AO187" s="139"/>
      <c r="AP187" s="139"/>
      <c r="AQ187" s="139"/>
      <c r="AR187" s="139"/>
      <c r="AS187" s="139"/>
      <c r="AT187" s="139"/>
      <c r="AU187" s="139"/>
      <c r="AV187" s="139"/>
      <c r="AW187" s="139"/>
      <c r="AX187" s="139"/>
      <c r="AY187" s="139"/>
      <c r="AZ187" s="139"/>
      <c r="BA187" s="139"/>
      <c r="BB187" s="139"/>
    </row>
    <row r="188">
      <c r="A188" s="28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9"/>
      <c r="AM188" s="139"/>
      <c r="AN188" s="139"/>
      <c r="AO188" s="139"/>
      <c r="AP188" s="139"/>
      <c r="AQ188" s="139"/>
      <c r="AR188" s="139"/>
      <c r="AS188" s="139"/>
      <c r="AT188" s="139"/>
      <c r="AU188" s="139"/>
      <c r="AV188" s="139"/>
      <c r="AW188" s="139"/>
      <c r="AX188" s="139"/>
      <c r="AY188" s="139"/>
      <c r="AZ188" s="139"/>
      <c r="BA188" s="139"/>
      <c r="BB188" s="139"/>
    </row>
    <row r="189">
      <c r="A189" s="28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9"/>
      <c r="AM189" s="139"/>
      <c r="AN189" s="139"/>
      <c r="AO189" s="139"/>
      <c r="AP189" s="139"/>
      <c r="AQ189" s="139"/>
      <c r="AR189" s="139"/>
      <c r="AS189" s="139"/>
      <c r="AT189" s="139"/>
      <c r="AU189" s="139"/>
      <c r="AV189" s="139"/>
      <c r="AW189" s="139"/>
      <c r="AX189" s="139"/>
      <c r="AY189" s="139"/>
      <c r="AZ189" s="139"/>
      <c r="BA189" s="139"/>
      <c r="BB189" s="139"/>
    </row>
    <row r="190">
      <c r="A190" s="28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/>
      <c r="AM190" s="139"/>
      <c r="AN190" s="139"/>
      <c r="AO190" s="139"/>
      <c r="AP190" s="139"/>
      <c r="AQ190" s="139"/>
      <c r="AR190" s="139"/>
      <c r="AS190" s="139"/>
      <c r="AT190" s="139"/>
      <c r="AU190" s="139"/>
      <c r="AV190" s="139"/>
      <c r="AW190" s="139"/>
      <c r="AX190" s="139"/>
      <c r="AY190" s="139"/>
      <c r="AZ190" s="139"/>
      <c r="BA190" s="139"/>
      <c r="BB190" s="139"/>
    </row>
    <row r="191">
      <c r="A191" s="28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39"/>
      <c r="AG191" s="139"/>
      <c r="AH191" s="139"/>
      <c r="AI191" s="139"/>
      <c r="AJ191" s="139"/>
      <c r="AK191" s="139"/>
      <c r="AL191" s="139"/>
      <c r="AM191" s="139"/>
      <c r="AN191" s="139"/>
      <c r="AO191" s="139"/>
      <c r="AP191" s="139"/>
      <c r="AQ191" s="139"/>
      <c r="AR191" s="139"/>
      <c r="AS191" s="139"/>
      <c r="AT191" s="139"/>
      <c r="AU191" s="139"/>
      <c r="AV191" s="139"/>
      <c r="AW191" s="139"/>
      <c r="AX191" s="139"/>
      <c r="AY191" s="139"/>
      <c r="AZ191" s="139"/>
      <c r="BA191" s="139"/>
      <c r="BB191" s="139"/>
    </row>
    <row r="192">
      <c r="A192" s="28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9"/>
      <c r="AM192" s="139"/>
      <c r="AN192" s="139"/>
      <c r="AO192" s="139"/>
      <c r="AP192" s="139"/>
      <c r="AQ192" s="139"/>
      <c r="AR192" s="139"/>
      <c r="AS192" s="139"/>
      <c r="AT192" s="139"/>
      <c r="AU192" s="139"/>
      <c r="AV192" s="139"/>
      <c r="AW192" s="139"/>
      <c r="AX192" s="139"/>
      <c r="AY192" s="139"/>
      <c r="AZ192" s="139"/>
      <c r="BA192" s="139"/>
      <c r="BB192" s="139"/>
    </row>
    <row r="193">
      <c r="A193" s="28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  <c r="AC193" s="139"/>
      <c r="AD193" s="139"/>
      <c r="AE193" s="139"/>
      <c r="AF193" s="139"/>
      <c r="AG193" s="139"/>
      <c r="AH193" s="139"/>
      <c r="AI193" s="139"/>
      <c r="AJ193" s="139"/>
      <c r="AK193" s="139"/>
      <c r="AL193" s="139"/>
      <c r="AM193" s="139"/>
      <c r="AN193" s="139"/>
      <c r="AO193" s="139"/>
      <c r="AP193" s="139"/>
      <c r="AQ193" s="139"/>
      <c r="AR193" s="139"/>
      <c r="AS193" s="139"/>
      <c r="AT193" s="139"/>
      <c r="AU193" s="139"/>
      <c r="AV193" s="139"/>
      <c r="AW193" s="139"/>
      <c r="AX193" s="139"/>
      <c r="AY193" s="139"/>
      <c r="AZ193" s="139"/>
      <c r="BA193" s="139"/>
      <c r="BB193" s="139"/>
    </row>
    <row r="194">
      <c r="A194" s="28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9"/>
      <c r="AM194" s="139"/>
      <c r="AN194" s="139"/>
      <c r="AO194" s="139"/>
      <c r="AP194" s="139"/>
      <c r="AQ194" s="139"/>
      <c r="AR194" s="139"/>
      <c r="AS194" s="139"/>
      <c r="AT194" s="139"/>
      <c r="AU194" s="139"/>
      <c r="AV194" s="139"/>
      <c r="AW194" s="139"/>
      <c r="AX194" s="139"/>
      <c r="AY194" s="139"/>
      <c r="AZ194" s="139"/>
      <c r="BA194" s="139"/>
      <c r="BB194" s="139"/>
    </row>
    <row r="195">
      <c r="A195" s="28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139"/>
      <c r="AP195" s="139"/>
      <c r="AQ195" s="139"/>
      <c r="AR195" s="139"/>
      <c r="AS195" s="139"/>
      <c r="AT195" s="139"/>
      <c r="AU195" s="139"/>
      <c r="AV195" s="139"/>
      <c r="AW195" s="139"/>
      <c r="AX195" s="139"/>
      <c r="AY195" s="139"/>
      <c r="AZ195" s="139"/>
      <c r="BA195" s="139"/>
      <c r="BB195" s="139"/>
    </row>
    <row r="196">
      <c r="A196" s="28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  <c r="AO196" s="139"/>
      <c r="AP196" s="139"/>
      <c r="AQ196" s="139"/>
      <c r="AR196" s="139"/>
      <c r="AS196" s="139"/>
      <c r="AT196" s="139"/>
      <c r="AU196" s="139"/>
      <c r="AV196" s="139"/>
      <c r="AW196" s="139"/>
      <c r="AX196" s="139"/>
      <c r="AY196" s="139"/>
      <c r="AZ196" s="139"/>
      <c r="BA196" s="139"/>
      <c r="BB196" s="139"/>
    </row>
    <row r="197">
      <c r="A197" s="28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  <c r="AS197" s="139"/>
      <c r="AT197" s="139"/>
      <c r="AU197" s="139"/>
      <c r="AV197" s="139"/>
      <c r="AW197" s="139"/>
      <c r="AX197" s="139"/>
      <c r="AY197" s="139"/>
      <c r="AZ197" s="139"/>
      <c r="BA197" s="139"/>
      <c r="BB197" s="139"/>
    </row>
    <row r="198">
      <c r="A198" s="28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9"/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39"/>
      <c r="AW198" s="139"/>
      <c r="AX198" s="139"/>
      <c r="AY198" s="139"/>
      <c r="AZ198" s="139"/>
      <c r="BA198" s="139"/>
      <c r="BB198" s="139"/>
    </row>
    <row r="199">
      <c r="A199" s="28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  <c r="AO199" s="139"/>
      <c r="AP199" s="139"/>
      <c r="AQ199" s="139"/>
      <c r="AR199" s="139"/>
      <c r="AS199" s="139"/>
      <c r="AT199" s="139"/>
      <c r="AU199" s="139"/>
      <c r="AV199" s="139"/>
      <c r="AW199" s="139"/>
      <c r="AX199" s="139"/>
      <c r="AY199" s="139"/>
      <c r="AZ199" s="139"/>
      <c r="BA199" s="139"/>
      <c r="BB199" s="139"/>
    </row>
    <row r="200">
      <c r="A200" s="28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9"/>
      <c r="AM200" s="139"/>
      <c r="AN200" s="139"/>
      <c r="AO200" s="139"/>
      <c r="AP200" s="139"/>
      <c r="AQ200" s="139"/>
      <c r="AR200" s="139"/>
      <c r="AS200" s="139"/>
      <c r="AT200" s="139"/>
      <c r="AU200" s="139"/>
      <c r="AV200" s="139"/>
      <c r="AW200" s="139"/>
      <c r="AX200" s="139"/>
      <c r="AY200" s="139"/>
      <c r="AZ200" s="139"/>
      <c r="BA200" s="139"/>
      <c r="BB200" s="139"/>
    </row>
    <row r="201">
      <c r="A201" s="28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  <c r="AF201" s="139"/>
      <c r="AG201" s="139"/>
      <c r="AH201" s="139"/>
      <c r="AI201" s="139"/>
      <c r="AJ201" s="139"/>
      <c r="AK201" s="139"/>
      <c r="AL201" s="139"/>
      <c r="AM201" s="139"/>
      <c r="AN201" s="139"/>
      <c r="AO201" s="139"/>
      <c r="AP201" s="139"/>
      <c r="AQ201" s="139"/>
      <c r="AR201" s="139"/>
      <c r="AS201" s="139"/>
      <c r="AT201" s="139"/>
      <c r="AU201" s="139"/>
      <c r="AV201" s="139"/>
      <c r="AW201" s="139"/>
      <c r="AX201" s="139"/>
      <c r="AY201" s="139"/>
      <c r="AZ201" s="139"/>
      <c r="BA201" s="139"/>
      <c r="BB201" s="139"/>
    </row>
    <row r="202">
      <c r="A202" s="28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39"/>
      <c r="BB202" s="139"/>
    </row>
    <row r="203">
      <c r="A203" s="28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s="139"/>
      <c r="AV203" s="139"/>
      <c r="AW203" s="139"/>
      <c r="AX203" s="139"/>
      <c r="AY203" s="139"/>
      <c r="AZ203" s="139"/>
      <c r="BA203" s="139"/>
      <c r="BB203" s="139"/>
    </row>
    <row r="204">
      <c r="A204" s="28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/>
      <c r="AM204" s="139"/>
      <c r="AN204" s="139"/>
      <c r="AO204" s="139"/>
      <c r="AP204" s="139"/>
      <c r="AQ204" s="139"/>
      <c r="AR204" s="139"/>
      <c r="AS204" s="139"/>
      <c r="AT204" s="139"/>
      <c r="AU204" s="139"/>
      <c r="AV204" s="139"/>
      <c r="AW204" s="139"/>
      <c r="AX204" s="139"/>
      <c r="AY204" s="139"/>
      <c r="AZ204" s="139"/>
      <c r="BA204" s="139"/>
      <c r="BB204" s="139"/>
    </row>
    <row r="205">
      <c r="A205" s="28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39"/>
      <c r="AG205" s="139"/>
      <c r="AH205" s="139"/>
      <c r="AI205" s="139"/>
      <c r="AJ205" s="139"/>
      <c r="AK205" s="139"/>
      <c r="AL205" s="139"/>
      <c r="AM205" s="139"/>
      <c r="AN205" s="139"/>
      <c r="AO205" s="139"/>
      <c r="AP205" s="139"/>
      <c r="AQ205" s="139"/>
      <c r="AR205" s="139"/>
      <c r="AS205" s="139"/>
      <c r="AT205" s="139"/>
      <c r="AU205" s="139"/>
      <c r="AV205" s="139"/>
      <c r="AW205" s="139"/>
      <c r="AX205" s="139"/>
      <c r="AY205" s="139"/>
      <c r="AZ205" s="139"/>
      <c r="BA205" s="139"/>
      <c r="BB205" s="139"/>
    </row>
    <row r="206">
      <c r="A206" s="28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  <c r="AO206" s="139"/>
      <c r="AP206" s="139"/>
      <c r="AQ206" s="139"/>
      <c r="AR206" s="139"/>
      <c r="AS206" s="139"/>
      <c r="AT206" s="139"/>
      <c r="AU206" s="139"/>
      <c r="AV206" s="139"/>
      <c r="AW206" s="139"/>
      <c r="AX206" s="139"/>
      <c r="AY206" s="139"/>
      <c r="AZ206" s="139"/>
      <c r="BA206" s="139"/>
      <c r="BB206" s="139"/>
    </row>
    <row r="207">
      <c r="A207" s="28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  <c r="AF207" s="139"/>
      <c r="AG207" s="139"/>
      <c r="AH207" s="139"/>
      <c r="AI207" s="139"/>
      <c r="AJ207" s="139"/>
      <c r="AK207" s="139"/>
      <c r="AL207" s="139"/>
      <c r="AM207" s="139"/>
      <c r="AN207" s="139"/>
      <c r="AO207" s="139"/>
      <c r="AP207" s="139"/>
      <c r="AQ207" s="139"/>
      <c r="AR207" s="139"/>
      <c r="AS207" s="139"/>
      <c r="AT207" s="139"/>
      <c r="AU207" s="139"/>
      <c r="AV207" s="139"/>
      <c r="AW207" s="139"/>
      <c r="AX207" s="139"/>
      <c r="AY207" s="139"/>
      <c r="AZ207" s="139"/>
      <c r="BA207" s="139"/>
      <c r="BB207" s="139"/>
    </row>
    <row r="208">
      <c r="A208" s="28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  <c r="AO208" s="139"/>
      <c r="AP208" s="139"/>
      <c r="AQ208" s="139"/>
      <c r="AR208" s="139"/>
      <c r="AS208" s="139"/>
      <c r="AT208" s="139"/>
      <c r="AU208" s="139"/>
      <c r="AV208" s="139"/>
      <c r="AW208" s="139"/>
      <c r="AX208" s="139"/>
      <c r="AY208" s="139"/>
      <c r="AZ208" s="139"/>
      <c r="BA208" s="139"/>
      <c r="BB208" s="139"/>
    </row>
    <row r="209">
      <c r="A209" s="28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O209" s="139"/>
      <c r="AP209" s="139"/>
      <c r="AQ209" s="139"/>
      <c r="AR209" s="139"/>
      <c r="AS209" s="139"/>
      <c r="AT209" s="139"/>
      <c r="AU209" s="139"/>
      <c r="AV209" s="139"/>
      <c r="AW209" s="139"/>
      <c r="AX209" s="139"/>
      <c r="AY209" s="139"/>
      <c r="AZ209" s="139"/>
      <c r="BA209" s="139"/>
      <c r="BB209" s="139"/>
    </row>
    <row r="210">
      <c r="A210" s="28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  <c r="AO210" s="139"/>
      <c r="AP210" s="139"/>
      <c r="AQ210" s="139"/>
      <c r="AR210" s="139"/>
      <c r="AS210" s="139"/>
      <c r="AT210" s="139"/>
      <c r="AU210" s="139"/>
      <c r="AV210" s="139"/>
      <c r="AW210" s="139"/>
      <c r="AX210" s="139"/>
      <c r="AY210" s="139"/>
      <c r="AZ210" s="139"/>
      <c r="BA210" s="139"/>
      <c r="BB210" s="139"/>
    </row>
    <row r="211">
      <c r="A211" s="28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O211" s="139"/>
      <c r="AP211" s="139"/>
      <c r="AQ211" s="139"/>
      <c r="AR211" s="139"/>
      <c r="AS211" s="139"/>
      <c r="AT211" s="139"/>
      <c r="AU211" s="139"/>
      <c r="AV211" s="139"/>
      <c r="AW211" s="139"/>
      <c r="AX211" s="139"/>
      <c r="AY211" s="139"/>
      <c r="AZ211" s="139"/>
      <c r="BA211" s="139"/>
      <c r="BB211" s="139"/>
    </row>
    <row r="212">
      <c r="A212" s="28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O212" s="139"/>
      <c r="AP212" s="139"/>
      <c r="AQ212" s="139"/>
      <c r="AR212" s="139"/>
      <c r="AS212" s="139"/>
      <c r="AT212" s="139"/>
      <c r="AU212" s="139"/>
      <c r="AV212" s="139"/>
      <c r="AW212" s="139"/>
      <c r="AX212" s="139"/>
      <c r="AY212" s="139"/>
      <c r="AZ212" s="139"/>
      <c r="BA212" s="139"/>
      <c r="BB212" s="139"/>
    </row>
    <row r="213">
      <c r="A213" s="28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  <c r="AO213" s="139"/>
      <c r="AP213" s="139"/>
      <c r="AQ213" s="139"/>
      <c r="AR213" s="139"/>
      <c r="AS213" s="139"/>
      <c r="AT213" s="139"/>
      <c r="AU213" s="139"/>
      <c r="AV213" s="139"/>
      <c r="AW213" s="139"/>
      <c r="AX213" s="139"/>
      <c r="AY213" s="139"/>
      <c r="AZ213" s="139"/>
      <c r="BA213" s="139"/>
      <c r="BB213" s="139"/>
    </row>
    <row r="214">
      <c r="A214" s="28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  <c r="AE214" s="139"/>
      <c r="AF214" s="139"/>
      <c r="AG214" s="139"/>
      <c r="AH214" s="139"/>
      <c r="AI214" s="139"/>
      <c r="AJ214" s="139"/>
      <c r="AK214" s="139"/>
      <c r="AL214" s="139"/>
      <c r="AM214" s="139"/>
      <c r="AN214" s="139"/>
      <c r="AO214" s="139"/>
      <c r="AP214" s="139"/>
      <c r="AQ214" s="139"/>
      <c r="AR214" s="139"/>
      <c r="AS214" s="139"/>
      <c r="AT214" s="139"/>
      <c r="AU214" s="139"/>
      <c r="AV214" s="139"/>
      <c r="AW214" s="139"/>
      <c r="AX214" s="139"/>
      <c r="AY214" s="139"/>
      <c r="AZ214" s="139"/>
      <c r="BA214" s="139"/>
      <c r="BB214" s="139"/>
    </row>
    <row r="215">
      <c r="A215" s="28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139"/>
      <c r="AI215" s="139"/>
      <c r="AJ215" s="139"/>
      <c r="AK215" s="139"/>
      <c r="AL215" s="139"/>
      <c r="AM215" s="139"/>
      <c r="AN215" s="139"/>
      <c r="AO215" s="139"/>
      <c r="AP215" s="139"/>
      <c r="AQ215" s="139"/>
      <c r="AR215" s="139"/>
      <c r="AS215" s="139"/>
      <c r="AT215" s="139"/>
      <c r="AU215" s="139"/>
      <c r="AV215" s="139"/>
      <c r="AW215" s="139"/>
      <c r="AX215" s="139"/>
      <c r="AY215" s="139"/>
      <c r="AZ215" s="139"/>
      <c r="BA215" s="139"/>
      <c r="BB215" s="139"/>
    </row>
    <row r="216">
      <c r="A216" s="28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9"/>
      <c r="AM216" s="139"/>
      <c r="AN216" s="139"/>
      <c r="AO216" s="139"/>
      <c r="AP216" s="139"/>
      <c r="AQ216" s="139"/>
      <c r="AR216" s="139"/>
      <c r="AS216" s="139"/>
      <c r="AT216" s="139"/>
      <c r="AU216" s="139"/>
      <c r="AV216" s="139"/>
      <c r="AW216" s="139"/>
      <c r="AX216" s="139"/>
      <c r="AY216" s="139"/>
      <c r="AZ216" s="139"/>
      <c r="BA216" s="139"/>
      <c r="BB216" s="139"/>
    </row>
    <row r="217">
      <c r="A217" s="28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  <c r="AO217" s="139"/>
      <c r="AP217" s="139"/>
      <c r="AQ217" s="139"/>
      <c r="AR217" s="139"/>
      <c r="AS217" s="139"/>
      <c r="AT217" s="139"/>
      <c r="AU217" s="139"/>
      <c r="AV217" s="139"/>
      <c r="AW217" s="139"/>
      <c r="AX217" s="139"/>
      <c r="AY217" s="139"/>
      <c r="AZ217" s="139"/>
      <c r="BA217" s="139"/>
      <c r="BB217" s="139"/>
    </row>
    <row r="218">
      <c r="A218" s="28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s="139"/>
      <c r="AV218" s="139"/>
      <c r="AW218" s="139"/>
      <c r="AX218" s="139"/>
      <c r="AY218" s="139"/>
      <c r="AZ218" s="139"/>
      <c r="BA218" s="139"/>
      <c r="BB218" s="139"/>
    </row>
    <row r="219">
      <c r="A219" s="28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  <c r="AO219" s="139"/>
      <c r="AP219" s="139"/>
      <c r="AQ219" s="139"/>
      <c r="AR219" s="139"/>
      <c r="AS219" s="139"/>
      <c r="AT219" s="139"/>
      <c r="AU219" s="139"/>
      <c r="AV219" s="139"/>
      <c r="AW219" s="139"/>
      <c r="AX219" s="139"/>
      <c r="AY219" s="139"/>
      <c r="AZ219" s="139"/>
      <c r="BA219" s="139"/>
      <c r="BB219" s="139"/>
    </row>
    <row r="220">
      <c r="A220" s="28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39"/>
      <c r="AD220" s="139"/>
      <c r="AE220" s="139"/>
      <c r="AF220" s="139"/>
      <c r="AG220" s="139"/>
      <c r="AH220" s="139"/>
      <c r="AI220" s="139"/>
      <c r="AJ220" s="139"/>
      <c r="AK220" s="139"/>
      <c r="AL220" s="139"/>
      <c r="AM220" s="139"/>
      <c r="AN220" s="139"/>
      <c r="AO220" s="139"/>
      <c r="AP220" s="139"/>
      <c r="AQ220" s="139"/>
      <c r="AR220" s="139"/>
      <c r="AS220" s="139"/>
      <c r="AT220" s="139"/>
      <c r="AU220" s="139"/>
      <c r="AV220" s="139"/>
      <c r="AW220" s="139"/>
      <c r="AX220" s="139"/>
      <c r="AY220" s="139"/>
      <c r="AZ220" s="139"/>
      <c r="BA220" s="139"/>
      <c r="BB220" s="139"/>
    </row>
    <row r="221">
      <c r="A221" s="28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39"/>
      <c r="AH221" s="139"/>
      <c r="AI221" s="139"/>
      <c r="AJ221" s="139"/>
      <c r="AK221" s="139"/>
      <c r="AL221" s="139"/>
      <c r="AM221" s="139"/>
      <c r="AN221" s="139"/>
      <c r="AO221" s="139"/>
      <c r="AP221" s="139"/>
      <c r="AQ221" s="139"/>
      <c r="AR221" s="139"/>
      <c r="AS221" s="139"/>
      <c r="AT221" s="139"/>
      <c r="AU221" s="139"/>
      <c r="AV221" s="139"/>
      <c r="AW221" s="139"/>
      <c r="AX221" s="139"/>
      <c r="AY221" s="139"/>
      <c r="AZ221" s="139"/>
      <c r="BA221" s="139"/>
      <c r="BB221" s="139"/>
    </row>
    <row r="222">
      <c r="A222" s="28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O222" s="139"/>
      <c r="AP222" s="139"/>
      <c r="AQ222" s="139"/>
      <c r="AR222" s="139"/>
      <c r="AS222" s="139"/>
      <c r="AT222" s="139"/>
      <c r="AU222" s="139"/>
      <c r="AV222" s="139"/>
      <c r="AW222" s="139"/>
      <c r="AX222" s="139"/>
      <c r="AY222" s="139"/>
      <c r="AZ222" s="139"/>
      <c r="BA222" s="139"/>
      <c r="BB222" s="139"/>
    </row>
    <row r="223">
      <c r="A223" s="28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  <c r="AO223" s="139"/>
      <c r="AP223" s="139"/>
      <c r="AQ223" s="139"/>
      <c r="AR223" s="139"/>
      <c r="AS223" s="139"/>
      <c r="AT223" s="139"/>
      <c r="AU223" s="139"/>
      <c r="AV223" s="139"/>
      <c r="AW223" s="139"/>
      <c r="AX223" s="139"/>
      <c r="AY223" s="139"/>
      <c r="AZ223" s="139"/>
      <c r="BA223" s="139"/>
      <c r="BB223" s="139"/>
    </row>
    <row r="224">
      <c r="A224" s="28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O224" s="139"/>
      <c r="AP224" s="139"/>
      <c r="AQ224" s="139"/>
      <c r="AR224" s="139"/>
      <c r="AS224" s="139"/>
      <c r="AT224" s="139"/>
      <c r="AU224" s="139"/>
      <c r="AV224" s="139"/>
      <c r="AW224" s="139"/>
      <c r="AX224" s="139"/>
      <c r="AY224" s="139"/>
      <c r="AZ224" s="139"/>
      <c r="BA224" s="139"/>
      <c r="BB224" s="139"/>
    </row>
    <row r="225">
      <c r="A225" s="28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O225" s="139"/>
      <c r="AP225" s="139"/>
      <c r="AQ225" s="139"/>
      <c r="AR225" s="139"/>
      <c r="AS225" s="139"/>
      <c r="AT225" s="139"/>
      <c r="AU225" s="139"/>
      <c r="AV225" s="139"/>
      <c r="AW225" s="139"/>
      <c r="AX225" s="139"/>
      <c r="AY225" s="139"/>
      <c r="AZ225" s="139"/>
      <c r="BA225" s="139"/>
      <c r="BB225" s="139"/>
    </row>
    <row r="226">
      <c r="A226" s="28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  <c r="AO226" s="139"/>
      <c r="AP226" s="139"/>
      <c r="AQ226" s="139"/>
      <c r="AR226" s="139"/>
      <c r="AS226" s="139"/>
      <c r="AT226" s="139"/>
      <c r="AU226" s="139"/>
      <c r="AV226" s="139"/>
      <c r="AW226" s="139"/>
      <c r="AX226" s="139"/>
      <c r="AY226" s="139"/>
      <c r="AZ226" s="139"/>
      <c r="BA226" s="139"/>
      <c r="BB226" s="139"/>
    </row>
    <row r="227">
      <c r="A227" s="28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O227" s="139"/>
      <c r="AP227" s="139"/>
      <c r="AQ227" s="139"/>
      <c r="AR227" s="139"/>
      <c r="AS227" s="139"/>
      <c r="AT227" s="139"/>
      <c r="AU227" s="139"/>
      <c r="AV227" s="139"/>
      <c r="AW227" s="139"/>
      <c r="AX227" s="139"/>
      <c r="AY227" s="139"/>
      <c r="AZ227" s="139"/>
      <c r="BA227" s="139"/>
      <c r="BB227" s="139"/>
    </row>
    <row r="228">
      <c r="A228" s="28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  <c r="AO228" s="139"/>
      <c r="AP228" s="139"/>
      <c r="AQ228" s="139"/>
      <c r="AR228" s="139"/>
      <c r="AS228" s="139"/>
      <c r="AT228" s="139"/>
      <c r="AU228" s="139"/>
      <c r="AV228" s="139"/>
      <c r="AW228" s="139"/>
      <c r="AX228" s="139"/>
      <c r="AY228" s="139"/>
      <c r="AZ228" s="139"/>
      <c r="BA228" s="139"/>
      <c r="BB228" s="139"/>
    </row>
    <row r="229">
      <c r="A229" s="28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O229" s="139"/>
      <c r="AP229" s="139"/>
      <c r="AQ229" s="139"/>
      <c r="AR229" s="139"/>
      <c r="AS229" s="139"/>
      <c r="AT229" s="139"/>
      <c r="AU229" s="139"/>
      <c r="AV229" s="139"/>
      <c r="AW229" s="139"/>
      <c r="AX229" s="139"/>
      <c r="AY229" s="139"/>
      <c r="AZ229" s="139"/>
      <c r="BA229" s="139"/>
      <c r="BB229" s="139"/>
    </row>
    <row r="230">
      <c r="A230" s="28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  <c r="AO230" s="139"/>
      <c r="AP230" s="139"/>
      <c r="AQ230" s="139"/>
      <c r="AR230" s="139"/>
      <c r="AS230" s="139"/>
      <c r="AT230" s="139"/>
      <c r="AU230" s="139"/>
      <c r="AV230" s="139"/>
      <c r="AW230" s="139"/>
      <c r="AX230" s="139"/>
      <c r="AY230" s="139"/>
      <c r="AZ230" s="139"/>
      <c r="BA230" s="139"/>
      <c r="BB230" s="139"/>
    </row>
    <row r="231">
      <c r="A231" s="28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s="139"/>
      <c r="AV231" s="139"/>
      <c r="AW231" s="139"/>
      <c r="AX231" s="139"/>
      <c r="AY231" s="139"/>
      <c r="AZ231" s="139"/>
      <c r="BA231" s="139"/>
      <c r="BB231" s="139"/>
    </row>
    <row r="232">
      <c r="A232" s="28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  <c r="AO232" s="139"/>
      <c r="AP232" s="139"/>
      <c r="AQ232" s="139"/>
      <c r="AR232" s="139"/>
      <c r="AS232" s="139"/>
      <c r="AT232" s="139"/>
      <c r="AU232" s="139"/>
      <c r="AV232" s="139"/>
      <c r="AW232" s="139"/>
      <c r="AX232" s="139"/>
      <c r="AY232" s="139"/>
      <c r="AZ232" s="139"/>
      <c r="BA232" s="139"/>
      <c r="BB232" s="139"/>
    </row>
    <row r="233">
      <c r="A233" s="28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  <c r="AE233" s="139"/>
      <c r="AF233" s="139"/>
      <c r="AG233" s="139"/>
      <c r="AH233" s="139"/>
      <c r="AI233" s="139"/>
      <c r="AJ233" s="139"/>
      <c r="AK233" s="139"/>
      <c r="AL233" s="139"/>
      <c r="AM233" s="139"/>
      <c r="AN233" s="139"/>
      <c r="AO233" s="139"/>
      <c r="AP233" s="139"/>
      <c r="AQ233" s="139"/>
      <c r="AR233" s="139"/>
      <c r="AS233" s="139"/>
      <c r="AT233" s="139"/>
      <c r="AU233" s="139"/>
      <c r="AV233" s="139"/>
      <c r="AW233" s="139"/>
      <c r="AX233" s="139"/>
      <c r="AY233" s="139"/>
      <c r="AZ233" s="139"/>
      <c r="BA233" s="139"/>
      <c r="BB233" s="139"/>
    </row>
    <row r="234">
      <c r="A234" s="28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O234" s="139"/>
      <c r="AP234" s="139"/>
      <c r="AQ234" s="139"/>
      <c r="AR234" s="139"/>
      <c r="AS234" s="139"/>
      <c r="AT234" s="139"/>
      <c r="AU234" s="139"/>
      <c r="AV234" s="139"/>
      <c r="AW234" s="139"/>
      <c r="AX234" s="139"/>
      <c r="AY234" s="139"/>
      <c r="AZ234" s="139"/>
      <c r="BA234" s="139"/>
      <c r="BB234" s="139"/>
    </row>
    <row r="235">
      <c r="A235" s="28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  <c r="AO235" s="139"/>
      <c r="AP235" s="139"/>
      <c r="AQ235" s="139"/>
      <c r="AR235" s="139"/>
      <c r="AS235" s="139"/>
      <c r="AT235" s="139"/>
      <c r="AU235" s="139"/>
      <c r="AV235" s="139"/>
      <c r="AW235" s="139"/>
      <c r="AX235" s="139"/>
      <c r="AY235" s="139"/>
      <c r="AZ235" s="139"/>
      <c r="BA235" s="139"/>
      <c r="BB235" s="139"/>
    </row>
    <row r="236">
      <c r="A236" s="28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9"/>
      <c r="AM236" s="139"/>
      <c r="AN236" s="139"/>
      <c r="AO236" s="139"/>
      <c r="AP236" s="139"/>
      <c r="AQ236" s="139"/>
      <c r="AR236" s="139"/>
      <c r="AS236" s="139"/>
      <c r="AT236" s="139"/>
      <c r="AU236" s="139"/>
      <c r="AV236" s="139"/>
      <c r="AW236" s="139"/>
      <c r="AX236" s="139"/>
      <c r="AY236" s="139"/>
      <c r="AZ236" s="139"/>
      <c r="BA236" s="139"/>
      <c r="BB236" s="139"/>
    </row>
    <row r="237">
      <c r="A237" s="28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  <c r="AO237" s="139"/>
      <c r="AP237" s="139"/>
      <c r="AQ237" s="139"/>
      <c r="AR237" s="139"/>
      <c r="AS237" s="139"/>
      <c r="AT237" s="139"/>
      <c r="AU237" s="139"/>
      <c r="AV237" s="139"/>
      <c r="AW237" s="139"/>
      <c r="AX237" s="139"/>
      <c r="AY237" s="139"/>
      <c r="AZ237" s="139"/>
      <c r="BA237" s="139"/>
      <c r="BB237" s="139"/>
    </row>
    <row r="238">
      <c r="A238" s="28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9"/>
      <c r="AM238" s="139"/>
      <c r="AN238" s="139"/>
      <c r="AO238" s="139"/>
      <c r="AP238" s="139"/>
      <c r="AQ238" s="139"/>
      <c r="AR238" s="139"/>
      <c r="AS238" s="139"/>
      <c r="AT238" s="139"/>
      <c r="AU238" s="139"/>
      <c r="AV238" s="139"/>
      <c r="AW238" s="139"/>
      <c r="AX238" s="139"/>
      <c r="AY238" s="139"/>
      <c r="AZ238" s="139"/>
      <c r="BA238" s="139"/>
      <c r="BB238" s="139"/>
    </row>
    <row r="239">
      <c r="A239" s="28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  <c r="AF239" s="139"/>
      <c r="AG239" s="139"/>
      <c r="AH239" s="139"/>
      <c r="AI239" s="139"/>
      <c r="AJ239" s="139"/>
      <c r="AK239" s="139"/>
      <c r="AL239" s="139"/>
      <c r="AM239" s="139"/>
      <c r="AN239" s="139"/>
      <c r="AO239" s="139"/>
      <c r="AP239" s="139"/>
      <c r="AQ239" s="139"/>
      <c r="AR239" s="139"/>
      <c r="AS239" s="139"/>
      <c r="AT239" s="139"/>
      <c r="AU239" s="139"/>
      <c r="AV239" s="139"/>
      <c r="AW239" s="139"/>
      <c r="AX239" s="139"/>
      <c r="AY239" s="139"/>
      <c r="AZ239" s="139"/>
      <c r="BA239" s="139"/>
      <c r="BB239" s="139"/>
    </row>
    <row r="240">
      <c r="A240" s="28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  <c r="AF240" s="139"/>
      <c r="AG240" s="139"/>
      <c r="AH240" s="139"/>
      <c r="AI240" s="139"/>
      <c r="AJ240" s="139"/>
      <c r="AK240" s="139"/>
      <c r="AL240" s="139"/>
      <c r="AM240" s="139"/>
      <c r="AN240" s="139"/>
      <c r="AO240" s="139"/>
      <c r="AP240" s="139"/>
      <c r="AQ240" s="139"/>
      <c r="AR240" s="139"/>
      <c r="AS240" s="139"/>
      <c r="AT240" s="139"/>
      <c r="AU240" s="139"/>
      <c r="AV240" s="139"/>
      <c r="AW240" s="139"/>
      <c r="AX240" s="139"/>
      <c r="AY240" s="139"/>
      <c r="AZ240" s="139"/>
      <c r="BA240" s="139"/>
      <c r="BB240" s="139"/>
    </row>
    <row r="241">
      <c r="A241" s="28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  <c r="AO241" s="139"/>
      <c r="AP241" s="139"/>
      <c r="AQ241" s="139"/>
      <c r="AR241" s="139"/>
      <c r="AS241" s="139"/>
      <c r="AT241" s="139"/>
      <c r="AU241" s="139"/>
      <c r="AV241" s="139"/>
      <c r="AW241" s="139"/>
      <c r="AX241" s="139"/>
      <c r="AY241" s="139"/>
      <c r="AZ241" s="139"/>
      <c r="BA241" s="139"/>
      <c r="BB241" s="139"/>
    </row>
    <row r="242">
      <c r="A242" s="28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  <c r="AE242" s="139"/>
      <c r="AF242" s="139"/>
      <c r="AG242" s="139"/>
      <c r="AH242" s="139"/>
      <c r="AI242" s="139"/>
      <c r="AJ242" s="139"/>
      <c r="AK242" s="139"/>
      <c r="AL242" s="139"/>
      <c r="AM242" s="139"/>
      <c r="AN242" s="139"/>
      <c r="AO242" s="139"/>
      <c r="AP242" s="139"/>
      <c r="AQ242" s="139"/>
      <c r="AR242" s="139"/>
      <c r="AS242" s="139"/>
      <c r="AT242" s="139"/>
      <c r="AU242" s="139"/>
      <c r="AV242" s="139"/>
      <c r="AW242" s="139"/>
      <c r="AX242" s="139"/>
      <c r="AY242" s="139"/>
      <c r="AZ242" s="139"/>
      <c r="BA242" s="139"/>
      <c r="BB242" s="139"/>
    </row>
    <row r="243">
      <c r="A243" s="28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/>
      <c r="AP243" s="139"/>
      <c r="AQ243" s="139"/>
      <c r="AR243" s="139"/>
      <c r="AS243" s="139"/>
      <c r="AT243" s="139"/>
      <c r="AU243" s="139"/>
      <c r="AV243" s="139"/>
      <c r="AW243" s="139"/>
      <c r="AX243" s="139"/>
      <c r="AY243" s="139"/>
      <c r="AZ243" s="139"/>
      <c r="BA243" s="139"/>
      <c r="BB243" s="139"/>
    </row>
    <row r="244">
      <c r="A244" s="28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39"/>
      <c r="AF244" s="139"/>
      <c r="AG244" s="139"/>
      <c r="AH244" s="139"/>
      <c r="AI244" s="139"/>
      <c r="AJ244" s="139"/>
      <c r="AK244" s="139"/>
      <c r="AL244" s="139"/>
      <c r="AM244" s="139"/>
      <c r="AN244" s="139"/>
      <c r="AO244" s="139"/>
      <c r="AP244" s="139"/>
      <c r="AQ244" s="139"/>
      <c r="AR244" s="139"/>
      <c r="AS244" s="139"/>
      <c r="AT244" s="139"/>
      <c r="AU244" s="139"/>
      <c r="AV244" s="139"/>
      <c r="AW244" s="139"/>
      <c r="AX244" s="139"/>
      <c r="AY244" s="139"/>
      <c r="AZ244" s="139"/>
      <c r="BA244" s="139"/>
      <c r="BB244" s="139"/>
    </row>
    <row r="245">
      <c r="A245" s="28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39"/>
      <c r="BB245" s="139"/>
    </row>
    <row r="246">
      <c r="A246" s="28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39"/>
      <c r="AD246" s="139"/>
      <c r="AE246" s="139"/>
      <c r="AF246" s="139"/>
      <c r="AG246" s="139"/>
      <c r="AH246" s="139"/>
      <c r="AI246" s="139"/>
      <c r="AJ246" s="139"/>
      <c r="AK246" s="139"/>
      <c r="AL246" s="139"/>
      <c r="AM246" s="139"/>
      <c r="AN246" s="139"/>
      <c r="AO246" s="139"/>
      <c r="AP246" s="139"/>
      <c r="AQ246" s="139"/>
      <c r="AR246" s="139"/>
      <c r="AS246" s="139"/>
      <c r="AT246" s="139"/>
      <c r="AU246" s="139"/>
      <c r="AV246" s="139"/>
      <c r="AW246" s="139"/>
      <c r="AX246" s="139"/>
      <c r="AY246" s="139"/>
      <c r="AZ246" s="139"/>
      <c r="BA246" s="139"/>
      <c r="BB246" s="139"/>
    </row>
    <row r="247">
      <c r="A247" s="28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  <c r="AO247" s="139"/>
      <c r="AP247" s="139"/>
      <c r="AQ247" s="139"/>
      <c r="AR247" s="139"/>
      <c r="AS247" s="139"/>
      <c r="AT247" s="139"/>
      <c r="AU247" s="139"/>
      <c r="AV247" s="139"/>
      <c r="AW247" s="139"/>
      <c r="AX247" s="139"/>
      <c r="AY247" s="139"/>
      <c r="AZ247" s="139"/>
      <c r="BA247" s="139"/>
      <c r="BB247" s="139"/>
    </row>
    <row r="248">
      <c r="A248" s="28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  <c r="AQ248" s="139"/>
      <c r="AR248" s="139"/>
      <c r="AS248" s="139"/>
      <c r="AT248" s="139"/>
      <c r="AU248" s="139"/>
      <c r="AV248" s="139"/>
      <c r="AW248" s="139"/>
      <c r="AX248" s="139"/>
      <c r="AY248" s="139"/>
      <c r="AZ248" s="139"/>
      <c r="BA248" s="139"/>
      <c r="BB248" s="139"/>
    </row>
    <row r="249">
      <c r="A249" s="28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  <c r="AF249" s="139"/>
      <c r="AG249" s="139"/>
      <c r="AH249" s="139"/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  <c r="AW249" s="139"/>
      <c r="AX249" s="139"/>
      <c r="AY249" s="139"/>
      <c r="AZ249" s="139"/>
      <c r="BA249" s="139"/>
      <c r="BB249" s="139"/>
    </row>
    <row r="250">
      <c r="A250" s="28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  <c r="AE250" s="139"/>
      <c r="AF250" s="139"/>
      <c r="AG250" s="139"/>
      <c r="AH250" s="139"/>
      <c r="AI250" s="139"/>
      <c r="AJ250" s="139"/>
      <c r="AK250" s="139"/>
      <c r="AL250" s="139"/>
      <c r="AM250" s="139"/>
      <c r="AN250" s="139"/>
      <c r="AO250" s="139"/>
      <c r="AP250" s="139"/>
      <c r="AQ250" s="139"/>
      <c r="AR250" s="139"/>
      <c r="AS250" s="139"/>
      <c r="AT250" s="139"/>
      <c r="AU250" s="139"/>
      <c r="AV250" s="139"/>
      <c r="AW250" s="139"/>
      <c r="AX250" s="139"/>
      <c r="AY250" s="139"/>
      <c r="AZ250" s="139"/>
      <c r="BA250" s="139"/>
      <c r="BB250" s="139"/>
    </row>
    <row r="251">
      <c r="A251" s="28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  <c r="AW251" s="139"/>
      <c r="AX251" s="139"/>
      <c r="AY251" s="139"/>
      <c r="AZ251" s="139"/>
      <c r="BA251" s="139"/>
      <c r="BB251" s="139"/>
    </row>
    <row r="252">
      <c r="A252" s="28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  <c r="AE252" s="139"/>
      <c r="AF252" s="139"/>
      <c r="AG252" s="139"/>
      <c r="AH252" s="139"/>
      <c r="AI252" s="139"/>
      <c r="AJ252" s="139"/>
      <c r="AK252" s="139"/>
      <c r="AL252" s="139"/>
      <c r="AM252" s="139"/>
      <c r="AN252" s="139"/>
      <c r="AO252" s="139"/>
      <c r="AP252" s="139"/>
      <c r="AQ252" s="139"/>
      <c r="AR252" s="139"/>
      <c r="AS252" s="139"/>
      <c r="AT252" s="139"/>
      <c r="AU252" s="139"/>
      <c r="AV252" s="139"/>
      <c r="AW252" s="139"/>
      <c r="AX252" s="139"/>
      <c r="AY252" s="139"/>
      <c r="AZ252" s="139"/>
      <c r="BA252" s="139"/>
      <c r="BB252" s="139"/>
    </row>
    <row r="253">
      <c r="A253" s="28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  <c r="AK253" s="139"/>
      <c r="AL253" s="139"/>
      <c r="AM253" s="139"/>
      <c r="AN253" s="139"/>
      <c r="AO253" s="139"/>
      <c r="AP253" s="139"/>
      <c r="AQ253" s="139"/>
      <c r="AR253" s="139"/>
      <c r="AS253" s="139"/>
      <c r="AT253" s="139"/>
      <c r="AU253" s="139"/>
      <c r="AV253" s="139"/>
      <c r="AW253" s="139"/>
      <c r="AX253" s="139"/>
      <c r="AY253" s="139"/>
      <c r="AZ253" s="139"/>
      <c r="BA253" s="139"/>
      <c r="BB253" s="139"/>
    </row>
    <row r="254">
      <c r="A254" s="28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  <c r="AQ254" s="139"/>
      <c r="AR254" s="139"/>
      <c r="AS254" s="139"/>
      <c r="AT254" s="139"/>
      <c r="AU254" s="139"/>
      <c r="AV254" s="139"/>
      <c r="AW254" s="139"/>
      <c r="AX254" s="139"/>
      <c r="AY254" s="139"/>
      <c r="AZ254" s="139"/>
      <c r="BA254" s="139"/>
      <c r="BB254" s="139"/>
    </row>
    <row r="255">
      <c r="A255" s="28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  <c r="AO255" s="139"/>
      <c r="AP255" s="139"/>
      <c r="AQ255" s="139"/>
      <c r="AR255" s="139"/>
      <c r="AS255" s="139"/>
      <c r="AT255" s="139"/>
      <c r="AU255" s="139"/>
      <c r="AV255" s="139"/>
      <c r="AW255" s="139"/>
      <c r="AX255" s="139"/>
      <c r="AY255" s="139"/>
      <c r="AZ255" s="139"/>
      <c r="BA255" s="139"/>
      <c r="BB255" s="139"/>
    </row>
    <row r="256">
      <c r="A256" s="28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  <c r="AE256" s="139"/>
      <c r="AF256" s="139"/>
      <c r="AG256" s="139"/>
      <c r="AH256" s="139"/>
      <c r="AI256" s="139"/>
      <c r="AJ256" s="139"/>
      <c r="AK256" s="139"/>
      <c r="AL256" s="139"/>
      <c r="AM256" s="139"/>
      <c r="AN256" s="139"/>
      <c r="AO256" s="139"/>
      <c r="AP256" s="139"/>
      <c r="AQ256" s="139"/>
      <c r="AR256" s="139"/>
      <c r="AS256" s="139"/>
      <c r="AT256" s="139"/>
      <c r="AU256" s="139"/>
      <c r="AV256" s="139"/>
      <c r="AW256" s="139"/>
      <c r="AX256" s="139"/>
      <c r="AY256" s="139"/>
      <c r="AZ256" s="139"/>
      <c r="BA256" s="139"/>
      <c r="BB256" s="139"/>
    </row>
    <row r="257">
      <c r="A257" s="28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  <c r="AW257" s="139"/>
      <c r="AX257" s="139"/>
      <c r="AY257" s="139"/>
      <c r="AZ257" s="139"/>
      <c r="BA257" s="139"/>
      <c r="BB257" s="139"/>
    </row>
    <row r="258">
      <c r="A258" s="28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  <c r="AE258" s="139"/>
      <c r="AF258" s="139"/>
      <c r="AG258" s="139"/>
      <c r="AH258" s="139"/>
      <c r="AI258" s="139"/>
      <c r="AJ258" s="139"/>
      <c r="AK258" s="139"/>
      <c r="AL258" s="139"/>
      <c r="AM258" s="139"/>
      <c r="AN258" s="139"/>
      <c r="AO258" s="139"/>
      <c r="AP258" s="139"/>
      <c r="AQ258" s="139"/>
      <c r="AR258" s="139"/>
      <c r="AS258" s="139"/>
      <c r="AT258" s="139"/>
      <c r="AU258" s="139"/>
      <c r="AV258" s="139"/>
      <c r="AW258" s="139"/>
      <c r="AX258" s="139"/>
      <c r="AY258" s="139"/>
      <c r="AZ258" s="139"/>
      <c r="BA258" s="139"/>
      <c r="BB258" s="139"/>
    </row>
    <row r="259">
      <c r="A259" s="28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  <c r="AO259" s="139"/>
      <c r="AP259" s="139"/>
      <c r="AQ259" s="139"/>
      <c r="AR259" s="139"/>
      <c r="AS259" s="139"/>
      <c r="AT259" s="139"/>
      <c r="AU259" s="139"/>
      <c r="AV259" s="139"/>
      <c r="AW259" s="139"/>
      <c r="AX259" s="139"/>
      <c r="AY259" s="139"/>
      <c r="AZ259" s="139"/>
      <c r="BA259" s="139"/>
      <c r="BB259" s="139"/>
    </row>
    <row r="260">
      <c r="A260" s="28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39"/>
      <c r="AV260" s="139"/>
      <c r="AW260" s="139"/>
      <c r="AX260" s="139"/>
      <c r="AY260" s="139"/>
      <c r="AZ260" s="139"/>
      <c r="BA260" s="139"/>
      <c r="BB260" s="139"/>
    </row>
    <row r="261">
      <c r="A261" s="28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  <c r="AK261" s="139"/>
      <c r="AL261" s="139"/>
      <c r="AM261" s="139"/>
      <c r="AN261" s="139"/>
      <c r="AO261" s="139"/>
      <c r="AP261" s="139"/>
      <c r="AQ261" s="139"/>
      <c r="AR261" s="139"/>
      <c r="AS261" s="139"/>
      <c r="AT261" s="139"/>
      <c r="AU261" s="139"/>
      <c r="AV261" s="139"/>
      <c r="AW261" s="139"/>
      <c r="AX261" s="139"/>
      <c r="AY261" s="139"/>
      <c r="AZ261" s="139"/>
      <c r="BA261" s="139"/>
      <c r="BB261" s="139"/>
    </row>
    <row r="262">
      <c r="A262" s="28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  <c r="AO262" s="139"/>
      <c r="AP262" s="139"/>
      <c r="AQ262" s="139"/>
      <c r="AR262" s="139"/>
      <c r="AS262" s="139"/>
      <c r="AT262" s="139"/>
      <c r="AU262" s="139"/>
      <c r="AV262" s="139"/>
      <c r="AW262" s="139"/>
      <c r="AX262" s="139"/>
      <c r="AY262" s="139"/>
      <c r="AZ262" s="139"/>
      <c r="BA262" s="139"/>
      <c r="BB262" s="139"/>
    </row>
    <row r="263">
      <c r="A263" s="28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9"/>
      <c r="AM263" s="139"/>
      <c r="AN263" s="139"/>
      <c r="AO263" s="139"/>
      <c r="AP263" s="139"/>
      <c r="AQ263" s="139"/>
      <c r="AR263" s="139"/>
      <c r="AS263" s="139"/>
      <c r="AT263" s="139"/>
      <c r="AU263" s="139"/>
      <c r="AV263" s="139"/>
      <c r="AW263" s="139"/>
      <c r="AX263" s="139"/>
      <c r="AY263" s="139"/>
      <c r="AZ263" s="139"/>
      <c r="BA263" s="139"/>
      <c r="BB263" s="139"/>
    </row>
    <row r="264">
      <c r="A264" s="28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9"/>
      <c r="AM264" s="139"/>
      <c r="AN264" s="139"/>
      <c r="AO264" s="139"/>
      <c r="AP264" s="139"/>
      <c r="AQ264" s="139"/>
      <c r="AR264" s="139"/>
      <c r="AS264" s="139"/>
      <c r="AT264" s="139"/>
      <c r="AU264" s="139"/>
      <c r="AV264" s="139"/>
      <c r="AW264" s="139"/>
      <c r="AX264" s="139"/>
      <c r="AY264" s="139"/>
      <c r="AZ264" s="139"/>
      <c r="BA264" s="139"/>
      <c r="BB264" s="139"/>
    </row>
    <row r="265">
      <c r="A265" s="28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  <c r="AO265" s="139"/>
      <c r="AP265" s="139"/>
      <c r="AQ265" s="139"/>
      <c r="AR265" s="139"/>
      <c r="AS265" s="139"/>
      <c r="AT265" s="139"/>
      <c r="AU265" s="139"/>
      <c r="AV265" s="139"/>
      <c r="AW265" s="139"/>
      <c r="AX265" s="139"/>
      <c r="AY265" s="139"/>
      <c r="AZ265" s="139"/>
      <c r="BA265" s="139"/>
      <c r="BB265" s="139"/>
    </row>
    <row r="266">
      <c r="A266" s="28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9"/>
      <c r="AM266" s="139"/>
      <c r="AN266" s="139"/>
      <c r="AO266" s="139"/>
      <c r="AP266" s="139"/>
      <c r="AQ266" s="139"/>
      <c r="AR266" s="139"/>
      <c r="AS266" s="139"/>
      <c r="AT266" s="139"/>
      <c r="AU266" s="139"/>
      <c r="AV266" s="139"/>
      <c r="AW266" s="139"/>
      <c r="AX266" s="139"/>
      <c r="AY266" s="139"/>
      <c r="AZ266" s="139"/>
      <c r="BA266" s="139"/>
      <c r="BB266" s="139"/>
    </row>
    <row r="267">
      <c r="A267" s="28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9"/>
      <c r="AM267" s="139"/>
      <c r="AN267" s="139"/>
      <c r="AO267" s="139"/>
      <c r="AP267" s="139"/>
      <c r="AQ267" s="139"/>
      <c r="AR267" s="139"/>
      <c r="AS267" s="139"/>
      <c r="AT267" s="139"/>
      <c r="AU267" s="139"/>
      <c r="AV267" s="139"/>
      <c r="AW267" s="139"/>
      <c r="AX267" s="139"/>
      <c r="AY267" s="139"/>
      <c r="AZ267" s="139"/>
      <c r="BA267" s="139"/>
      <c r="BB267" s="139"/>
    </row>
    <row r="268">
      <c r="A268" s="28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9"/>
      <c r="AM268" s="139"/>
      <c r="AN268" s="139"/>
      <c r="AO268" s="139"/>
      <c r="AP268" s="139"/>
      <c r="AQ268" s="139"/>
      <c r="AR268" s="139"/>
      <c r="AS268" s="139"/>
      <c r="AT268" s="139"/>
      <c r="AU268" s="139"/>
      <c r="AV268" s="139"/>
      <c r="AW268" s="139"/>
      <c r="AX268" s="139"/>
      <c r="AY268" s="139"/>
      <c r="AZ268" s="139"/>
      <c r="BA268" s="139"/>
      <c r="BB268" s="139"/>
    </row>
    <row r="269">
      <c r="A269" s="28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9"/>
      <c r="AM269" s="139"/>
      <c r="AN269" s="139"/>
      <c r="AO269" s="139"/>
      <c r="AP269" s="139"/>
      <c r="AQ269" s="139"/>
      <c r="AR269" s="139"/>
      <c r="AS269" s="139"/>
      <c r="AT269" s="139"/>
      <c r="AU269" s="139"/>
      <c r="AV269" s="139"/>
      <c r="AW269" s="139"/>
      <c r="AX269" s="139"/>
      <c r="AY269" s="139"/>
      <c r="AZ269" s="139"/>
      <c r="BA269" s="139"/>
      <c r="BB269" s="139"/>
    </row>
    <row r="270">
      <c r="A270" s="28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9"/>
      <c r="AM270" s="139"/>
      <c r="AN270" s="139"/>
      <c r="AO270" s="139"/>
      <c r="AP270" s="139"/>
      <c r="AQ270" s="139"/>
      <c r="AR270" s="139"/>
      <c r="AS270" s="139"/>
      <c r="AT270" s="139"/>
      <c r="AU270" s="139"/>
      <c r="AV270" s="139"/>
      <c r="AW270" s="139"/>
      <c r="AX270" s="139"/>
      <c r="AY270" s="139"/>
      <c r="AZ270" s="139"/>
      <c r="BA270" s="139"/>
      <c r="BB270" s="139"/>
    </row>
    <row r="271">
      <c r="A271" s="28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9"/>
      <c r="AM271" s="139"/>
      <c r="AN271" s="139"/>
      <c r="AO271" s="139"/>
      <c r="AP271" s="139"/>
      <c r="AQ271" s="139"/>
      <c r="AR271" s="139"/>
      <c r="AS271" s="139"/>
      <c r="AT271" s="139"/>
      <c r="AU271" s="139"/>
      <c r="AV271" s="139"/>
      <c r="AW271" s="139"/>
      <c r="AX271" s="139"/>
      <c r="AY271" s="139"/>
      <c r="AZ271" s="139"/>
      <c r="BA271" s="139"/>
      <c r="BB271" s="139"/>
    </row>
    <row r="272">
      <c r="A272" s="28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  <c r="AE272" s="139"/>
      <c r="AF272" s="139"/>
      <c r="AG272" s="139"/>
      <c r="AH272" s="139"/>
      <c r="AI272" s="139"/>
      <c r="AJ272" s="139"/>
      <c r="AK272" s="139"/>
      <c r="AL272" s="139"/>
      <c r="AM272" s="139"/>
      <c r="AN272" s="139"/>
      <c r="AO272" s="139"/>
      <c r="AP272" s="139"/>
      <c r="AQ272" s="139"/>
      <c r="AR272" s="139"/>
      <c r="AS272" s="139"/>
      <c r="AT272" s="139"/>
      <c r="AU272" s="139"/>
      <c r="AV272" s="139"/>
      <c r="AW272" s="139"/>
      <c r="AX272" s="139"/>
      <c r="AY272" s="139"/>
      <c r="AZ272" s="139"/>
      <c r="BA272" s="139"/>
      <c r="BB272" s="139"/>
    </row>
    <row r="273">
      <c r="A273" s="28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9"/>
      <c r="AM273" s="139"/>
      <c r="AN273" s="139"/>
      <c r="AO273" s="139"/>
      <c r="AP273" s="139"/>
      <c r="AQ273" s="139"/>
      <c r="AR273" s="139"/>
      <c r="AS273" s="139"/>
      <c r="AT273" s="139"/>
      <c r="AU273" s="139"/>
      <c r="AV273" s="139"/>
      <c r="AW273" s="139"/>
      <c r="AX273" s="139"/>
      <c r="AY273" s="139"/>
      <c r="AZ273" s="139"/>
      <c r="BA273" s="139"/>
      <c r="BB273" s="139"/>
    </row>
    <row r="274">
      <c r="A274" s="28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9"/>
      <c r="AM274" s="139"/>
      <c r="AN274" s="139"/>
      <c r="AO274" s="139"/>
      <c r="AP274" s="139"/>
      <c r="AQ274" s="139"/>
      <c r="AR274" s="139"/>
      <c r="AS274" s="139"/>
      <c r="AT274" s="139"/>
      <c r="AU274" s="139"/>
      <c r="AV274" s="139"/>
      <c r="AW274" s="139"/>
      <c r="AX274" s="139"/>
      <c r="AY274" s="139"/>
      <c r="AZ274" s="139"/>
      <c r="BA274" s="139"/>
      <c r="BB274" s="139"/>
    </row>
    <row r="275">
      <c r="A275" s="28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  <c r="AF275" s="139"/>
      <c r="AG275" s="139"/>
      <c r="AH275" s="139"/>
      <c r="AI275" s="139"/>
      <c r="AJ275" s="139"/>
      <c r="AK275" s="139"/>
      <c r="AL275" s="139"/>
      <c r="AM275" s="139"/>
      <c r="AN275" s="139"/>
      <c r="AO275" s="139"/>
      <c r="AP275" s="139"/>
      <c r="AQ275" s="139"/>
      <c r="AR275" s="139"/>
      <c r="AS275" s="139"/>
      <c r="AT275" s="139"/>
      <c r="AU275" s="139"/>
      <c r="AV275" s="139"/>
      <c r="AW275" s="139"/>
      <c r="AX275" s="139"/>
      <c r="AY275" s="139"/>
      <c r="AZ275" s="139"/>
      <c r="BA275" s="139"/>
      <c r="BB275" s="139"/>
    </row>
    <row r="276">
      <c r="A276" s="28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  <c r="AE276" s="139"/>
      <c r="AF276" s="139"/>
      <c r="AG276" s="139"/>
      <c r="AH276" s="139"/>
      <c r="AI276" s="139"/>
      <c r="AJ276" s="139"/>
      <c r="AK276" s="139"/>
      <c r="AL276" s="139"/>
      <c r="AM276" s="139"/>
      <c r="AN276" s="139"/>
      <c r="AO276" s="139"/>
      <c r="AP276" s="139"/>
      <c r="AQ276" s="139"/>
      <c r="AR276" s="139"/>
      <c r="AS276" s="139"/>
      <c r="AT276" s="139"/>
      <c r="AU276" s="139"/>
      <c r="AV276" s="139"/>
      <c r="AW276" s="139"/>
      <c r="AX276" s="139"/>
      <c r="AY276" s="139"/>
      <c r="AZ276" s="139"/>
      <c r="BA276" s="139"/>
      <c r="BB276" s="139"/>
    </row>
    <row r="277">
      <c r="A277" s="28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9"/>
      <c r="AM277" s="139"/>
      <c r="AN277" s="139"/>
      <c r="AO277" s="139"/>
      <c r="AP277" s="139"/>
      <c r="AQ277" s="139"/>
      <c r="AR277" s="139"/>
      <c r="AS277" s="139"/>
      <c r="AT277" s="139"/>
      <c r="AU277" s="139"/>
      <c r="AV277" s="139"/>
      <c r="AW277" s="139"/>
      <c r="AX277" s="139"/>
      <c r="AY277" s="139"/>
      <c r="AZ277" s="139"/>
      <c r="BA277" s="139"/>
      <c r="BB277" s="139"/>
    </row>
    <row r="278">
      <c r="A278" s="28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39"/>
      <c r="AD278" s="139"/>
      <c r="AE278" s="139"/>
      <c r="AF278" s="139"/>
      <c r="AG278" s="139"/>
      <c r="AH278" s="139"/>
      <c r="AI278" s="139"/>
      <c r="AJ278" s="139"/>
      <c r="AK278" s="139"/>
      <c r="AL278" s="139"/>
      <c r="AM278" s="139"/>
      <c r="AN278" s="139"/>
      <c r="AO278" s="139"/>
      <c r="AP278" s="139"/>
      <c r="AQ278" s="139"/>
      <c r="AR278" s="139"/>
      <c r="AS278" s="139"/>
      <c r="AT278" s="139"/>
      <c r="AU278" s="139"/>
      <c r="AV278" s="139"/>
      <c r="AW278" s="139"/>
      <c r="AX278" s="139"/>
      <c r="AY278" s="139"/>
      <c r="AZ278" s="139"/>
      <c r="BA278" s="139"/>
      <c r="BB278" s="139"/>
    </row>
    <row r="279">
      <c r="A279" s="28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39"/>
      <c r="AM279" s="139"/>
      <c r="AN279" s="139"/>
      <c r="AO279" s="139"/>
      <c r="AP279" s="139"/>
      <c r="AQ279" s="139"/>
      <c r="AR279" s="139"/>
      <c r="AS279" s="139"/>
      <c r="AT279" s="139"/>
      <c r="AU279" s="139"/>
      <c r="AV279" s="139"/>
      <c r="AW279" s="139"/>
      <c r="AX279" s="139"/>
      <c r="AY279" s="139"/>
      <c r="AZ279" s="139"/>
      <c r="BA279" s="139"/>
      <c r="BB279" s="139"/>
    </row>
    <row r="280">
      <c r="A280" s="28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  <c r="AK280" s="139"/>
      <c r="AL280" s="139"/>
      <c r="AM280" s="139"/>
      <c r="AN280" s="139"/>
      <c r="AO280" s="139"/>
      <c r="AP280" s="139"/>
      <c r="AQ280" s="139"/>
      <c r="AR280" s="139"/>
      <c r="AS280" s="139"/>
      <c r="AT280" s="139"/>
      <c r="AU280" s="139"/>
      <c r="AV280" s="139"/>
      <c r="AW280" s="139"/>
      <c r="AX280" s="139"/>
      <c r="AY280" s="139"/>
      <c r="AZ280" s="139"/>
      <c r="BA280" s="139"/>
      <c r="BB280" s="139"/>
    </row>
    <row r="281">
      <c r="A281" s="28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  <c r="AE281" s="139"/>
      <c r="AF281" s="139"/>
      <c r="AG281" s="139"/>
      <c r="AH281" s="139"/>
      <c r="AI281" s="139"/>
      <c r="AJ281" s="139"/>
      <c r="AK281" s="139"/>
      <c r="AL281" s="139"/>
      <c r="AM281" s="139"/>
      <c r="AN281" s="139"/>
      <c r="AO281" s="139"/>
      <c r="AP281" s="139"/>
      <c r="AQ281" s="139"/>
      <c r="AR281" s="139"/>
      <c r="AS281" s="139"/>
      <c r="AT281" s="139"/>
      <c r="AU281" s="139"/>
      <c r="AV281" s="139"/>
      <c r="AW281" s="139"/>
      <c r="AX281" s="139"/>
      <c r="AY281" s="139"/>
      <c r="AZ281" s="139"/>
      <c r="BA281" s="139"/>
      <c r="BB281" s="139"/>
    </row>
    <row r="282">
      <c r="A282" s="28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39"/>
      <c r="AK282" s="139"/>
      <c r="AL282" s="139"/>
      <c r="AM282" s="139"/>
      <c r="AN282" s="139"/>
      <c r="AO282" s="139"/>
      <c r="AP282" s="139"/>
      <c r="AQ282" s="139"/>
      <c r="AR282" s="139"/>
      <c r="AS282" s="139"/>
      <c r="AT282" s="139"/>
      <c r="AU282" s="139"/>
      <c r="AV282" s="139"/>
      <c r="AW282" s="139"/>
      <c r="AX282" s="139"/>
      <c r="AY282" s="139"/>
      <c r="AZ282" s="139"/>
      <c r="BA282" s="139"/>
      <c r="BB282" s="139"/>
    </row>
    <row r="283">
      <c r="A283" s="28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  <c r="AE283" s="139"/>
      <c r="AF283" s="139"/>
      <c r="AG283" s="139"/>
      <c r="AH283" s="139"/>
      <c r="AI283" s="139"/>
      <c r="AJ283" s="139"/>
      <c r="AK283" s="139"/>
      <c r="AL283" s="139"/>
      <c r="AM283" s="139"/>
      <c r="AN283" s="139"/>
      <c r="AO283" s="139"/>
      <c r="AP283" s="139"/>
      <c r="AQ283" s="139"/>
      <c r="AR283" s="139"/>
      <c r="AS283" s="139"/>
      <c r="AT283" s="139"/>
      <c r="AU283" s="139"/>
      <c r="AV283" s="139"/>
      <c r="AW283" s="139"/>
      <c r="AX283" s="139"/>
      <c r="AY283" s="139"/>
      <c r="AZ283" s="139"/>
      <c r="BA283" s="139"/>
      <c r="BB283" s="139"/>
    </row>
    <row r="284">
      <c r="A284" s="28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9"/>
      <c r="AM284" s="139"/>
      <c r="AN284" s="139"/>
      <c r="AO284" s="139"/>
      <c r="AP284" s="139"/>
      <c r="AQ284" s="139"/>
      <c r="AR284" s="139"/>
      <c r="AS284" s="139"/>
      <c r="AT284" s="139"/>
      <c r="AU284" s="139"/>
      <c r="AV284" s="139"/>
      <c r="AW284" s="139"/>
      <c r="AX284" s="139"/>
      <c r="AY284" s="139"/>
      <c r="AZ284" s="139"/>
      <c r="BA284" s="139"/>
      <c r="BB284" s="139"/>
    </row>
    <row r="285">
      <c r="A285" s="28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  <c r="AE285" s="139"/>
      <c r="AF285" s="139"/>
      <c r="AG285" s="139"/>
      <c r="AH285" s="139"/>
      <c r="AI285" s="139"/>
      <c r="AJ285" s="139"/>
      <c r="AK285" s="139"/>
      <c r="AL285" s="139"/>
      <c r="AM285" s="139"/>
      <c r="AN285" s="139"/>
      <c r="AO285" s="139"/>
      <c r="AP285" s="139"/>
      <c r="AQ285" s="139"/>
      <c r="AR285" s="139"/>
      <c r="AS285" s="139"/>
      <c r="AT285" s="139"/>
      <c r="AU285" s="139"/>
      <c r="AV285" s="139"/>
      <c r="AW285" s="139"/>
      <c r="AX285" s="139"/>
      <c r="AY285" s="139"/>
      <c r="AZ285" s="139"/>
      <c r="BA285" s="139"/>
      <c r="BB285" s="139"/>
    </row>
    <row r="286">
      <c r="A286" s="28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  <c r="AK286" s="139"/>
      <c r="AL286" s="139"/>
      <c r="AM286" s="139"/>
      <c r="AN286" s="139"/>
      <c r="AO286" s="139"/>
      <c r="AP286" s="139"/>
      <c r="AQ286" s="139"/>
      <c r="AR286" s="139"/>
      <c r="AS286" s="139"/>
      <c r="AT286" s="139"/>
      <c r="AU286" s="139"/>
      <c r="AV286" s="139"/>
      <c r="AW286" s="139"/>
      <c r="AX286" s="139"/>
      <c r="AY286" s="139"/>
      <c r="AZ286" s="139"/>
      <c r="BA286" s="139"/>
      <c r="BB286" s="139"/>
    </row>
    <row r="287">
      <c r="A287" s="28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  <c r="AO287" s="139"/>
      <c r="AP287" s="139"/>
      <c r="AQ287" s="139"/>
      <c r="AR287" s="139"/>
      <c r="AS287" s="139"/>
      <c r="AT287" s="139"/>
      <c r="AU287" s="139"/>
      <c r="AV287" s="139"/>
      <c r="AW287" s="139"/>
      <c r="AX287" s="139"/>
      <c r="AY287" s="139"/>
      <c r="AZ287" s="139"/>
      <c r="BA287" s="139"/>
      <c r="BB287" s="139"/>
    </row>
    <row r="288">
      <c r="A288" s="28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9"/>
      <c r="AM288" s="139"/>
      <c r="AN288" s="139"/>
      <c r="AO288" s="139"/>
      <c r="AP288" s="139"/>
      <c r="AQ288" s="139"/>
      <c r="AR288" s="139"/>
      <c r="AS288" s="139"/>
      <c r="AT288" s="139"/>
      <c r="AU288" s="139"/>
      <c r="AV288" s="139"/>
      <c r="AW288" s="139"/>
      <c r="AX288" s="139"/>
      <c r="AY288" s="139"/>
      <c r="AZ288" s="139"/>
      <c r="BA288" s="139"/>
      <c r="BB288" s="139"/>
    </row>
    <row r="289">
      <c r="A289" s="28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39"/>
      <c r="AM289" s="139"/>
      <c r="AN289" s="139"/>
      <c r="AO289" s="139"/>
      <c r="AP289" s="139"/>
      <c r="AQ289" s="139"/>
      <c r="AR289" s="139"/>
      <c r="AS289" s="139"/>
      <c r="AT289" s="139"/>
      <c r="AU289" s="139"/>
      <c r="AV289" s="139"/>
      <c r="AW289" s="139"/>
      <c r="AX289" s="139"/>
      <c r="AY289" s="139"/>
      <c r="AZ289" s="139"/>
      <c r="BA289" s="139"/>
      <c r="BB289" s="139"/>
    </row>
    <row r="290">
      <c r="A290" s="28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9"/>
      <c r="AM290" s="139"/>
      <c r="AN290" s="139"/>
      <c r="AO290" s="139"/>
      <c r="AP290" s="139"/>
      <c r="AQ290" s="139"/>
      <c r="AR290" s="139"/>
      <c r="AS290" s="139"/>
      <c r="AT290" s="139"/>
      <c r="AU290" s="139"/>
      <c r="AV290" s="139"/>
      <c r="AW290" s="139"/>
      <c r="AX290" s="139"/>
      <c r="AY290" s="139"/>
      <c r="AZ290" s="139"/>
      <c r="BA290" s="139"/>
      <c r="BB290" s="139"/>
    </row>
    <row r="291">
      <c r="A291" s="28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9"/>
      <c r="AM291" s="139"/>
      <c r="AN291" s="139"/>
      <c r="AO291" s="139"/>
      <c r="AP291" s="139"/>
      <c r="AQ291" s="139"/>
      <c r="AR291" s="139"/>
      <c r="AS291" s="139"/>
      <c r="AT291" s="139"/>
      <c r="AU291" s="139"/>
      <c r="AV291" s="139"/>
      <c r="AW291" s="139"/>
      <c r="AX291" s="139"/>
      <c r="AY291" s="139"/>
      <c r="AZ291" s="139"/>
      <c r="BA291" s="139"/>
      <c r="BB291" s="139"/>
    </row>
    <row r="292">
      <c r="A292" s="28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/>
      <c r="AM292" s="139"/>
      <c r="AN292" s="139"/>
      <c r="AO292" s="139"/>
      <c r="AP292" s="139"/>
      <c r="AQ292" s="139"/>
      <c r="AR292" s="139"/>
      <c r="AS292" s="139"/>
      <c r="AT292" s="139"/>
      <c r="AU292" s="139"/>
      <c r="AV292" s="139"/>
      <c r="AW292" s="139"/>
      <c r="AX292" s="139"/>
      <c r="AY292" s="139"/>
      <c r="AZ292" s="139"/>
      <c r="BA292" s="139"/>
      <c r="BB292" s="139"/>
    </row>
    <row r="293">
      <c r="A293" s="28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39"/>
      <c r="AD293" s="139"/>
      <c r="AE293" s="139"/>
      <c r="AF293" s="139"/>
      <c r="AG293" s="139"/>
      <c r="AH293" s="139"/>
      <c r="AI293" s="139"/>
      <c r="AJ293" s="139"/>
      <c r="AK293" s="139"/>
      <c r="AL293" s="139"/>
      <c r="AM293" s="139"/>
      <c r="AN293" s="139"/>
      <c r="AO293" s="139"/>
      <c r="AP293" s="139"/>
      <c r="AQ293" s="139"/>
      <c r="AR293" s="139"/>
      <c r="AS293" s="139"/>
      <c r="AT293" s="139"/>
      <c r="AU293" s="139"/>
      <c r="AV293" s="139"/>
      <c r="AW293" s="139"/>
      <c r="AX293" s="139"/>
      <c r="AY293" s="139"/>
      <c r="AZ293" s="139"/>
      <c r="BA293" s="139"/>
      <c r="BB293" s="139"/>
    </row>
    <row r="294">
      <c r="A294" s="28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/>
      <c r="AU294" s="139"/>
      <c r="AV294" s="139"/>
      <c r="AW294" s="139"/>
      <c r="AX294" s="139"/>
      <c r="AY294" s="139"/>
      <c r="AZ294" s="139"/>
      <c r="BA294" s="139"/>
      <c r="BB294" s="139"/>
    </row>
    <row r="295">
      <c r="A295" s="28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  <c r="AE295" s="139"/>
      <c r="AF295" s="139"/>
      <c r="AG295" s="139"/>
      <c r="AH295" s="139"/>
      <c r="AI295" s="139"/>
      <c r="AJ295" s="139"/>
      <c r="AK295" s="139"/>
      <c r="AL295" s="139"/>
      <c r="AM295" s="139"/>
      <c r="AN295" s="139"/>
      <c r="AO295" s="139"/>
      <c r="AP295" s="139"/>
      <c r="AQ295" s="139"/>
      <c r="AR295" s="139"/>
      <c r="AS295" s="139"/>
      <c r="AT295" s="139"/>
      <c r="AU295" s="139"/>
      <c r="AV295" s="139"/>
      <c r="AW295" s="139"/>
      <c r="AX295" s="139"/>
      <c r="AY295" s="139"/>
      <c r="AZ295" s="139"/>
      <c r="BA295" s="139"/>
      <c r="BB295" s="139"/>
    </row>
    <row r="296">
      <c r="A296" s="28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  <c r="AE296" s="139"/>
      <c r="AF296" s="139"/>
      <c r="AG296" s="139"/>
      <c r="AH296" s="139"/>
      <c r="AI296" s="139"/>
      <c r="AJ296" s="139"/>
      <c r="AK296" s="139"/>
      <c r="AL296" s="139"/>
      <c r="AM296" s="139"/>
      <c r="AN296" s="139"/>
      <c r="AO296" s="139"/>
      <c r="AP296" s="139"/>
      <c r="AQ296" s="139"/>
      <c r="AR296" s="139"/>
      <c r="AS296" s="139"/>
      <c r="AT296" s="139"/>
      <c r="AU296" s="139"/>
      <c r="AV296" s="139"/>
      <c r="AW296" s="139"/>
      <c r="AX296" s="139"/>
      <c r="AY296" s="139"/>
      <c r="AZ296" s="139"/>
      <c r="BA296" s="139"/>
      <c r="BB296" s="139"/>
    </row>
    <row r="297">
      <c r="A297" s="28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39"/>
      <c r="AG297" s="139"/>
      <c r="AH297" s="139"/>
      <c r="AI297" s="139"/>
      <c r="AJ297" s="139"/>
      <c r="AK297" s="139"/>
      <c r="AL297" s="139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39"/>
      <c r="BB297" s="139"/>
    </row>
    <row r="298">
      <c r="A298" s="28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9"/>
      <c r="AM298" s="139"/>
      <c r="AN298" s="139"/>
      <c r="AO298" s="139"/>
      <c r="AP298" s="139"/>
      <c r="AQ298" s="139"/>
      <c r="AR298" s="139"/>
      <c r="AS298" s="139"/>
      <c r="AT298" s="139"/>
      <c r="AU298" s="139"/>
      <c r="AV298" s="139"/>
      <c r="AW298" s="139"/>
      <c r="AX298" s="139"/>
      <c r="AY298" s="139"/>
      <c r="AZ298" s="139"/>
      <c r="BA298" s="139"/>
      <c r="BB298" s="139"/>
    </row>
    <row r="299">
      <c r="A299" s="28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39"/>
      <c r="AK299" s="139"/>
      <c r="AL299" s="139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39"/>
    </row>
    <row r="300">
      <c r="A300" s="28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9"/>
      <c r="AM300" s="139"/>
      <c r="AN300" s="139"/>
      <c r="AO300" s="139"/>
      <c r="AP300" s="139"/>
      <c r="AQ300" s="139"/>
      <c r="AR300" s="139"/>
      <c r="AS300" s="139"/>
      <c r="AT300" s="139"/>
      <c r="AU300" s="139"/>
      <c r="AV300" s="139"/>
      <c r="AW300" s="139"/>
      <c r="AX300" s="139"/>
      <c r="AY300" s="139"/>
      <c r="AZ300" s="139"/>
      <c r="BA300" s="139"/>
      <c r="BB300" s="139"/>
    </row>
    <row r="301">
      <c r="A301" s="28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  <c r="AE301" s="139"/>
      <c r="AF301" s="139"/>
      <c r="AG301" s="139"/>
      <c r="AH301" s="139"/>
      <c r="AI301" s="139"/>
      <c r="AJ301" s="139"/>
      <c r="AK301" s="139"/>
      <c r="AL301" s="139"/>
      <c r="AM301" s="139"/>
      <c r="AN301" s="139"/>
      <c r="AO301" s="139"/>
      <c r="AP301" s="139"/>
      <c r="AQ301" s="139"/>
      <c r="AR301" s="139"/>
      <c r="AS301" s="139"/>
      <c r="AT301" s="139"/>
      <c r="AU301" s="139"/>
      <c r="AV301" s="139"/>
      <c r="AW301" s="139"/>
      <c r="AX301" s="139"/>
      <c r="AY301" s="139"/>
      <c r="AZ301" s="139"/>
      <c r="BA301" s="139"/>
      <c r="BB301" s="139"/>
    </row>
    <row r="302">
      <c r="A302" s="28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</row>
    <row r="303">
      <c r="A303" s="28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39"/>
      <c r="AD303" s="139"/>
      <c r="AE303" s="139"/>
      <c r="AF303" s="139"/>
      <c r="AG303" s="139"/>
      <c r="AH303" s="139"/>
      <c r="AI303" s="139"/>
      <c r="AJ303" s="139"/>
      <c r="AK303" s="139"/>
      <c r="AL303" s="139"/>
      <c r="AM303" s="139"/>
      <c r="AN303" s="139"/>
      <c r="AO303" s="139"/>
      <c r="AP303" s="139"/>
      <c r="AQ303" s="139"/>
      <c r="AR303" s="139"/>
      <c r="AS303" s="139"/>
      <c r="AT303" s="139"/>
      <c r="AU303" s="139"/>
      <c r="AV303" s="139"/>
      <c r="AW303" s="139"/>
      <c r="AX303" s="139"/>
      <c r="AY303" s="139"/>
      <c r="AZ303" s="139"/>
      <c r="BA303" s="139"/>
      <c r="BB303" s="139"/>
    </row>
    <row r="304">
      <c r="A304" s="28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</row>
    <row r="305">
      <c r="A305" s="28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</row>
    <row r="306">
      <c r="A306" s="28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</row>
    <row r="307">
      <c r="A307" s="28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39"/>
      <c r="AG307" s="139"/>
      <c r="AH307" s="139"/>
      <c r="AI307" s="139"/>
      <c r="AJ307" s="139"/>
      <c r="AK307" s="139"/>
      <c r="AL307" s="139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39"/>
    </row>
    <row r="308">
      <c r="A308" s="28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</row>
    <row r="309">
      <c r="A309" s="28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  <c r="AO309" s="139"/>
      <c r="AP309" s="139"/>
      <c r="AQ309" s="139"/>
      <c r="AR309" s="139"/>
      <c r="AS309" s="139"/>
      <c r="AT309" s="139"/>
      <c r="AU309" s="139"/>
      <c r="AV309" s="139"/>
      <c r="AW309" s="139"/>
      <c r="AX309" s="139"/>
      <c r="AY309" s="139"/>
      <c r="AZ309" s="139"/>
      <c r="BA309" s="139"/>
      <c r="BB309" s="139"/>
    </row>
    <row r="310">
      <c r="A310" s="28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</row>
    <row r="311">
      <c r="A311" s="28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39"/>
      <c r="AG311" s="139"/>
      <c r="AH311" s="139"/>
      <c r="AI311" s="139"/>
      <c r="AJ311" s="139"/>
      <c r="AK311" s="139"/>
      <c r="AL311" s="139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39"/>
      <c r="BB311" s="139"/>
    </row>
    <row r="312">
      <c r="A312" s="28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</row>
    <row r="313">
      <c r="A313" s="28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9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39"/>
    </row>
    <row r="314">
      <c r="A314" s="28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39"/>
    </row>
    <row r="315">
      <c r="A315" s="28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</row>
    <row r="316">
      <c r="A316" s="28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/>
      <c r="AM316" s="139"/>
      <c r="AN316" s="139"/>
      <c r="AO316" s="139"/>
      <c r="AP316" s="139"/>
      <c r="AQ316" s="139"/>
      <c r="AR316" s="139"/>
      <c r="AS316" s="139"/>
      <c r="AT316" s="139"/>
      <c r="AU316" s="139"/>
      <c r="AV316" s="139"/>
      <c r="AW316" s="139"/>
      <c r="AX316" s="139"/>
      <c r="AY316" s="139"/>
      <c r="AZ316" s="139"/>
      <c r="BA316" s="139"/>
      <c r="BB316" s="139"/>
    </row>
    <row r="317">
      <c r="A317" s="28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9"/>
      <c r="AM317" s="139"/>
      <c r="AN317" s="139"/>
      <c r="AO317" s="139"/>
      <c r="AP317" s="139"/>
      <c r="AQ317" s="139"/>
      <c r="AR317" s="139"/>
      <c r="AS317" s="139"/>
      <c r="AT317" s="139"/>
      <c r="AU317" s="139"/>
      <c r="AV317" s="139"/>
      <c r="AW317" s="139"/>
      <c r="AX317" s="139"/>
      <c r="AY317" s="139"/>
      <c r="AZ317" s="139"/>
      <c r="BA317" s="139"/>
      <c r="BB317" s="139"/>
    </row>
    <row r="318">
      <c r="A318" s="28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/>
    </row>
    <row r="319">
      <c r="A319" s="28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39"/>
      <c r="AG319" s="139"/>
      <c r="AH319" s="139"/>
      <c r="AI319" s="139"/>
      <c r="AJ319" s="139"/>
      <c r="AK319" s="139"/>
      <c r="AL319" s="139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39"/>
      <c r="BB319" s="139"/>
    </row>
    <row r="320">
      <c r="A320" s="28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9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39"/>
    </row>
    <row r="321">
      <c r="A321" s="28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9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</row>
    <row r="322">
      <c r="A322" s="28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</row>
    <row r="323">
      <c r="A323" s="28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9"/>
      <c r="AM323" s="139"/>
      <c r="AN323" s="139"/>
      <c r="AO323" s="139"/>
      <c r="AP323" s="139"/>
      <c r="AQ323" s="139"/>
      <c r="AR323" s="139"/>
      <c r="AS323" s="139"/>
      <c r="AT323" s="139"/>
      <c r="AU323" s="139"/>
      <c r="AV323" s="139"/>
      <c r="AW323" s="139"/>
      <c r="AX323" s="139"/>
      <c r="AY323" s="139"/>
      <c r="AZ323" s="139"/>
      <c r="BA323" s="139"/>
      <c r="BB323" s="139"/>
    </row>
    <row r="324">
      <c r="A324" s="28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</row>
    <row r="325">
      <c r="A325" s="28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</row>
    <row r="326">
      <c r="A326" s="28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39"/>
    </row>
    <row r="327">
      <c r="A327" s="28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9"/>
      <c r="AM327" s="139"/>
      <c r="AN327" s="139"/>
      <c r="AO327" s="139"/>
      <c r="AP327" s="139"/>
      <c r="AQ327" s="139"/>
      <c r="AR327" s="139"/>
      <c r="AS327" s="139"/>
      <c r="AT327" s="139"/>
      <c r="AU327" s="139"/>
      <c r="AV327" s="139"/>
      <c r="AW327" s="139"/>
      <c r="AX327" s="139"/>
      <c r="AY327" s="139"/>
      <c r="AZ327" s="139"/>
      <c r="BA327" s="139"/>
      <c r="BB327" s="139"/>
    </row>
    <row r="328">
      <c r="A328" s="28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/>
      <c r="AQ328" s="139"/>
      <c r="AR328" s="139"/>
      <c r="AS328" s="139"/>
      <c r="AT328" s="139"/>
      <c r="AU328" s="139"/>
      <c r="AV328" s="139"/>
      <c r="AW328" s="139"/>
      <c r="AX328" s="139"/>
      <c r="AY328" s="139"/>
      <c r="AZ328" s="139"/>
      <c r="BA328" s="139"/>
      <c r="BB328" s="139"/>
    </row>
    <row r="329">
      <c r="A329" s="28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9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39"/>
    </row>
    <row r="330">
      <c r="A330" s="28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</row>
    <row r="331">
      <c r="A331" s="28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9"/>
      <c r="AM331" s="139"/>
      <c r="AN331" s="139"/>
      <c r="AO331" s="139"/>
      <c r="AP331" s="139"/>
      <c r="AQ331" s="139"/>
      <c r="AR331" s="139"/>
      <c r="AS331" s="139"/>
      <c r="AT331" s="139"/>
      <c r="AU331" s="139"/>
      <c r="AV331" s="139"/>
      <c r="AW331" s="139"/>
      <c r="AX331" s="139"/>
      <c r="AY331" s="139"/>
      <c r="AZ331" s="139"/>
      <c r="BA331" s="139"/>
      <c r="BB331" s="139"/>
    </row>
    <row r="332">
      <c r="A332" s="28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</row>
    <row r="333">
      <c r="A333" s="28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</row>
    <row r="334">
      <c r="A334" s="28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  <c r="AW334" s="139"/>
      <c r="AX334" s="139"/>
      <c r="AY334" s="139"/>
      <c r="AZ334" s="139"/>
      <c r="BA334" s="139"/>
      <c r="BB334" s="139"/>
    </row>
    <row r="335">
      <c r="A335" s="28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39"/>
      <c r="BB335" s="139"/>
    </row>
    <row r="336">
      <c r="A336" s="28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/>
      <c r="AM336" s="139"/>
      <c r="AN336" s="139"/>
      <c r="AO336" s="139"/>
      <c r="AP336" s="139"/>
      <c r="AQ336" s="139"/>
      <c r="AR336" s="139"/>
      <c r="AS336" s="139"/>
      <c r="AT336" s="139"/>
      <c r="AU336" s="139"/>
      <c r="AV336" s="139"/>
      <c r="AW336" s="139"/>
      <c r="AX336" s="139"/>
      <c r="AY336" s="139"/>
      <c r="AZ336" s="139"/>
      <c r="BA336" s="139"/>
      <c r="BB336" s="139"/>
    </row>
    <row r="337">
      <c r="A337" s="28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9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39"/>
    </row>
    <row r="338">
      <c r="A338" s="28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</row>
    <row r="339">
      <c r="A339" s="28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9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</row>
    <row r="340">
      <c r="A340" s="28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</row>
    <row r="341">
      <c r="A341" s="28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39"/>
      <c r="AG341" s="139"/>
      <c r="AH341" s="139"/>
      <c r="AI341" s="139"/>
      <c r="AJ341" s="139"/>
      <c r="AK341" s="139"/>
      <c r="AL341" s="139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39"/>
    </row>
    <row r="342">
      <c r="A342" s="28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</row>
    <row r="343">
      <c r="A343" s="28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  <c r="AO343" s="139"/>
      <c r="AP343" s="139"/>
      <c r="AQ343" s="139"/>
      <c r="AR343" s="139"/>
      <c r="AS343" s="139"/>
      <c r="AT343" s="139"/>
      <c r="AU343" s="139"/>
      <c r="AV343" s="139"/>
      <c r="AW343" s="139"/>
      <c r="AX343" s="139"/>
      <c r="AY343" s="139"/>
      <c r="AZ343" s="139"/>
      <c r="BA343" s="139"/>
      <c r="BB343" s="139"/>
    </row>
    <row r="344">
      <c r="A344" s="28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/>
      <c r="AQ344" s="139"/>
      <c r="AR344" s="139"/>
      <c r="AS344" s="139"/>
      <c r="AT344" s="139"/>
      <c r="AU344" s="139"/>
      <c r="AV344" s="139"/>
      <c r="AW344" s="139"/>
      <c r="AX344" s="139"/>
      <c r="AY344" s="139"/>
      <c r="AZ344" s="139"/>
      <c r="BA344" s="139"/>
      <c r="BB344" s="139"/>
    </row>
    <row r="345">
      <c r="A345" s="28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</row>
    <row r="346">
      <c r="A346" s="28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</row>
    <row r="347">
      <c r="A347" s="28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  <c r="AO347" s="139"/>
      <c r="AP347" s="139"/>
      <c r="AQ347" s="139"/>
      <c r="AR347" s="139"/>
      <c r="AS347" s="139"/>
      <c r="AT347" s="139"/>
      <c r="AU347" s="139"/>
      <c r="AV347" s="139"/>
      <c r="AW347" s="139"/>
      <c r="AX347" s="139"/>
      <c r="AY347" s="139"/>
      <c r="AZ347" s="139"/>
      <c r="BA347" s="139"/>
      <c r="BB347" s="139"/>
    </row>
    <row r="348">
      <c r="A348" s="28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9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39"/>
    </row>
    <row r="349">
      <c r="A349" s="28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</row>
    <row r="350">
      <c r="A350" s="28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9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39"/>
    </row>
    <row r="351">
      <c r="A351" s="28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9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39"/>
    </row>
    <row r="352">
      <c r="A352" s="28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9"/>
      <c r="AM352" s="139"/>
      <c r="AN352" s="139"/>
      <c r="AO352" s="139"/>
      <c r="AP352" s="139"/>
      <c r="AQ352" s="139"/>
      <c r="AR352" s="139"/>
      <c r="AS352" s="139"/>
      <c r="AT352" s="139"/>
      <c r="AU352" s="139"/>
      <c r="AV352" s="139"/>
      <c r="AW352" s="139"/>
      <c r="AX352" s="139"/>
      <c r="AY352" s="139"/>
      <c r="AZ352" s="139"/>
      <c r="BA352" s="139"/>
      <c r="BB352" s="139"/>
    </row>
    <row r="353">
      <c r="A353" s="28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9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39"/>
    </row>
    <row r="354">
      <c r="A354" s="28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9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</row>
    <row r="355">
      <c r="A355" s="28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9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39"/>
    </row>
    <row r="356">
      <c r="A356" s="28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9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39"/>
    </row>
    <row r="357">
      <c r="A357" s="28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</row>
    <row r="358">
      <c r="A358" s="28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9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39"/>
    </row>
    <row r="359">
      <c r="A359" s="28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39"/>
      <c r="AG359" s="139"/>
      <c r="AH359" s="139"/>
      <c r="AI359" s="139"/>
      <c r="AJ359" s="139"/>
      <c r="AK359" s="139"/>
      <c r="AL359" s="139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39"/>
      <c r="BB359" s="139"/>
    </row>
    <row r="360">
      <c r="A360" s="28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  <c r="AK360" s="139"/>
      <c r="AL360" s="139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39"/>
    </row>
    <row r="361">
      <c r="A361" s="28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9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39"/>
    </row>
    <row r="362">
      <c r="A362" s="28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</row>
    <row r="363">
      <c r="A363" s="28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9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39"/>
    </row>
    <row r="364">
      <c r="A364" s="28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</row>
    <row r="365">
      <c r="A365" s="28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9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39"/>
    </row>
    <row r="366">
      <c r="A366" s="28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</row>
    <row r="367">
      <c r="A367" s="28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9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39"/>
    </row>
    <row r="368">
      <c r="A368" s="28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39"/>
    </row>
    <row r="369">
      <c r="A369" s="28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9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39"/>
    </row>
    <row r="370">
      <c r="A370" s="28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9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</row>
    <row r="371">
      <c r="A371" s="28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9"/>
      <c r="AM371" s="139"/>
      <c r="AN371" s="139"/>
      <c r="AO371" s="139"/>
      <c r="AP371" s="139"/>
      <c r="AQ371" s="139"/>
      <c r="AR371" s="139"/>
      <c r="AS371" s="139"/>
      <c r="AT371" s="139"/>
      <c r="AU371" s="139"/>
      <c r="AV371" s="139"/>
      <c r="AW371" s="139"/>
      <c r="AX371" s="139"/>
      <c r="AY371" s="139"/>
      <c r="AZ371" s="139"/>
      <c r="BA371" s="139"/>
      <c r="BB371" s="139"/>
    </row>
    <row r="372">
      <c r="A372" s="28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9"/>
      <c r="AO372" s="139"/>
      <c r="AP372" s="139"/>
      <c r="AQ372" s="139"/>
      <c r="AR372" s="139"/>
      <c r="AS372" s="139"/>
      <c r="AT372" s="139"/>
      <c r="AU372" s="139"/>
      <c r="AV372" s="139"/>
      <c r="AW372" s="139"/>
      <c r="AX372" s="139"/>
      <c r="AY372" s="139"/>
      <c r="AZ372" s="139"/>
      <c r="BA372" s="139"/>
      <c r="BB372" s="139"/>
    </row>
    <row r="373">
      <c r="A373" s="28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9"/>
      <c r="AO373" s="139"/>
      <c r="AP373" s="139"/>
      <c r="AQ373" s="139"/>
      <c r="AR373" s="139"/>
      <c r="AS373" s="139"/>
      <c r="AT373" s="139"/>
      <c r="AU373" s="139"/>
      <c r="AV373" s="139"/>
      <c r="AW373" s="139"/>
      <c r="AX373" s="139"/>
      <c r="AY373" s="139"/>
      <c r="AZ373" s="139"/>
      <c r="BA373" s="139"/>
      <c r="BB373" s="139"/>
    </row>
    <row r="374">
      <c r="A374" s="28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  <c r="AO374" s="139"/>
      <c r="AP374" s="139"/>
      <c r="AQ374" s="139"/>
      <c r="AR374" s="139"/>
      <c r="AS374" s="139"/>
      <c r="AT374" s="139"/>
      <c r="AU374" s="139"/>
      <c r="AV374" s="139"/>
      <c r="AW374" s="139"/>
      <c r="AX374" s="139"/>
      <c r="AY374" s="139"/>
      <c r="AZ374" s="139"/>
      <c r="BA374" s="139"/>
      <c r="BB374" s="139"/>
    </row>
    <row r="375">
      <c r="A375" s="28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9"/>
      <c r="AO375" s="139"/>
      <c r="AP375" s="139"/>
      <c r="AQ375" s="139"/>
      <c r="AR375" s="139"/>
      <c r="AS375" s="139"/>
      <c r="AT375" s="139"/>
      <c r="AU375" s="139"/>
      <c r="AV375" s="139"/>
      <c r="AW375" s="139"/>
      <c r="AX375" s="139"/>
      <c r="AY375" s="139"/>
      <c r="AZ375" s="139"/>
      <c r="BA375" s="139"/>
      <c r="BB375" s="139"/>
    </row>
    <row r="376">
      <c r="A376" s="28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  <c r="AO376" s="139"/>
      <c r="AP376" s="139"/>
      <c r="AQ376" s="139"/>
      <c r="AR376" s="139"/>
      <c r="AS376" s="139"/>
      <c r="AT376" s="139"/>
      <c r="AU376" s="139"/>
      <c r="AV376" s="139"/>
      <c r="AW376" s="139"/>
      <c r="AX376" s="139"/>
      <c r="AY376" s="139"/>
      <c r="AZ376" s="139"/>
      <c r="BA376" s="139"/>
      <c r="BB376" s="139"/>
    </row>
    <row r="377">
      <c r="A377" s="28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9"/>
      <c r="AO377" s="139"/>
      <c r="AP377" s="139"/>
      <c r="AQ377" s="139"/>
      <c r="AR377" s="139"/>
      <c r="AS377" s="139"/>
      <c r="AT377" s="139"/>
      <c r="AU377" s="139"/>
      <c r="AV377" s="139"/>
      <c r="AW377" s="139"/>
      <c r="AX377" s="139"/>
      <c r="AY377" s="139"/>
      <c r="AZ377" s="139"/>
      <c r="BA377" s="139"/>
      <c r="BB377" s="139"/>
    </row>
    <row r="378">
      <c r="A378" s="28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9"/>
      <c r="AO378" s="139"/>
      <c r="AP378" s="139"/>
      <c r="AQ378" s="139"/>
      <c r="AR378" s="139"/>
      <c r="AS378" s="139"/>
      <c r="AT378" s="139"/>
      <c r="AU378" s="139"/>
      <c r="AV378" s="139"/>
      <c r="AW378" s="139"/>
      <c r="AX378" s="139"/>
      <c r="AY378" s="139"/>
      <c r="AZ378" s="139"/>
      <c r="BA378" s="139"/>
      <c r="BB378" s="139"/>
    </row>
    <row r="379">
      <c r="A379" s="28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39"/>
      <c r="AD379" s="139"/>
      <c r="AE379" s="139"/>
      <c r="AF379" s="139"/>
      <c r="AG379" s="139"/>
      <c r="AH379" s="139"/>
      <c r="AI379" s="139"/>
      <c r="AJ379" s="139"/>
      <c r="AK379" s="139"/>
      <c r="AL379" s="139"/>
      <c r="AM379" s="139"/>
      <c r="AN379" s="139"/>
      <c r="AO379" s="139"/>
      <c r="AP379" s="139"/>
      <c r="AQ379" s="139"/>
      <c r="AR379" s="139"/>
      <c r="AS379" s="139"/>
      <c r="AT379" s="139"/>
      <c r="AU379" s="139"/>
      <c r="AV379" s="139"/>
      <c r="AW379" s="139"/>
      <c r="AX379" s="139"/>
      <c r="AY379" s="139"/>
      <c r="AZ379" s="139"/>
      <c r="BA379" s="139"/>
      <c r="BB379" s="139"/>
    </row>
    <row r="380">
      <c r="A380" s="28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9"/>
      <c r="AM380" s="139"/>
      <c r="AN380" s="139"/>
      <c r="AO380" s="139"/>
      <c r="AP380" s="139"/>
      <c r="AQ380" s="139"/>
      <c r="AR380" s="139"/>
      <c r="AS380" s="139"/>
      <c r="AT380" s="139"/>
      <c r="AU380" s="139"/>
      <c r="AV380" s="139"/>
      <c r="AW380" s="139"/>
      <c r="AX380" s="139"/>
      <c r="AY380" s="139"/>
      <c r="AZ380" s="139"/>
      <c r="BA380" s="139"/>
      <c r="BB380" s="139"/>
    </row>
    <row r="381">
      <c r="A381" s="28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9"/>
      <c r="AM381" s="139"/>
      <c r="AN381" s="139"/>
      <c r="AO381" s="139"/>
      <c r="AP381" s="139"/>
      <c r="AQ381" s="139"/>
      <c r="AR381" s="139"/>
      <c r="AS381" s="139"/>
      <c r="AT381" s="139"/>
      <c r="AU381" s="139"/>
      <c r="AV381" s="139"/>
      <c r="AW381" s="139"/>
      <c r="AX381" s="139"/>
      <c r="AY381" s="139"/>
      <c r="AZ381" s="139"/>
      <c r="BA381" s="139"/>
      <c r="BB381" s="139"/>
    </row>
    <row r="382">
      <c r="A382" s="28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9"/>
      <c r="AM382" s="139"/>
      <c r="AN382" s="139"/>
      <c r="AO382" s="139"/>
      <c r="AP382" s="139"/>
      <c r="AQ382" s="139"/>
      <c r="AR382" s="139"/>
      <c r="AS382" s="139"/>
      <c r="AT382" s="139"/>
      <c r="AU382" s="139"/>
      <c r="AV382" s="139"/>
      <c r="AW382" s="139"/>
      <c r="AX382" s="139"/>
      <c r="AY382" s="139"/>
      <c r="AZ382" s="139"/>
      <c r="BA382" s="139"/>
      <c r="BB382" s="139"/>
    </row>
    <row r="383">
      <c r="A383" s="28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9"/>
      <c r="AM383" s="139"/>
      <c r="AN383" s="139"/>
      <c r="AO383" s="139"/>
      <c r="AP383" s="139"/>
      <c r="AQ383" s="139"/>
      <c r="AR383" s="139"/>
      <c r="AS383" s="139"/>
      <c r="AT383" s="139"/>
      <c r="AU383" s="139"/>
      <c r="AV383" s="139"/>
      <c r="AW383" s="139"/>
      <c r="AX383" s="139"/>
      <c r="AY383" s="139"/>
      <c r="AZ383" s="139"/>
      <c r="BA383" s="139"/>
      <c r="BB383" s="139"/>
    </row>
    <row r="384">
      <c r="A384" s="28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  <c r="AW384" s="139"/>
      <c r="AX384" s="139"/>
      <c r="AY384" s="139"/>
      <c r="AZ384" s="139"/>
      <c r="BA384" s="139"/>
      <c r="BB384" s="139"/>
    </row>
    <row r="385">
      <c r="A385" s="28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  <c r="AO385" s="139"/>
      <c r="AP385" s="139"/>
      <c r="AQ385" s="139"/>
      <c r="AR385" s="139"/>
      <c r="AS385" s="139"/>
      <c r="AT385" s="139"/>
      <c r="AU385" s="139"/>
      <c r="AV385" s="139"/>
      <c r="AW385" s="139"/>
      <c r="AX385" s="139"/>
      <c r="AY385" s="139"/>
      <c r="AZ385" s="139"/>
      <c r="BA385" s="139"/>
      <c r="BB385" s="139"/>
    </row>
    <row r="386">
      <c r="A386" s="28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  <c r="AO386" s="139"/>
      <c r="AP386" s="139"/>
      <c r="AQ386" s="139"/>
      <c r="AR386" s="139"/>
      <c r="AS386" s="139"/>
      <c r="AT386" s="139"/>
      <c r="AU386" s="139"/>
      <c r="AV386" s="139"/>
      <c r="AW386" s="139"/>
      <c r="AX386" s="139"/>
      <c r="AY386" s="139"/>
      <c r="AZ386" s="139"/>
      <c r="BA386" s="139"/>
      <c r="BB386" s="139"/>
    </row>
    <row r="387">
      <c r="A387" s="28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39"/>
      <c r="AD387" s="139"/>
      <c r="AE387" s="139"/>
      <c r="AF387" s="139"/>
      <c r="AG387" s="139"/>
      <c r="AH387" s="139"/>
      <c r="AI387" s="139"/>
      <c r="AJ387" s="139"/>
      <c r="AK387" s="139"/>
      <c r="AL387" s="139"/>
      <c r="AM387" s="139"/>
      <c r="AN387" s="139"/>
      <c r="AO387" s="139"/>
      <c r="AP387" s="139"/>
      <c r="AQ387" s="139"/>
      <c r="AR387" s="139"/>
      <c r="AS387" s="139"/>
      <c r="AT387" s="139"/>
      <c r="AU387" s="139"/>
      <c r="AV387" s="139"/>
      <c r="AW387" s="139"/>
      <c r="AX387" s="139"/>
      <c r="AY387" s="139"/>
      <c r="AZ387" s="139"/>
      <c r="BA387" s="139"/>
      <c r="BB387" s="139"/>
    </row>
    <row r="388">
      <c r="A388" s="28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9"/>
      <c r="AM388" s="139"/>
      <c r="AN388" s="139"/>
      <c r="AO388" s="139"/>
      <c r="AP388" s="139"/>
      <c r="AQ388" s="139"/>
      <c r="AR388" s="139"/>
      <c r="AS388" s="139"/>
      <c r="AT388" s="139"/>
      <c r="AU388" s="139"/>
      <c r="AV388" s="139"/>
      <c r="AW388" s="139"/>
      <c r="AX388" s="139"/>
      <c r="AY388" s="139"/>
      <c r="AZ388" s="139"/>
      <c r="BA388" s="139"/>
      <c r="BB388" s="139"/>
    </row>
    <row r="389">
      <c r="A389" s="28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9"/>
      <c r="AM389" s="139"/>
      <c r="AN389" s="139"/>
      <c r="AO389" s="139"/>
      <c r="AP389" s="139"/>
      <c r="AQ389" s="139"/>
      <c r="AR389" s="139"/>
      <c r="AS389" s="139"/>
      <c r="AT389" s="139"/>
      <c r="AU389" s="139"/>
      <c r="AV389" s="139"/>
      <c r="AW389" s="139"/>
      <c r="AX389" s="139"/>
      <c r="AY389" s="139"/>
      <c r="AZ389" s="139"/>
      <c r="BA389" s="139"/>
      <c r="BB389" s="139"/>
    </row>
    <row r="390">
      <c r="A390" s="28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  <c r="AO390" s="139"/>
      <c r="AP390" s="139"/>
      <c r="AQ390" s="139"/>
      <c r="AR390" s="139"/>
      <c r="AS390" s="139"/>
      <c r="AT390" s="139"/>
      <c r="AU390" s="139"/>
      <c r="AV390" s="139"/>
      <c r="AW390" s="139"/>
      <c r="AX390" s="139"/>
      <c r="AY390" s="139"/>
      <c r="AZ390" s="139"/>
      <c r="BA390" s="139"/>
      <c r="BB390" s="139"/>
    </row>
    <row r="391">
      <c r="A391" s="28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9"/>
      <c r="AM391" s="139"/>
      <c r="AN391" s="139"/>
      <c r="AO391" s="139"/>
      <c r="AP391" s="139"/>
      <c r="AQ391" s="139"/>
      <c r="AR391" s="139"/>
      <c r="AS391" s="139"/>
      <c r="AT391" s="139"/>
      <c r="AU391" s="139"/>
      <c r="AV391" s="139"/>
      <c r="AW391" s="139"/>
      <c r="AX391" s="139"/>
      <c r="AY391" s="139"/>
      <c r="AZ391" s="139"/>
      <c r="BA391" s="139"/>
      <c r="BB391" s="139"/>
    </row>
    <row r="392">
      <c r="A392" s="28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39"/>
      <c r="BB392" s="139"/>
    </row>
    <row r="393">
      <c r="A393" s="28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  <c r="AW393" s="139"/>
      <c r="AX393" s="139"/>
      <c r="AY393" s="139"/>
      <c r="AZ393" s="139"/>
      <c r="BA393" s="139"/>
      <c r="BB393" s="139"/>
    </row>
    <row r="394">
      <c r="A394" s="28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39"/>
      <c r="BB394" s="139"/>
    </row>
    <row r="395">
      <c r="A395" s="28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39"/>
      <c r="AD395" s="139"/>
      <c r="AE395" s="139"/>
      <c r="AF395" s="139"/>
      <c r="AG395" s="139"/>
      <c r="AH395" s="139"/>
      <c r="AI395" s="139"/>
      <c r="AJ395" s="139"/>
      <c r="AK395" s="139"/>
      <c r="AL395" s="139"/>
      <c r="AM395" s="139"/>
      <c r="AN395" s="139"/>
      <c r="AO395" s="139"/>
      <c r="AP395" s="139"/>
      <c r="AQ395" s="139"/>
      <c r="AR395" s="139"/>
      <c r="AS395" s="139"/>
      <c r="AT395" s="139"/>
      <c r="AU395" s="139"/>
      <c r="AV395" s="139"/>
      <c r="AW395" s="139"/>
      <c r="AX395" s="139"/>
      <c r="AY395" s="139"/>
      <c r="AZ395" s="139"/>
      <c r="BA395" s="139"/>
      <c r="BB395" s="139"/>
    </row>
    <row r="396">
      <c r="A396" s="28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39"/>
      <c r="BB396" s="139"/>
    </row>
    <row r="397">
      <c r="A397" s="28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9"/>
      <c r="AM397" s="139"/>
      <c r="AN397" s="139"/>
      <c r="AO397" s="139"/>
      <c r="AP397" s="139"/>
      <c r="AQ397" s="139"/>
      <c r="AR397" s="139"/>
      <c r="AS397" s="139"/>
      <c r="AT397" s="139"/>
      <c r="AU397" s="139"/>
      <c r="AV397" s="139"/>
      <c r="AW397" s="139"/>
      <c r="AX397" s="139"/>
      <c r="AY397" s="139"/>
      <c r="AZ397" s="139"/>
      <c r="BA397" s="139"/>
      <c r="BB397" s="139"/>
    </row>
    <row r="398">
      <c r="A398" s="28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9"/>
      <c r="AM398" s="139"/>
      <c r="AN398" s="139"/>
      <c r="AO398" s="139"/>
      <c r="AP398" s="139"/>
      <c r="AQ398" s="139"/>
      <c r="AR398" s="139"/>
      <c r="AS398" s="139"/>
      <c r="AT398" s="139"/>
      <c r="AU398" s="139"/>
      <c r="AV398" s="139"/>
      <c r="AW398" s="139"/>
      <c r="AX398" s="139"/>
      <c r="AY398" s="139"/>
      <c r="AZ398" s="139"/>
      <c r="BA398" s="139"/>
      <c r="BB398" s="139"/>
    </row>
    <row r="399">
      <c r="A399" s="28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39"/>
      <c r="AE399" s="139"/>
      <c r="AF399" s="139"/>
      <c r="AG399" s="139"/>
      <c r="AH399" s="139"/>
      <c r="AI399" s="139"/>
      <c r="AJ399" s="139"/>
      <c r="AK399" s="139"/>
      <c r="AL399" s="139"/>
      <c r="AM399" s="139"/>
      <c r="AN399" s="139"/>
      <c r="AO399" s="139"/>
      <c r="AP399" s="139"/>
      <c r="AQ399" s="139"/>
      <c r="AR399" s="139"/>
      <c r="AS399" s="139"/>
      <c r="AT399" s="139"/>
      <c r="AU399" s="139"/>
      <c r="AV399" s="139"/>
      <c r="AW399" s="139"/>
      <c r="AX399" s="139"/>
      <c r="AY399" s="139"/>
      <c r="AZ399" s="139"/>
      <c r="BA399" s="139"/>
      <c r="BB399" s="139"/>
    </row>
    <row r="400">
      <c r="A400" s="28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  <c r="AW400" s="139"/>
      <c r="AX400" s="139"/>
      <c r="AY400" s="139"/>
      <c r="AZ400" s="139"/>
      <c r="BA400" s="139"/>
      <c r="BB400" s="139"/>
    </row>
    <row r="401">
      <c r="A401" s="28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9"/>
      <c r="AM401" s="139"/>
      <c r="AN401" s="139"/>
      <c r="AO401" s="139"/>
      <c r="AP401" s="139"/>
      <c r="AQ401" s="139"/>
      <c r="AR401" s="139"/>
      <c r="AS401" s="139"/>
      <c r="AT401" s="139"/>
      <c r="AU401" s="139"/>
      <c r="AV401" s="139"/>
      <c r="AW401" s="139"/>
      <c r="AX401" s="139"/>
      <c r="AY401" s="139"/>
      <c r="AZ401" s="139"/>
      <c r="BA401" s="139"/>
      <c r="BB401" s="139"/>
    </row>
    <row r="402">
      <c r="A402" s="28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9"/>
      <c r="AM402" s="139"/>
      <c r="AN402" s="139"/>
      <c r="AO402" s="139"/>
      <c r="AP402" s="139"/>
      <c r="AQ402" s="139"/>
      <c r="AR402" s="139"/>
      <c r="AS402" s="139"/>
      <c r="AT402" s="139"/>
      <c r="AU402" s="139"/>
      <c r="AV402" s="139"/>
      <c r="AW402" s="139"/>
      <c r="AX402" s="139"/>
      <c r="AY402" s="139"/>
      <c r="AZ402" s="139"/>
      <c r="BA402" s="139"/>
      <c r="BB402" s="139"/>
    </row>
    <row r="403">
      <c r="A403" s="28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39"/>
      <c r="AD403" s="139"/>
      <c r="AE403" s="139"/>
      <c r="AF403" s="139"/>
      <c r="AG403" s="139"/>
      <c r="AH403" s="139"/>
      <c r="AI403" s="139"/>
      <c r="AJ403" s="139"/>
      <c r="AK403" s="139"/>
      <c r="AL403" s="139"/>
      <c r="AM403" s="139"/>
      <c r="AN403" s="139"/>
      <c r="AO403" s="139"/>
      <c r="AP403" s="139"/>
      <c r="AQ403" s="139"/>
      <c r="AR403" s="139"/>
      <c r="AS403" s="139"/>
      <c r="AT403" s="139"/>
      <c r="AU403" s="139"/>
      <c r="AV403" s="139"/>
      <c r="AW403" s="139"/>
      <c r="AX403" s="139"/>
      <c r="AY403" s="139"/>
      <c r="AZ403" s="139"/>
      <c r="BA403" s="139"/>
      <c r="BB403" s="139"/>
    </row>
    <row r="404">
      <c r="A404" s="28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9"/>
      <c r="AM404" s="139"/>
      <c r="AN404" s="139"/>
      <c r="AO404" s="139"/>
      <c r="AP404" s="139"/>
      <c r="AQ404" s="139"/>
      <c r="AR404" s="139"/>
      <c r="AS404" s="139"/>
      <c r="AT404" s="139"/>
      <c r="AU404" s="139"/>
      <c r="AV404" s="139"/>
      <c r="AW404" s="139"/>
      <c r="AX404" s="139"/>
      <c r="AY404" s="139"/>
      <c r="AZ404" s="139"/>
      <c r="BA404" s="139"/>
      <c r="BB404" s="139"/>
    </row>
    <row r="405">
      <c r="A405" s="28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  <c r="AF405" s="139"/>
      <c r="AG405" s="139"/>
      <c r="AH405" s="139"/>
      <c r="AI405" s="139"/>
      <c r="AJ405" s="139"/>
      <c r="AK405" s="139"/>
      <c r="AL405" s="139"/>
      <c r="AM405" s="139"/>
      <c r="AN405" s="139"/>
      <c r="AO405" s="139"/>
      <c r="AP405" s="139"/>
      <c r="AQ405" s="139"/>
      <c r="AR405" s="139"/>
      <c r="AS405" s="139"/>
      <c r="AT405" s="139"/>
      <c r="AU405" s="139"/>
      <c r="AV405" s="139"/>
      <c r="AW405" s="139"/>
      <c r="AX405" s="139"/>
      <c r="AY405" s="139"/>
      <c r="AZ405" s="139"/>
      <c r="BA405" s="139"/>
      <c r="BB405" s="139"/>
    </row>
    <row r="406">
      <c r="A406" s="28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  <c r="AF406" s="139"/>
      <c r="AG406" s="139"/>
      <c r="AH406" s="139"/>
      <c r="AI406" s="139"/>
      <c r="AJ406" s="139"/>
      <c r="AK406" s="139"/>
      <c r="AL406" s="139"/>
      <c r="AM406" s="139"/>
      <c r="AN406" s="139"/>
      <c r="AO406" s="139"/>
      <c r="AP406" s="139"/>
      <c r="AQ406" s="139"/>
      <c r="AR406" s="139"/>
      <c r="AS406" s="139"/>
      <c r="AT406" s="139"/>
      <c r="AU406" s="139"/>
      <c r="AV406" s="139"/>
      <c r="AW406" s="139"/>
      <c r="AX406" s="139"/>
      <c r="AY406" s="139"/>
      <c r="AZ406" s="139"/>
      <c r="BA406" s="139"/>
      <c r="BB406" s="139"/>
    </row>
    <row r="407">
      <c r="A407" s="28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39"/>
      <c r="BB407" s="139"/>
    </row>
    <row r="408">
      <c r="A408" s="28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39"/>
      <c r="BB408" s="139"/>
    </row>
    <row r="409">
      <c r="A409" s="28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  <c r="AW409" s="139"/>
      <c r="AX409" s="139"/>
      <c r="AY409" s="139"/>
      <c r="AZ409" s="139"/>
      <c r="BA409" s="139"/>
      <c r="BB409" s="139"/>
    </row>
    <row r="410">
      <c r="A410" s="28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  <c r="AW410" s="139"/>
      <c r="AX410" s="139"/>
      <c r="AY410" s="139"/>
      <c r="AZ410" s="139"/>
      <c r="BA410" s="139"/>
      <c r="BB410" s="139"/>
    </row>
    <row r="411">
      <c r="A411" s="28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9"/>
      <c r="AM411" s="139"/>
      <c r="AN411" s="139"/>
      <c r="AO411" s="139"/>
      <c r="AP411" s="139"/>
      <c r="AQ411" s="139"/>
      <c r="AR411" s="139"/>
      <c r="AS411" s="139"/>
      <c r="AT411" s="139"/>
      <c r="AU411" s="139"/>
      <c r="AV411" s="139"/>
      <c r="AW411" s="139"/>
      <c r="AX411" s="139"/>
      <c r="AY411" s="139"/>
      <c r="AZ411" s="139"/>
      <c r="BA411" s="139"/>
      <c r="BB411" s="139"/>
    </row>
    <row r="412">
      <c r="A412" s="28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9"/>
      <c r="AM412" s="139"/>
      <c r="AN412" s="139"/>
      <c r="AO412" s="139"/>
      <c r="AP412" s="139"/>
      <c r="AQ412" s="139"/>
      <c r="AR412" s="139"/>
      <c r="AS412" s="139"/>
      <c r="AT412" s="139"/>
      <c r="AU412" s="139"/>
      <c r="AV412" s="139"/>
      <c r="AW412" s="139"/>
      <c r="AX412" s="139"/>
      <c r="AY412" s="139"/>
      <c r="AZ412" s="139"/>
      <c r="BA412" s="139"/>
      <c r="BB412" s="139"/>
    </row>
    <row r="413">
      <c r="A413" s="28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  <c r="AW413" s="139"/>
      <c r="AX413" s="139"/>
      <c r="AY413" s="139"/>
      <c r="AZ413" s="139"/>
      <c r="BA413" s="139"/>
      <c r="BB413" s="139"/>
    </row>
    <row r="414">
      <c r="A414" s="28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9"/>
      <c r="AM414" s="139"/>
      <c r="AN414" s="139"/>
      <c r="AO414" s="139"/>
      <c r="AP414" s="139"/>
      <c r="AQ414" s="139"/>
      <c r="AR414" s="139"/>
      <c r="AS414" s="139"/>
      <c r="AT414" s="139"/>
      <c r="AU414" s="139"/>
      <c r="AV414" s="139"/>
      <c r="AW414" s="139"/>
      <c r="AX414" s="139"/>
      <c r="AY414" s="139"/>
      <c r="AZ414" s="139"/>
      <c r="BA414" s="139"/>
      <c r="BB414" s="139"/>
    </row>
    <row r="415">
      <c r="A415" s="28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9"/>
      <c r="AM415" s="139"/>
      <c r="AN415" s="139"/>
      <c r="AO415" s="139"/>
      <c r="AP415" s="139"/>
      <c r="AQ415" s="139"/>
      <c r="AR415" s="139"/>
      <c r="AS415" s="139"/>
      <c r="AT415" s="139"/>
      <c r="AU415" s="139"/>
      <c r="AV415" s="139"/>
      <c r="AW415" s="139"/>
      <c r="AX415" s="139"/>
      <c r="AY415" s="139"/>
      <c r="AZ415" s="139"/>
      <c r="BA415" s="139"/>
      <c r="BB415" s="139"/>
    </row>
    <row r="416">
      <c r="A416" s="28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  <c r="AW416" s="139"/>
      <c r="AX416" s="139"/>
      <c r="AY416" s="139"/>
      <c r="AZ416" s="139"/>
      <c r="BA416" s="139"/>
      <c r="BB416" s="139"/>
    </row>
    <row r="417">
      <c r="A417" s="28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39"/>
      <c r="BB417" s="139"/>
    </row>
    <row r="418">
      <c r="A418" s="28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39"/>
      <c r="AD418" s="139"/>
      <c r="AE418" s="139"/>
      <c r="AF418" s="139"/>
      <c r="AG418" s="139"/>
      <c r="AH418" s="139"/>
      <c r="AI418" s="139"/>
      <c r="AJ418" s="139"/>
      <c r="AK418" s="139"/>
      <c r="AL418" s="139"/>
      <c r="AM418" s="139"/>
      <c r="AN418" s="139"/>
      <c r="AO418" s="139"/>
      <c r="AP418" s="139"/>
      <c r="AQ418" s="139"/>
      <c r="AR418" s="139"/>
      <c r="AS418" s="139"/>
      <c r="AT418" s="139"/>
      <c r="AU418" s="139"/>
      <c r="AV418" s="139"/>
      <c r="AW418" s="139"/>
      <c r="AX418" s="139"/>
      <c r="AY418" s="139"/>
      <c r="AZ418" s="139"/>
      <c r="BA418" s="139"/>
      <c r="BB418" s="139"/>
    </row>
    <row r="419">
      <c r="A419" s="28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39"/>
      <c r="BB419" s="139"/>
    </row>
    <row r="420">
      <c r="A420" s="28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9"/>
      <c r="AM420" s="139"/>
      <c r="AN420" s="139"/>
      <c r="AO420" s="139"/>
      <c r="AP420" s="139"/>
      <c r="AQ420" s="139"/>
      <c r="AR420" s="139"/>
      <c r="AS420" s="139"/>
      <c r="AT420" s="139"/>
      <c r="AU420" s="139"/>
      <c r="AV420" s="139"/>
      <c r="AW420" s="139"/>
      <c r="AX420" s="139"/>
      <c r="AY420" s="139"/>
      <c r="AZ420" s="139"/>
      <c r="BA420" s="139"/>
      <c r="BB420" s="139"/>
    </row>
    <row r="421">
      <c r="A421" s="28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39"/>
      <c r="BB421" s="139"/>
    </row>
    <row r="422">
      <c r="A422" s="28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9"/>
      <c r="AM422" s="139"/>
      <c r="AN422" s="139"/>
      <c r="AO422" s="139"/>
      <c r="AP422" s="139"/>
      <c r="AQ422" s="139"/>
      <c r="AR422" s="139"/>
      <c r="AS422" s="139"/>
      <c r="AT422" s="139"/>
      <c r="AU422" s="139"/>
      <c r="AV422" s="139"/>
      <c r="AW422" s="139"/>
      <c r="AX422" s="139"/>
      <c r="AY422" s="139"/>
      <c r="AZ422" s="139"/>
      <c r="BA422" s="139"/>
      <c r="BB422" s="139"/>
    </row>
    <row r="423">
      <c r="A423" s="28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39"/>
      <c r="BB423" s="139"/>
    </row>
    <row r="424">
      <c r="A424" s="28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9"/>
      <c r="AM424" s="139"/>
      <c r="AN424" s="139"/>
      <c r="AO424" s="139"/>
      <c r="AP424" s="139"/>
      <c r="AQ424" s="139"/>
      <c r="AR424" s="139"/>
      <c r="AS424" s="139"/>
      <c r="AT424" s="139"/>
      <c r="AU424" s="139"/>
      <c r="AV424" s="139"/>
      <c r="AW424" s="139"/>
      <c r="AX424" s="139"/>
      <c r="AY424" s="139"/>
      <c r="AZ424" s="139"/>
      <c r="BA424" s="139"/>
      <c r="BB424" s="139"/>
    </row>
    <row r="425">
      <c r="A425" s="28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9"/>
      <c r="AM425" s="139"/>
      <c r="AN425" s="139"/>
      <c r="AO425" s="139"/>
      <c r="AP425" s="139"/>
      <c r="AQ425" s="139"/>
      <c r="AR425" s="139"/>
      <c r="AS425" s="139"/>
      <c r="AT425" s="139"/>
      <c r="AU425" s="139"/>
      <c r="AV425" s="139"/>
      <c r="AW425" s="139"/>
      <c r="AX425" s="139"/>
      <c r="AY425" s="139"/>
      <c r="AZ425" s="139"/>
      <c r="BA425" s="139"/>
      <c r="BB425" s="139"/>
    </row>
    <row r="426">
      <c r="A426" s="28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9"/>
      <c r="AM426" s="139"/>
      <c r="AN426" s="139"/>
      <c r="AO426" s="139"/>
      <c r="AP426" s="139"/>
      <c r="AQ426" s="139"/>
      <c r="AR426" s="139"/>
      <c r="AS426" s="139"/>
      <c r="AT426" s="139"/>
      <c r="AU426" s="139"/>
      <c r="AV426" s="139"/>
      <c r="AW426" s="139"/>
      <c r="AX426" s="139"/>
      <c r="AY426" s="139"/>
      <c r="AZ426" s="139"/>
      <c r="BA426" s="139"/>
      <c r="BB426" s="139"/>
    </row>
    <row r="427">
      <c r="A427" s="28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9"/>
      <c r="AM427" s="139"/>
      <c r="AN427" s="139"/>
      <c r="AO427" s="139"/>
      <c r="AP427" s="139"/>
      <c r="AQ427" s="139"/>
      <c r="AR427" s="139"/>
      <c r="AS427" s="139"/>
      <c r="AT427" s="139"/>
      <c r="AU427" s="139"/>
      <c r="AV427" s="139"/>
      <c r="AW427" s="139"/>
      <c r="AX427" s="139"/>
      <c r="AY427" s="139"/>
      <c r="AZ427" s="139"/>
      <c r="BA427" s="139"/>
      <c r="BB427" s="139"/>
    </row>
    <row r="428">
      <c r="A428" s="28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39"/>
      <c r="AD428" s="139"/>
      <c r="AE428" s="139"/>
      <c r="AF428" s="139"/>
      <c r="AG428" s="139"/>
      <c r="AH428" s="139"/>
      <c r="AI428" s="139"/>
      <c r="AJ428" s="139"/>
      <c r="AK428" s="139"/>
      <c r="AL428" s="139"/>
      <c r="AM428" s="139"/>
      <c r="AN428" s="139"/>
      <c r="AO428" s="139"/>
      <c r="AP428" s="139"/>
      <c r="AQ428" s="139"/>
      <c r="AR428" s="139"/>
      <c r="AS428" s="139"/>
      <c r="AT428" s="139"/>
      <c r="AU428" s="139"/>
      <c r="AV428" s="139"/>
      <c r="AW428" s="139"/>
      <c r="AX428" s="139"/>
      <c r="AY428" s="139"/>
      <c r="AZ428" s="139"/>
      <c r="BA428" s="139"/>
      <c r="BB428" s="139"/>
    </row>
    <row r="429">
      <c r="A429" s="28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39"/>
      <c r="BB429" s="139"/>
    </row>
    <row r="430">
      <c r="A430" s="28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9"/>
      <c r="AM430" s="139"/>
      <c r="AN430" s="139"/>
      <c r="AO430" s="139"/>
      <c r="AP430" s="139"/>
      <c r="AQ430" s="139"/>
      <c r="AR430" s="139"/>
      <c r="AS430" s="139"/>
      <c r="AT430" s="139"/>
      <c r="AU430" s="139"/>
      <c r="AV430" s="139"/>
      <c r="AW430" s="139"/>
      <c r="AX430" s="139"/>
      <c r="AY430" s="139"/>
      <c r="AZ430" s="139"/>
      <c r="BA430" s="139"/>
      <c r="BB430" s="139"/>
    </row>
    <row r="431">
      <c r="A431" s="28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9"/>
      <c r="AM431" s="139"/>
      <c r="AN431" s="139"/>
      <c r="AO431" s="139"/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39"/>
      <c r="BB431" s="139"/>
    </row>
    <row r="432">
      <c r="A432" s="28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39"/>
      <c r="AD432" s="139"/>
      <c r="AE432" s="139"/>
      <c r="AF432" s="139"/>
      <c r="AG432" s="139"/>
      <c r="AH432" s="139"/>
      <c r="AI432" s="139"/>
      <c r="AJ432" s="139"/>
      <c r="AK432" s="139"/>
      <c r="AL432" s="139"/>
      <c r="AM432" s="139"/>
      <c r="AN432" s="139"/>
      <c r="AO432" s="139"/>
      <c r="AP432" s="139"/>
      <c r="AQ432" s="139"/>
      <c r="AR432" s="139"/>
      <c r="AS432" s="139"/>
      <c r="AT432" s="139"/>
      <c r="AU432" s="139"/>
      <c r="AV432" s="139"/>
      <c r="AW432" s="139"/>
      <c r="AX432" s="139"/>
      <c r="AY432" s="139"/>
      <c r="AZ432" s="139"/>
      <c r="BA432" s="139"/>
      <c r="BB432" s="139"/>
    </row>
    <row r="433">
      <c r="A433" s="28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/>
      <c r="AD433" s="139"/>
      <c r="AE433" s="139"/>
      <c r="AF433" s="139"/>
      <c r="AG433" s="139"/>
      <c r="AH433" s="139"/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39"/>
      <c r="BB433" s="139"/>
    </row>
    <row r="434">
      <c r="A434" s="28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39"/>
      <c r="AD434" s="139"/>
      <c r="AE434" s="139"/>
      <c r="AF434" s="139"/>
      <c r="AG434" s="139"/>
      <c r="AH434" s="139"/>
      <c r="AI434" s="139"/>
      <c r="AJ434" s="139"/>
      <c r="AK434" s="139"/>
      <c r="AL434" s="139"/>
      <c r="AM434" s="139"/>
      <c r="AN434" s="139"/>
      <c r="AO434" s="139"/>
      <c r="AP434" s="139"/>
      <c r="AQ434" s="139"/>
      <c r="AR434" s="139"/>
      <c r="AS434" s="139"/>
      <c r="AT434" s="139"/>
      <c r="AU434" s="139"/>
      <c r="AV434" s="139"/>
      <c r="AW434" s="139"/>
      <c r="AX434" s="139"/>
      <c r="AY434" s="139"/>
      <c r="AZ434" s="139"/>
      <c r="BA434" s="139"/>
      <c r="BB434" s="139"/>
    </row>
    <row r="435">
      <c r="A435" s="28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39"/>
      <c r="BB435" s="139"/>
    </row>
    <row r="436">
      <c r="A436" s="28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9"/>
      <c r="AM436" s="139"/>
      <c r="AN436" s="139"/>
      <c r="AO436" s="139"/>
      <c r="AP436" s="139"/>
      <c r="AQ436" s="139"/>
      <c r="AR436" s="139"/>
      <c r="AS436" s="139"/>
      <c r="AT436" s="139"/>
      <c r="AU436" s="139"/>
      <c r="AV436" s="139"/>
      <c r="AW436" s="139"/>
      <c r="AX436" s="139"/>
      <c r="AY436" s="139"/>
      <c r="AZ436" s="139"/>
      <c r="BA436" s="139"/>
      <c r="BB436" s="139"/>
    </row>
    <row r="437">
      <c r="A437" s="28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9"/>
      <c r="AM437" s="139"/>
      <c r="AN437" s="139"/>
      <c r="AO437" s="139"/>
      <c r="AP437" s="139"/>
      <c r="AQ437" s="139"/>
      <c r="AR437" s="139"/>
      <c r="AS437" s="139"/>
      <c r="AT437" s="139"/>
      <c r="AU437" s="139"/>
      <c r="AV437" s="139"/>
      <c r="AW437" s="139"/>
      <c r="AX437" s="139"/>
      <c r="AY437" s="139"/>
      <c r="AZ437" s="139"/>
      <c r="BA437" s="139"/>
      <c r="BB437" s="139"/>
    </row>
    <row r="438">
      <c r="A438" s="28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  <c r="AW438" s="139"/>
      <c r="AX438" s="139"/>
      <c r="AY438" s="139"/>
      <c r="AZ438" s="139"/>
      <c r="BA438" s="139"/>
      <c r="BB438" s="139"/>
    </row>
    <row r="439">
      <c r="A439" s="28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9"/>
      <c r="AM439" s="139"/>
      <c r="AN439" s="139"/>
      <c r="AO439" s="139"/>
      <c r="AP439" s="139"/>
      <c r="AQ439" s="139"/>
      <c r="AR439" s="139"/>
      <c r="AS439" s="139"/>
      <c r="AT439" s="139"/>
      <c r="AU439" s="139"/>
      <c r="AV439" s="139"/>
      <c r="AW439" s="139"/>
      <c r="AX439" s="139"/>
      <c r="AY439" s="139"/>
      <c r="AZ439" s="139"/>
      <c r="BA439" s="139"/>
      <c r="BB439" s="139"/>
    </row>
    <row r="440">
      <c r="A440" s="28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39"/>
      <c r="BB440" s="139"/>
    </row>
    <row r="441">
      <c r="A441" s="28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  <c r="AW441" s="139"/>
      <c r="AX441" s="139"/>
      <c r="AY441" s="139"/>
      <c r="AZ441" s="139"/>
      <c r="BA441" s="139"/>
      <c r="BB441" s="139"/>
    </row>
    <row r="442">
      <c r="A442" s="28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39"/>
      <c r="AD442" s="139"/>
      <c r="AE442" s="139"/>
      <c r="AF442" s="139"/>
      <c r="AG442" s="139"/>
      <c r="AH442" s="139"/>
      <c r="AI442" s="139"/>
      <c r="AJ442" s="139"/>
      <c r="AK442" s="139"/>
      <c r="AL442" s="139"/>
      <c r="AM442" s="139"/>
      <c r="AN442" s="139"/>
      <c r="AO442" s="139"/>
      <c r="AP442" s="139"/>
      <c r="AQ442" s="139"/>
      <c r="AR442" s="139"/>
      <c r="AS442" s="139"/>
      <c r="AT442" s="139"/>
      <c r="AU442" s="139"/>
      <c r="AV442" s="139"/>
      <c r="AW442" s="139"/>
      <c r="AX442" s="139"/>
      <c r="AY442" s="139"/>
      <c r="AZ442" s="139"/>
      <c r="BA442" s="139"/>
      <c r="BB442" s="139"/>
    </row>
    <row r="443">
      <c r="A443" s="28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  <c r="AK443" s="139"/>
      <c r="AL443" s="139"/>
      <c r="AM443" s="139"/>
      <c r="AN443" s="139"/>
      <c r="AO443" s="139"/>
      <c r="AP443" s="139"/>
      <c r="AQ443" s="139"/>
      <c r="AR443" s="139"/>
      <c r="AS443" s="139"/>
      <c r="AT443" s="139"/>
      <c r="AU443" s="139"/>
      <c r="AV443" s="139"/>
      <c r="AW443" s="139"/>
      <c r="AX443" s="139"/>
      <c r="AY443" s="139"/>
      <c r="AZ443" s="139"/>
      <c r="BA443" s="139"/>
      <c r="BB443" s="139"/>
    </row>
    <row r="444">
      <c r="A444" s="28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39"/>
      <c r="AD444" s="139"/>
      <c r="AE444" s="139"/>
      <c r="AF444" s="139"/>
      <c r="AG444" s="139"/>
      <c r="AH444" s="139"/>
      <c r="AI444" s="139"/>
      <c r="AJ444" s="139"/>
      <c r="AK444" s="139"/>
      <c r="AL444" s="139"/>
      <c r="AM444" s="139"/>
      <c r="AN444" s="139"/>
      <c r="AO444" s="139"/>
      <c r="AP444" s="139"/>
      <c r="AQ444" s="139"/>
      <c r="AR444" s="139"/>
      <c r="AS444" s="139"/>
      <c r="AT444" s="139"/>
      <c r="AU444" s="139"/>
      <c r="AV444" s="139"/>
      <c r="AW444" s="139"/>
      <c r="AX444" s="139"/>
      <c r="AY444" s="139"/>
      <c r="AZ444" s="139"/>
      <c r="BA444" s="139"/>
      <c r="BB444" s="139"/>
    </row>
    <row r="445">
      <c r="A445" s="28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9"/>
      <c r="AM445" s="139"/>
      <c r="AN445" s="139"/>
      <c r="AO445" s="139"/>
      <c r="AP445" s="139"/>
      <c r="AQ445" s="139"/>
      <c r="AR445" s="139"/>
      <c r="AS445" s="139"/>
      <c r="AT445" s="139"/>
      <c r="AU445" s="139"/>
      <c r="AV445" s="139"/>
      <c r="AW445" s="139"/>
      <c r="AX445" s="139"/>
      <c r="AY445" s="139"/>
      <c r="AZ445" s="139"/>
      <c r="BA445" s="139"/>
      <c r="BB445" s="139"/>
    </row>
    <row r="446">
      <c r="A446" s="28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  <c r="AW446" s="139"/>
      <c r="AX446" s="139"/>
      <c r="AY446" s="139"/>
      <c r="AZ446" s="139"/>
      <c r="BA446" s="139"/>
      <c r="BB446" s="139"/>
    </row>
    <row r="447">
      <c r="A447" s="28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9"/>
      <c r="AM447" s="139"/>
      <c r="AN447" s="139"/>
      <c r="AO447" s="139"/>
      <c r="AP447" s="139"/>
      <c r="AQ447" s="139"/>
      <c r="AR447" s="139"/>
      <c r="AS447" s="139"/>
      <c r="AT447" s="139"/>
      <c r="AU447" s="139"/>
      <c r="AV447" s="139"/>
      <c r="AW447" s="139"/>
      <c r="AX447" s="139"/>
      <c r="AY447" s="139"/>
      <c r="AZ447" s="139"/>
      <c r="BA447" s="139"/>
      <c r="BB447" s="139"/>
    </row>
    <row r="448">
      <c r="A448" s="28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39"/>
      <c r="BB448" s="139"/>
    </row>
    <row r="449">
      <c r="A449" s="28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/>
      <c r="AM449" s="139"/>
      <c r="AN449" s="139"/>
      <c r="AO449" s="139"/>
      <c r="AP449" s="139"/>
      <c r="AQ449" s="139"/>
      <c r="AR449" s="139"/>
      <c r="AS449" s="139"/>
      <c r="AT449" s="139"/>
      <c r="AU449" s="139"/>
      <c r="AV449" s="139"/>
      <c r="AW449" s="139"/>
      <c r="AX449" s="139"/>
      <c r="AY449" s="139"/>
      <c r="AZ449" s="139"/>
      <c r="BA449" s="139"/>
      <c r="BB449" s="139"/>
    </row>
    <row r="450">
      <c r="A450" s="28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  <c r="AW450" s="139"/>
      <c r="AX450" s="139"/>
      <c r="AY450" s="139"/>
      <c r="AZ450" s="139"/>
      <c r="BA450" s="139"/>
      <c r="BB450" s="139"/>
    </row>
    <row r="451">
      <c r="A451" s="28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9"/>
      <c r="AM451" s="139"/>
      <c r="AN451" s="139"/>
      <c r="AO451" s="139"/>
      <c r="AP451" s="139"/>
      <c r="AQ451" s="139"/>
      <c r="AR451" s="139"/>
      <c r="AS451" s="139"/>
      <c r="AT451" s="139"/>
      <c r="AU451" s="139"/>
      <c r="AV451" s="139"/>
      <c r="AW451" s="139"/>
      <c r="AX451" s="139"/>
      <c r="AY451" s="139"/>
      <c r="AZ451" s="139"/>
      <c r="BA451" s="139"/>
      <c r="BB451" s="139"/>
    </row>
    <row r="452">
      <c r="A452" s="28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39"/>
      <c r="AD452" s="139"/>
      <c r="AE452" s="139"/>
      <c r="AF452" s="139"/>
      <c r="AG452" s="139"/>
      <c r="AH452" s="139"/>
      <c r="AI452" s="139"/>
      <c r="AJ452" s="139"/>
      <c r="AK452" s="139"/>
      <c r="AL452" s="139"/>
      <c r="AM452" s="139"/>
      <c r="AN452" s="139"/>
      <c r="AO452" s="139"/>
      <c r="AP452" s="139"/>
      <c r="AQ452" s="139"/>
      <c r="AR452" s="139"/>
      <c r="AS452" s="139"/>
      <c r="AT452" s="139"/>
      <c r="AU452" s="139"/>
      <c r="AV452" s="139"/>
      <c r="AW452" s="139"/>
      <c r="AX452" s="139"/>
      <c r="AY452" s="139"/>
      <c r="AZ452" s="139"/>
      <c r="BA452" s="139"/>
      <c r="BB452" s="139"/>
    </row>
    <row r="453">
      <c r="A453" s="28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  <c r="AK453" s="139"/>
      <c r="AL453" s="139"/>
      <c r="AM453" s="139"/>
      <c r="AN453" s="139"/>
      <c r="AO453" s="139"/>
      <c r="AP453" s="139"/>
      <c r="AQ453" s="139"/>
      <c r="AR453" s="139"/>
      <c r="AS453" s="139"/>
      <c r="AT453" s="139"/>
      <c r="AU453" s="139"/>
      <c r="AV453" s="139"/>
      <c r="AW453" s="139"/>
      <c r="AX453" s="139"/>
      <c r="AY453" s="139"/>
      <c r="AZ453" s="139"/>
      <c r="BA453" s="139"/>
      <c r="BB453" s="139"/>
    </row>
    <row r="454">
      <c r="A454" s="28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39"/>
      <c r="AD454" s="139"/>
      <c r="AE454" s="139"/>
      <c r="AF454" s="139"/>
      <c r="AG454" s="139"/>
      <c r="AH454" s="139"/>
      <c r="AI454" s="139"/>
      <c r="AJ454" s="139"/>
      <c r="AK454" s="139"/>
      <c r="AL454" s="139"/>
      <c r="AM454" s="139"/>
      <c r="AN454" s="139"/>
      <c r="AO454" s="139"/>
      <c r="AP454" s="139"/>
      <c r="AQ454" s="139"/>
      <c r="AR454" s="139"/>
      <c r="AS454" s="139"/>
      <c r="AT454" s="139"/>
      <c r="AU454" s="139"/>
      <c r="AV454" s="139"/>
      <c r="AW454" s="139"/>
      <c r="AX454" s="139"/>
      <c r="AY454" s="139"/>
      <c r="AZ454" s="139"/>
      <c r="BA454" s="139"/>
      <c r="BB454" s="139"/>
    </row>
    <row r="455">
      <c r="A455" s="28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  <c r="AK455" s="139"/>
      <c r="AL455" s="139"/>
      <c r="AM455" s="139"/>
      <c r="AN455" s="139"/>
      <c r="AO455" s="139"/>
      <c r="AP455" s="139"/>
      <c r="AQ455" s="139"/>
      <c r="AR455" s="139"/>
      <c r="AS455" s="139"/>
      <c r="AT455" s="139"/>
      <c r="AU455" s="139"/>
      <c r="AV455" s="139"/>
      <c r="AW455" s="139"/>
      <c r="AX455" s="139"/>
      <c r="AY455" s="139"/>
      <c r="AZ455" s="139"/>
      <c r="BA455" s="139"/>
      <c r="BB455" s="139"/>
    </row>
    <row r="456">
      <c r="A456" s="28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39"/>
      <c r="AD456" s="139"/>
      <c r="AE456" s="139"/>
      <c r="AF456" s="139"/>
      <c r="AG456" s="139"/>
      <c r="AH456" s="139"/>
      <c r="AI456" s="139"/>
      <c r="AJ456" s="139"/>
      <c r="AK456" s="139"/>
      <c r="AL456" s="139"/>
      <c r="AM456" s="139"/>
      <c r="AN456" s="139"/>
      <c r="AO456" s="139"/>
      <c r="AP456" s="139"/>
      <c r="AQ456" s="139"/>
      <c r="AR456" s="139"/>
      <c r="AS456" s="139"/>
      <c r="AT456" s="139"/>
      <c r="AU456" s="139"/>
      <c r="AV456" s="139"/>
      <c r="AW456" s="139"/>
      <c r="AX456" s="139"/>
      <c r="AY456" s="139"/>
      <c r="AZ456" s="139"/>
      <c r="BA456" s="139"/>
      <c r="BB456" s="139"/>
    </row>
    <row r="457">
      <c r="A457" s="28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9"/>
      <c r="AM457" s="139"/>
      <c r="AN457" s="139"/>
      <c r="AO457" s="139"/>
      <c r="AP457" s="139"/>
      <c r="AQ457" s="139"/>
      <c r="AR457" s="139"/>
      <c r="AS457" s="139"/>
      <c r="AT457" s="139"/>
      <c r="AU457" s="139"/>
      <c r="AV457" s="139"/>
      <c r="AW457" s="139"/>
      <c r="AX457" s="139"/>
      <c r="AY457" s="139"/>
      <c r="AZ457" s="139"/>
      <c r="BA457" s="139"/>
      <c r="BB457" s="139"/>
    </row>
    <row r="458">
      <c r="A458" s="28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  <c r="AW458" s="139"/>
      <c r="AX458" s="139"/>
      <c r="AY458" s="139"/>
      <c r="AZ458" s="139"/>
      <c r="BA458" s="139"/>
      <c r="BB458" s="139"/>
    </row>
    <row r="459">
      <c r="A459" s="28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/>
      <c r="AM459" s="139"/>
      <c r="AN459" s="139"/>
      <c r="AO459" s="139"/>
      <c r="AP459" s="139"/>
      <c r="AQ459" s="139"/>
      <c r="AR459" s="139"/>
      <c r="AS459" s="139"/>
      <c r="AT459" s="139"/>
      <c r="AU459" s="139"/>
      <c r="AV459" s="139"/>
      <c r="AW459" s="139"/>
      <c r="AX459" s="139"/>
      <c r="AY459" s="139"/>
      <c r="AZ459" s="139"/>
      <c r="BA459" s="139"/>
      <c r="BB459" s="139"/>
    </row>
    <row r="460">
      <c r="A460" s="28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39"/>
      <c r="AD460" s="139"/>
      <c r="AE460" s="139"/>
      <c r="AF460" s="139"/>
      <c r="AG460" s="139"/>
      <c r="AH460" s="139"/>
      <c r="AI460" s="139"/>
      <c r="AJ460" s="139"/>
      <c r="AK460" s="139"/>
      <c r="AL460" s="139"/>
      <c r="AM460" s="139"/>
      <c r="AN460" s="139"/>
      <c r="AO460" s="139"/>
      <c r="AP460" s="139"/>
      <c r="AQ460" s="139"/>
      <c r="AR460" s="139"/>
      <c r="AS460" s="139"/>
      <c r="AT460" s="139"/>
      <c r="AU460" s="139"/>
      <c r="AV460" s="139"/>
      <c r="AW460" s="139"/>
      <c r="AX460" s="139"/>
      <c r="AY460" s="139"/>
      <c r="AZ460" s="139"/>
      <c r="BA460" s="139"/>
      <c r="BB460" s="139"/>
    </row>
    <row r="461">
      <c r="A461" s="28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  <c r="AO461" s="139"/>
      <c r="AP461" s="139"/>
      <c r="AQ461" s="139"/>
      <c r="AR461" s="139"/>
      <c r="AS461" s="139"/>
      <c r="AT461" s="139"/>
      <c r="AU461" s="139"/>
      <c r="AV461" s="139"/>
      <c r="AW461" s="139"/>
      <c r="AX461" s="139"/>
      <c r="AY461" s="139"/>
      <c r="AZ461" s="139"/>
      <c r="BA461" s="139"/>
      <c r="BB461" s="139"/>
    </row>
    <row r="462">
      <c r="A462" s="28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  <c r="AO462" s="139"/>
      <c r="AP462" s="139"/>
      <c r="AQ462" s="139"/>
      <c r="AR462" s="139"/>
      <c r="AS462" s="139"/>
      <c r="AT462" s="139"/>
      <c r="AU462" s="139"/>
      <c r="AV462" s="139"/>
      <c r="AW462" s="139"/>
      <c r="AX462" s="139"/>
      <c r="AY462" s="139"/>
      <c r="AZ462" s="139"/>
      <c r="BA462" s="139"/>
      <c r="BB462" s="139"/>
    </row>
    <row r="463">
      <c r="A463" s="28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39"/>
      <c r="BB463" s="139"/>
    </row>
    <row r="464">
      <c r="A464" s="28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9"/>
      <c r="AM464" s="139"/>
      <c r="AN464" s="139"/>
      <c r="AO464" s="139"/>
      <c r="AP464" s="139"/>
      <c r="AQ464" s="139"/>
      <c r="AR464" s="139"/>
      <c r="AS464" s="139"/>
      <c r="AT464" s="139"/>
      <c r="AU464" s="139"/>
      <c r="AV464" s="139"/>
      <c r="AW464" s="139"/>
      <c r="AX464" s="139"/>
      <c r="AY464" s="139"/>
      <c r="AZ464" s="139"/>
      <c r="BA464" s="139"/>
      <c r="BB464" s="139"/>
    </row>
    <row r="465">
      <c r="A465" s="28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/>
      <c r="AE465" s="139"/>
      <c r="AF465" s="139"/>
      <c r="AG465" s="139"/>
      <c r="AH465" s="139"/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139"/>
      <c r="BA465" s="139"/>
      <c r="BB465" s="139"/>
    </row>
    <row r="466">
      <c r="A466" s="28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39"/>
      <c r="AD466" s="139"/>
      <c r="AE466" s="139"/>
      <c r="AF466" s="139"/>
      <c r="AG466" s="139"/>
      <c r="AH466" s="139"/>
      <c r="AI466" s="139"/>
      <c r="AJ466" s="139"/>
      <c r="AK466" s="139"/>
      <c r="AL466" s="139"/>
      <c r="AM466" s="139"/>
      <c r="AN466" s="139"/>
      <c r="AO466" s="139"/>
      <c r="AP466" s="139"/>
      <c r="AQ466" s="139"/>
      <c r="AR466" s="139"/>
      <c r="AS466" s="139"/>
      <c r="AT466" s="139"/>
      <c r="AU466" s="139"/>
      <c r="AV466" s="139"/>
      <c r="AW466" s="139"/>
      <c r="AX466" s="139"/>
      <c r="AY466" s="139"/>
      <c r="AZ466" s="139"/>
      <c r="BA466" s="139"/>
      <c r="BB466" s="139"/>
    </row>
    <row r="467">
      <c r="A467" s="28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9"/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  <c r="AW467" s="139"/>
      <c r="AX467" s="139"/>
      <c r="AY467" s="139"/>
      <c r="AZ467" s="139"/>
      <c r="BA467" s="139"/>
      <c r="BB467" s="139"/>
    </row>
    <row r="468">
      <c r="A468" s="28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39"/>
      <c r="AK468" s="139"/>
      <c r="AL468" s="139"/>
      <c r="AM468" s="139"/>
      <c r="AN468" s="139"/>
      <c r="AO468" s="139"/>
      <c r="AP468" s="139"/>
      <c r="AQ468" s="139"/>
      <c r="AR468" s="139"/>
      <c r="AS468" s="139"/>
      <c r="AT468" s="139"/>
      <c r="AU468" s="139"/>
      <c r="AV468" s="139"/>
      <c r="AW468" s="139"/>
      <c r="AX468" s="139"/>
      <c r="AY468" s="139"/>
      <c r="AZ468" s="139"/>
      <c r="BA468" s="139"/>
      <c r="BB468" s="139"/>
    </row>
    <row r="469">
      <c r="A469" s="28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39"/>
      <c r="BB469" s="139"/>
    </row>
    <row r="470">
      <c r="A470" s="28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39"/>
      <c r="AD470" s="139"/>
      <c r="AE470" s="139"/>
      <c r="AF470" s="139"/>
      <c r="AG470" s="139"/>
      <c r="AH470" s="139"/>
      <c r="AI470" s="139"/>
      <c r="AJ470" s="139"/>
      <c r="AK470" s="139"/>
      <c r="AL470" s="139"/>
      <c r="AM470" s="139"/>
      <c r="AN470" s="139"/>
      <c r="AO470" s="139"/>
      <c r="AP470" s="139"/>
      <c r="AQ470" s="139"/>
      <c r="AR470" s="139"/>
      <c r="AS470" s="139"/>
      <c r="AT470" s="139"/>
      <c r="AU470" s="139"/>
      <c r="AV470" s="139"/>
      <c r="AW470" s="139"/>
      <c r="AX470" s="139"/>
      <c r="AY470" s="139"/>
      <c r="AZ470" s="139"/>
      <c r="BA470" s="139"/>
      <c r="BB470" s="139"/>
    </row>
    <row r="471">
      <c r="A471" s="28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39"/>
      <c r="BB471" s="139"/>
    </row>
    <row r="472">
      <c r="A472" s="28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39"/>
      <c r="AD472" s="139"/>
      <c r="AE472" s="139"/>
      <c r="AF472" s="139"/>
      <c r="AG472" s="139"/>
      <c r="AH472" s="139"/>
      <c r="AI472" s="139"/>
      <c r="AJ472" s="139"/>
      <c r="AK472" s="139"/>
      <c r="AL472" s="139"/>
      <c r="AM472" s="139"/>
      <c r="AN472" s="139"/>
      <c r="AO472" s="139"/>
      <c r="AP472" s="139"/>
      <c r="AQ472" s="139"/>
      <c r="AR472" s="139"/>
      <c r="AS472" s="139"/>
      <c r="AT472" s="139"/>
      <c r="AU472" s="139"/>
      <c r="AV472" s="139"/>
      <c r="AW472" s="139"/>
      <c r="AX472" s="139"/>
      <c r="AY472" s="139"/>
      <c r="AZ472" s="139"/>
      <c r="BA472" s="139"/>
      <c r="BB472" s="139"/>
    </row>
    <row r="473">
      <c r="A473" s="28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39"/>
      <c r="BB473" s="139"/>
    </row>
    <row r="474">
      <c r="A474" s="28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39"/>
      <c r="AD474" s="139"/>
      <c r="AE474" s="139"/>
      <c r="AF474" s="139"/>
      <c r="AG474" s="139"/>
      <c r="AH474" s="139"/>
      <c r="AI474" s="139"/>
      <c r="AJ474" s="139"/>
      <c r="AK474" s="139"/>
      <c r="AL474" s="139"/>
      <c r="AM474" s="139"/>
      <c r="AN474" s="139"/>
      <c r="AO474" s="139"/>
      <c r="AP474" s="139"/>
      <c r="AQ474" s="139"/>
      <c r="AR474" s="139"/>
      <c r="AS474" s="139"/>
      <c r="AT474" s="139"/>
      <c r="AU474" s="139"/>
      <c r="AV474" s="139"/>
      <c r="AW474" s="139"/>
      <c r="AX474" s="139"/>
      <c r="AY474" s="139"/>
      <c r="AZ474" s="139"/>
      <c r="BA474" s="139"/>
      <c r="BB474" s="139"/>
    </row>
    <row r="475">
      <c r="A475" s="28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39"/>
      <c r="BB475" s="139"/>
    </row>
    <row r="476">
      <c r="A476" s="28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9"/>
      <c r="AM476" s="139"/>
      <c r="AN476" s="139"/>
      <c r="AO476" s="139"/>
      <c r="AP476" s="139"/>
      <c r="AQ476" s="139"/>
      <c r="AR476" s="139"/>
      <c r="AS476" s="139"/>
      <c r="AT476" s="139"/>
      <c r="AU476" s="139"/>
      <c r="AV476" s="139"/>
      <c r="AW476" s="139"/>
      <c r="AX476" s="139"/>
      <c r="AY476" s="139"/>
      <c r="AZ476" s="139"/>
      <c r="BA476" s="139"/>
      <c r="BB476" s="139"/>
    </row>
    <row r="477">
      <c r="A477" s="28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39"/>
      <c r="BB477" s="139"/>
    </row>
    <row r="478">
      <c r="A478" s="28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9"/>
      <c r="AM478" s="139"/>
      <c r="AN478" s="139"/>
      <c r="AO478" s="139"/>
      <c r="AP478" s="139"/>
      <c r="AQ478" s="139"/>
      <c r="AR478" s="139"/>
      <c r="AS478" s="139"/>
      <c r="AT478" s="139"/>
      <c r="AU478" s="139"/>
      <c r="AV478" s="139"/>
      <c r="AW478" s="139"/>
      <c r="AX478" s="139"/>
      <c r="AY478" s="139"/>
      <c r="AZ478" s="139"/>
      <c r="BA478" s="139"/>
      <c r="BB478" s="139"/>
    </row>
    <row r="479">
      <c r="A479" s="28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/>
      <c r="AY479" s="139"/>
      <c r="AZ479" s="139"/>
      <c r="BA479" s="139"/>
      <c r="BB479" s="139"/>
    </row>
    <row r="480">
      <c r="A480" s="28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9"/>
      <c r="AM480" s="139"/>
      <c r="AN480" s="139"/>
      <c r="AO480" s="139"/>
      <c r="AP480" s="139"/>
      <c r="AQ480" s="139"/>
      <c r="AR480" s="139"/>
      <c r="AS480" s="139"/>
      <c r="AT480" s="139"/>
      <c r="AU480" s="139"/>
      <c r="AV480" s="139"/>
      <c r="AW480" s="139"/>
      <c r="AX480" s="139"/>
      <c r="AY480" s="139"/>
      <c r="AZ480" s="139"/>
      <c r="BA480" s="139"/>
      <c r="BB480" s="139"/>
    </row>
    <row r="481">
      <c r="A481" s="28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39"/>
      <c r="BB481" s="139"/>
    </row>
    <row r="482">
      <c r="A482" s="28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9"/>
      <c r="AM482" s="139"/>
      <c r="AN482" s="139"/>
      <c r="AO482" s="139"/>
      <c r="AP482" s="139"/>
      <c r="AQ482" s="139"/>
      <c r="AR482" s="139"/>
      <c r="AS482" s="139"/>
      <c r="AT482" s="139"/>
      <c r="AU482" s="139"/>
      <c r="AV482" s="139"/>
      <c r="AW482" s="139"/>
      <c r="AX482" s="139"/>
      <c r="AY482" s="139"/>
      <c r="AZ482" s="139"/>
      <c r="BA482" s="139"/>
      <c r="BB482" s="139"/>
    </row>
    <row r="483">
      <c r="A483" s="28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39"/>
      <c r="BB483" s="139"/>
    </row>
    <row r="484">
      <c r="A484" s="28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9"/>
      <c r="AM484" s="139"/>
      <c r="AN484" s="139"/>
      <c r="AO484" s="139"/>
      <c r="AP484" s="139"/>
      <c r="AQ484" s="139"/>
      <c r="AR484" s="139"/>
      <c r="AS484" s="139"/>
      <c r="AT484" s="139"/>
      <c r="AU484" s="139"/>
      <c r="AV484" s="139"/>
      <c r="AW484" s="139"/>
      <c r="AX484" s="139"/>
      <c r="AY484" s="139"/>
      <c r="AZ484" s="139"/>
      <c r="BA484" s="139"/>
      <c r="BB484" s="139"/>
    </row>
    <row r="485">
      <c r="A485" s="28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39"/>
      <c r="BB485" s="139"/>
    </row>
    <row r="486">
      <c r="A486" s="28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  <c r="AO486" s="139"/>
      <c r="AP486" s="139"/>
      <c r="AQ486" s="139"/>
      <c r="AR486" s="139"/>
      <c r="AS486" s="139"/>
      <c r="AT486" s="139"/>
      <c r="AU486" s="139"/>
      <c r="AV486" s="139"/>
      <c r="AW486" s="139"/>
      <c r="AX486" s="139"/>
      <c r="AY486" s="139"/>
      <c r="AZ486" s="139"/>
      <c r="BA486" s="139"/>
      <c r="BB486" s="139"/>
    </row>
    <row r="487">
      <c r="A487" s="28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/>
      <c r="AM487" s="139"/>
      <c r="AN487" s="139"/>
      <c r="AO487" s="139"/>
      <c r="AP487" s="139"/>
      <c r="AQ487" s="139"/>
      <c r="AR487" s="139"/>
      <c r="AS487" s="139"/>
      <c r="AT487" s="139"/>
      <c r="AU487" s="139"/>
      <c r="AV487" s="139"/>
      <c r="AW487" s="139"/>
      <c r="AX487" s="139"/>
      <c r="AY487" s="139"/>
      <c r="AZ487" s="139"/>
      <c r="BA487" s="139"/>
      <c r="BB487" s="139"/>
    </row>
    <row r="488">
      <c r="A488" s="28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  <c r="AW488" s="139"/>
      <c r="AX488" s="139"/>
      <c r="AY488" s="139"/>
      <c r="AZ488" s="139"/>
      <c r="BA488" s="139"/>
      <c r="BB488" s="139"/>
    </row>
    <row r="489">
      <c r="A489" s="28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  <c r="AO489" s="139"/>
      <c r="AP489" s="139"/>
      <c r="AQ489" s="139"/>
      <c r="AR489" s="139"/>
      <c r="AS489" s="139"/>
      <c r="AT489" s="139"/>
      <c r="AU489" s="139"/>
      <c r="AV489" s="139"/>
      <c r="AW489" s="139"/>
      <c r="AX489" s="139"/>
      <c r="AY489" s="139"/>
      <c r="AZ489" s="139"/>
      <c r="BA489" s="139"/>
      <c r="BB489" s="139"/>
    </row>
    <row r="490">
      <c r="A490" s="28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  <c r="AW490" s="139"/>
      <c r="AX490" s="139"/>
      <c r="AY490" s="139"/>
      <c r="AZ490" s="139"/>
      <c r="BA490" s="139"/>
      <c r="BB490" s="139"/>
    </row>
    <row r="491">
      <c r="A491" s="28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  <c r="AO491" s="139"/>
      <c r="AP491" s="139"/>
      <c r="AQ491" s="139"/>
      <c r="AR491" s="139"/>
      <c r="AS491" s="139"/>
      <c r="AT491" s="139"/>
      <c r="AU491" s="139"/>
      <c r="AV491" s="139"/>
      <c r="AW491" s="139"/>
      <c r="AX491" s="139"/>
      <c r="AY491" s="139"/>
      <c r="AZ491" s="139"/>
      <c r="BA491" s="139"/>
      <c r="BB491" s="139"/>
    </row>
    <row r="492">
      <c r="A492" s="28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  <c r="AW492" s="139"/>
      <c r="AX492" s="139"/>
      <c r="AY492" s="139"/>
      <c r="AZ492" s="139"/>
      <c r="BA492" s="139"/>
      <c r="BB492" s="139"/>
    </row>
    <row r="493">
      <c r="A493" s="28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  <c r="AW493" s="139"/>
      <c r="AX493" s="139"/>
      <c r="AY493" s="139"/>
      <c r="AZ493" s="139"/>
      <c r="BA493" s="139"/>
      <c r="BB493" s="139"/>
    </row>
    <row r="494">
      <c r="A494" s="28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39"/>
      <c r="BB494" s="139"/>
    </row>
    <row r="495">
      <c r="A495" s="28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/>
      <c r="AM495" s="139"/>
      <c r="AN495" s="139"/>
      <c r="AO495" s="139"/>
      <c r="AP495" s="139"/>
      <c r="AQ495" s="139"/>
      <c r="AR495" s="139"/>
      <c r="AS495" s="139"/>
      <c r="AT495" s="139"/>
      <c r="AU495" s="139"/>
      <c r="AV495" s="139"/>
      <c r="AW495" s="139"/>
      <c r="AX495" s="139"/>
      <c r="AY495" s="139"/>
      <c r="AZ495" s="139"/>
      <c r="BA495" s="139"/>
      <c r="BB495" s="139"/>
    </row>
    <row r="496">
      <c r="A496" s="28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  <c r="BA496" s="139"/>
      <c r="BB496" s="139"/>
    </row>
    <row r="497">
      <c r="A497" s="28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/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  <c r="AW497" s="139"/>
      <c r="AX497" s="139"/>
      <c r="AY497" s="139"/>
      <c r="AZ497" s="139"/>
      <c r="BA497" s="139"/>
      <c r="BB497" s="139"/>
    </row>
    <row r="498">
      <c r="A498" s="28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39"/>
      <c r="BB498" s="139"/>
    </row>
    <row r="499">
      <c r="A499" s="28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39"/>
      <c r="AK499" s="139"/>
      <c r="AL499" s="139"/>
      <c r="AM499" s="139"/>
      <c r="AN499" s="139"/>
      <c r="AO499" s="139"/>
      <c r="AP499" s="139"/>
      <c r="AQ499" s="139"/>
      <c r="AR499" s="139"/>
      <c r="AS499" s="139"/>
      <c r="AT499" s="139"/>
      <c r="AU499" s="139"/>
      <c r="AV499" s="139"/>
      <c r="AW499" s="139"/>
      <c r="AX499" s="139"/>
      <c r="AY499" s="139"/>
      <c r="AZ499" s="139"/>
      <c r="BA499" s="139"/>
      <c r="BB499" s="139"/>
    </row>
    <row r="500">
      <c r="A500" s="28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39"/>
      <c r="BB500" s="139"/>
    </row>
    <row r="501">
      <c r="A501" s="28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9"/>
      <c r="AM501" s="139"/>
      <c r="AN501" s="139"/>
      <c r="AO501" s="139"/>
      <c r="AP501" s="139"/>
      <c r="AQ501" s="139"/>
      <c r="AR501" s="139"/>
      <c r="AS501" s="139"/>
      <c r="AT501" s="139"/>
      <c r="AU501" s="139"/>
      <c r="AV501" s="139"/>
      <c r="AW501" s="139"/>
      <c r="AX501" s="139"/>
      <c r="AY501" s="139"/>
      <c r="AZ501" s="139"/>
      <c r="BA501" s="139"/>
      <c r="BB501" s="139"/>
    </row>
    <row r="502">
      <c r="A502" s="28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  <c r="BA502" s="139"/>
      <c r="BB502" s="139"/>
    </row>
    <row r="503">
      <c r="A503" s="28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9"/>
      <c r="AM503" s="139"/>
      <c r="AN503" s="139"/>
      <c r="AO503" s="139"/>
      <c r="AP503" s="139"/>
      <c r="AQ503" s="139"/>
      <c r="AR503" s="139"/>
      <c r="AS503" s="139"/>
      <c r="AT503" s="139"/>
      <c r="AU503" s="139"/>
      <c r="AV503" s="139"/>
      <c r="AW503" s="139"/>
      <c r="AX503" s="139"/>
      <c r="AY503" s="139"/>
      <c r="AZ503" s="139"/>
      <c r="BA503" s="139"/>
      <c r="BB503" s="139"/>
    </row>
    <row r="504">
      <c r="A504" s="28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39"/>
      <c r="AK504" s="139"/>
      <c r="AL504" s="139"/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  <c r="AW504" s="139"/>
      <c r="AX504" s="139"/>
      <c r="AY504" s="139"/>
      <c r="AZ504" s="139"/>
      <c r="BA504" s="139"/>
      <c r="BB504" s="139"/>
    </row>
    <row r="505">
      <c r="A505" s="28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  <c r="AK505" s="139"/>
      <c r="AL505" s="139"/>
      <c r="AM505" s="139"/>
      <c r="AN505" s="139"/>
      <c r="AO505" s="139"/>
      <c r="AP505" s="139"/>
      <c r="AQ505" s="139"/>
      <c r="AR505" s="139"/>
      <c r="AS505" s="139"/>
      <c r="AT505" s="139"/>
      <c r="AU505" s="139"/>
      <c r="AV505" s="139"/>
      <c r="AW505" s="139"/>
      <c r="AX505" s="139"/>
      <c r="AY505" s="139"/>
      <c r="AZ505" s="139"/>
      <c r="BA505" s="139"/>
      <c r="BB505" s="139"/>
    </row>
    <row r="506">
      <c r="A506" s="28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39"/>
      <c r="AK506" s="139"/>
      <c r="AL506" s="139"/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  <c r="AW506" s="139"/>
      <c r="AX506" s="139"/>
      <c r="AY506" s="139"/>
      <c r="AZ506" s="139"/>
      <c r="BA506" s="139"/>
      <c r="BB506" s="139"/>
    </row>
    <row r="507">
      <c r="A507" s="28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  <c r="AK507" s="139"/>
      <c r="AL507" s="139"/>
      <c r="AM507" s="139"/>
      <c r="AN507" s="139"/>
      <c r="AO507" s="139"/>
      <c r="AP507" s="139"/>
      <c r="AQ507" s="139"/>
      <c r="AR507" s="139"/>
      <c r="AS507" s="139"/>
      <c r="AT507" s="139"/>
      <c r="AU507" s="139"/>
      <c r="AV507" s="139"/>
      <c r="AW507" s="139"/>
      <c r="AX507" s="139"/>
      <c r="AY507" s="139"/>
      <c r="AZ507" s="139"/>
      <c r="BA507" s="139"/>
      <c r="BB507" s="139"/>
    </row>
    <row r="508">
      <c r="A508" s="28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39"/>
      <c r="AK508" s="139"/>
      <c r="AL508" s="139"/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  <c r="AW508" s="139"/>
      <c r="AX508" s="139"/>
      <c r="AY508" s="139"/>
      <c r="AZ508" s="139"/>
      <c r="BA508" s="139"/>
      <c r="BB508" s="139"/>
    </row>
    <row r="509">
      <c r="A509" s="28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  <c r="AK509" s="139"/>
      <c r="AL509" s="139"/>
      <c r="AM509" s="139"/>
      <c r="AN509" s="139"/>
      <c r="AO509" s="139"/>
      <c r="AP509" s="139"/>
      <c r="AQ509" s="139"/>
      <c r="AR509" s="139"/>
      <c r="AS509" s="139"/>
      <c r="AT509" s="139"/>
      <c r="AU509" s="139"/>
      <c r="AV509" s="139"/>
      <c r="AW509" s="139"/>
      <c r="AX509" s="139"/>
      <c r="AY509" s="139"/>
      <c r="AZ509" s="139"/>
      <c r="BA509" s="139"/>
      <c r="BB509" s="139"/>
    </row>
    <row r="510">
      <c r="A510" s="28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  <c r="AF510" s="139"/>
      <c r="AG510" s="139"/>
      <c r="AH510" s="139"/>
      <c r="AI510" s="139"/>
      <c r="AJ510" s="139"/>
      <c r="AK510" s="139"/>
      <c r="AL510" s="139"/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  <c r="AW510" s="139"/>
      <c r="AX510" s="139"/>
      <c r="AY510" s="139"/>
      <c r="AZ510" s="139"/>
      <c r="BA510" s="139"/>
      <c r="BB510" s="139"/>
    </row>
    <row r="511">
      <c r="A511" s="28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9"/>
      <c r="AM511" s="139"/>
      <c r="AN511" s="139"/>
      <c r="AO511" s="139"/>
      <c r="AP511" s="139"/>
      <c r="AQ511" s="139"/>
      <c r="AR511" s="139"/>
      <c r="AS511" s="139"/>
      <c r="AT511" s="139"/>
      <c r="AU511" s="139"/>
      <c r="AV511" s="139"/>
      <c r="AW511" s="139"/>
      <c r="AX511" s="139"/>
      <c r="AY511" s="139"/>
      <c r="AZ511" s="139"/>
      <c r="BA511" s="139"/>
      <c r="BB511" s="139"/>
    </row>
    <row r="512">
      <c r="A512" s="28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  <c r="AF512" s="139"/>
      <c r="AG512" s="139"/>
      <c r="AH512" s="139"/>
      <c r="AI512" s="139"/>
      <c r="AJ512" s="139"/>
      <c r="AK512" s="139"/>
      <c r="AL512" s="139"/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  <c r="AW512" s="139"/>
      <c r="AX512" s="139"/>
      <c r="AY512" s="139"/>
      <c r="AZ512" s="139"/>
      <c r="BA512" s="139"/>
      <c r="BB512" s="139"/>
    </row>
    <row r="513">
      <c r="A513" s="28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9"/>
      <c r="AM513" s="139"/>
      <c r="AN513" s="139"/>
      <c r="AO513" s="139"/>
      <c r="AP513" s="139"/>
      <c r="AQ513" s="139"/>
      <c r="AR513" s="139"/>
      <c r="AS513" s="139"/>
      <c r="AT513" s="139"/>
      <c r="AU513" s="139"/>
      <c r="AV513" s="139"/>
      <c r="AW513" s="139"/>
      <c r="AX513" s="139"/>
      <c r="AY513" s="139"/>
      <c r="AZ513" s="139"/>
      <c r="BA513" s="139"/>
      <c r="BB513" s="139"/>
    </row>
    <row r="514">
      <c r="A514" s="28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  <c r="BA514" s="139"/>
      <c r="BB514" s="139"/>
    </row>
    <row r="515">
      <c r="A515" s="28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9"/>
      <c r="AM515" s="139"/>
      <c r="AN515" s="139"/>
      <c r="AO515" s="139"/>
      <c r="AP515" s="139"/>
      <c r="AQ515" s="139"/>
      <c r="AR515" s="139"/>
      <c r="AS515" s="139"/>
      <c r="AT515" s="139"/>
      <c r="AU515" s="139"/>
      <c r="AV515" s="139"/>
      <c r="AW515" s="139"/>
      <c r="AX515" s="139"/>
      <c r="AY515" s="139"/>
      <c r="AZ515" s="139"/>
      <c r="BA515" s="139"/>
      <c r="BB515" s="139"/>
    </row>
    <row r="516">
      <c r="A516" s="28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39"/>
      <c r="AD516" s="139"/>
      <c r="AE516" s="139"/>
      <c r="AF516" s="139"/>
      <c r="AG516" s="139"/>
      <c r="AH516" s="139"/>
      <c r="AI516" s="139"/>
      <c r="AJ516" s="139"/>
      <c r="AK516" s="139"/>
      <c r="AL516" s="139"/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  <c r="AW516" s="139"/>
      <c r="AX516" s="139"/>
      <c r="AY516" s="139"/>
      <c r="AZ516" s="139"/>
      <c r="BA516" s="139"/>
      <c r="BB516" s="139"/>
    </row>
    <row r="517">
      <c r="A517" s="28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9"/>
      <c r="AM517" s="139"/>
      <c r="AN517" s="139"/>
      <c r="AO517" s="139"/>
      <c r="AP517" s="139"/>
      <c r="AQ517" s="139"/>
      <c r="AR517" s="139"/>
      <c r="AS517" s="139"/>
      <c r="AT517" s="139"/>
      <c r="AU517" s="139"/>
      <c r="AV517" s="139"/>
      <c r="AW517" s="139"/>
      <c r="AX517" s="139"/>
      <c r="AY517" s="139"/>
      <c r="AZ517" s="139"/>
      <c r="BA517" s="139"/>
      <c r="BB517" s="139"/>
    </row>
    <row r="518">
      <c r="A518" s="28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  <c r="BA518" s="139"/>
      <c r="BB518" s="139"/>
    </row>
    <row r="519">
      <c r="A519" s="28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9"/>
      <c r="AM519" s="139"/>
      <c r="AN519" s="139"/>
      <c r="AO519" s="139"/>
      <c r="AP519" s="139"/>
      <c r="AQ519" s="139"/>
      <c r="AR519" s="139"/>
      <c r="AS519" s="139"/>
      <c r="AT519" s="139"/>
      <c r="AU519" s="139"/>
      <c r="AV519" s="139"/>
      <c r="AW519" s="139"/>
      <c r="AX519" s="139"/>
      <c r="AY519" s="139"/>
      <c r="AZ519" s="139"/>
      <c r="BA519" s="139"/>
      <c r="BB519" s="139"/>
    </row>
    <row r="520">
      <c r="A520" s="28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39"/>
      <c r="AD520" s="139"/>
      <c r="AE520" s="139"/>
      <c r="AF520" s="139"/>
      <c r="AG520" s="139"/>
      <c r="AH520" s="139"/>
      <c r="AI520" s="139"/>
      <c r="AJ520" s="139"/>
      <c r="AK520" s="139"/>
      <c r="AL520" s="139"/>
      <c r="AM520" s="139"/>
      <c r="AN520" s="139"/>
      <c r="AO520" s="139"/>
      <c r="AP520" s="139"/>
      <c r="AQ520" s="139"/>
      <c r="AR520" s="139"/>
      <c r="AS520" s="139"/>
      <c r="AT520" s="139"/>
      <c r="AU520" s="139"/>
      <c r="AV520" s="139"/>
      <c r="AW520" s="139"/>
      <c r="AX520" s="139"/>
      <c r="AY520" s="139"/>
      <c r="AZ520" s="139"/>
      <c r="BA520" s="139"/>
      <c r="BB520" s="139"/>
    </row>
    <row r="521">
      <c r="A521" s="28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39"/>
      <c r="AK521" s="139"/>
      <c r="AL521" s="139"/>
      <c r="AM521" s="139"/>
      <c r="AN521" s="139"/>
      <c r="AO521" s="139"/>
      <c r="AP521" s="139"/>
      <c r="AQ521" s="139"/>
      <c r="AR521" s="139"/>
      <c r="AS521" s="139"/>
      <c r="AT521" s="139"/>
      <c r="AU521" s="139"/>
      <c r="AV521" s="139"/>
      <c r="AW521" s="139"/>
      <c r="AX521" s="139"/>
      <c r="AY521" s="139"/>
      <c r="AZ521" s="139"/>
      <c r="BA521" s="139"/>
      <c r="BB521" s="139"/>
    </row>
    <row r="522">
      <c r="A522" s="28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39"/>
      <c r="AD522" s="139"/>
      <c r="AE522" s="139"/>
      <c r="AF522" s="139"/>
      <c r="AG522" s="139"/>
      <c r="AH522" s="139"/>
      <c r="AI522" s="139"/>
      <c r="AJ522" s="139"/>
      <c r="AK522" s="139"/>
      <c r="AL522" s="139"/>
      <c r="AM522" s="139"/>
      <c r="AN522" s="139"/>
      <c r="AO522" s="139"/>
      <c r="AP522" s="139"/>
      <c r="AQ522" s="139"/>
      <c r="AR522" s="139"/>
      <c r="AS522" s="139"/>
      <c r="AT522" s="139"/>
      <c r="AU522" s="139"/>
      <c r="AV522" s="139"/>
      <c r="AW522" s="139"/>
      <c r="AX522" s="139"/>
      <c r="AY522" s="139"/>
      <c r="AZ522" s="139"/>
      <c r="BA522" s="139"/>
      <c r="BB522" s="139"/>
    </row>
    <row r="523">
      <c r="A523" s="28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39"/>
      <c r="AK523" s="139"/>
      <c r="AL523" s="139"/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  <c r="AW523" s="139"/>
      <c r="AX523" s="139"/>
      <c r="AY523" s="139"/>
      <c r="AZ523" s="139"/>
      <c r="BA523" s="139"/>
      <c r="BB523" s="139"/>
    </row>
    <row r="524">
      <c r="A524" s="28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39"/>
      <c r="AD524" s="139"/>
      <c r="AE524" s="139"/>
      <c r="AF524" s="139"/>
      <c r="AG524" s="139"/>
      <c r="AH524" s="139"/>
      <c r="AI524" s="139"/>
      <c r="AJ524" s="139"/>
      <c r="AK524" s="139"/>
      <c r="AL524" s="139"/>
      <c r="AM524" s="139"/>
      <c r="AN524" s="139"/>
      <c r="AO524" s="139"/>
      <c r="AP524" s="139"/>
      <c r="AQ524" s="139"/>
      <c r="AR524" s="139"/>
      <c r="AS524" s="139"/>
      <c r="AT524" s="139"/>
      <c r="AU524" s="139"/>
      <c r="AV524" s="139"/>
      <c r="AW524" s="139"/>
      <c r="AX524" s="139"/>
      <c r="AY524" s="139"/>
      <c r="AZ524" s="139"/>
      <c r="BA524" s="139"/>
      <c r="BB524" s="139"/>
    </row>
    <row r="525">
      <c r="A525" s="28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  <c r="AK525" s="139"/>
      <c r="AL525" s="139"/>
      <c r="AM525" s="139"/>
      <c r="AN525" s="139"/>
      <c r="AO525" s="139"/>
      <c r="AP525" s="139"/>
      <c r="AQ525" s="139"/>
      <c r="AR525" s="139"/>
      <c r="AS525" s="139"/>
      <c r="AT525" s="139"/>
      <c r="AU525" s="139"/>
      <c r="AV525" s="139"/>
      <c r="AW525" s="139"/>
      <c r="AX525" s="139"/>
      <c r="AY525" s="139"/>
      <c r="AZ525" s="139"/>
      <c r="BA525" s="139"/>
      <c r="BB525" s="139"/>
    </row>
    <row r="526">
      <c r="A526" s="28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39"/>
      <c r="AD526" s="139"/>
      <c r="AE526" s="139"/>
      <c r="AF526" s="139"/>
      <c r="AG526" s="139"/>
      <c r="AH526" s="139"/>
      <c r="AI526" s="139"/>
      <c r="AJ526" s="139"/>
      <c r="AK526" s="139"/>
      <c r="AL526" s="139"/>
      <c r="AM526" s="139"/>
      <c r="AN526" s="139"/>
      <c r="AO526" s="139"/>
      <c r="AP526" s="139"/>
      <c r="AQ526" s="139"/>
      <c r="AR526" s="139"/>
      <c r="AS526" s="139"/>
      <c r="AT526" s="139"/>
      <c r="AU526" s="139"/>
      <c r="AV526" s="139"/>
      <c r="AW526" s="139"/>
      <c r="AX526" s="139"/>
      <c r="AY526" s="139"/>
      <c r="AZ526" s="139"/>
      <c r="BA526" s="139"/>
      <c r="BB526" s="139"/>
    </row>
    <row r="527">
      <c r="A527" s="28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  <c r="AF527" s="139"/>
      <c r="AG527" s="139"/>
      <c r="AH527" s="139"/>
      <c r="AI527" s="139"/>
      <c r="AJ527" s="139"/>
      <c r="AK527" s="139"/>
      <c r="AL527" s="139"/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  <c r="AW527" s="139"/>
      <c r="AX527" s="139"/>
      <c r="AY527" s="139"/>
      <c r="AZ527" s="139"/>
      <c r="BA527" s="139"/>
      <c r="BB527" s="139"/>
    </row>
    <row r="528">
      <c r="A528" s="28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  <c r="AC528" s="139"/>
      <c r="AD528" s="139"/>
      <c r="AE528" s="139"/>
      <c r="AF528" s="139"/>
      <c r="AG528" s="139"/>
      <c r="AH528" s="139"/>
      <c r="AI528" s="139"/>
      <c r="AJ528" s="139"/>
      <c r="AK528" s="139"/>
      <c r="AL528" s="139"/>
      <c r="AM528" s="139"/>
      <c r="AN528" s="139"/>
      <c r="AO528" s="139"/>
      <c r="AP528" s="139"/>
      <c r="AQ528" s="139"/>
      <c r="AR528" s="139"/>
      <c r="AS528" s="139"/>
      <c r="AT528" s="139"/>
      <c r="AU528" s="139"/>
      <c r="AV528" s="139"/>
      <c r="AW528" s="139"/>
      <c r="AX528" s="139"/>
      <c r="AY528" s="139"/>
      <c r="AZ528" s="139"/>
      <c r="BA528" s="139"/>
      <c r="BB528" s="139"/>
    </row>
    <row r="529">
      <c r="A529" s="28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39"/>
      <c r="AD529" s="139"/>
      <c r="AE529" s="139"/>
      <c r="AF529" s="139"/>
      <c r="AG529" s="139"/>
      <c r="AH529" s="139"/>
      <c r="AI529" s="139"/>
      <c r="AJ529" s="139"/>
      <c r="AK529" s="139"/>
      <c r="AL529" s="139"/>
      <c r="AM529" s="139"/>
      <c r="AN529" s="139"/>
      <c r="AO529" s="139"/>
      <c r="AP529" s="139"/>
      <c r="AQ529" s="139"/>
      <c r="AR529" s="139"/>
      <c r="AS529" s="139"/>
      <c r="AT529" s="139"/>
      <c r="AU529" s="139"/>
      <c r="AV529" s="139"/>
      <c r="AW529" s="139"/>
      <c r="AX529" s="139"/>
      <c r="AY529" s="139"/>
      <c r="AZ529" s="139"/>
      <c r="BA529" s="139"/>
      <c r="BB529" s="139"/>
    </row>
    <row r="530">
      <c r="A530" s="28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39"/>
      <c r="AD530" s="139"/>
      <c r="AE530" s="139"/>
      <c r="AF530" s="139"/>
      <c r="AG530" s="139"/>
      <c r="AH530" s="139"/>
      <c r="AI530" s="139"/>
      <c r="AJ530" s="139"/>
      <c r="AK530" s="139"/>
      <c r="AL530" s="139"/>
      <c r="AM530" s="139"/>
      <c r="AN530" s="139"/>
      <c r="AO530" s="139"/>
      <c r="AP530" s="139"/>
      <c r="AQ530" s="139"/>
      <c r="AR530" s="139"/>
      <c r="AS530" s="139"/>
      <c r="AT530" s="139"/>
      <c r="AU530" s="139"/>
      <c r="AV530" s="139"/>
      <c r="AW530" s="139"/>
      <c r="AX530" s="139"/>
      <c r="AY530" s="139"/>
      <c r="AZ530" s="139"/>
      <c r="BA530" s="139"/>
      <c r="BB530" s="139"/>
    </row>
    <row r="531">
      <c r="A531" s="28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39"/>
      <c r="AK531" s="139"/>
      <c r="AL531" s="139"/>
      <c r="AM531" s="139"/>
      <c r="AN531" s="139"/>
      <c r="AO531" s="139"/>
      <c r="AP531" s="139"/>
      <c r="AQ531" s="139"/>
      <c r="AR531" s="139"/>
      <c r="AS531" s="139"/>
      <c r="AT531" s="139"/>
      <c r="AU531" s="139"/>
      <c r="AV531" s="139"/>
      <c r="AW531" s="139"/>
      <c r="AX531" s="139"/>
      <c r="AY531" s="139"/>
      <c r="AZ531" s="139"/>
      <c r="BA531" s="139"/>
      <c r="BB531" s="139"/>
    </row>
    <row r="532">
      <c r="A532" s="28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39"/>
      <c r="AK532" s="139"/>
      <c r="AL532" s="139"/>
      <c r="AM532" s="139"/>
      <c r="AN532" s="139"/>
      <c r="AO532" s="139"/>
      <c r="AP532" s="139"/>
      <c r="AQ532" s="139"/>
      <c r="AR532" s="139"/>
      <c r="AS532" s="139"/>
      <c r="AT532" s="139"/>
      <c r="AU532" s="139"/>
      <c r="AV532" s="139"/>
      <c r="AW532" s="139"/>
      <c r="AX532" s="139"/>
      <c r="AY532" s="139"/>
      <c r="AZ532" s="139"/>
      <c r="BA532" s="139"/>
      <c r="BB532" s="139"/>
    </row>
    <row r="533">
      <c r="A533" s="28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39"/>
      <c r="AK533" s="139"/>
      <c r="AL533" s="139"/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  <c r="AW533" s="139"/>
      <c r="AX533" s="139"/>
      <c r="AY533" s="139"/>
      <c r="AZ533" s="139"/>
      <c r="BA533" s="139"/>
      <c r="BB533" s="139"/>
    </row>
    <row r="534">
      <c r="A534" s="28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39"/>
      <c r="AD534" s="139"/>
      <c r="AE534" s="139"/>
      <c r="AF534" s="139"/>
      <c r="AG534" s="139"/>
      <c r="AH534" s="139"/>
      <c r="AI534" s="139"/>
      <c r="AJ534" s="139"/>
      <c r="AK534" s="139"/>
      <c r="AL534" s="139"/>
      <c r="AM534" s="139"/>
      <c r="AN534" s="139"/>
      <c r="AO534" s="139"/>
      <c r="AP534" s="139"/>
      <c r="AQ534" s="139"/>
      <c r="AR534" s="139"/>
      <c r="AS534" s="139"/>
      <c r="AT534" s="139"/>
      <c r="AU534" s="139"/>
      <c r="AV534" s="139"/>
      <c r="AW534" s="139"/>
      <c r="AX534" s="139"/>
      <c r="AY534" s="139"/>
      <c r="AZ534" s="139"/>
      <c r="BA534" s="139"/>
      <c r="BB534" s="139"/>
    </row>
    <row r="535">
      <c r="A535" s="28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39"/>
      <c r="AK535" s="139"/>
      <c r="AL535" s="139"/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  <c r="AW535" s="139"/>
      <c r="AX535" s="139"/>
      <c r="AY535" s="139"/>
      <c r="AZ535" s="139"/>
      <c r="BA535" s="139"/>
      <c r="BB535" s="139"/>
    </row>
    <row r="536">
      <c r="A536" s="28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39"/>
      <c r="AD536" s="139"/>
      <c r="AE536" s="139"/>
      <c r="AF536" s="139"/>
      <c r="AG536" s="139"/>
      <c r="AH536" s="139"/>
      <c r="AI536" s="139"/>
      <c r="AJ536" s="139"/>
      <c r="AK536" s="139"/>
      <c r="AL536" s="139"/>
      <c r="AM536" s="139"/>
      <c r="AN536" s="139"/>
      <c r="AO536" s="139"/>
      <c r="AP536" s="139"/>
      <c r="AQ536" s="139"/>
      <c r="AR536" s="139"/>
      <c r="AS536" s="139"/>
      <c r="AT536" s="139"/>
      <c r="AU536" s="139"/>
      <c r="AV536" s="139"/>
      <c r="AW536" s="139"/>
      <c r="AX536" s="139"/>
      <c r="AY536" s="139"/>
      <c r="AZ536" s="139"/>
      <c r="BA536" s="139"/>
      <c r="BB536" s="139"/>
    </row>
    <row r="537">
      <c r="A537" s="28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/>
      <c r="AD537" s="139"/>
      <c r="AE537" s="139"/>
      <c r="AF537" s="139"/>
      <c r="AG537" s="139"/>
      <c r="AH537" s="139"/>
      <c r="AI537" s="139"/>
      <c r="AJ537" s="139"/>
      <c r="AK537" s="139"/>
      <c r="AL537" s="139"/>
      <c r="AM537" s="139"/>
      <c r="AN537" s="139"/>
      <c r="AO537" s="139"/>
      <c r="AP537" s="139"/>
      <c r="AQ537" s="139"/>
      <c r="AR537" s="139"/>
      <c r="AS537" s="139"/>
      <c r="AT537" s="139"/>
      <c r="AU537" s="139"/>
      <c r="AV537" s="139"/>
      <c r="AW537" s="139"/>
      <c r="AX537" s="139"/>
      <c r="AY537" s="139"/>
      <c r="AZ537" s="139"/>
      <c r="BA537" s="139"/>
      <c r="BB537" s="139"/>
    </row>
    <row r="538">
      <c r="A538" s="28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39"/>
      <c r="AD538" s="139"/>
      <c r="AE538" s="139"/>
      <c r="AF538" s="139"/>
      <c r="AG538" s="139"/>
      <c r="AH538" s="139"/>
      <c r="AI538" s="139"/>
      <c r="AJ538" s="139"/>
      <c r="AK538" s="139"/>
      <c r="AL538" s="139"/>
      <c r="AM538" s="139"/>
      <c r="AN538" s="139"/>
      <c r="AO538" s="139"/>
      <c r="AP538" s="139"/>
      <c r="AQ538" s="139"/>
      <c r="AR538" s="139"/>
      <c r="AS538" s="139"/>
      <c r="AT538" s="139"/>
      <c r="AU538" s="139"/>
      <c r="AV538" s="139"/>
      <c r="AW538" s="139"/>
      <c r="AX538" s="139"/>
      <c r="AY538" s="139"/>
      <c r="AZ538" s="139"/>
      <c r="BA538" s="139"/>
      <c r="BB538" s="139"/>
    </row>
    <row r="539">
      <c r="A539" s="28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39"/>
      <c r="AK539" s="139"/>
      <c r="AL539" s="139"/>
      <c r="AM539" s="139"/>
      <c r="AN539" s="139"/>
      <c r="AO539" s="139"/>
      <c r="AP539" s="139"/>
      <c r="AQ539" s="139"/>
      <c r="AR539" s="139"/>
      <c r="AS539" s="139"/>
      <c r="AT539" s="139"/>
      <c r="AU539" s="139"/>
      <c r="AV539" s="139"/>
      <c r="AW539" s="139"/>
      <c r="AX539" s="139"/>
      <c r="AY539" s="139"/>
      <c r="AZ539" s="139"/>
      <c r="BA539" s="139"/>
      <c r="BB539" s="139"/>
    </row>
    <row r="540">
      <c r="A540" s="28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39"/>
      <c r="AK540" s="139"/>
      <c r="AL540" s="139"/>
      <c r="AM540" s="139"/>
      <c r="AN540" s="139"/>
      <c r="AO540" s="139"/>
      <c r="AP540" s="139"/>
      <c r="AQ540" s="139"/>
      <c r="AR540" s="139"/>
      <c r="AS540" s="139"/>
      <c r="AT540" s="139"/>
      <c r="AU540" s="139"/>
      <c r="AV540" s="139"/>
      <c r="AW540" s="139"/>
      <c r="AX540" s="139"/>
      <c r="AY540" s="139"/>
      <c r="AZ540" s="139"/>
      <c r="BA540" s="139"/>
      <c r="BB540" s="139"/>
    </row>
    <row r="541">
      <c r="A541" s="28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39"/>
      <c r="AK541" s="139"/>
      <c r="AL541" s="139"/>
      <c r="AM541" s="139"/>
      <c r="AN541" s="139"/>
      <c r="AO541" s="139"/>
      <c r="AP541" s="139"/>
      <c r="AQ541" s="139"/>
      <c r="AR541" s="139"/>
      <c r="AS541" s="139"/>
      <c r="AT541" s="139"/>
      <c r="AU541" s="139"/>
      <c r="AV541" s="139"/>
      <c r="AW541" s="139"/>
      <c r="AX541" s="139"/>
      <c r="AY541" s="139"/>
      <c r="AZ541" s="139"/>
      <c r="BA541" s="139"/>
      <c r="BB541" s="139"/>
    </row>
    <row r="542">
      <c r="A542" s="28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39"/>
      <c r="AD542" s="139"/>
      <c r="AE542" s="139"/>
      <c r="AF542" s="139"/>
      <c r="AG542" s="139"/>
      <c r="AH542" s="139"/>
      <c r="AI542" s="139"/>
      <c r="AJ542" s="139"/>
      <c r="AK542" s="139"/>
      <c r="AL542" s="139"/>
      <c r="AM542" s="139"/>
      <c r="AN542" s="139"/>
      <c r="AO542" s="139"/>
      <c r="AP542" s="139"/>
      <c r="AQ542" s="139"/>
      <c r="AR542" s="139"/>
      <c r="AS542" s="139"/>
      <c r="AT542" s="139"/>
      <c r="AU542" s="139"/>
      <c r="AV542" s="139"/>
      <c r="AW542" s="139"/>
      <c r="AX542" s="139"/>
      <c r="AY542" s="139"/>
      <c r="AZ542" s="139"/>
      <c r="BA542" s="139"/>
      <c r="BB542" s="139"/>
    </row>
    <row r="543">
      <c r="A543" s="28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39"/>
      <c r="AK543" s="139"/>
      <c r="AL543" s="139"/>
      <c r="AM543" s="139"/>
      <c r="AN543" s="139"/>
      <c r="AO543" s="139"/>
      <c r="AP543" s="139"/>
      <c r="AQ543" s="139"/>
      <c r="AR543" s="139"/>
      <c r="AS543" s="139"/>
      <c r="AT543" s="139"/>
      <c r="AU543" s="139"/>
      <c r="AV543" s="139"/>
      <c r="AW543" s="139"/>
      <c r="AX543" s="139"/>
      <c r="AY543" s="139"/>
      <c r="AZ543" s="139"/>
      <c r="BA543" s="139"/>
      <c r="BB543" s="139"/>
    </row>
    <row r="544">
      <c r="A544" s="28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39"/>
      <c r="AD544" s="139"/>
      <c r="AE544" s="139"/>
      <c r="AF544" s="139"/>
      <c r="AG544" s="139"/>
      <c r="AH544" s="139"/>
      <c r="AI544" s="139"/>
      <c r="AJ544" s="139"/>
      <c r="AK544" s="139"/>
      <c r="AL544" s="139"/>
      <c r="AM544" s="139"/>
      <c r="AN544" s="139"/>
      <c r="AO544" s="139"/>
      <c r="AP544" s="139"/>
      <c r="AQ544" s="139"/>
      <c r="AR544" s="139"/>
      <c r="AS544" s="139"/>
      <c r="AT544" s="139"/>
      <c r="AU544" s="139"/>
      <c r="AV544" s="139"/>
      <c r="AW544" s="139"/>
      <c r="AX544" s="139"/>
      <c r="AY544" s="139"/>
      <c r="AZ544" s="139"/>
      <c r="BA544" s="139"/>
      <c r="BB544" s="139"/>
    </row>
    <row r="545">
      <c r="A545" s="28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39"/>
      <c r="AK545" s="139"/>
      <c r="AL545" s="139"/>
      <c r="AM545" s="139"/>
      <c r="AN545" s="139"/>
      <c r="AO545" s="139"/>
      <c r="AP545" s="139"/>
      <c r="AQ545" s="139"/>
      <c r="AR545" s="139"/>
      <c r="AS545" s="139"/>
      <c r="AT545" s="139"/>
      <c r="AU545" s="139"/>
      <c r="AV545" s="139"/>
      <c r="AW545" s="139"/>
      <c r="AX545" s="139"/>
      <c r="AY545" s="139"/>
      <c r="AZ545" s="139"/>
      <c r="BA545" s="139"/>
      <c r="BB545" s="139"/>
    </row>
    <row r="546">
      <c r="A546" s="28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39"/>
      <c r="AK546" s="139"/>
      <c r="AL546" s="139"/>
      <c r="AM546" s="139"/>
      <c r="AN546" s="139"/>
      <c r="AO546" s="139"/>
      <c r="AP546" s="139"/>
      <c r="AQ546" s="139"/>
      <c r="AR546" s="139"/>
      <c r="AS546" s="139"/>
      <c r="AT546" s="139"/>
      <c r="AU546" s="139"/>
      <c r="AV546" s="139"/>
      <c r="AW546" s="139"/>
      <c r="AX546" s="139"/>
      <c r="AY546" s="139"/>
      <c r="AZ546" s="139"/>
      <c r="BA546" s="139"/>
      <c r="BB546" s="139"/>
    </row>
    <row r="547">
      <c r="A547" s="28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  <c r="BA547" s="139"/>
      <c r="BB547" s="139"/>
    </row>
    <row r="548">
      <c r="A548" s="28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139"/>
      <c r="AJ548" s="139"/>
      <c r="AK548" s="139"/>
      <c r="AL548" s="139"/>
      <c r="AM548" s="139"/>
      <c r="AN548" s="139"/>
      <c r="AO548" s="139"/>
      <c r="AP548" s="139"/>
      <c r="AQ548" s="139"/>
      <c r="AR548" s="139"/>
      <c r="AS548" s="139"/>
      <c r="AT548" s="139"/>
      <c r="AU548" s="139"/>
      <c r="AV548" s="139"/>
      <c r="AW548" s="139"/>
      <c r="AX548" s="139"/>
      <c r="AY548" s="139"/>
      <c r="AZ548" s="139"/>
      <c r="BA548" s="139"/>
      <c r="BB548" s="139"/>
    </row>
    <row r="549">
      <c r="A549" s="28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39"/>
      <c r="AK549" s="139"/>
      <c r="AL549" s="139"/>
      <c r="AM549" s="139"/>
      <c r="AN549" s="139"/>
      <c r="AO549" s="139"/>
      <c r="AP549" s="139"/>
      <c r="AQ549" s="139"/>
      <c r="AR549" s="139"/>
      <c r="AS549" s="139"/>
      <c r="AT549" s="139"/>
      <c r="AU549" s="139"/>
      <c r="AV549" s="139"/>
      <c r="AW549" s="139"/>
      <c r="AX549" s="139"/>
      <c r="AY549" s="139"/>
      <c r="AZ549" s="139"/>
      <c r="BA549" s="139"/>
      <c r="BB549" s="139"/>
    </row>
    <row r="550">
      <c r="A550" s="28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39"/>
      <c r="AD550" s="139"/>
      <c r="AE550" s="139"/>
      <c r="AF550" s="139"/>
      <c r="AG550" s="139"/>
      <c r="AH550" s="139"/>
      <c r="AI550" s="139"/>
      <c r="AJ550" s="139"/>
      <c r="AK550" s="139"/>
      <c r="AL550" s="139"/>
      <c r="AM550" s="139"/>
      <c r="AN550" s="139"/>
      <c r="AO550" s="139"/>
      <c r="AP550" s="139"/>
      <c r="AQ550" s="139"/>
      <c r="AR550" s="139"/>
      <c r="AS550" s="139"/>
      <c r="AT550" s="139"/>
      <c r="AU550" s="139"/>
      <c r="AV550" s="139"/>
      <c r="AW550" s="139"/>
      <c r="AX550" s="139"/>
      <c r="AY550" s="139"/>
      <c r="AZ550" s="139"/>
      <c r="BA550" s="139"/>
      <c r="BB550" s="139"/>
    </row>
    <row r="551">
      <c r="A551" s="28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9"/>
      <c r="AM551" s="139"/>
      <c r="AN551" s="139"/>
      <c r="AO551" s="139"/>
      <c r="AP551" s="139"/>
      <c r="AQ551" s="139"/>
      <c r="AR551" s="139"/>
      <c r="AS551" s="139"/>
      <c r="AT551" s="139"/>
      <c r="AU551" s="139"/>
      <c r="AV551" s="139"/>
      <c r="AW551" s="139"/>
      <c r="AX551" s="139"/>
      <c r="AY551" s="139"/>
      <c r="AZ551" s="139"/>
      <c r="BA551" s="139"/>
      <c r="BB551" s="139"/>
    </row>
    <row r="552">
      <c r="A552" s="28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39"/>
      <c r="AK552" s="139"/>
      <c r="AL552" s="139"/>
      <c r="AM552" s="139"/>
      <c r="AN552" s="139"/>
      <c r="AO552" s="139"/>
      <c r="AP552" s="139"/>
      <c r="AQ552" s="139"/>
      <c r="AR552" s="139"/>
      <c r="AS552" s="139"/>
      <c r="AT552" s="139"/>
      <c r="AU552" s="139"/>
      <c r="AV552" s="139"/>
      <c r="AW552" s="139"/>
      <c r="AX552" s="139"/>
      <c r="AY552" s="139"/>
      <c r="AZ552" s="139"/>
      <c r="BA552" s="139"/>
      <c r="BB552" s="139"/>
    </row>
    <row r="553">
      <c r="A553" s="28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39"/>
      <c r="AK553" s="139"/>
      <c r="AL553" s="139"/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  <c r="AW553" s="139"/>
      <c r="AX553" s="139"/>
      <c r="AY553" s="139"/>
      <c r="AZ553" s="139"/>
      <c r="BA553" s="139"/>
      <c r="BB553" s="139"/>
    </row>
    <row r="554">
      <c r="A554" s="28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39"/>
      <c r="AD554" s="139"/>
      <c r="AE554" s="139"/>
      <c r="AF554" s="139"/>
      <c r="AG554" s="139"/>
      <c r="AH554" s="139"/>
      <c r="AI554" s="139"/>
      <c r="AJ554" s="139"/>
      <c r="AK554" s="139"/>
      <c r="AL554" s="139"/>
      <c r="AM554" s="139"/>
      <c r="AN554" s="139"/>
      <c r="AO554" s="139"/>
      <c r="AP554" s="139"/>
      <c r="AQ554" s="139"/>
      <c r="AR554" s="139"/>
      <c r="AS554" s="139"/>
      <c r="AT554" s="139"/>
      <c r="AU554" s="139"/>
      <c r="AV554" s="139"/>
      <c r="AW554" s="139"/>
      <c r="AX554" s="139"/>
      <c r="AY554" s="139"/>
      <c r="AZ554" s="139"/>
      <c r="BA554" s="139"/>
      <c r="BB554" s="139"/>
    </row>
    <row r="555">
      <c r="A555" s="28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39"/>
      <c r="AK555" s="139"/>
      <c r="AL555" s="139"/>
      <c r="AM555" s="139"/>
      <c r="AN555" s="139"/>
      <c r="AO555" s="139"/>
      <c r="AP555" s="139"/>
      <c r="AQ555" s="139"/>
      <c r="AR555" s="139"/>
      <c r="AS555" s="139"/>
      <c r="AT555" s="139"/>
      <c r="AU555" s="139"/>
      <c r="AV555" s="139"/>
      <c r="AW555" s="139"/>
      <c r="AX555" s="139"/>
      <c r="AY555" s="139"/>
      <c r="AZ555" s="139"/>
      <c r="BA555" s="139"/>
      <c r="BB555" s="139"/>
    </row>
    <row r="556">
      <c r="A556" s="28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39"/>
      <c r="AD556" s="139"/>
      <c r="AE556" s="139"/>
      <c r="AF556" s="139"/>
      <c r="AG556" s="139"/>
      <c r="AH556" s="139"/>
      <c r="AI556" s="139"/>
      <c r="AJ556" s="139"/>
      <c r="AK556" s="139"/>
      <c r="AL556" s="139"/>
      <c r="AM556" s="139"/>
      <c r="AN556" s="139"/>
      <c r="AO556" s="139"/>
      <c r="AP556" s="139"/>
      <c r="AQ556" s="139"/>
      <c r="AR556" s="139"/>
      <c r="AS556" s="139"/>
      <c r="AT556" s="139"/>
      <c r="AU556" s="139"/>
      <c r="AV556" s="139"/>
      <c r="AW556" s="139"/>
      <c r="AX556" s="139"/>
      <c r="AY556" s="139"/>
      <c r="AZ556" s="139"/>
      <c r="BA556" s="139"/>
      <c r="BB556" s="139"/>
    </row>
    <row r="557">
      <c r="A557" s="28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  <c r="AF557" s="139"/>
      <c r="AG557" s="139"/>
      <c r="AH557" s="139"/>
      <c r="AI557" s="139"/>
      <c r="AJ557" s="139"/>
      <c r="AK557" s="139"/>
      <c r="AL557" s="139"/>
      <c r="AM557" s="139"/>
      <c r="AN557" s="139"/>
      <c r="AO557" s="139"/>
      <c r="AP557" s="139"/>
      <c r="AQ557" s="139"/>
      <c r="AR557" s="139"/>
      <c r="AS557" s="139"/>
      <c r="AT557" s="139"/>
      <c r="AU557" s="139"/>
      <c r="AV557" s="139"/>
      <c r="AW557" s="139"/>
      <c r="AX557" s="139"/>
      <c r="AY557" s="139"/>
      <c r="AZ557" s="139"/>
      <c r="BA557" s="139"/>
      <c r="BB557" s="139"/>
    </row>
    <row r="558">
      <c r="A558" s="28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  <c r="AC558" s="139"/>
      <c r="AD558" s="139"/>
      <c r="AE558" s="139"/>
      <c r="AF558" s="139"/>
      <c r="AG558" s="139"/>
      <c r="AH558" s="139"/>
      <c r="AI558" s="139"/>
      <c r="AJ558" s="139"/>
      <c r="AK558" s="139"/>
      <c r="AL558" s="139"/>
      <c r="AM558" s="139"/>
      <c r="AN558" s="139"/>
      <c r="AO558" s="139"/>
      <c r="AP558" s="139"/>
      <c r="AQ558" s="139"/>
      <c r="AR558" s="139"/>
      <c r="AS558" s="139"/>
      <c r="AT558" s="139"/>
      <c r="AU558" s="139"/>
      <c r="AV558" s="139"/>
      <c r="AW558" s="139"/>
      <c r="AX558" s="139"/>
      <c r="AY558" s="139"/>
      <c r="AZ558" s="139"/>
      <c r="BA558" s="139"/>
      <c r="BB558" s="139"/>
    </row>
    <row r="559">
      <c r="A559" s="28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39"/>
      <c r="AD559" s="139"/>
      <c r="AE559" s="139"/>
      <c r="AF559" s="139"/>
      <c r="AG559" s="139"/>
      <c r="AH559" s="139"/>
      <c r="AI559" s="139"/>
      <c r="AJ559" s="139"/>
      <c r="AK559" s="139"/>
      <c r="AL559" s="139"/>
      <c r="AM559" s="139"/>
      <c r="AN559" s="139"/>
      <c r="AO559" s="139"/>
      <c r="AP559" s="139"/>
      <c r="AQ559" s="139"/>
      <c r="AR559" s="139"/>
      <c r="AS559" s="139"/>
      <c r="AT559" s="139"/>
      <c r="AU559" s="139"/>
      <c r="AV559" s="139"/>
      <c r="AW559" s="139"/>
      <c r="AX559" s="139"/>
      <c r="AY559" s="139"/>
      <c r="AZ559" s="139"/>
      <c r="BA559" s="139"/>
      <c r="BB559" s="139"/>
    </row>
    <row r="560">
      <c r="A560" s="28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  <c r="AC560" s="139"/>
      <c r="AD560" s="139"/>
      <c r="AE560" s="139"/>
      <c r="AF560" s="139"/>
      <c r="AG560" s="139"/>
      <c r="AH560" s="139"/>
      <c r="AI560" s="139"/>
      <c r="AJ560" s="139"/>
      <c r="AK560" s="139"/>
      <c r="AL560" s="139"/>
      <c r="AM560" s="139"/>
      <c r="AN560" s="139"/>
      <c r="AO560" s="139"/>
      <c r="AP560" s="139"/>
      <c r="AQ560" s="139"/>
      <c r="AR560" s="139"/>
      <c r="AS560" s="139"/>
      <c r="AT560" s="139"/>
      <c r="AU560" s="139"/>
      <c r="AV560" s="139"/>
      <c r="AW560" s="139"/>
      <c r="AX560" s="139"/>
      <c r="AY560" s="139"/>
      <c r="AZ560" s="139"/>
      <c r="BA560" s="139"/>
      <c r="BB560" s="139"/>
    </row>
    <row r="561">
      <c r="A561" s="28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39"/>
      <c r="AD561" s="139"/>
      <c r="AE561" s="139"/>
      <c r="AF561" s="139"/>
      <c r="AG561" s="139"/>
      <c r="AH561" s="139"/>
      <c r="AI561" s="139"/>
      <c r="AJ561" s="139"/>
      <c r="AK561" s="139"/>
      <c r="AL561" s="139"/>
      <c r="AM561" s="139"/>
      <c r="AN561" s="139"/>
      <c r="AO561" s="139"/>
      <c r="AP561" s="139"/>
      <c r="AQ561" s="139"/>
      <c r="AR561" s="139"/>
      <c r="AS561" s="139"/>
      <c r="AT561" s="139"/>
      <c r="AU561" s="139"/>
      <c r="AV561" s="139"/>
      <c r="AW561" s="139"/>
      <c r="AX561" s="139"/>
      <c r="AY561" s="139"/>
      <c r="AZ561" s="139"/>
      <c r="BA561" s="139"/>
      <c r="BB561" s="139"/>
    </row>
    <row r="562">
      <c r="A562" s="28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  <c r="AC562" s="139"/>
      <c r="AD562" s="139"/>
      <c r="AE562" s="139"/>
      <c r="AF562" s="139"/>
      <c r="AG562" s="139"/>
      <c r="AH562" s="139"/>
      <c r="AI562" s="139"/>
      <c r="AJ562" s="139"/>
      <c r="AK562" s="139"/>
      <c r="AL562" s="139"/>
      <c r="AM562" s="139"/>
      <c r="AN562" s="139"/>
      <c r="AO562" s="139"/>
      <c r="AP562" s="139"/>
      <c r="AQ562" s="139"/>
      <c r="AR562" s="139"/>
      <c r="AS562" s="139"/>
      <c r="AT562" s="139"/>
      <c r="AU562" s="139"/>
      <c r="AV562" s="139"/>
      <c r="AW562" s="139"/>
      <c r="AX562" s="139"/>
      <c r="AY562" s="139"/>
      <c r="AZ562" s="139"/>
      <c r="BA562" s="139"/>
      <c r="BB562" s="139"/>
    </row>
    <row r="563">
      <c r="A563" s="28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39"/>
      <c r="AK563" s="139"/>
      <c r="AL563" s="139"/>
      <c r="AM563" s="139"/>
      <c r="AN563" s="139"/>
      <c r="AO563" s="139"/>
      <c r="AP563" s="139"/>
      <c r="AQ563" s="139"/>
      <c r="AR563" s="139"/>
      <c r="AS563" s="139"/>
      <c r="AT563" s="139"/>
      <c r="AU563" s="139"/>
      <c r="AV563" s="139"/>
      <c r="AW563" s="139"/>
      <c r="AX563" s="139"/>
      <c r="AY563" s="139"/>
      <c r="AZ563" s="139"/>
      <c r="BA563" s="139"/>
      <c r="BB563" s="139"/>
    </row>
    <row r="564">
      <c r="A564" s="28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39"/>
      <c r="AK564" s="139"/>
      <c r="AL564" s="139"/>
      <c r="AM564" s="139"/>
      <c r="AN564" s="139"/>
      <c r="AO564" s="139"/>
      <c r="AP564" s="139"/>
      <c r="AQ564" s="139"/>
      <c r="AR564" s="139"/>
      <c r="AS564" s="139"/>
      <c r="AT564" s="139"/>
      <c r="AU564" s="139"/>
      <c r="AV564" s="139"/>
      <c r="AW564" s="139"/>
      <c r="AX564" s="139"/>
      <c r="AY564" s="139"/>
      <c r="AZ564" s="139"/>
      <c r="BA564" s="139"/>
      <c r="BB564" s="139"/>
    </row>
    <row r="565">
      <c r="A565" s="28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39"/>
      <c r="AD565" s="139"/>
      <c r="AE565" s="139"/>
      <c r="AF565" s="139"/>
      <c r="AG565" s="139"/>
      <c r="AH565" s="139"/>
      <c r="AI565" s="139"/>
      <c r="AJ565" s="139"/>
      <c r="AK565" s="139"/>
      <c r="AL565" s="139"/>
      <c r="AM565" s="139"/>
      <c r="AN565" s="139"/>
      <c r="AO565" s="139"/>
      <c r="AP565" s="139"/>
      <c r="AQ565" s="139"/>
      <c r="AR565" s="139"/>
      <c r="AS565" s="139"/>
      <c r="AT565" s="139"/>
      <c r="AU565" s="139"/>
      <c r="AV565" s="139"/>
      <c r="AW565" s="139"/>
      <c r="AX565" s="139"/>
      <c r="AY565" s="139"/>
      <c r="AZ565" s="139"/>
      <c r="BA565" s="139"/>
      <c r="BB565" s="139"/>
    </row>
    <row r="566">
      <c r="A566" s="28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39"/>
      <c r="AK566" s="139"/>
      <c r="AL566" s="139"/>
      <c r="AM566" s="139"/>
      <c r="AN566" s="139"/>
      <c r="AO566" s="139"/>
      <c r="AP566" s="139"/>
      <c r="AQ566" s="139"/>
      <c r="AR566" s="139"/>
      <c r="AS566" s="139"/>
      <c r="AT566" s="139"/>
      <c r="AU566" s="139"/>
      <c r="AV566" s="139"/>
      <c r="AW566" s="139"/>
      <c r="AX566" s="139"/>
      <c r="AY566" s="139"/>
      <c r="AZ566" s="139"/>
      <c r="BA566" s="139"/>
      <c r="BB566" s="139"/>
    </row>
    <row r="567">
      <c r="A567" s="28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39"/>
      <c r="AD567" s="139"/>
      <c r="AE567" s="139"/>
      <c r="AF567" s="139"/>
      <c r="AG567" s="139"/>
      <c r="AH567" s="139"/>
      <c r="AI567" s="139"/>
      <c r="AJ567" s="139"/>
      <c r="AK567" s="139"/>
      <c r="AL567" s="139"/>
      <c r="AM567" s="139"/>
      <c r="AN567" s="139"/>
      <c r="AO567" s="139"/>
      <c r="AP567" s="139"/>
      <c r="AQ567" s="139"/>
      <c r="AR567" s="139"/>
      <c r="AS567" s="139"/>
      <c r="AT567" s="139"/>
      <c r="AU567" s="139"/>
      <c r="AV567" s="139"/>
      <c r="AW567" s="139"/>
      <c r="AX567" s="139"/>
      <c r="AY567" s="139"/>
      <c r="AZ567" s="139"/>
      <c r="BA567" s="139"/>
      <c r="BB567" s="139"/>
    </row>
    <row r="568">
      <c r="A568" s="28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39"/>
      <c r="AK568" s="139"/>
      <c r="AL568" s="139"/>
      <c r="AM568" s="139"/>
      <c r="AN568" s="139"/>
      <c r="AO568" s="139"/>
      <c r="AP568" s="139"/>
      <c r="AQ568" s="139"/>
      <c r="AR568" s="139"/>
      <c r="AS568" s="139"/>
      <c r="AT568" s="139"/>
      <c r="AU568" s="139"/>
      <c r="AV568" s="139"/>
      <c r="AW568" s="139"/>
      <c r="AX568" s="139"/>
      <c r="AY568" s="139"/>
      <c r="AZ568" s="139"/>
      <c r="BA568" s="139"/>
      <c r="BB568" s="139"/>
    </row>
    <row r="569">
      <c r="A569" s="28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39"/>
      <c r="AK569" s="139"/>
      <c r="AL569" s="139"/>
      <c r="AM569" s="139"/>
      <c r="AN569" s="139"/>
      <c r="AO569" s="139"/>
      <c r="AP569" s="139"/>
      <c r="AQ569" s="139"/>
      <c r="AR569" s="139"/>
      <c r="AS569" s="139"/>
      <c r="AT569" s="139"/>
      <c r="AU569" s="139"/>
      <c r="AV569" s="139"/>
      <c r="AW569" s="139"/>
      <c r="AX569" s="139"/>
      <c r="AY569" s="139"/>
      <c r="AZ569" s="139"/>
      <c r="BA569" s="139"/>
      <c r="BB569" s="139"/>
    </row>
    <row r="570">
      <c r="A570" s="28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39"/>
      <c r="AK570" s="139"/>
      <c r="AL570" s="139"/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  <c r="AW570" s="139"/>
      <c r="AX570" s="139"/>
      <c r="AY570" s="139"/>
      <c r="AZ570" s="139"/>
      <c r="BA570" s="139"/>
      <c r="BB570" s="139"/>
    </row>
    <row r="571">
      <c r="A571" s="28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39"/>
      <c r="AD571" s="139"/>
      <c r="AE571" s="139"/>
      <c r="AF571" s="139"/>
      <c r="AG571" s="139"/>
      <c r="AH571" s="139"/>
      <c r="AI571" s="139"/>
      <c r="AJ571" s="139"/>
      <c r="AK571" s="139"/>
      <c r="AL571" s="139"/>
      <c r="AM571" s="139"/>
      <c r="AN571" s="139"/>
      <c r="AO571" s="139"/>
      <c r="AP571" s="139"/>
      <c r="AQ571" s="139"/>
      <c r="AR571" s="139"/>
      <c r="AS571" s="139"/>
      <c r="AT571" s="139"/>
      <c r="AU571" s="139"/>
      <c r="AV571" s="139"/>
      <c r="AW571" s="139"/>
      <c r="AX571" s="139"/>
      <c r="AY571" s="139"/>
      <c r="AZ571" s="139"/>
      <c r="BA571" s="139"/>
      <c r="BB571" s="139"/>
    </row>
    <row r="572">
      <c r="A572" s="28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39"/>
      <c r="AD572" s="139"/>
      <c r="AE572" s="139"/>
      <c r="AF572" s="139"/>
      <c r="AG572" s="139"/>
      <c r="AH572" s="139"/>
      <c r="AI572" s="139"/>
      <c r="AJ572" s="139"/>
      <c r="AK572" s="139"/>
      <c r="AL572" s="139"/>
      <c r="AM572" s="139"/>
      <c r="AN572" s="139"/>
      <c r="AO572" s="139"/>
      <c r="AP572" s="139"/>
      <c r="AQ572" s="139"/>
      <c r="AR572" s="139"/>
      <c r="AS572" s="139"/>
      <c r="AT572" s="139"/>
      <c r="AU572" s="139"/>
      <c r="AV572" s="139"/>
      <c r="AW572" s="139"/>
      <c r="AX572" s="139"/>
      <c r="AY572" s="139"/>
      <c r="AZ572" s="139"/>
      <c r="BA572" s="139"/>
      <c r="BB572" s="139"/>
    </row>
    <row r="573">
      <c r="A573" s="28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39"/>
      <c r="AD573" s="139"/>
      <c r="AE573" s="139"/>
      <c r="AF573" s="139"/>
      <c r="AG573" s="139"/>
      <c r="AH573" s="139"/>
      <c r="AI573" s="139"/>
      <c r="AJ573" s="139"/>
      <c r="AK573" s="139"/>
      <c r="AL573" s="139"/>
      <c r="AM573" s="139"/>
      <c r="AN573" s="139"/>
      <c r="AO573" s="139"/>
      <c r="AP573" s="139"/>
      <c r="AQ573" s="139"/>
      <c r="AR573" s="139"/>
      <c r="AS573" s="139"/>
      <c r="AT573" s="139"/>
      <c r="AU573" s="139"/>
      <c r="AV573" s="139"/>
      <c r="AW573" s="139"/>
      <c r="AX573" s="139"/>
      <c r="AY573" s="139"/>
      <c r="AZ573" s="139"/>
      <c r="BA573" s="139"/>
      <c r="BB573" s="139"/>
    </row>
    <row r="574">
      <c r="A574" s="28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39"/>
      <c r="AK574" s="139"/>
      <c r="AL574" s="139"/>
      <c r="AM574" s="139"/>
      <c r="AN574" s="139"/>
      <c r="AO574" s="139"/>
      <c r="AP574" s="139"/>
      <c r="AQ574" s="139"/>
      <c r="AR574" s="139"/>
      <c r="AS574" s="139"/>
      <c r="AT574" s="139"/>
      <c r="AU574" s="139"/>
      <c r="AV574" s="139"/>
      <c r="AW574" s="139"/>
      <c r="AX574" s="139"/>
      <c r="AY574" s="139"/>
      <c r="AZ574" s="139"/>
      <c r="BA574" s="139"/>
      <c r="BB574" s="139"/>
    </row>
    <row r="575">
      <c r="A575" s="28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39"/>
      <c r="AD575" s="139"/>
      <c r="AE575" s="139"/>
      <c r="AF575" s="139"/>
      <c r="AG575" s="139"/>
      <c r="AH575" s="139"/>
      <c r="AI575" s="139"/>
      <c r="AJ575" s="139"/>
      <c r="AK575" s="139"/>
      <c r="AL575" s="139"/>
      <c r="AM575" s="139"/>
      <c r="AN575" s="139"/>
      <c r="AO575" s="139"/>
      <c r="AP575" s="139"/>
      <c r="AQ575" s="139"/>
      <c r="AR575" s="139"/>
      <c r="AS575" s="139"/>
      <c r="AT575" s="139"/>
      <c r="AU575" s="139"/>
      <c r="AV575" s="139"/>
      <c r="AW575" s="139"/>
      <c r="AX575" s="139"/>
      <c r="AY575" s="139"/>
      <c r="AZ575" s="139"/>
      <c r="BA575" s="139"/>
      <c r="BB575" s="139"/>
    </row>
    <row r="576">
      <c r="A576" s="28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39"/>
      <c r="AK576" s="139"/>
      <c r="AL576" s="139"/>
      <c r="AM576" s="139"/>
      <c r="AN576" s="139"/>
      <c r="AO576" s="139"/>
      <c r="AP576" s="139"/>
      <c r="AQ576" s="139"/>
      <c r="AR576" s="139"/>
      <c r="AS576" s="139"/>
      <c r="AT576" s="139"/>
      <c r="AU576" s="139"/>
      <c r="AV576" s="139"/>
      <c r="AW576" s="139"/>
      <c r="AX576" s="139"/>
      <c r="AY576" s="139"/>
      <c r="AZ576" s="139"/>
      <c r="BA576" s="139"/>
      <c r="BB576" s="139"/>
    </row>
    <row r="577">
      <c r="A577" s="28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39"/>
      <c r="AD577" s="139"/>
      <c r="AE577" s="139"/>
      <c r="AF577" s="139"/>
      <c r="AG577" s="139"/>
      <c r="AH577" s="139"/>
      <c r="AI577" s="139"/>
      <c r="AJ577" s="139"/>
      <c r="AK577" s="139"/>
      <c r="AL577" s="139"/>
      <c r="AM577" s="139"/>
      <c r="AN577" s="139"/>
      <c r="AO577" s="139"/>
      <c r="AP577" s="139"/>
      <c r="AQ577" s="139"/>
      <c r="AR577" s="139"/>
      <c r="AS577" s="139"/>
      <c r="AT577" s="139"/>
      <c r="AU577" s="139"/>
      <c r="AV577" s="139"/>
      <c r="AW577" s="139"/>
      <c r="AX577" s="139"/>
      <c r="AY577" s="139"/>
      <c r="AZ577" s="139"/>
      <c r="BA577" s="139"/>
      <c r="BB577" s="139"/>
    </row>
    <row r="578">
      <c r="A578" s="28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39"/>
      <c r="AK578" s="139"/>
      <c r="AL578" s="139"/>
      <c r="AM578" s="139"/>
      <c r="AN578" s="139"/>
      <c r="AO578" s="139"/>
      <c r="AP578" s="139"/>
      <c r="AQ578" s="139"/>
      <c r="AR578" s="139"/>
      <c r="AS578" s="139"/>
      <c r="AT578" s="139"/>
      <c r="AU578" s="139"/>
      <c r="AV578" s="139"/>
      <c r="AW578" s="139"/>
      <c r="AX578" s="139"/>
      <c r="AY578" s="139"/>
      <c r="AZ578" s="139"/>
      <c r="BA578" s="139"/>
      <c r="BB578" s="139"/>
    </row>
    <row r="579">
      <c r="A579" s="28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39"/>
      <c r="AD579" s="139"/>
      <c r="AE579" s="139"/>
      <c r="AF579" s="139"/>
      <c r="AG579" s="139"/>
      <c r="AH579" s="139"/>
      <c r="AI579" s="139"/>
      <c r="AJ579" s="139"/>
      <c r="AK579" s="139"/>
      <c r="AL579" s="139"/>
      <c r="AM579" s="139"/>
      <c r="AN579" s="139"/>
      <c r="AO579" s="139"/>
      <c r="AP579" s="139"/>
      <c r="AQ579" s="139"/>
      <c r="AR579" s="139"/>
      <c r="AS579" s="139"/>
      <c r="AT579" s="139"/>
      <c r="AU579" s="139"/>
      <c r="AV579" s="139"/>
      <c r="AW579" s="139"/>
      <c r="AX579" s="139"/>
      <c r="AY579" s="139"/>
      <c r="AZ579" s="139"/>
      <c r="BA579" s="139"/>
      <c r="BB579" s="139"/>
    </row>
    <row r="580">
      <c r="A580" s="28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39"/>
      <c r="AK580" s="139"/>
      <c r="AL580" s="139"/>
      <c r="AM580" s="139"/>
      <c r="AN580" s="139"/>
      <c r="AO580" s="139"/>
      <c r="AP580" s="139"/>
      <c r="AQ580" s="139"/>
      <c r="AR580" s="139"/>
      <c r="AS580" s="139"/>
      <c r="AT580" s="139"/>
      <c r="AU580" s="139"/>
      <c r="AV580" s="139"/>
      <c r="AW580" s="139"/>
      <c r="AX580" s="139"/>
      <c r="AY580" s="139"/>
      <c r="AZ580" s="139"/>
      <c r="BA580" s="139"/>
      <c r="BB580" s="139"/>
    </row>
    <row r="581">
      <c r="A581" s="28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39"/>
      <c r="AD581" s="139"/>
      <c r="AE581" s="139"/>
      <c r="AF581" s="139"/>
      <c r="AG581" s="139"/>
      <c r="AH581" s="139"/>
      <c r="AI581" s="139"/>
      <c r="AJ581" s="139"/>
      <c r="AK581" s="139"/>
      <c r="AL581" s="139"/>
      <c r="AM581" s="139"/>
      <c r="AN581" s="139"/>
      <c r="AO581" s="139"/>
      <c r="AP581" s="139"/>
      <c r="AQ581" s="139"/>
      <c r="AR581" s="139"/>
      <c r="AS581" s="139"/>
      <c r="AT581" s="139"/>
      <c r="AU581" s="139"/>
      <c r="AV581" s="139"/>
      <c r="AW581" s="139"/>
      <c r="AX581" s="139"/>
      <c r="AY581" s="139"/>
      <c r="AZ581" s="139"/>
      <c r="BA581" s="139"/>
      <c r="BB581" s="139"/>
    </row>
    <row r="582">
      <c r="A582" s="28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39"/>
      <c r="AK582" s="139"/>
      <c r="AL582" s="139"/>
      <c r="AM582" s="139"/>
      <c r="AN582" s="139"/>
      <c r="AO582" s="139"/>
      <c r="AP582" s="139"/>
      <c r="AQ582" s="139"/>
      <c r="AR582" s="139"/>
      <c r="AS582" s="139"/>
      <c r="AT582" s="139"/>
      <c r="AU582" s="139"/>
      <c r="AV582" s="139"/>
      <c r="AW582" s="139"/>
      <c r="AX582" s="139"/>
      <c r="AY582" s="139"/>
      <c r="AZ582" s="139"/>
      <c r="BA582" s="139"/>
      <c r="BB582" s="139"/>
    </row>
    <row r="583">
      <c r="A583" s="28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39"/>
      <c r="AD583" s="139"/>
      <c r="AE583" s="139"/>
      <c r="AF583" s="139"/>
      <c r="AG583" s="139"/>
      <c r="AH583" s="139"/>
      <c r="AI583" s="139"/>
      <c r="AJ583" s="139"/>
      <c r="AK583" s="139"/>
      <c r="AL583" s="139"/>
      <c r="AM583" s="139"/>
      <c r="AN583" s="139"/>
      <c r="AO583" s="139"/>
      <c r="AP583" s="139"/>
      <c r="AQ583" s="139"/>
      <c r="AR583" s="139"/>
      <c r="AS583" s="139"/>
      <c r="AT583" s="139"/>
      <c r="AU583" s="139"/>
      <c r="AV583" s="139"/>
      <c r="AW583" s="139"/>
      <c r="AX583" s="139"/>
      <c r="AY583" s="139"/>
      <c r="AZ583" s="139"/>
      <c r="BA583" s="139"/>
      <c r="BB583" s="139"/>
    </row>
    <row r="584">
      <c r="A584" s="28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39"/>
      <c r="AD584" s="139"/>
      <c r="AE584" s="139"/>
      <c r="AF584" s="139"/>
      <c r="AG584" s="139"/>
      <c r="AH584" s="139"/>
      <c r="AI584" s="139"/>
      <c r="AJ584" s="139"/>
      <c r="AK584" s="139"/>
      <c r="AL584" s="139"/>
      <c r="AM584" s="139"/>
      <c r="AN584" s="139"/>
      <c r="AO584" s="139"/>
      <c r="AP584" s="139"/>
      <c r="AQ584" s="139"/>
      <c r="AR584" s="139"/>
      <c r="AS584" s="139"/>
      <c r="AT584" s="139"/>
      <c r="AU584" s="139"/>
      <c r="AV584" s="139"/>
      <c r="AW584" s="139"/>
      <c r="AX584" s="139"/>
      <c r="AY584" s="139"/>
      <c r="AZ584" s="139"/>
      <c r="BA584" s="139"/>
      <c r="BB584" s="139"/>
    </row>
    <row r="585">
      <c r="A585" s="28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39"/>
      <c r="AK585" s="139"/>
      <c r="AL585" s="139"/>
      <c r="AM585" s="139"/>
      <c r="AN585" s="139"/>
      <c r="AO585" s="139"/>
      <c r="AP585" s="139"/>
      <c r="AQ585" s="139"/>
      <c r="AR585" s="139"/>
      <c r="AS585" s="139"/>
      <c r="AT585" s="139"/>
      <c r="AU585" s="139"/>
      <c r="AV585" s="139"/>
      <c r="AW585" s="139"/>
      <c r="AX585" s="139"/>
      <c r="AY585" s="139"/>
      <c r="AZ585" s="139"/>
      <c r="BA585" s="139"/>
      <c r="BB585" s="139"/>
    </row>
    <row r="586">
      <c r="A586" s="28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39"/>
      <c r="AD586" s="139"/>
      <c r="AE586" s="139"/>
      <c r="AF586" s="139"/>
      <c r="AG586" s="139"/>
      <c r="AH586" s="139"/>
      <c r="AI586" s="139"/>
      <c r="AJ586" s="139"/>
      <c r="AK586" s="139"/>
      <c r="AL586" s="139"/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  <c r="AW586" s="139"/>
      <c r="AX586" s="139"/>
      <c r="AY586" s="139"/>
      <c r="AZ586" s="139"/>
      <c r="BA586" s="139"/>
      <c r="BB586" s="139"/>
    </row>
    <row r="587">
      <c r="A587" s="28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39"/>
      <c r="AK587" s="139"/>
      <c r="AL587" s="139"/>
      <c r="AM587" s="139"/>
      <c r="AN587" s="139"/>
      <c r="AO587" s="139"/>
      <c r="AP587" s="139"/>
      <c r="AQ587" s="139"/>
      <c r="AR587" s="139"/>
      <c r="AS587" s="139"/>
      <c r="AT587" s="139"/>
      <c r="AU587" s="139"/>
      <c r="AV587" s="139"/>
      <c r="AW587" s="139"/>
      <c r="AX587" s="139"/>
      <c r="AY587" s="139"/>
      <c r="AZ587" s="139"/>
      <c r="BA587" s="139"/>
      <c r="BB587" s="139"/>
    </row>
    <row r="588">
      <c r="A588" s="28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39"/>
      <c r="AD588" s="139"/>
      <c r="AE588" s="139"/>
      <c r="AF588" s="139"/>
      <c r="AG588" s="139"/>
      <c r="AH588" s="139"/>
      <c r="AI588" s="139"/>
      <c r="AJ588" s="139"/>
      <c r="AK588" s="139"/>
      <c r="AL588" s="139"/>
      <c r="AM588" s="139"/>
      <c r="AN588" s="139"/>
      <c r="AO588" s="139"/>
      <c r="AP588" s="139"/>
      <c r="AQ588" s="139"/>
      <c r="AR588" s="139"/>
      <c r="AS588" s="139"/>
      <c r="AT588" s="139"/>
      <c r="AU588" s="139"/>
      <c r="AV588" s="139"/>
      <c r="AW588" s="139"/>
      <c r="AX588" s="139"/>
      <c r="AY588" s="139"/>
      <c r="AZ588" s="139"/>
      <c r="BA588" s="139"/>
      <c r="BB588" s="139"/>
    </row>
    <row r="589">
      <c r="A589" s="28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39"/>
      <c r="AK589" s="139"/>
      <c r="AL589" s="139"/>
      <c r="AM589" s="139"/>
      <c r="AN589" s="139"/>
      <c r="AO589" s="139"/>
      <c r="AP589" s="139"/>
      <c r="AQ589" s="139"/>
      <c r="AR589" s="139"/>
      <c r="AS589" s="139"/>
      <c r="AT589" s="139"/>
      <c r="AU589" s="139"/>
      <c r="AV589" s="139"/>
      <c r="AW589" s="139"/>
      <c r="AX589" s="139"/>
      <c r="AY589" s="139"/>
      <c r="AZ589" s="139"/>
      <c r="BA589" s="139"/>
      <c r="BB589" s="139"/>
    </row>
    <row r="590">
      <c r="A590" s="28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39"/>
      <c r="AK590" s="139"/>
      <c r="AL590" s="139"/>
      <c r="AM590" s="139"/>
      <c r="AN590" s="139"/>
      <c r="AO590" s="139"/>
      <c r="AP590" s="139"/>
      <c r="AQ590" s="139"/>
      <c r="AR590" s="139"/>
      <c r="AS590" s="139"/>
      <c r="AT590" s="139"/>
      <c r="AU590" s="139"/>
      <c r="AV590" s="139"/>
      <c r="AW590" s="139"/>
      <c r="AX590" s="139"/>
      <c r="AY590" s="139"/>
      <c r="AZ590" s="139"/>
      <c r="BA590" s="139"/>
      <c r="BB590" s="139"/>
    </row>
    <row r="591">
      <c r="A591" s="28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39"/>
      <c r="AD591" s="139"/>
      <c r="AE591" s="139"/>
      <c r="AF591" s="139"/>
      <c r="AG591" s="139"/>
      <c r="AH591" s="139"/>
      <c r="AI591" s="139"/>
      <c r="AJ591" s="139"/>
      <c r="AK591" s="139"/>
      <c r="AL591" s="139"/>
      <c r="AM591" s="139"/>
      <c r="AN591" s="139"/>
      <c r="AO591" s="139"/>
      <c r="AP591" s="139"/>
      <c r="AQ591" s="139"/>
      <c r="AR591" s="139"/>
      <c r="AS591" s="139"/>
      <c r="AT591" s="139"/>
      <c r="AU591" s="139"/>
      <c r="AV591" s="139"/>
      <c r="AW591" s="139"/>
      <c r="AX591" s="139"/>
      <c r="AY591" s="139"/>
      <c r="AZ591" s="139"/>
      <c r="BA591" s="139"/>
      <c r="BB591" s="139"/>
    </row>
    <row r="592">
      <c r="A592" s="28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39"/>
      <c r="AK592" s="139"/>
      <c r="AL592" s="139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39"/>
    </row>
    <row r="593">
      <c r="A593" s="28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39"/>
      <c r="AD593" s="139"/>
      <c r="AE593" s="139"/>
      <c r="AF593" s="139"/>
      <c r="AG593" s="139"/>
      <c r="AH593" s="139"/>
      <c r="AI593" s="139"/>
      <c r="AJ593" s="139"/>
      <c r="AK593" s="139"/>
      <c r="AL593" s="139"/>
      <c r="AM593" s="139"/>
      <c r="AN593" s="139"/>
      <c r="AO593" s="139"/>
      <c r="AP593" s="139"/>
      <c r="AQ593" s="139"/>
      <c r="AR593" s="139"/>
      <c r="AS593" s="139"/>
      <c r="AT593" s="139"/>
      <c r="AU593" s="139"/>
      <c r="AV593" s="139"/>
      <c r="AW593" s="139"/>
      <c r="AX593" s="139"/>
      <c r="AY593" s="139"/>
      <c r="AZ593" s="139"/>
      <c r="BA593" s="139"/>
      <c r="BB593" s="139"/>
    </row>
    <row r="594">
      <c r="A594" s="28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  <c r="AK594" s="139"/>
      <c r="AL594" s="139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39"/>
      <c r="BB594" s="139"/>
    </row>
    <row r="595">
      <c r="A595" s="28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39"/>
      <c r="AD595" s="139"/>
      <c r="AE595" s="139"/>
      <c r="AF595" s="139"/>
      <c r="AG595" s="139"/>
      <c r="AH595" s="139"/>
      <c r="AI595" s="139"/>
      <c r="AJ595" s="139"/>
      <c r="AK595" s="139"/>
      <c r="AL595" s="139"/>
      <c r="AM595" s="139"/>
      <c r="AN595" s="139"/>
      <c r="AO595" s="139"/>
      <c r="AP595" s="139"/>
      <c r="AQ595" s="139"/>
      <c r="AR595" s="139"/>
      <c r="AS595" s="139"/>
      <c r="AT595" s="139"/>
      <c r="AU595" s="139"/>
      <c r="AV595" s="139"/>
      <c r="AW595" s="139"/>
      <c r="AX595" s="139"/>
      <c r="AY595" s="139"/>
      <c r="AZ595" s="139"/>
      <c r="BA595" s="139"/>
      <c r="BB595" s="139"/>
    </row>
    <row r="596">
      <c r="A596" s="28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39"/>
      <c r="AK596" s="139"/>
      <c r="AL596" s="139"/>
      <c r="AM596" s="139"/>
      <c r="AN596" s="139"/>
      <c r="AO596" s="139"/>
      <c r="AP596" s="139"/>
      <c r="AQ596" s="139"/>
      <c r="AR596" s="139"/>
      <c r="AS596" s="139"/>
      <c r="AT596" s="139"/>
      <c r="AU596" s="139"/>
      <c r="AV596" s="139"/>
      <c r="AW596" s="139"/>
      <c r="AX596" s="139"/>
      <c r="AY596" s="139"/>
      <c r="AZ596" s="139"/>
      <c r="BA596" s="139"/>
      <c r="BB596" s="139"/>
    </row>
    <row r="597">
      <c r="A597" s="28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39"/>
      <c r="AK597" s="139"/>
      <c r="AL597" s="139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39"/>
    </row>
    <row r="598">
      <c r="A598" s="28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39"/>
      <c r="AK598" s="139"/>
      <c r="AL598" s="139"/>
      <c r="AM598" s="139"/>
      <c r="AN598" s="139"/>
      <c r="AO598" s="139"/>
      <c r="AP598" s="139"/>
      <c r="AQ598" s="139"/>
      <c r="AR598" s="139"/>
      <c r="AS598" s="139"/>
      <c r="AT598" s="139"/>
      <c r="AU598" s="139"/>
      <c r="AV598" s="139"/>
      <c r="AW598" s="139"/>
      <c r="AX598" s="139"/>
      <c r="AY598" s="139"/>
      <c r="AZ598" s="139"/>
      <c r="BA598" s="139"/>
      <c r="BB598" s="139"/>
    </row>
    <row r="599">
      <c r="A599" s="28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39"/>
      <c r="AG599" s="139"/>
      <c r="AH599" s="139"/>
      <c r="AI599" s="139"/>
      <c r="AJ599" s="139"/>
      <c r="AK599" s="139"/>
      <c r="AL599" s="139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39"/>
      <c r="BB599" s="139"/>
    </row>
    <row r="600">
      <c r="A600" s="28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39"/>
      <c r="AK600" s="139"/>
      <c r="AL600" s="139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</row>
    <row r="601">
      <c r="A601" s="28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39"/>
      <c r="AG601" s="139"/>
      <c r="AH601" s="139"/>
      <c r="AI601" s="139"/>
      <c r="AJ601" s="139"/>
      <c r="AK601" s="139"/>
      <c r="AL601" s="139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39"/>
      <c r="BB601" s="139"/>
    </row>
    <row r="602">
      <c r="A602" s="28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9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39"/>
    </row>
    <row r="603">
      <c r="A603" s="28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39"/>
      <c r="AK603" s="139"/>
      <c r="AL603" s="139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39"/>
    </row>
    <row r="604">
      <c r="A604" s="28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39"/>
      <c r="AD604" s="139"/>
      <c r="AE604" s="139"/>
      <c r="AF604" s="139"/>
      <c r="AG604" s="139"/>
      <c r="AH604" s="139"/>
      <c r="AI604" s="139"/>
      <c r="AJ604" s="139"/>
      <c r="AK604" s="139"/>
      <c r="AL604" s="139"/>
      <c r="AM604" s="139"/>
      <c r="AN604" s="139"/>
      <c r="AO604" s="139"/>
      <c r="AP604" s="139"/>
      <c r="AQ604" s="139"/>
      <c r="AR604" s="139"/>
      <c r="AS604" s="139"/>
      <c r="AT604" s="139"/>
      <c r="AU604" s="139"/>
      <c r="AV604" s="139"/>
      <c r="AW604" s="139"/>
      <c r="AX604" s="139"/>
      <c r="AY604" s="139"/>
      <c r="AZ604" s="139"/>
      <c r="BA604" s="139"/>
      <c r="BB604" s="139"/>
    </row>
    <row r="605">
      <c r="A605" s="28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39"/>
      <c r="AK605" s="139"/>
      <c r="AL605" s="139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</row>
    <row r="606">
      <c r="A606" s="28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39"/>
      <c r="AG606" s="139"/>
      <c r="AH606" s="139"/>
      <c r="AI606" s="139"/>
      <c r="AJ606" s="139"/>
      <c r="AK606" s="139"/>
      <c r="AL606" s="139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39"/>
      <c r="BB606" s="139"/>
    </row>
    <row r="607">
      <c r="A607" s="28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39"/>
      <c r="AK607" s="139"/>
      <c r="AL607" s="139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</row>
    <row r="608">
      <c r="A608" s="28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39"/>
      <c r="AG608" s="139"/>
      <c r="AH608" s="139"/>
      <c r="AI608" s="139"/>
      <c r="AJ608" s="139"/>
      <c r="AK608" s="139"/>
      <c r="AL608" s="139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39"/>
      <c r="BB608" s="139"/>
    </row>
    <row r="609">
      <c r="A609" s="28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39"/>
      <c r="AK609" s="139"/>
      <c r="AL609" s="139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</row>
    <row r="610">
      <c r="A610" s="28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39"/>
      <c r="AG610" s="139"/>
      <c r="AH610" s="139"/>
      <c r="AI610" s="139"/>
      <c r="AJ610" s="139"/>
      <c r="AK610" s="139"/>
      <c r="AL610" s="139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39"/>
      <c r="BB610" s="139"/>
    </row>
    <row r="611">
      <c r="A611" s="28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39"/>
      <c r="AK611" s="139"/>
      <c r="AL611" s="139"/>
      <c r="AM611" s="139"/>
      <c r="AN611" s="139"/>
      <c r="AO611" s="139"/>
      <c r="AP611" s="139"/>
      <c r="AQ611" s="139"/>
      <c r="AR611" s="139"/>
      <c r="AS611" s="139"/>
      <c r="AT611" s="139"/>
      <c r="AU611" s="139"/>
      <c r="AV611" s="139"/>
      <c r="AW611" s="139"/>
      <c r="AX611" s="139"/>
      <c r="AY611" s="139"/>
      <c r="AZ611" s="139"/>
      <c r="BA611" s="139"/>
      <c r="BB611" s="139"/>
    </row>
    <row r="612">
      <c r="A612" s="28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39"/>
      <c r="AD612" s="139"/>
      <c r="AE612" s="139"/>
      <c r="AF612" s="139"/>
      <c r="AG612" s="139"/>
      <c r="AH612" s="139"/>
      <c r="AI612" s="139"/>
      <c r="AJ612" s="139"/>
      <c r="AK612" s="139"/>
      <c r="AL612" s="139"/>
      <c r="AM612" s="139"/>
      <c r="AN612" s="139"/>
      <c r="AO612" s="139"/>
      <c r="AP612" s="139"/>
      <c r="AQ612" s="139"/>
      <c r="AR612" s="139"/>
      <c r="AS612" s="139"/>
      <c r="AT612" s="139"/>
      <c r="AU612" s="139"/>
      <c r="AV612" s="139"/>
      <c r="AW612" s="139"/>
      <c r="AX612" s="139"/>
      <c r="AY612" s="139"/>
      <c r="AZ612" s="139"/>
      <c r="BA612" s="139"/>
      <c r="BB612" s="139"/>
    </row>
    <row r="613">
      <c r="A613" s="28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39"/>
      <c r="AK613" s="139"/>
      <c r="AL613" s="139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39"/>
      <c r="BB613" s="139"/>
    </row>
    <row r="614">
      <c r="A614" s="28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39"/>
      <c r="AG614" s="139"/>
      <c r="AH614" s="139"/>
      <c r="AI614" s="139"/>
      <c r="AJ614" s="139"/>
      <c r="AK614" s="139"/>
      <c r="AL614" s="139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39"/>
      <c r="BB614" s="139"/>
    </row>
    <row r="615">
      <c r="A615" s="28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39"/>
      <c r="AG615" s="139"/>
      <c r="AH615" s="139"/>
      <c r="AI615" s="139"/>
      <c r="AJ615" s="139"/>
      <c r="AK615" s="139"/>
      <c r="AL615" s="139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39"/>
      <c r="BB615" s="139"/>
    </row>
    <row r="616">
      <c r="A616" s="28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39"/>
      <c r="AG616" s="139"/>
      <c r="AH616" s="139"/>
      <c r="AI616" s="139"/>
      <c r="AJ616" s="139"/>
      <c r="AK616" s="139"/>
      <c r="AL616" s="139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39"/>
      <c r="BB616" s="139"/>
    </row>
    <row r="617">
      <c r="A617" s="28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39"/>
      <c r="AK617" s="139"/>
      <c r="AL617" s="139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39"/>
      <c r="BB617" s="139"/>
    </row>
    <row r="618">
      <c r="A618" s="28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39"/>
      <c r="AD618" s="139"/>
      <c r="AE618" s="139"/>
      <c r="AF618" s="139"/>
      <c r="AG618" s="139"/>
      <c r="AH618" s="139"/>
      <c r="AI618" s="139"/>
      <c r="AJ618" s="139"/>
      <c r="AK618" s="139"/>
      <c r="AL618" s="139"/>
      <c r="AM618" s="139"/>
      <c r="AN618" s="139"/>
      <c r="AO618" s="139"/>
      <c r="AP618" s="139"/>
      <c r="AQ618" s="139"/>
      <c r="AR618" s="139"/>
      <c r="AS618" s="139"/>
      <c r="AT618" s="139"/>
      <c r="AU618" s="139"/>
      <c r="AV618" s="139"/>
      <c r="AW618" s="139"/>
      <c r="AX618" s="139"/>
      <c r="AY618" s="139"/>
      <c r="AZ618" s="139"/>
      <c r="BA618" s="139"/>
      <c r="BB618" s="139"/>
    </row>
    <row r="619">
      <c r="A619" s="28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39"/>
      <c r="AK619" s="139"/>
      <c r="AL619" s="139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39"/>
      <c r="BB619" s="139"/>
    </row>
    <row r="620">
      <c r="A620" s="28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39"/>
      <c r="AG620" s="139"/>
      <c r="AH620" s="139"/>
      <c r="AI620" s="139"/>
      <c r="AJ620" s="139"/>
      <c r="AK620" s="139"/>
      <c r="AL620" s="139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39"/>
      <c r="BB620" s="139"/>
    </row>
    <row r="621">
      <c r="A621" s="28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39"/>
      <c r="AK621" s="139"/>
      <c r="AL621" s="139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39"/>
      <c r="BB621" s="139"/>
    </row>
    <row r="622">
      <c r="A622" s="28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39"/>
      <c r="AD622" s="139"/>
      <c r="AE622" s="139"/>
      <c r="AF622" s="139"/>
      <c r="AG622" s="139"/>
      <c r="AH622" s="139"/>
      <c r="AI622" s="139"/>
      <c r="AJ622" s="139"/>
      <c r="AK622" s="139"/>
      <c r="AL622" s="139"/>
      <c r="AM622" s="139"/>
      <c r="AN622" s="139"/>
      <c r="AO622" s="139"/>
      <c r="AP622" s="139"/>
      <c r="AQ622" s="139"/>
      <c r="AR622" s="139"/>
      <c r="AS622" s="139"/>
      <c r="AT622" s="139"/>
      <c r="AU622" s="139"/>
      <c r="AV622" s="139"/>
      <c r="AW622" s="139"/>
      <c r="AX622" s="139"/>
      <c r="AY622" s="139"/>
      <c r="AZ622" s="139"/>
      <c r="BA622" s="139"/>
      <c r="BB622" s="139"/>
    </row>
    <row r="623">
      <c r="A623" s="28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39"/>
      <c r="AK623" s="139"/>
      <c r="AL623" s="139"/>
      <c r="AM623" s="139"/>
      <c r="AN623" s="139"/>
      <c r="AO623" s="139"/>
      <c r="AP623" s="139"/>
      <c r="AQ623" s="139"/>
      <c r="AR623" s="139"/>
      <c r="AS623" s="139"/>
      <c r="AT623" s="139"/>
      <c r="AU623" s="139"/>
      <c r="AV623" s="139"/>
      <c r="AW623" s="139"/>
      <c r="AX623" s="139"/>
      <c r="AY623" s="139"/>
      <c r="AZ623" s="139"/>
      <c r="BA623" s="139"/>
      <c r="BB623" s="139"/>
    </row>
    <row r="624">
      <c r="A624" s="28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39"/>
      <c r="AG624" s="139"/>
      <c r="AH624" s="139"/>
      <c r="AI624" s="139"/>
      <c r="AJ624" s="139"/>
      <c r="AK624" s="139"/>
      <c r="AL624" s="139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39"/>
      <c r="BB624" s="139"/>
    </row>
    <row r="625">
      <c r="A625" s="28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9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39"/>
      <c r="BB625" s="139"/>
    </row>
    <row r="626">
      <c r="A626" s="28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39"/>
      <c r="AD626" s="139"/>
      <c r="AE626" s="139"/>
      <c r="AF626" s="139"/>
      <c r="AG626" s="139"/>
      <c r="AH626" s="139"/>
      <c r="AI626" s="139"/>
      <c r="AJ626" s="139"/>
      <c r="AK626" s="139"/>
      <c r="AL626" s="139"/>
      <c r="AM626" s="139"/>
      <c r="AN626" s="139"/>
      <c r="AO626" s="139"/>
      <c r="AP626" s="139"/>
      <c r="AQ626" s="139"/>
      <c r="AR626" s="139"/>
      <c r="AS626" s="139"/>
      <c r="AT626" s="139"/>
      <c r="AU626" s="139"/>
      <c r="AV626" s="139"/>
      <c r="AW626" s="139"/>
      <c r="AX626" s="139"/>
      <c r="AY626" s="139"/>
      <c r="AZ626" s="139"/>
      <c r="BA626" s="139"/>
      <c r="BB626" s="139"/>
    </row>
    <row r="627">
      <c r="A627" s="28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39"/>
      <c r="AG627" s="139"/>
      <c r="AH627" s="139"/>
      <c r="AI627" s="139"/>
      <c r="AJ627" s="139"/>
      <c r="AK627" s="139"/>
      <c r="AL627" s="139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39"/>
      <c r="BB627" s="139"/>
    </row>
    <row r="628">
      <c r="A628" s="28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39"/>
      <c r="AG628" s="139"/>
      <c r="AH628" s="139"/>
      <c r="AI628" s="139"/>
      <c r="AJ628" s="139"/>
      <c r="AK628" s="139"/>
      <c r="AL628" s="139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39"/>
      <c r="BB628" s="139"/>
    </row>
    <row r="629">
      <c r="A629" s="28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39"/>
      <c r="AK629" s="139"/>
      <c r="AL629" s="139"/>
      <c r="AM629" s="139"/>
      <c r="AN629" s="139"/>
      <c r="AO629" s="139"/>
      <c r="AP629" s="139"/>
      <c r="AQ629" s="139"/>
      <c r="AR629" s="139"/>
      <c r="AS629" s="139"/>
      <c r="AT629" s="139"/>
      <c r="AU629" s="139"/>
      <c r="AV629" s="139"/>
      <c r="AW629" s="139"/>
      <c r="AX629" s="139"/>
      <c r="AY629" s="139"/>
      <c r="AZ629" s="139"/>
      <c r="BA629" s="139"/>
      <c r="BB629" s="139"/>
    </row>
    <row r="630">
      <c r="A630" s="28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39"/>
      <c r="AD630" s="139"/>
      <c r="AE630" s="139"/>
      <c r="AF630" s="139"/>
      <c r="AG630" s="139"/>
      <c r="AH630" s="139"/>
      <c r="AI630" s="139"/>
      <c r="AJ630" s="139"/>
      <c r="AK630" s="139"/>
      <c r="AL630" s="139"/>
      <c r="AM630" s="139"/>
      <c r="AN630" s="139"/>
      <c r="AO630" s="139"/>
      <c r="AP630" s="139"/>
      <c r="AQ630" s="139"/>
      <c r="AR630" s="139"/>
      <c r="AS630" s="139"/>
      <c r="AT630" s="139"/>
      <c r="AU630" s="139"/>
      <c r="AV630" s="139"/>
      <c r="AW630" s="139"/>
      <c r="AX630" s="139"/>
      <c r="AY630" s="139"/>
      <c r="AZ630" s="139"/>
      <c r="BA630" s="139"/>
      <c r="BB630" s="139"/>
    </row>
    <row r="631">
      <c r="A631" s="28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39"/>
      <c r="AK631" s="139"/>
      <c r="AL631" s="139"/>
      <c r="AM631" s="139"/>
      <c r="AN631" s="139"/>
      <c r="AO631" s="139"/>
      <c r="AP631" s="139"/>
      <c r="AQ631" s="139"/>
      <c r="AR631" s="139"/>
      <c r="AS631" s="139"/>
      <c r="AT631" s="139"/>
      <c r="AU631" s="139"/>
      <c r="AV631" s="139"/>
      <c r="AW631" s="139"/>
      <c r="AX631" s="139"/>
      <c r="AY631" s="139"/>
      <c r="AZ631" s="139"/>
      <c r="BA631" s="139"/>
      <c r="BB631" s="139"/>
    </row>
    <row r="632">
      <c r="A632" s="28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39"/>
      <c r="AG632" s="139"/>
      <c r="AH632" s="139"/>
      <c r="AI632" s="139"/>
      <c r="AJ632" s="139"/>
      <c r="AK632" s="139"/>
      <c r="AL632" s="139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39"/>
      <c r="BB632" s="139"/>
    </row>
    <row r="633">
      <c r="A633" s="28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  <c r="AK633" s="139"/>
      <c r="AL633" s="139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39"/>
    </row>
    <row r="634">
      <c r="A634" s="28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39"/>
      <c r="AK634" s="139"/>
      <c r="AL634" s="139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39"/>
      <c r="BB634" s="139"/>
    </row>
    <row r="635">
      <c r="A635" s="28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39"/>
      <c r="AK635" s="139"/>
      <c r="AL635" s="139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39"/>
      <c r="BB635" s="139"/>
    </row>
    <row r="636">
      <c r="A636" s="28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39"/>
      <c r="AG636" s="139"/>
      <c r="AH636" s="139"/>
      <c r="AI636" s="139"/>
      <c r="AJ636" s="139"/>
      <c r="AK636" s="139"/>
      <c r="AL636" s="139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39"/>
      <c r="BB636" s="139"/>
    </row>
    <row r="637">
      <c r="A637" s="28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39"/>
      <c r="AK637" s="139"/>
      <c r="AL637" s="139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39"/>
      <c r="BB637" s="139"/>
    </row>
    <row r="638">
      <c r="A638" s="28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39"/>
      <c r="AD638" s="139"/>
      <c r="AE638" s="139"/>
      <c r="AF638" s="139"/>
      <c r="AG638" s="139"/>
      <c r="AH638" s="139"/>
      <c r="AI638" s="139"/>
      <c r="AJ638" s="139"/>
      <c r="AK638" s="139"/>
      <c r="AL638" s="139"/>
      <c r="AM638" s="139"/>
      <c r="AN638" s="139"/>
      <c r="AO638" s="139"/>
      <c r="AP638" s="139"/>
      <c r="AQ638" s="139"/>
      <c r="AR638" s="139"/>
      <c r="AS638" s="139"/>
      <c r="AT638" s="139"/>
      <c r="AU638" s="139"/>
      <c r="AV638" s="139"/>
      <c r="AW638" s="139"/>
      <c r="AX638" s="139"/>
      <c r="AY638" s="139"/>
      <c r="AZ638" s="139"/>
      <c r="BA638" s="139"/>
      <c r="BB638" s="139"/>
    </row>
    <row r="639">
      <c r="A639" s="28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39"/>
      <c r="AK639" s="139"/>
      <c r="AL639" s="139"/>
      <c r="AM639" s="139"/>
      <c r="AN639" s="139"/>
      <c r="AO639" s="139"/>
      <c r="AP639" s="139"/>
      <c r="AQ639" s="139"/>
      <c r="AR639" s="139"/>
      <c r="AS639" s="139"/>
      <c r="AT639" s="139"/>
      <c r="AU639" s="139"/>
      <c r="AV639" s="139"/>
      <c r="AW639" s="139"/>
      <c r="AX639" s="139"/>
      <c r="AY639" s="139"/>
      <c r="AZ639" s="139"/>
      <c r="BA639" s="139"/>
      <c r="BB639" s="139"/>
    </row>
    <row r="640">
      <c r="A640" s="28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39"/>
      <c r="AG640" s="139"/>
      <c r="AH640" s="139"/>
      <c r="AI640" s="139"/>
      <c r="AJ640" s="139"/>
      <c r="AK640" s="139"/>
      <c r="AL640" s="139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39"/>
      <c r="BB640" s="139"/>
    </row>
    <row r="641">
      <c r="A641" s="28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39"/>
      <c r="AK641" s="139"/>
      <c r="AL641" s="139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39"/>
      <c r="BB641" s="139"/>
    </row>
    <row r="642">
      <c r="A642" s="28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39"/>
      <c r="AD642" s="139"/>
      <c r="AE642" s="139"/>
      <c r="AF642" s="139"/>
      <c r="AG642" s="139"/>
      <c r="AH642" s="139"/>
      <c r="AI642" s="139"/>
      <c r="AJ642" s="139"/>
      <c r="AK642" s="139"/>
      <c r="AL642" s="139"/>
      <c r="AM642" s="139"/>
      <c r="AN642" s="139"/>
      <c r="AO642" s="139"/>
      <c r="AP642" s="139"/>
      <c r="AQ642" s="139"/>
      <c r="AR642" s="139"/>
      <c r="AS642" s="139"/>
      <c r="AT642" s="139"/>
      <c r="AU642" s="139"/>
      <c r="AV642" s="139"/>
      <c r="AW642" s="139"/>
      <c r="AX642" s="139"/>
      <c r="AY642" s="139"/>
      <c r="AZ642" s="139"/>
      <c r="BA642" s="139"/>
      <c r="BB642" s="139"/>
    </row>
    <row r="643">
      <c r="A643" s="28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39"/>
      <c r="AK643" s="139"/>
      <c r="AL643" s="139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39"/>
      <c r="BB643" s="139"/>
    </row>
    <row r="644">
      <c r="A644" s="28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39"/>
      <c r="AG644" s="139"/>
      <c r="AH644" s="139"/>
      <c r="AI644" s="139"/>
      <c r="AJ644" s="139"/>
      <c r="AK644" s="139"/>
      <c r="AL644" s="139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39"/>
      <c r="BB644" s="139"/>
    </row>
    <row r="645">
      <c r="A645" s="28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39"/>
      <c r="AK645" s="139"/>
      <c r="AL645" s="139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39"/>
      <c r="BB645" s="139"/>
    </row>
    <row r="646">
      <c r="A646" s="28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39"/>
      <c r="AG646" s="139"/>
      <c r="AH646" s="139"/>
      <c r="AI646" s="139"/>
      <c r="AJ646" s="139"/>
      <c r="AK646" s="139"/>
      <c r="AL646" s="139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39"/>
      <c r="BB646" s="139"/>
    </row>
    <row r="647">
      <c r="A647" s="28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39"/>
      <c r="AD647" s="139"/>
      <c r="AE647" s="139"/>
      <c r="AF647" s="139"/>
      <c r="AG647" s="139"/>
      <c r="AH647" s="139"/>
      <c r="AI647" s="139"/>
      <c r="AJ647" s="139"/>
      <c r="AK647" s="139"/>
      <c r="AL647" s="139"/>
      <c r="AM647" s="139"/>
      <c r="AN647" s="139"/>
      <c r="AO647" s="139"/>
      <c r="AP647" s="139"/>
      <c r="AQ647" s="139"/>
      <c r="AR647" s="139"/>
      <c r="AS647" s="139"/>
      <c r="AT647" s="139"/>
      <c r="AU647" s="139"/>
      <c r="AV647" s="139"/>
      <c r="AW647" s="139"/>
      <c r="AX647" s="139"/>
      <c r="AY647" s="139"/>
      <c r="AZ647" s="139"/>
      <c r="BA647" s="139"/>
      <c r="BB647" s="139"/>
    </row>
    <row r="648">
      <c r="A648" s="28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39"/>
      <c r="AG648" s="139"/>
      <c r="AH648" s="139"/>
      <c r="AI648" s="139"/>
      <c r="AJ648" s="139"/>
      <c r="AK648" s="139"/>
      <c r="AL648" s="139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39"/>
      <c r="BB648" s="139"/>
    </row>
    <row r="649">
      <c r="A649" s="28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39"/>
      <c r="AG649" s="139"/>
      <c r="AH649" s="139"/>
      <c r="AI649" s="139"/>
      <c r="AJ649" s="139"/>
      <c r="AK649" s="139"/>
      <c r="AL649" s="139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39"/>
      <c r="BB649" s="139"/>
    </row>
    <row r="650">
      <c r="A650" s="28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39"/>
      <c r="AG650" s="139"/>
      <c r="AH650" s="139"/>
      <c r="AI650" s="139"/>
      <c r="AJ650" s="139"/>
      <c r="AK650" s="139"/>
      <c r="AL650" s="139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39"/>
      <c r="BB650" s="139"/>
    </row>
    <row r="651">
      <c r="A651" s="28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39"/>
      <c r="AG651" s="139"/>
      <c r="AH651" s="139"/>
      <c r="AI651" s="139"/>
      <c r="AJ651" s="139"/>
      <c r="AK651" s="139"/>
      <c r="AL651" s="139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39"/>
      <c r="BB651" s="139"/>
    </row>
    <row r="652">
      <c r="A652" s="28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39"/>
      <c r="AG652" s="139"/>
      <c r="AH652" s="139"/>
      <c r="AI652" s="139"/>
      <c r="AJ652" s="139"/>
      <c r="AK652" s="139"/>
      <c r="AL652" s="139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39"/>
      <c r="BB652" s="139"/>
    </row>
    <row r="653">
      <c r="A653" s="28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39"/>
      <c r="AK653" s="139"/>
      <c r="AL653" s="139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39"/>
      <c r="BB653" s="139"/>
    </row>
    <row r="654">
      <c r="A654" s="28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39"/>
      <c r="AG654" s="139"/>
      <c r="AH654" s="139"/>
      <c r="AI654" s="139"/>
      <c r="AJ654" s="139"/>
      <c r="AK654" s="139"/>
      <c r="AL654" s="139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39"/>
      <c r="BB654" s="139"/>
    </row>
    <row r="655">
      <c r="A655" s="28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39"/>
      <c r="AK655" s="139"/>
      <c r="AL655" s="139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39"/>
      <c r="BB655" s="139"/>
    </row>
    <row r="656">
      <c r="A656" s="28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39"/>
      <c r="AG656" s="139"/>
      <c r="AH656" s="139"/>
      <c r="AI656" s="139"/>
      <c r="AJ656" s="139"/>
      <c r="AK656" s="139"/>
      <c r="AL656" s="139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39"/>
      <c r="BB656" s="139"/>
    </row>
    <row r="657">
      <c r="A657" s="28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39"/>
      <c r="AK657" s="139"/>
      <c r="AL657" s="139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39"/>
      <c r="BB657" s="139"/>
    </row>
    <row r="658">
      <c r="A658" s="28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39"/>
      <c r="AG658" s="139"/>
      <c r="AH658" s="139"/>
      <c r="AI658" s="139"/>
      <c r="AJ658" s="139"/>
      <c r="AK658" s="139"/>
      <c r="AL658" s="139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39"/>
      <c r="BB658" s="139"/>
    </row>
    <row r="659">
      <c r="A659" s="28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39"/>
      <c r="AG659" s="139"/>
      <c r="AH659" s="139"/>
      <c r="AI659" s="139"/>
      <c r="AJ659" s="139"/>
      <c r="AK659" s="139"/>
      <c r="AL659" s="139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39"/>
      <c r="BB659" s="139"/>
    </row>
    <row r="660">
      <c r="A660" s="28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39"/>
      <c r="AG660" s="139"/>
      <c r="AH660" s="139"/>
      <c r="AI660" s="139"/>
      <c r="AJ660" s="139"/>
      <c r="AK660" s="139"/>
      <c r="AL660" s="139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39"/>
      <c r="BB660" s="139"/>
    </row>
    <row r="661">
      <c r="A661" s="28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39"/>
      <c r="AG661" s="139"/>
      <c r="AH661" s="139"/>
      <c r="AI661" s="139"/>
      <c r="AJ661" s="139"/>
      <c r="AK661" s="139"/>
      <c r="AL661" s="139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39"/>
      <c r="BB661" s="139"/>
    </row>
    <row r="662">
      <c r="A662" s="28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39"/>
      <c r="AG662" s="139"/>
      <c r="AH662" s="139"/>
      <c r="AI662" s="139"/>
      <c r="AJ662" s="139"/>
      <c r="AK662" s="139"/>
      <c r="AL662" s="139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39"/>
      <c r="BB662" s="139"/>
    </row>
    <row r="663">
      <c r="A663" s="28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39"/>
      <c r="AK663" s="139"/>
      <c r="AL663" s="139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39"/>
      <c r="BB663" s="139"/>
    </row>
    <row r="664">
      <c r="A664" s="28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39"/>
      <c r="AG664" s="139"/>
      <c r="AH664" s="139"/>
      <c r="AI664" s="139"/>
      <c r="AJ664" s="139"/>
      <c r="AK664" s="139"/>
      <c r="AL664" s="139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39"/>
      <c r="BB664" s="139"/>
    </row>
    <row r="665">
      <c r="A665" s="28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39"/>
      <c r="AK665" s="139"/>
      <c r="AL665" s="139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39"/>
      <c r="BB665" s="139"/>
    </row>
    <row r="666">
      <c r="A666" s="28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  <c r="AE666" s="139"/>
      <c r="AF666" s="139"/>
      <c r="AG666" s="139"/>
      <c r="AH666" s="139"/>
      <c r="AI666" s="139"/>
      <c r="AJ666" s="139"/>
      <c r="AK666" s="139"/>
      <c r="AL666" s="139"/>
      <c r="AM666" s="139"/>
      <c r="AN666" s="139"/>
      <c r="AO666" s="139"/>
      <c r="AP666" s="139"/>
      <c r="AQ666" s="139"/>
      <c r="AR666" s="139"/>
      <c r="AS666" s="139"/>
      <c r="AT666" s="139"/>
      <c r="AU666" s="139"/>
      <c r="AV666" s="139"/>
      <c r="AW666" s="139"/>
      <c r="AX666" s="139"/>
      <c r="AY666" s="139"/>
      <c r="AZ666" s="139"/>
      <c r="BA666" s="139"/>
      <c r="BB666" s="139"/>
    </row>
    <row r="667">
      <c r="A667" s="28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39"/>
      <c r="AK667" s="139"/>
      <c r="AL667" s="139"/>
      <c r="AM667" s="139"/>
      <c r="AN667" s="139"/>
      <c r="AO667" s="139"/>
      <c r="AP667" s="139"/>
      <c r="AQ667" s="139"/>
      <c r="AR667" s="139"/>
      <c r="AS667" s="139"/>
      <c r="AT667" s="139"/>
      <c r="AU667" s="139"/>
      <c r="AV667" s="139"/>
      <c r="AW667" s="139"/>
      <c r="AX667" s="139"/>
      <c r="AY667" s="139"/>
      <c r="AZ667" s="139"/>
      <c r="BA667" s="139"/>
      <c r="BB667" s="139"/>
    </row>
    <row r="668">
      <c r="A668" s="28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  <c r="AE668" s="139"/>
      <c r="AF668" s="139"/>
      <c r="AG668" s="139"/>
      <c r="AH668" s="139"/>
      <c r="AI668" s="139"/>
      <c r="AJ668" s="139"/>
      <c r="AK668" s="139"/>
      <c r="AL668" s="139"/>
      <c r="AM668" s="139"/>
      <c r="AN668" s="139"/>
      <c r="AO668" s="139"/>
      <c r="AP668" s="139"/>
      <c r="AQ668" s="139"/>
      <c r="AR668" s="139"/>
      <c r="AS668" s="139"/>
      <c r="AT668" s="139"/>
      <c r="AU668" s="139"/>
      <c r="AV668" s="139"/>
      <c r="AW668" s="139"/>
      <c r="AX668" s="139"/>
      <c r="AY668" s="139"/>
      <c r="AZ668" s="139"/>
      <c r="BA668" s="139"/>
      <c r="BB668" s="139"/>
    </row>
    <row r="669">
      <c r="A669" s="28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39"/>
      <c r="AK669" s="139"/>
      <c r="AL669" s="139"/>
      <c r="AM669" s="139"/>
      <c r="AN669" s="139"/>
      <c r="AO669" s="139"/>
      <c r="AP669" s="139"/>
      <c r="AQ669" s="139"/>
      <c r="AR669" s="139"/>
      <c r="AS669" s="139"/>
      <c r="AT669" s="139"/>
      <c r="AU669" s="139"/>
      <c r="AV669" s="139"/>
      <c r="AW669" s="139"/>
      <c r="AX669" s="139"/>
      <c r="AY669" s="139"/>
      <c r="AZ669" s="139"/>
      <c r="BA669" s="139"/>
      <c r="BB669" s="139"/>
    </row>
    <row r="670">
      <c r="A670" s="28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  <c r="AE670" s="139"/>
      <c r="AF670" s="139"/>
      <c r="AG670" s="139"/>
      <c r="AH670" s="139"/>
      <c r="AI670" s="139"/>
      <c r="AJ670" s="139"/>
      <c r="AK670" s="139"/>
      <c r="AL670" s="139"/>
      <c r="AM670" s="139"/>
      <c r="AN670" s="139"/>
      <c r="AO670" s="139"/>
      <c r="AP670" s="139"/>
      <c r="AQ670" s="139"/>
      <c r="AR670" s="139"/>
      <c r="AS670" s="139"/>
      <c r="AT670" s="139"/>
      <c r="AU670" s="139"/>
      <c r="AV670" s="139"/>
      <c r="AW670" s="139"/>
      <c r="AX670" s="139"/>
      <c r="AY670" s="139"/>
      <c r="AZ670" s="139"/>
      <c r="BA670" s="139"/>
      <c r="BB670" s="139"/>
    </row>
    <row r="671">
      <c r="A671" s="28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  <c r="AE671" s="139"/>
      <c r="AF671" s="139"/>
      <c r="AG671" s="139"/>
      <c r="AH671" s="139"/>
      <c r="AI671" s="139"/>
      <c r="AJ671" s="139"/>
      <c r="AK671" s="139"/>
      <c r="AL671" s="139"/>
      <c r="AM671" s="139"/>
      <c r="AN671" s="139"/>
      <c r="AO671" s="139"/>
      <c r="AP671" s="139"/>
      <c r="AQ671" s="139"/>
      <c r="AR671" s="139"/>
      <c r="AS671" s="139"/>
      <c r="AT671" s="139"/>
      <c r="AU671" s="139"/>
      <c r="AV671" s="139"/>
      <c r="AW671" s="139"/>
      <c r="AX671" s="139"/>
      <c r="AY671" s="139"/>
      <c r="AZ671" s="139"/>
      <c r="BA671" s="139"/>
      <c r="BB671" s="139"/>
    </row>
    <row r="672">
      <c r="A672" s="28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  <c r="AE672" s="139"/>
      <c r="AF672" s="139"/>
      <c r="AG672" s="139"/>
      <c r="AH672" s="139"/>
      <c r="AI672" s="139"/>
      <c r="AJ672" s="139"/>
      <c r="AK672" s="139"/>
      <c r="AL672" s="139"/>
      <c r="AM672" s="139"/>
      <c r="AN672" s="139"/>
      <c r="AO672" s="139"/>
      <c r="AP672" s="139"/>
      <c r="AQ672" s="139"/>
      <c r="AR672" s="139"/>
      <c r="AS672" s="139"/>
      <c r="AT672" s="139"/>
      <c r="AU672" s="139"/>
      <c r="AV672" s="139"/>
      <c r="AW672" s="139"/>
      <c r="AX672" s="139"/>
      <c r="AY672" s="139"/>
      <c r="AZ672" s="139"/>
      <c r="BA672" s="139"/>
      <c r="BB672" s="139"/>
    </row>
    <row r="673">
      <c r="A673" s="28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39"/>
      <c r="AK673" s="139"/>
      <c r="AL673" s="139"/>
      <c r="AM673" s="139"/>
      <c r="AN673" s="139"/>
      <c r="AO673" s="139"/>
      <c r="AP673" s="139"/>
      <c r="AQ673" s="139"/>
      <c r="AR673" s="139"/>
      <c r="AS673" s="139"/>
      <c r="AT673" s="139"/>
      <c r="AU673" s="139"/>
      <c r="AV673" s="139"/>
      <c r="AW673" s="139"/>
      <c r="AX673" s="139"/>
      <c r="AY673" s="139"/>
      <c r="AZ673" s="139"/>
      <c r="BA673" s="139"/>
      <c r="BB673" s="139"/>
    </row>
    <row r="674">
      <c r="A674" s="28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  <c r="AE674" s="139"/>
      <c r="AF674" s="139"/>
      <c r="AG674" s="139"/>
      <c r="AH674" s="139"/>
      <c r="AI674" s="139"/>
      <c r="AJ674" s="139"/>
      <c r="AK674" s="139"/>
      <c r="AL674" s="139"/>
      <c r="AM674" s="139"/>
      <c r="AN674" s="139"/>
      <c r="AO674" s="139"/>
      <c r="AP674" s="139"/>
      <c r="AQ674" s="139"/>
      <c r="AR674" s="139"/>
      <c r="AS674" s="139"/>
      <c r="AT674" s="139"/>
      <c r="AU674" s="139"/>
      <c r="AV674" s="139"/>
      <c r="AW674" s="139"/>
      <c r="AX674" s="139"/>
      <c r="AY674" s="139"/>
      <c r="AZ674" s="139"/>
      <c r="BA674" s="139"/>
      <c r="BB674" s="139"/>
    </row>
    <row r="675">
      <c r="A675" s="28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39"/>
      <c r="AK675" s="139"/>
      <c r="AL675" s="139"/>
      <c r="AM675" s="139"/>
      <c r="AN675" s="139"/>
      <c r="AO675" s="139"/>
      <c r="AP675" s="139"/>
      <c r="AQ675" s="139"/>
      <c r="AR675" s="139"/>
      <c r="AS675" s="139"/>
      <c r="AT675" s="139"/>
      <c r="AU675" s="139"/>
      <c r="AV675" s="139"/>
      <c r="AW675" s="139"/>
      <c r="AX675" s="139"/>
      <c r="AY675" s="139"/>
      <c r="AZ675" s="139"/>
      <c r="BA675" s="139"/>
      <c r="BB675" s="139"/>
    </row>
    <row r="676">
      <c r="A676" s="28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  <c r="AE676" s="139"/>
      <c r="AF676" s="139"/>
      <c r="AG676" s="139"/>
      <c r="AH676" s="139"/>
      <c r="AI676" s="139"/>
      <c r="AJ676" s="139"/>
      <c r="AK676" s="139"/>
      <c r="AL676" s="139"/>
      <c r="AM676" s="139"/>
      <c r="AN676" s="139"/>
      <c r="AO676" s="139"/>
      <c r="AP676" s="139"/>
      <c r="AQ676" s="139"/>
      <c r="AR676" s="139"/>
      <c r="AS676" s="139"/>
      <c r="AT676" s="139"/>
      <c r="AU676" s="139"/>
      <c r="AV676" s="139"/>
      <c r="AW676" s="139"/>
      <c r="AX676" s="139"/>
      <c r="AY676" s="139"/>
      <c r="AZ676" s="139"/>
      <c r="BA676" s="139"/>
      <c r="BB676" s="139"/>
    </row>
    <row r="677">
      <c r="A677" s="28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39"/>
      <c r="AK677" s="139"/>
      <c r="AL677" s="139"/>
      <c r="AM677" s="139"/>
      <c r="AN677" s="139"/>
      <c r="AO677" s="139"/>
      <c r="AP677" s="139"/>
      <c r="AQ677" s="139"/>
      <c r="AR677" s="139"/>
      <c r="AS677" s="139"/>
      <c r="AT677" s="139"/>
      <c r="AU677" s="139"/>
      <c r="AV677" s="139"/>
      <c r="AW677" s="139"/>
      <c r="AX677" s="139"/>
      <c r="AY677" s="139"/>
      <c r="AZ677" s="139"/>
      <c r="BA677" s="139"/>
      <c r="BB677" s="139"/>
    </row>
    <row r="678">
      <c r="A678" s="28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  <c r="AE678" s="139"/>
      <c r="AF678" s="139"/>
      <c r="AG678" s="139"/>
      <c r="AH678" s="139"/>
      <c r="AI678" s="139"/>
      <c r="AJ678" s="139"/>
      <c r="AK678" s="139"/>
      <c r="AL678" s="139"/>
      <c r="AM678" s="139"/>
      <c r="AN678" s="139"/>
      <c r="AO678" s="139"/>
      <c r="AP678" s="139"/>
      <c r="AQ678" s="139"/>
      <c r="AR678" s="139"/>
      <c r="AS678" s="139"/>
      <c r="AT678" s="139"/>
      <c r="AU678" s="139"/>
      <c r="AV678" s="139"/>
      <c r="AW678" s="139"/>
      <c r="AX678" s="139"/>
      <c r="AY678" s="139"/>
      <c r="AZ678" s="139"/>
      <c r="BA678" s="139"/>
      <c r="BB678" s="139"/>
    </row>
    <row r="679">
      <c r="A679" s="28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39"/>
      <c r="AK679" s="139"/>
      <c r="AL679" s="139"/>
      <c r="AM679" s="139"/>
      <c r="AN679" s="139"/>
      <c r="AO679" s="139"/>
      <c r="AP679" s="139"/>
      <c r="AQ679" s="139"/>
      <c r="AR679" s="139"/>
      <c r="AS679" s="139"/>
      <c r="AT679" s="139"/>
      <c r="AU679" s="139"/>
      <c r="AV679" s="139"/>
      <c r="AW679" s="139"/>
      <c r="AX679" s="139"/>
      <c r="AY679" s="139"/>
      <c r="AZ679" s="139"/>
      <c r="BA679" s="139"/>
      <c r="BB679" s="139"/>
    </row>
    <row r="680">
      <c r="A680" s="28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  <c r="AE680" s="139"/>
      <c r="AF680" s="139"/>
      <c r="AG680" s="139"/>
      <c r="AH680" s="139"/>
      <c r="AI680" s="139"/>
      <c r="AJ680" s="139"/>
      <c r="AK680" s="139"/>
      <c r="AL680" s="139"/>
      <c r="AM680" s="139"/>
      <c r="AN680" s="139"/>
      <c r="AO680" s="139"/>
      <c r="AP680" s="139"/>
      <c r="AQ680" s="139"/>
      <c r="AR680" s="139"/>
      <c r="AS680" s="139"/>
      <c r="AT680" s="139"/>
      <c r="AU680" s="139"/>
      <c r="AV680" s="139"/>
      <c r="AW680" s="139"/>
      <c r="AX680" s="139"/>
      <c r="AY680" s="139"/>
      <c r="AZ680" s="139"/>
      <c r="BA680" s="139"/>
      <c r="BB680" s="139"/>
    </row>
    <row r="681">
      <c r="A681" s="28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  <c r="AE681" s="139"/>
      <c r="AF681" s="139"/>
      <c r="AG681" s="139"/>
      <c r="AH681" s="139"/>
      <c r="AI681" s="139"/>
      <c r="AJ681" s="139"/>
      <c r="AK681" s="139"/>
      <c r="AL681" s="139"/>
      <c r="AM681" s="139"/>
      <c r="AN681" s="139"/>
      <c r="AO681" s="139"/>
      <c r="AP681" s="139"/>
      <c r="AQ681" s="139"/>
      <c r="AR681" s="139"/>
      <c r="AS681" s="139"/>
      <c r="AT681" s="139"/>
      <c r="AU681" s="139"/>
      <c r="AV681" s="139"/>
      <c r="AW681" s="139"/>
      <c r="AX681" s="139"/>
      <c r="AY681" s="139"/>
      <c r="AZ681" s="139"/>
      <c r="BA681" s="139"/>
      <c r="BB681" s="139"/>
    </row>
    <row r="682">
      <c r="A682" s="28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  <c r="AE682" s="139"/>
      <c r="AF682" s="139"/>
      <c r="AG682" s="139"/>
      <c r="AH682" s="139"/>
      <c r="AI682" s="139"/>
      <c r="AJ682" s="139"/>
      <c r="AK682" s="139"/>
      <c r="AL682" s="139"/>
      <c r="AM682" s="139"/>
      <c r="AN682" s="139"/>
      <c r="AO682" s="139"/>
      <c r="AP682" s="139"/>
      <c r="AQ682" s="139"/>
      <c r="AR682" s="139"/>
      <c r="AS682" s="139"/>
      <c r="AT682" s="139"/>
      <c r="AU682" s="139"/>
      <c r="AV682" s="139"/>
      <c r="AW682" s="139"/>
      <c r="AX682" s="139"/>
      <c r="AY682" s="139"/>
      <c r="AZ682" s="139"/>
      <c r="BA682" s="139"/>
      <c r="BB682" s="139"/>
    </row>
    <row r="683">
      <c r="A683" s="28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39"/>
      <c r="AK683" s="139"/>
      <c r="AL683" s="139"/>
      <c r="AM683" s="139"/>
      <c r="AN683" s="139"/>
      <c r="AO683" s="139"/>
      <c r="AP683" s="139"/>
      <c r="AQ683" s="139"/>
      <c r="AR683" s="139"/>
      <c r="AS683" s="139"/>
      <c r="AT683" s="139"/>
      <c r="AU683" s="139"/>
      <c r="AV683" s="139"/>
      <c r="AW683" s="139"/>
      <c r="AX683" s="139"/>
      <c r="AY683" s="139"/>
      <c r="AZ683" s="139"/>
      <c r="BA683" s="139"/>
      <c r="BB683" s="139"/>
    </row>
    <row r="684">
      <c r="A684" s="28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  <c r="AE684" s="139"/>
      <c r="AF684" s="139"/>
      <c r="AG684" s="139"/>
      <c r="AH684" s="139"/>
      <c r="AI684" s="139"/>
      <c r="AJ684" s="139"/>
      <c r="AK684" s="139"/>
      <c r="AL684" s="139"/>
      <c r="AM684" s="139"/>
      <c r="AN684" s="139"/>
      <c r="AO684" s="139"/>
      <c r="AP684" s="139"/>
      <c r="AQ684" s="139"/>
      <c r="AR684" s="139"/>
      <c r="AS684" s="139"/>
      <c r="AT684" s="139"/>
      <c r="AU684" s="139"/>
      <c r="AV684" s="139"/>
      <c r="AW684" s="139"/>
      <c r="AX684" s="139"/>
      <c r="AY684" s="139"/>
      <c r="AZ684" s="139"/>
      <c r="BA684" s="139"/>
      <c r="BB684" s="139"/>
    </row>
    <row r="685">
      <c r="A685" s="28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  <c r="AE685" s="139"/>
      <c r="AF685" s="139"/>
      <c r="AG685" s="139"/>
      <c r="AH685" s="139"/>
      <c r="AI685" s="139"/>
      <c r="AJ685" s="139"/>
      <c r="AK685" s="139"/>
      <c r="AL685" s="139"/>
      <c r="AM685" s="139"/>
      <c r="AN685" s="139"/>
      <c r="AO685" s="139"/>
      <c r="AP685" s="139"/>
      <c r="AQ685" s="139"/>
      <c r="AR685" s="139"/>
      <c r="AS685" s="139"/>
      <c r="AT685" s="139"/>
      <c r="AU685" s="139"/>
      <c r="AV685" s="139"/>
      <c r="AW685" s="139"/>
      <c r="AX685" s="139"/>
      <c r="AY685" s="139"/>
      <c r="AZ685" s="139"/>
      <c r="BA685" s="139"/>
      <c r="BB685" s="139"/>
    </row>
    <row r="686">
      <c r="A686" s="28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39"/>
      <c r="AK686" s="139"/>
      <c r="AL686" s="139"/>
      <c r="AM686" s="139"/>
      <c r="AN686" s="139"/>
      <c r="AO686" s="139"/>
      <c r="AP686" s="139"/>
      <c r="AQ686" s="139"/>
      <c r="AR686" s="139"/>
      <c r="AS686" s="139"/>
      <c r="AT686" s="139"/>
      <c r="AU686" s="139"/>
      <c r="AV686" s="139"/>
      <c r="AW686" s="139"/>
      <c r="AX686" s="139"/>
      <c r="AY686" s="139"/>
      <c r="AZ686" s="139"/>
      <c r="BA686" s="139"/>
      <c r="BB686" s="139"/>
    </row>
    <row r="687">
      <c r="A687" s="28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  <c r="AE687" s="139"/>
      <c r="AF687" s="139"/>
      <c r="AG687" s="139"/>
      <c r="AH687" s="139"/>
      <c r="AI687" s="139"/>
      <c r="AJ687" s="139"/>
      <c r="AK687" s="139"/>
      <c r="AL687" s="139"/>
      <c r="AM687" s="139"/>
      <c r="AN687" s="139"/>
      <c r="AO687" s="139"/>
      <c r="AP687" s="139"/>
      <c r="AQ687" s="139"/>
      <c r="AR687" s="139"/>
      <c r="AS687" s="139"/>
      <c r="AT687" s="139"/>
      <c r="AU687" s="139"/>
      <c r="AV687" s="139"/>
      <c r="AW687" s="139"/>
      <c r="AX687" s="139"/>
      <c r="AY687" s="139"/>
      <c r="AZ687" s="139"/>
      <c r="BA687" s="139"/>
      <c r="BB687" s="139"/>
    </row>
    <row r="688">
      <c r="A688" s="28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39"/>
      <c r="AK688" s="139"/>
      <c r="AL688" s="139"/>
      <c r="AM688" s="139"/>
      <c r="AN688" s="139"/>
      <c r="AO688" s="139"/>
      <c r="AP688" s="139"/>
      <c r="AQ688" s="139"/>
      <c r="AR688" s="139"/>
      <c r="AS688" s="139"/>
      <c r="AT688" s="139"/>
      <c r="AU688" s="139"/>
      <c r="AV688" s="139"/>
      <c r="AW688" s="139"/>
      <c r="AX688" s="139"/>
      <c r="AY688" s="139"/>
      <c r="AZ688" s="139"/>
      <c r="BA688" s="139"/>
      <c r="BB688" s="139"/>
    </row>
    <row r="689">
      <c r="A689" s="28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  <c r="AE689" s="139"/>
      <c r="AF689" s="139"/>
      <c r="AG689" s="139"/>
      <c r="AH689" s="139"/>
      <c r="AI689" s="139"/>
      <c r="AJ689" s="139"/>
      <c r="AK689" s="139"/>
      <c r="AL689" s="139"/>
      <c r="AM689" s="139"/>
      <c r="AN689" s="139"/>
      <c r="AO689" s="139"/>
      <c r="AP689" s="139"/>
      <c r="AQ689" s="139"/>
      <c r="AR689" s="139"/>
      <c r="AS689" s="139"/>
      <c r="AT689" s="139"/>
      <c r="AU689" s="139"/>
      <c r="AV689" s="139"/>
      <c r="AW689" s="139"/>
      <c r="AX689" s="139"/>
      <c r="AY689" s="139"/>
      <c r="AZ689" s="139"/>
      <c r="BA689" s="139"/>
      <c r="BB689" s="139"/>
    </row>
    <row r="690">
      <c r="A690" s="28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39"/>
      <c r="AK690" s="139"/>
      <c r="AL690" s="139"/>
      <c r="AM690" s="139"/>
      <c r="AN690" s="139"/>
      <c r="AO690" s="139"/>
      <c r="AP690" s="139"/>
      <c r="AQ690" s="139"/>
      <c r="AR690" s="139"/>
      <c r="AS690" s="139"/>
      <c r="AT690" s="139"/>
      <c r="AU690" s="139"/>
      <c r="AV690" s="139"/>
      <c r="AW690" s="139"/>
      <c r="AX690" s="139"/>
      <c r="AY690" s="139"/>
      <c r="AZ690" s="139"/>
      <c r="BA690" s="139"/>
      <c r="BB690" s="139"/>
    </row>
    <row r="691">
      <c r="A691" s="28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39"/>
      <c r="AK691" s="139"/>
      <c r="AL691" s="139"/>
      <c r="AM691" s="139"/>
      <c r="AN691" s="139"/>
      <c r="AO691" s="139"/>
      <c r="AP691" s="139"/>
      <c r="AQ691" s="139"/>
      <c r="AR691" s="139"/>
      <c r="AS691" s="139"/>
      <c r="AT691" s="139"/>
      <c r="AU691" s="139"/>
      <c r="AV691" s="139"/>
      <c r="AW691" s="139"/>
      <c r="AX691" s="139"/>
      <c r="AY691" s="139"/>
      <c r="AZ691" s="139"/>
      <c r="BA691" s="139"/>
      <c r="BB691" s="139"/>
    </row>
    <row r="692">
      <c r="A692" s="28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39"/>
      <c r="AK692" s="139"/>
      <c r="AL692" s="139"/>
      <c r="AM692" s="139"/>
      <c r="AN692" s="139"/>
      <c r="AO692" s="139"/>
      <c r="AP692" s="139"/>
      <c r="AQ692" s="139"/>
      <c r="AR692" s="139"/>
      <c r="AS692" s="139"/>
      <c r="AT692" s="139"/>
      <c r="AU692" s="139"/>
      <c r="AV692" s="139"/>
      <c r="AW692" s="139"/>
      <c r="AX692" s="139"/>
      <c r="AY692" s="139"/>
      <c r="AZ692" s="139"/>
      <c r="BA692" s="139"/>
      <c r="BB692" s="139"/>
    </row>
    <row r="693">
      <c r="A693" s="28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  <c r="AE693" s="139"/>
      <c r="AF693" s="139"/>
      <c r="AG693" s="139"/>
      <c r="AH693" s="139"/>
      <c r="AI693" s="139"/>
      <c r="AJ693" s="139"/>
      <c r="AK693" s="139"/>
      <c r="AL693" s="139"/>
      <c r="AM693" s="139"/>
      <c r="AN693" s="139"/>
      <c r="AO693" s="139"/>
      <c r="AP693" s="139"/>
      <c r="AQ693" s="139"/>
      <c r="AR693" s="139"/>
      <c r="AS693" s="139"/>
      <c r="AT693" s="139"/>
      <c r="AU693" s="139"/>
      <c r="AV693" s="139"/>
      <c r="AW693" s="139"/>
      <c r="AX693" s="139"/>
      <c r="AY693" s="139"/>
      <c r="AZ693" s="139"/>
      <c r="BA693" s="139"/>
      <c r="BB693" s="139"/>
    </row>
    <row r="694">
      <c r="A694" s="28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39"/>
      <c r="AK694" s="139"/>
      <c r="AL694" s="139"/>
      <c r="AM694" s="139"/>
      <c r="AN694" s="139"/>
      <c r="AO694" s="139"/>
      <c r="AP694" s="139"/>
      <c r="AQ694" s="139"/>
      <c r="AR694" s="139"/>
      <c r="AS694" s="139"/>
      <c r="AT694" s="139"/>
      <c r="AU694" s="139"/>
      <c r="AV694" s="139"/>
      <c r="AW694" s="139"/>
      <c r="AX694" s="139"/>
      <c r="AY694" s="139"/>
      <c r="AZ694" s="139"/>
      <c r="BA694" s="139"/>
      <c r="BB694" s="139"/>
    </row>
    <row r="695">
      <c r="A695" s="28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  <c r="AE695" s="139"/>
      <c r="AF695" s="139"/>
      <c r="AG695" s="139"/>
      <c r="AH695" s="139"/>
      <c r="AI695" s="139"/>
      <c r="AJ695" s="139"/>
      <c r="AK695" s="139"/>
      <c r="AL695" s="139"/>
      <c r="AM695" s="139"/>
      <c r="AN695" s="139"/>
      <c r="AO695" s="139"/>
      <c r="AP695" s="139"/>
      <c r="AQ695" s="139"/>
      <c r="AR695" s="139"/>
      <c r="AS695" s="139"/>
      <c r="AT695" s="139"/>
      <c r="AU695" s="139"/>
      <c r="AV695" s="139"/>
      <c r="AW695" s="139"/>
      <c r="AX695" s="139"/>
      <c r="AY695" s="139"/>
      <c r="AZ695" s="139"/>
      <c r="BA695" s="139"/>
      <c r="BB695" s="139"/>
    </row>
    <row r="696">
      <c r="A696" s="28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  <c r="AE696" s="139"/>
      <c r="AF696" s="139"/>
      <c r="AG696" s="139"/>
      <c r="AH696" s="139"/>
      <c r="AI696" s="139"/>
      <c r="AJ696" s="139"/>
      <c r="AK696" s="139"/>
      <c r="AL696" s="139"/>
      <c r="AM696" s="139"/>
      <c r="AN696" s="139"/>
      <c r="AO696" s="139"/>
      <c r="AP696" s="139"/>
      <c r="AQ696" s="139"/>
      <c r="AR696" s="139"/>
      <c r="AS696" s="139"/>
      <c r="AT696" s="139"/>
      <c r="AU696" s="139"/>
      <c r="AV696" s="139"/>
      <c r="AW696" s="139"/>
      <c r="AX696" s="139"/>
      <c r="AY696" s="139"/>
      <c r="AZ696" s="139"/>
      <c r="BA696" s="139"/>
      <c r="BB696" s="139"/>
    </row>
    <row r="697">
      <c r="A697" s="28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39"/>
      <c r="AD697" s="139"/>
      <c r="AE697" s="139"/>
      <c r="AF697" s="139"/>
      <c r="AG697" s="139"/>
      <c r="AH697" s="139"/>
      <c r="AI697" s="139"/>
      <c r="AJ697" s="139"/>
      <c r="AK697" s="139"/>
      <c r="AL697" s="139"/>
      <c r="AM697" s="139"/>
      <c r="AN697" s="139"/>
      <c r="AO697" s="139"/>
      <c r="AP697" s="139"/>
      <c r="AQ697" s="139"/>
      <c r="AR697" s="139"/>
      <c r="AS697" s="139"/>
      <c r="AT697" s="139"/>
      <c r="AU697" s="139"/>
      <c r="AV697" s="139"/>
      <c r="AW697" s="139"/>
      <c r="AX697" s="139"/>
      <c r="AY697" s="139"/>
      <c r="AZ697" s="139"/>
      <c r="BA697" s="139"/>
      <c r="BB697" s="139"/>
    </row>
    <row r="698">
      <c r="A698" s="28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  <c r="AE698" s="139"/>
      <c r="AF698" s="139"/>
      <c r="AG698" s="139"/>
      <c r="AH698" s="139"/>
      <c r="AI698" s="139"/>
      <c r="AJ698" s="139"/>
      <c r="AK698" s="139"/>
      <c r="AL698" s="139"/>
      <c r="AM698" s="139"/>
      <c r="AN698" s="139"/>
      <c r="AO698" s="139"/>
      <c r="AP698" s="139"/>
      <c r="AQ698" s="139"/>
      <c r="AR698" s="139"/>
      <c r="AS698" s="139"/>
      <c r="AT698" s="139"/>
      <c r="AU698" s="139"/>
      <c r="AV698" s="139"/>
      <c r="AW698" s="139"/>
      <c r="AX698" s="139"/>
      <c r="AY698" s="139"/>
      <c r="AZ698" s="139"/>
      <c r="BA698" s="139"/>
      <c r="BB698" s="139"/>
    </row>
    <row r="699">
      <c r="A699" s="28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39"/>
      <c r="AD699" s="139"/>
      <c r="AE699" s="139"/>
      <c r="AF699" s="139"/>
      <c r="AG699" s="139"/>
      <c r="AH699" s="139"/>
      <c r="AI699" s="139"/>
      <c r="AJ699" s="139"/>
      <c r="AK699" s="139"/>
      <c r="AL699" s="139"/>
      <c r="AM699" s="139"/>
      <c r="AN699" s="139"/>
      <c r="AO699" s="139"/>
      <c r="AP699" s="139"/>
      <c r="AQ699" s="139"/>
      <c r="AR699" s="139"/>
      <c r="AS699" s="139"/>
      <c r="AT699" s="139"/>
      <c r="AU699" s="139"/>
      <c r="AV699" s="139"/>
      <c r="AW699" s="139"/>
      <c r="AX699" s="139"/>
      <c r="AY699" s="139"/>
      <c r="AZ699" s="139"/>
      <c r="BA699" s="139"/>
      <c r="BB699" s="139"/>
    </row>
    <row r="700">
      <c r="A700" s="28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  <c r="AE700" s="139"/>
      <c r="AF700" s="139"/>
      <c r="AG700" s="139"/>
      <c r="AH700" s="139"/>
      <c r="AI700" s="139"/>
      <c r="AJ700" s="139"/>
      <c r="AK700" s="139"/>
      <c r="AL700" s="139"/>
      <c r="AM700" s="139"/>
      <c r="AN700" s="139"/>
      <c r="AO700" s="139"/>
      <c r="AP700" s="139"/>
      <c r="AQ700" s="139"/>
      <c r="AR700" s="139"/>
      <c r="AS700" s="139"/>
      <c r="AT700" s="139"/>
      <c r="AU700" s="139"/>
      <c r="AV700" s="139"/>
      <c r="AW700" s="139"/>
      <c r="AX700" s="139"/>
      <c r="AY700" s="139"/>
      <c r="AZ700" s="139"/>
      <c r="BA700" s="139"/>
      <c r="BB700" s="139"/>
    </row>
    <row r="701">
      <c r="A701" s="28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39"/>
      <c r="AD701" s="139"/>
      <c r="AE701" s="139"/>
      <c r="AF701" s="139"/>
      <c r="AG701" s="139"/>
      <c r="AH701" s="139"/>
      <c r="AI701" s="139"/>
      <c r="AJ701" s="139"/>
      <c r="AK701" s="139"/>
      <c r="AL701" s="139"/>
      <c r="AM701" s="139"/>
      <c r="AN701" s="139"/>
      <c r="AO701" s="139"/>
      <c r="AP701" s="139"/>
      <c r="AQ701" s="139"/>
      <c r="AR701" s="139"/>
      <c r="AS701" s="139"/>
      <c r="AT701" s="139"/>
      <c r="AU701" s="139"/>
      <c r="AV701" s="139"/>
      <c r="AW701" s="139"/>
      <c r="AX701" s="139"/>
      <c r="AY701" s="139"/>
      <c r="AZ701" s="139"/>
      <c r="BA701" s="139"/>
      <c r="BB701" s="139"/>
    </row>
    <row r="702">
      <c r="A702" s="28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39"/>
      <c r="AD702" s="139"/>
      <c r="AE702" s="139"/>
      <c r="AF702" s="139"/>
      <c r="AG702" s="139"/>
      <c r="AH702" s="139"/>
      <c r="AI702" s="139"/>
      <c r="AJ702" s="139"/>
      <c r="AK702" s="139"/>
      <c r="AL702" s="139"/>
      <c r="AM702" s="139"/>
      <c r="AN702" s="139"/>
      <c r="AO702" s="139"/>
      <c r="AP702" s="139"/>
      <c r="AQ702" s="139"/>
      <c r="AR702" s="139"/>
      <c r="AS702" s="139"/>
      <c r="AT702" s="139"/>
      <c r="AU702" s="139"/>
      <c r="AV702" s="139"/>
      <c r="AW702" s="139"/>
      <c r="AX702" s="139"/>
      <c r="AY702" s="139"/>
      <c r="AZ702" s="139"/>
      <c r="BA702" s="139"/>
      <c r="BB702" s="139"/>
    </row>
    <row r="703">
      <c r="A703" s="28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39"/>
      <c r="AD703" s="139"/>
      <c r="AE703" s="139"/>
      <c r="AF703" s="139"/>
      <c r="AG703" s="139"/>
      <c r="AH703" s="139"/>
      <c r="AI703" s="139"/>
      <c r="AJ703" s="139"/>
      <c r="AK703" s="139"/>
      <c r="AL703" s="139"/>
      <c r="AM703" s="139"/>
      <c r="AN703" s="139"/>
      <c r="AO703" s="139"/>
      <c r="AP703" s="139"/>
      <c r="AQ703" s="139"/>
      <c r="AR703" s="139"/>
      <c r="AS703" s="139"/>
      <c r="AT703" s="139"/>
      <c r="AU703" s="139"/>
      <c r="AV703" s="139"/>
      <c r="AW703" s="139"/>
      <c r="AX703" s="139"/>
      <c r="AY703" s="139"/>
      <c r="AZ703" s="139"/>
      <c r="BA703" s="139"/>
      <c r="BB703" s="139"/>
    </row>
    <row r="704">
      <c r="A704" s="28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  <c r="AC704" s="139"/>
      <c r="AD704" s="139"/>
      <c r="AE704" s="139"/>
      <c r="AF704" s="139"/>
      <c r="AG704" s="139"/>
      <c r="AH704" s="139"/>
      <c r="AI704" s="139"/>
      <c r="AJ704" s="139"/>
      <c r="AK704" s="139"/>
      <c r="AL704" s="139"/>
      <c r="AM704" s="139"/>
      <c r="AN704" s="139"/>
      <c r="AO704" s="139"/>
      <c r="AP704" s="139"/>
      <c r="AQ704" s="139"/>
      <c r="AR704" s="139"/>
      <c r="AS704" s="139"/>
      <c r="AT704" s="139"/>
      <c r="AU704" s="139"/>
      <c r="AV704" s="139"/>
      <c r="AW704" s="139"/>
      <c r="AX704" s="139"/>
      <c r="AY704" s="139"/>
      <c r="AZ704" s="139"/>
      <c r="BA704" s="139"/>
      <c r="BB704" s="139"/>
    </row>
    <row r="705">
      <c r="A705" s="28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39"/>
      <c r="AK705" s="139"/>
      <c r="AL705" s="139"/>
      <c r="AM705" s="139"/>
      <c r="AN705" s="139"/>
      <c r="AO705" s="139"/>
      <c r="AP705" s="139"/>
      <c r="AQ705" s="139"/>
      <c r="AR705" s="139"/>
      <c r="AS705" s="139"/>
      <c r="AT705" s="139"/>
      <c r="AU705" s="139"/>
      <c r="AV705" s="139"/>
      <c r="AW705" s="139"/>
      <c r="AX705" s="139"/>
      <c r="AY705" s="139"/>
      <c r="AZ705" s="139"/>
      <c r="BA705" s="139"/>
      <c r="BB705" s="139"/>
    </row>
    <row r="706">
      <c r="A706" s="28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39"/>
      <c r="AD706" s="139"/>
      <c r="AE706" s="139"/>
      <c r="AF706" s="139"/>
      <c r="AG706" s="139"/>
      <c r="AH706" s="139"/>
      <c r="AI706" s="139"/>
      <c r="AJ706" s="139"/>
      <c r="AK706" s="139"/>
      <c r="AL706" s="139"/>
      <c r="AM706" s="139"/>
      <c r="AN706" s="139"/>
      <c r="AO706" s="139"/>
      <c r="AP706" s="139"/>
      <c r="AQ706" s="139"/>
      <c r="AR706" s="139"/>
      <c r="AS706" s="139"/>
      <c r="AT706" s="139"/>
      <c r="AU706" s="139"/>
      <c r="AV706" s="139"/>
      <c r="AW706" s="139"/>
      <c r="AX706" s="139"/>
      <c r="AY706" s="139"/>
      <c r="AZ706" s="139"/>
      <c r="BA706" s="139"/>
      <c r="BB706" s="139"/>
    </row>
    <row r="707">
      <c r="A707" s="28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39"/>
      <c r="AK707" s="139"/>
      <c r="AL707" s="139"/>
      <c r="AM707" s="139"/>
      <c r="AN707" s="139"/>
      <c r="AO707" s="139"/>
      <c r="AP707" s="139"/>
      <c r="AQ707" s="139"/>
      <c r="AR707" s="139"/>
      <c r="AS707" s="139"/>
      <c r="AT707" s="139"/>
      <c r="AU707" s="139"/>
      <c r="AV707" s="139"/>
      <c r="AW707" s="139"/>
      <c r="AX707" s="139"/>
      <c r="AY707" s="139"/>
      <c r="AZ707" s="139"/>
      <c r="BA707" s="139"/>
      <c r="BB707" s="139"/>
    </row>
    <row r="708">
      <c r="A708" s="28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  <c r="AC708" s="139"/>
      <c r="AD708" s="139"/>
      <c r="AE708" s="139"/>
      <c r="AF708" s="139"/>
      <c r="AG708" s="139"/>
      <c r="AH708" s="139"/>
      <c r="AI708" s="139"/>
      <c r="AJ708" s="139"/>
      <c r="AK708" s="139"/>
      <c r="AL708" s="139"/>
      <c r="AM708" s="139"/>
      <c r="AN708" s="139"/>
      <c r="AO708" s="139"/>
      <c r="AP708" s="139"/>
      <c r="AQ708" s="139"/>
      <c r="AR708" s="139"/>
      <c r="AS708" s="139"/>
      <c r="AT708" s="139"/>
      <c r="AU708" s="139"/>
      <c r="AV708" s="139"/>
      <c r="AW708" s="139"/>
      <c r="AX708" s="139"/>
      <c r="AY708" s="139"/>
      <c r="AZ708" s="139"/>
      <c r="BA708" s="139"/>
      <c r="BB708" s="139"/>
    </row>
    <row r="709">
      <c r="A709" s="28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39"/>
      <c r="AD709" s="139"/>
      <c r="AE709" s="139"/>
      <c r="AF709" s="139"/>
      <c r="AG709" s="139"/>
      <c r="AH709" s="139"/>
      <c r="AI709" s="139"/>
      <c r="AJ709" s="139"/>
      <c r="AK709" s="139"/>
      <c r="AL709" s="139"/>
      <c r="AM709" s="139"/>
      <c r="AN709" s="139"/>
      <c r="AO709" s="139"/>
      <c r="AP709" s="139"/>
      <c r="AQ709" s="139"/>
      <c r="AR709" s="139"/>
      <c r="AS709" s="139"/>
      <c r="AT709" s="139"/>
      <c r="AU709" s="139"/>
      <c r="AV709" s="139"/>
      <c r="AW709" s="139"/>
      <c r="AX709" s="139"/>
      <c r="AY709" s="139"/>
      <c r="AZ709" s="139"/>
      <c r="BA709" s="139"/>
      <c r="BB709" s="139"/>
    </row>
    <row r="710">
      <c r="A710" s="28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  <c r="AC710" s="139"/>
      <c r="AD710" s="139"/>
      <c r="AE710" s="139"/>
      <c r="AF710" s="139"/>
      <c r="AG710" s="139"/>
      <c r="AH710" s="139"/>
      <c r="AI710" s="139"/>
      <c r="AJ710" s="139"/>
      <c r="AK710" s="139"/>
      <c r="AL710" s="139"/>
      <c r="AM710" s="139"/>
      <c r="AN710" s="139"/>
      <c r="AO710" s="139"/>
      <c r="AP710" s="139"/>
      <c r="AQ710" s="139"/>
      <c r="AR710" s="139"/>
      <c r="AS710" s="139"/>
      <c r="AT710" s="139"/>
      <c r="AU710" s="139"/>
      <c r="AV710" s="139"/>
      <c r="AW710" s="139"/>
      <c r="AX710" s="139"/>
      <c r="AY710" s="139"/>
      <c r="AZ710" s="139"/>
      <c r="BA710" s="139"/>
      <c r="BB710" s="139"/>
    </row>
    <row r="711">
      <c r="A711" s="28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39"/>
      <c r="AD711" s="139"/>
      <c r="AE711" s="139"/>
      <c r="AF711" s="139"/>
      <c r="AG711" s="139"/>
      <c r="AH711" s="139"/>
      <c r="AI711" s="139"/>
      <c r="AJ711" s="139"/>
      <c r="AK711" s="139"/>
      <c r="AL711" s="139"/>
      <c r="AM711" s="139"/>
      <c r="AN711" s="139"/>
      <c r="AO711" s="139"/>
      <c r="AP711" s="139"/>
      <c r="AQ711" s="139"/>
      <c r="AR711" s="139"/>
      <c r="AS711" s="139"/>
      <c r="AT711" s="139"/>
      <c r="AU711" s="139"/>
      <c r="AV711" s="139"/>
      <c r="AW711" s="139"/>
      <c r="AX711" s="139"/>
      <c r="AY711" s="139"/>
      <c r="AZ711" s="139"/>
      <c r="BA711" s="139"/>
      <c r="BB711" s="139"/>
    </row>
    <row r="712">
      <c r="A712" s="28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  <c r="AC712" s="139"/>
      <c r="AD712" s="139"/>
      <c r="AE712" s="139"/>
      <c r="AF712" s="139"/>
      <c r="AG712" s="139"/>
      <c r="AH712" s="139"/>
      <c r="AI712" s="139"/>
      <c r="AJ712" s="139"/>
      <c r="AK712" s="139"/>
      <c r="AL712" s="139"/>
      <c r="AM712" s="139"/>
      <c r="AN712" s="139"/>
      <c r="AO712" s="139"/>
      <c r="AP712" s="139"/>
      <c r="AQ712" s="139"/>
      <c r="AR712" s="139"/>
      <c r="AS712" s="139"/>
      <c r="AT712" s="139"/>
      <c r="AU712" s="139"/>
      <c r="AV712" s="139"/>
      <c r="AW712" s="139"/>
      <c r="AX712" s="139"/>
      <c r="AY712" s="139"/>
      <c r="AZ712" s="139"/>
      <c r="BA712" s="139"/>
      <c r="BB712" s="139"/>
    </row>
    <row r="713">
      <c r="A713" s="28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9"/>
      <c r="AM713" s="139"/>
      <c r="AN713" s="139"/>
      <c r="AO713" s="139"/>
      <c r="AP713" s="139"/>
      <c r="AQ713" s="139"/>
      <c r="AR713" s="139"/>
      <c r="AS713" s="139"/>
      <c r="AT713" s="139"/>
      <c r="AU713" s="139"/>
      <c r="AV713" s="139"/>
      <c r="AW713" s="139"/>
      <c r="AX713" s="139"/>
      <c r="AY713" s="139"/>
      <c r="AZ713" s="139"/>
      <c r="BA713" s="139"/>
      <c r="BB713" s="139"/>
    </row>
    <row r="714">
      <c r="A714" s="28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  <c r="AC714" s="139"/>
      <c r="AD714" s="139"/>
      <c r="AE714" s="139"/>
      <c r="AF714" s="139"/>
      <c r="AG714" s="139"/>
      <c r="AH714" s="139"/>
      <c r="AI714" s="139"/>
      <c r="AJ714" s="139"/>
      <c r="AK714" s="139"/>
      <c r="AL714" s="139"/>
      <c r="AM714" s="139"/>
      <c r="AN714" s="139"/>
      <c r="AO714" s="139"/>
      <c r="AP714" s="139"/>
      <c r="AQ714" s="139"/>
      <c r="AR714" s="139"/>
      <c r="AS714" s="139"/>
      <c r="AT714" s="139"/>
      <c r="AU714" s="139"/>
      <c r="AV714" s="139"/>
      <c r="AW714" s="139"/>
      <c r="AX714" s="139"/>
      <c r="AY714" s="139"/>
      <c r="AZ714" s="139"/>
      <c r="BA714" s="139"/>
      <c r="BB714" s="139"/>
    </row>
    <row r="715">
      <c r="A715" s="28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39"/>
      <c r="AD715" s="139"/>
      <c r="AE715" s="139"/>
      <c r="AF715" s="139"/>
      <c r="AG715" s="139"/>
      <c r="AH715" s="139"/>
      <c r="AI715" s="139"/>
      <c r="AJ715" s="139"/>
      <c r="AK715" s="139"/>
      <c r="AL715" s="139"/>
      <c r="AM715" s="139"/>
      <c r="AN715" s="139"/>
      <c r="AO715" s="139"/>
      <c r="AP715" s="139"/>
      <c r="AQ715" s="139"/>
      <c r="AR715" s="139"/>
      <c r="AS715" s="139"/>
      <c r="AT715" s="139"/>
      <c r="AU715" s="139"/>
      <c r="AV715" s="139"/>
      <c r="AW715" s="139"/>
      <c r="AX715" s="139"/>
      <c r="AY715" s="139"/>
      <c r="AZ715" s="139"/>
      <c r="BA715" s="139"/>
      <c r="BB715" s="139"/>
    </row>
    <row r="716">
      <c r="A716" s="28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39"/>
      <c r="AD716" s="139"/>
      <c r="AE716" s="139"/>
      <c r="AF716" s="139"/>
      <c r="AG716" s="139"/>
      <c r="AH716" s="139"/>
      <c r="AI716" s="139"/>
      <c r="AJ716" s="139"/>
      <c r="AK716" s="139"/>
      <c r="AL716" s="139"/>
      <c r="AM716" s="139"/>
      <c r="AN716" s="139"/>
      <c r="AO716" s="139"/>
      <c r="AP716" s="139"/>
      <c r="AQ716" s="139"/>
      <c r="AR716" s="139"/>
      <c r="AS716" s="139"/>
      <c r="AT716" s="139"/>
      <c r="AU716" s="139"/>
      <c r="AV716" s="139"/>
      <c r="AW716" s="139"/>
      <c r="AX716" s="139"/>
      <c r="AY716" s="139"/>
      <c r="AZ716" s="139"/>
      <c r="BA716" s="139"/>
      <c r="BB716" s="139"/>
    </row>
    <row r="717">
      <c r="A717" s="28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39"/>
      <c r="AK717" s="139"/>
      <c r="AL717" s="139"/>
      <c r="AM717" s="139"/>
      <c r="AN717" s="139"/>
      <c r="AO717" s="139"/>
      <c r="AP717" s="139"/>
      <c r="AQ717" s="139"/>
      <c r="AR717" s="139"/>
      <c r="AS717" s="139"/>
      <c r="AT717" s="139"/>
      <c r="AU717" s="139"/>
      <c r="AV717" s="139"/>
      <c r="AW717" s="139"/>
      <c r="AX717" s="139"/>
      <c r="AY717" s="139"/>
      <c r="AZ717" s="139"/>
      <c r="BA717" s="139"/>
      <c r="BB717" s="139"/>
    </row>
    <row r="718">
      <c r="A718" s="28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39"/>
      <c r="AD718" s="139"/>
      <c r="AE718" s="139"/>
      <c r="AF718" s="139"/>
      <c r="AG718" s="139"/>
      <c r="AH718" s="139"/>
      <c r="AI718" s="139"/>
      <c r="AJ718" s="139"/>
      <c r="AK718" s="139"/>
      <c r="AL718" s="139"/>
      <c r="AM718" s="139"/>
      <c r="AN718" s="139"/>
      <c r="AO718" s="139"/>
      <c r="AP718" s="139"/>
      <c r="AQ718" s="139"/>
      <c r="AR718" s="139"/>
      <c r="AS718" s="139"/>
      <c r="AT718" s="139"/>
      <c r="AU718" s="139"/>
      <c r="AV718" s="139"/>
      <c r="AW718" s="139"/>
      <c r="AX718" s="139"/>
      <c r="AY718" s="139"/>
      <c r="AZ718" s="139"/>
      <c r="BA718" s="139"/>
      <c r="BB718" s="139"/>
    </row>
    <row r="719">
      <c r="A719" s="28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39"/>
      <c r="AK719" s="139"/>
      <c r="AL719" s="139"/>
      <c r="AM719" s="139"/>
      <c r="AN719" s="139"/>
      <c r="AO719" s="139"/>
      <c r="AP719" s="139"/>
      <c r="AQ719" s="139"/>
      <c r="AR719" s="139"/>
      <c r="AS719" s="139"/>
      <c r="AT719" s="139"/>
      <c r="AU719" s="139"/>
      <c r="AV719" s="139"/>
      <c r="AW719" s="139"/>
      <c r="AX719" s="139"/>
      <c r="AY719" s="139"/>
      <c r="AZ719" s="139"/>
      <c r="BA719" s="139"/>
      <c r="BB719" s="139"/>
    </row>
    <row r="720">
      <c r="A720" s="28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39"/>
      <c r="AD720" s="139"/>
      <c r="AE720" s="139"/>
      <c r="AF720" s="139"/>
      <c r="AG720" s="139"/>
      <c r="AH720" s="139"/>
      <c r="AI720" s="139"/>
      <c r="AJ720" s="139"/>
      <c r="AK720" s="139"/>
      <c r="AL720" s="139"/>
      <c r="AM720" s="139"/>
      <c r="AN720" s="139"/>
      <c r="AO720" s="139"/>
      <c r="AP720" s="139"/>
      <c r="AQ720" s="139"/>
      <c r="AR720" s="139"/>
      <c r="AS720" s="139"/>
      <c r="AT720" s="139"/>
      <c r="AU720" s="139"/>
      <c r="AV720" s="139"/>
      <c r="AW720" s="139"/>
      <c r="AX720" s="139"/>
      <c r="AY720" s="139"/>
      <c r="AZ720" s="139"/>
      <c r="BA720" s="139"/>
      <c r="BB720" s="139"/>
    </row>
    <row r="721">
      <c r="A721" s="28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39"/>
      <c r="AK721" s="139"/>
      <c r="AL721" s="139"/>
      <c r="AM721" s="139"/>
      <c r="AN721" s="139"/>
      <c r="AO721" s="139"/>
      <c r="AP721" s="139"/>
      <c r="AQ721" s="139"/>
      <c r="AR721" s="139"/>
      <c r="AS721" s="139"/>
      <c r="AT721" s="139"/>
      <c r="AU721" s="139"/>
      <c r="AV721" s="139"/>
      <c r="AW721" s="139"/>
      <c r="AX721" s="139"/>
      <c r="AY721" s="139"/>
      <c r="AZ721" s="139"/>
      <c r="BA721" s="139"/>
      <c r="BB721" s="139"/>
    </row>
    <row r="722">
      <c r="A722" s="28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39"/>
      <c r="AK722" s="139"/>
      <c r="AL722" s="139"/>
      <c r="AM722" s="139"/>
      <c r="AN722" s="139"/>
      <c r="AO722" s="139"/>
      <c r="AP722" s="139"/>
      <c r="AQ722" s="139"/>
      <c r="AR722" s="139"/>
      <c r="AS722" s="139"/>
      <c r="AT722" s="139"/>
      <c r="AU722" s="139"/>
      <c r="AV722" s="139"/>
      <c r="AW722" s="139"/>
      <c r="AX722" s="139"/>
      <c r="AY722" s="139"/>
      <c r="AZ722" s="139"/>
      <c r="BA722" s="139"/>
      <c r="BB722" s="139"/>
    </row>
    <row r="723">
      <c r="A723" s="28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39"/>
      <c r="AK723" s="139"/>
      <c r="AL723" s="139"/>
      <c r="AM723" s="139"/>
      <c r="AN723" s="139"/>
      <c r="AO723" s="139"/>
      <c r="AP723" s="139"/>
      <c r="AQ723" s="139"/>
      <c r="AR723" s="139"/>
      <c r="AS723" s="139"/>
      <c r="AT723" s="139"/>
      <c r="AU723" s="139"/>
      <c r="AV723" s="139"/>
      <c r="AW723" s="139"/>
      <c r="AX723" s="139"/>
      <c r="AY723" s="139"/>
      <c r="AZ723" s="139"/>
      <c r="BA723" s="139"/>
      <c r="BB723" s="139"/>
    </row>
    <row r="724">
      <c r="A724" s="28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39"/>
      <c r="AD724" s="139"/>
      <c r="AE724" s="139"/>
      <c r="AF724" s="139"/>
      <c r="AG724" s="139"/>
      <c r="AH724" s="139"/>
      <c r="AI724" s="139"/>
      <c r="AJ724" s="139"/>
      <c r="AK724" s="139"/>
      <c r="AL724" s="139"/>
      <c r="AM724" s="139"/>
      <c r="AN724" s="139"/>
      <c r="AO724" s="139"/>
      <c r="AP724" s="139"/>
      <c r="AQ724" s="139"/>
      <c r="AR724" s="139"/>
      <c r="AS724" s="139"/>
      <c r="AT724" s="139"/>
      <c r="AU724" s="139"/>
      <c r="AV724" s="139"/>
      <c r="AW724" s="139"/>
      <c r="AX724" s="139"/>
      <c r="AY724" s="139"/>
      <c r="AZ724" s="139"/>
      <c r="BA724" s="139"/>
      <c r="BB724" s="139"/>
    </row>
    <row r="725">
      <c r="A725" s="28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39"/>
      <c r="AK725" s="139"/>
      <c r="AL725" s="139"/>
      <c r="AM725" s="139"/>
      <c r="AN725" s="139"/>
      <c r="AO725" s="139"/>
      <c r="AP725" s="139"/>
      <c r="AQ725" s="139"/>
      <c r="AR725" s="139"/>
      <c r="AS725" s="139"/>
      <c r="AT725" s="139"/>
      <c r="AU725" s="139"/>
      <c r="AV725" s="139"/>
      <c r="AW725" s="139"/>
      <c r="AX725" s="139"/>
      <c r="AY725" s="139"/>
      <c r="AZ725" s="139"/>
      <c r="BA725" s="139"/>
      <c r="BB725" s="139"/>
    </row>
    <row r="726">
      <c r="A726" s="28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39"/>
      <c r="AD726" s="139"/>
      <c r="AE726" s="139"/>
      <c r="AF726" s="139"/>
      <c r="AG726" s="139"/>
      <c r="AH726" s="139"/>
      <c r="AI726" s="139"/>
      <c r="AJ726" s="139"/>
      <c r="AK726" s="139"/>
      <c r="AL726" s="139"/>
      <c r="AM726" s="139"/>
      <c r="AN726" s="139"/>
      <c r="AO726" s="139"/>
      <c r="AP726" s="139"/>
      <c r="AQ726" s="139"/>
      <c r="AR726" s="139"/>
      <c r="AS726" s="139"/>
      <c r="AT726" s="139"/>
      <c r="AU726" s="139"/>
      <c r="AV726" s="139"/>
      <c r="AW726" s="139"/>
      <c r="AX726" s="139"/>
      <c r="AY726" s="139"/>
      <c r="AZ726" s="139"/>
      <c r="BA726" s="139"/>
      <c r="BB726" s="139"/>
    </row>
    <row r="727">
      <c r="A727" s="28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/>
      <c r="AE727" s="139"/>
      <c r="AF727" s="139"/>
      <c r="AG727" s="139"/>
      <c r="AH727" s="139"/>
      <c r="AI727" s="139"/>
      <c r="AJ727" s="139"/>
      <c r="AK727" s="139"/>
      <c r="AL727" s="139"/>
      <c r="AM727" s="139"/>
      <c r="AN727" s="139"/>
      <c r="AO727" s="139"/>
      <c r="AP727" s="139"/>
      <c r="AQ727" s="139"/>
      <c r="AR727" s="139"/>
      <c r="AS727" s="139"/>
      <c r="AT727" s="139"/>
      <c r="AU727" s="139"/>
      <c r="AV727" s="139"/>
      <c r="AW727" s="139"/>
      <c r="AX727" s="139"/>
      <c r="AY727" s="139"/>
      <c r="AZ727" s="139"/>
      <c r="BA727" s="139"/>
      <c r="BB727" s="139"/>
    </row>
    <row r="728">
      <c r="A728" s="28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39"/>
      <c r="AD728" s="139"/>
      <c r="AE728" s="139"/>
      <c r="AF728" s="139"/>
      <c r="AG728" s="139"/>
      <c r="AH728" s="139"/>
      <c r="AI728" s="139"/>
      <c r="AJ728" s="139"/>
      <c r="AK728" s="139"/>
      <c r="AL728" s="139"/>
      <c r="AM728" s="139"/>
      <c r="AN728" s="139"/>
      <c r="AO728" s="139"/>
      <c r="AP728" s="139"/>
      <c r="AQ728" s="139"/>
      <c r="AR728" s="139"/>
      <c r="AS728" s="139"/>
      <c r="AT728" s="139"/>
      <c r="AU728" s="139"/>
      <c r="AV728" s="139"/>
      <c r="AW728" s="139"/>
      <c r="AX728" s="139"/>
      <c r="AY728" s="139"/>
      <c r="AZ728" s="139"/>
      <c r="BA728" s="139"/>
      <c r="BB728" s="139"/>
    </row>
    <row r="729">
      <c r="A729" s="28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39"/>
      <c r="AK729" s="139"/>
      <c r="AL729" s="139"/>
      <c r="AM729" s="139"/>
      <c r="AN729" s="139"/>
      <c r="AO729" s="139"/>
      <c r="AP729" s="139"/>
      <c r="AQ729" s="139"/>
      <c r="AR729" s="139"/>
      <c r="AS729" s="139"/>
      <c r="AT729" s="139"/>
      <c r="AU729" s="139"/>
      <c r="AV729" s="139"/>
      <c r="AW729" s="139"/>
      <c r="AX729" s="139"/>
      <c r="AY729" s="139"/>
      <c r="AZ729" s="139"/>
      <c r="BA729" s="139"/>
      <c r="BB729" s="139"/>
    </row>
    <row r="730">
      <c r="A730" s="28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39"/>
      <c r="AD730" s="139"/>
      <c r="AE730" s="139"/>
      <c r="AF730" s="139"/>
      <c r="AG730" s="139"/>
      <c r="AH730" s="139"/>
      <c r="AI730" s="139"/>
      <c r="AJ730" s="139"/>
      <c r="AK730" s="139"/>
      <c r="AL730" s="139"/>
      <c r="AM730" s="139"/>
      <c r="AN730" s="139"/>
      <c r="AO730" s="139"/>
      <c r="AP730" s="139"/>
      <c r="AQ730" s="139"/>
      <c r="AR730" s="139"/>
      <c r="AS730" s="139"/>
      <c r="AT730" s="139"/>
      <c r="AU730" s="139"/>
      <c r="AV730" s="139"/>
      <c r="AW730" s="139"/>
      <c r="AX730" s="139"/>
      <c r="AY730" s="139"/>
      <c r="AZ730" s="139"/>
      <c r="BA730" s="139"/>
      <c r="BB730" s="139"/>
    </row>
    <row r="731">
      <c r="A731" s="28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/>
      <c r="AD731" s="139"/>
      <c r="AE731" s="139"/>
      <c r="AF731" s="139"/>
      <c r="AG731" s="139"/>
      <c r="AH731" s="139"/>
      <c r="AI731" s="139"/>
      <c r="AJ731" s="139"/>
      <c r="AK731" s="139"/>
      <c r="AL731" s="139"/>
      <c r="AM731" s="139"/>
      <c r="AN731" s="139"/>
      <c r="AO731" s="139"/>
      <c r="AP731" s="139"/>
      <c r="AQ731" s="139"/>
      <c r="AR731" s="139"/>
      <c r="AS731" s="139"/>
      <c r="AT731" s="139"/>
      <c r="AU731" s="139"/>
      <c r="AV731" s="139"/>
      <c r="AW731" s="139"/>
      <c r="AX731" s="139"/>
      <c r="AY731" s="139"/>
      <c r="AZ731" s="139"/>
      <c r="BA731" s="139"/>
      <c r="BB731" s="139"/>
    </row>
    <row r="732">
      <c r="A732" s="28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39"/>
      <c r="AD732" s="139"/>
      <c r="AE732" s="139"/>
      <c r="AF732" s="139"/>
      <c r="AG732" s="139"/>
      <c r="AH732" s="139"/>
      <c r="AI732" s="139"/>
      <c r="AJ732" s="139"/>
      <c r="AK732" s="139"/>
      <c r="AL732" s="139"/>
      <c r="AM732" s="139"/>
      <c r="AN732" s="139"/>
      <c r="AO732" s="139"/>
      <c r="AP732" s="139"/>
      <c r="AQ732" s="139"/>
      <c r="AR732" s="139"/>
      <c r="AS732" s="139"/>
      <c r="AT732" s="139"/>
      <c r="AU732" s="139"/>
      <c r="AV732" s="139"/>
      <c r="AW732" s="139"/>
      <c r="AX732" s="139"/>
      <c r="AY732" s="139"/>
      <c r="AZ732" s="139"/>
      <c r="BA732" s="139"/>
      <c r="BB732" s="139"/>
    </row>
    <row r="733">
      <c r="A733" s="28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39"/>
      <c r="AK733" s="139"/>
      <c r="AL733" s="139"/>
      <c r="AM733" s="139"/>
      <c r="AN733" s="139"/>
      <c r="AO733" s="139"/>
      <c r="AP733" s="139"/>
      <c r="AQ733" s="139"/>
      <c r="AR733" s="139"/>
      <c r="AS733" s="139"/>
      <c r="AT733" s="139"/>
      <c r="AU733" s="139"/>
      <c r="AV733" s="139"/>
      <c r="AW733" s="139"/>
      <c r="AX733" s="139"/>
      <c r="AY733" s="139"/>
      <c r="AZ733" s="139"/>
      <c r="BA733" s="139"/>
      <c r="BB733" s="139"/>
    </row>
    <row r="734">
      <c r="A734" s="28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39"/>
      <c r="AD734" s="139"/>
      <c r="AE734" s="139"/>
      <c r="AF734" s="139"/>
      <c r="AG734" s="139"/>
      <c r="AH734" s="139"/>
      <c r="AI734" s="139"/>
      <c r="AJ734" s="139"/>
      <c r="AK734" s="139"/>
      <c r="AL734" s="139"/>
      <c r="AM734" s="139"/>
      <c r="AN734" s="139"/>
      <c r="AO734" s="139"/>
      <c r="AP734" s="139"/>
      <c r="AQ734" s="139"/>
      <c r="AR734" s="139"/>
      <c r="AS734" s="139"/>
      <c r="AT734" s="139"/>
      <c r="AU734" s="139"/>
      <c r="AV734" s="139"/>
      <c r="AW734" s="139"/>
      <c r="AX734" s="139"/>
      <c r="AY734" s="139"/>
      <c r="AZ734" s="139"/>
      <c r="BA734" s="139"/>
      <c r="BB734" s="139"/>
    </row>
    <row r="735">
      <c r="A735" s="28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39"/>
      <c r="AK735" s="139"/>
      <c r="AL735" s="139"/>
      <c r="AM735" s="139"/>
      <c r="AN735" s="139"/>
      <c r="AO735" s="139"/>
      <c r="AP735" s="139"/>
      <c r="AQ735" s="139"/>
      <c r="AR735" s="139"/>
      <c r="AS735" s="139"/>
      <c r="AT735" s="139"/>
      <c r="AU735" s="139"/>
      <c r="AV735" s="139"/>
      <c r="AW735" s="139"/>
      <c r="AX735" s="139"/>
      <c r="AY735" s="139"/>
      <c r="AZ735" s="139"/>
      <c r="BA735" s="139"/>
      <c r="BB735" s="139"/>
    </row>
    <row r="736">
      <c r="A736" s="28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39"/>
      <c r="AD736" s="139"/>
      <c r="AE736" s="139"/>
      <c r="AF736" s="139"/>
      <c r="AG736" s="139"/>
      <c r="AH736" s="139"/>
      <c r="AI736" s="139"/>
      <c r="AJ736" s="139"/>
      <c r="AK736" s="139"/>
      <c r="AL736" s="139"/>
      <c r="AM736" s="139"/>
      <c r="AN736" s="139"/>
      <c r="AO736" s="139"/>
      <c r="AP736" s="139"/>
      <c r="AQ736" s="139"/>
      <c r="AR736" s="139"/>
      <c r="AS736" s="139"/>
      <c r="AT736" s="139"/>
      <c r="AU736" s="139"/>
      <c r="AV736" s="139"/>
      <c r="AW736" s="139"/>
      <c r="AX736" s="139"/>
      <c r="AY736" s="139"/>
      <c r="AZ736" s="139"/>
      <c r="BA736" s="139"/>
      <c r="BB736" s="139"/>
    </row>
    <row r="737">
      <c r="A737" s="28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39"/>
      <c r="AD737" s="139"/>
      <c r="AE737" s="139"/>
      <c r="AF737" s="139"/>
      <c r="AG737" s="139"/>
      <c r="AH737" s="139"/>
      <c r="AI737" s="139"/>
      <c r="AJ737" s="139"/>
      <c r="AK737" s="139"/>
      <c r="AL737" s="139"/>
      <c r="AM737" s="139"/>
      <c r="AN737" s="139"/>
      <c r="AO737" s="139"/>
      <c r="AP737" s="139"/>
      <c r="AQ737" s="139"/>
      <c r="AR737" s="139"/>
      <c r="AS737" s="139"/>
      <c r="AT737" s="139"/>
      <c r="AU737" s="139"/>
      <c r="AV737" s="139"/>
      <c r="AW737" s="139"/>
      <c r="AX737" s="139"/>
      <c r="AY737" s="139"/>
      <c r="AZ737" s="139"/>
      <c r="BA737" s="139"/>
      <c r="BB737" s="139"/>
    </row>
    <row r="738">
      <c r="A738" s="28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39"/>
      <c r="AD738" s="139"/>
      <c r="AE738" s="139"/>
      <c r="AF738" s="139"/>
      <c r="AG738" s="139"/>
      <c r="AH738" s="139"/>
      <c r="AI738" s="139"/>
      <c r="AJ738" s="139"/>
      <c r="AK738" s="139"/>
      <c r="AL738" s="139"/>
      <c r="AM738" s="139"/>
      <c r="AN738" s="139"/>
      <c r="AO738" s="139"/>
      <c r="AP738" s="139"/>
      <c r="AQ738" s="139"/>
      <c r="AR738" s="139"/>
      <c r="AS738" s="139"/>
      <c r="AT738" s="139"/>
      <c r="AU738" s="139"/>
      <c r="AV738" s="139"/>
      <c r="AW738" s="139"/>
      <c r="AX738" s="139"/>
      <c r="AY738" s="139"/>
      <c r="AZ738" s="139"/>
      <c r="BA738" s="139"/>
      <c r="BB738" s="139"/>
    </row>
    <row r="739">
      <c r="A739" s="28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39"/>
      <c r="AD739" s="139"/>
      <c r="AE739" s="139"/>
      <c r="AF739" s="139"/>
      <c r="AG739" s="139"/>
      <c r="AH739" s="139"/>
      <c r="AI739" s="139"/>
      <c r="AJ739" s="139"/>
      <c r="AK739" s="139"/>
      <c r="AL739" s="139"/>
      <c r="AM739" s="139"/>
      <c r="AN739" s="139"/>
      <c r="AO739" s="139"/>
      <c r="AP739" s="139"/>
      <c r="AQ739" s="139"/>
      <c r="AR739" s="139"/>
      <c r="AS739" s="139"/>
      <c r="AT739" s="139"/>
      <c r="AU739" s="139"/>
      <c r="AV739" s="139"/>
      <c r="AW739" s="139"/>
      <c r="AX739" s="139"/>
      <c r="AY739" s="139"/>
      <c r="AZ739" s="139"/>
      <c r="BA739" s="139"/>
      <c r="BB739" s="139"/>
    </row>
    <row r="740">
      <c r="A740" s="28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39"/>
      <c r="AD740" s="139"/>
      <c r="AE740" s="139"/>
      <c r="AF740" s="139"/>
      <c r="AG740" s="139"/>
      <c r="AH740" s="139"/>
      <c r="AI740" s="139"/>
      <c r="AJ740" s="139"/>
      <c r="AK740" s="139"/>
      <c r="AL740" s="139"/>
      <c r="AM740" s="139"/>
      <c r="AN740" s="139"/>
      <c r="AO740" s="139"/>
      <c r="AP740" s="139"/>
      <c r="AQ740" s="139"/>
      <c r="AR740" s="139"/>
      <c r="AS740" s="139"/>
      <c r="AT740" s="139"/>
      <c r="AU740" s="139"/>
      <c r="AV740" s="139"/>
      <c r="AW740" s="139"/>
      <c r="AX740" s="139"/>
      <c r="AY740" s="139"/>
      <c r="AZ740" s="139"/>
      <c r="BA740" s="139"/>
      <c r="BB740" s="139"/>
    </row>
    <row r="741">
      <c r="A741" s="28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39"/>
      <c r="AK741" s="139"/>
      <c r="AL741" s="139"/>
      <c r="AM741" s="139"/>
      <c r="AN741" s="139"/>
      <c r="AO741" s="139"/>
      <c r="AP741" s="139"/>
      <c r="AQ741" s="139"/>
      <c r="AR741" s="139"/>
      <c r="AS741" s="139"/>
      <c r="AT741" s="139"/>
      <c r="AU741" s="139"/>
      <c r="AV741" s="139"/>
      <c r="AW741" s="139"/>
      <c r="AX741" s="139"/>
      <c r="AY741" s="139"/>
      <c r="AZ741" s="139"/>
      <c r="BA741" s="139"/>
      <c r="BB741" s="139"/>
    </row>
    <row r="742">
      <c r="A742" s="28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39"/>
      <c r="AK742" s="139"/>
      <c r="AL742" s="139"/>
      <c r="AM742" s="139"/>
      <c r="AN742" s="139"/>
      <c r="AO742" s="139"/>
      <c r="AP742" s="139"/>
      <c r="AQ742" s="139"/>
      <c r="AR742" s="139"/>
      <c r="AS742" s="139"/>
      <c r="AT742" s="139"/>
      <c r="AU742" s="139"/>
      <c r="AV742" s="139"/>
      <c r="AW742" s="139"/>
      <c r="AX742" s="139"/>
      <c r="AY742" s="139"/>
      <c r="AZ742" s="139"/>
      <c r="BA742" s="139"/>
      <c r="BB742" s="139"/>
    </row>
    <row r="743">
      <c r="A743" s="28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39"/>
      <c r="AK743" s="139"/>
      <c r="AL743" s="139"/>
      <c r="AM743" s="139"/>
      <c r="AN743" s="139"/>
      <c r="AO743" s="139"/>
      <c r="AP743" s="139"/>
      <c r="AQ743" s="139"/>
      <c r="AR743" s="139"/>
      <c r="AS743" s="139"/>
      <c r="AT743" s="139"/>
      <c r="AU743" s="139"/>
      <c r="AV743" s="139"/>
      <c r="AW743" s="139"/>
      <c r="AX743" s="139"/>
      <c r="AY743" s="139"/>
      <c r="AZ743" s="139"/>
      <c r="BA743" s="139"/>
      <c r="BB743" s="139"/>
    </row>
    <row r="744">
      <c r="A744" s="28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  <c r="AK744" s="139"/>
      <c r="AL744" s="139"/>
      <c r="AM744" s="139"/>
      <c r="AN744" s="139"/>
      <c r="AO744" s="139"/>
      <c r="AP744" s="139"/>
      <c r="AQ744" s="139"/>
      <c r="AR744" s="139"/>
      <c r="AS744" s="139"/>
      <c r="AT744" s="139"/>
      <c r="AU744" s="139"/>
      <c r="AV744" s="139"/>
      <c r="AW744" s="139"/>
      <c r="AX744" s="139"/>
      <c r="AY744" s="139"/>
      <c r="AZ744" s="139"/>
      <c r="BA744" s="139"/>
      <c r="BB744" s="139"/>
    </row>
    <row r="745">
      <c r="A745" s="28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39"/>
      <c r="AK745" s="139"/>
      <c r="AL745" s="139"/>
      <c r="AM745" s="139"/>
      <c r="AN745" s="139"/>
      <c r="AO745" s="139"/>
      <c r="AP745" s="139"/>
      <c r="AQ745" s="139"/>
      <c r="AR745" s="139"/>
      <c r="AS745" s="139"/>
      <c r="AT745" s="139"/>
      <c r="AU745" s="139"/>
      <c r="AV745" s="139"/>
      <c r="AW745" s="139"/>
      <c r="AX745" s="139"/>
      <c r="AY745" s="139"/>
      <c r="AZ745" s="139"/>
      <c r="BA745" s="139"/>
      <c r="BB745" s="139"/>
    </row>
    <row r="746">
      <c r="A746" s="28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  <c r="AK746" s="139"/>
      <c r="AL746" s="139"/>
      <c r="AM746" s="139"/>
      <c r="AN746" s="139"/>
      <c r="AO746" s="139"/>
      <c r="AP746" s="139"/>
      <c r="AQ746" s="139"/>
      <c r="AR746" s="139"/>
      <c r="AS746" s="139"/>
      <c r="AT746" s="139"/>
      <c r="AU746" s="139"/>
      <c r="AV746" s="139"/>
      <c r="AW746" s="139"/>
      <c r="AX746" s="139"/>
      <c r="AY746" s="139"/>
      <c r="AZ746" s="139"/>
      <c r="BA746" s="139"/>
      <c r="BB746" s="139"/>
    </row>
    <row r="747">
      <c r="A747" s="28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39"/>
      <c r="AD747" s="139"/>
      <c r="AE747" s="139"/>
      <c r="AF747" s="139"/>
      <c r="AG747" s="139"/>
      <c r="AH747" s="139"/>
      <c r="AI747" s="139"/>
      <c r="AJ747" s="139"/>
      <c r="AK747" s="139"/>
      <c r="AL747" s="139"/>
      <c r="AM747" s="139"/>
      <c r="AN747" s="139"/>
      <c r="AO747" s="139"/>
      <c r="AP747" s="139"/>
      <c r="AQ747" s="139"/>
      <c r="AR747" s="139"/>
      <c r="AS747" s="139"/>
      <c r="AT747" s="139"/>
      <c r="AU747" s="139"/>
      <c r="AV747" s="139"/>
      <c r="AW747" s="139"/>
      <c r="AX747" s="139"/>
      <c r="AY747" s="139"/>
      <c r="AZ747" s="139"/>
      <c r="BA747" s="139"/>
      <c r="BB747" s="139"/>
    </row>
    <row r="748">
      <c r="A748" s="28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  <c r="AC748" s="139"/>
      <c r="AD748" s="139"/>
      <c r="AE748" s="139"/>
      <c r="AF748" s="139"/>
      <c r="AG748" s="139"/>
      <c r="AH748" s="139"/>
      <c r="AI748" s="139"/>
      <c r="AJ748" s="139"/>
      <c r="AK748" s="139"/>
      <c r="AL748" s="139"/>
      <c r="AM748" s="139"/>
      <c r="AN748" s="139"/>
      <c r="AO748" s="139"/>
      <c r="AP748" s="139"/>
      <c r="AQ748" s="139"/>
      <c r="AR748" s="139"/>
      <c r="AS748" s="139"/>
      <c r="AT748" s="139"/>
      <c r="AU748" s="139"/>
      <c r="AV748" s="139"/>
      <c r="AW748" s="139"/>
      <c r="AX748" s="139"/>
      <c r="AY748" s="139"/>
      <c r="AZ748" s="139"/>
      <c r="BA748" s="139"/>
      <c r="BB748" s="139"/>
    </row>
    <row r="749">
      <c r="A749" s="28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  <c r="AC749" s="139"/>
      <c r="AD749" s="139"/>
      <c r="AE749" s="139"/>
      <c r="AF749" s="139"/>
      <c r="AG749" s="139"/>
      <c r="AH749" s="139"/>
      <c r="AI749" s="139"/>
      <c r="AJ749" s="139"/>
      <c r="AK749" s="139"/>
      <c r="AL749" s="139"/>
      <c r="AM749" s="139"/>
      <c r="AN749" s="139"/>
      <c r="AO749" s="139"/>
      <c r="AP749" s="139"/>
      <c r="AQ749" s="139"/>
      <c r="AR749" s="139"/>
      <c r="AS749" s="139"/>
      <c r="AT749" s="139"/>
      <c r="AU749" s="139"/>
      <c r="AV749" s="139"/>
      <c r="AW749" s="139"/>
      <c r="AX749" s="139"/>
      <c r="AY749" s="139"/>
      <c r="AZ749" s="139"/>
      <c r="BA749" s="139"/>
      <c r="BB749" s="139"/>
    </row>
    <row r="750">
      <c r="A750" s="28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39"/>
      <c r="AD750" s="139"/>
      <c r="AE750" s="139"/>
      <c r="AF750" s="139"/>
      <c r="AG750" s="139"/>
      <c r="AH750" s="139"/>
      <c r="AI750" s="139"/>
      <c r="AJ750" s="139"/>
      <c r="AK750" s="139"/>
      <c r="AL750" s="139"/>
      <c r="AM750" s="139"/>
      <c r="AN750" s="139"/>
      <c r="AO750" s="139"/>
      <c r="AP750" s="139"/>
      <c r="AQ750" s="139"/>
      <c r="AR750" s="139"/>
      <c r="AS750" s="139"/>
      <c r="AT750" s="139"/>
      <c r="AU750" s="139"/>
      <c r="AV750" s="139"/>
      <c r="AW750" s="139"/>
      <c r="AX750" s="139"/>
      <c r="AY750" s="139"/>
      <c r="AZ750" s="139"/>
      <c r="BA750" s="139"/>
      <c r="BB750" s="139"/>
    </row>
    <row r="751">
      <c r="A751" s="28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  <c r="AC751" s="139"/>
      <c r="AD751" s="139"/>
      <c r="AE751" s="139"/>
      <c r="AF751" s="139"/>
      <c r="AG751" s="139"/>
      <c r="AH751" s="139"/>
      <c r="AI751" s="139"/>
      <c r="AJ751" s="139"/>
      <c r="AK751" s="139"/>
      <c r="AL751" s="139"/>
      <c r="AM751" s="139"/>
      <c r="AN751" s="139"/>
      <c r="AO751" s="139"/>
      <c r="AP751" s="139"/>
      <c r="AQ751" s="139"/>
      <c r="AR751" s="139"/>
      <c r="AS751" s="139"/>
      <c r="AT751" s="139"/>
      <c r="AU751" s="139"/>
      <c r="AV751" s="139"/>
      <c r="AW751" s="139"/>
      <c r="AX751" s="139"/>
      <c r="AY751" s="139"/>
      <c r="AZ751" s="139"/>
      <c r="BA751" s="139"/>
      <c r="BB751" s="139"/>
    </row>
    <row r="752">
      <c r="A752" s="28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  <c r="AC752" s="139"/>
      <c r="AD752" s="139"/>
      <c r="AE752" s="139"/>
      <c r="AF752" s="139"/>
      <c r="AG752" s="139"/>
      <c r="AH752" s="139"/>
      <c r="AI752" s="139"/>
      <c r="AJ752" s="139"/>
      <c r="AK752" s="139"/>
      <c r="AL752" s="139"/>
      <c r="AM752" s="139"/>
      <c r="AN752" s="139"/>
      <c r="AO752" s="139"/>
      <c r="AP752" s="139"/>
      <c r="AQ752" s="139"/>
      <c r="AR752" s="139"/>
      <c r="AS752" s="139"/>
      <c r="AT752" s="139"/>
      <c r="AU752" s="139"/>
      <c r="AV752" s="139"/>
      <c r="AW752" s="139"/>
      <c r="AX752" s="139"/>
      <c r="AY752" s="139"/>
      <c r="AZ752" s="139"/>
      <c r="BA752" s="139"/>
      <c r="BB752" s="139"/>
    </row>
    <row r="753">
      <c r="A753" s="28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  <c r="AC753" s="139"/>
      <c r="AD753" s="139"/>
      <c r="AE753" s="139"/>
      <c r="AF753" s="139"/>
      <c r="AG753" s="139"/>
      <c r="AH753" s="139"/>
      <c r="AI753" s="139"/>
      <c r="AJ753" s="139"/>
      <c r="AK753" s="139"/>
      <c r="AL753" s="139"/>
      <c r="AM753" s="139"/>
      <c r="AN753" s="139"/>
      <c r="AO753" s="139"/>
      <c r="AP753" s="139"/>
      <c r="AQ753" s="139"/>
      <c r="AR753" s="139"/>
      <c r="AS753" s="139"/>
      <c r="AT753" s="139"/>
      <c r="AU753" s="139"/>
      <c r="AV753" s="139"/>
      <c r="AW753" s="139"/>
      <c r="AX753" s="139"/>
      <c r="AY753" s="139"/>
      <c r="AZ753" s="139"/>
      <c r="BA753" s="139"/>
      <c r="BB753" s="139"/>
    </row>
    <row r="754">
      <c r="A754" s="28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  <c r="AC754" s="139"/>
      <c r="AD754" s="139"/>
      <c r="AE754" s="139"/>
      <c r="AF754" s="139"/>
      <c r="AG754" s="139"/>
      <c r="AH754" s="139"/>
      <c r="AI754" s="139"/>
      <c r="AJ754" s="139"/>
      <c r="AK754" s="139"/>
      <c r="AL754" s="139"/>
      <c r="AM754" s="139"/>
      <c r="AN754" s="139"/>
      <c r="AO754" s="139"/>
      <c r="AP754" s="139"/>
      <c r="AQ754" s="139"/>
      <c r="AR754" s="139"/>
      <c r="AS754" s="139"/>
      <c r="AT754" s="139"/>
      <c r="AU754" s="139"/>
      <c r="AV754" s="139"/>
      <c r="AW754" s="139"/>
      <c r="AX754" s="139"/>
      <c r="AY754" s="139"/>
      <c r="AZ754" s="139"/>
      <c r="BA754" s="139"/>
      <c r="BB754" s="139"/>
    </row>
    <row r="755">
      <c r="A755" s="28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39"/>
      <c r="AD755" s="139"/>
      <c r="AE755" s="139"/>
      <c r="AF755" s="139"/>
      <c r="AG755" s="139"/>
      <c r="AH755" s="139"/>
      <c r="AI755" s="139"/>
      <c r="AJ755" s="139"/>
      <c r="AK755" s="139"/>
      <c r="AL755" s="139"/>
      <c r="AM755" s="139"/>
      <c r="AN755" s="139"/>
      <c r="AO755" s="139"/>
      <c r="AP755" s="139"/>
      <c r="AQ755" s="139"/>
      <c r="AR755" s="139"/>
      <c r="AS755" s="139"/>
      <c r="AT755" s="139"/>
      <c r="AU755" s="139"/>
      <c r="AV755" s="139"/>
      <c r="AW755" s="139"/>
      <c r="AX755" s="139"/>
      <c r="AY755" s="139"/>
      <c r="AZ755" s="139"/>
      <c r="BA755" s="139"/>
      <c r="BB755" s="139"/>
    </row>
    <row r="756">
      <c r="A756" s="28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39"/>
      <c r="AD756" s="139"/>
      <c r="AE756" s="139"/>
      <c r="AF756" s="139"/>
      <c r="AG756" s="139"/>
      <c r="AH756" s="139"/>
      <c r="AI756" s="139"/>
      <c r="AJ756" s="139"/>
      <c r="AK756" s="139"/>
      <c r="AL756" s="139"/>
      <c r="AM756" s="139"/>
      <c r="AN756" s="139"/>
      <c r="AO756" s="139"/>
      <c r="AP756" s="139"/>
      <c r="AQ756" s="139"/>
      <c r="AR756" s="139"/>
      <c r="AS756" s="139"/>
      <c r="AT756" s="139"/>
      <c r="AU756" s="139"/>
      <c r="AV756" s="139"/>
      <c r="AW756" s="139"/>
      <c r="AX756" s="139"/>
      <c r="AY756" s="139"/>
      <c r="AZ756" s="139"/>
      <c r="BA756" s="139"/>
      <c r="BB756" s="139"/>
    </row>
    <row r="757">
      <c r="A757" s="28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  <c r="AC757" s="139"/>
      <c r="AD757" s="139"/>
      <c r="AE757" s="139"/>
      <c r="AF757" s="139"/>
      <c r="AG757" s="139"/>
      <c r="AH757" s="139"/>
      <c r="AI757" s="139"/>
      <c r="AJ757" s="139"/>
      <c r="AK757" s="139"/>
      <c r="AL757" s="139"/>
      <c r="AM757" s="139"/>
      <c r="AN757" s="139"/>
      <c r="AO757" s="139"/>
      <c r="AP757" s="139"/>
      <c r="AQ757" s="139"/>
      <c r="AR757" s="139"/>
      <c r="AS757" s="139"/>
      <c r="AT757" s="139"/>
      <c r="AU757" s="139"/>
      <c r="AV757" s="139"/>
      <c r="AW757" s="139"/>
      <c r="AX757" s="139"/>
      <c r="AY757" s="139"/>
      <c r="AZ757" s="139"/>
      <c r="BA757" s="139"/>
      <c r="BB757" s="139"/>
    </row>
    <row r="758">
      <c r="A758" s="28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39"/>
      <c r="AD758" s="139"/>
      <c r="AE758" s="139"/>
      <c r="AF758" s="139"/>
      <c r="AG758" s="139"/>
      <c r="AH758" s="139"/>
      <c r="AI758" s="139"/>
      <c r="AJ758" s="139"/>
      <c r="AK758" s="139"/>
      <c r="AL758" s="139"/>
      <c r="AM758" s="139"/>
      <c r="AN758" s="139"/>
      <c r="AO758" s="139"/>
      <c r="AP758" s="139"/>
      <c r="AQ758" s="139"/>
      <c r="AR758" s="139"/>
      <c r="AS758" s="139"/>
      <c r="AT758" s="139"/>
      <c r="AU758" s="139"/>
      <c r="AV758" s="139"/>
      <c r="AW758" s="139"/>
      <c r="AX758" s="139"/>
      <c r="AY758" s="139"/>
      <c r="AZ758" s="139"/>
      <c r="BA758" s="139"/>
      <c r="BB758" s="139"/>
    </row>
    <row r="759">
      <c r="A759" s="28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  <c r="AC759" s="139"/>
      <c r="AD759" s="139"/>
      <c r="AE759" s="139"/>
      <c r="AF759" s="139"/>
      <c r="AG759" s="139"/>
      <c r="AH759" s="139"/>
      <c r="AI759" s="139"/>
      <c r="AJ759" s="139"/>
      <c r="AK759" s="139"/>
      <c r="AL759" s="139"/>
      <c r="AM759" s="139"/>
      <c r="AN759" s="139"/>
      <c r="AO759" s="139"/>
      <c r="AP759" s="139"/>
      <c r="AQ759" s="139"/>
      <c r="AR759" s="139"/>
      <c r="AS759" s="139"/>
      <c r="AT759" s="139"/>
      <c r="AU759" s="139"/>
      <c r="AV759" s="139"/>
      <c r="AW759" s="139"/>
      <c r="AX759" s="139"/>
      <c r="AY759" s="139"/>
      <c r="AZ759" s="139"/>
      <c r="BA759" s="139"/>
      <c r="BB759" s="139"/>
    </row>
    <row r="760">
      <c r="A760" s="28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39"/>
      <c r="AD760" s="139"/>
      <c r="AE760" s="139"/>
      <c r="AF760" s="139"/>
      <c r="AG760" s="139"/>
      <c r="AH760" s="139"/>
      <c r="AI760" s="139"/>
      <c r="AJ760" s="139"/>
      <c r="AK760" s="139"/>
      <c r="AL760" s="139"/>
      <c r="AM760" s="139"/>
      <c r="AN760" s="139"/>
      <c r="AO760" s="139"/>
      <c r="AP760" s="139"/>
      <c r="AQ760" s="139"/>
      <c r="AR760" s="139"/>
      <c r="AS760" s="139"/>
      <c r="AT760" s="139"/>
      <c r="AU760" s="139"/>
      <c r="AV760" s="139"/>
      <c r="AW760" s="139"/>
      <c r="AX760" s="139"/>
      <c r="AY760" s="139"/>
      <c r="AZ760" s="139"/>
      <c r="BA760" s="139"/>
      <c r="BB760" s="139"/>
    </row>
    <row r="761">
      <c r="A761" s="28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  <c r="AC761" s="139"/>
      <c r="AD761" s="139"/>
      <c r="AE761" s="139"/>
      <c r="AF761" s="139"/>
      <c r="AG761" s="139"/>
      <c r="AH761" s="139"/>
      <c r="AI761" s="139"/>
      <c r="AJ761" s="139"/>
      <c r="AK761" s="139"/>
      <c r="AL761" s="139"/>
      <c r="AM761" s="139"/>
      <c r="AN761" s="139"/>
      <c r="AO761" s="139"/>
      <c r="AP761" s="139"/>
      <c r="AQ761" s="139"/>
      <c r="AR761" s="139"/>
      <c r="AS761" s="139"/>
      <c r="AT761" s="139"/>
      <c r="AU761" s="139"/>
      <c r="AV761" s="139"/>
      <c r="AW761" s="139"/>
      <c r="AX761" s="139"/>
      <c r="AY761" s="139"/>
      <c r="AZ761" s="139"/>
      <c r="BA761" s="139"/>
      <c r="BB761" s="139"/>
    </row>
    <row r="762">
      <c r="A762" s="28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39"/>
      <c r="AD762" s="139"/>
      <c r="AE762" s="139"/>
      <c r="AF762" s="139"/>
      <c r="AG762" s="139"/>
      <c r="AH762" s="139"/>
      <c r="AI762" s="139"/>
      <c r="AJ762" s="139"/>
      <c r="AK762" s="139"/>
      <c r="AL762" s="139"/>
      <c r="AM762" s="139"/>
      <c r="AN762" s="139"/>
      <c r="AO762" s="139"/>
      <c r="AP762" s="139"/>
      <c r="AQ762" s="139"/>
      <c r="AR762" s="139"/>
      <c r="AS762" s="139"/>
      <c r="AT762" s="139"/>
      <c r="AU762" s="139"/>
      <c r="AV762" s="139"/>
      <c r="AW762" s="139"/>
      <c r="AX762" s="139"/>
      <c r="AY762" s="139"/>
      <c r="AZ762" s="139"/>
      <c r="BA762" s="139"/>
      <c r="BB762" s="139"/>
    </row>
    <row r="763">
      <c r="A763" s="28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  <c r="AC763" s="139"/>
      <c r="AD763" s="139"/>
      <c r="AE763" s="139"/>
      <c r="AF763" s="139"/>
      <c r="AG763" s="139"/>
      <c r="AH763" s="139"/>
      <c r="AI763" s="139"/>
      <c r="AJ763" s="139"/>
      <c r="AK763" s="139"/>
      <c r="AL763" s="139"/>
      <c r="AM763" s="139"/>
      <c r="AN763" s="139"/>
      <c r="AO763" s="139"/>
      <c r="AP763" s="139"/>
      <c r="AQ763" s="139"/>
      <c r="AR763" s="139"/>
      <c r="AS763" s="139"/>
      <c r="AT763" s="139"/>
      <c r="AU763" s="139"/>
      <c r="AV763" s="139"/>
      <c r="AW763" s="139"/>
      <c r="AX763" s="139"/>
      <c r="AY763" s="139"/>
      <c r="AZ763" s="139"/>
      <c r="BA763" s="139"/>
      <c r="BB763" s="139"/>
    </row>
    <row r="764">
      <c r="A764" s="28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39"/>
      <c r="AD764" s="139"/>
      <c r="AE764" s="139"/>
      <c r="AF764" s="139"/>
      <c r="AG764" s="139"/>
      <c r="AH764" s="139"/>
      <c r="AI764" s="139"/>
      <c r="AJ764" s="139"/>
      <c r="AK764" s="139"/>
      <c r="AL764" s="139"/>
      <c r="AM764" s="139"/>
      <c r="AN764" s="139"/>
      <c r="AO764" s="139"/>
      <c r="AP764" s="139"/>
      <c r="AQ764" s="139"/>
      <c r="AR764" s="139"/>
      <c r="AS764" s="139"/>
      <c r="AT764" s="139"/>
      <c r="AU764" s="139"/>
      <c r="AV764" s="139"/>
      <c r="AW764" s="139"/>
      <c r="AX764" s="139"/>
      <c r="AY764" s="139"/>
      <c r="AZ764" s="139"/>
      <c r="BA764" s="139"/>
      <c r="BB764" s="139"/>
    </row>
    <row r="765">
      <c r="A765" s="28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  <c r="AC765" s="139"/>
      <c r="AD765" s="139"/>
      <c r="AE765" s="139"/>
      <c r="AF765" s="139"/>
      <c r="AG765" s="139"/>
      <c r="AH765" s="139"/>
      <c r="AI765" s="139"/>
      <c r="AJ765" s="139"/>
      <c r="AK765" s="139"/>
      <c r="AL765" s="139"/>
      <c r="AM765" s="139"/>
      <c r="AN765" s="139"/>
      <c r="AO765" s="139"/>
      <c r="AP765" s="139"/>
      <c r="AQ765" s="139"/>
      <c r="AR765" s="139"/>
      <c r="AS765" s="139"/>
      <c r="AT765" s="139"/>
      <c r="AU765" s="139"/>
      <c r="AV765" s="139"/>
      <c r="AW765" s="139"/>
      <c r="AX765" s="139"/>
      <c r="AY765" s="139"/>
      <c r="AZ765" s="139"/>
      <c r="BA765" s="139"/>
      <c r="BB765" s="139"/>
    </row>
    <row r="766">
      <c r="A766" s="28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39"/>
      <c r="AD766" s="139"/>
      <c r="AE766" s="139"/>
      <c r="AF766" s="139"/>
      <c r="AG766" s="139"/>
      <c r="AH766" s="139"/>
      <c r="AI766" s="139"/>
      <c r="AJ766" s="139"/>
      <c r="AK766" s="139"/>
      <c r="AL766" s="139"/>
      <c r="AM766" s="139"/>
      <c r="AN766" s="139"/>
      <c r="AO766" s="139"/>
      <c r="AP766" s="139"/>
      <c r="AQ766" s="139"/>
      <c r="AR766" s="139"/>
      <c r="AS766" s="139"/>
      <c r="AT766" s="139"/>
      <c r="AU766" s="139"/>
      <c r="AV766" s="139"/>
      <c r="AW766" s="139"/>
      <c r="AX766" s="139"/>
      <c r="AY766" s="139"/>
      <c r="AZ766" s="139"/>
      <c r="BA766" s="139"/>
      <c r="BB766" s="139"/>
    </row>
    <row r="767">
      <c r="A767" s="28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  <c r="AC767" s="139"/>
      <c r="AD767" s="139"/>
      <c r="AE767" s="139"/>
      <c r="AF767" s="139"/>
      <c r="AG767" s="139"/>
      <c r="AH767" s="139"/>
      <c r="AI767" s="139"/>
      <c r="AJ767" s="139"/>
      <c r="AK767" s="139"/>
      <c r="AL767" s="139"/>
      <c r="AM767" s="139"/>
      <c r="AN767" s="139"/>
      <c r="AO767" s="139"/>
      <c r="AP767" s="139"/>
      <c r="AQ767" s="139"/>
      <c r="AR767" s="139"/>
      <c r="AS767" s="139"/>
      <c r="AT767" s="139"/>
      <c r="AU767" s="139"/>
      <c r="AV767" s="139"/>
      <c r="AW767" s="139"/>
      <c r="AX767" s="139"/>
      <c r="AY767" s="139"/>
      <c r="AZ767" s="139"/>
      <c r="BA767" s="139"/>
      <c r="BB767" s="139"/>
    </row>
    <row r="768">
      <c r="A768" s="28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39"/>
      <c r="AD768" s="139"/>
      <c r="AE768" s="139"/>
      <c r="AF768" s="139"/>
      <c r="AG768" s="139"/>
      <c r="AH768" s="139"/>
      <c r="AI768" s="139"/>
      <c r="AJ768" s="139"/>
      <c r="AK768" s="139"/>
      <c r="AL768" s="139"/>
      <c r="AM768" s="139"/>
      <c r="AN768" s="139"/>
      <c r="AO768" s="139"/>
      <c r="AP768" s="139"/>
      <c r="AQ768" s="139"/>
      <c r="AR768" s="139"/>
      <c r="AS768" s="139"/>
      <c r="AT768" s="139"/>
      <c r="AU768" s="139"/>
      <c r="AV768" s="139"/>
      <c r="AW768" s="139"/>
      <c r="AX768" s="139"/>
      <c r="AY768" s="139"/>
      <c r="AZ768" s="139"/>
      <c r="BA768" s="139"/>
      <c r="BB768" s="139"/>
    </row>
    <row r="769">
      <c r="A769" s="28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  <c r="AC769" s="139"/>
      <c r="AD769" s="139"/>
      <c r="AE769" s="139"/>
      <c r="AF769" s="139"/>
      <c r="AG769" s="139"/>
      <c r="AH769" s="139"/>
      <c r="AI769" s="139"/>
      <c r="AJ769" s="139"/>
      <c r="AK769" s="139"/>
      <c r="AL769" s="139"/>
      <c r="AM769" s="139"/>
      <c r="AN769" s="139"/>
      <c r="AO769" s="139"/>
      <c r="AP769" s="139"/>
      <c r="AQ769" s="139"/>
      <c r="AR769" s="139"/>
      <c r="AS769" s="139"/>
      <c r="AT769" s="139"/>
      <c r="AU769" s="139"/>
      <c r="AV769" s="139"/>
      <c r="AW769" s="139"/>
      <c r="AX769" s="139"/>
      <c r="AY769" s="139"/>
      <c r="AZ769" s="139"/>
      <c r="BA769" s="139"/>
      <c r="BB769" s="139"/>
    </row>
    <row r="770">
      <c r="A770" s="28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  <c r="AC770" s="139"/>
      <c r="AD770" s="139"/>
      <c r="AE770" s="139"/>
      <c r="AF770" s="139"/>
      <c r="AG770" s="139"/>
      <c r="AH770" s="139"/>
      <c r="AI770" s="139"/>
      <c r="AJ770" s="139"/>
      <c r="AK770" s="139"/>
      <c r="AL770" s="139"/>
      <c r="AM770" s="139"/>
      <c r="AN770" s="139"/>
      <c r="AO770" s="139"/>
      <c r="AP770" s="139"/>
      <c r="AQ770" s="139"/>
      <c r="AR770" s="139"/>
      <c r="AS770" s="139"/>
      <c r="AT770" s="139"/>
      <c r="AU770" s="139"/>
      <c r="AV770" s="139"/>
      <c r="AW770" s="139"/>
      <c r="AX770" s="139"/>
      <c r="AY770" s="139"/>
      <c r="AZ770" s="139"/>
      <c r="BA770" s="139"/>
      <c r="BB770" s="139"/>
    </row>
    <row r="771">
      <c r="A771" s="28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39"/>
      <c r="AD771" s="139"/>
      <c r="AE771" s="139"/>
      <c r="AF771" s="139"/>
      <c r="AG771" s="139"/>
      <c r="AH771" s="139"/>
      <c r="AI771" s="139"/>
      <c r="AJ771" s="139"/>
      <c r="AK771" s="139"/>
      <c r="AL771" s="139"/>
      <c r="AM771" s="139"/>
      <c r="AN771" s="139"/>
      <c r="AO771" s="139"/>
      <c r="AP771" s="139"/>
      <c r="AQ771" s="139"/>
      <c r="AR771" s="139"/>
      <c r="AS771" s="139"/>
      <c r="AT771" s="139"/>
      <c r="AU771" s="139"/>
      <c r="AV771" s="139"/>
      <c r="AW771" s="139"/>
      <c r="AX771" s="139"/>
      <c r="AY771" s="139"/>
      <c r="AZ771" s="139"/>
      <c r="BA771" s="139"/>
      <c r="BB771" s="139"/>
    </row>
    <row r="772">
      <c r="A772" s="28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  <c r="AC772" s="139"/>
      <c r="AD772" s="139"/>
      <c r="AE772" s="139"/>
      <c r="AF772" s="139"/>
      <c r="AG772" s="139"/>
      <c r="AH772" s="139"/>
      <c r="AI772" s="139"/>
      <c r="AJ772" s="139"/>
      <c r="AK772" s="139"/>
      <c r="AL772" s="139"/>
      <c r="AM772" s="139"/>
      <c r="AN772" s="139"/>
      <c r="AO772" s="139"/>
      <c r="AP772" s="139"/>
      <c r="AQ772" s="139"/>
      <c r="AR772" s="139"/>
      <c r="AS772" s="139"/>
      <c r="AT772" s="139"/>
      <c r="AU772" s="139"/>
      <c r="AV772" s="139"/>
      <c r="AW772" s="139"/>
      <c r="AX772" s="139"/>
      <c r="AY772" s="139"/>
      <c r="AZ772" s="139"/>
      <c r="BA772" s="139"/>
      <c r="BB772" s="139"/>
    </row>
    <row r="773">
      <c r="A773" s="28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  <c r="AC773" s="139"/>
      <c r="AD773" s="139"/>
      <c r="AE773" s="139"/>
      <c r="AF773" s="139"/>
      <c r="AG773" s="139"/>
      <c r="AH773" s="139"/>
      <c r="AI773" s="139"/>
      <c r="AJ773" s="139"/>
      <c r="AK773" s="139"/>
      <c r="AL773" s="139"/>
      <c r="AM773" s="139"/>
      <c r="AN773" s="139"/>
      <c r="AO773" s="139"/>
      <c r="AP773" s="139"/>
      <c r="AQ773" s="139"/>
      <c r="AR773" s="139"/>
      <c r="AS773" s="139"/>
      <c r="AT773" s="139"/>
      <c r="AU773" s="139"/>
      <c r="AV773" s="139"/>
      <c r="AW773" s="139"/>
      <c r="AX773" s="139"/>
      <c r="AY773" s="139"/>
      <c r="AZ773" s="139"/>
      <c r="BA773" s="139"/>
      <c r="BB773" s="139"/>
    </row>
    <row r="774">
      <c r="A774" s="28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  <c r="AC774" s="139"/>
      <c r="AD774" s="139"/>
      <c r="AE774" s="139"/>
      <c r="AF774" s="139"/>
      <c r="AG774" s="139"/>
      <c r="AH774" s="139"/>
      <c r="AI774" s="139"/>
      <c r="AJ774" s="139"/>
      <c r="AK774" s="139"/>
      <c r="AL774" s="139"/>
      <c r="AM774" s="139"/>
      <c r="AN774" s="139"/>
      <c r="AO774" s="139"/>
      <c r="AP774" s="139"/>
      <c r="AQ774" s="139"/>
      <c r="AR774" s="139"/>
      <c r="AS774" s="139"/>
      <c r="AT774" s="139"/>
      <c r="AU774" s="139"/>
      <c r="AV774" s="139"/>
      <c r="AW774" s="139"/>
      <c r="AX774" s="139"/>
      <c r="AY774" s="139"/>
      <c r="AZ774" s="139"/>
      <c r="BA774" s="139"/>
      <c r="BB774" s="139"/>
    </row>
    <row r="775">
      <c r="A775" s="28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39"/>
      <c r="AD775" s="139"/>
      <c r="AE775" s="139"/>
      <c r="AF775" s="139"/>
      <c r="AG775" s="139"/>
      <c r="AH775" s="139"/>
      <c r="AI775" s="139"/>
      <c r="AJ775" s="139"/>
      <c r="AK775" s="139"/>
      <c r="AL775" s="139"/>
      <c r="AM775" s="139"/>
      <c r="AN775" s="139"/>
      <c r="AO775" s="139"/>
      <c r="AP775" s="139"/>
      <c r="AQ775" s="139"/>
      <c r="AR775" s="139"/>
      <c r="AS775" s="139"/>
      <c r="AT775" s="139"/>
      <c r="AU775" s="139"/>
      <c r="AV775" s="139"/>
      <c r="AW775" s="139"/>
      <c r="AX775" s="139"/>
      <c r="AY775" s="139"/>
      <c r="AZ775" s="139"/>
      <c r="BA775" s="139"/>
      <c r="BB775" s="139"/>
    </row>
    <row r="776">
      <c r="A776" s="28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  <c r="AC776" s="139"/>
      <c r="AD776" s="139"/>
      <c r="AE776" s="139"/>
      <c r="AF776" s="139"/>
      <c r="AG776" s="139"/>
      <c r="AH776" s="139"/>
      <c r="AI776" s="139"/>
      <c r="AJ776" s="139"/>
      <c r="AK776" s="139"/>
      <c r="AL776" s="139"/>
      <c r="AM776" s="139"/>
      <c r="AN776" s="139"/>
      <c r="AO776" s="139"/>
      <c r="AP776" s="139"/>
      <c r="AQ776" s="139"/>
      <c r="AR776" s="139"/>
      <c r="AS776" s="139"/>
      <c r="AT776" s="139"/>
      <c r="AU776" s="139"/>
      <c r="AV776" s="139"/>
      <c r="AW776" s="139"/>
      <c r="AX776" s="139"/>
      <c r="AY776" s="139"/>
      <c r="AZ776" s="139"/>
      <c r="BA776" s="139"/>
      <c r="BB776" s="139"/>
    </row>
    <row r="777">
      <c r="A777" s="28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  <c r="AC777" s="139"/>
      <c r="AD777" s="139"/>
      <c r="AE777" s="139"/>
      <c r="AF777" s="139"/>
      <c r="AG777" s="139"/>
      <c r="AH777" s="139"/>
      <c r="AI777" s="139"/>
      <c r="AJ777" s="139"/>
      <c r="AK777" s="139"/>
      <c r="AL777" s="139"/>
      <c r="AM777" s="139"/>
      <c r="AN777" s="139"/>
      <c r="AO777" s="139"/>
      <c r="AP777" s="139"/>
      <c r="AQ777" s="139"/>
      <c r="AR777" s="139"/>
      <c r="AS777" s="139"/>
      <c r="AT777" s="139"/>
      <c r="AU777" s="139"/>
      <c r="AV777" s="139"/>
      <c r="AW777" s="139"/>
      <c r="AX777" s="139"/>
      <c r="AY777" s="139"/>
      <c r="AZ777" s="139"/>
      <c r="BA777" s="139"/>
      <c r="BB777" s="139"/>
    </row>
    <row r="778">
      <c r="A778" s="28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  <c r="AC778" s="139"/>
      <c r="AD778" s="139"/>
      <c r="AE778" s="139"/>
      <c r="AF778" s="139"/>
      <c r="AG778" s="139"/>
      <c r="AH778" s="139"/>
      <c r="AI778" s="139"/>
      <c r="AJ778" s="139"/>
      <c r="AK778" s="139"/>
      <c r="AL778" s="139"/>
      <c r="AM778" s="139"/>
      <c r="AN778" s="139"/>
      <c r="AO778" s="139"/>
      <c r="AP778" s="139"/>
      <c r="AQ778" s="139"/>
      <c r="AR778" s="139"/>
      <c r="AS778" s="139"/>
      <c r="AT778" s="139"/>
      <c r="AU778" s="139"/>
      <c r="AV778" s="139"/>
      <c r="AW778" s="139"/>
      <c r="AX778" s="139"/>
      <c r="AY778" s="139"/>
      <c r="AZ778" s="139"/>
      <c r="BA778" s="139"/>
      <c r="BB778" s="139"/>
    </row>
    <row r="779">
      <c r="A779" s="28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  <c r="AC779" s="139"/>
      <c r="AD779" s="139"/>
      <c r="AE779" s="139"/>
      <c r="AF779" s="139"/>
      <c r="AG779" s="139"/>
      <c r="AH779" s="139"/>
      <c r="AI779" s="139"/>
      <c r="AJ779" s="139"/>
      <c r="AK779" s="139"/>
      <c r="AL779" s="139"/>
      <c r="AM779" s="139"/>
      <c r="AN779" s="139"/>
      <c r="AO779" s="139"/>
      <c r="AP779" s="139"/>
      <c r="AQ779" s="139"/>
      <c r="AR779" s="139"/>
      <c r="AS779" s="139"/>
      <c r="AT779" s="139"/>
      <c r="AU779" s="139"/>
      <c r="AV779" s="139"/>
      <c r="AW779" s="139"/>
      <c r="AX779" s="139"/>
      <c r="AY779" s="139"/>
      <c r="AZ779" s="139"/>
      <c r="BA779" s="139"/>
      <c r="BB779" s="139"/>
    </row>
    <row r="780">
      <c r="A780" s="28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39"/>
      <c r="AD780" s="139"/>
      <c r="AE780" s="139"/>
      <c r="AF780" s="139"/>
      <c r="AG780" s="139"/>
      <c r="AH780" s="139"/>
      <c r="AI780" s="139"/>
      <c r="AJ780" s="139"/>
      <c r="AK780" s="139"/>
      <c r="AL780" s="139"/>
      <c r="AM780" s="139"/>
      <c r="AN780" s="139"/>
      <c r="AO780" s="139"/>
      <c r="AP780" s="139"/>
      <c r="AQ780" s="139"/>
      <c r="AR780" s="139"/>
      <c r="AS780" s="139"/>
      <c r="AT780" s="139"/>
      <c r="AU780" s="139"/>
      <c r="AV780" s="139"/>
      <c r="AW780" s="139"/>
      <c r="AX780" s="139"/>
      <c r="AY780" s="139"/>
      <c r="AZ780" s="139"/>
      <c r="BA780" s="139"/>
      <c r="BB780" s="139"/>
    </row>
    <row r="781">
      <c r="A781" s="28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  <c r="AC781" s="139"/>
      <c r="AD781" s="139"/>
      <c r="AE781" s="139"/>
      <c r="AF781" s="139"/>
      <c r="AG781" s="139"/>
      <c r="AH781" s="139"/>
      <c r="AI781" s="139"/>
      <c r="AJ781" s="139"/>
      <c r="AK781" s="139"/>
      <c r="AL781" s="139"/>
      <c r="AM781" s="139"/>
      <c r="AN781" s="139"/>
      <c r="AO781" s="139"/>
      <c r="AP781" s="139"/>
      <c r="AQ781" s="139"/>
      <c r="AR781" s="139"/>
      <c r="AS781" s="139"/>
      <c r="AT781" s="139"/>
      <c r="AU781" s="139"/>
      <c r="AV781" s="139"/>
      <c r="AW781" s="139"/>
      <c r="AX781" s="139"/>
      <c r="AY781" s="139"/>
      <c r="AZ781" s="139"/>
      <c r="BA781" s="139"/>
      <c r="BB781" s="139"/>
    </row>
    <row r="782">
      <c r="A782" s="28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39"/>
      <c r="AD782" s="139"/>
      <c r="AE782" s="139"/>
      <c r="AF782" s="139"/>
      <c r="AG782" s="139"/>
      <c r="AH782" s="139"/>
      <c r="AI782" s="139"/>
      <c r="AJ782" s="139"/>
      <c r="AK782" s="139"/>
      <c r="AL782" s="139"/>
      <c r="AM782" s="139"/>
      <c r="AN782" s="139"/>
      <c r="AO782" s="139"/>
      <c r="AP782" s="139"/>
      <c r="AQ782" s="139"/>
      <c r="AR782" s="139"/>
      <c r="AS782" s="139"/>
      <c r="AT782" s="139"/>
      <c r="AU782" s="139"/>
      <c r="AV782" s="139"/>
      <c r="AW782" s="139"/>
      <c r="AX782" s="139"/>
      <c r="AY782" s="139"/>
      <c r="AZ782" s="139"/>
      <c r="BA782" s="139"/>
      <c r="BB782" s="139"/>
    </row>
    <row r="783">
      <c r="A783" s="28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  <c r="AC783" s="139"/>
      <c r="AD783" s="139"/>
      <c r="AE783" s="139"/>
      <c r="AF783" s="139"/>
      <c r="AG783" s="139"/>
      <c r="AH783" s="139"/>
      <c r="AI783" s="139"/>
      <c r="AJ783" s="139"/>
      <c r="AK783" s="139"/>
      <c r="AL783" s="139"/>
      <c r="AM783" s="139"/>
      <c r="AN783" s="139"/>
      <c r="AO783" s="139"/>
      <c r="AP783" s="139"/>
      <c r="AQ783" s="139"/>
      <c r="AR783" s="139"/>
      <c r="AS783" s="139"/>
      <c r="AT783" s="139"/>
      <c r="AU783" s="139"/>
      <c r="AV783" s="139"/>
      <c r="AW783" s="139"/>
      <c r="AX783" s="139"/>
      <c r="AY783" s="139"/>
      <c r="AZ783" s="139"/>
      <c r="BA783" s="139"/>
      <c r="BB783" s="139"/>
    </row>
    <row r="784">
      <c r="A784" s="28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9"/>
      <c r="AM784" s="139"/>
      <c r="AN784" s="139"/>
      <c r="AO784" s="139"/>
      <c r="AP784" s="139"/>
      <c r="AQ784" s="139"/>
      <c r="AR784" s="139"/>
      <c r="AS784" s="139"/>
      <c r="AT784" s="139"/>
      <c r="AU784" s="139"/>
      <c r="AV784" s="139"/>
      <c r="AW784" s="139"/>
      <c r="AX784" s="139"/>
      <c r="AY784" s="139"/>
      <c r="AZ784" s="139"/>
      <c r="BA784" s="139"/>
      <c r="BB784" s="139"/>
    </row>
    <row r="785">
      <c r="A785" s="28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  <c r="AC785" s="139"/>
      <c r="AD785" s="139"/>
      <c r="AE785" s="139"/>
      <c r="AF785" s="139"/>
      <c r="AG785" s="139"/>
      <c r="AH785" s="139"/>
      <c r="AI785" s="139"/>
      <c r="AJ785" s="139"/>
      <c r="AK785" s="139"/>
      <c r="AL785" s="139"/>
      <c r="AM785" s="139"/>
      <c r="AN785" s="139"/>
      <c r="AO785" s="139"/>
      <c r="AP785" s="139"/>
      <c r="AQ785" s="139"/>
      <c r="AR785" s="139"/>
      <c r="AS785" s="139"/>
      <c r="AT785" s="139"/>
      <c r="AU785" s="139"/>
      <c r="AV785" s="139"/>
      <c r="AW785" s="139"/>
      <c r="AX785" s="139"/>
      <c r="AY785" s="139"/>
      <c r="AZ785" s="139"/>
      <c r="BA785" s="139"/>
      <c r="BB785" s="139"/>
    </row>
    <row r="786">
      <c r="A786" s="28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  <c r="AC786" s="139"/>
      <c r="AD786" s="139"/>
      <c r="AE786" s="139"/>
      <c r="AF786" s="139"/>
      <c r="AG786" s="139"/>
      <c r="AH786" s="139"/>
      <c r="AI786" s="139"/>
      <c r="AJ786" s="139"/>
      <c r="AK786" s="139"/>
      <c r="AL786" s="139"/>
      <c r="AM786" s="139"/>
      <c r="AN786" s="139"/>
      <c r="AO786" s="139"/>
      <c r="AP786" s="139"/>
      <c r="AQ786" s="139"/>
      <c r="AR786" s="139"/>
      <c r="AS786" s="139"/>
      <c r="AT786" s="139"/>
      <c r="AU786" s="139"/>
      <c r="AV786" s="139"/>
      <c r="AW786" s="139"/>
      <c r="AX786" s="139"/>
      <c r="AY786" s="139"/>
      <c r="AZ786" s="139"/>
      <c r="BA786" s="139"/>
      <c r="BB786" s="139"/>
    </row>
    <row r="787">
      <c r="A787" s="28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  <c r="AC787" s="139"/>
      <c r="AD787" s="139"/>
      <c r="AE787" s="139"/>
      <c r="AF787" s="139"/>
      <c r="AG787" s="139"/>
      <c r="AH787" s="139"/>
      <c r="AI787" s="139"/>
      <c r="AJ787" s="139"/>
      <c r="AK787" s="139"/>
      <c r="AL787" s="139"/>
      <c r="AM787" s="139"/>
      <c r="AN787" s="139"/>
      <c r="AO787" s="139"/>
      <c r="AP787" s="139"/>
      <c r="AQ787" s="139"/>
      <c r="AR787" s="139"/>
      <c r="AS787" s="139"/>
      <c r="AT787" s="139"/>
      <c r="AU787" s="139"/>
      <c r="AV787" s="139"/>
      <c r="AW787" s="139"/>
      <c r="AX787" s="139"/>
      <c r="AY787" s="139"/>
      <c r="AZ787" s="139"/>
      <c r="BA787" s="139"/>
      <c r="BB787" s="139"/>
    </row>
    <row r="788">
      <c r="A788" s="28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  <c r="AC788" s="139"/>
      <c r="AD788" s="139"/>
      <c r="AE788" s="139"/>
      <c r="AF788" s="139"/>
      <c r="AG788" s="139"/>
      <c r="AH788" s="139"/>
      <c r="AI788" s="139"/>
      <c r="AJ788" s="139"/>
      <c r="AK788" s="139"/>
      <c r="AL788" s="139"/>
      <c r="AM788" s="139"/>
      <c r="AN788" s="139"/>
      <c r="AO788" s="139"/>
      <c r="AP788" s="139"/>
      <c r="AQ788" s="139"/>
      <c r="AR788" s="139"/>
      <c r="AS788" s="139"/>
      <c r="AT788" s="139"/>
      <c r="AU788" s="139"/>
      <c r="AV788" s="139"/>
      <c r="AW788" s="139"/>
      <c r="AX788" s="139"/>
      <c r="AY788" s="139"/>
      <c r="AZ788" s="139"/>
      <c r="BA788" s="139"/>
      <c r="BB788" s="139"/>
    </row>
    <row r="789">
      <c r="A789" s="28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  <c r="AC789" s="139"/>
      <c r="AD789" s="139"/>
      <c r="AE789" s="139"/>
      <c r="AF789" s="139"/>
      <c r="AG789" s="139"/>
      <c r="AH789" s="139"/>
      <c r="AI789" s="139"/>
      <c r="AJ789" s="139"/>
      <c r="AK789" s="139"/>
      <c r="AL789" s="139"/>
      <c r="AM789" s="139"/>
      <c r="AN789" s="139"/>
      <c r="AO789" s="139"/>
      <c r="AP789" s="139"/>
      <c r="AQ789" s="139"/>
      <c r="AR789" s="139"/>
      <c r="AS789" s="139"/>
      <c r="AT789" s="139"/>
      <c r="AU789" s="139"/>
      <c r="AV789" s="139"/>
      <c r="AW789" s="139"/>
      <c r="AX789" s="139"/>
      <c r="AY789" s="139"/>
      <c r="AZ789" s="139"/>
      <c r="BA789" s="139"/>
      <c r="BB789" s="139"/>
    </row>
    <row r="790">
      <c r="A790" s="28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39"/>
      <c r="AD790" s="139"/>
      <c r="AE790" s="139"/>
      <c r="AF790" s="139"/>
      <c r="AG790" s="139"/>
      <c r="AH790" s="139"/>
      <c r="AI790" s="139"/>
      <c r="AJ790" s="139"/>
      <c r="AK790" s="139"/>
      <c r="AL790" s="139"/>
      <c r="AM790" s="139"/>
      <c r="AN790" s="139"/>
      <c r="AO790" s="139"/>
      <c r="AP790" s="139"/>
      <c r="AQ790" s="139"/>
      <c r="AR790" s="139"/>
      <c r="AS790" s="139"/>
      <c r="AT790" s="139"/>
      <c r="AU790" s="139"/>
      <c r="AV790" s="139"/>
      <c r="AW790" s="139"/>
      <c r="AX790" s="139"/>
      <c r="AY790" s="139"/>
      <c r="AZ790" s="139"/>
      <c r="BA790" s="139"/>
      <c r="BB790" s="139"/>
    </row>
    <row r="791">
      <c r="A791" s="28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  <c r="AC791" s="139"/>
      <c r="AD791" s="139"/>
      <c r="AE791" s="139"/>
      <c r="AF791" s="139"/>
      <c r="AG791" s="139"/>
      <c r="AH791" s="139"/>
      <c r="AI791" s="139"/>
      <c r="AJ791" s="139"/>
      <c r="AK791" s="139"/>
      <c r="AL791" s="139"/>
      <c r="AM791" s="139"/>
      <c r="AN791" s="139"/>
      <c r="AO791" s="139"/>
      <c r="AP791" s="139"/>
      <c r="AQ791" s="139"/>
      <c r="AR791" s="139"/>
      <c r="AS791" s="139"/>
      <c r="AT791" s="139"/>
      <c r="AU791" s="139"/>
      <c r="AV791" s="139"/>
      <c r="AW791" s="139"/>
      <c r="AX791" s="139"/>
      <c r="AY791" s="139"/>
      <c r="AZ791" s="139"/>
      <c r="BA791" s="139"/>
      <c r="BB791" s="139"/>
    </row>
    <row r="792">
      <c r="A792" s="28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39"/>
      <c r="AD792" s="139"/>
      <c r="AE792" s="139"/>
      <c r="AF792" s="139"/>
      <c r="AG792" s="139"/>
      <c r="AH792" s="139"/>
      <c r="AI792" s="139"/>
      <c r="AJ792" s="139"/>
      <c r="AK792" s="139"/>
      <c r="AL792" s="139"/>
      <c r="AM792" s="139"/>
      <c r="AN792" s="139"/>
      <c r="AO792" s="139"/>
      <c r="AP792" s="139"/>
      <c r="AQ792" s="139"/>
      <c r="AR792" s="139"/>
      <c r="AS792" s="139"/>
      <c r="AT792" s="139"/>
      <c r="AU792" s="139"/>
      <c r="AV792" s="139"/>
      <c r="AW792" s="139"/>
      <c r="AX792" s="139"/>
      <c r="AY792" s="139"/>
      <c r="AZ792" s="139"/>
      <c r="BA792" s="139"/>
      <c r="BB792" s="139"/>
    </row>
    <row r="793">
      <c r="A793" s="28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  <c r="AC793" s="139"/>
      <c r="AD793" s="139"/>
      <c r="AE793" s="139"/>
      <c r="AF793" s="139"/>
      <c r="AG793" s="139"/>
      <c r="AH793" s="139"/>
      <c r="AI793" s="139"/>
      <c r="AJ793" s="139"/>
      <c r="AK793" s="139"/>
      <c r="AL793" s="139"/>
      <c r="AM793" s="139"/>
      <c r="AN793" s="139"/>
      <c r="AO793" s="139"/>
      <c r="AP793" s="139"/>
      <c r="AQ793" s="139"/>
      <c r="AR793" s="139"/>
      <c r="AS793" s="139"/>
      <c r="AT793" s="139"/>
      <c r="AU793" s="139"/>
      <c r="AV793" s="139"/>
      <c r="AW793" s="139"/>
      <c r="AX793" s="139"/>
      <c r="AY793" s="139"/>
      <c r="AZ793" s="139"/>
      <c r="BA793" s="139"/>
      <c r="BB793" s="139"/>
    </row>
    <row r="794">
      <c r="A794" s="28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39"/>
      <c r="AD794" s="139"/>
      <c r="AE794" s="139"/>
      <c r="AF794" s="139"/>
      <c r="AG794" s="139"/>
      <c r="AH794" s="139"/>
      <c r="AI794" s="139"/>
      <c r="AJ794" s="139"/>
      <c r="AK794" s="139"/>
      <c r="AL794" s="139"/>
      <c r="AM794" s="139"/>
      <c r="AN794" s="139"/>
      <c r="AO794" s="139"/>
      <c r="AP794" s="139"/>
      <c r="AQ794" s="139"/>
      <c r="AR794" s="139"/>
      <c r="AS794" s="139"/>
      <c r="AT794" s="139"/>
      <c r="AU794" s="139"/>
      <c r="AV794" s="139"/>
      <c r="AW794" s="139"/>
      <c r="AX794" s="139"/>
      <c r="AY794" s="139"/>
      <c r="AZ794" s="139"/>
      <c r="BA794" s="139"/>
      <c r="BB794" s="139"/>
    </row>
    <row r="795">
      <c r="A795" s="28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  <c r="AC795" s="139"/>
      <c r="AD795" s="139"/>
      <c r="AE795" s="139"/>
      <c r="AF795" s="139"/>
      <c r="AG795" s="139"/>
      <c r="AH795" s="139"/>
      <c r="AI795" s="139"/>
      <c r="AJ795" s="139"/>
      <c r="AK795" s="139"/>
      <c r="AL795" s="139"/>
      <c r="AM795" s="139"/>
      <c r="AN795" s="139"/>
      <c r="AO795" s="139"/>
      <c r="AP795" s="139"/>
      <c r="AQ795" s="139"/>
      <c r="AR795" s="139"/>
      <c r="AS795" s="139"/>
      <c r="AT795" s="139"/>
      <c r="AU795" s="139"/>
      <c r="AV795" s="139"/>
      <c r="AW795" s="139"/>
      <c r="AX795" s="139"/>
      <c r="AY795" s="139"/>
      <c r="AZ795" s="139"/>
      <c r="BA795" s="139"/>
      <c r="BB795" s="139"/>
    </row>
    <row r="796">
      <c r="A796" s="28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39"/>
      <c r="AD796" s="139"/>
      <c r="AE796" s="139"/>
      <c r="AF796" s="139"/>
      <c r="AG796" s="139"/>
      <c r="AH796" s="139"/>
      <c r="AI796" s="139"/>
      <c r="AJ796" s="139"/>
      <c r="AK796" s="139"/>
      <c r="AL796" s="139"/>
      <c r="AM796" s="139"/>
      <c r="AN796" s="139"/>
      <c r="AO796" s="139"/>
      <c r="AP796" s="139"/>
      <c r="AQ796" s="139"/>
      <c r="AR796" s="139"/>
      <c r="AS796" s="139"/>
      <c r="AT796" s="139"/>
      <c r="AU796" s="139"/>
      <c r="AV796" s="139"/>
      <c r="AW796" s="139"/>
      <c r="AX796" s="139"/>
      <c r="AY796" s="139"/>
      <c r="AZ796" s="139"/>
      <c r="BA796" s="139"/>
      <c r="BB796" s="139"/>
    </row>
    <row r="797">
      <c r="A797" s="28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  <c r="AC797" s="139"/>
      <c r="AD797" s="139"/>
      <c r="AE797" s="139"/>
      <c r="AF797" s="139"/>
      <c r="AG797" s="139"/>
      <c r="AH797" s="139"/>
      <c r="AI797" s="139"/>
      <c r="AJ797" s="139"/>
      <c r="AK797" s="139"/>
      <c r="AL797" s="139"/>
      <c r="AM797" s="139"/>
      <c r="AN797" s="139"/>
      <c r="AO797" s="139"/>
      <c r="AP797" s="139"/>
      <c r="AQ797" s="139"/>
      <c r="AR797" s="139"/>
      <c r="AS797" s="139"/>
      <c r="AT797" s="139"/>
      <c r="AU797" s="139"/>
      <c r="AV797" s="139"/>
      <c r="AW797" s="139"/>
      <c r="AX797" s="139"/>
      <c r="AY797" s="139"/>
      <c r="AZ797" s="139"/>
      <c r="BA797" s="139"/>
      <c r="BB797" s="139"/>
    </row>
    <row r="798">
      <c r="A798" s="28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39"/>
      <c r="AD798" s="139"/>
      <c r="AE798" s="139"/>
      <c r="AF798" s="139"/>
      <c r="AG798" s="139"/>
      <c r="AH798" s="139"/>
      <c r="AI798" s="139"/>
      <c r="AJ798" s="139"/>
      <c r="AK798" s="139"/>
      <c r="AL798" s="139"/>
      <c r="AM798" s="139"/>
      <c r="AN798" s="139"/>
      <c r="AO798" s="139"/>
      <c r="AP798" s="139"/>
      <c r="AQ798" s="139"/>
      <c r="AR798" s="139"/>
      <c r="AS798" s="139"/>
      <c r="AT798" s="139"/>
      <c r="AU798" s="139"/>
      <c r="AV798" s="139"/>
      <c r="AW798" s="139"/>
      <c r="AX798" s="139"/>
      <c r="AY798" s="139"/>
      <c r="AZ798" s="139"/>
      <c r="BA798" s="139"/>
      <c r="BB798" s="139"/>
    </row>
    <row r="799">
      <c r="A799" s="28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  <c r="AC799" s="139"/>
      <c r="AD799" s="139"/>
      <c r="AE799" s="139"/>
      <c r="AF799" s="139"/>
      <c r="AG799" s="139"/>
      <c r="AH799" s="139"/>
      <c r="AI799" s="139"/>
      <c r="AJ799" s="139"/>
      <c r="AK799" s="139"/>
      <c r="AL799" s="139"/>
      <c r="AM799" s="139"/>
      <c r="AN799" s="139"/>
      <c r="AO799" s="139"/>
      <c r="AP799" s="139"/>
      <c r="AQ799" s="139"/>
      <c r="AR799" s="139"/>
      <c r="AS799" s="139"/>
      <c r="AT799" s="139"/>
      <c r="AU799" s="139"/>
      <c r="AV799" s="139"/>
      <c r="AW799" s="139"/>
      <c r="AX799" s="139"/>
      <c r="AY799" s="139"/>
      <c r="AZ799" s="139"/>
      <c r="BA799" s="139"/>
      <c r="BB799" s="139"/>
    </row>
    <row r="800">
      <c r="A800" s="28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39"/>
      <c r="AD800" s="139"/>
      <c r="AE800" s="139"/>
      <c r="AF800" s="139"/>
      <c r="AG800" s="139"/>
      <c r="AH800" s="139"/>
      <c r="AI800" s="139"/>
      <c r="AJ800" s="139"/>
      <c r="AK800" s="139"/>
      <c r="AL800" s="139"/>
      <c r="AM800" s="139"/>
      <c r="AN800" s="139"/>
      <c r="AO800" s="139"/>
      <c r="AP800" s="139"/>
      <c r="AQ800" s="139"/>
      <c r="AR800" s="139"/>
      <c r="AS800" s="139"/>
      <c r="AT800" s="139"/>
      <c r="AU800" s="139"/>
      <c r="AV800" s="139"/>
      <c r="AW800" s="139"/>
      <c r="AX800" s="139"/>
      <c r="AY800" s="139"/>
      <c r="AZ800" s="139"/>
      <c r="BA800" s="139"/>
      <c r="BB800" s="139"/>
    </row>
    <row r="801">
      <c r="A801" s="28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  <c r="AC801" s="139"/>
      <c r="AD801" s="139"/>
      <c r="AE801" s="139"/>
      <c r="AF801" s="139"/>
      <c r="AG801" s="139"/>
      <c r="AH801" s="139"/>
      <c r="AI801" s="139"/>
      <c r="AJ801" s="139"/>
      <c r="AK801" s="139"/>
      <c r="AL801" s="139"/>
      <c r="AM801" s="139"/>
      <c r="AN801" s="139"/>
      <c r="AO801" s="139"/>
      <c r="AP801" s="139"/>
      <c r="AQ801" s="139"/>
      <c r="AR801" s="139"/>
      <c r="AS801" s="139"/>
      <c r="AT801" s="139"/>
      <c r="AU801" s="139"/>
      <c r="AV801" s="139"/>
      <c r="AW801" s="139"/>
      <c r="AX801" s="139"/>
      <c r="AY801" s="139"/>
      <c r="AZ801" s="139"/>
      <c r="BA801" s="139"/>
      <c r="BB801" s="139"/>
    </row>
    <row r="802">
      <c r="A802" s="28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39"/>
      <c r="AD802" s="139"/>
      <c r="AE802" s="139"/>
      <c r="AF802" s="139"/>
      <c r="AG802" s="139"/>
      <c r="AH802" s="139"/>
      <c r="AI802" s="139"/>
      <c r="AJ802" s="139"/>
      <c r="AK802" s="139"/>
      <c r="AL802" s="139"/>
      <c r="AM802" s="139"/>
      <c r="AN802" s="139"/>
      <c r="AO802" s="139"/>
      <c r="AP802" s="139"/>
      <c r="AQ802" s="139"/>
      <c r="AR802" s="139"/>
      <c r="AS802" s="139"/>
      <c r="AT802" s="139"/>
      <c r="AU802" s="139"/>
      <c r="AV802" s="139"/>
      <c r="AW802" s="139"/>
      <c r="AX802" s="139"/>
      <c r="AY802" s="139"/>
      <c r="AZ802" s="139"/>
      <c r="BA802" s="139"/>
      <c r="BB802" s="139"/>
    </row>
    <row r="803">
      <c r="A803" s="28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39"/>
      <c r="AD803" s="139"/>
      <c r="AE803" s="139"/>
      <c r="AF803" s="139"/>
      <c r="AG803" s="139"/>
      <c r="AH803" s="139"/>
      <c r="AI803" s="139"/>
      <c r="AJ803" s="139"/>
      <c r="AK803" s="139"/>
      <c r="AL803" s="139"/>
      <c r="AM803" s="139"/>
      <c r="AN803" s="139"/>
      <c r="AO803" s="139"/>
      <c r="AP803" s="139"/>
      <c r="AQ803" s="139"/>
      <c r="AR803" s="139"/>
      <c r="AS803" s="139"/>
      <c r="AT803" s="139"/>
      <c r="AU803" s="139"/>
      <c r="AV803" s="139"/>
      <c r="AW803" s="139"/>
      <c r="AX803" s="139"/>
      <c r="AY803" s="139"/>
      <c r="AZ803" s="139"/>
      <c r="BA803" s="139"/>
      <c r="BB803" s="139"/>
    </row>
    <row r="804">
      <c r="A804" s="28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  <c r="AC804" s="139"/>
      <c r="AD804" s="139"/>
      <c r="AE804" s="139"/>
      <c r="AF804" s="139"/>
      <c r="AG804" s="139"/>
      <c r="AH804" s="139"/>
      <c r="AI804" s="139"/>
      <c r="AJ804" s="139"/>
      <c r="AK804" s="139"/>
      <c r="AL804" s="139"/>
      <c r="AM804" s="139"/>
      <c r="AN804" s="139"/>
      <c r="AO804" s="139"/>
      <c r="AP804" s="139"/>
      <c r="AQ804" s="139"/>
      <c r="AR804" s="139"/>
      <c r="AS804" s="139"/>
      <c r="AT804" s="139"/>
      <c r="AU804" s="139"/>
      <c r="AV804" s="139"/>
      <c r="AW804" s="139"/>
      <c r="AX804" s="139"/>
      <c r="AY804" s="139"/>
      <c r="AZ804" s="139"/>
      <c r="BA804" s="139"/>
      <c r="BB804" s="139"/>
    </row>
    <row r="805">
      <c r="A805" s="28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9"/>
      <c r="AM805" s="139"/>
      <c r="AN805" s="139"/>
      <c r="AO805" s="139"/>
      <c r="AP805" s="139"/>
      <c r="AQ805" s="139"/>
      <c r="AR805" s="139"/>
      <c r="AS805" s="139"/>
      <c r="AT805" s="139"/>
      <c r="AU805" s="139"/>
      <c r="AV805" s="139"/>
      <c r="AW805" s="139"/>
      <c r="AX805" s="139"/>
      <c r="AY805" s="139"/>
      <c r="AZ805" s="139"/>
      <c r="BA805" s="139"/>
      <c r="BB805" s="139"/>
    </row>
    <row r="806">
      <c r="A806" s="28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  <c r="AC806" s="139"/>
      <c r="AD806" s="139"/>
      <c r="AE806" s="139"/>
      <c r="AF806" s="139"/>
      <c r="AG806" s="139"/>
      <c r="AH806" s="139"/>
      <c r="AI806" s="139"/>
      <c r="AJ806" s="139"/>
      <c r="AK806" s="139"/>
      <c r="AL806" s="139"/>
      <c r="AM806" s="139"/>
      <c r="AN806" s="139"/>
      <c r="AO806" s="139"/>
      <c r="AP806" s="139"/>
      <c r="AQ806" s="139"/>
      <c r="AR806" s="139"/>
      <c r="AS806" s="139"/>
      <c r="AT806" s="139"/>
      <c r="AU806" s="139"/>
      <c r="AV806" s="139"/>
      <c r="AW806" s="139"/>
      <c r="AX806" s="139"/>
      <c r="AY806" s="139"/>
      <c r="AZ806" s="139"/>
      <c r="BA806" s="139"/>
      <c r="BB806" s="139"/>
    </row>
    <row r="807">
      <c r="A807" s="28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39"/>
      <c r="AD807" s="139"/>
      <c r="AE807" s="139"/>
      <c r="AF807" s="139"/>
      <c r="AG807" s="139"/>
      <c r="AH807" s="139"/>
      <c r="AI807" s="139"/>
      <c r="AJ807" s="139"/>
      <c r="AK807" s="139"/>
      <c r="AL807" s="139"/>
      <c r="AM807" s="139"/>
      <c r="AN807" s="139"/>
      <c r="AO807" s="139"/>
      <c r="AP807" s="139"/>
      <c r="AQ807" s="139"/>
      <c r="AR807" s="139"/>
      <c r="AS807" s="139"/>
      <c r="AT807" s="139"/>
      <c r="AU807" s="139"/>
      <c r="AV807" s="139"/>
      <c r="AW807" s="139"/>
      <c r="AX807" s="139"/>
      <c r="AY807" s="139"/>
      <c r="AZ807" s="139"/>
      <c r="BA807" s="139"/>
      <c r="BB807" s="139"/>
    </row>
    <row r="808">
      <c r="A808" s="28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  <c r="AC808" s="139"/>
      <c r="AD808" s="139"/>
      <c r="AE808" s="139"/>
      <c r="AF808" s="139"/>
      <c r="AG808" s="139"/>
      <c r="AH808" s="139"/>
      <c r="AI808" s="139"/>
      <c r="AJ808" s="139"/>
      <c r="AK808" s="139"/>
      <c r="AL808" s="139"/>
      <c r="AM808" s="139"/>
      <c r="AN808" s="139"/>
      <c r="AO808" s="139"/>
      <c r="AP808" s="139"/>
      <c r="AQ808" s="139"/>
      <c r="AR808" s="139"/>
      <c r="AS808" s="139"/>
      <c r="AT808" s="139"/>
      <c r="AU808" s="139"/>
      <c r="AV808" s="139"/>
      <c r="AW808" s="139"/>
      <c r="AX808" s="139"/>
      <c r="AY808" s="139"/>
      <c r="AZ808" s="139"/>
      <c r="BA808" s="139"/>
      <c r="BB808" s="139"/>
    </row>
    <row r="809">
      <c r="A809" s="28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39"/>
      <c r="AD809" s="139"/>
      <c r="AE809" s="139"/>
      <c r="AF809" s="139"/>
      <c r="AG809" s="139"/>
      <c r="AH809" s="139"/>
      <c r="AI809" s="139"/>
      <c r="AJ809" s="139"/>
      <c r="AK809" s="139"/>
      <c r="AL809" s="139"/>
      <c r="AM809" s="139"/>
      <c r="AN809" s="139"/>
      <c r="AO809" s="139"/>
      <c r="AP809" s="139"/>
      <c r="AQ809" s="139"/>
      <c r="AR809" s="139"/>
      <c r="AS809" s="139"/>
      <c r="AT809" s="139"/>
      <c r="AU809" s="139"/>
      <c r="AV809" s="139"/>
      <c r="AW809" s="139"/>
      <c r="AX809" s="139"/>
      <c r="AY809" s="139"/>
      <c r="AZ809" s="139"/>
      <c r="BA809" s="139"/>
      <c r="BB809" s="139"/>
    </row>
    <row r="810">
      <c r="A810" s="28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  <c r="AC810" s="139"/>
      <c r="AD810" s="139"/>
      <c r="AE810" s="139"/>
      <c r="AF810" s="139"/>
      <c r="AG810" s="139"/>
      <c r="AH810" s="139"/>
      <c r="AI810" s="139"/>
      <c r="AJ810" s="139"/>
      <c r="AK810" s="139"/>
      <c r="AL810" s="139"/>
      <c r="AM810" s="139"/>
      <c r="AN810" s="139"/>
      <c r="AO810" s="139"/>
      <c r="AP810" s="139"/>
      <c r="AQ810" s="139"/>
      <c r="AR810" s="139"/>
      <c r="AS810" s="139"/>
      <c r="AT810" s="139"/>
      <c r="AU810" s="139"/>
      <c r="AV810" s="139"/>
      <c r="AW810" s="139"/>
      <c r="AX810" s="139"/>
      <c r="AY810" s="139"/>
      <c r="AZ810" s="139"/>
      <c r="BA810" s="139"/>
      <c r="BB810" s="139"/>
    </row>
    <row r="811">
      <c r="A811" s="28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  <c r="AC811" s="139"/>
      <c r="AD811" s="139"/>
      <c r="AE811" s="139"/>
      <c r="AF811" s="139"/>
      <c r="AG811" s="139"/>
      <c r="AH811" s="139"/>
      <c r="AI811" s="139"/>
      <c r="AJ811" s="139"/>
      <c r="AK811" s="139"/>
      <c r="AL811" s="139"/>
      <c r="AM811" s="139"/>
      <c r="AN811" s="139"/>
      <c r="AO811" s="139"/>
      <c r="AP811" s="139"/>
      <c r="AQ811" s="139"/>
      <c r="AR811" s="139"/>
      <c r="AS811" s="139"/>
      <c r="AT811" s="139"/>
      <c r="AU811" s="139"/>
      <c r="AV811" s="139"/>
      <c r="AW811" s="139"/>
      <c r="AX811" s="139"/>
      <c r="AY811" s="139"/>
      <c r="AZ811" s="139"/>
      <c r="BA811" s="139"/>
      <c r="BB811" s="139"/>
    </row>
    <row r="812">
      <c r="A812" s="28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  <c r="AC812" s="139"/>
      <c r="AD812" s="139"/>
      <c r="AE812" s="139"/>
      <c r="AF812" s="139"/>
      <c r="AG812" s="139"/>
      <c r="AH812" s="139"/>
      <c r="AI812" s="139"/>
      <c r="AJ812" s="139"/>
      <c r="AK812" s="139"/>
      <c r="AL812" s="139"/>
      <c r="AM812" s="139"/>
      <c r="AN812" s="139"/>
      <c r="AO812" s="139"/>
      <c r="AP812" s="139"/>
      <c r="AQ812" s="139"/>
      <c r="AR812" s="139"/>
      <c r="AS812" s="139"/>
      <c r="AT812" s="139"/>
      <c r="AU812" s="139"/>
      <c r="AV812" s="139"/>
      <c r="AW812" s="139"/>
      <c r="AX812" s="139"/>
      <c r="AY812" s="139"/>
      <c r="AZ812" s="139"/>
      <c r="BA812" s="139"/>
      <c r="BB812" s="139"/>
    </row>
    <row r="813">
      <c r="A813" s="28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39"/>
      <c r="AD813" s="139"/>
      <c r="AE813" s="139"/>
      <c r="AF813" s="139"/>
      <c r="AG813" s="139"/>
      <c r="AH813" s="139"/>
      <c r="AI813" s="139"/>
      <c r="AJ813" s="139"/>
      <c r="AK813" s="139"/>
      <c r="AL813" s="139"/>
      <c r="AM813" s="139"/>
      <c r="AN813" s="139"/>
      <c r="AO813" s="139"/>
      <c r="AP813" s="139"/>
      <c r="AQ813" s="139"/>
      <c r="AR813" s="139"/>
      <c r="AS813" s="139"/>
      <c r="AT813" s="139"/>
      <c r="AU813" s="139"/>
      <c r="AV813" s="139"/>
      <c r="AW813" s="139"/>
      <c r="AX813" s="139"/>
      <c r="AY813" s="139"/>
      <c r="AZ813" s="139"/>
      <c r="BA813" s="139"/>
      <c r="BB813" s="139"/>
    </row>
    <row r="814">
      <c r="A814" s="28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  <c r="AC814" s="139"/>
      <c r="AD814" s="139"/>
      <c r="AE814" s="139"/>
      <c r="AF814" s="139"/>
      <c r="AG814" s="139"/>
      <c r="AH814" s="139"/>
      <c r="AI814" s="139"/>
      <c r="AJ814" s="139"/>
      <c r="AK814" s="139"/>
      <c r="AL814" s="139"/>
      <c r="AM814" s="139"/>
      <c r="AN814" s="139"/>
      <c r="AO814" s="139"/>
      <c r="AP814" s="139"/>
      <c r="AQ814" s="139"/>
      <c r="AR814" s="139"/>
      <c r="AS814" s="139"/>
      <c r="AT814" s="139"/>
      <c r="AU814" s="139"/>
      <c r="AV814" s="139"/>
      <c r="AW814" s="139"/>
      <c r="AX814" s="139"/>
      <c r="AY814" s="139"/>
      <c r="AZ814" s="139"/>
      <c r="BA814" s="139"/>
      <c r="BB814" s="139"/>
    </row>
    <row r="815">
      <c r="A815" s="28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  <c r="AK815" s="139"/>
      <c r="AL815" s="139"/>
      <c r="AM815" s="139"/>
      <c r="AN815" s="139"/>
      <c r="AO815" s="139"/>
      <c r="AP815" s="139"/>
      <c r="AQ815" s="139"/>
      <c r="AR815" s="139"/>
      <c r="AS815" s="139"/>
      <c r="AT815" s="139"/>
      <c r="AU815" s="139"/>
      <c r="AV815" s="139"/>
      <c r="AW815" s="139"/>
      <c r="AX815" s="139"/>
      <c r="AY815" s="139"/>
      <c r="AZ815" s="139"/>
      <c r="BA815" s="139"/>
      <c r="BB815" s="139"/>
    </row>
    <row r="816">
      <c r="A816" s="28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  <c r="AC816" s="139"/>
      <c r="AD816" s="139"/>
      <c r="AE816" s="139"/>
      <c r="AF816" s="139"/>
      <c r="AG816" s="139"/>
      <c r="AH816" s="139"/>
      <c r="AI816" s="139"/>
      <c r="AJ816" s="139"/>
      <c r="AK816" s="139"/>
      <c r="AL816" s="139"/>
      <c r="AM816" s="139"/>
      <c r="AN816" s="139"/>
      <c r="AO816" s="139"/>
      <c r="AP816" s="139"/>
      <c r="AQ816" s="139"/>
      <c r="AR816" s="139"/>
      <c r="AS816" s="139"/>
      <c r="AT816" s="139"/>
      <c r="AU816" s="139"/>
      <c r="AV816" s="139"/>
      <c r="AW816" s="139"/>
      <c r="AX816" s="139"/>
      <c r="AY816" s="139"/>
      <c r="AZ816" s="139"/>
      <c r="BA816" s="139"/>
      <c r="BB816" s="139"/>
    </row>
    <row r="817">
      <c r="A817" s="28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39"/>
      <c r="AD817" s="139"/>
      <c r="AE817" s="139"/>
      <c r="AF817" s="139"/>
      <c r="AG817" s="139"/>
      <c r="AH817" s="139"/>
      <c r="AI817" s="139"/>
      <c r="AJ817" s="139"/>
      <c r="AK817" s="139"/>
      <c r="AL817" s="139"/>
      <c r="AM817" s="139"/>
      <c r="AN817" s="139"/>
      <c r="AO817" s="139"/>
      <c r="AP817" s="139"/>
      <c r="AQ817" s="139"/>
      <c r="AR817" s="139"/>
      <c r="AS817" s="139"/>
      <c r="AT817" s="139"/>
      <c r="AU817" s="139"/>
      <c r="AV817" s="139"/>
      <c r="AW817" s="139"/>
      <c r="AX817" s="139"/>
      <c r="AY817" s="139"/>
      <c r="AZ817" s="139"/>
      <c r="BA817" s="139"/>
      <c r="BB817" s="139"/>
    </row>
    <row r="818">
      <c r="A818" s="28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  <c r="AC818" s="139"/>
      <c r="AD818" s="139"/>
      <c r="AE818" s="139"/>
      <c r="AF818" s="139"/>
      <c r="AG818" s="139"/>
      <c r="AH818" s="139"/>
      <c r="AI818" s="139"/>
      <c r="AJ818" s="139"/>
      <c r="AK818" s="139"/>
      <c r="AL818" s="139"/>
      <c r="AM818" s="139"/>
      <c r="AN818" s="139"/>
      <c r="AO818" s="139"/>
      <c r="AP818" s="139"/>
      <c r="AQ818" s="139"/>
      <c r="AR818" s="139"/>
      <c r="AS818" s="139"/>
      <c r="AT818" s="139"/>
      <c r="AU818" s="139"/>
      <c r="AV818" s="139"/>
      <c r="AW818" s="139"/>
      <c r="AX818" s="139"/>
      <c r="AY818" s="139"/>
      <c r="AZ818" s="139"/>
      <c r="BA818" s="139"/>
      <c r="BB818" s="139"/>
    </row>
    <row r="819">
      <c r="A819" s="28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39"/>
      <c r="AD819" s="139"/>
      <c r="AE819" s="139"/>
      <c r="AF819" s="139"/>
      <c r="AG819" s="139"/>
      <c r="AH819" s="139"/>
      <c r="AI819" s="139"/>
      <c r="AJ819" s="139"/>
      <c r="AK819" s="139"/>
      <c r="AL819" s="139"/>
      <c r="AM819" s="139"/>
      <c r="AN819" s="139"/>
      <c r="AO819" s="139"/>
      <c r="AP819" s="139"/>
      <c r="AQ819" s="139"/>
      <c r="AR819" s="139"/>
      <c r="AS819" s="139"/>
      <c r="AT819" s="139"/>
      <c r="AU819" s="139"/>
      <c r="AV819" s="139"/>
      <c r="AW819" s="139"/>
      <c r="AX819" s="139"/>
      <c r="AY819" s="139"/>
      <c r="AZ819" s="139"/>
      <c r="BA819" s="139"/>
      <c r="BB819" s="139"/>
    </row>
    <row r="820">
      <c r="A820" s="28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  <c r="AC820" s="139"/>
      <c r="AD820" s="139"/>
      <c r="AE820" s="139"/>
      <c r="AF820" s="139"/>
      <c r="AG820" s="139"/>
      <c r="AH820" s="139"/>
      <c r="AI820" s="139"/>
      <c r="AJ820" s="139"/>
      <c r="AK820" s="139"/>
      <c r="AL820" s="139"/>
      <c r="AM820" s="139"/>
      <c r="AN820" s="139"/>
      <c r="AO820" s="139"/>
      <c r="AP820" s="139"/>
      <c r="AQ820" s="139"/>
      <c r="AR820" s="139"/>
      <c r="AS820" s="139"/>
      <c r="AT820" s="139"/>
      <c r="AU820" s="139"/>
      <c r="AV820" s="139"/>
      <c r="AW820" s="139"/>
      <c r="AX820" s="139"/>
      <c r="AY820" s="139"/>
      <c r="AZ820" s="139"/>
      <c r="BA820" s="139"/>
      <c r="BB820" s="139"/>
    </row>
    <row r="821">
      <c r="A821" s="28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39"/>
      <c r="AD821" s="139"/>
      <c r="AE821" s="139"/>
      <c r="AF821" s="139"/>
      <c r="AG821" s="139"/>
      <c r="AH821" s="139"/>
      <c r="AI821" s="139"/>
      <c r="AJ821" s="139"/>
      <c r="AK821" s="139"/>
      <c r="AL821" s="139"/>
      <c r="AM821" s="139"/>
      <c r="AN821" s="139"/>
      <c r="AO821" s="139"/>
      <c r="AP821" s="139"/>
      <c r="AQ821" s="139"/>
      <c r="AR821" s="139"/>
      <c r="AS821" s="139"/>
      <c r="AT821" s="139"/>
      <c r="AU821" s="139"/>
      <c r="AV821" s="139"/>
      <c r="AW821" s="139"/>
      <c r="AX821" s="139"/>
      <c r="AY821" s="139"/>
      <c r="AZ821" s="139"/>
      <c r="BA821" s="139"/>
      <c r="BB821" s="139"/>
    </row>
    <row r="822">
      <c r="A822" s="28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  <c r="AC822" s="139"/>
      <c r="AD822" s="139"/>
      <c r="AE822" s="139"/>
      <c r="AF822" s="139"/>
      <c r="AG822" s="139"/>
      <c r="AH822" s="139"/>
      <c r="AI822" s="139"/>
      <c r="AJ822" s="139"/>
      <c r="AK822" s="139"/>
      <c r="AL822" s="139"/>
      <c r="AM822" s="139"/>
      <c r="AN822" s="139"/>
      <c r="AO822" s="139"/>
      <c r="AP822" s="139"/>
      <c r="AQ822" s="139"/>
      <c r="AR822" s="139"/>
      <c r="AS822" s="139"/>
      <c r="AT822" s="139"/>
      <c r="AU822" s="139"/>
      <c r="AV822" s="139"/>
      <c r="AW822" s="139"/>
      <c r="AX822" s="139"/>
      <c r="AY822" s="139"/>
      <c r="AZ822" s="139"/>
      <c r="BA822" s="139"/>
      <c r="BB822" s="139"/>
    </row>
    <row r="823">
      <c r="A823" s="28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39"/>
      <c r="AD823" s="139"/>
      <c r="AE823" s="139"/>
      <c r="AF823" s="139"/>
      <c r="AG823" s="139"/>
      <c r="AH823" s="139"/>
      <c r="AI823" s="139"/>
      <c r="AJ823" s="139"/>
      <c r="AK823" s="139"/>
      <c r="AL823" s="139"/>
      <c r="AM823" s="139"/>
      <c r="AN823" s="139"/>
      <c r="AO823" s="139"/>
      <c r="AP823" s="139"/>
      <c r="AQ823" s="139"/>
      <c r="AR823" s="139"/>
      <c r="AS823" s="139"/>
      <c r="AT823" s="139"/>
      <c r="AU823" s="139"/>
      <c r="AV823" s="139"/>
      <c r="AW823" s="139"/>
      <c r="AX823" s="139"/>
      <c r="AY823" s="139"/>
      <c r="AZ823" s="139"/>
      <c r="BA823" s="139"/>
      <c r="BB823" s="139"/>
    </row>
    <row r="824">
      <c r="A824" s="28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  <c r="AC824" s="139"/>
      <c r="AD824" s="139"/>
      <c r="AE824" s="139"/>
      <c r="AF824" s="139"/>
      <c r="AG824" s="139"/>
      <c r="AH824" s="139"/>
      <c r="AI824" s="139"/>
      <c r="AJ824" s="139"/>
      <c r="AK824" s="139"/>
      <c r="AL824" s="139"/>
      <c r="AM824" s="139"/>
      <c r="AN824" s="139"/>
      <c r="AO824" s="139"/>
      <c r="AP824" s="139"/>
      <c r="AQ824" s="139"/>
      <c r="AR824" s="139"/>
      <c r="AS824" s="139"/>
      <c r="AT824" s="139"/>
      <c r="AU824" s="139"/>
      <c r="AV824" s="139"/>
      <c r="AW824" s="139"/>
      <c r="AX824" s="139"/>
      <c r="AY824" s="139"/>
      <c r="AZ824" s="139"/>
      <c r="BA824" s="139"/>
      <c r="BB824" s="139"/>
    </row>
    <row r="825">
      <c r="A825" s="28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39"/>
      <c r="AF825" s="139"/>
      <c r="AG825" s="139"/>
      <c r="AH825" s="139"/>
      <c r="AI825" s="139"/>
      <c r="AJ825" s="139"/>
      <c r="AK825" s="139"/>
      <c r="AL825" s="139"/>
      <c r="AM825" s="139"/>
      <c r="AN825" s="139"/>
      <c r="AO825" s="139"/>
      <c r="AP825" s="139"/>
      <c r="AQ825" s="139"/>
      <c r="AR825" s="139"/>
      <c r="AS825" s="139"/>
      <c r="AT825" s="139"/>
      <c r="AU825" s="139"/>
      <c r="AV825" s="139"/>
      <c r="AW825" s="139"/>
      <c r="AX825" s="139"/>
      <c r="AY825" s="139"/>
      <c r="AZ825" s="139"/>
      <c r="BA825" s="139"/>
      <c r="BB825" s="139"/>
    </row>
    <row r="826">
      <c r="A826" s="28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  <c r="AC826" s="139"/>
      <c r="AD826" s="139"/>
      <c r="AE826" s="139"/>
      <c r="AF826" s="139"/>
      <c r="AG826" s="139"/>
      <c r="AH826" s="139"/>
      <c r="AI826" s="139"/>
      <c r="AJ826" s="139"/>
      <c r="AK826" s="139"/>
      <c r="AL826" s="139"/>
      <c r="AM826" s="139"/>
      <c r="AN826" s="139"/>
      <c r="AO826" s="139"/>
      <c r="AP826" s="139"/>
      <c r="AQ826" s="139"/>
      <c r="AR826" s="139"/>
      <c r="AS826" s="139"/>
      <c r="AT826" s="139"/>
      <c r="AU826" s="139"/>
      <c r="AV826" s="139"/>
      <c r="AW826" s="139"/>
      <c r="AX826" s="139"/>
      <c r="AY826" s="139"/>
      <c r="AZ826" s="139"/>
      <c r="BA826" s="139"/>
      <c r="BB826" s="139"/>
    </row>
    <row r="827">
      <c r="A827" s="28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9"/>
      <c r="AM827" s="139"/>
      <c r="AN827" s="139"/>
      <c r="AO827" s="139"/>
      <c r="AP827" s="139"/>
      <c r="AQ827" s="139"/>
      <c r="AR827" s="139"/>
      <c r="AS827" s="139"/>
      <c r="AT827" s="139"/>
      <c r="AU827" s="139"/>
      <c r="AV827" s="139"/>
      <c r="AW827" s="139"/>
      <c r="AX827" s="139"/>
      <c r="AY827" s="139"/>
      <c r="AZ827" s="139"/>
      <c r="BA827" s="139"/>
      <c r="BB827" s="139"/>
    </row>
    <row r="828">
      <c r="A828" s="28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  <c r="AC828" s="139"/>
      <c r="AD828" s="139"/>
      <c r="AE828" s="139"/>
      <c r="AF828" s="139"/>
      <c r="AG828" s="139"/>
      <c r="AH828" s="139"/>
      <c r="AI828" s="139"/>
      <c r="AJ828" s="139"/>
      <c r="AK828" s="139"/>
      <c r="AL828" s="139"/>
      <c r="AM828" s="139"/>
      <c r="AN828" s="139"/>
      <c r="AO828" s="139"/>
      <c r="AP828" s="139"/>
      <c r="AQ828" s="139"/>
      <c r="AR828" s="139"/>
      <c r="AS828" s="139"/>
      <c r="AT828" s="139"/>
      <c r="AU828" s="139"/>
      <c r="AV828" s="139"/>
      <c r="AW828" s="139"/>
      <c r="AX828" s="139"/>
      <c r="AY828" s="139"/>
      <c r="AZ828" s="139"/>
      <c r="BA828" s="139"/>
      <c r="BB828" s="139"/>
    </row>
    <row r="829">
      <c r="A829" s="28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39"/>
      <c r="AD829" s="139"/>
      <c r="AE829" s="139"/>
      <c r="AF829" s="139"/>
      <c r="AG829" s="139"/>
      <c r="AH829" s="139"/>
      <c r="AI829" s="139"/>
      <c r="AJ829" s="139"/>
      <c r="AK829" s="139"/>
      <c r="AL829" s="139"/>
      <c r="AM829" s="139"/>
      <c r="AN829" s="139"/>
      <c r="AO829" s="139"/>
      <c r="AP829" s="139"/>
      <c r="AQ829" s="139"/>
      <c r="AR829" s="139"/>
      <c r="AS829" s="139"/>
      <c r="AT829" s="139"/>
      <c r="AU829" s="139"/>
      <c r="AV829" s="139"/>
      <c r="AW829" s="139"/>
      <c r="AX829" s="139"/>
      <c r="AY829" s="139"/>
      <c r="AZ829" s="139"/>
      <c r="BA829" s="139"/>
      <c r="BB829" s="139"/>
    </row>
    <row r="830">
      <c r="A830" s="28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  <c r="AC830" s="139"/>
      <c r="AD830" s="139"/>
      <c r="AE830" s="139"/>
      <c r="AF830" s="139"/>
      <c r="AG830" s="139"/>
      <c r="AH830" s="139"/>
      <c r="AI830" s="139"/>
      <c r="AJ830" s="139"/>
      <c r="AK830" s="139"/>
      <c r="AL830" s="139"/>
      <c r="AM830" s="139"/>
      <c r="AN830" s="139"/>
      <c r="AO830" s="139"/>
      <c r="AP830" s="139"/>
      <c r="AQ830" s="139"/>
      <c r="AR830" s="139"/>
      <c r="AS830" s="139"/>
      <c r="AT830" s="139"/>
      <c r="AU830" s="139"/>
      <c r="AV830" s="139"/>
      <c r="AW830" s="139"/>
      <c r="AX830" s="139"/>
      <c r="AY830" s="139"/>
      <c r="AZ830" s="139"/>
      <c r="BA830" s="139"/>
      <c r="BB830" s="139"/>
    </row>
    <row r="831">
      <c r="A831" s="28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39"/>
      <c r="AD831" s="139"/>
      <c r="AE831" s="139"/>
      <c r="AF831" s="139"/>
      <c r="AG831" s="139"/>
      <c r="AH831" s="139"/>
      <c r="AI831" s="139"/>
      <c r="AJ831" s="139"/>
      <c r="AK831" s="139"/>
      <c r="AL831" s="139"/>
      <c r="AM831" s="139"/>
      <c r="AN831" s="139"/>
      <c r="AO831" s="139"/>
      <c r="AP831" s="139"/>
      <c r="AQ831" s="139"/>
      <c r="AR831" s="139"/>
      <c r="AS831" s="139"/>
      <c r="AT831" s="139"/>
      <c r="AU831" s="139"/>
      <c r="AV831" s="139"/>
      <c r="AW831" s="139"/>
      <c r="AX831" s="139"/>
      <c r="AY831" s="139"/>
      <c r="AZ831" s="139"/>
      <c r="BA831" s="139"/>
      <c r="BB831" s="139"/>
    </row>
    <row r="832">
      <c r="A832" s="28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  <c r="AC832" s="139"/>
      <c r="AD832" s="139"/>
      <c r="AE832" s="139"/>
      <c r="AF832" s="139"/>
      <c r="AG832" s="139"/>
      <c r="AH832" s="139"/>
      <c r="AI832" s="139"/>
      <c r="AJ832" s="139"/>
      <c r="AK832" s="139"/>
      <c r="AL832" s="139"/>
      <c r="AM832" s="139"/>
      <c r="AN832" s="139"/>
      <c r="AO832" s="139"/>
      <c r="AP832" s="139"/>
      <c r="AQ832" s="139"/>
      <c r="AR832" s="139"/>
      <c r="AS832" s="139"/>
      <c r="AT832" s="139"/>
      <c r="AU832" s="139"/>
      <c r="AV832" s="139"/>
      <c r="AW832" s="139"/>
      <c r="AX832" s="139"/>
      <c r="AY832" s="139"/>
      <c r="AZ832" s="139"/>
      <c r="BA832" s="139"/>
      <c r="BB832" s="139"/>
    </row>
    <row r="833">
      <c r="A833" s="28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39"/>
      <c r="AD833" s="139"/>
      <c r="AE833" s="139"/>
      <c r="AF833" s="139"/>
      <c r="AG833" s="139"/>
      <c r="AH833" s="139"/>
      <c r="AI833" s="139"/>
      <c r="AJ833" s="139"/>
      <c r="AK833" s="139"/>
      <c r="AL833" s="139"/>
      <c r="AM833" s="139"/>
      <c r="AN833" s="139"/>
      <c r="AO833" s="139"/>
      <c r="AP833" s="139"/>
      <c r="AQ833" s="139"/>
      <c r="AR833" s="139"/>
      <c r="AS833" s="139"/>
      <c r="AT833" s="139"/>
      <c r="AU833" s="139"/>
      <c r="AV833" s="139"/>
      <c r="AW833" s="139"/>
      <c r="AX833" s="139"/>
      <c r="AY833" s="139"/>
      <c r="AZ833" s="139"/>
      <c r="BA833" s="139"/>
      <c r="BB833" s="139"/>
    </row>
    <row r="834">
      <c r="A834" s="28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  <c r="AC834" s="139"/>
      <c r="AD834" s="139"/>
      <c r="AE834" s="139"/>
      <c r="AF834" s="139"/>
      <c r="AG834" s="139"/>
      <c r="AH834" s="139"/>
      <c r="AI834" s="139"/>
      <c r="AJ834" s="139"/>
      <c r="AK834" s="139"/>
      <c r="AL834" s="139"/>
      <c r="AM834" s="139"/>
      <c r="AN834" s="139"/>
      <c r="AO834" s="139"/>
      <c r="AP834" s="139"/>
      <c r="AQ834" s="139"/>
      <c r="AR834" s="139"/>
      <c r="AS834" s="139"/>
      <c r="AT834" s="139"/>
      <c r="AU834" s="139"/>
      <c r="AV834" s="139"/>
      <c r="AW834" s="139"/>
      <c r="AX834" s="139"/>
      <c r="AY834" s="139"/>
      <c r="AZ834" s="139"/>
      <c r="BA834" s="139"/>
      <c r="BB834" s="139"/>
    </row>
    <row r="835">
      <c r="A835" s="28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39"/>
      <c r="AD835" s="139"/>
      <c r="AE835" s="139"/>
      <c r="AF835" s="139"/>
      <c r="AG835" s="139"/>
      <c r="AH835" s="139"/>
      <c r="AI835" s="139"/>
      <c r="AJ835" s="139"/>
      <c r="AK835" s="139"/>
      <c r="AL835" s="139"/>
      <c r="AM835" s="139"/>
      <c r="AN835" s="139"/>
      <c r="AO835" s="139"/>
      <c r="AP835" s="139"/>
      <c r="AQ835" s="139"/>
      <c r="AR835" s="139"/>
      <c r="AS835" s="139"/>
      <c r="AT835" s="139"/>
      <c r="AU835" s="139"/>
      <c r="AV835" s="139"/>
      <c r="AW835" s="139"/>
      <c r="AX835" s="139"/>
      <c r="AY835" s="139"/>
      <c r="AZ835" s="139"/>
      <c r="BA835" s="139"/>
      <c r="BB835" s="139"/>
    </row>
    <row r="836">
      <c r="A836" s="28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  <c r="AC836" s="139"/>
      <c r="AD836" s="139"/>
      <c r="AE836" s="139"/>
      <c r="AF836" s="139"/>
      <c r="AG836" s="139"/>
      <c r="AH836" s="139"/>
      <c r="AI836" s="139"/>
      <c r="AJ836" s="139"/>
      <c r="AK836" s="139"/>
      <c r="AL836" s="139"/>
      <c r="AM836" s="139"/>
      <c r="AN836" s="139"/>
      <c r="AO836" s="139"/>
      <c r="AP836" s="139"/>
      <c r="AQ836" s="139"/>
      <c r="AR836" s="139"/>
      <c r="AS836" s="139"/>
      <c r="AT836" s="139"/>
      <c r="AU836" s="139"/>
      <c r="AV836" s="139"/>
      <c r="AW836" s="139"/>
      <c r="AX836" s="139"/>
      <c r="AY836" s="139"/>
      <c r="AZ836" s="139"/>
      <c r="BA836" s="139"/>
      <c r="BB836" s="139"/>
    </row>
    <row r="837">
      <c r="A837" s="28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39"/>
      <c r="AD837" s="139"/>
      <c r="AE837" s="139"/>
      <c r="AF837" s="139"/>
      <c r="AG837" s="139"/>
      <c r="AH837" s="139"/>
      <c r="AI837" s="139"/>
      <c r="AJ837" s="139"/>
      <c r="AK837" s="139"/>
      <c r="AL837" s="139"/>
      <c r="AM837" s="139"/>
      <c r="AN837" s="139"/>
      <c r="AO837" s="139"/>
      <c r="AP837" s="139"/>
      <c r="AQ837" s="139"/>
      <c r="AR837" s="139"/>
      <c r="AS837" s="139"/>
      <c r="AT837" s="139"/>
      <c r="AU837" s="139"/>
      <c r="AV837" s="139"/>
      <c r="AW837" s="139"/>
      <c r="AX837" s="139"/>
      <c r="AY837" s="139"/>
      <c r="AZ837" s="139"/>
      <c r="BA837" s="139"/>
      <c r="BB837" s="139"/>
    </row>
    <row r="838">
      <c r="A838" s="28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  <c r="AC838" s="139"/>
      <c r="AD838" s="139"/>
      <c r="AE838" s="139"/>
      <c r="AF838" s="139"/>
      <c r="AG838" s="139"/>
      <c r="AH838" s="139"/>
      <c r="AI838" s="139"/>
      <c r="AJ838" s="139"/>
      <c r="AK838" s="139"/>
      <c r="AL838" s="139"/>
      <c r="AM838" s="139"/>
      <c r="AN838" s="139"/>
      <c r="AO838" s="139"/>
      <c r="AP838" s="139"/>
      <c r="AQ838" s="139"/>
      <c r="AR838" s="139"/>
      <c r="AS838" s="139"/>
      <c r="AT838" s="139"/>
      <c r="AU838" s="139"/>
      <c r="AV838" s="139"/>
      <c r="AW838" s="139"/>
      <c r="AX838" s="139"/>
      <c r="AY838" s="139"/>
      <c r="AZ838" s="139"/>
      <c r="BA838" s="139"/>
      <c r="BB838" s="139"/>
    </row>
    <row r="839">
      <c r="A839" s="28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  <c r="AC839" s="139"/>
      <c r="AD839" s="139"/>
      <c r="AE839" s="139"/>
      <c r="AF839" s="139"/>
      <c r="AG839" s="139"/>
      <c r="AH839" s="139"/>
      <c r="AI839" s="139"/>
      <c r="AJ839" s="139"/>
      <c r="AK839" s="139"/>
      <c r="AL839" s="139"/>
      <c r="AM839" s="139"/>
      <c r="AN839" s="139"/>
      <c r="AO839" s="139"/>
      <c r="AP839" s="139"/>
      <c r="AQ839" s="139"/>
      <c r="AR839" s="139"/>
      <c r="AS839" s="139"/>
      <c r="AT839" s="139"/>
      <c r="AU839" s="139"/>
      <c r="AV839" s="139"/>
      <c r="AW839" s="139"/>
      <c r="AX839" s="139"/>
      <c r="AY839" s="139"/>
      <c r="AZ839" s="139"/>
      <c r="BA839" s="139"/>
      <c r="BB839" s="139"/>
    </row>
    <row r="840">
      <c r="A840" s="28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  <c r="AC840" s="139"/>
      <c r="AD840" s="139"/>
      <c r="AE840" s="139"/>
      <c r="AF840" s="139"/>
      <c r="AG840" s="139"/>
      <c r="AH840" s="139"/>
      <c r="AI840" s="139"/>
      <c r="AJ840" s="139"/>
      <c r="AK840" s="139"/>
      <c r="AL840" s="139"/>
      <c r="AM840" s="139"/>
      <c r="AN840" s="139"/>
      <c r="AO840" s="139"/>
      <c r="AP840" s="139"/>
      <c r="AQ840" s="139"/>
      <c r="AR840" s="139"/>
      <c r="AS840" s="139"/>
      <c r="AT840" s="139"/>
      <c r="AU840" s="139"/>
      <c r="AV840" s="139"/>
      <c r="AW840" s="139"/>
      <c r="AX840" s="139"/>
      <c r="AY840" s="139"/>
      <c r="AZ840" s="139"/>
      <c r="BA840" s="139"/>
      <c r="BB840" s="139"/>
    </row>
    <row r="841">
      <c r="A841" s="28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  <c r="AC841" s="139"/>
      <c r="AD841" s="139"/>
      <c r="AE841" s="139"/>
      <c r="AF841" s="139"/>
      <c r="AG841" s="139"/>
      <c r="AH841" s="139"/>
      <c r="AI841" s="139"/>
      <c r="AJ841" s="139"/>
      <c r="AK841" s="139"/>
      <c r="AL841" s="139"/>
      <c r="AM841" s="139"/>
      <c r="AN841" s="139"/>
      <c r="AO841" s="139"/>
      <c r="AP841" s="139"/>
      <c r="AQ841" s="139"/>
      <c r="AR841" s="139"/>
      <c r="AS841" s="139"/>
      <c r="AT841" s="139"/>
      <c r="AU841" s="139"/>
      <c r="AV841" s="139"/>
      <c r="AW841" s="139"/>
      <c r="AX841" s="139"/>
      <c r="AY841" s="139"/>
      <c r="AZ841" s="139"/>
      <c r="BA841" s="139"/>
      <c r="BB841" s="139"/>
    </row>
    <row r="842">
      <c r="A842" s="28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  <c r="AC842" s="139"/>
      <c r="AD842" s="139"/>
      <c r="AE842" s="139"/>
      <c r="AF842" s="139"/>
      <c r="AG842" s="139"/>
      <c r="AH842" s="139"/>
      <c r="AI842" s="139"/>
      <c r="AJ842" s="139"/>
      <c r="AK842" s="139"/>
      <c r="AL842" s="139"/>
      <c r="AM842" s="139"/>
      <c r="AN842" s="139"/>
      <c r="AO842" s="139"/>
      <c r="AP842" s="139"/>
      <c r="AQ842" s="139"/>
      <c r="AR842" s="139"/>
      <c r="AS842" s="139"/>
      <c r="AT842" s="139"/>
      <c r="AU842" s="139"/>
      <c r="AV842" s="139"/>
      <c r="AW842" s="139"/>
      <c r="AX842" s="139"/>
      <c r="AY842" s="139"/>
      <c r="AZ842" s="139"/>
      <c r="BA842" s="139"/>
      <c r="BB842" s="139"/>
    </row>
    <row r="843">
      <c r="A843" s="28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  <c r="AC843" s="139"/>
      <c r="AD843" s="139"/>
      <c r="AE843" s="139"/>
      <c r="AF843" s="139"/>
      <c r="AG843" s="139"/>
      <c r="AH843" s="139"/>
      <c r="AI843" s="139"/>
      <c r="AJ843" s="139"/>
      <c r="AK843" s="139"/>
      <c r="AL843" s="139"/>
      <c r="AM843" s="139"/>
      <c r="AN843" s="139"/>
      <c r="AO843" s="139"/>
      <c r="AP843" s="139"/>
      <c r="AQ843" s="139"/>
      <c r="AR843" s="139"/>
      <c r="AS843" s="139"/>
      <c r="AT843" s="139"/>
      <c r="AU843" s="139"/>
      <c r="AV843" s="139"/>
      <c r="AW843" s="139"/>
      <c r="AX843" s="139"/>
      <c r="AY843" s="139"/>
      <c r="AZ843" s="139"/>
      <c r="BA843" s="139"/>
      <c r="BB843" s="139"/>
    </row>
    <row r="844">
      <c r="A844" s="28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39"/>
      <c r="AD844" s="139"/>
      <c r="AE844" s="139"/>
      <c r="AF844" s="139"/>
      <c r="AG844" s="139"/>
      <c r="AH844" s="139"/>
      <c r="AI844" s="139"/>
      <c r="AJ844" s="139"/>
      <c r="AK844" s="139"/>
      <c r="AL844" s="139"/>
      <c r="AM844" s="139"/>
      <c r="AN844" s="139"/>
      <c r="AO844" s="139"/>
      <c r="AP844" s="139"/>
      <c r="AQ844" s="139"/>
      <c r="AR844" s="139"/>
      <c r="AS844" s="139"/>
      <c r="AT844" s="139"/>
      <c r="AU844" s="139"/>
      <c r="AV844" s="139"/>
      <c r="AW844" s="139"/>
      <c r="AX844" s="139"/>
      <c r="AY844" s="139"/>
      <c r="AZ844" s="139"/>
      <c r="BA844" s="139"/>
      <c r="BB844" s="139"/>
    </row>
    <row r="845">
      <c r="A845" s="28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  <c r="AC845" s="139"/>
      <c r="AD845" s="139"/>
      <c r="AE845" s="139"/>
      <c r="AF845" s="139"/>
      <c r="AG845" s="139"/>
      <c r="AH845" s="139"/>
      <c r="AI845" s="139"/>
      <c r="AJ845" s="139"/>
      <c r="AK845" s="139"/>
      <c r="AL845" s="139"/>
      <c r="AM845" s="139"/>
      <c r="AN845" s="139"/>
      <c r="AO845" s="139"/>
      <c r="AP845" s="139"/>
      <c r="AQ845" s="139"/>
      <c r="AR845" s="139"/>
      <c r="AS845" s="139"/>
      <c r="AT845" s="139"/>
      <c r="AU845" s="139"/>
      <c r="AV845" s="139"/>
      <c r="AW845" s="139"/>
      <c r="AX845" s="139"/>
      <c r="AY845" s="139"/>
      <c r="AZ845" s="139"/>
      <c r="BA845" s="139"/>
      <c r="BB845" s="139"/>
    </row>
    <row r="846">
      <c r="A846" s="28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  <c r="AK846" s="139"/>
      <c r="AL846" s="139"/>
      <c r="AM846" s="139"/>
      <c r="AN846" s="139"/>
      <c r="AO846" s="139"/>
      <c r="AP846" s="139"/>
      <c r="AQ846" s="139"/>
      <c r="AR846" s="139"/>
      <c r="AS846" s="139"/>
      <c r="AT846" s="139"/>
      <c r="AU846" s="139"/>
      <c r="AV846" s="139"/>
      <c r="AW846" s="139"/>
      <c r="AX846" s="139"/>
      <c r="AY846" s="139"/>
      <c r="AZ846" s="139"/>
      <c r="BA846" s="139"/>
      <c r="BB846" s="139"/>
    </row>
    <row r="847">
      <c r="A847" s="28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  <c r="AC847" s="139"/>
      <c r="AD847" s="139"/>
      <c r="AE847" s="139"/>
      <c r="AF847" s="139"/>
      <c r="AG847" s="139"/>
      <c r="AH847" s="139"/>
      <c r="AI847" s="139"/>
      <c r="AJ847" s="139"/>
      <c r="AK847" s="139"/>
      <c r="AL847" s="139"/>
      <c r="AM847" s="139"/>
      <c r="AN847" s="139"/>
      <c r="AO847" s="139"/>
      <c r="AP847" s="139"/>
      <c r="AQ847" s="139"/>
      <c r="AR847" s="139"/>
      <c r="AS847" s="139"/>
      <c r="AT847" s="139"/>
      <c r="AU847" s="139"/>
      <c r="AV847" s="139"/>
      <c r="AW847" s="139"/>
      <c r="AX847" s="139"/>
      <c r="AY847" s="139"/>
      <c r="AZ847" s="139"/>
      <c r="BA847" s="139"/>
      <c r="BB847" s="139"/>
    </row>
    <row r="848">
      <c r="A848" s="28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  <c r="AC848" s="139"/>
      <c r="AD848" s="139"/>
      <c r="AE848" s="139"/>
      <c r="AF848" s="139"/>
      <c r="AG848" s="139"/>
      <c r="AH848" s="139"/>
      <c r="AI848" s="139"/>
      <c r="AJ848" s="139"/>
      <c r="AK848" s="139"/>
      <c r="AL848" s="139"/>
      <c r="AM848" s="139"/>
      <c r="AN848" s="139"/>
      <c r="AO848" s="139"/>
      <c r="AP848" s="139"/>
      <c r="AQ848" s="139"/>
      <c r="AR848" s="139"/>
      <c r="AS848" s="139"/>
      <c r="AT848" s="139"/>
      <c r="AU848" s="139"/>
      <c r="AV848" s="139"/>
      <c r="AW848" s="139"/>
      <c r="AX848" s="139"/>
      <c r="AY848" s="139"/>
      <c r="AZ848" s="139"/>
      <c r="BA848" s="139"/>
      <c r="BB848" s="139"/>
    </row>
    <row r="849">
      <c r="A849" s="28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  <c r="AC849" s="139"/>
      <c r="AD849" s="139"/>
      <c r="AE849" s="139"/>
      <c r="AF849" s="139"/>
      <c r="AG849" s="139"/>
      <c r="AH849" s="139"/>
      <c r="AI849" s="139"/>
      <c r="AJ849" s="139"/>
      <c r="AK849" s="139"/>
      <c r="AL849" s="139"/>
      <c r="AM849" s="139"/>
      <c r="AN849" s="139"/>
      <c r="AO849" s="139"/>
      <c r="AP849" s="139"/>
      <c r="AQ849" s="139"/>
      <c r="AR849" s="139"/>
      <c r="AS849" s="139"/>
      <c r="AT849" s="139"/>
      <c r="AU849" s="139"/>
      <c r="AV849" s="139"/>
      <c r="AW849" s="139"/>
      <c r="AX849" s="139"/>
      <c r="AY849" s="139"/>
      <c r="AZ849" s="139"/>
      <c r="BA849" s="139"/>
      <c r="BB849" s="139"/>
    </row>
    <row r="850">
      <c r="A850" s="28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  <c r="AC850" s="139"/>
      <c r="AD850" s="139"/>
      <c r="AE850" s="139"/>
      <c r="AF850" s="139"/>
      <c r="AG850" s="139"/>
      <c r="AH850" s="139"/>
      <c r="AI850" s="139"/>
      <c r="AJ850" s="139"/>
      <c r="AK850" s="139"/>
      <c r="AL850" s="139"/>
      <c r="AM850" s="139"/>
      <c r="AN850" s="139"/>
      <c r="AO850" s="139"/>
      <c r="AP850" s="139"/>
      <c r="AQ850" s="139"/>
      <c r="AR850" s="139"/>
      <c r="AS850" s="139"/>
      <c r="AT850" s="139"/>
      <c r="AU850" s="139"/>
      <c r="AV850" s="139"/>
      <c r="AW850" s="139"/>
      <c r="AX850" s="139"/>
      <c r="AY850" s="139"/>
      <c r="AZ850" s="139"/>
      <c r="BA850" s="139"/>
      <c r="BB850" s="139"/>
    </row>
    <row r="851">
      <c r="A851" s="28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  <c r="AC851" s="139"/>
      <c r="AD851" s="139"/>
      <c r="AE851" s="139"/>
      <c r="AF851" s="139"/>
      <c r="AG851" s="139"/>
      <c r="AH851" s="139"/>
      <c r="AI851" s="139"/>
      <c r="AJ851" s="139"/>
      <c r="AK851" s="139"/>
      <c r="AL851" s="139"/>
      <c r="AM851" s="139"/>
      <c r="AN851" s="139"/>
      <c r="AO851" s="139"/>
      <c r="AP851" s="139"/>
      <c r="AQ851" s="139"/>
      <c r="AR851" s="139"/>
      <c r="AS851" s="139"/>
      <c r="AT851" s="139"/>
      <c r="AU851" s="139"/>
      <c r="AV851" s="139"/>
      <c r="AW851" s="139"/>
      <c r="AX851" s="139"/>
      <c r="AY851" s="139"/>
      <c r="AZ851" s="139"/>
      <c r="BA851" s="139"/>
      <c r="BB851" s="139"/>
    </row>
    <row r="852">
      <c r="A852" s="28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39"/>
      <c r="AD852" s="139"/>
      <c r="AE852" s="139"/>
      <c r="AF852" s="139"/>
      <c r="AG852" s="139"/>
      <c r="AH852" s="139"/>
      <c r="AI852" s="139"/>
      <c r="AJ852" s="139"/>
      <c r="AK852" s="139"/>
      <c r="AL852" s="139"/>
      <c r="AM852" s="139"/>
      <c r="AN852" s="139"/>
      <c r="AO852" s="139"/>
      <c r="AP852" s="139"/>
      <c r="AQ852" s="139"/>
      <c r="AR852" s="139"/>
      <c r="AS852" s="139"/>
      <c r="AT852" s="139"/>
      <c r="AU852" s="139"/>
      <c r="AV852" s="139"/>
      <c r="AW852" s="139"/>
      <c r="AX852" s="139"/>
      <c r="AY852" s="139"/>
      <c r="AZ852" s="139"/>
      <c r="BA852" s="139"/>
      <c r="BB852" s="139"/>
    </row>
    <row r="853">
      <c r="A853" s="28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  <c r="AC853" s="139"/>
      <c r="AD853" s="139"/>
      <c r="AE853" s="139"/>
      <c r="AF853" s="139"/>
      <c r="AG853" s="139"/>
      <c r="AH853" s="139"/>
      <c r="AI853" s="139"/>
      <c r="AJ853" s="139"/>
      <c r="AK853" s="139"/>
      <c r="AL853" s="139"/>
      <c r="AM853" s="139"/>
      <c r="AN853" s="139"/>
      <c r="AO853" s="139"/>
      <c r="AP853" s="139"/>
      <c r="AQ853" s="139"/>
      <c r="AR853" s="139"/>
      <c r="AS853" s="139"/>
      <c r="AT853" s="139"/>
      <c r="AU853" s="139"/>
      <c r="AV853" s="139"/>
      <c r="AW853" s="139"/>
      <c r="AX853" s="139"/>
      <c r="AY853" s="139"/>
      <c r="AZ853" s="139"/>
      <c r="BA853" s="139"/>
      <c r="BB853" s="139"/>
    </row>
    <row r="854">
      <c r="A854" s="28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39"/>
      <c r="AD854" s="139"/>
      <c r="AE854" s="139"/>
      <c r="AF854" s="139"/>
      <c r="AG854" s="139"/>
      <c r="AH854" s="139"/>
      <c r="AI854" s="139"/>
      <c r="AJ854" s="139"/>
      <c r="AK854" s="139"/>
      <c r="AL854" s="139"/>
      <c r="AM854" s="139"/>
      <c r="AN854" s="139"/>
      <c r="AO854" s="139"/>
      <c r="AP854" s="139"/>
      <c r="AQ854" s="139"/>
      <c r="AR854" s="139"/>
      <c r="AS854" s="139"/>
      <c r="AT854" s="139"/>
      <c r="AU854" s="139"/>
      <c r="AV854" s="139"/>
      <c r="AW854" s="139"/>
      <c r="AX854" s="139"/>
      <c r="AY854" s="139"/>
      <c r="AZ854" s="139"/>
      <c r="BA854" s="139"/>
      <c r="BB854" s="139"/>
    </row>
    <row r="855">
      <c r="A855" s="28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  <c r="AC855" s="139"/>
      <c r="AD855" s="139"/>
      <c r="AE855" s="139"/>
      <c r="AF855" s="139"/>
      <c r="AG855" s="139"/>
      <c r="AH855" s="139"/>
      <c r="AI855" s="139"/>
      <c r="AJ855" s="139"/>
      <c r="AK855" s="139"/>
      <c r="AL855" s="139"/>
      <c r="AM855" s="139"/>
      <c r="AN855" s="139"/>
      <c r="AO855" s="139"/>
      <c r="AP855" s="139"/>
      <c r="AQ855" s="139"/>
      <c r="AR855" s="139"/>
      <c r="AS855" s="139"/>
      <c r="AT855" s="139"/>
      <c r="AU855" s="139"/>
      <c r="AV855" s="139"/>
      <c r="AW855" s="139"/>
      <c r="AX855" s="139"/>
      <c r="AY855" s="139"/>
      <c r="AZ855" s="139"/>
      <c r="BA855" s="139"/>
      <c r="BB855" s="139"/>
    </row>
    <row r="856">
      <c r="A856" s="28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39"/>
      <c r="AD856" s="139"/>
      <c r="AE856" s="139"/>
      <c r="AF856" s="139"/>
      <c r="AG856" s="139"/>
      <c r="AH856" s="139"/>
      <c r="AI856" s="139"/>
      <c r="AJ856" s="139"/>
      <c r="AK856" s="139"/>
      <c r="AL856" s="139"/>
      <c r="AM856" s="139"/>
      <c r="AN856" s="139"/>
      <c r="AO856" s="139"/>
      <c r="AP856" s="139"/>
      <c r="AQ856" s="139"/>
      <c r="AR856" s="139"/>
      <c r="AS856" s="139"/>
      <c r="AT856" s="139"/>
      <c r="AU856" s="139"/>
      <c r="AV856" s="139"/>
      <c r="AW856" s="139"/>
      <c r="AX856" s="139"/>
      <c r="AY856" s="139"/>
      <c r="AZ856" s="139"/>
      <c r="BA856" s="139"/>
      <c r="BB856" s="139"/>
    </row>
    <row r="857">
      <c r="A857" s="28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  <c r="AC857" s="139"/>
      <c r="AD857" s="139"/>
      <c r="AE857" s="139"/>
      <c r="AF857" s="139"/>
      <c r="AG857" s="139"/>
      <c r="AH857" s="139"/>
      <c r="AI857" s="139"/>
      <c r="AJ857" s="139"/>
      <c r="AK857" s="139"/>
      <c r="AL857" s="139"/>
      <c r="AM857" s="139"/>
      <c r="AN857" s="139"/>
      <c r="AO857" s="139"/>
      <c r="AP857" s="139"/>
      <c r="AQ857" s="139"/>
      <c r="AR857" s="139"/>
      <c r="AS857" s="139"/>
      <c r="AT857" s="139"/>
      <c r="AU857" s="139"/>
      <c r="AV857" s="139"/>
      <c r="AW857" s="139"/>
      <c r="AX857" s="139"/>
      <c r="AY857" s="139"/>
      <c r="AZ857" s="139"/>
      <c r="BA857" s="139"/>
      <c r="BB857" s="139"/>
    </row>
    <row r="858">
      <c r="A858" s="28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39"/>
      <c r="AD858" s="139"/>
      <c r="AE858" s="139"/>
      <c r="AF858" s="139"/>
      <c r="AG858" s="139"/>
      <c r="AH858" s="139"/>
      <c r="AI858" s="139"/>
      <c r="AJ858" s="139"/>
      <c r="AK858" s="139"/>
      <c r="AL858" s="139"/>
      <c r="AM858" s="139"/>
      <c r="AN858" s="139"/>
      <c r="AO858" s="139"/>
      <c r="AP858" s="139"/>
      <c r="AQ858" s="139"/>
      <c r="AR858" s="139"/>
      <c r="AS858" s="139"/>
      <c r="AT858" s="139"/>
      <c r="AU858" s="139"/>
      <c r="AV858" s="139"/>
      <c r="AW858" s="139"/>
      <c r="AX858" s="139"/>
      <c r="AY858" s="139"/>
      <c r="AZ858" s="139"/>
      <c r="BA858" s="139"/>
      <c r="BB858" s="139"/>
    </row>
    <row r="859">
      <c r="A859" s="28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  <c r="AC859" s="139"/>
      <c r="AD859" s="139"/>
      <c r="AE859" s="139"/>
      <c r="AF859" s="139"/>
      <c r="AG859" s="139"/>
      <c r="AH859" s="139"/>
      <c r="AI859" s="139"/>
      <c r="AJ859" s="139"/>
      <c r="AK859" s="139"/>
      <c r="AL859" s="139"/>
      <c r="AM859" s="139"/>
      <c r="AN859" s="139"/>
      <c r="AO859" s="139"/>
      <c r="AP859" s="139"/>
      <c r="AQ859" s="139"/>
      <c r="AR859" s="139"/>
      <c r="AS859" s="139"/>
      <c r="AT859" s="139"/>
      <c r="AU859" s="139"/>
      <c r="AV859" s="139"/>
      <c r="AW859" s="139"/>
      <c r="AX859" s="139"/>
      <c r="AY859" s="139"/>
      <c r="AZ859" s="139"/>
      <c r="BA859" s="139"/>
      <c r="BB859" s="139"/>
    </row>
    <row r="860">
      <c r="A860" s="28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9"/>
      <c r="AM860" s="139"/>
      <c r="AN860" s="139"/>
      <c r="AO860" s="139"/>
      <c r="AP860" s="139"/>
      <c r="AQ860" s="139"/>
      <c r="AR860" s="139"/>
      <c r="AS860" s="139"/>
      <c r="AT860" s="139"/>
      <c r="AU860" s="139"/>
      <c r="AV860" s="139"/>
      <c r="AW860" s="139"/>
      <c r="AX860" s="139"/>
      <c r="AY860" s="139"/>
      <c r="AZ860" s="139"/>
      <c r="BA860" s="139"/>
      <c r="BB860" s="139"/>
    </row>
    <row r="861">
      <c r="A861" s="28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  <c r="AC861" s="139"/>
      <c r="AD861" s="139"/>
      <c r="AE861" s="139"/>
      <c r="AF861" s="139"/>
      <c r="AG861" s="139"/>
      <c r="AH861" s="139"/>
      <c r="AI861" s="139"/>
      <c r="AJ861" s="139"/>
      <c r="AK861" s="139"/>
      <c r="AL861" s="139"/>
      <c r="AM861" s="139"/>
      <c r="AN861" s="139"/>
      <c r="AO861" s="139"/>
      <c r="AP861" s="139"/>
      <c r="AQ861" s="139"/>
      <c r="AR861" s="139"/>
      <c r="AS861" s="139"/>
      <c r="AT861" s="139"/>
      <c r="AU861" s="139"/>
      <c r="AV861" s="139"/>
      <c r="AW861" s="139"/>
      <c r="AX861" s="139"/>
      <c r="AY861" s="139"/>
      <c r="AZ861" s="139"/>
      <c r="BA861" s="139"/>
      <c r="BB861" s="139"/>
    </row>
    <row r="862">
      <c r="A862" s="28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39"/>
      <c r="AD862" s="139"/>
      <c r="AE862" s="139"/>
      <c r="AF862" s="139"/>
      <c r="AG862" s="139"/>
      <c r="AH862" s="139"/>
      <c r="AI862" s="139"/>
      <c r="AJ862" s="139"/>
      <c r="AK862" s="139"/>
      <c r="AL862" s="139"/>
      <c r="AM862" s="139"/>
      <c r="AN862" s="139"/>
      <c r="AO862" s="139"/>
      <c r="AP862" s="139"/>
      <c r="AQ862" s="139"/>
      <c r="AR862" s="139"/>
      <c r="AS862" s="139"/>
      <c r="AT862" s="139"/>
      <c r="AU862" s="139"/>
      <c r="AV862" s="139"/>
      <c r="AW862" s="139"/>
      <c r="AX862" s="139"/>
      <c r="AY862" s="139"/>
      <c r="AZ862" s="139"/>
      <c r="BA862" s="139"/>
      <c r="BB862" s="139"/>
    </row>
    <row r="863">
      <c r="A863" s="28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  <c r="AC863" s="139"/>
      <c r="AD863" s="139"/>
      <c r="AE863" s="139"/>
      <c r="AF863" s="139"/>
      <c r="AG863" s="139"/>
      <c r="AH863" s="139"/>
      <c r="AI863" s="139"/>
      <c r="AJ863" s="139"/>
      <c r="AK863" s="139"/>
      <c r="AL863" s="139"/>
      <c r="AM863" s="139"/>
      <c r="AN863" s="139"/>
      <c r="AO863" s="139"/>
      <c r="AP863" s="139"/>
      <c r="AQ863" s="139"/>
      <c r="AR863" s="139"/>
      <c r="AS863" s="139"/>
      <c r="AT863" s="139"/>
      <c r="AU863" s="139"/>
      <c r="AV863" s="139"/>
      <c r="AW863" s="139"/>
      <c r="AX863" s="139"/>
      <c r="AY863" s="139"/>
      <c r="AZ863" s="139"/>
      <c r="BA863" s="139"/>
      <c r="BB863" s="139"/>
    </row>
    <row r="864">
      <c r="A864" s="28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39"/>
      <c r="AD864" s="139"/>
      <c r="AE864" s="139"/>
      <c r="AF864" s="139"/>
      <c r="AG864" s="139"/>
      <c r="AH864" s="139"/>
      <c r="AI864" s="139"/>
      <c r="AJ864" s="139"/>
      <c r="AK864" s="139"/>
      <c r="AL864" s="139"/>
      <c r="AM864" s="139"/>
      <c r="AN864" s="139"/>
      <c r="AO864" s="139"/>
      <c r="AP864" s="139"/>
      <c r="AQ864" s="139"/>
      <c r="AR864" s="139"/>
      <c r="AS864" s="139"/>
      <c r="AT864" s="139"/>
      <c r="AU864" s="139"/>
      <c r="AV864" s="139"/>
      <c r="AW864" s="139"/>
      <c r="AX864" s="139"/>
      <c r="AY864" s="139"/>
      <c r="AZ864" s="139"/>
      <c r="BA864" s="139"/>
      <c r="BB864" s="139"/>
    </row>
    <row r="865">
      <c r="A865" s="28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  <c r="AC865" s="139"/>
      <c r="AD865" s="139"/>
      <c r="AE865" s="139"/>
      <c r="AF865" s="139"/>
      <c r="AG865" s="139"/>
      <c r="AH865" s="139"/>
      <c r="AI865" s="139"/>
      <c r="AJ865" s="139"/>
      <c r="AK865" s="139"/>
      <c r="AL865" s="139"/>
      <c r="AM865" s="139"/>
      <c r="AN865" s="139"/>
      <c r="AO865" s="139"/>
      <c r="AP865" s="139"/>
      <c r="AQ865" s="139"/>
      <c r="AR865" s="139"/>
      <c r="AS865" s="139"/>
      <c r="AT865" s="139"/>
      <c r="AU865" s="139"/>
      <c r="AV865" s="139"/>
      <c r="AW865" s="139"/>
      <c r="AX865" s="139"/>
      <c r="AY865" s="139"/>
      <c r="AZ865" s="139"/>
      <c r="BA865" s="139"/>
      <c r="BB865" s="139"/>
    </row>
    <row r="866">
      <c r="A866" s="28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39"/>
      <c r="AD866" s="139"/>
      <c r="AE866" s="139"/>
      <c r="AF866" s="139"/>
      <c r="AG866" s="139"/>
      <c r="AH866" s="139"/>
      <c r="AI866" s="139"/>
      <c r="AJ866" s="139"/>
      <c r="AK866" s="139"/>
      <c r="AL866" s="139"/>
      <c r="AM866" s="139"/>
      <c r="AN866" s="139"/>
      <c r="AO866" s="139"/>
      <c r="AP866" s="139"/>
      <c r="AQ866" s="139"/>
      <c r="AR866" s="139"/>
      <c r="AS866" s="139"/>
      <c r="AT866" s="139"/>
      <c r="AU866" s="139"/>
      <c r="AV866" s="139"/>
      <c r="AW866" s="139"/>
      <c r="AX866" s="139"/>
      <c r="AY866" s="139"/>
      <c r="AZ866" s="139"/>
      <c r="BA866" s="139"/>
      <c r="BB866" s="139"/>
    </row>
    <row r="867">
      <c r="A867" s="28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  <c r="AC867" s="139"/>
      <c r="AD867" s="139"/>
      <c r="AE867" s="139"/>
      <c r="AF867" s="139"/>
      <c r="AG867" s="139"/>
      <c r="AH867" s="139"/>
      <c r="AI867" s="139"/>
      <c r="AJ867" s="139"/>
      <c r="AK867" s="139"/>
      <c r="AL867" s="139"/>
      <c r="AM867" s="139"/>
      <c r="AN867" s="139"/>
      <c r="AO867" s="139"/>
      <c r="AP867" s="139"/>
      <c r="AQ867" s="139"/>
      <c r="AR867" s="139"/>
      <c r="AS867" s="139"/>
      <c r="AT867" s="139"/>
      <c r="AU867" s="139"/>
      <c r="AV867" s="139"/>
      <c r="AW867" s="139"/>
      <c r="AX867" s="139"/>
      <c r="AY867" s="139"/>
      <c r="AZ867" s="139"/>
      <c r="BA867" s="139"/>
      <c r="BB867" s="139"/>
    </row>
    <row r="868">
      <c r="A868" s="28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39"/>
      <c r="AD868" s="139"/>
      <c r="AE868" s="139"/>
      <c r="AF868" s="139"/>
      <c r="AG868" s="139"/>
      <c r="AH868" s="139"/>
      <c r="AI868" s="139"/>
      <c r="AJ868" s="139"/>
      <c r="AK868" s="139"/>
      <c r="AL868" s="139"/>
      <c r="AM868" s="139"/>
      <c r="AN868" s="139"/>
      <c r="AO868" s="139"/>
      <c r="AP868" s="139"/>
      <c r="AQ868" s="139"/>
      <c r="AR868" s="139"/>
      <c r="AS868" s="139"/>
      <c r="AT868" s="139"/>
      <c r="AU868" s="139"/>
      <c r="AV868" s="139"/>
      <c r="AW868" s="139"/>
      <c r="AX868" s="139"/>
      <c r="AY868" s="139"/>
      <c r="AZ868" s="139"/>
      <c r="BA868" s="139"/>
      <c r="BB868" s="139"/>
    </row>
    <row r="869">
      <c r="A869" s="28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  <c r="AC869" s="139"/>
      <c r="AD869" s="139"/>
      <c r="AE869" s="139"/>
      <c r="AF869" s="139"/>
      <c r="AG869" s="139"/>
      <c r="AH869" s="139"/>
      <c r="AI869" s="139"/>
      <c r="AJ869" s="139"/>
      <c r="AK869" s="139"/>
      <c r="AL869" s="139"/>
      <c r="AM869" s="139"/>
      <c r="AN869" s="139"/>
      <c r="AO869" s="139"/>
      <c r="AP869" s="139"/>
      <c r="AQ869" s="139"/>
      <c r="AR869" s="139"/>
      <c r="AS869" s="139"/>
      <c r="AT869" s="139"/>
      <c r="AU869" s="139"/>
      <c r="AV869" s="139"/>
      <c r="AW869" s="139"/>
      <c r="AX869" s="139"/>
      <c r="AY869" s="139"/>
      <c r="AZ869" s="139"/>
      <c r="BA869" s="139"/>
      <c r="BB869" s="139"/>
    </row>
    <row r="870">
      <c r="A870" s="28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39"/>
      <c r="AD870" s="139"/>
      <c r="AE870" s="139"/>
      <c r="AF870" s="139"/>
      <c r="AG870" s="139"/>
      <c r="AH870" s="139"/>
      <c r="AI870" s="139"/>
      <c r="AJ870" s="139"/>
      <c r="AK870" s="139"/>
      <c r="AL870" s="139"/>
      <c r="AM870" s="139"/>
      <c r="AN870" s="139"/>
      <c r="AO870" s="139"/>
      <c r="AP870" s="139"/>
      <c r="AQ870" s="139"/>
      <c r="AR870" s="139"/>
      <c r="AS870" s="139"/>
      <c r="AT870" s="139"/>
      <c r="AU870" s="139"/>
      <c r="AV870" s="139"/>
      <c r="AW870" s="139"/>
      <c r="AX870" s="139"/>
      <c r="AY870" s="139"/>
      <c r="AZ870" s="139"/>
      <c r="BA870" s="139"/>
      <c r="BB870" s="139"/>
    </row>
    <row r="871">
      <c r="A871" s="28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  <c r="AC871" s="139"/>
      <c r="AD871" s="139"/>
      <c r="AE871" s="139"/>
      <c r="AF871" s="139"/>
      <c r="AG871" s="139"/>
      <c r="AH871" s="139"/>
      <c r="AI871" s="139"/>
      <c r="AJ871" s="139"/>
      <c r="AK871" s="139"/>
      <c r="AL871" s="139"/>
      <c r="AM871" s="139"/>
      <c r="AN871" s="139"/>
      <c r="AO871" s="139"/>
      <c r="AP871" s="139"/>
      <c r="AQ871" s="139"/>
      <c r="AR871" s="139"/>
      <c r="AS871" s="139"/>
      <c r="AT871" s="139"/>
      <c r="AU871" s="139"/>
      <c r="AV871" s="139"/>
      <c r="AW871" s="139"/>
      <c r="AX871" s="139"/>
      <c r="AY871" s="139"/>
      <c r="AZ871" s="139"/>
      <c r="BA871" s="139"/>
      <c r="BB871" s="139"/>
    </row>
    <row r="872">
      <c r="A872" s="28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39"/>
      <c r="AD872" s="139"/>
      <c r="AE872" s="139"/>
      <c r="AF872" s="139"/>
      <c r="AG872" s="139"/>
      <c r="AH872" s="139"/>
      <c r="AI872" s="139"/>
      <c r="AJ872" s="139"/>
      <c r="AK872" s="139"/>
      <c r="AL872" s="139"/>
      <c r="AM872" s="139"/>
      <c r="AN872" s="139"/>
      <c r="AO872" s="139"/>
      <c r="AP872" s="139"/>
      <c r="AQ872" s="139"/>
      <c r="AR872" s="139"/>
      <c r="AS872" s="139"/>
      <c r="AT872" s="139"/>
      <c r="AU872" s="139"/>
      <c r="AV872" s="139"/>
      <c r="AW872" s="139"/>
      <c r="AX872" s="139"/>
      <c r="AY872" s="139"/>
      <c r="AZ872" s="139"/>
      <c r="BA872" s="139"/>
      <c r="BB872" s="139"/>
    </row>
    <row r="873">
      <c r="A873" s="28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  <c r="AC873" s="139"/>
      <c r="AD873" s="139"/>
      <c r="AE873" s="139"/>
      <c r="AF873" s="139"/>
      <c r="AG873" s="139"/>
      <c r="AH873" s="139"/>
      <c r="AI873" s="139"/>
      <c r="AJ873" s="139"/>
      <c r="AK873" s="139"/>
      <c r="AL873" s="139"/>
      <c r="AM873" s="139"/>
      <c r="AN873" s="139"/>
      <c r="AO873" s="139"/>
      <c r="AP873" s="139"/>
      <c r="AQ873" s="139"/>
      <c r="AR873" s="139"/>
      <c r="AS873" s="139"/>
      <c r="AT873" s="139"/>
      <c r="AU873" s="139"/>
      <c r="AV873" s="139"/>
      <c r="AW873" s="139"/>
      <c r="AX873" s="139"/>
      <c r="AY873" s="139"/>
      <c r="AZ873" s="139"/>
      <c r="BA873" s="139"/>
      <c r="BB873" s="139"/>
    </row>
    <row r="874">
      <c r="A874" s="28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39"/>
      <c r="AD874" s="139"/>
      <c r="AE874" s="139"/>
      <c r="AF874" s="139"/>
      <c r="AG874" s="139"/>
      <c r="AH874" s="139"/>
      <c r="AI874" s="139"/>
      <c r="AJ874" s="139"/>
      <c r="AK874" s="139"/>
      <c r="AL874" s="139"/>
      <c r="AM874" s="139"/>
      <c r="AN874" s="139"/>
      <c r="AO874" s="139"/>
      <c r="AP874" s="139"/>
      <c r="AQ874" s="139"/>
      <c r="AR874" s="139"/>
      <c r="AS874" s="139"/>
      <c r="AT874" s="139"/>
      <c r="AU874" s="139"/>
      <c r="AV874" s="139"/>
      <c r="AW874" s="139"/>
      <c r="AX874" s="139"/>
      <c r="AY874" s="139"/>
      <c r="AZ874" s="139"/>
      <c r="BA874" s="139"/>
      <c r="BB874" s="139"/>
    </row>
    <row r="875">
      <c r="A875" s="28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  <c r="AC875" s="139"/>
      <c r="AD875" s="139"/>
      <c r="AE875" s="139"/>
      <c r="AF875" s="139"/>
      <c r="AG875" s="139"/>
      <c r="AH875" s="139"/>
      <c r="AI875" s="139"/>
      <c r="AJ875" s="139"/>
      <c r="AK875" s="139"/>
      <c r="AL875" s="139"/>
      <c r="AM875" s="139"/>
      <c r="AN875" s="139"/>
      <c r="AO875" s="139"/>
      <c r="AP875" s="139"/>
      <c r="AQ875" s="139"/>
      <c r="AR875" s="139"/>
      <c r="AS875" s="139"/>
      <c r="AT875" s="139"/>
      <c r="AU875" s="139"/>
      <c r="AV875" s="139"/>
      <c r="AW875" s="139"/>
      <c r="AX875" s="139"/>
      <c r="AY875" s="139"/>
      <c r="AZ875" s="139"/>
      <c r="BA875" s="139"/>
      <c r="BB875" s="139"/>
    </row>
    <row r="876">
      <c r="A876" s="28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  <c r="AC876" s="139"/>
      <c r="AD876" s="139"/>
      <c r="AE876" s="139"/>
      <c r="AF876" s="139"/>
      <c r="AG876" s="139"/>
      <c r="AH876" s="139"/>
      <c r="AI876" s="139"/>
      <c r="AJ876" s="139"/>
      <c r="AK876" s="139"/>
      <c r="AL876" s="139"/>
      <c r="AM876" s="139"/>
      <c r="AN876" s="139"/>
      <c r="AO876" s="139"/>
      <c r="AP876" s="139"/>
      <c r="AQ876" s="139"/>
      <c r="AR876" s="139"/>
      <c r="AS876" s="139"/>
      <c r="AT876" s="139"/>
      <c r="AU876" s="139"/>
      <c r="AV876" s="139"/>
      <c r="AW876" s="139"/>
      <c r="AX876" s="139"/>
      <c r="AY876" s="139"/>
      <c r="AZ876" s="139"/>
      <c r="BA876" s="139"/>
      <c r="BB876" s="139"/>
    </row>
    <row r="877">
      <c r="A877" s="28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  <c r="AC877" s="139"/>
      <c r="AD877" s="139"/>
      <c r="AE877" s="139"/>
      <c r="AF877" s="139"/>
      <c r="AG877" s="139"/>
      <c r="AH877" s="139"/>
      <c r="AI877" s="139"/>
      <c r="AJ877" s="139"/>
      <c r="AK877" s="139"/>
      <c r="AL877" s="139"/>
      <c r="AM877" s="139"/>
      <c r="AN877" s="139"/>
      <c r="AO877" s="139"/>
      <c r="AP877" s="139"/>
      <c r="AQ877" s="139"/>
      <c r="AR877" s="139"/>
      <c r="AS877" s="139"/>
      <c r="AT877" s="139"/>
      <c r="AU877" s="139"/>
      <c r="AV877" s="139"/>
      <c r="AW877" s="139"/>
      <c r="AX877" s="139"/>
      <c r="AY877" s="139"/>
      <c r="AZ877" s="139"/>
      <c r="BA877" s="139"/>
      <c r="BB877" s="139"/>
    </row>
    <row r="878">
      <c r="A878" s="28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  <c r="AC878" s="139"/>
      <c r="AD878" s="139"/>
      <c r="AE878" s="139"/>
      <c r="AF878" s="139"/>
      <c r="AG878" s="139"/>
      <c r="AH878" s="139"/>
      <c r="AI878" s="139"/>
      <c r="AJ878" s="139"/>
      <c r="AK878" s="139"/>
      <c r="AL878" s="139"/>
      <c r="AM878" s="139"/>
      <c r="AN878" s="139"/>
      <c r="AO878" s="139"/>
      <c r="AP878" s="139"/>
      <c r="AQ878" s="139"/>
      <c r="AR878" s="139"/>
      <c r="AS878" s="139"/>
      <c r="AT878" s="139"/>
      <c r="AU878" s="139"/>
      <c r="AV878" s="139"/>
      <c r="AW878" s="139"/>
      <c r="AX878" s="139"/>
      <c r="AY878" s="139"/>
      <c r="AZ878" s="139"/>
      <c r="BA878" s="139"/>
      <c r="BB878" s="139"/>
    </row>
    <row r="879">
      <c r="A879" s="28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39"/>
      <c r="AD879" s="139"/>
      <c r="AE879" s="139"/>
      <c r="AF879" s="139"/>
      <c r="AG879" s="139"/>
      <c r="AH879" s="139"/>
      <c r="AI879" s="139"/>
      <c r="AJ879" s="139"/>
      <c r="AK879" s="139"/>
      <c r="AL879" s="139"/>
      <c r="AM879" s="139"/>
      <c r="AN879" s="139"/>
      <c r="AO879" s="139"/>
      <c r="AP879" s="139"/>
      <c r="AQ879" s="139"/>
      <c r="AR879" s="139"/>
      <c r="AS879" s="139"/>
      <c r="AT879" s="139"/>
      <c r="AU879" s="139"/>
      <c r="AV879" s="139"/>
      <c r="AW879" s="139"/>
      <c r="AX879" s="139"/>
      <c r="AY879" s="139"/>
      <c r="AZ879" s="139"/>
      <c r="BA879" s="139"/>
      <c r="BB879" s="139"/>
    </row>
    <row r="880">
      <c r="A880" s="28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  <c r="AC880" s="139"/>
      <c r="AD880" s="139"/>
      <c r="AE880" s="139"/>
      <c r="AF880" s="139"/>
      <c r="AG880" s="139"/>
      <c r="AH880" s="139"/>
      <c r="AI880" s="139"/>
      <c r="AJ880" s="139"/>
      <c r="AK880" s="139"/>
      <c r="AL880" s="139"/>
      <c r="AM880" s="139"/>
      <c r="AN880" s="139"/>
      <c r="AO880" s="139"/>
      <c r="AP880" s="139"/>
      <c r="AQ880" s="139"/>
      <c r="AR880" s="139"/>
      <c r="AS880" s="139"/>
      <c r="AT880" s="139"/>
      <c r="AU880" s="139"/>
      <c r="AV880" s="139"/>
      <c r="AW880" s="139"/>
      <c r="AX880" s="139"/>
      <c r="AY880" s="139"/>
      <c r="AZ880" s="139"/>
      <c r="BA880" s="139"/>
      <c r="BB880" s="139"/>
    </row>
    <row r="881">
      <c r="A881" s="28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39"/>
      <c r="AD881" s="139"/>
      <c r="AE881" s="139"/>
      <c r="AF881" s="139"/>
      <c r="AG881" s="139"/>
      <c r="AH881" s="139"/>
      <c r="AI881" s="139"/>
      <c r="AJ881" s="139"/>
      <c r="AK881" s="139"/>
      <c r="AL881" s="139"/>
      <c r="AM881" s="139"/>
      <c r="AN881" s="139"/>
      <c r="AO881" s="139"/>
      <c r="AP881" s="139"/>
      <c r="AQ881" s="139"/>
      <c r="AR881" s="139"/>
      <c r="AS881" s="139"/>
      <c r="AT881" s="139"/>
      <c r="AU881" s="139"/>
      <c r="AV881" s="139"/>
      <c r="AW881" s="139"/>
      <c r="AX881" s="139"/>
      <c r="AY881" s="139"/>
      <c r="AZ881" s="139"/>
      <c r="BA881" s="139"/>
      <c r="BB881" s="139"/>
    </row>
    <row r="882">
      <c r="A882" s="28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  <c r="AC882" s="139"/>
      <c r="AD882" s="139"/>
      <c r="AE882" s="139"/>
      <c r="AF882" s="139"/>
      <c r="AG882" s="139"/>
      <c r="AH882" s="139"/>
      <c r="AI882" s="139"/>
      <c r="AJ882" s="139"/>
      <c r="AK882" s="139"/>
      <c r="AL882" s="139"/>
      <c r="AM882" s="139"/>
      <c r="AN882" s="139"/>
      <c r="AO882" s="139"/>
      <c r="AP882" s="139"/>
      <c r="AQ882" s="139"/>
      <c r="AR882" s="139"/>
      <c r="AS882" s="139"/>
      <c r="AT882" s="139"/>
      <c r="AU882" s="139"/>
      <c r="AV882" s="139"/>
      <c r="AW882" s="139"/>
      <c r="AX882" s="139"/>
      <c r="AY882" s="139"/>
      <c r="AZ882" s="139"/>
      <c r="BA882" s="139"/>
      <c r="BB882" s="139"/>
    </row>
    <row r="883">
      <c r="A883" s="28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39"/>
      <c r="AD883" s="139"/>
      <c r="AE883" s="139"/>
      <c r="AF883" s="139"/>
      <c r="AG883" s="139"/>
      <c r="AH883" s="139"/>
      <c r="AI883" s="139"/>
      <c r="AJ883" s="139"/>
      <c r="AK883" s="139"/>
      <c r="AL883" s="139"/>
      <c r="AM883" s="139"/>
      <c r="AN883" s="139"/>
      <c r="AO883" s="139"/>
      <c r="AP883" s="139"/>
      <c r="AQ883" s="139"/>
      <c r="AR883" s="139"/>
      <c r="AS883" s="139"/>
      <c r="AT883" s="139"/>
      <c r="AU883" s="139"/>
      <c r="AV883" s="139"/>
      <c r="AW883" s="139"/>
      <c r="AX883" s="139"/>
      <c r="AY883" s="139"/>
      <c r="AZ883" s="139"/>
      <c r="BA883" s="139"/>
      <c r="BB883" s="139"/>
    </row>
    <row r="884">
      <c r="A884" s="28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  <c r="AC884" s="139"/>
      <c r="AD884" s="139"/>
      <c r="AE884" s="139"/>
      <c r="AF884" s="139"/>
      <c r="AG884" s="139"/>
      <c r="AH884" s="139"/>
      <c r="AI884" s="139"/>
      <c r="AJ884" s="139"/>
      <c r="AK884" s="139"/>
      <c r="AL884" s="139"/>
      <c r="AM884" s="139"/>
      <c r="AN884" s="139"/>
      <c r="AO884" s="139"/>
      <c r="AP884" s="139"/>
      <c r="AQ884" s="139"/>
      <c r="AR884" s="139"/>
      <c r="AS884" s="139"/>
      <c r="AT884" s="139"/>
      <c r="AU884" s="139"/>
      <c r="AV884" s="139"/>
      <c r="AW884" s="139"/>
      <c r="AX884" s="139"/>
      <c r="AY884" s="139"/>
      <c r="AZ884" s="139"/>
      <c r="BA884" s="139"/>
      <c r="BB884" s="139"/>
    </row>
    <row r="885">
      <c r="A885" s="28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39"/>
      <c r="AD885" s="139"/>
      <c r="AE885" s="139"/>
      <c r="AF885" s="139"/>
      <c r="AG885" s="139"/>
      <c r="AH885" s="139"/>
      <c r="AI885" s="139"/>
      <c r="AJ885" s="139"/>
      <c r="AK885" s="139"/>
      <c r="AL885" s="139"/>
      <c r="AM885" s="139"/>
      <c r="AN885" s="139"/>
      <c r="AO885" s="139"/>
      <c r="AP885" s="139"/>
      <c r="AQ885" s="139"/>
      <c r="AR885" s="139"/>
      <c r="AS885" s="139"/>
      <c r="AT885" s="139"/>
      <c r="AU885" s="139"/>
      <c r="AV885" s="139"/>
      <c r="AW885" s="139"/>
      <c r="AX885" s="139"/>
      <c r="AY885" s="139"/>
      <c r="AZ885" s="139"/>
      <c r="BA885" s="139"/>
      <c r="BB885" s="139"/>
    </row>
    <row r="886">
      <c r="A886" s="28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  <c r="AC886" s="139"/>
      <c r="AD886" s="139"/>
      <c r="AE886" s="139"/>
      <c r="AF886" s="139"/>
      <c r="AG886" s="139"/>
      <c r="AH886" s="139"/>
      <c r="AI886" s="139"/>
      <c r="AJ886" s="139"/>
      <c r="AK886" s="139"/>
      <c r="AL886" s="139"/>
      <c r="AM886" s="139"/>
      <c r="AN886" s="139"/>
      <c r="AO886" s="139"/>
      <c r="AP886" s="139"/>
      <c r="AQ886" s="139"/>
      <c r="AR886" s="139"/>
      <c r="AS886" s="139"/>
      <c r="AT886" s="139"/>
      <c r="AU886" s="139"/>
      <c r="AV886" s="139"/>
      <c r="AW886" s="139"/>
      <c r="AX886" s="139"/>
      <c r="AY886" s="139"/>
      <c r="AZ886" s="139"/>
      <c r="BA886" s="139"/>
      <c r="BB886" s="139"/>
    </row>
    <row r="887">
      <c r="A887" s="28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39"/>
      <c r="AD887" s="139"/>
      <c r="AE887" s="139"/>
      <c r="AF887" s="139"/>
      <c r="AG887" s="139"/>
      <c r="AH887" s="139"/>
      <c r="AI887" s="139"/>
      <c r="AJ887" s="139"/>
      <c r="AK887" s="139"/>
      <c r="AL887" s="139"/>
      <c r="AM887" s="139"/>
      <c r="AN887" s="139"/>
      <c r="AO887" s="139"/>
      <c r="AP887" s="139"/>
      <c r="AQ887" s="139"/>
      <c r="AR887" s="139"/>
      <c r="AS887" s="139"/>
      <c r="AT887" s="139"/>
      <c r="AU887" s="139"/>
      <c r="AV887" s="139"/>
      <c r="AW887" s="139"/>
      <c r="AX887" s="139"/>
      <c r="AY887" s="139"/>
      <c r="AZ887" s="139"/>
      <c r="BA887" s="139"/>
      <c r="BB887" s="139"/>
    </row>
    <row r="888">
      <c r="A888" s="28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  <c r="AC888" s="139"/>
      <c r="AD888" s="139"/>
      <c r="AE888" s="139"/>
      <c r="AF888" s="139"/>
      <c r="AG888" s="139"/>
      <c r="AH888" s="139"/>
      <c r="AI888" s="139"/>
      <c r="AJ888" s="139"/>
      <c r="AK888" s="139"/>
      <c r="AL888" s="139"/>
      <c r="AM888" s="139"/>
      <c r="AN888" s="139"/>
      <c r="AO888" s="139"/>
      <c r="AP888" s="139"/>
      <c r="AQ888" s="139"/>
      <c r="AR888" s="139"/>
      <c r="AS888" s="139"/>
      <c r="AT888" s="139"/>
      <c r="AU888" s="139"/>
      <c r="AV888" s="139"/>
      <c r="AW888" s="139"/>
      <c r="AX888" s="139"/>
      <c r="AY888" s="139"/>
      <c r="AZ888" s="139"/>
      <c r="BA888" s="139"/>
      <c r="BB888" s="139"/>
    </row>
    <row r="889">
      <c r="A889" s="28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39"/>
      <c r="AD889" s="139"/>
      <c r="AE889" s="139"/>
      <c r="AF889" s="139"/>
      <c r="AG889" s="139"/>
      <c r="AH889" s="139"/>
      <c r="AI889" s="139"/>
      <c r="AJ889" s="139"/>
      <c r="AK889" s="139"/>
      <c r="AL889" s="139"/>
      <c r="AM889" s="139"/>
      <c r="AN889" s="139"/>
      <c r="AO889" s="139"/>
      <c r="AP889" s="139"/>
      <c r="AQ889" s="139"/>
      <c r="AR889" s="139"/>
      <c r="AS889" s="139"/>
      <c r="AT889" s="139"/>
      <c r="AU889" s="139"/>
      <c r="AV889" s="139"/>
      <c r="AW889" s="139"/>
      <c r="AX889" s="139"/>
      <c r="AY889" s="139"/>
      <c r="AZ889" s="139"/>
      <c r="BA889" s="139"/>
      <c r="BB889" s="139"/>
    </row>
    <row r="890">
      <c r="A890" s="28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  <c r="AC890" s="139"/>
      <c r="AD890" s="139"/>
      <c r="AE890" s="139"/>
      <c r="AF890" s="139"/>
      <c r="AG890" s="139"/>
      <c r="AH890" s="139"/>
      <c r="AI890" s="139"/>
      <c r="AJ890" s="139"/>
      <c r="AK890" s="139"/>
      <c r="AL890" s="139"/>
      <c r="AM890" s="139"/>
      <c r="AN890" s="139"/>
      <c r="AO890" s="139"/>
      <c r="AP890" s="139"/>
      <c r="AQ890" s="139"/>
      <c r="AR890" s="139"/>
      <c r="AS890" s="139"/>
      <c r="AT890" s="139"/>
      <c r="AU890" s="139"/>
      <c r="AV890" s="139"/>
      <c r="AW890" s="139"/>
      <c r="AX890" s="139"/>
      <c r="AY890" s="139"/>
      <c r="AZ890" s="139"/>
      <c r="BA890" s="139"/>
      <c r="BB890" s="139"/>
    </row>
    <row r="891">
      <c r="A891" s="28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39"/>
      <c r="AD891" s="139"/>
      <c r="AE891" s="139"/>
      <c r="AF891" s="139"/>
      <c r="AG891" s="139"/>
      <c r="AH891" s="139"/>
      <c r="AI891" s="139"/>
      <c r="AJ891" s="139"/>
      <c r="AK891" s="139"/>
      <c r="AL891" s="139"/>
      <c r="AM891" s="139"/>
      <c r="AN891" s="139"/>
      <c r="AO891" s="139"/>
      <c r="AP891" s="139"/>
      <c r="AQ891" s="139"/>
      <c r="AR891" s="139"/>
      <c r="AS891" s="139"/>
      <c r="AT891" s="139"/>
      <c r="AU891" s="139"/>
      <c r="AV891" s="139"/>
      <c r="AW891" s="139"/>
      <c r="AX891" s="139"/>
      <c r="AY891" s="139"/>
      <c r="AZ891" s="139"/>
      <c r="BA891" s="139"/>
      <c r="BB891" s="139"/>
    </row>
    <row r="892">
      <c r="A892" s="28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  <c r="AC892" s="139"/>
      <c r="AD892" s="139"/>
      <c r="AE892" s="139"/>
      <c r="AF892" s="139"/>
      <c r="AG892" s="139"/>
      <c r="AH892" s="139"/>
      <c r="AI892" s="139"/>
      <c r="AJ892" s="139"/>
      <c r="AK892" s="139"/>
      <c r="AL892" s="139"/>
      <c r="AM892" s="139"/>
      <c r="AN892" s="139"/>
      <c r="AO892" s="139"/>
      <c r="AP892" s="139"/>
      <c r="AQ892" s="139"/>
      <c r="AR892" s="139"/>
      <c r="AS892" s="139"/>
      <c r="AT892" s="139"/>
      <c r="AU892" s="139"/>
      <c r="AV892" s="139"/>
      <c r="AW892" s="139"/>
      <c r="AX892" s="139"/>
      <c r="AY892" s="139"/>
      <c r="AZ892" s="139"/>
      <c r="BA892" s="139"/>
      <c r="BB892" s="139"/>
    </row>
    <row r="893">
      <c r="A893" s="28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39"/>
      <c r="AD893" s="139"/>
      <c r="AE893" s="139"/>
      <c r="AF893" s="139"/>
      <c r="AG893" s="139"/>
      <c r="AH893" s="139"/>
      <c r="AI893" s="139"/>
      <c r="AJ893" s="139"/>
      <c r="AK893" s="139"/>
      <c r="AL893" s="139"/>
      <c r="AM893" s="139"/>
      <c r="AN893" s="139"/>
      <c r="AO893" s="139"/>
      <c r="AP893" s="139"/>
      <c r="AQ893" s="139"/>
      <c r="AR893" s="139"/>
      <c r="AS893" s="139"/>
      <c r="AT893" s="139"/>
      <c r="AU893" s="139"/>
      <c r="AV893" s="139"/>
      <c r="AW893" s="139"/>
      <c r="AX893" s="139"/>
      <c r="AY893" s="139"/>
      <c r="AZ893" s="139"/>
      <c r="BA893" s="139"/>
      <c r="BB893" s="139"/>
    </row>
    <row r="894">
      <c r="A894" s="28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  <c r="AC894" s="139"/>
      <c r="AD894" s="139"/>
      <c r="AE894" s="139"/>
      <c r="AF894" s="139"/>
      <c r="AG894" s="139"/>
      <c r="AH894" s="139"/>
      <c r="AI894" s="139"/>
      <c r="AJ894" s="139"/>
      <c r="AK894" s="139"/>
      <c r="AL894" s="139"/>
      <c r="AM894" s="139"/>
      <c r="AN894" s="139"/>
      <c r="AO894" s="139"/>
      <c r="AP894" s="139"/>
      <c r="AQ894" s="139"/>
      <c r="AR894" s="139"/>
      <c r="AS894" s="139"/>
      <c r="AT894" s="139"/>
      <c r="AU894" s="139"/>
      <c r="AV894" s="139"/>
      <c r="AW894" s="139"/>
      <c r="AX894" s="139"/>
      <c r="AY894" s="139"/>
      <c r="AZ894" s="139"/>
      <c r="BA894" s="139"/>
      <c r="BB894" s="139"/>
    </row>
    <row r="895">
      <c r="A895" s="28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39"/>
      <c r="AD895" s="139"/>
      <c r="AE895" s="139"/>
      <c r="AF895" s="139"/>
      <c r="AG895" s="139"/>
      <c r="AH895" s="139"/>
      <c r="AI895" s="139"/>
      <c r="AJ895" s="139"/>
      <c r="AK895" s="139"/>
      <c r="AL895" s="139"/>
      <c r="AM895" s="139"/>
      <c r="AN895" s="139"/>
      <c r="AO895" s="139"/>
      <c r="AP895" s="139"/>
      <c r="AQ895" s="139"/>
      <c r="AR895" s="139"/>
      <c r="AS895" s="139"/>
      <c r="AT895" s="139"/>
      <c r="AU895" s="139"/>
      <c r="AV895" s="139"/>
      <c r="AW895" s="139"/>
      <c r="AX895" s="139"/>
      <c r="AY895" s="139"/>
      <c r="AZ895" s="139"/>
      <c r="BA895" s="139"/>
      <c r="BB895" s="139"/>
    </row>
    <row r="896">
      <c r="A896" s="28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  <c r="AC896" s="139"/>
      <c r="AD896" s="139"/>
      <c r="AE896" s="139"/>
      <c r="AF896" s="139"/>
      <c r="AG896" s="139"/>
      <c r="AH896" s="139"/>
      <c r="AI896" s="139"/>
      <c r="AJ896" s="139"/>
      <c r="AK896" s="139"/>
      <c r="AL896" s="139"/>
      <c r="AM896" s="139"/>
      <c r="AN896" s="139"/>
      <c r="AO896" s="139"/>
      <c r="AP896" s="139"/>
      <c r="AQ896" s="139"/>
      <c r="AR896" s="139"/>
      <c r="AS896" s="139"/>
      <c r="AT896" s="139"/>
      <c r="AU896" s="139"/>
      <c r="AV896" s="139"/>
      <c r="AW896" s="139"/>
      <c r="AX896" s="139"/>
      <c r="AY896" s="139"/>
      <c r="AZ896" s="139"/>
      <c r="BA896" s="139"/>
      <c r="BB896" s="139"/>
    </row>
    <row r="897">
      <c r="A897" s="28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39"/>
      <c r="AD897" s="139"/>
      <c r="AE897" s="139"/>
      <c r="AF897" s="139"/>
      <c r="AG897" s="139"/>
      <c r="AH897" s="139"/>
      <c r="AI897" s="139"/>
      <c r="AJ897" s="139"/>
      <c r="AK897" s="139"/>
      <c r="AL897" s="139"/>
      <c r="AM897" s="139"/>
      <c r="AN897" s="139"/>
      <c r="AO897" s="139"/>
      <c r="AP897" s="139"/>
      <c r="AQ897" s="139"/>
      <c r="AR897" s="139"/>
      <c r="AS897" s="139"/>
      <c r="AT897" s="139"/>
      <c r="AU897" s="139"/>
      <c r="AV897" s="139"/>
      <c r="AW897" s="139"/>
      <c r="AX897" s="139"/>
      <c r="AY897" s="139"/>
      <c r="AZ897" s="139"/>
      <c r="BA897" s="139"/>
      <c r="BB897" s="139"/>
    </row>
    <row r="898">
      <c r="A898" s="28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  <c r="AC898" s="139"/>
      <c r="AD898" s="139"/>
      <c r="AE898" s="139"/>
      <c r="AF898" s="139"/>
      <c r="AG898" s="139"/>
      <c r="AH898" s="139"/>
      <c r="AI898" s="139"/>
      <c r="AJ898" s="139"/>
      <c r="AK898" s="139"/>
      <c r="AL898" s="139"/>
      <c r="AM898" s="139"/>
      <c r="AN898" s="139"/>
      <c r="AO898" s="139"/>
      <c r="AP898" s="139"/>
      <c r="AQ898" s="139"/>
      <c r="AR898" s="139"/>
      <c r="AS898" s="139"/>
      <c r="AT898" s="139"/>
      <c r="AU898" s="139"/>
      <c r="AV898" s="139"/>
      <c r="AW898" s="139"/>
      <c r="AX898" s="139"/>
      <c r="AY898" s="139"/>
      <c r="AZ898" s="139"/>
      <c r="BA898" s="139"/>
      <c r="BB898" s="139"/>
    </row>
    <row r="899">
      <c r="A899" s="28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39"/>
      <c r="AD899" s="139"/>
      <c r="AE899" s="139"/>
      <c r="AF899" s="139"/>
      <c r="AG899" s="139"/>
      <c r="AH899" s="139"/>
      <c r="AI899" s="139"/>
      <c r="AJ899" s="139"/>
      <c r="AK899" s="139"/>
      <c r="AL899" s="139"/>
      <c r="AM899" s="139"/>
      <c r="AN899" s="139"/>
      <c r="AO899" s="139"/>
      <c r="AP899" s="139"/>
      <c r="AQ899" s="139"/>
      <c r="AR899" s="139"/>
      <c r="AS899" s="139"/>
      <c r="AT899" s="139"/>
      <c r="AU899" s="139"/>
      <c r="AV899" s="139"/>
      <c r="AW899" s="139"/>
      <c r="AX899" s="139"/>
      <c r="AY899" s="139"/>
      <c r="AZ899" s="139"/>
      <c r="BA899" s="139"/>
      <c r="BB899" s="139"/>
    </row>
    <row r="900">
      <c r="A900" s="28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  <c r="AC900" s="139"/>
      <c r="AD900" s="139"/>
      <c r="AE900" s="139"/>
      <c r="AF900" s="139"/>
      <c r="AG900" s="139"/>
      <c r="AH900" s="139"/>
      <c r="AI900" s="139"/>
      <c r="AJ900" s="139"/>
      <c r="AK900" s="139"/>
      <c r="AL900" s="139"/>
      <c r="AM900" s="139"/>
      <c r="AN900" s="139"/>
      <c r="AO900" s="139"/>
      <c r="AP900" s="139"/>
      <c r="AQ900" s="139"/>
      <c r="AR900" s="139"/>
      <c r="AS900" s="139"/>
      <c r="AT900" s="139"/>
      <c r="AU900" s="139"/>
      <c r="AV900" s="139"/>
      <c r="AW900" s="139"/>
      <c r="AX900" s="139"/>
      <c r="AY900" s="139"/>
      <c r="AZ900" s="139"/>
      <c r="BA900" s="139"/>
      <c r="BB900" s="139"/>
    </row>
    <row r="901">
      <c r="A901" s="28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39"/>
      <c r="AD901" s="139"/>
      <c r="AE901" s="139"/>
      <c r="AF901" s="139"/>
      <c r="AG901" s="139"/>
      <c r="AH901" s="139"/>
      <c r="AI901" s="139"/>
      <c r="AJ901" s="139"/>
      <c r="AK901" s="139"/>
      <c r="AL901" s="139"/>
      <c r="AM901" s="139"/>
      <c r="AN901" s="139"/>
      <c r="AO901" s="139"/>
      <c r="AP901" s="139"/>
      <c r="AQ901" s="139"/>
      <c r="AR901" s="139"/>
      <c r="AS901" s="139"/>
      <c r="AT901" s="139"/>
      <c r="AU901" s="139"/>
      <c r="AV901" s="139"/>
      <c r="AW901" s="139"/>
      <c r="AX901" s="139"/>
      <c r="AY901" s="139"/>
      <c r="AZ901" s="139"/>
      <c r="BA901" s="139"/>
      <c r="BB901" s="139"/>
    </row>
    <row r="902">
      <c r="A902" s="28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  <c r="AC902" s="139"/>
      <c r="AD902" s="139"/>
      <c r="AE902" s="139"/>
      <c r="AF902" s="139"/>
      <c r="AG902" s="139"/>
      <c r="AH902" s="139"/>
      <c r="AI902" s="139"/>
      <c r="AJ902" s="139"/>
      <c r="AK902" s="139"/>
      <c r="AL902" s="139"/>
      <c r="AM902" s="139"/>
      <c r="AN902" s="139"/>
      <c r="AO902" s="139"/>
      <c r="AP902" s="139"/>
      <c r="AQ902" s="139"/>
      <c r="AR902" s="139"/>
      <c r="AS902" s="139"/>
      <c r="AT902" s="139"/>
      <c r="AU902" s="139"/>
      <c r="AV902" s="139"/>
      <c r="AW902" s="139"/>
      <c r="AX902" s="139"/>
      <c r="AY902" s="139"/>
      <c r="AZ902" s="139"/>
      <c r="BA902" s="139"/>
      <c r="BB902" s="139"/>
    </row>
    <row r="903">
      <c r="A903" s="28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39"/>
      <c r="AD903" s="139"/>
      <c r="AE903" s="139"/>
      <c r="AF903" s="139"/>
      <c r="AG903" s="139"/>
      <c r="AH903" s="139"/>
      <c r="AI903" s="139"/>
      <c r="AJ903" s="139"/>
      <c r="AK903" s="139"/>
      <c r="AL903" s="139"/>
      <c r="AM903" s="139"/>
      <c r="AN903" s="139"/>
      <c r="AO903" s="139"/>
      <c r="AP903" s="139"/>
      <c r="AQ903" s="139"/>
      <c r="AR903" s="139"/>
      <c r="AS903" s="139"/>
      <c r="AT903" s="139"/>
      <c r="AU903" s="139"/>
      <c r="AV903" s="139"/>
      <c r="AW903" s="139"/>
      <c r="AX903" s="139"/>
      <c r="AY903" s="139"/>
      <c r="AZ903" s="139"/>
      <c r="BA903" s="139"/>
      <c r="BB903" s="139"/>
    </row>
    <row r="904">
      <c r="A904" s="28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  <c r="AC904" s="139"/>
      <c r="AD904" s="139"/>
      <c r="AE904" s="139"/>
      <c r="AF904" s="139"/>
      <c r="AG904" s="139"/>
      <c r="AH904" s="139"/>
      <c r="AI904" s="139"/>
      <c r="AJ904" s="139"/>
      <c r="AK904" s="139"/>
      <c r="AL904" s="139"/>
      <c r="AM904" s="139"/>
      <c r="AN904" s="139"/>
      <c r="AO904" s="139"/>
      <c r="AP904" s="139"/>
      <c r="AQ904" s="139"/>
      <c r="AR904" s="139"/>
      <c r="AS904" s="139"/>
      <c r="AT904" s="139"/>
      <c r="AU904" s="139"/>
      <c r="AV904" s="139"/>
      <c r="AW904" s="139"/>
      <c r="AX904" s="139"/>
      <c r="AY904" s="139"/>
      <c r="AZ904" s="139"/>
      <c r="BA904" s="139"/>
      <c r="BB904" s="139"/>
    </row>
    <row r="905">
      <c r="A905" s="28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39"/>
      <c r="AD905" s="139"/>
      <c r="AE905" s="139"/>
      <c r="AF905" s="139"/>
      <c r="AG905" s="139"/>
      <c r="AH905" s="139"/>
      <c r="AI905" s="139"/>
      <c r="AJ905" s="139"/>
      <c r="AK905" s="139"/>
      <c r="AL905" s="139"/>
      <c r="AM905" s="139"/>
      <c r="AN905" s="139"/>
      <c r="AO905" s="139"/>
      <c r="AP905" s="139"/>
      <c r="AQ905" s="139"/>
      <c r="AR905" s="139"/>
      <c r="AS905" s="139"/>
      <c r="AT905" s="139"/>
      <c r="AU905" s="139"/>
      <c r="AV905" s="139"/>
      <c r="AW905" s="139"/>
      <c r="AX905" s="139"/>
      <c r="AY905" s="139"/>
      <c r="AZ905" s="139"/>
      <c r="BA905" s="139"/>
      <c r="BB905" s="139"/>
    </row>
    <row r="906">
      <c r="A906" s="28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  <c r="AC906" s="139"/>
      <c r="AD906" s="139"/>
      <c r="AE906" s="139"/>
      <c r="AF906" s="139"/>
      <c r="AG906" s="139"/>
      <c r="AH906" s="139"/>
      <c r="AI906" s="139"/>
      <c r="AJ906" s="139"/>
      <c r="AK906" s="139"/>
      <c r="AL906" s="139"/>
      <c r="AM906" s="139"/>
      <c r="AN906" s="139"/>
      <c r="AO906" s="139"/>
      <c r="AP906" s="139"/>
      <c r="AQ906" s="139"/>
      <c r="AR906" s="139"/>
      <c r="AS906" s="139"/>
      <c r="AT906" s="139"/>
      <c r="AU906" s="139"/>
      <c r="AV906" s="139"/>
      <c r="AW906" s="139"/>
      <c r="AX906" s="139"/>
      <c r="AY906" s="139"/>
      <c r="AZ906" s="139"/>
      <c r="BA906" s="139"/>
      <c r="BB906" s="139"/>
    </row>
    <row r="907">
      <c r="A907" s="28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  <c r="AC907" s="139"/>
      <c r="AD907" s="139"/>
      <c r="AE907" s="139"/>
      <c r="AF907" s="139"/>
      <c r="AG907" s="139"/>
      <c r="AH907" s="139"/>
      <c r="AI907" s="139"/>
      <c r="AJ907" s="139"/>
      <c r="AK907" s="139"/>
      <c r="AL907" s="139"/>
      <c r="AM907" s="139"/>
      <c r="AN907" s="139"/>
      <c r="AO907" s="139"/>
      <c r="AP907" s="139"/>
      <c r="AQ907" s="139"/>
      <c r="AR907" s="139"/>
      <c r="AS907" s="139"/>
      <c r="AT907" s="139"/>
      <c r="AU907" s="139"/>
      <c r="AV907" s="139"/>
      <c r="AW907" s="139"/>
      <c r="AX907" s="139"/>
      <c r="AY907" s="139"/>
      <c r="AZ907" s="139"/>
      <c r="BA907" s="139"/>
      <c r="BB907" s="139"/>
    </row>
    <row r="908">
      <c r="A908" s="28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  <c r="AC908" s="139"/>
      <c r="AD908" s="139"/>
      <c r="AE908" s="139"/>
      <c r="AF908" s="139"/>
      <c r="AG908" s="139"/>
      <c r="AH908" s="139"/>
      <c r="AI908" s="139"/>
      <c r="AJ908" s="139"/>
      <c r="AK908" s="139"/>
      <c r="AL908" s="139"/>
      <c r="AM908" s="139"/>
      <c r="AN908" s="139"/>
      <c r="AO908" s="139"/>
      <c r="AP908" s="139"/>
      <c r="AQ908" s="139"/>
      <c r="AR908" s="139"/>
      <c r="AS908" s="139"/>
      <c r="AT908" s="139"/>
      <c r="AU908" s="139"/>
      <c r="AV908" s="139"/>
      <c r="AW908" s="139"/>
      <c r="AX908" s="139"/>
      <c r="AY908" s="139"/>
      <c r="AZ908" s="139"/>
      <c r="BA908" s="139"/>
      <c r="BB908" s="139"/>
    </row>
    <row r="909">
      <c r="A909" s="28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  <c r="AC909" s="139"/>
      <c r="AD909" s="139"/>
      <c r="AE909" s="139"/>
      <c r="AF909" s="139"/>
      <c r="AG909" s="139"/>
      <c r="AH909" s="139"/>
      <c r="AI909" s="139"/>
      <c r="AJ909" s="139"/>
      <c r="AK909" s="139"/>
      <c r="AL909" s="139"/>
      <c r="AM909" s="139"/>
      <c r="AN909" s="139"/>
      <c r="AO909" s="139"/>
      <c r="AP909" s="139"/>
      <c r="AQ909" s="139"/>
      <c r="AR909" s="139"/>
      <c r="AS909" s="139"/>
      <c r="AT909" s="139"/>
      <c r="AU909" s="139"/>
      <c r="AV909" s="139"/>
      <c r="AW909" s="139"/>
      <c r="AX909" s="139"/>
      <c r="AY909" s="139"/>
      <c r="AZ909" s="139"/>
      <c r="BA909" s="139"/>
      <c r="BB909" s="139"/>
    </row>
    <row r="910">
      <c r="A910" s="28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  <c r="AC910" s="139"/>
      <c r="AD910" s="139"/>
      <c r="AE910" s="139"/>
      <c r="AF910" s="139"/>
      <c r="AG910" s="139"/>
      <c r="AH910" s="139"/>
      <c r="AI910" s="139"/>
      <c r="AJ910" s="139"/>
      <c r="AK910" s="139"/>
      <c r="AL910" s="139"/>
      <c r="AM910" s="139"/>
      <c r="AN910" s="139"/>
      <c r="AO910" s="139"/>
      <c r="AP910" s="139"/>
      <c r="AQ910" s="139"/>
      <c r="AR910" s="139"/>
      <c r="AS910" s="139"/>
      <c r="AT910" s="139"/>
      <c r="AU910" s="139"/>
      <c r="AV910" s="139"/>
      <c r="AW910" s="139"/>
      <c r="AX910" s="139"/>
      <c r="AY910" s="139"/>
      <c r="AZ910" s="139"/>
      <c r="BA910" s="139"/>
      <c r="BB910" s="139"/>
    </row>
    <row r="911">
      <c r="A911" s="28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  <c r="AC911" s="139"/>
      <c r="AD911" s="139"/>
      <c r="AE911" s="139"/>
      <c r="AF911" s="139"/>
      <c r="AG911" s="139"/>
      <c r="AH911" s="139"/>
      <c r="AI911" s="139"/>
      <c r="AJ911" s="139"/>
      <c r="AK911" s="139"/>
      <c r="AL911" s="139"/>
      <c r="AM911" s="139"/>
      <c r="AN911" s="139"/>
      <c r="AO911" s="139"/>
      <c r="AP911" s="139"/>
      <c r="AQ911" s="139"/>
      <c r="AR911" s="139"/>
      <c r="AS911" s="139"/>
      <c r="AT911" s="139"/>
      <c r="AU911" s="139"/>
      <c r="AV911" s="139"/>
      <c r="AW911" s="139"/>
      <c r="AX911" s="139"/>
      <c r="AY911" s="139"/>
      <c r="AZ911" s="139"/>
      <c r="BA911" s="139"/>
      <c r="BB911" s="139"/>
    </row>
    <row r="912">
      <c r="A912" s="28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  <c r="AC912" s="139"/>
      <c r="AD912" s="139"/>
      <c r="AE912" s="139"/>
      <c r="AF912" s="139"/>
      <c r="AG912" s="139"/>
      <c r="AH912" s="139"/>
      <c r="AI912" s="139"/>
      <c r="AJ912" s="139"/>
      <c r="AK912" s="139"/>
      <c r="AL912" s="139"/>
      <c r="AM912" s="139"/>
      <c r="AN912" s="139"/>
      <c r="AO912" s="139"/>
      <c r="AP912" s="139"/>
      <c r="AQ912" s="139"/>
      <c r="AR912" s="139"/>
      <c r="AS912" s="139"/>
      <c r="AT912" s="139"/>
      <c r="AU912" s="139"/>
      <c r="AV912" s="139"/>
      <c r="AW912" s="139"/>
      <c r="AX912" s="139"/>
      <c r="AY912" s="139"/>
      <c r="AZ912" s="139"/>
      <c r="BA912" s="139"/>
      <c r="BB912" s="139"/>
    </row>
    <row r="913">
      <c r="A913" s="28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  <c r="AC913" s="139"/>
      <c r="AD913" s="139"/>
      <c r="AE913" s="139"/>
      <c r="AF913" s="139"/>
      <c r="AG913" s="139"/>
      <c r="AH913" s="139"/>
      <c r="AI913" s="139"/>
      <c r="AJ913" s="139"/>
      <c r="AK913" s="139"/>
      <c r="AL913" s="139"/>
      <c r="AM913" s="139"/>
      <c r="AN913" s="139"/>
      <c r="AO913" s="139"/>
      <c r="AP913" s="139"/>
      <c r="AQ913" s="139"/>
      <c r="AR913" s="139"/>
      <c r="AS913" s="139"/>
      <c r="AT913" s="139"/>
      <c r="AU913" s="139"/>
      <c r="AV913" s="139"/>
      <c r="AW913" s="139"/>
      <c r="AX913" s="139"/>
      <c r="AY913" s="139"/>
      <c r="AZ913" s="139"/>
      <c r="BA913" s="139"/>
      <c r="BB913" s="139"/>
    </row>
    <row r="914">
      <c r="A914" s="28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  <c r="AC914" s="139"/>
      <c r="AD914" s="139"/>
      <c r="AE914" s="139"/>
      <c r="AF914" s="139"/>
      <c r="AG914" s="139"/>
      <c r="AH914" s="139"/>
      <c r="AI914" s="139"/>
      <c r="AJ914" s="139"/>
      <c r="AK914" s="139"/>
      <c r="AL914" s="139"/>
      <c r="AM914" s="139"/>
      <c r="AN914" s="139"/>
      <c r="AO914" s="139"/>
      <c r="AP914" s="139"/>
      <c r="AQ914" s="139"/>
      <c r="AR914" s="139"/>
      <c r="AS914" s="139"/>
      <c r="AT914" s="139"/>
      <c r="AU914" s="139"/>
      <c r="AV914" s="139"/>
      <c r="AW914" s="139"/>
      <c r="AX914" s="139"/>
      <c r="AY914" s="139"/>
      <c r="AZ914" s="139"/>
      <c r="BA914" s="139"/>
      <c r="BB914" s="139"/>
    </row>
    <row r="915">
      <c r="A915" s="28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  <c r="AC915" s="139"/>
      <c r="AD915" s="139"/>
      <c r="AE915" s="139"/>
      <c r="AF915" s="139"/>
      <c r="AG915" s="139"/>
      <c r="AH915" s="139"/>
      <c r="AI915" s="139"/>
      <c r="AJ915" s="139"/>
      <c r="AK915" s="139"/>
      <c r="AL915" s="139"/>
      <c r="AM915" s="139"/>
      <c r="AN915" s="139"/>
      <c r="AO915" s="139"/>
      <c r="AP915" s="139"/>
      <c r="AQ915" s="139"/>
      <c r="AR915" s="139"/>
      <c r="AS915" s="139"/>
      <c r="AT915" s="139"/>
      <c r="AU915" s="139"/>
      <c r="AV915" s="139"/>
      <c r="AW915" s="139"/>
      <c r="AX915" s="139"/>
      <c r="AY915" s="139"/>
      <c r="AZ915" s="139"/>
      <c r="BA915" s="139"/>
      <c r="BB915" s="139"/>
    </row>
    <row r="916">
      <c r="A916" s="28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  <c r="AC916" s="139"/>
      <c r="AD916" s="139"/>
      <c r="AE916" s="139"/>
      <c r="AF916" s="139"/>
      <c r="AG916" s="139"/>
      <c r="AH916" s="139"/>
      <c r="AI916" s="139"/>
      <c r="AJ916" s="139"/>
      <c r="AK916" s="139"/>
      <c r="AL916" s="139"/>
      <c r="AM916" s="139"/>
      <c r="AN916" s="139"/>
      <c r="AO916" s="139"/>
      <c r="AP916" s="139"/>
      <c r="AQ916" s="139"/>
      <c r="AR916" s="139"/>
      <c r="AS916" s="139"/>
      <c r="AT916" s="139"/>
      <c r="AU916" s="139"/>
      <c r="AV916" s="139"/>
      <c r="AW916" s="139"/>
      <c r="AX916" s="139"/>
      <c r="AY916" s="139"/>
      <c r="AZ916" s="139"/>
      <c r="BA916" s="139"/>
      <c r="BB916" s="139"/>
    </row>
    <row r="917">
      <c r="A917" s="28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  <c r="AC917" s="139"/>
      <c r="AD917" s="139"/>
      <c r="AE917" s="139"/>
      <c r="AF917" s="139"/>
      <c r="AG917" s="139"/>
      <c r="AH917" s="139"/>
      <c r="AI917" s="139"/>
      <c r="AJ917" s="139"/>
      <c r="AK917" s="139"/>
      <c r="AL917" s="139"/>
      <c r="AM917" s="139"/>
      <c r="AN917" s="139"/>
      <c r="AO917" s="139"/>
      <c r="AP917" s="139"/>
      <c r="AQ917" s="139"/>
      <c r="AR917" s="139"/>
      <c r="AS917" s="139"/>
      <c r="AT917" s="139"/>
      <c r="AU917" s="139"/>
      <c r="AV917" s="139"/>
      <c r="AW917" s="139"/>
      <c r="AX917" s="139"/>
      <c r="AY917" s="139"/>
      <c r="AZ917" s="139"/>
      <c r="BA917" s="139"/>
      <c r="BB917" s="139"/>
    </row>
    <row r="918">
      <c r="A918" s="28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  <c r="AC918" s="139"/>
      <c r="AD918" s="139"/>
      <c r="AE918" s="139"/>
      <c r="AF918" s="139"/>
      <c r="AG918" s="139"/>
      <c r="AH918" s="139"/>
      <c r="AI918" s="139"/>
      <c r="AJ918" s="139"/>
      <c r="AK918" s="139"/>
      <c r="AL918" s="139"/>
      <c r="AM918" s="139"/>
      <c r="AN918" s="139"/>
      <c r="AO918" s="139"/>
      <c r="AP918" s="139"/>
      <c r="AQ918" s="139"/>
      <c r="AR918" s="139"/>
      <c r="AS918" s="139"/>
      <c r="AT918" s="139"/>
      <c r="AU918" s="139"/>
      <c r="AV918" s="139"/>
      <c r="AW918" s="139"/>
      <c r="AX918" s="139"/>
      <c r="AY918" s="139"/>
      <c r="AZ918" s="139"/>
      <c r="BA918" s="139"/>
      <c r="BB918" s="139"/>
    </row>
    <row r="919">
      <c r="A919" s="28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  <c r="AC919" s="139"/>
      <c r="AD919" s="139"/>
      <c r="AE919" s="139"/>
      <c r="AF919" s="139"/>
      <c r="AG919" s="139"/>
      <c r="AH919" s="139"/>
      <c r="AI919" s="139"/>
      <c r="AJ919" s="139"/>
      <c r="AK919" s="139"/>
      <c r="AL919" s="139"/>
      <c r="AM919" s="139"/>
      <c r="AN919" s="139"/>
      <c r="AO919" s="139"/>
      <c r="AP919" s="139"/>
      <c r="AQ919" s="139"/>
      <c r="AR919" s="139"/>
      <c r="AS919" s="139"/>
      <c r="AT919" s="139"/>
      <c r="AU919" s="139"/>
      <c r="AV919" s="139"/>
      <c r="AW919" s="139"/>
      <c r="AX919" s="139"/>
      <c r="AY919" s="139"/>
      <c r="AZ919" s="139"/>
      <c r="BA919" s="139"/>
      <c r="BB919" s="139"/>
    </row>
    <row r="920">
      <c r="A920" s="28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  <c r="AC920" s="139"/>
      <c r="AD920" s="139"/>
      <c r="AE920" s="139"/>
      <c r="AF920" s="139"/>
      <c r="AG920" s="139"/>
      <c r="AH920" s="139"/>
      <c r="AI920" s="139"/>
      <c r="AJ920" s="139"/>
      <c r="AK920" s="139"/>
      <c r="AL920" s="139"/>
      <c r="AM920" s="139"/>
      <c r="AN920" s="139"/>
      <c r="AO920" s="139"/>
      <c r="AP920" s="139"/>
      <c r="AQ920" s="139"/>
      <c r="AR920" s="139"/>
      <c r="AS920" s="139"/>
      <c r="AT920" s="139"/>
      <c r="AU920" s="139"/>
      <c r="AV920" s="139"/>
      <c r="AW920" s="139"/>
      <c r="AX920" s="139"/>
      <c r="AY920" s="139"/>
      <c r="AZ920" s="139"/>
      <c r="BA920" s="139"/>
      <c r="BB920" s="139"/>
    </row>
    <row r="921">
      <c r="A921" s="28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  <c r="AC921" s="139"/>
      <c r="AD921" s="139"/>
      <c r="AE921" s="139"/>
      <c r="AF921" s="139"/>
      <c r="AG921" s="139"/>
      <c r="AH921" s="139"/>
      <c r="AI921" s="139"/>
      <c r="AJ921" s="139"/>
      <c r="AK921" s="139"/>
      <c r="AL921" s="139"/>
      <c r="AM921" s="139"/>
      <c r="AN921" s="139"/>
      <c r="AO921" s="139"/>
      <c r="AP921" s="139"/>
      <c r="AQ921" s="139"/>
      <c r="AR921" s="139"/>
      <c r="AS921" s="139"/>
      <c r="AT921" s="139"/>
      <c r="AU921" s="139"/>
      <c r="AV921" s="139"/>
      <c r="AW921" s="139"/>
      <c r="AX921" s="139"/>
      <c r="AY921" s="139"/>
      <c r="AZ921" s="139"/>
      <c r="BA921" s="139"/>
      <c r="BB921" s="139"/>
    </row>
    <row r="922">
      <c r="A922" s="28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  <c r="AC922" s="139"/>
      <c r="AD922" s="139"/>
      <c r="AE922" s="139"/>
      <c r="AF922" s="139"/>
      <c r="AG922" s="139"/>
      <c r="AH922" s="139"/>
      <c r="AI922" s="139"/>
      <c r="AJ922" s="139"/>
      <c r="AK922" s="139"/>
      <c r="AL922" s="139"/>
      <c r="AM922" s="139"/>
      <c r="AN922" s="139"/>
      <c r="AO922" s="139"/>
      <c r="AP922" s="139"/>
      <c r="AQ922" s="139"/>
      <c r="AR922" s="139"/>
      <c r="AS922" s="139"/>
      <c r="AT922" s="139"/>
      <c r="AU922" s="139"/>
      <c r="AV922" s="139"/>
      <c r="AW922" s="139"/>
      <c r="AX922" s="139"/>
      <c r="AY922" s="139"/>
      <c r="AZ922" s="139"/>
      <c r="BA922" s="139"/>
      <c r="BB922" s="139"/>
    </row>
    <row r="923">
      <c r="A923" s="28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  <c r="AC923" s="139"/>
      <c r="AD923" s="139"/>
      <c r="AE923" s="139"/>
      <c r="AF923" s="139"/>
      <c r="AG923" s="139"/>
      <c r="AH923" s="139"/>
      <c r="AI923" s="139"/>
      <c r="AJ923" s="139"/>
      <c r="AK923" s="139"/>
      <c r="AL923" s="139"/>
      <c r="AM923" s="139"/>
      <c r="AN923" s="139"/>
      <c r="AO923" s="139"/>
      <c r="AP923" s="139"/>
      <c r="AQ923" s="139"/>
      <c r="AR923" s="139"/>
      <c r="AS923" s="139"/>
      <c r="AT923" s="139"/>
      <c r="AU923" s="139"/>
      <c r="AV923" s="139"/>
      <c r="AW923" s="139"/>
      <c r="AX923" s="139"/>
      <c r="AY923" s="139"/>
      <c r="AZ923" s="139"/>
      <c r="BA923" s="139"/>
      <c r="BB923" s="139"/>
    </row>
    <row r="924">
      <c r="A924" s="28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  <c r="AC924" s="139"/>
      <c r="AD924" s="139"/>
      <c r="AE924" s="139"/>
      <c r="AF924" s="139"/>
      <c r="AG924" s="139"/>
      <c r="AH924" s="139"/>
      <c r="AI924" s="139"/>
      <c r="AJ924" s="139"/>
      <c r="AK924" s="139"/>
      <c r="AL924" s="139"/>
      <c r="AM924" s="139"/>
      <c r="AN924" s="139"/>
      <c r="AO924" s="139"/>
      <c r="AP924" s="139"/>
      <c r="AQ924" s="139"/>
      <c r="AR924" s="139"/>
      <c r="AS924" s="139"/>
      <c r="AT924" s="139"/>
      <c r="AU924" s="139"/>
      <c r="AV924" s="139"/>
      <c r="AW924" s="139"/>
      <c r="AX924" s="139"/>
      <c r="AY924" s="139"/>
      <c r="AZ924" s="139"/>
      <c r="BA924" s="139"/>
      <c r="BB924" s="139"/>
    </row>
    <row r="925">
      <c r="A925" s="28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  <c r="AC925" s="139"/>
      <c r="AD925" s="139"/>
      <c r="AE925" s="139"/>
      <c r="AF925" s="139"/>
      <c r="AG925" s="139"/>
      <c r="AH925" s="139"/>
      <c r="AI925" s="139"/>
      <c r="AJ925" s="139"/>
      <c r="AK925" s="139"/>
      <c r="AL925" s="139"/>
      <c r="AM925" s="139"/>
      <c r="AN925" s="139"/>
      <c r="AO925" s="139"/>
      <c r="AP925" s="139"/>
      <c r="AQ925" s="139"/>
      <c r="AR925" s="139"/>
      <c r="AS925" s="139"/>
      <c r="AT925" s="139"/>
      <c r="AU925" s="139"/>
      <c r="AV925" s="139"/>
      <c r="AW925" s="139"/>
      <c r="AX925" s="139"/>
      <c r="AY925" s="139"/>
      <c r="AZ925" s="139"/>
      <c r="BA925" s="139"/>
      <c r="BB925" s="139"/>
    </row>
    <row r="926">
      <c r="A926" s="28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  <c r="AC926" s="139"/>
      <c r="AD926" s="139"/>
      <c r="AE926" s="139"/>
      <c r="AF926" s="139"/>
      <c r="AG926" s="139"/>
      <c r="AH926" s="139"/>
      <c r="AI926" s="139"/>
      <c r="AJ926" s="139"/>
      <c r="AK926" s="139"/>
      <c r="AL926" s="139"/>
      <c r="AM926" s="139"/>
      <c r="AN926" s="139"/>
      <c r="AO926" s="139"/>
      <c r="AP926" s="139"/>
      <c r="AQ926" s="139"/>
      <c r="AR926" s="139"/>
      <c r="AS926" s="139"/>
      <c r="AT926" s="139"/>
      <c r="AU926" s="139"/>
      <c r="AV926" s="139"/>
      <c r="AW926" s="139"/>
      <c r="AX926" s="139"/>
      <c r="AY926" s="139"/>
      <c r="AZ926" s="139"/>
      <c r="BA926" s="139"/>
      <c r="BB926" s="139"/>
    </row>
    <row r="927">
      <c r="A927" s="28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  <c r="AC927" s="139"/>
      <c r="AD927" s="139"/>
      <c r="AE927" s="139"/>
      <c r="AF927" s="139"/>
      <c r="AG927" s="139"/>
      <c r="AH927" s="139"/>
      <c r="AI927" s="139"/>
      <c r="AJ927" s="139"/>
      <c r="AK927" s="139"/>
      <c r="AL927" s="139"/>
      <c r="AM927" s="139"/>
      <c r="AN927" s="139"/>
      <c r="AO927" s="139"/>
      <c r="AP927" s="139"/>
      <c r="AQ927" s="139"/>
      <c r="AR927" s="139"/>
      <c r="AS927" s="139"/>
      <c r="AT927" s="139"/>
      <c r="AU927" s="139"/>
      <c r="AV927" s="139"/>
      <c r="AW927" s="139"/>
      <c r="AX927" s="139"/>
      <c r="AY927" s="139"/>
      <c r="AZ927" s="139"/>
      <c r="BA927" s="139"/>
      <c r="BB927" s="139"/>
    </row>
    <row r="928">
      <c r="A928" s="28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  <c r="AC928" s="139"/>
      <c r="AD928" s="139"/>
      <c r="AE928" s="139"/>
      <c r="AF928" s="139"/>
      <c r="AG928" s="139"/>
      <c r="AH928" s="139"/>
      <c r="AI928" s="139"/>
      <c r="AJ928" s="139"/>
      <c r="AK928" s="139"/>
      <c r="AL928" s="139"/>
      <c r="AM928" s="139"/>
      <c r="AN928" s="139"/>
      <c r="AO928" s="139"/>
      <c r="AP928" s="139"/>
      <c r="AQ928" s="139"/>
      <c r="AR928" s="139"/>
      <c r="AS928" s="139"/>
      <c r="AT928" s="139"/>
      <c r="AU928" s="139"/>
      <c r="AV928" s="139"/>
      <c r="AW928" s="139"/>
      <c r="AX928" s="139"/>
      <c r="AY928" s="139"/>
      <c r="AZ928" s="139"/>
      <c r="BA928" s="139"/>
      <c r="BB928" s="139"/>
    </row>
    <row r="929">
      <c r="A929" s="28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  <c r="AC929" s="139"/>
      <c r="AD929" s="139"/>
      <c r="AE929" s="139"/>
      <c r="AF929" s="139"/>
      <c r="AG929" s="139"/>
      <c r="AH929" s="139"/>
      <c r="AI929" s="139"/>
      <c r="AJ929" s="139"/>
      <c r="AK929" s="139"/>
      <c r="AL929" s="139"/>
      <c r="AM929" s="139"/>
      <c r="AN929" s="139"/>
      <c r="AO929" s="139"/>
      <c r="AP929" s="139"/>
      <c r="AQ929" s="139"/>
      <c r="AR929" s="139"/>
      <c r="AS929" s="139"/>
      <c r="AT929" s="139"/>
      <c r="AU929" s="139"/>
      <c r="AV929" s="139"/>
      <c r="AW929" s="139"/>
      <c r="AX929" s="139"/>
      <c r="AY929" s="139"/>
      <c r="AZ929" s="139"/>
      <c r="BA929" s="139"/>
      <c r="BB929" s="139"/>
    </row>
    <row r="930">
      <c r="A930" s="28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  <c r="AC930" s="139"/>
      <c r="AD930" s="139"/>
      <c r="AE930" s="139"/>
      <c r="AF930" s="139"/>
      <c r="AG930" s="139"/>
      <c r="AH930" s="139"/>
      <c r="AI930" s="139"/>
      <c r="AJ930" s="139"/>
      <c r="AK930" s="139"/>
      <c r="AL930" s="139"/>
      <c r="AM930" s="139"/>
      <c r="AN930" s="139"/>
      <c r="AO930" s="139"/>
      <c r="AP930" s="139"/>
      <c r="AQ930" s="139"/>
      <c r="AR930" s="139"/>
      <c r="AS930" s="139"/>
      <c r="AT930" s="139"/>
      <c r="AU930" s="139"/>
      <c r="AV930" s="139"/>
      <c r="AW930" s="139"/>
      <c r="AX930" s="139"/>
      <c r="AY930" s="139"/>
      <c r="AZ930" s="139"/>
      <c r="BA930" s="139"/>
      <c r="BB930" s="139"/>
    </row>
    <row r="931">
      <c r="A931" s="28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  <c r="AC931" s="139"/>
      <c r="AD931" s="139"/>
      <c r="AE931" s="139"/>
      <c r="AF931" s="139"/>
      <c r="AG931" s="139"/>
      <c r="AH931" s="139"/>
      <c r="AI931" s="139"/>
      <c r="AJ931" s="139"/>
      <c r="AK931" s="139"/>
      <c r="AL931" s="139"/>
      <c r="AM931" s="139"/>
      <c r="AN931" s="139"/>
      <c r="AO931" s="139"/>
      <c r="AP931" s="139"/>
      <c r="AQ931" s="139"/>
      <c r="AR931" s="139"/>
      <c r="AS931" s="139"/>
      <c r="AT931" s="139"/>
      <c r="AU931" s="139"/>
      <c r="AV931" s="139"/>
      <c r="AW931" s="139"/>
      <c r="AX931" s="139"/>
      <c r="AY931" s="139"/>
      <c r="AZ931" s="139"/>
      <c r="BA931" s="139"/>
      <c r="BB931" s="139"/>
    </row>
    <row r="932">
      <c r="A932" s="28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  <c r="AC932" s="139"/>
      <c r="AD932" s="139"/>
      <c r="AE932" s="139"/>
      <c r="AF932" s="139"/>
      <c r="AG932" s="139"/>
      <c r="AH932" s="139"/>
      <c r="AI932" s="139"/>
      <c r="AJ932" s="139"/>
      <c r="AK932" s="139"/>
      <c r="AL932" s="139"/>
      <c r="AM932" s="139"/>
      <c r="AN932" s="139"/>
      <c r="AO932" s="139"/>
      <c r="AP932" s="139"/>
      <c r="AQ932" s="139"/>
      <c r="AR932" s="139"/>
      <c r="AS932" s="139"/>
      <c r="AT932" s="139"/>
      <c r="AU932" s="139"/>
      <c r="AV932" s="139"/>
      <c r="AW932" s="139"/>
      <c r="AX932" s="139"/>
      <c r="AY932" s="139"/>
      <c r="AZ932" s="139"/>
      <c r="BA932" s="139"/>
      <c r="BB932" s="139"/>
    </row>
    <row r="933">
      <c r="A933" s="28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  <c r="AC933" s="139"/>
      <c r="AD933" s="139"/>
      <c r="AE933" s="139"/>
      <c r="AF933" s="139"/>
      <c r="AG933" s="139"/>
      <c r="AH933" s="139"/>
      <c r="AI933" s="139"/>
      <c r="AJ933" s="139"/>
      <c r="AK933" s="139"/>
      <c r="AL933" s="139"/>
      <c r="AM933" s="139"/>
      <c r="AN933" s="139"/>
      <c r="AO933" s="139"/>
      <c r="AP933" s="139"/>
      <c r="AQ933" s="139"/>
      <c r="AR933" s="139"/>
      <c r="AS933" s="139"/>
      <c r="AT933" s="139"/>
      <c r="AU933" s="139"/>
      <c r="AV933" s="139"/>
      <c r="AW933" s="139"/>
      <c r="AX933" s="139"/>
      <c r="AY933" s="139"/>
      <c r="AZ933" s="139"/>
      <c r="BA933" s="139"/>
      <c r="BB933" s="139"/>
    </row>
    <row r="934">
      <c r="A934" s="28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  <c r="AC934" s="139"/>
      <c r="AD934" s="139"/>
      <c r="AE934" s="139"/>
      <c r="AF934" s="139"/>
      <c r="AG934" s="139"/>
      <c r="AH934" s="139"/>
      <c r="AI934" s="139"/>
      <c r="AJ934" s="139"/>
      <c r="AK934" s="139"/>
      <c r="AL934" s="139"/>
      <c r="AM934" s="139"/>
      <c r="AN934" s="139"/>
      <c r="AO934" s="139"/>
      <c r="AP934" s="139"/>
      <c r="AQ934" s="139"/>
      <c r="AR934" s="139"/>
      <c r="AS934" s="139"/>
      <c r="AT934" s="139"/>
      <c r="AU934" s="139"/>
      <c r="AV934" s="139"/>
      <c r="AW934" s="139"/>
      <c r="AX934" s="139"/>
      <c r="AY934" s="139"/>
      <c r="AZ934" s="139"/>
      <c r="BA934" s="139"/>
      <c r="BB934" s="139"/>
    </row>
    <row r="935">
      <c r="A935" s="28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  <c r="AC935" s="139"/>
      <c r="AD935" s="139"/>
      <c r="AE935" s="139"/>
      <c r="AF935" s="139"/>
      <c r="AG935" s="139"/>
      <c r="AH935" s="139"/>
      <c r="AI935" s="139"/>
      <c r="AJ935" s="139"/>
      <c r="AK935" s="139"/>
      <c r="AL935" s="139"/>
      <c r="AM935" s="139"/>
      <c r="AN935" s="139"/>
      <c r="AO935" s="139"/>
      <c r="AP935" s="139"/>
      <c r="AQ935" s="139"/>
      <c r="AR935" s="139"/>
      <c r="AS935" s="139"/>
      <c r="AT935" s="139"/>
      <c r="AU935" s="139"/>
      <c r="AV935" s="139"/>
      <c r="AW935" s="139"/>
      <c r="AX935" s="139"/>
      <c r="AY935" s="139"/>
      <c r="AZ935" s="139"/>
      <c r="BA935" s="139"/>
      <c r="BB935" s="139"/>
    </row>
    <row r="936">
      <c r="A936" s="28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  <c r="AC936" s="139"/>
      <c r="AD936" s="139"/>
      <c r="AE936" s="139"/>
      <c r="AF936" s="139"/>
      <c r="AG936" s="139"/>
      <c r="AH936" s="139"/>
      <c r="AI936" s="139"/>
      <c r="AJ936" s="139"/>
      <c r="AK936" s="139"/>
      <c r="AL936" s="139"/>
      <c r="AM936" s="139"/>
      <c r="AN936" s="139"/>
      <c r="AO936" s="139"/>
      <c r="AP936" s="139"/>
      <c r="AQ936" s="139"/>
      <c r="AR936" s="139"/>
      <c r="AS936" s="139"/>
      <c r="AT936" s="139"/>
      <c r="AU936" s="139"/>
      <c r="AV936" s="139"/>
      <c r="AW936" s="139"/>
      <c r="AX936" s="139"/>
      <c r="AY936" s="139"/>
      <c r="AZ936" s="139"/>
      <c r="BA936" s="139"/>
      <c r="BB936" s="139"/>
    </row>
    <row r="937">
      <c r="A937" s="28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  <c r="AC937" s="139"/>
      <c r="AD937" s="139"/>
      <c r="AE937" s="139"/>
      <c r="AF937" s="139"/>
      <c r="AG937" s="139"/>
      <c r="AH937" s="139"/>
      <c r="AI937" s="139"/>
      <c r="AJ937" s="139"/>
      <c r="AK937" s="139"/>
      <c r="AL937" s="139"/>
      <c r="AM937" s="139"/>
      <c r="AN937" s="139"/>
      <c r="AO937" s="139"/>
      <c r="AP937" s="139"/>
      <c r="AQ937" s="139"/>
      <c r="AR937" s="139"/>
      <c r="AS937" s="139"/>
      <c r="AT937" s="139"/>
      <c r="AU937" s="139"/>
      <c r="AV937" s="139"/>
      <c r="AW937" s="139"/>
      <c r="AX937" s="139"/>
      <c r="AY937" s="139"/>
      <c r="AZ937" s="139"/>
      <c r="BA937" s="139"/>
      <c r="BB937" s="139"/>
    </row>
    <row r="938">
      <c r="A938" s="28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  <c r="AC938" s="139"/>
      <c r="AD938" s="139"/>
      <c r="AE938" s="139"/>
      <c r="AF938" s="139"/>
      <c r="AG938" s="139"/>
      <c r="AH938" s="139"/>
      <c r="AI938" s="139"/>
      <c r="AJ938" s="139"/>
      <c r="AK938" s="139"/>
      <c r="AL938" s="139"/>
      <c r="AM938" s="139"/>
      <c r="AN938" s="139"/>
      <c r="AO938" s="139"/>
      <c r="AP938" s="139"/>
      <c r="AQ938" s="139"/>
      <c r="AR938" s="139"/>
      <c r="AS938" s="139"/>
      <c r="AT938" s="139"/>
      <c r="AU938" s="139"/>
      <c r="AV938" s="139"/>
      <c r="AW938" s="139"/>
      <c r="AX938" s="139"/>
      <c r="AY938" s="139"/>
      <c r="AZ938" s="139"/>
      <c r="BA938" s="139"/>
      <c r="BB938" s="139"/>
    </row>
    <row r="939">
      <c r="A939" s="28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  <c r="AC939" s="139"/>
      <c r="AD939" s="139"/>
      <c r="AE939" s="139"/>
      <c r="AF939" s="139"/>
      <c r="AG939" s="139"/>
      <c r="AH939" s="139"/>
      <c r="AI939" s="139"/>
      <c r="AJ939" s="139"/>
      <c r="AK939" s="139"/>
      <c r="AL939" s="139"/>
      <c r="AM939" s="139"/>
      <c r="AN939" s="139"/>
      <c r="AO939" s="139"/>
      <c r="AP939" s="139"/>
      <c r="AQ939" s="139"/>
      <c r="AR939" s="139"/>
      <c r="AS939" s="139"/>
      <c r="AT939" s="139"/>
      <c r="AU939" s="139"/>
      <c r="AV939" s="139"/>
      <c r="AW939" s="139"/>
      <c r="AX939" s="139"/>
      <c r="AY939" s="139"/>
      <c r="AZ939" s="139"/>
      <c r="BA939" s="139"/>
      <c r="BB939" s="139"/>
    </row>
    <row r="940">
      <c r="A940" s="28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  <c r="AC940" s="139"/>
      <c r="AD940" s="139"/>
      <c r="AE940" s="139"/>
      <c r="AF940" s="139"/>
      <c r="AG940" s="139"/>
      <c r="AH940" s="139"/>
      <c r="AI940" s="139"/>
      <c r="AJ940" s="139"/>
      <c r="AK940" s="139"/>
      <c r="AL940" s="139"/>
      <c r="AM940" s="139"/>
      <c r="AN940" s="139"/>
      <c r="AO940" s="139"/>
      <c r="AP940" s="139"/>
      <c r="AQ940" s="139"/>
      <c r="AR940" s="139"/>
      <c r="AS940" s="139"/>
      <c r="AT940" s="139"/>
      <c r="AU940" s="139"/>
      <c r="AV940" s="139"/>
      <c r="AW940" s="139"/>
      <c r="AX940" s="139"/>
      <c r="AY940" s="139"/>
      <c r="AZ940" s="139"/>
      <c r="BA940" s="139"/>
      <c r="BB940" s="139"/>
    </row>
    <row r="941">
      <c r="A941" s="28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  <c r="AC941" s="139"/>
      <c r="AD941" s="139"/>
      <c r="AE941" s="139"/>
      <c r="AF941" s="139"/>
      <c r="AG941" s="139"/>
      <c r="AH941" s="139"/>
      <c r="AI941" s="139"/>
      <c r="AJ941" s="139"/>
      <c r="AK941" s="139"/>
      <c r="AL941" s="139"/>
      <c r="AM941" s="139"/>
      <c r="AN941" s="139"/>
      <c r="AO941" s="139"/>
      <c r="AP941" s="139"/>
      <c r="AQ941" s="139"/>
      <c r="AR941" s="139"/>
      <c r="AS941" s="139"/>
      <c r="AT941" s="139"/>
      <c r="AU941" s="139"/>
      <c r="AV941" s="139"/>
      <c r="AW941" s="139"/>
      <c r="AX941" s="139"/>
      <c r="AY941" s="139"/>
      <c r="AZ941" s="139"/>
      <c r="BA941" s="139"/>
      <c r="BB941" s="139"/>
    </row>
    <row r="942">
      <c r="A942" s="28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  <c r="AC942" s="139"/>
      <c r="AD942" s="139"/>
      <c r="AE942" s="139"/>
      <c r="AF942" s="139"/>
      <c r="AG942" s="139"/>
      <c r="AH942" s="139"/>
      <c r="AI942" s="139"/>
      <c r="AJ942" s="139"/>
      <c r="AK942" s="139"/>
      <c r="AL942" s="139"/>
      <c r="AM942" s="139"/>
      <c r="AN942" s="139"/>
      <c r="AO942" s="139"/>
      <c r="AP942" s="139"/>
      <c r="AQ942" s="139"/>
      <c r="AR942" s="139"/>
      <c r="AS942" s="139"/>
      <c r="AT942" s="139"/>
      <c r="AU942" s="139"/>
      <c r="AV942" s="139"/>
      <c r="AW942" s="139"/>
      <c r="AX942" s="139"/>
      <c r="AY942" s="139"/>
      <c r="AZ942" s="139"/>
      <c r="BA942" s="139"/>
      <c r="BB942" s="139"/>
    </row>
    <row r="943">
      <c r="A943" s="28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  <c r="AC943" s="139"/>
      <c r="AD943" s="139"/>
      <c r="AE943" s="139"/>
      <c r="AF943" s="139"/>
      <c r="AG943" s="139"/>
      <c r="AH943" s="139"/>
      <c r="AI943" s="139"/>
      <c r="AJ943" s="139"/>
      <c r="AK943" s="139"/>
      <c r="AL943" s="139"/>
      <c r="AM943" s="139"/>
      <c r="AN943" s="139"/>
      <c r="AO943" s="139"/>
      <c r="AP943" s="139"/>
      <c r="AQ943" s="139"/>
      <c r="AR943" s="139"/>
      <c r="AS943" s="139"/>
      <c r="AT943" s="139"/>
      <c r="AU943" s="139"/>
      <c r="AV943" s="139"/>
      <c r="AW943" s="139"/>
      <c r="AX943" s="139"/>
      <c r="AY943" s="139"/>
      <c r="AZ943" s="139"/>
      <c r="BA943" s="139"/>
      <c r="BB943" s="139"/>
    </row>
    <row r="944">
      <c r="A944" s="28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  <c r="AC944" s="139"/>
      <c r="AD944" s="139"/>
      <c r="AE944" s="139"/>
      <c r="AF944" s="139"/>
      <c r="AG944" s="139"/>
      <c r="AH944" s="139"/>
      <c r="AI944" s="139"/>
      <c r="AJ944" s="139"/>
      <c r="AK944" s="139"/>
      <c r="AL944" s="139"/>
      <c r="AM944" s="139"/>
      <c r="AN944" s="139"/>
      <c r="AO944" s="139"/>
      <c r="AP944" s="139"/>
      <c r="AQ944" s="139"/>
      <c r="AR944" s="139"/>
      <c r="AS944" s="139"/>
      <c r="AT944" s="139"/>
      <c r="AU944" s="139"/>
      <c r="AV944" s="139"/>
      <c r="AW944" s="139"/>
      <c r="AX944" s="139"/>
      <c r="AY944" s="139"/>
      <c r="AZ944" s="139"/>
      <c r="BA944" s="139"/>
      <c r="BB944" s="139"/>
    </row>
    <row r="945">
      <c r="A945" s="28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  <c r="AC945" s="139"/>
      <c r="AD945" s="139"/>
      <c r="AE945" s="139"/>
      <c r="AF945" s="139"/>
      <c r="AG945" s="139"/>
      <c r="AH945" s="139"/>
      <c r="AI945" s="139"/>
      <c r="AJ945" s="139"/>
      <c r="AK945" s="139"/>
      <c r="AL945" s="139"/>
      <c r="AM945" s="139"/>
      <c r="AN945" s="139"/>
      <c r="AO945" s="139"/>
      <c r="AP945" s="139"/>
      <c r="AQ945" s="139"/>
      <c r="AR945" s="139"/>
      <c r="AS945" s="139"/>
      <c r="AT945" s="139"/>
      <c r="AU945" s="139"/>
      <c r="AV945" s="139"/>
      <c r="AW945" s="139"/>
      <c r="AX945" s="139"/>
      <c r="AY945" s="139"/>
      <c r="AZ945" s="139"/>
      <c r="BA945" s="139"/>
      <c r="BB945" s="139"/>
    </row>
    <row r="946">
      <c r="A946" s="28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  <c r="AC946" s="139"/>
      <c r="AD946" s="139"/>
      <c r="AE946" s="139"/>
      <c r="AF946" s="139"/>
      <c r="AG946" s="139"/>
      <c r="AH946" s="139"/>
      <c r="AI946" s="139"/>
      <c r="AJ946" s="139"/>
      <c r="AK946" s="139"/>
      <c r="AL946" s="139"/>
      <c r="AM946" s="139"/>
      <c r="AN946" s="139"/>
      <c r="AO946" s="139"/>
      <c r="AP946" s="139"/>
      <c r="AQ946" s="139"/>
      <c r="AR946" s="139"/>
      <c r="AS946" s="139"/>
      <c r="AT946" s="139"/>
      <c r="AU946" s="139"/>
      <c r="AV946" s="139"/>
      <c r="AW946" s="139"/>
      <c r="AX946" s="139"/>
      <c r="AY946" s="139"/>
      <c r="AZ946" s="139"/>
      <c r="BA946" s="139"/>
      <c r="BB946" s="139"/>
    </row>
    <row r="947">
      <c r="A947" s="28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  <c r="AC947" s="139"/>
      <c r="AD947" s="139"/>
      <c r="AE947" s="139"/>
      <c r="AF947" s="139"/>
      <c r="AG947" s="139"/>
      <c r="AH947" s="139"/>
      <c r="AI947" s="139"/>
      <c r="AJ947" s="139"/>
      <c r="AK947" s="139"/>
      <c r="AL947" s="139"/>
      <c r="AM947" s="139"/>
      <c r="AN947" s="139"/>
      <c r="AO947" s="139"/>
      <c r="AP947" s="139"/>
      <c r="AQ947" s="139"/>
      <c r="AR947" s="139"/>
      <c r="AS947" s="139"/>
      <c r="AT947" s="139"/>
      <c r="AU947" s="139"/>
      <c r="AV947" s="139"/>
      <c r="AW947" s="139"/>
      <c r="AX947" s="139"/>
      <c r="AY947" s="139"/>
      <c r="AZ947" s="139"/>
      <c r="BA947" s="139"/>
      <c r="BB947" s="139"/>
    </row>
    <row r="948">
      <c r="A948" s="28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  <c r="AC948" s="139"/>
      <c r="AD948" s="139"/>
      <c r="AE948" s="139"/>
      <c r="AF948" s="139"/>
      <c r="AG948" s="139"/>
      <c r="AH948" s="139"/>
      <c r="AI948" s="139"/>
      <c r="AJ948" s="139"/>
      <c r="AK948" s="139"/>
      <c r="AL948" s="139"/>
      <c r="AM948" s="139"/>
      <c r="AN948" s="139"/>
      <c r="AO948" s="139"/>
      <c r="AP948" s="139"/>
      <c r="AQ948" s="139"/>
      <c r="AR948" s="139"/>
      <c r="AS948" s="139"/>
      <c r="AT948" s="139"/>
      <c r="AU948" s="139"/>
      <c r="AV948" s="139"/>
      <c r="AW948" s="139"/>
      <c r="AX948" s="139"/>
      <c r="AY948" s="139"/>
      <c r="AZ948" s="139"/>
      <c r="BA948" s="139"/>
      <c r="BB948" s="139"/>
    </row>
    <row r="949">
      <c r="A949" s="28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  <c r="AC949" s="139"/>
      <c r="AD949" s="139"/>
      <c r="AE949" s="139"/>
      <c r="AF949" s="139"/>
      <c r="AG949" s="139"/>
      <c r="AH949" s="139"/>
      <c r="AI949" s="139"/>
      <c r="AJ949" s="139"/>
      <c r="AK949" s="139"/>
      <c r="AL949" s="139"/>
      <c r="AM949" s="139"/>
      <c r="AN949" s="139"/>
      <c r="AO949" s="139"/>
      <c r="AP949" s="139"/>
      <c r="AQ949" s="139"/>
      <c r="AR949" s="139"/>
      <c r="AS949" s="139"/>
      <c r="AT949" s="139"/>
      <c r="AU949" s="139"/>
      <c r="AV949" s="139"/>
      <c r="AW949" s="139"/>
      <c r="AX949" s="139"/>
      <c r="AY949" s="139"/>
      <c r="AZ949" s="139"/>
      <c r="BA949" s="139"/>
      <c r="BB949" s="139"/>
    </row>
    <row r="950">
      <c r="A950" s="28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  <c r="AC950" s="139"/>
      <c r="AD950" s="139"/>
      <c r="AE950" s="139"/>
      <c r="AF950" s="139"/>
      <c r="AG950" s="139"/>
      <c r="AH950" s="139"/>
      <c r="AI950" s="139"/>
      <c r="AJ950" s="139"/>
      <c r="AK950" s="139"/>
      <c r="AL950" s="139"/>
      <c r="AM950" s="139"/>
      <c r="AN950" s="139"/>
      <c r="AO950" s="139"/>
      <c r="AP950" s="139"/>
      <c r="AQ950" s="139"/>
      <c r="AR950" s="139"/>
      <c r="AS950" s="139"/>
      <c r="AT950" s="139"/>
      <c r="AU950" s="139"/>
      <c r="AV950" s="139"/>
      <c r="AW950" s="139"/>
      <c r="AX950" s="139"/>
      <c r="AY950" s="139"/>
      <c r="AZ950" s="139"/>
      <c r="BA950" s="139"/>
      <c r="BB950" s="139"/>
    </row>
    <row r="951">
      <c r="A951" s="28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  <c r="AC951" s="139"/>
      <c r="AD951" s="139"/>
      <c r="AE951" s="139"/>
      <c r="AF951" s="139"/>
      <c r="AG951" s="139"/>
      <c r="AH951" s="139"/>
      <c r="AI951" s="139"/>
      <c r="AJ951" s="139"/>
      <c r="AK951" s="139"/>
      <c r="AL951" s="139"/>
      <c r="AM951" s="139"/>
      <c r="AN951" s="139"/>
      <c r="AO951" s="139"/>
      <c r="AP951" s="139"/>
      <c r="AQ951" s="139"/>
      <c r="AR951" s="139"/>
      <c r="AS951" s="139"/>
      <c r="AT951" s="139"/>
      <c r="AU951" s="139"/>
      <c r="AV951" s="139"/>
      <c r="AW951" s="139"/>
      <c r="AX951" s="139"/>
      <c r="AY951" s="139"/>
      <c r="AZ951" s="139"/>
      <c r="BA951" s="139"/>
      <c r="BB951" s="139"/>
    </row>
    <row r="952">
      <c r="A952" s="28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  <c r="AC952" s="139"/>
      <c r="AD952" s="139"/>
      <c r="AE952" s="139"/>
      <c r="AF952" s="139"/>
      <c r="AG952" s="139"/>
      <c r="AH952" s="139"/>
      <c r="AI952" s="139"/>
      <c r="AJ952" s="139"/>
      <c r="AK952" s="139"/>
      <c r="AL952" s="139"/>
      <c r="AM952" s="139"/>
      <c r="AN952" s="139"/>
      <c r="AO952" s="139"/>
      <c r="AP952" s="139"/>
      <c r="AQ952" s="139"/>
      <c r="AR952" s="139"/>
      <c r="AS952" s="139"/>
      <c r="AT952" s="139"/>
      <c r="AU952" s="139"/>
      <c r="AV952" s="139"/>
      <c r="AW952" s="139"/>
      <c r="AX952" s="139"/>
      <c r="AY952" s="139"/>
      <c r="AZ952" s="139"/>
      <c r="BA952" s="139"/>
      <c r="BB952" s="139"/>
    </row>
    <row r="953">
      <c r="A953" s="28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  <c r="AC953" s="139"/>
      <c r="AD953" s="139"/>
      <c r="AE953" s="139"/>
      <c r="AF953" s="139"/>
      <c r="AG953" s="139"/>
      <c r="AH953" s="139"/>
      <c r="AI953" s="139"/>
      <c r="AJ953" s="139"/>
      <c r="AK953" s="139"/>
      <c r="AL953" s="139"/>
      <c r="AM953" s="139"/>
      <c r="AN953" s="139"/>
      <c r="AO953" s="139"/>
      <c r="AP953" s="139"/>
      <c r="AQ953" s="139"/>
      <c r="AR953" s="139"/>
      <c r="AS953" s="139"/>
      <c r="AT953" s="139"/>
      <c r="AU953" s="139"/>
      <c r="AV953" s="139"/>
      <c r="AW953" s="139"/>
      <c r="AX953" s="139"/>
      <c r="AY953" s="139"/>
      <c r="AZ953" s="139"/>
      <c r="BA953" s="139"/>
      <c r="BB953" s="139"/>
    </row>
    <row r="954">
      <c r="A954" s="28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  <c r="AC954" s="139"/>
      <c r="AD954" s="139"/>
      <c r="AE954" s="139"/>
      <c r="AF954" s="139"/>
      <c r="AG954" s="139"/>
      <c r="AH954" s="139"/>
      <c r="AI954" s="139"/>
      <c r="AJ954" s="139"/>
      <c r="AK954" s="139"/>
      <c r="AL954" s="139"/>
      <c r="AM954" s="139"/>
      <c r="AN954" s="139"/>
      <c r="AO954" s="139"/>
      <c r="AP954" s="139"/>
      <c r="AQ954" s="139"/>
      <c r="AR954" s="139"/>
      <c r="AS954" s="139"/>
      <c r="AT954" s="139"/>
      <c r="AU954" s="139"/>
      <c r="AV954" s="139"/>
      <c r="AW954" s="139"/>
      <c r="AX954" s="139"/>
      <c r="AY954" s="139"/>
      <c r="AZ954" s="139"/>
      <c r="BA954" s="139"/>
      <c r="BB954" s="139"/>
    </row>
    <row r="955">
      <c r="A955" s="28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  <c r="AC955" s="139"/>
      <c r="AD955" s="139"/>
      <c r="AE955" s="139"/>
      <c r="AF955" s="139"/>
      <c r="AG955" s="139"/>
      <c r="AH955" s="139"/>
      <c r="AI955" s="139"/>
      <c r="AJ955" s="139"/>
      <c r="AK955" s="139"/>
      <c r="AL955" s="139"/>
      <c r="AM955" s="139"/>
      <c r="AN955" s="139"/>
      <c r="AO955" s="139"/>
      <c r="AP955" s="139"/>
      <c r="AQ955" s="139"/>
      <c r="AR955" s="139"/>
      <c r="AS955" s="139"/>
      <c r="AT955" s="139"/>
      <c r="AU955" s="139"/>
      <c r="AV955" s="139"/>
      <c r="AW955" s="139"/>
      <c r="AX955" s="139"/>
      <c r="AY955" s="139"/>
      <c r="AZ955" s="139"/>
      <c r="BA955" s="139"/>
      <c r="BB955" s="139"/>
    </row>
    <row r="956">
      <c r="A956" s="28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  <c r="AC956" s="139"/>
      <c r="AD956" s="139"/>
      <c r="AE956" s="139"/>
      <c r="AF956" s="139"/>
      <c r="AG956" s="139"/>
      <c r="AH956" s="139"/>
      <c r="AI956" s="139"/>
      <c r="AJ956" s="139"/>
      <c r="AK956" s="139"/>
      <c r="AL956" s="139"/>
      <c r="AM956" s="139"/>
      <c r="AN956" s="139"/>
      <c r="AO956" s="139"/>
      <c r="AP956" s="139"/>
      <c r="AQ956" s="139"/>
      <c r="AR956" s="139"/>
      <c r="AS956" s="139"/>
      <c r="AT956" s="139"/>
      <c r="AU956" s="139"/>
      <c r="AV956" s="139"/>
      <c r="AW956" s="139"/>
      <c r="AX956" s="139"/>
      <c r="AY956" s="139"/>
      <c r="AZ956" s="139"/>
      <c r="BA956" s="139"/>
      <c r="BB956" s="139"/>
    </row>
    <row r="957">
      <c r="A957" s="28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  <c r="AB957" s="139"/>
      <c r="AC957" s="139"/>
      <c r="AD957" s="139"/>
      <c r="AE957" s="139"/>
      <c r="AF957" s="139"/>
      <c r="AG957" s="139"/>
      <c r="AH957" s="139"/>
      <c r="AI957" s="139"/>
      <c r="AJ957" s="139"/>
      <c r="AK957" s="139"/>
      <c r="AL957" s="139"/>
      <c r="AM957" s="139"/>
      <c r="AN957" s="139"/>
      <c r="AO957" s="139"/>
      <c r="AP957" s="139"/>
      <c r="AQ957" s="139"/>
      <c r="AR957" s="139"/>
      <c r="AS957" s="139"/>
      <c r="AT957" s="139"/>
      <c r="AU957" s="139"/>
      <c r="AV957" s="139"/>
      <c r="AW957" s="139"/>
      <c r="AX957" s="139"/>
      <c r="AY957" s="139"/>
      <c r="AZ957" s="139"/>
      <c r="BA957" s="139"/>
      <c r="BB957" s="139"/>
    </row>
    <row r="958">
      <c r="A958" s="28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  <c r="AB958" s="139"/>
      <c r="AC958" s="139"/>
      <c r="AD958" s="139"/>
      <c r="AE958" s="139"/>
      <c r="AF958" s="139"/>
      <c r="AG958" s="139"/>
      <c r="AH958" s="139"/>
      <c r="AI958" s="139"/>
      <c r="AJ958" s="139"/>
      <c r="AK958" s="139"/>
      <c r="AL958" s="139"/>
      <c r="AM958" s="139"/>
      <c r="AN958" s="139"/>
      <c r="AO958" s="139"/>
      <c r="AP958" s="139"/>
      <c r="AQ958" s="139"/>
      <c r="AR958" s="139"/>
      <c r="AS958" s="139"/>
      <c r="AT958" s="139"/>
      <c r="AU958" s="139"/>
      <c r="AV958" s="139"/>
      <c r="AW958" s="139"/>
      <c r="AX958" s="139"/>
      <c r="AY958" s="139"/>
      <c r="AZ958" s="139"/>
      <c r="BA958" s="139"/>
      <c r="BB958" s="139"/>
    </row>
    <row r="959">
      <c r="A959" s="28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  <c r="AB959" s="139"/>
      <c r="AC959" s="139"/>
      <c r="AD959" s="139"/>
      <c r="AE959" s="139"/>
      <c r="AF959" s="139"/>
      <c r="AG959" s="139"/>
      <c r="AH959" s="139"/>
      <c r="AI959" s="139"/>
      <c r="AJ959" s="139"/>
      <c r="AK959" s="139"/>
      <c r="AL959" s="139"/>
      <c r="AM959" s="139"/>
      <c r="AN959" s="139"/>
      <c r="AO959" s="139"/>
      <c r="AP959" s="139"/>
      <c r="AQ959" s="139"/>
      <c r="AR959" s="139"/>
      <c r="AS959" s="139"/>
      <c r="AT959" s="139"/>
      <c r="AU959" s="139"/>
      <c r="AV959" s="139"/>
      <c r="AW959" s="139"/>
      <c r="AX959" s="139"/>
      <c r="AY959" s="139"/>
      <c r="AZ959" s="139"/>
      <c r="BA959" s="139"/>
      <c r="BB959" s="139"/>
    </row>
    <row r="960">
      <c r="A960" s="28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  <c r="AB960" s="139"/>
      <c r="AC960" s="139"/>
      <c r="AD960" s="139"/>
      <c r="AE960" s="139"/>
      <c r="AF960" s="139"/>
      <c r="AG960" s="139"/>
      <c r="AH960" s="139"/>
      <c r="AI960" s="139"/>
      <c r="AJ960" s="139"/>
      <c r="AK960" s="139"/>
      <c r="AL960" s="139"/>
      <c r="AM960" s="139"/>
      <c r="AN960" s="139"/>
      <c r="AO960" s="139"/>
      <c r="AP960" s="139"/>
      <c r="AQ960" s="139"/>
      <c r="AR960" s="139"/>
      <c r="AS960" s="139"/>
      <c r="AT960" s="139"/>
      <c r="AU960" s="139"/>
      <c r="AV960" s="139"/>
      <c r="AW960" s="139"/>
      <c r="AX960" s="139"/>
      <c r="AY960" s="139"/>
      <c r="AZ960" s="139"/>
      <c r="BA960" s="139"/>
      <c r="BB960" s="139"/>
    </row>
    <row r="961">
      <c r="A961" s="28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  <c r="AB961" s="139"/>
      <c r="AC961" s="139"/>
      <c r="AD961" s="139"/>
      <c r="AE961" s="139"/>
      <c r="AF961" s="139"/>
      <c r="AG961" s="139"/>
      <c r="AH961" s="139"/>
      <c r="AI961" s="139"/>
      <c r="AJ961" s="139"/>
      <c r="AK961" s="139"/>
      <c r="AL961" s="139"/>
      <c r="AM961" s="139"/>
      <c r="AN961" s="139"/>
      <c r="AO961" s="139"/>
      <c r="AP961" s="139"/>
      <c r="AQ961" s="139"/>
      <c r="AR961" s="139"/>
      <c r="AS961" s="139"/>
      <c r="AT961" s="139"/>
      <c r="AU961" s="139"/>
      <c r="AV961" s="139"/>
      <c r="AW961" s="139"/>
      <c r="AX961" s="139"/>
      <c r="AY961" s="139"/>
      <c r="AZ961" s="139"/>
      <c r="BA961" s="139"/>
      <c r="BB961" s="139"/>
    </row>
    <row r="962">
      <c r="A962" s="28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39"/>
      <c r="AD962" s="139"/>
      <c r="AE962" s="139"/>
      <c r="AF962" s="139"/>
      <c r="AG962" s="139"/>
      <c r="AH962" s="139"/>
      <c r="AI962" s="139"/>
      <c r="AJ962" s="139"/>
      <c r="AK962" s="139"/>
      <c r="AL962" s="139"/>
      <c r="AM962" s="139"/>
      <c r="AN962" s="139"/>
      <c r="AO962" s="139"/>
      <c r="AP962" s="139"/>
      <c r="AQ962" s="139"/>
      <c r="AR962" s="139"/>
      <c r="AS962" s="139"/>
      <c r="AT962" s="139"/>
      <c r="AU962" s="139"/>
      <c r="AV962" s="139"/>
      <c r="AW962" s="139"/>
      <c r="AX962" s="139"/>
      <c r="AY962" s="139"/>
      <c r="AZ962" s="139"/>
      <c r="BA962" s="139"/>
      <c r="BB962" s="139"/>
    </row>
    <row r="963">
      <c r="A963" s="28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  <c r="AB963" s="139"/>
      <c r="AC963" s="139"/>
      <c r="AD963" s="139"/>
      <c r="AE963" s="139"/>
      <c r="AF963" s="139"/>
      <c r="AG963" s="139"/>
      <c r="AH963" s="139"/>
      <c r="AI963" s="139"/>
      <c r="AJ963" s="139"/>
      <c r="AK963" s="139"/>
      <c r="AL963" s="139"/>
      <c r="AM963" s="139"/>
      <c r="AN963" s="139"/>
      <c r="AO963" s="139"/>
      <c r="AP963" s="139"/>
      <c r="AQ963" s="139"/>
      <c r="AR963" s="139"/>
      <c r="AS963" s="139"/>
      <c r="AT963" s="139"/>
      <c r="AU963" s="139"/>
      <c r="AV963" s="139"/>
      <c r="AW963" s="139"/>
      <c r="AX963" s="139"/>
      <c r="AY963" s="139"/>
      <c r="AZ963" s="139"/>
      <c r="BA963" s="139"/>
      <c r="BB963" s="139"/>
    </row>
    <row r="964">
      <c r="A964" s="28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  <c r="AB964" s="139"/>
      <c r="AC964" s="139"/>
      <c r="AD964" s="139"/>
      <c r="AE964" s="139"/>
      <c r="AF964" s="139"/>
      <c r="AG964" s="139"/>
      <c r="AH964" s="139"/>
      <c r="AI964" s="139"/>
      <c r="AJ964" s="139"/>
      <c r="AK964" s="139"/>
      <c r="AL964" s="139"/>
      <c r="AM964" s="139"/>
      <c r="AN964" s="139"/>
      <c r="AO964" s="139"/>
      <c r="AP964" s="139"/>
      <c r="AQ964" s="139"/>
      <c r="AR964" s="139"/>
      <c r="AS964" s="139"/>
      <c r="AT964" s="139"/>
      <c r="AU964" s="139"/>
      <c r="AV964" s="139"/>
      <c r="AW964" s="139"/>
      <c r="AX964" s="139"/>
      <c r="AY964" s="139"/>
      <c r="AZ964" s="139"/>
      <c r="BA964" s="139"/>
      <c r="BB964" s="139"/>
    </row>
    <row r="965">
      <c r="A965" s="28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  <c r="AB965" s="139"/>
      <c r="AC965" s="139"/>
      <c r="AD965" s="139"/>
      <c r="AE965" s="139"/>
      <c r="AF965" s="139"/>
      <c r="AG965" s="139"/>
      <c r="AH965" s="139"/>
      <c r="AI965" s="139"/>
      <c r="AJ965" s="139"/>
      <c r="AK965" s="139"/>
      <c r="AL965" s="139"/>
      <c r="AM965" s="139"/>
      <c r="AN965" s="139"/>
      <c r="AO965" s="139"/>
      <c r="AP965" s="139"/>
      <c r="AQ965" s="139"/>
      <c r="AR965" s="139"/>
      <c r="AS965" s="139"/>
      <c r="AT965" s="139"/>
      <c r="AU965" s="139"/>
      <c r="AV965" s="139"/>
      <c r="AW965" s="139"/>
      <c r="AX965" s="139"/>
      <c r="AY965" s="139"/>
      <c r="AZ965" s="139"/>
      <c r="BA965" s="139"/>
      <c r="BB965" s="139"/>
    </row>
    <row r="966">
      <c r="A966" s="28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  <c r="AB966" s="139"/>
      <c r="AC966" s="139"/>
      <c r="AD966" s="139"/>
      <c r="AE966" s="139"/>
      <c r="AF966" s="139"/>
      <c r="AG966" s="139"/>
      <c r="AH966" s="139"/>
      <c r="AI966" s="139"/>
      <c r="AJ966" s="139"/>
      <c r="AK966" s="139"/>
      <c r="AL966" s="139"/>
      <c r="AM966" s="139"/>
      <c r="AN966" s="139"/>
      <c r="AO966" s="139"/>
      <c r="AP966" s="139"/>
      <c r="AQ966" s="139"/>
      <c r="AR966" s="139"/>
      <c r="AS966" s="139"/>
      <c r="AT966" s="139"/>
      <c r="AU966" s="139"/>
      <c r="AV966" s="139"/>
      <c r="AW966" s="139"/>
      <c r="AX966" s="139"/>
      <c r="AY966" s="139"/>
      <c r="AZ966" s="139"/>
      <c r="BA966" s="139"/>
      <c r="BB966" s="139"/>
    </row>
    <row r="967">
      <c r="A967" s="28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  <c r="AB967" s="139"/>
      <c r="AC967" s="139"/>
      <c r="AD967" s="139"/>
      <c r="AE967" s="139"/>
      <c r="AF967" s="139"/>
      <c r="AG967" s="139"/>
      <c r="AH967" s="139"/>
      <c r="AI967" s="139"/>
      <c r="AJ967" s="139"/>
      <c r="AK967" s="139"/>
      <c r="AL967" s="139"/>
      <c r="AM967" s="139"/>
      <c r="AN967" s="139"/>
      <c r="AO967" s="139"/>
      <c r="AP967" s="139"/>
      <c r="AQ967" s="139"/>
      <c r="AR967" s="139"/>
      <c r="AS967" s="139"/>
      <c r="AT967" s="139"/>
      <c r="AU967" s="139"/>
      <c r="AV967" s="139"/>
      <c r="AW967" s="139"/>
      <c r="AX967" s="139"/>
      <c r="AY967" s="139"/>
      <c r="AZ967" s="139"/>
      <c r="BA967" s="139"/>
      <c r="BB967" s="139"/>
    </row>
    <row r="968">
      <c r="A968" s="28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  <c r="AB968" s="139"/>
      <c r="AC968" s="139"/>
      <c r="AD968" s="139"/>
      <c r="AE968" s="139"/>
      <c r="AF968" s="139"/>
      <c r="AG968" s="139"/>
      <c r="AH968" s="139"/>
      <c r="AI968" s="139"/>
      <c r="AJ968" s="139"/>
      <c r="AK968" s="139"/>
      <c r="AL968" s="139"/>
      <c r="AM968" s="139"/>
      <c r="AN968" s="139"/>
      <c r="AO968" s="139"/>
      <c r="AP968" s="139"/>
      <c r="AQ968" s="139"/>
      <c r="AR968" s="139"/>
      <c r="AS968" s="139"/>
      <c r="AT968" s="139"/>
      <c r="AU968" s="139"/>
      <c r="AV968" s="139"/>
      <c r="AW968" s="139"/>
      <c r="AX968" s="139"/>
      <c r="AY968" s="139"/>
      <c r="AZ968" s="139"/>
      <c r="BA968" s="139"/>
      <c r="BB968" s="139"/>
    </row>
    <row r="969">
      <c r="A969" s="28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  <c r="AB969" s="139"/>
      <c r="AC969" s="139"/>
      <c r="AD969" s="139"/>
      <c r="AE969" s="139"/>
      <c r="AF969" s="139"/>
      <c r="AG969" s="139"/>
      <c r="AH969" s="139"/>
      <c r="AI969" s="139"/>
      <c r="AJ969" s="139"/>
      <c r="AK969" s="139"/>
      <c r="AL969" s="139"/>
      <c r="AM969" s="139"/>
      <c r="AN969" s="139"/>
      <c r="AO969" s="139"/>
      <c r="AP969" s="139"/>
      <c r="AQ969" s="139"/>
      <c r="AR969" s="139"/>
      <c r="AS969" s="139"/>
      <c r="AT969" s="139"/>
      <c r="AU969" s="139"/>
      <c r="AV969" s="139"/>
      <c r="AW969" s="139"/>
      <c r="AX969" s="139"/>
      <c r="AY969" s="139"/>
      <c r="AZ969" s="139"/>
      <c r="BA969" s="139"/>
      <c r="BB969" s="139"/>
    </row>
    <row r="970">
      <c r="A970" s="28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  <c r="AB970" s="139"/>
      <c r="AC970" s="139"/>
      <c r="AD970" s="139"/>
      <c r="AE970" s="139"/>
      <c r="AF970" s="139"/>
      <c r="AG970" s="139"/>
      <c r="AH970" s="139"/>
      <c r="AI970" s="139"/>
      <c r="AJ970" s="139"/>
      <c r="AK970" s="139"/>
      <c r="AL970" s="139"/>
      <c r="AM970" s="139"/>
      <c r="AN970" s="139"/>
      <c r="AO970" s="139"/>
      <c r="AP970" s="139"/>
      <c r="AQ970" s="139"/>
      <c r="AR970" s="139"/>
      <c r="AS970" s="139"/>
      <c r="AT970" s="139"/>
      <c r="AU970" s="139"/>
      <c r="AV970" s="139"/>
      <c r="AW970" s="139"/>
      <c r="AX970" s="139"/>
      <c r="AY970" s="139"/>
      <c r="AZ970" s="139"/>
      <c r="BA970" s="139"/>
      <c r="BB970" s="139"/>
    </row>
    <row r="971">
      <c r="A971" s="28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  <c r="AB971" s="139"/>
      <c r="AC971" s="139"/>
      <c r="AD971" s="139"/>
      <c r="AE971" s="139"/>
      <c r="AF971" s="139"/>
      <c r="AG971" s="139"/>
      <c r="AH971" s="139"/>
      <c r="AI971" s="139"/>
      <c r="AJ971" s="139"/>
      <c r="AK971" s="139"/>
      <c r="AL971" s="139"/>
      <c r="AM971" s="139"/>
      <c r="AN971" s="139"/>
      <c r="AO971" s="139"/>
      <c r="AP971" s="139"/>
      <c r="AQ971" s="139"/>
      <c r="AR971" s="139"/>
      <c r="AS971" s="139"/>
      <c r="AT971" s="139"/>
      <c r="AU971" s="139"/>
      <c r="AV971" s="139"/>
      <c r="AW971" s="139"/>
      <c r="AX971" s="139"/>
      <c r="AY971" s="139"/>
      <c r="AZ971" s="139"/>
      <c r="BA971" s="139"/>
      <c r="BB971" s="139"/>
    </row>
    <row r="972">
      <c r="A972" s="28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39"/>
      <c r="AD972" s="139"/>
      <c r="AE972" s="139"/>
      <c r="AF972" s="139"/>
      <c r="AG972" s="139"/>
      <c r="AH972" s="139"/>
      <c r="AI972" s="139"/>
      <c r="AJ972" s="139"/>
      <c r="AK972" s="139"/>
      <c r="AL972" s="139"/>
      <c r="AM972" s="139"/>
      <c r="AN972" s="139"/>
      <c r="AO972" s="139"/>
      <c r="AP972" s="139"/>
      <c r="AQ972" s="139"/>
      <c r="AR972" s="139"/>
      <c r="AS972" s="139"/>
      <c r="AT972" s="139"/>
      <c r="AU972" s="139"/>
      <c r="AV972" s="139"/>
      <c r="AW972" s="139"/>
      <c r="AX972" s="139"/>
      <c r="AY972" s="139"/>
      <c r="AZ972" s="139"/>
      <c r="BA972" s="139"/>
      <c r="BB972" s="139"/>
    </row>
    <row r="973">
      <c r="A973" s="28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  <c r="AB973" s="139"/>
      <c r="AC973" s="139"/>
      <c r="AD973" s="139"/>
      <c r="AE973" s="139"/>
      <c r="AF973" s="139"/>
      <c r="AG973" s="139"/>
      <c r="AH973" s="139"/>
      <c r="AI973" s="139"/>
      <c r="AJ973" s="139"/>
      <c r="AK973" s="139"/>
      <c r="AL973" s="139"/>
      <c r="AM973" s="139"/>
      <c r="AN973" s="139"/>
      <c r="AO973" s="139"/>
      <c r="AP973" s="139"/>
      <c r="AQ973" s="139"/>
      <c r="AR973" s="139"/>
      <c r="AS973" s="139"/>
      <c r="AT973" s="139"/>
      <c r="AU973" s="139"/>
      <c r="AV973" s="139"/>
      <c r="AW973" s="139"/>
      <c r="AX973" s="139"/>
      <c r="AY973" s="139"/>
      <c r="AZ973" s="139"/>
      <c r="BA973" s="139"/>
      <c r="BB973" s="139"/>
    </row>
    <row r="974">
      <c r="A974" s="28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  <c r="AA974" s="139"/>
      <c r="AB974" s="139"/>
      <c r="AC974" s="139"/>
      <c r="AD974" s="139"/>
      <c r="AE974" s="139"/>
      <c r="AF974" s="139"/>
      <c r="AG974" s="139"/>
      <c r="AH974" s="139"/>
      <c r="AI974" s="139"/>
      <c r="AJ974" s="139"/>
      <c r="AK974" s="139"/>
      <c r="AL974" s="139"/>
      <c r="AM974" s="139"/>
      <c r="AN974" s="139"/>
      <c r="AO974" s="139"/>
      <c r="AP974" s="139"/>
      <c r="AQ974" s="139"/>
      <c r="AR974" s="139"/>
      <c r="AS974" s="139"/>
      <c r="AT974" s="139"/>
      <c r="AU974" s="139"/>
      <c r="AV974" s="139"/>
      <c r="AW974" s="139"/>
      <c r="AX974" s="139"/>
      <c r="AY974" s="139"/>
      <c r="AZ974" s="139"/>
      <c r="BA974" s="139"/>
      <c r="BB974" s="139"/>
    </row>
    <row r="975">
      <c r="A975" s="28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  <c r="AA975" s="139"/>
      <c r="AB975" s="139"/>
      <c r="AC975" s="139"/>
      <c r="AD975" s="139"/>
      <c r="AE975" s="139"/>
      <c r="AF975" s="139"/>
      <c r="AG975" s="139"/>
      <c r="AH975" s="139"/>
      <c r="AI975" s="139"/>
      <c r="AJ975" s="139"/>
      <c r="AK975" s="139"/>
      <c r="AL975" s="139"/>
      <c r="AM975" s="139"/>
      <c r="AN975" s="139"/>
      <c r="AO975" s="139"/>
      <c r="AP975" s="139"/>
      <c r="AQ975" s="139"/>
      <c r="AR975" s="139"/>
      <c r="AS975" s="139"/>
      <c r="AT975" s="139"/>
      <c r="AU975" s="139"/>
      <c r="AV975" s="139"/>
      <c r="AW975" s="139"/>
      <c r="AX975" s="139"/>
      <c r="AY975" s="139"/>
      <c r="AZ975" s="139"/>
      <c r="BA975" s="139"/>
      <c r="BB975" s="139"/>
    </row>
    <row r="976">
      <c r="A976" s="28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  <c r="AA976" s="139"/>
      <c r="AB976" s="139"/>
      <c r="AC976" s="139"/>
      <c r="AD976" s="139"/>
      <c r="AE976" s="139"/>
      <c r="AF976" s="139"/>
      <c r="AG976" s="139"/>
      <c r="AH976" s="139"/>
      <c r="AI976" s="139"/>
      <c r="AJ976" s="139"/>
      <c r="AK976" s="139"/>
      <c r="AL976" s="139"/>
      <c r="AM976" s="139"/>
      <c r="AN976" s="139"/>
      <c r="AO976" s="139"/>
      <c r="AP976" s="139"/>
      <c r="AQ976" s="139"/>
      <c r="AR976" s="139"/>
      <c r="AS976" s="139"/>
      <c r="AT976" s="139"/>
      <c r="AU976" s="139"/>
      <c r="AV976" s="139"/>
      <c r="AW976" s="139"/>
      <c r="AX976" s="139"/>
      <c r="AY976" s="139"/>
      <c r="AZ976" s="139"/>
      <c r="BA976" s="139"/>
      <c r="BB976" s="139"/>
    </row>
    <row r="977">
      <c r="A977" s="28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  <c r="AA977" s="139"/>
      <c r="AB977" s="139"/>
      <c r="AC977" s="139"/>
      <c r="AD977" s="139"/>
      <c r="AE977" s="139"/>
      <c r="AF977" s="139"/>
      <c r="AG977" s="139"/>
      <c r="AH977" s="139"/>
      <c r="AI977" s="139"/>
      <c r="AJ977" s="139"/>
      <c r="AK977" s="139"/>
      <c r="AL977" s="139"/>
      <c r="AM977" s="139"/>
      <c r="AN977" s="139"/>
      <c r="AO977" s="139"/>
      <c r="AP977" s="139"/>
      <c r="AQ977" s="139"/>
      <c r="AR977" s="139"/>
      <c r="AS977" s="139"/>
      <c r="AT977" s="139"/>
      <c r="AU977" s="139"/>
      <c r="AV977" s="139"/>
      <c r="AW977" s="139"/>
      <c r="AX977" s="139"/>
      <c r="AY977" s="139"/>
      <c r="AZ977" s="139"/>
      <c r="BA977" s="139"/>
      <c r="BB977" s="139"/>
    </row>
    <row r="978">
      <c r="A978" s="28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  <c r="AA978" s="139"/>
      <c r="AB978" s="139"/>
      <c r="AC978" s="139"/>
      <c r="AD978" s="139"/>
      <c r="AE978" s="139"/>
      <c r="AF978" s="139"/>
      <c r="AG978" s="139"/>
      <c r="AH978" s="139"/>
      <c r="AI978" s="139"/>
      <c r="AJ978" s="139"/>
      <c r="AK978" s="139"/>
      <c r="AL978" s="139"/>
      <c r="AM978" s="139"/>
      <c r="AN978" s="139"/>
      <c r="AO978" s="139"/>
      <c r="AP978" s="139"/>
      <c r="AQ978" s="139"/>
      <c r="AR978" s="139"/>
      <c r="AS978" s="139"/>
      <c r="AT978" s="139"/>
      <c r="AU978" s="139"/>
      <c r="AV978" s="139"/>
      <c r="AW978" s="139"/>
      <c r="AX978" s="139"/>
      <c r="AY978" s="139"/>
      <c r="AZ978" s="139"/>
      <c r="BA978" s="139"/>
      <c r="BB978" s="139"/>
    </row>
    <row r="979">
      <c r="A979" s="28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  <c r="AA979" s="139"/>
      <c r="AB979" s="139"/>
      <c r="AC979" s="139"/>
      <c r="AD979" s="139"/>
      <c r="AE979" s="139"/>
      <c r="AF979" s="139"/>
      <c r="AG979" s="139"/>
      <c r="AH979" s="139"/>
      <c r="AI979" s="139"/>
      <c r="AJ979" s="139"/>
      <c r="AK979" s="139"/>
      <c r="AL979" s="139"/>
      <c r="AM979" s="139"/>
      <c r="AN979" s="139"/>
      <c r="AO979" s="139"/>
      <c r="AP979" s="139"/>
      <c r="AQ979" s="139"/>
      <c r="AR979" s="139"/>
      <c r="AS979" s="139"/>
      <c r="AT979" s="139"/>
      <c r="AU979" s="139"/>
      <c r="AV979" s="139"/>
      <c r="AW979" s="139"/>
      <c r="AX979" s="139"/>
      <c r="AY979" s="139"/>
      <c r="AZ979" s="139"/>
      <c r="BA979" s="139"/>
      <c r="BB979" s="139"/>
    </row>
    <row r="980">
      <c r="A980" s="28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  <c r="AA980" s="139"/>
      <c r="AB980" s="139"/>
      <c r="AC980" s="139"/>
      <c r="AD980" s="139"/>
      <c r="AE980" s="139"/>
      <c r="AF980" s="139"/>
      <c r="AG980" s="139"/>
      <c r="AH980" s="139"/>
      <c r="AI980" s="139"/>
      <c r="AJ980" s="139"/>
      <c r="AK980" s="139"/>
      <c r="AL980" s="139"/>
      <c r="AM980" s="139"/>
      <c r="AN980" s="139"/>
      <c r="AO980" s="139"/>
      <c r="AP980" s="139"/>
      <c r="AQ980" s="139"/>
      <c r="AR980" s="139"/>
      <c r="AS980" s="139"/>
      <c r="AT980" s="139"/>
      <c r="AU980" s="139"/>
      <c r="AV980" s="139"/>
      <c r="AW980" s="139"/>
      <c r="AX980" s="139"/>
      <c r="AY980" s="139"/>
      <c r="AZ980" s="139"/>
      <c r="BA980" s="139"/>
      <c r="BB980" s="139"/>
    </row>
    <row r="981">
      <c r="A981" s="28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  <c r="AA981" s="139"/>
      <c r="AB981" s="139"/>
      <c r="AC981" s="139"/>
      <c r="AD981" s="139"/>
      <c r="AE981" s="139"/>
      <c r="AF981" s="139"/>
      <c r="AG981" s="139"/>
      <c r="AH981" s="139"/>
      <c r="AI981" s="139"/>
      <c r="AJ981" s="139"/>
      <c r="AK981" s="139"/>
      <c r="AL981" s="139"/>
      <c r="AM981" s="139"/>
      <c r="AN981" s="139"/>
      <c r="AO981" s="139"/>
      <c r="AP981" s="139"/>
      <c r="AQ981" s="139"/>
      <c r="AR981" s="139"/>
      <c r="AS981" s="139"/>
      <c r="AT981" s="139"/>
      <c r="AU981" s="139"/>
      <c r="AV981" s="139"/>
      <c r="AW981" s="139"/>
      <c r="AX981" s="139"/>
      <c r="AY981" s="139"/>
      <c r="AZ981" s="139"/>
      <c r="BA981" s="139"/>
      <c r="BB981" s="139"/>
    </row>
    <row r="982">
      <c r="A982" s="28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  <c r="AA982" s="139"/>
      <c r="AB982" s="139"/>
      <c r="AC982" s="139"/>
      <c r="AD982" s="139"/>
      <c r="AE982" s="139"/>
      <c r="AF982" s="139"/>
      <c r="AG982" s="139"/>
      <c r="AH982" s="139"/>
      <c r="AI982" s="139"/>
      <c r="AJ982" s="139"/>
      <c r="AK982" s="139"/>
      <c r="AL982" s="139"/>
      <c r="AM982" s="139"/>
      <c r="AN982" s="139"/>
      <c r="AO982" s="139"/>
      <c r="AP982" s="139"/>
      <c r="AQ982" s="139"/>
      <c r="AR982" s="139"/>
      <c r="AS982" s="139"/>
      <c r="AT982" s="139"/>
      <c r="AU982" s="139"/>
      <c r="AV982" s="139"/>
      <c r="AW982" s="139"/>
      <c r="AX982" s="139"/>
      <c r="AY982" s="139"/>
      <c r="AZ982" s="139"/>
      <c r="BA982" s="139"/>
      <c r="BB982" s="139"/>
    </row>
    <row r="983">
      <c r="A983" s="28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  <c r="AA983" s="139"/>
      <c r="AB983" s="139"/>
      <c r="AC983" s="139"/>
      <c r="AD983" s="139"/>
      <c r="AE983" s="139"/>
      <c r="AF983" s="139"/>
      <c r="AG983" s="139"/>
      <c r="AH983" s="139"/>
      <c r="AI983" s="139"/>
      <c r="AJ983" s="139"/>
      <c r="AK983" s="139"/>
      <c r="AL983" s="139"/>
      <c r="AM983" s="139"/>
      <c r="AN983" s="139"/>
      <c r="AO983" s="139"/>
      <c r="AP983" s="139"/>
      <c r="AQ983" s="139"/>
      <c r="AR983" s="139"/>
      <c r="AS983" s="139"/>
      <c r="AT983" s="139"/>
      <c r="AU983" s="139"/>
      <c r="AV983" s="139"/>
      <c r="AW983" s="139"/>
      <c r="AX983" s="139"/>
      <c r="AY983" s="139"/>
      <c r="AZ983" s="139"/>
      <c r="BA983" s="139"/>
      <c r="BB983" s="139"/>
    </row>
    <row r="984">
      <c r="A984" s="28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  <c r="AA984" s="139"/>
      <c r="AB984" s="139"/>
      <c r="AC984" s="139"/>
      <c r="AD984" s="139"/>
      <c r="AE984" s="139"/>
      <c r="AF984" s="139"/>
      <c r="AG984" s="139"/>
      <c r="AH984" s="139"/>
      <c r="AI984" s="139"/>
      <c r="AJ984" s="139"/>
      <c r="AK984" s="139"/>
      <c r="AL984" s="139"/>
      <c r="AM984" s="139"/>
      <c r="AN984" s="139"/>
      <c r="AO984" s="139"/>
      <c r="AP984" s="139"/>
      <c r="AQ984" s="139"/>
      <c r="AR984" s="139"/>
      <c r="AS984" s="139"/>
      <c r="AT984" s="139"/>
      <c r="AU984" s="139"/>
      <c r="AV984" s="139"/>
      <c r="AW984" s="139"/>
      <c r="AX984" s="139"/>
      <c r="AY984" s="139"/>
      <c r="AZ984" s="139"/>
      <c r="BA984" s="139"/>
      <c r="BB984" s="139"/>
    </row>
    <row r="985">
      <c r="A985" s="28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  <c r="AA985" s="139"/>
      <c r="AB985" s="139"/>
      <c r="AC985" s="139"/>
      <c r="AD985" s="139"/>
      <c r="AE985" s="139"/>
      <c r="AF985" s="139"/>
      <c r="AG985" s="139"/>
      <c r="AH985" s="139"/>
      <c r="AI985" s="139"/>
      <c r="AJ985" s="139"/>
      <c r="AK985" s="139"/>
      <c r="AL985" s="139"/>
      <c r="AM985" s="139"/>
      <c r="AN985" s="139"/>
      <c r="AO985" s="139"/>
      <c r="AP985" s="139"/>
      <c r="AQ985" s="139"/>
      <c r="AR985" s="139"/>
      <c r="AS985" s="139"/>
      <c r="AT985" s="139"/>
      <c r="AU985" s="139"/>
      <c r="AV985" s="139"/>
      <c r="AW985" s="139"/>
      <c r="AX985" s="139"/>
      <c r="AY985" s="139"/>
      <c r="AZ985" s="139"/>
      <c r="BA985" s="139"/>
      <c r="BB985" s="139"/>
    </row>
    <row r="986">
      <c r="A986" s="28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  <c r="AA986" s="139"/>
      <c r="AB986" s="139"/>
      <c r="AC986" s="139"/>
      <c r="AD986" s="139"/>
      <c r="AE986" s="139"/>
      <c r="AF986" s="139"/>
      <c r="AG986" s="139"/>
      <c r="AH986" s="139"/>
      <c r="AI986" s="139"/>
      <c r="AJ986" s="139"/>
      <c r="AK986" s="139"/>
      <c r="AL986" s="139"/>
      <c r="AM986" s="139"/>
      <c r="AN986" s="139"/>
      <c r="AO986" s="139"/>
      <c r="AP986" s="139"/>
      <c r="AQ986" s="139"/>
      <c r="AR986" s="139"/>
      <c r="AS986" s="139"/>
      <c r="AT986" s="139"/>
      <c r="AU986" s="139"/>
      <c r="AV986" s="139"/>
      <c r="AW986" s="139"/>
      <c r="AX986" s="139"/>
      <c r="AY986" s="139"/>
      <c r="AZ986" s="139"/>
      <c r="BA986" s="139"/>
      <c r="BB986" s="139"/>
    </row>
    <row r="987">
      <c r="A987" s="28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  <c r="AA987" s="139"/>
      <c r="AB987" s="139"/>
      <c r="AC987" s="139"/>
      <c r="AD987" s="139"/>
      <c r="AE987" s="139"/>
      <c r="AF987" s="139"/>
      <c r="AG987" s="139"/>
      <c r="AH987" s="139"/>
      <c r="AI987" s="139"/>
      <c r="AJ987" s="139"/>
      <c r="AK987" s="139"/>
      <c r="AL987" s="139"/>
      <c r="AM987" s="139"/>
      <c r="AN987" s="139"/>
      <c r="AO987" s="139"/>
      <c r="AP987" s="139"/>
      <c r="AQ987" s="139"/>
      <c r="AR987" s="139"/>
      <c r="AS987" s="139"/>
      <c r="AT987" s="139"/>
      <c r="AU987" s="139"/>
      <c r="AV987" s="139"/>
      <c r="AW987" s="139"/>
      <c r="AX987" s="139"/>
      <c r="AY987" s="139"/>
      <c r="AZ987" s="139"/>
      <c r="BA987" s="139"/>
      <c r="BB987" s="139"/>
    </row>
    <row r="988">
      <c r="A988" s="28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  <c r="AA988" s="139"/>
      <c r="AB988" s="139"/>
      <c r="AC988" s="139"/>
      <c r="AD988" s="139"/>
      <c r="AE988" s="139"/>
      <c r="AF988" s="139"/>
      <c r="AG988" s="139"/>
      <c r="AH988" s="139"/>
      <c r="AI988" s="139"/>
      <c r="AJ988" s="139"/>
      <c r="AK988" s="139"/>
      <c r="AL988" s="139"/>
      <c r="AM988" s="139"/>
      <c r="AN988" s="139"/>
      <c r="AO988" s="139"/>
      <c r="AP988" s="139"/>
      <c r="AQ988" s="139"/>
      <c r="AR988" s="139"/>
      <c r="AS988" s="139"/>
      <c r="AT988" s="139"/>
      <c r="AU988" s="139"/>
      <c r="AV988" s="139"/>
      <c r="AW988" s="139"/>
      <c r="AX988" s="139"/>
      <c r="AY988" s="139"/>
      <c r="AZ988" s="139"/>
      <c r="BA988" s="139"/>
      <c r="BB988" s="139"/>
    </row>
    <row r="989">
      <c r="A989" s="28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  <c r="AA989" s="139"/>
      <c r="AB989" s="139"/>
      <c r="AC989" s="139"/>
      <c r="AD989" s="139"/>
      <c r="AE989" s="139"/>
      <c r="AF989" s="139"/>
      <c r="AG989" s="139"/>
      <c r="AH989" s="139"/>
      <c r="AI989" s="139"/>
      <c r="AJ989" s="139"/>
      <c r="AK989" s="139"/>
      <c r="AL989" s="139"/>
      <c r="AM989" s="139"/>
      <c r="AN989" s="139"/>
      <c r="AO989" s="139"/>
      <c r="AP989" s="139"/>
      <c r="AQ989" s="139"/>
      <c r="AR989" s="139"/>
      <c r="AS989" s="139"/>
      <c r="AT989" s="139"/>
      <c r="AU989" s="139"/>
      <c r="AV989" s="139"/>
      <c r="AW989" s="139"/>
      <c r="AX989" s="139"/>
      <c r="AY989" s="139"/>
      <c r="AZ989" s="139"/>
      <c r="BA989" s="139"/>
      <c r="BB989" s="139"/>
    </row>
    <row r="990">
      <c r="A990" s="28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  <c r="AA990" s="139"/>
      <c r="AB990" s="139"/>
      <c r="AC990" s="139"/>
      <c r="AD990" s="139"/>
      <c r="AE990" s="139"/>
      <c r="AF990" s="139"/>
      <c r="AG990" s="139"/>
      <c r="AH990" s="139"/>
      <c r="AI990" s="139"/>
      <c r="AJ990" s="139"/>
      <c r="AK990" s="139"/>
      <c r="AL990" s="139"/>
      <c r="AM990" s="139"/>
      <c r="AN990" s="139"/>
      <c r="AO990" s="139"/>
      <c r="AP990" s="139"/>
      <c r="AQ990" s="139"/>
      <c r="AR990" s="139"/>
      <c r="AS990" s="139"/>
      <c r="AT990" s="139"/>
      <c r="AU990" s="139"/>
      <c r="AV990" s="139"/>
      <c r="AW990" s="139"/>
      <c r="AX990" s="139"/>
      <c r="AY990" s="139"/>
      <c r="AZ990" s="139"/>
      <c r="BA990" s="139"/>
      <c r="BB990" s="139"/>
    </row>
    <row r="991">
      <c r="A991" s="28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  <c r="AA991" s="139"/>
      <c r="AB991" s="139"/>
      <c r="AC991" s="139"/>
      <c r="AD991" s="139"/>
      <c r="AE991" s="139"/>
      <c r="AF991" s="139"/>
      <c r="AG991" s="139"/>
      <c r="AH991" s="139"/>
      <c r="AI991" s="139"/>
      <c r="AJ991" s="139"/>
      <c r="AK991" s="139"/>
      <c r="AL991" s="139"/>
      <c r="AM991" s="139"/>
      <c r="AN991" s="139"/>
      <c r="AO991" s="139"/>
      <c r="AP991" s="139"/>
      <c r="AQ991" s="139"/>
      <c r="AR991" s="139"/>
      <c r="AS991" s="139"/>
      <c r="AT991" s="139"/>
      <c r="AU991" s="139"/>
      <c r="AV991" s="139"/>
      <c r="AW991" s="139"/>
      <c r="AX991" s="139"/>
      <c r="AY991" s="139"/>
      <c r="AZ991" s="139"/>
      <c r="BA991" s="139"/>
      <c r="BB991" s="139"/>
    </row>
    <row r="992">
      <c r="A992" s="28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  <c r="AA992" s="139"/>
      <c r="AB992" s="139"/>
      <c r="AC992" s="139"/>
      <c r="AD992" s="139"/>
      <c r="AE992" s="139"/>
      <c r="AF992" s="139"/>
      <c r="AG992" s="139"/>
      <c r="AH992" s="139"/>
      <c r="AI992" s="139"/>
      <c r="AJ992" s="139"/>
      <c r="AK992" s="139"/>
      <c r="AL992" s="139"/>
      <c r="AM992" s="139"/>
      <c r="AN992" s="139"/>
      <c r="AO992" s="139"/>
      <c r="AP992" s="139"/>
      <c r="AQ992" s="139"/>
      <c r="AR992" s="139"/>
      <c r="AS992" s="139"/>
      <c r="AT992" s="139"/>
      <c r="AU992" s="139"/>
      <c r="AV992" s="139"/>
      <c r="AW992" s="139"/>
      <c r="AX992" s="139"/>
      <c r="AY992" s="139"/>
      <c r="AZ992" s="139"/>
      <c r="BA992" s="139"/>
      <c r="BB992" s="139"/>
    </row>
  </sheetData>
  <mergeCells count="4">
    <mergeCell ref="B4:B7"/>
    <mergeCell ref="B8:B14"/>
    <mergeCell ref="B15:B22"/>
    <mergeCell ref="B23:B28"/>
  </mergeCells>
  <printOptions gridLines="1"/>
  <pageMargins bottom="0.75" footer="0.0" header="0.0" left="0.25" right="0.25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6.13"/>
    <col customWidth="1" min="3" max="3" width="18.13"/>
    <col customWidth="1" min="4" max="6" width="8.25"/>
    <col customWidth="1" min="7" max="7" width="11.88"/>
    <col customWidth="1" min="8" max="8" width="10.88"/>
    <col customWidth="1" min="9" max="9" width="6.88"/>
    <col customWidth="1" min="10" max="10" width="14.0"/>
    <col customWidth="1" min="11" max="11" width="8.13"/>
    <col customWidth="1" min="12" max="12" width="10.5"/>
    <col customWidth="1" min="13" max="14" width="10.88"/>
    <col customWidth="1" min="15" max="15" width="11.0"/>
    <col customWidth="1" min="16" max="16" width="10.88"/>
    <col customWidth="1" min="17" max="18" width="7.13"/>
    <col customWidth="1" min="19" max="19" width="10.5"/>
    <col customWidth="1" min="20" max="21" width="12.25"/>
    <col customWidth="1" min="22" max="23" width="9.63"/>
    <col customWidth="1" min="24" max="24" width="10.75"/>
    <col customWidth="1" min="25" max="25" width="10.38"/>
    <col customWidth="1" min="26" max="26" width="9.25"/>
    <col customWidth="1" min="27" max="28" width="8.5"/>
    <col customWidth="1" min="29" max="31" width="9.63"/>
    <col customWidth="1" min="32" max="32" width="10.63"/>
    <col customWidth="1" min="33" max="33" width="10.88"/>
    <col customWidth="1" min="34" max="34" width="7.63"/>
    <col customWidth="1" min="35" max="35" width="8.5"/>
    <col customWidth="1" min="36" max="36" width="7.38"/>
    <col customWidth="1" min="37" max="37" width="8.5"/>
    <col customWidth="1" min="38" max="39" width="13.88"/>
    <col customWidth="1" min="40" max="41" width="8.5"/>
    <col customWidth="1" min="42" max="42" width="11.0"/>
    <col customWidth="1" min="43" max="43" width="9.0"/>
    <col customWidth="1" min="44" max="44" width="13.63"/>
    <col customWidth="1" min="45" max="46" width="12.5"/>
    <col customWidth="1" min="47" max="47" width="11.25"/>
    <col customWidth="1" min="48" max="48" width="14.25"/>
    <col customWidth="1" min="49" max="49" width="16.75"/>
    <col customWidth="1" min="50" max="50" width="14.25"/>
    <col customWidth="1" min="51" max="51" width="13.5"/>
    <col customWidth="1" min="52" max="52" width="7.88"/>
    <col customWidth="1" min="53" max="53" width="8.88"/>
    <col customWidth="1" min="54" max="54" width="7.63"/>
  </cols>
  <sheetData>
    <row r="1">
      <c r="A1" s="104">
        <v>0.08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>
      <c r="A2" s="105"/>
      <c r="B2" s="106"/>
      <c r="C2" s="107"/>
      <c r="D2" s="108" t="s">
        <v>303</v>
      </c>
      <c r="E2" s="109" t="s">
        <v>306</v>
      </c>
      <c r="F2" s="109" t="s">
        <v>662</v>
      </c>
      <c r="G2" s="109" t="s">
        <v>309</v>
      </c>
      <c r="H2" s="109" t="s">
        <v>663</v>
      </c>
      <c r="I2" s="109" t="s">
        <v>311</v>
      </c>
      <c r="J2" s="110" t="s">
        <v>315</v>
      </c>
      <c r="K2" s="110" t="s">
        <v>73</v>
      </c>
      <c r="L2" s="110" t="s">
        <v>77</v>
      </c>
      <c r="M2" s="109" t="s">
        <v>321</v>
      </c>
      <c r="N2" s="109" t="s">
        <v>665</v>
      </c>
      <c r="O2" s="109" t="s">
        <v>87</v>
      </c>
      <c r="P2" s="109" t="s">
        <v>91</v>
      </c>
      <c r="Q2" s="109" t="s">
        <v>95</v>
      </c>
      <c r="R2" s="108" t="s">
        <v>100</v>
      </c>
      <c r="S2" s="109" t="s">
        <v>104</v>
      </c>
      <c r="T2" s="109" t="s">
        <v>110</v>
      </c>
      <c r="U2" s="111">
        <v>17.0</v>
      </c>
      <c r="V2" s="109" t="s">
        <v>117</v>
      </c>
      <c r="W2" s="109" t="s">
        <v>120</v>
      </c>
      <c r="X2" s="109" t="s">
        <v>123</v>
      </c>
      <c r="Y2" s="109" t="s">
        <v>130</v>
      </c>
      <c r="Z2" s="109" t="s">
        <v>134</v>
      </c>
      <c r="AA2" s="109" t="s">
        <v>139</v>
      </c>
      <c r="AB2" s="109" t="s">
        <v>144</v>
      </c>
      <c r="AC2" s="109" t="s">
        <v>150</v>
      </c>
      <c r="AD2" s="111" t="s">
        <v>342</v>
      </c>
      <c r="AE2" s="111" t="s">
        <v>154</v>
      </c>
      <c r="AF2" s="111" t="s">
        <v>159</v>
      </c>
      <c r="AG2" s="111" t="s">
        <v>346</v>
      </c>
      <c r="AH2" s="109" t="s">
        <v>162</v>
      </c>
      <c r="AI2" s="109" t="s">
        <v>167</v>
      </c>
      <c r="AJ2" s="109" t="s">
        <v>173</v>
      </c>
      <c r="AK2" s="109" t="s">
        <v>177</v>
      </c>
      <c r="AL2" s="109" t="s">
        <v>181</v>
      </c>
      <c r="AM2" s="109" t="s">
        <v>184</v>
      </c>
      <c r="AN2" s="109" t="s">
        <v>190</v>
      </c>
      <c r="AO2" s="109" t="s">
        <v>194</v>
      </c>
      <c r="AP2" s="109" t="s">
        <v>198</v>
      </c>
      <c r="AQ2" s="109" t="s">
        <v>203</v>
      </c>
      <c r="AR2" s="109">
        <v>91.0</v>
      </c>
      <c r="AS2" s="109">
        <v>92.0</v>
      </c>
      <c r="AT2" s="111" t="s">
        <v>380</v>
      </c>
      <c r="AU2" s="109">
        <v>93.0</v>
      </c>
      <c r="AV2" s="108" t="s">
        <v>368</v>
      </c>
      <c r="AW2" s="110" t="s">
        <v>391</v>
      </c>
      <c r="AX2" s="108" t="s">
        <v>410</v>
      </c>
      <c r="AY2" s="108" t="s">
        <v>260</v>
      </c>
      <c r="AZ2" s="109" t="s">
        <v>264</v>
      </c>
      <c r="BA2" s="109" t="s">
        <v>267</v>
      </c>
      <c r="BB2" s="109" t="s">
        <v>271</v>
      </c>
    </row>
    <row r="3">
      <c r="A3" s="28"/>
      <c r="B3" s="112"/>
      <c r="C3" s="112"/>
      <c r="D3" s="113" t="s">
        <v>667</v>
      </c>
      <c r="E3" s="113" t="s">
        <v>669</v>
      </c>
      <c r="F3" s="113" t="s">
        <v>669</v>
      </c>
      <c r="G3" s="113" t="s">
        <v>671</v>
      </c>
      <c r="H3" s="113" t="s">
        <v>672</v>
      </c>
      <c r="I3" s="113" t="s">
        <v>673</v>
      </c>
      <c r="J3" s="114" t="s">
        <v>674</v>
      </c>
      <c r="K3" s="114" t="s">
        <v>675</v>
      </c>
      <c r="L3" s="114" t="s">
        <v>676</v>
      </c>
      <c r="M3" s="113" t="s">
        <v>677</v>
      </c>
      <c r="N3" s="113" t="s">
        <v>678</v>
      </c>
      <c r="O3" s="113" t="s">
        <v>679</v>
      </c>
      <c r="P3" s="113" t="s">
        <v>680</v>
      </c>
      <c r="Q3" s="113" t="s">
        <v>681</v>
      </c>
      <c r="R3" s="113" t="s">
        <v>682</v>
      </c>
      <c r="S3" s="113" t="s">
        <v>683</v>
      </c>
      <c r="T3" s="113" t="s">
        <v>684</v>
      </c>
      <c r="U3" s="114" t="s">
        <v>685</v>
      </c>
      <c r="V3" s="114" t="s">
        <v>686</v>
      </c>
      <c r="W3" s="114" t="s">
        <v>687</v>
      </c>
      <c r="X3" s="113" t="s">
        <v>688</v>
      </c>
      <c r="Y3" s="113" t="s">
        <v>689</v>
      </c>
      <c r="Z3" s="113" t="s">
        <v>690</v>
      </c>
      <c r="AA3" s="113" t="s">
        <v>691</v>
      </c>
      <c r="AB3" s="113" t="s">
        <v>692</v>
      </c>
      <c r="AC3" s="113" t="s">
        <v>693</v>
      </c>
      <c r="AD3" s="113" t="s">
        <v>693</v>
      </c>
      <c r="AE3" s="114" t="s">
        <v>675</v>
      </c>
      <c r="AF3" s="114" t="s">
        <v>676</v>
      </c>
      <c r="AG3" s="114" t="s">
        <v>676</v>
      </c>
      <c r="AH3" s="113" t="s">
        <v>694</v>
      </c>
      <c r="AI3" s="113" t="s">
        <v>695</v>
      </c>
      <c r="AJ3" s="113" t="s">
        <v>696</v>
      </c>
      <c r="AK3" s="113" t="s">
        <v>697</v>
      </c>
      <c r="AL3" s="113" t="s">
        <v>698</v>
      </c>
      <c r="AM3" s="113" t="s">
        <v>699</v>
      </c>
      <c r="AN3" s="113" t="s">
        <v>700</v>
      </c>
      <c r="AO3" s="113" t="s">
        <v>701</v>
      </c>
      <c r="AP3" s="113" t="s">
        <v>702</v>
      </c>
      <c r="AQ3" s="113" t="s">
        <v>703</v>
      </c>
      <c r="AR3" s="114" t="s">
        <v>704</v>
      </c>
      <c r="AS3" s="114" t="s">
        <v>705</v>
      </c>
      <c r="AT3" s="114" t="s">
        <v>706</v>
      </c>
      <c r="AU3" s="114" t="s">
        <v>707</v>
      </c>
      <c r="AV3" s="114" t="s">
        <v>708</v>
      </c>
      <c r="AW3" s="114" t="s">
        <v>708</v>
      </c>
      <c r="AX3" s="114" t="s">
        <v>709</v>
      </c>
      <c r="AY3" s="114" t="s">
        <v>710</v>
      </c>
      <c r="AZ3" s="113" t="s">
        <v>711</v>
      </c>
      <c r="BA3" s="113" t="s">
        <v>712</v>
      </c>
      <c r="BB3" s="113" t="s">
        <v>713</v>
      </c>
    </row>
    <row r="4">
      <c r="A4" s="116">
        <f t="shared" ref="A4:A29" si="1">COUNT(D4:BB4)</f>
        <v>37</v>
      </c>
      <c r="B4" s="117">
        <v>5000.0</v>
      </c>
      <c r="C4" s="118" t="s">
        <v>300</v>
      </c>
      <c r="D4" s="119">
        <f t="array" ref="D4">IFERROR(VLOOKUP($C4&amp;D$2,{MASTER!$Y$2:$Y992,MASTER!$M$2:$M992},2,0),"")</f>
        <v>442</v>
      </c>
      <c r="E4" s="119">
        <f t="array" ref="E4">IFERROR(VLOOKUP($C4&amp;E$2,{MASTER!$Y$2:$Y992,MASTER!$M$2:$M992},2,0),"")</f>
        <v>1048</v>
      </c>
      <c r="F4" s="119" t="str">
        <f t="array" ref="F4">IFERROR(VLOOKUP($C4&amp;F$2,{MASTER!$Y$2:$Y992,MASTER!$M$2:$M992},2,0),"")</f>
        <v/>
      </c>
      <c r="G4" s="119">
        <f t="array" ref="G4">IFERROR(VLOOKUP($C4&amp;G$2,{MASTER!$Y$2:$Y992,MASTER!$M$2:$M992},2,0),"")</f>
        <v>645</v>
      </c>
      <c r="H4" s="119" t="str">
        <f t="array" ref="H4">IFERROR(VLOOKUP($C4&amp;H$2,{MASTER!$Y$2:$Y992,MASTER!$M$2:$M992},2,0),"")</f>
        <v/>
      </c>
      <c r="I4" s="119">
        <f t="array" ref="I4">IFERROR(VLOOKUP($C4&amp;I$2,{MASTER!$Y$2:$Y992,MASTER!$M$2:$M992},2,0),"")</f>
        <v>346</v>
      </c>
      <c r="J4" s="119">
        <f t="array" ref="J4">IFERROR(VLOOKUP($C4&amp;J$2,{MASTER!$Y$2:$Y992,MASTER!$M$2:$M992},2,0),"")</f>
        <v>791</v>
      </c>
      <c r="K4" s="119">
        <f t="array" ref="K4">IFERROR(VLOOKUP($C4&amp;K$2,{MASTER!$Y$2:$Y992,MASTER!$M$2:$M992},2,0),"")</f>
        <v>445</v>
      </c>
      <c r="L4" s="119">
        <f t="array" ref="L4">IFERROR(VLOOKUP($C4&amp;L$2,{MASTER!$Y$2:$Y992,MASTER!$M$2:$M992},2,0),"")</f>
        <v>363</v>
      </c>
      <c r="M4" s="119">
        <f t="array" ref="M4">IFERROR(VLOOKUP($C4&amp;M$2,{MASTER!$Y$2:$Y992,MASTER!$M$2:$M992},2,0),"")</f>
        <v>398</v>
      </c>
      <c r="N4" s="119" t="str">
        <f t="array" ref="N4">IFERROR(VLOOKUP($C4&amp;N$2,{MASTER!$Y$2:$Y992,MASTER!$M$2:$M992},2,0),"")</f>
        <v/>
      </c>
      <c r="O4" s="119">
        <f t="array" ref="O4">IFERROR(VLOOKUP($C4&amp;O$2,{MASTER!$Y$2:$Y992,MASTER!$M$2:$M992},2,0),"")</f>
        <v>198</v>
      </c>
      <c r="P4" s="119">
        <f t="array" ref="P4">IFERROR(VLOOKUP($C4&amp;P$2,{MASTER!$Y$2:$Y992,MASTER!$M$2:$M992},2,0),"")</f>
        <v>500</v>
      </c>
      <c r="Q4" s="119">
        <f t="array" ref="Q4">IFERROR(VLOOKUP($C4&amp;Q$2,{MASTER!$Y$2:$Y992,MASTER!$M$2:$M992},2,0),"")</f>
        <v>527</v>
      </c>
      <c r="R4" s="119" t="str">
        <f t="array" ref="R4">IFERROR(VLOOKUP($C4&amp;R$2,{MASTER!$Y$2:$Y992,MASTER!$M$2:$M992},2,0),"")</f>
        <v/>
      </c>
      <c r="S4" s="119">
        <f t="array" ref="S4">IFERROR(VLOOKUP($C4&amp;S$2,{MASTER!$Y$2:$Y992,MASTER!$M$2:$M992},2,0),"")</f>
        <v>564</v>
      </c>
      <c r="T4" s="119">
        <f t="array" ref="T4">IFERROR(VLOOKUP($C4&amp;T$2,{MASTER!$Y$2:$Y992,MASTER!$M$2:$M992},2,0),"")</f>
        <v>479</v>
      </c>
      <c r="U4" s="119">
        <f t="array" ref="U4">IFERROR(VLOOKUP($C4&amp;U$2,{MASTER!$Y$2:$Y992,MASTER!$M$2:$M992},2,0),"")</f>
        <v>511</v>
      </c>
      <c r="V4" s="119">
        <f t="array" ref="V4">IFERROR(VLOOKUP($C4&amp;V$2,{MASTER!$Y$2:$Y992,MASTER!$M$2:$M992},2,0),"")</f>
        <v>391</v>
      </c>
      <c r="W4" s="119">
        <f t="array" ref="W4">IFERROR(VLOOKUP($C4&amp;W$2,{MASTER!$Y$2:$Y992,MASTER!$M$2:$M992},2,0),"")</f>
        <v>403</v>
      </c>
      <c r="X4" s="119" t="str">
        <f t="array" ref="X4">IFERROR(VLOOKUP($C4&amp;X$2,{MASTER!$Y$2:$Y992,MASTER!$M$2:$M992},2,0),"")</f>
        <v/>
      </c>
      <c r="Y4" s="119" t="str">
        <f t="array" ref="Y4">IFERROR(VLOOKUP($C4&amp;Y$2,{MASTER!$Y$2:$Y992,MASTER!$M$2:$M992},2,0),"")</f>
        <v/>
      </c>
      <c r="Z4" s="119">
        <f t="array" ref="Z4">IFERROR(VLOOKUP($C4&amp;Z$2,{MASTER!$Y$2:$Y992,MASTER!$M$2:$M992},2,0),"")</f>
        <v>804</v>
      </c>
      <c r="AA4" s="119">
        <f t="array" ref="AA4">IFERROR(VLOOKUP($C4&amp;AA$2,{MASTER!$Y$2:$Y992,MASTER!$M$2:$M992},2,0),"")</f>
        <v>930</v>
      </c>
      <c r="AB4" s="119">
        <f t="array" ref="AB4">IFERROR(VLOOKUP($C4&amp;AB$2,{MASTER!$Y$2:$Y992,MASTER!$M$2:$M992},2,0),"")</f>
        <v>1608</v>
      </c>
      <c r="AC4" s="119" t="str">
        <f t="array" ref="AC4">IFERROR(VLOOKUP($C4&amp;AC$2,{MASTER!$Y$2:$Y992,MASTER!$M$2:$M992},2,0),"")</f>
        <v/>
      </c>
      <c r="AD4" s="119">
        <f t="array" ref="AD4">IFERROR(VLOOKUP($C4&amp;AD$2,{MASTER!$Y$2:$Y992,MASTER!$M$2:$M992},2,0),"")</f>
        <v>1684</v>
      </c>
      <c r="AE4" s="119">
        <f t="array" ref="AE4">IFERROR(VLOOKUP($C4&amp;AE$2,{MASTER!$Y$2:$Y992,MASTER!$M$2:$M992},2,0),"")</f>
        <v>1070</v>
      </c>
      <c r="AF4" s="119" t="str">
        <f t="array" ref="AF4">IFERROR(VLOOKUP($C4&amp;AF$2,{MASTER!$Y$2:$Y992,MASTER!$M$2:$M992},2,0),"")</f>
        <v/>
      </c>
      <c r="AG4" s="119">
        <f t="array" ref="AG4">IFERROR(VLOOKUP($C4&amp;AG$2,{MASTER!$Y$2:$Y992,MASTER!$M$2:$M992},2,0),"")</f>
        <v>610</v>
      </c>
      <c r="AH4" s="119">
        <f t="array" ref="AH4">IFERROR(VLOOKUP($C4&amp;AH$2,{MASTER!$Y$2:$Y992,MASTER!$M$2:$M992},2,0),"")</f>
        <v>952</v>
      </c>
      <c r="AI4" s="119" t="str">
        <f t="array" ref="AI4">IFERROR(VLOOKUP($C4&amp;AI$2,{MASTER!$Y$2:$Y992,MASTER!$M$2:$M992},2,0),"")</f>
        <v/>
      </c>
      <c r="AJ4" s="119" t="str">
        <f t="array" ref="AJ4">IFERROR(VLOOKUP($C4&amp;AJ$2,{MASTER!$Y$2:$Y992,MASTER!$M$2:$M992},2,0),"")</f>
        <v/>
      </c>
      <c r="AK4" s="119" t="str">
        <f t="array" ref="AK4">IFERROR(VLOOKUP($C4&amp;AK$2,{MASTER!$Y$2:$Y992,MASTER!$M$2:$M992},2,0),"")</f>
        <v/>
      </c>
      <c r="AL4" s="119">
        <f t="array" ref="AL4">IFERROR(VLOOKUP($C4&amp;AL$2,{MASTER!$Y$2:$Y992,MASTER!$M$2:$M992},2,0),"")</f>
        <v>1044</v>
      </c>
      <c r="AM4" s="119">
        <f t="array" ref="AM4">IFERROR(VLOOKUP($C4&amp;AM$2,{MASTER!$Y$2:$Y992,MASTER!$M$2:$M992},2,0),"")</f>
        <v>1598</v>
      </c>
      <c r="AN4" s="119" t="str">
        <f t="array" ref="AN4">IFERROR(VLOOKUP($C4&amp;AN$2,{MASTER!$Y$2:$Y992,MASTER!$M$2:$M992},2,0),"")</f>
        <v/>
      </c>
      <c r="AO4" s="119">
        <f t="array" ref="AO4">IFERROR(VLOOKUP($C4&amp;AO$2,{MASTER!$Y$2:$Y992,MASTER!$M$2:$M992},2,0),"")</f>
        <v>1557</v>
      </c>
      <c r="AP4" s="119" t="str">
        <f t="array" ref="AP4">IFERROR(VLOOKUP($C4&amp;AP$2,{MASTER!$Y$2:$Y992,MASTER!$M$2:$M992},2,0),"")</f>
        <v/>
      </c>
      <c r="AQ4" s="119">
        <f t="array" ref="AQ4">IFERROR(VLOOKUP($C4&amp;AQ$2,{MASTER!$Y$2:$Y992,MASTER!$M$2:$M992},2,0),"")</f>
        <v>1758</v>
      </c>
      <c r="AR4" s="119">
        <f t="array" ref="AR4">IFERROR(VLOOKUP($C4&amp;AR$2,{MASTER!$Y$2:$Y992,MASTER!$M$2:$M992},2,0),"")</f>
        <v>1913</v>
      </c>
      <c r="AS4" s="119">
        <f t="array" ref="AS4">IFERROR(VLOOKUP($C4&amp;AS$2,{MASTER!$Y$2:$Y992,MASTER!$M$2:$M992},2,0),"")</f>
        <v>2271</v>
      </c>
      <c r="AT4" s="119">
        <f t="array" ref="AT4">IFERROR(VLOOKUP($C4&amp;AT$2,{MASTER!$Y$2:$Y992,MASTER!$M$2:$M992},2,0),"")</f>
        <v>2224.72</v>
      </c>
      <c r="AU4" s="119">
        <f t="array" ref="AU4">IFERROR(VLOOKUP($C4&amp;AU$2,{MASTER!$Y$2:$Y992,MASTER!$M$2:$M992},2,0),"")</f>
        <v>2183</v>
      </c>
      <c r="AV4" s="119">
        <f t="array" ref="AV4">IFERROR(VLOOKUP($C4&amp;AV$2,{MASTER!$Y$2:$Y992,MASTER!$M$2:$M992},2,0),"")</f>
        <v>2051</v>
      </c>
      <c r="AW4" s="119">
        <f t="array" ref="AW4">IFERROR(VLOOKUP($C4&amp;AW$2,{MASTER!$Y$2:$Y992,MASTER!$M$2:$M992},2,0),"")</f>
        <v>2007.85</v>
      </c>
      <c r="AX4" s="119">
        <f t="array" ref="AX4">IFERROR(VLOOKUP($C4&amp;AX$2,{MASTER!$Y$2:$Y992,MASTER!$M$2:$M992},2,0),"")</f>
        <v>2241</v>
      </c>
      <c r="AY4" s="119" t="str">
        <f t="array" ref="AY4">IFERROR(VLOOKUP($C4&amp;AY$2,{MASTER!$Y$2:$Y992,MASTER!$M$2:$M992},2,0),"")</f>
        <v/>
      </c>
      <c r="AZ4" s="119">
        <f t="array" ref="AZ4">IFERROR(VLOOKUP($C4&amp;AZ$2,{MASTER!$Y$2:$Y992,MASTER!$M$2:$M992},2,0),"")</f>
        <v>323</v>
      </c>
      <c r="BA4" s="119">
        <f t="array" ref="BA4">IFERROR(VLOOKUP($C4&amp;BA$2,{MASTER!$Y$2:$Y992,MASTER!$M$2:$M992},2,0),"")</f>
        <v>541</v>
      </c>
      <c r="BB4" s="119">
        <f t="array" ref="BB4">IFERROR(VLOOKUP($C4&amp;BB$2,{MASTER!$Y$2:$Y992,MASTER!$M$2:$M992},2,0),"")</f>
        <v>733</v>
      </c>
    </row>
    <row r="5">
      <c r="A5" s="116">
        <f t="shared" si="1"/>
        <v>34</v>
      </c>
      <c r="B5" s="120"/>
      <c r="C5" s="118" t="s">
        <v>422</v>
      </c>
      <c r="D5" s="119">
        <f t="array" ref="D5">IFERROR(VLOOKUP($C5&amp;D$2,{MASTER!$Y$2:$Y992,MASTER!$M$2:$M992},2,0),"")</f>
        <v>432</v>
      </c>
      <c r="E5" s="119" t="str">
        <f t="array" ref="E5">IFERROR(VLOOKUP($C5&amp;E$2,{MASTER!$Y$2:$Y992,MASTER!$M$2:$M992},2,0),"")</f>
        <v/>
      </c>
      <c r="F5" s="119" t="str">
        <f t="array" ref="F5">IFERROR(VLOOKUP($C5&amp;F$2,{MASTER!$Y$2:$Y992,MASTER!$M$2:$M992},2,0),"")</f>
        <v/>
      </c>
      <c r="G5" s="119" t="str">
        <f t="array" ref="G5">IFERROR(VLOOKUP($C5&amp;G$2,{MASTER!$Y$2:$Y992,MASTER!$M$2:$M992},2,0),"")</f>
        <v/>
      </c>
      <c r="H5" s="119" t="str">
        <f t="array" ref="H5">IFERROR(VLOOKUP($C5&amp;H$2,{MASTER!$Y$2:$Y992,MASTER!$M$2:$M992},2,0),"")</f>
        <v/>
      </c>
      <c r="I5" s="119">
        <f t="array" ref="I5">IFERROR(VLOOKUP($C5&amp;I$2,{MASTER!$Y$2:$Y992,MASTER!$M$2:$M992},2,0),"")</f>
        <v>330</v>
      </c>
      <c r="J5" s="119">
        <f t="array" ref="J5">IFERROR(VLOOKUP($C5&amp;J$2,{MASTER!$Y$2:$Y992,MASTER!$M$2:$M992},2,0),"")</f>
        <v>788</v>
      </c>
      <c r="K5" s="119">
        <f t="array" ref="K5">IFERROR(VLOOKUP($C5&amp;K$2,{MASTER!$Y$2:$Y992,MASTER!$M$2:$M992},2,0),"")</f>
        <v>445</v>
      </c>
      <c r="L5" s="119">
        <f t="array" ref="L5">IFERROR(VLOOKUP($C5&amp;L$2,{MASTER!$Y$2:$Y992,MASTER!$M$2:$M992},2,0),"")</f>
        <v>360</v>
      </c>
      <c r="M5" s="119">
        <f t="array" ref="M5">IFERROR(VLOOKUP($C5&amp;M$2,{MASTER!$Y$2:$Y992,MASTER!$M$2:$M992},2,0),"")</f>
        <v>382</v>
      </c>
      <c r="N5" s="119" t="str">
        <f t="array" ref="N5">IFERROR(VLOOKUP($C5&amp;N$2,{MASTER!$Y$2:$Y992,MASTER!$M$2:$M992},2,0),"")</f>
        <v/>
      </c>
      <c r="O5" s="119">
        <f t="array" ref="O5">IFERROR(VLOOKUP($C5&amp;O$2,{MASTER!$Y$2:$Y992,MASTER!$M$2:$M992},2,0),"")</f>
        <v>195</v>
      </c>
      <c r="P5" s="119">
        <f t="array" ref="P5">IFERROR(VLOOKUP($C5&amp;P$2,{MASTER!$Y$2:$Y992,MASTER!$M$2:$M992},2,0),"")</f>
        <v>493</v>
      </c>
      <c r="Q5" s="119">
        <f t="array" ref="Q5">IFERROR(VLOOKUP($C5&amp;Q$2,{MASTER!$Y$2:$Y992,MASTER!$M$2:$M992},2,0),"")</f>
        <v>539</v>
      </c>
      <c r="R5" s="119" t="str">
        <f t="array" ref="R5">IFERROR(VLOOKUP($C5&amp;R$2,{MASTER!$Y$2:$Y992,MASTER!$M$2:$M992},2,0),"")</f>
        <v/>
      </c>
      <c r="S5" s="119">
        <f t="array" ref="S5">IFERROR(VLOOKUP($C5&amp;S$2,{MASTER!$Y$2:$Y992,MASTER!$M$2:$M992},2,0),"")</f>
        <v>557</v>
      </c>
      <c r="T5" s="119">
        <f t="array" ref="T5">IFERROR(VLOOKUP($C5&amp;T$2,{MASTER!$Y$2:$Y992,MASTER!$M$2:$M992},2,0),"")</f>
        <v>476</v>
      </c>
      <c r="U5" s="119">
        <f t="array" ref="U5">IFERROR(VLOOKUP($C5&amp;U$2,{MASTER!$Y$2:$Y992,MASTER!$M$2:$M992},2,0),"")</f>
        <v>508</v>
      </c>
      <c r="V5" s="119">
        <f t="array" ref="V5">IFERROR(VLOOKUP($C5&amp;V$2,{MASTER!$Y$2:$Y992,MASTER!$M$2:$M992},2,0),"")</f>
        <v>388</v>
      </c>
      <c r="W5" s="119">
        <f t="array" ref="W5">IFERROR(VLOOKUP($C5&amp;W$2,{MASTER!$Y$2:$Y992,MASTER!$M$2:$M992},2,0),"")</f>
        <v>400</v>
      </c>
      <c r="X5" s="119" t="str">
        <f t="array" ref="X5">IFERROR(VLOOKUP($C5&amp;X$2,{MASTER!$Y$2:$Y992,MASTER!$M$2:$M992},2,0),"")</f>
        <v/>
      </c>
      <c r="Y5" s="119" t="str">
        <f t="array" ref="Y5">IFERROR(VLOOKUP($C5&amp;Y$2,{MASTER!$Y$2:$Y992,MASTER!$M$2:$M992},2,0),"")</f>
        <v/>
      </c>
      <c r="Z5" s="119">
        <f t="array" ref="Z5">IFERROR(VLOOKUP($C5&amp;Z$2,{MASTER!$Y$2:$Y992,MASTER!$M$2:$M992},2,0),"")</f>
        <v>797</v>
      </c>
      <c r="AA5" s="119">
        <f t="array" ref="AA5">IFERROR(VLOOKUP($C5&amp;AA$2,{MASTER!$Y$2:$Y992,MASTER!$M$2:$M992},2,0),"")</f>
        <v>1030</v>
      </c>
      <c r="AB5" s="119" t="str">
        <f t="array" ref="AB5">IFERROR(VLOOKUP($C5&amp;AB$2,{MASTER!$Y$2:$Y992,MASTER!$M$2:$M992},2,0),"")</f>
        <v/>
      </c>
      <c r="AC5" s="119" t="str">
        <f t="array" ref="AC5">IFERROR(VLOOKUP($C5&amp;AC$2,{MASTER!$Y$2:$Y992,MASTER!$M$2:$M992},2,0),"")</f>
        <v/>
      </c>
      <c r="AD5" s="119">
        <f t="array" ref="AD5">IFERROR(VLOOKUP($C5&amp;AD$2,{MASTER!$Y$2:$Y992,MASTER!$M$2:$M992},2,0),"")</f>
        <v>1784</v>
      </c>
      <c r="AE5" s="119">
        <f t="array" ref="AE5">IFERROR(VLOOKUP($C5&amp;AE$2,{MASTER!$Y$2:$Y992,MASTER!$M$2:$M992},2,0),"")</f>
        <v>1070</v>
      </c>
      <c r="AF5" s="119" t="str">
        <f t="array" ref="AF5">IFERROR(VLOOKUP($C5&amp;AF$2,{MASTER!$Y$2:$Y992,MASTER!$M$2:$M992},2,0),"")</f>
        <v/>
      </c>
      <c r="AG5" s="119">
        <f t="array" ref="AG5">IFERROR(VLOOKUP($C5&amp;AG$2,{MASTER!$Y$2:$Y992,MASTER!$M$2:$M992},2,0),"")</f>
        <v>710</v>
      </c>
      <c r="AH5" s="119">
        <f t="array" ref="AH5">IFERROR(VLOOKUP($C5&amp;AH$2,{MASTER!$Y$2:$Y992,MASTER!$M$2:$M992},2,0),"")</f>
        <v>946</v>
      </c>
      <c r="AI5" s="119" t="str">
        <f t="array" ref="AI5">IFERROR(VLOOKUP($C5&amp;AI$2,{MASTER!$Y$2:$Y992,MASTER!$M$2:$M992},2,0),"")</f>
        <v/>
      </c>
      <c r="AJ5" s="119" t="str">
        <f t="array" ref="AJ5">IFERROR(VLOOKUP($C5&amp;AJ$2,{MASTER!$Y$2:$Y992,MASTER!$M$2:$M992},2,0),"")</f>
        <v/>
      </c>
      <c r="AK5" s="119" t="str">
        <f t="array" ref="AK5">IFERROR(VLOOKUP($C5&amp;AK$2,{MASTER!$Y$2:$Y992,MASTER!$M$2:$M992},2,0),"")</f>
        <v/>
      </c>
      <c r="AL5" s="119">
        <f t="array" ref="AL5">IFERROR(VLOOKUP($C5&amp;AL$2,{MASTER!$Y$2:$Y992,MASTER!$M$2:$M992},2,0),"")</f>
        <v>1004</v>
      </c>
      <c r="AM5" s="119">
        <f t="array" ref="AM5">IFERROR(VLOOKUP($C5&amp;AM$2,{MASTER!$Y$2:$Y992,MASTER!$M$2:$M992},2,0),"")</f>
        <v>1556</v>
      </c>
      <c r="AN5" s="119" t="str">
        <f t="array" ref="AN5">IFERROR(VLOOKUP($C5&amp;AN$2,{MASTER!$Y$2:$Y992,MASTER!$M$2:$M992},2,0),"")</f>
        <v/>
      </c>
      <c r="AO5" s="119">
        <f t="array" ref="AO5">IFERROR(VLOOKUP($C5&amp;AO$2,{MASTER!$Y$2:$Y992,MASTER!$M$2:$M992},2,0),"")</f>
        <v>1516</v>
      </c>
      <c r="AP5" s="119" t="str">
        <f t="array" ref="AP5">IFERROR(VLOOKUP($C5&amp;AP$2,{MASTER!$Y$2:$Y992,MASTER!$M$2:$M992},2,0),"")</f>
        <v/>
      </c>
      <c r="AQ5" s="119">
        <f t="array" ref="AQ5">IFERROR(VLOOKUP($C5&amp;AQ$2,{MASTER!$Y$2:$Y992,MASTER!$M$2:$M992},2,0),"")</f>
        <v>1727</v>
      </c>
      <c r="AR5" s="119">
        <f t="array" ref="AR5">IFERROR(VLOOKUP($C5&amp;AR$2,{MASTER!$Y$2:$Y992,MASTER!$M$2:$M992},2,0),"")</f>
        <v>1853</v>
      </c>
      <c r="AS5" s="119">
        <f t="array" ref="AS5">IFERROR(VLOOKUP($C5&amp;AS$2,{MASTER!$Y$2:$Y992,MASTER!$M$2:$M992},2,0),"")</f>
        <v>2211</v>
      </c>
      <c r="AT5" s="119">
        <f t="array" ref="AT5">IFERROR(VLOOKUP($C5&amp;AT$2,{MASTER!$Y$2:$Y992,MASTER!$M$2:$M992},2,0),"")</f>
        <v>2158.74</v>
      </c>
      <c r="AU5" s="119">
        <f t="array" ref="AU5">IFERROR(VLOOKUP($C5&amp;AU$2,{MASTER!$Y$2:$Y992,MASTER!$M$2:$M992},2,0),"")</f>
        <v>2123</v>
      </c>
      <c r="AV5" s="119">
        <f t="array" ref="AV5">IFERROR(VLOOKUP($C5&amp;AV$2,{MASTER!$Y$2:$Y992,MASTER!$M$2:$M992},2,0),"")</f>
        <v>1991</v>
      </c>
      <c r="AW5" s="119">
        <f t="array" ref="AW5">IFERROR(VLOOKUP($C5&amp;AW$2,{MASTER!$Y$2:$Y992,MASTER!$M$2:$M992},2,0),"")</f>
        <v>1947.73</v>
      </c>
      <c r="AX5" s="119">
        <f t="array" ref="AX5">IFERROR(VLOOKUP($C5&amp;AX$2,{MASTER!$Y$2:$Y992,MASTER!$M$2:$M992},2,0),"")</f>
        <v>2181</v>
      </c>
      <c r="AY5" s="119" t="str">
        <f t="array" ref="AY5">IFERROR(VLOOKUP($C5&amp;AY$2,{MASTER!$Y$2:$Y992,MASTER!$M$2:$M992},2,0),"")</f>
        <v/>
      </c>
      <c r="AZ5" s="119">
        <f t="array" ref="AZ5">IFERROR(VLOOKUP($C5&amp;AZ$2,{MASTER!$Y$2:$Y992,MASTER!$M$2:$M992},2,0),"")</f>
        <v>311</v>
      </c>
      <c r="BA5" s="119">
        <f t="array" ref="BA5">IFERROR(VLOOKUP($C5&amp;BA$2,{MASTER!$Y$2:$Y992,MASTER!$M$2:$M992},2,0),"")</f>
        <v>503</v>
      </c>
      <c r="BB5" s="119">
        <f t="array" ref="BB5">IFERROR(VLOOKUP($C5&amp;BB$2,{MASTER!$Y$2:$Y992,MASTER!$M$2:$M992},2,0),"")</f>
        <v>729</v>
      </c>
    </row>
    <row r="6">
      <c r="A6" s="116">
        <f t="shared" si="1"/>
        <v>34</v>
      </c>
      <c r="B6" s="120"/>
      <c r="C6" s="118" t="s">
        <v>511</v>
      </c>
      <c r="D6" s="119">
        <f t="array" ref="D6">IFERROR(VLOOKUP($C6&amp;D$2,{MASTER!$Y$2:$Y992,MASTER!$M$2:$M992},2,0),"")</f>
        <v>521</v>
      </c>
      <c r="E6" s="119" t="str">
        <f t="array" ref="E6">IFERROR(VLOOKUP($C6&amp;E$2,{MASTER!$Y$2:$Y992,MASTER!$M$2:$M992},2,0),"")</f>
        <v/>
      </c>
      <c r="F6" s="119" t="str">
        <f t="array" ref="F6">IFERROR(VLOOKUP($C6&amp;F$2,{MASTER!$Y$2:$Y992,MASTER!$M$2:$M992},2,0),"")</f>
        <v/>
      </c>
      <c r="G6" s="119">
        <f t="array" ref="G6">IFERROR(VLOOKUP($C6&amp;G$2,{MASTER!$Y$2:$Y992,MASTER!$M$2:$M992},2,0),"")</f>
        <v>747</v>
      </c>
      <c r="H6" s="119" t="str">
        <f t="array" ref="H6">IFERROR(VLOOKUP($C6&amp;H$2,{MASTER!$Y$2:$Y992,MASTER!$M$2:$M992},2,0),"")</f>
        <v/>
      </c>
      <c r="I6" s="119">
        <f t="array" ref="I6">IFERROR(VLOOKUP($C6&amp;I$2,{MASTER!$Y$2:$Y992,MASTER!$M$2:$M992},2,0),"")</f>
        <v>446</v>
      </c>
      <c r="J6" s="119">
        <f t="array" ref="J6">IFERROR(VLOOKUP($C6&amp;J$2,{MASTER!$Y$2:$Y992,MASTER!$M$2:$M992},2,0),"")</f>
        <v>817</v>
      </c>
      <c r="K6" s="119">
        <f t="array" ref="K6">IFERROR(VLOOKUP($C6&amp;K$2,{MASTER!$Y$2:$Y992,MASTER!$M$2:$M992},2,0),"")</f>
        <v>445</v>
      </c>
      <c r="L6" s="119">
        <f t="array" ref="L6">IFERROR(VLOOKUP($C6&amp;L$2,{MASTER!$Y$2:$Y992,MASTER!$M$2:$M992},2,0),"")</f>
        <v>389</v>
      </c>
      <c r="M6" s="119">
        <f t="array" ref="M6">IFERROR(VLOOKUP($C6&amp;M$2,{MASTER!$Y$2:$Y992,MASTER!$M$2:$M992},2,0),"")</f>
        <v>483</v>
      </c>
      <c r="N6" s="119" t="str">
        <f t="array" ref="N6">IFERROR(VLOOKUP($C6&amp;N$2,{MASTER!$Y$2:$Y992,MASTER!$M$2:$M992},2,0),"")</f>
        <v/>
      </c>
      <c r="O6" s="119">
        <f t="array" ref="O6">IFERROR(VLOOKUP($C6&amp;O$2,{MASTER!$Y$2:$Y992,MASTER!$M$2:$M992},2,0),"")</f>
        <v>206</v>
      </c>
      <c r="P6" s="119">
        <f t="array" ref="P6">IFERROR(VLOOKUP($C6&amp;P$2,{MASTER!$Y$2:$Y992,MASTER!$M$2:$M992},2,0),"")</f>
        <v>517</v>
      </c>
      <c r="Q6" s="119">
        <f t="array" ref="Q6">IFERROR(VLOOKUP($C6&amp;Q$2,{MASTER!$Y$2:$Y992,MASTER!$M$2:$M992},2,0),"")</f>
        <v>669</v>
      </c>
      <c r="R6" s="119" t="str">
        <f t="array" ref="R6">IFERROR(VLOOKUP($C6&amp;R$2,{MASTER!$Y$2:$Y992,MASTER!$M$2:$M992},2,0),"")</f>
        <v/>
      </c>
      <c r="S6" s="119">
        <f t="array" ref="S6">IFERROR(VLOOKUP($C6&amp;S$2,{MASTER!$Y$2:$Y992,MASTER!$M$2:$M992},2,0),"")</f>
        <v>573</v>
      </c>
      <c r="T6" s="119">
        <f t="array" ref="T6">IFERROR(VLOOKUP($C6&amp;T$2,{MASTER!$Y$2:$Y992,MASTER!$M$2:$M992},2,0),"")</f>
        <v>488</v>
      </c>
      <c r="U6" s="119">
        <f t="array" ref="U6">IFERROR(VLOOKUP($C6&amp;U$2,{MASTER!$Y$2:$Y992,MASTER!$M$2:$M992},2,0),"")</f>
        <v>518</v>
      </c>
      <c r="V6" s="119">
        <f t="array" ref="V6">IFERROR(VLOOKUP($C6&amp;V$2,{MASTER!$Y$2:$Y992,MASTER!$M$2:$M992},2,0),"")</f>
        <v>400</v>
      </c>
      <c r="W6" s="119">
        <f t="array" ref="W6">IFERROR(VLOOKUP($C6&amp;W$2,{MASTER!$Y$2:$Y992,MASTER!$M$2:$M992},2,0),"")</f>
        <v>411</v>
      </c>
      <c r="X6" s="119" t="str">
        <f t="array" ref="X6">IFERROR(VLOOKUP($C6&amp;X$2,{MASTER!$Y$2:$Y992,MASTER!$M$2:$M992},2,0),"")</f>
        <v/>
      </c>
      <c r="Y6" s="119" t="str">
        <f t="array" ref="Y6">IFERROR(VLOOKUP($C6&amp;Y$2,{MASTER!$Y$2:$Y992,MASTER!$M$2:$M992},2,0),"")</f>
        <v/>
      </c>
      <c r="Z6" s="119">
        <f t="array" ref="Z6">IFERROR(VLOOKUP($C6&amp;Z$2,{MASTER!$Y$2:$Y992,MASTER!$M$2:$M992},2,0),"")</f>
        <v>821</v>
      </c>
      <c r="AA6" s="119">
        <f t="array" ref="AA6">IFERROR(VLOOKUP($C6&amp;AA$2,{MASTER!$Y$2:$Y992,MASTER!$M$2:$M992},2,0),"")</f>
        <v>953</v>
      </c>
      <c r="AB6" s="119" t="str">
        <f t="array" ref="AB6">IFERROR(VLOOKUP($C6&amp;AB$2,{MASTER!$Y$2:$Y992,MASTER!$M$2:$M992},2,0),"")</f>
        <v/>
      </c>
      <c r="AC6" s="119">
        <f t="array" ref="AC6">IFERROR(VLOOKUP($C6&amp;AC$2,{MASTER!$Y$2:$Y992,MASTER!$M$2:$M992},2,0),"")</f>
        <v>1655</v>
      </c>
      <c r="AD6" s="119" t="str">
        <f t="array" ref="AD6">IFERROR(VLOOKUP($C6&amp;AD$2,{MASTER!$Y$2:$Y992,MASTER!$M$2:$M992},2,0),"")</f>
        <v/>
      </c>
      <c r="AE6" s="119">
        <f t="array" ref="AE6">IFERROR(VLOOKUP($C6&amp;AE$2,{MASTER!$Y$2:$Y992,MASTER!$M$2:$M992},2,0),"")</f>
        <v>1070</v>
      </c>
      <c r="AF6" s="119">
        <f t="array" ref="AF6">IFERROR(VLOOKUP($C6&amp;AF$2,{MASTER!$Y$2:$Y992,MASTER!$M$2:$M992},2,0),"")</f>
        <v>582</v>
      </c>
      <c r="AG6" s="119" t="str">
        <f t="array" ref="AG6">IFERROR(VLOOKUP($C6&amp;AG$2,{MASTER!$Y$2:$Y992,MASTER!$M$2:$M992},2,0),"")</f>
        <v/>
      </c>
      <c r="AH6" s="119">
        <f t="array" ref="AH6">IFERROR(VLOOKUP($C6&amp;AH$2,{MASTER!$Y$2:$Y992,MASTER!$M$2:$M992},2,0),"")</f>
        <v>970</v>
      </c>
      <c r="AI6" s="119" t="str">
        <f t="array" ref="AI6">IFERROR(VLOOKUP($C6&amp;AI$2,{MASTER!$Y$2:$Y992,MASTER!$M$2:$M992},2,0),"")</f>
        <v/>
      </c>
      <c r="AJ6" s="119" t="str">
        <f t="array" ref="AJ6">IFERROR(VLOOKUP($C6&amp;AJ$2,{MASTER!$Y$2:$Y992,MASTER!$M$2:$M992},2,0),"")</f>
        <v/>
      </c>
      <c r="AK6" s="119" t="str">
        <f t="array" ref="AK6">IFERROR(VLOOKUP($C6&amp;AK$2,{MASTER!$Y$2:$Y992,MASTER!$M$2:$M992},2,0),"")</f>
        <v/>
      </c>
      <c r="AL6" s="119" t="str">
        <f t="array" ref="AL6">IFERROR(VLOOKUP($C6&amp;AL$2,{MASTER!$Y$2:$Y992,MASTER!$M$2:$M992},2,0),"")</f>
        <v/>
      </c>
      <c r="AM6" s="119">
        <f t="array" ref="AM6">IFERROR(VLOOKUP($C6&amp;AM$2,{MASTER!$Y$2:$Y992,MASTER!$M$2:$M992},2,0),"")</f>
        <v>1652</v>
      </c>
      <c r="AN6" s="119" t="str">
        <f t="array" ref="AN6">IFERROR(VLOOKUP($C6&amp;AN$2,{MASTER!$Y$2:$Y992,MASTER!$M$2:$M992},2,0),"")</f>
        <v/>
      </c>
      <c r="AO6" s="119">
        <f t="array" ref="AO6">IFERROR(VLOOKUP($C6&amp;AO$2,{MASTER!$Y$2:$Y992,MASTER!$M$2:$M992},2,0),"")</f>
        <v>1610</v>
      </c>
      <c r="AP6" s="119" t="str">
        <f t="array" ref="AP6">IFERROR(VLOOKUP($C6&amp;AP$2,{MASTER!$Y$2:$Y992,MASTER!$M$2:$M992},2,0),"")</f>
        <v/>
      </c>
      <c r="AQ6" s="119">
        <f t="array" ref="AQ6">IFERROR(VLOOKUP($C6&amp;AQ$2,{MASTER!$Y$2:$Y992,MASTER!$M$2:$M992},2,0),"")</f>
        <v>1849</v>
      </c>
      <c r="AR6" s="119">
        <f t="array" ref="AR6">IFERROR(VLOOKUP($C6&amp;AR$2,{MASTER!$Y$2:$Y992,MASTER!$M$2:$M992},2,0),"")</f>
        <v>1712</v>
      </c>
      <c r="AS6" s="119">
        <f t="array" ref="AS6">IFERROR(VLOOKUP($C6&amp;AS$2,{MASTER!$Y$2:$Y992,MASTER!$M$2:$M992},2,0),"")</f>
        <v>2070</v>
      </c>
      <c r="AT6" s="119">
        <f t="array" ref="AT6">IFERROR(VLOOKUP($C6&amp;AT$2,{MASTER!$Y$2:$Y992,MASTER!$M$2:$M992},2,0),"")</f>
        <v>2041.82</v>
      </c>
      <c r="AU6" s="119">
        <f t="array" ref="AU6">IFERROR(VLOOKUP($C6&amp;AU$2,{MASTER!$Y$2:$Y992,MASTER!$M$2:$M992},2,0),"")</f>
        <v>1981</v>
      </c>
      <c r="AV6" s="119">
        <f t="array" ref="AV6">IFERROR(VLOOKUP($C6&amp;AV$2,{MASTER!$Y$2:$Y992,MASTER!$M$2:$M992},2,0),"")</f>
        <v>1850</v>
      </c>
      <c r="AW6" s="119">
        <f t="array" ref="AW6">IFERROR(VLOOKUP($C6&amp;AW$2,{MASTER!$Y$2:$Y992,MASTER!$M$2:$M992},2,0),"")</f>
        <v>1824.95</v>
      </c>
      <c r="AX6" s="119">
        <f t="array" ref="AX6">IFERROR(VLOOKUP($C6&amp;AX$2,{MASTER!$Y$2:$Y992,MASTER!$M$2:$M992},2,0),"")</f>
        <v>2040</v>
      </c>
      <c r="AY6" s="119" t="str">
        <f t="array" ref="AY6">IFERROR(VLOOKUP($C6&amp;AY$2,{MASTER!$Y$2:$Y992,MASTER!$M$2:$M992},2,0),"")</f>
        <v/>
      </c>
      <c r="AZ6" s="119">
        <f t="array" ref="AZ6">IFERROR(VLOOKUP($C6&amp;AZ$2,{MASTER!$Y$2:$Y992,MASTER!$M$2:$M992},2,0),"")</f>
        <v>359</v>
      </c>
      <c r="BA6" s="119">
        <f t="array" ref="BA6">IFERROR(VLOOKUP($C6&amp;BA$2,{MASTER!$Y$2:$Y992,MASTER!$M$2:$M992},2,0),"")</f>
        <v>595</v>
      </c>
      <c r="BB6" s="119">
        <f t="array" ref="BB6">IFERROR(VLOOKUP($C6&amp;BB$2,{MASTER!$Y$2:$Y992,MASTER!$M$2:$M992},2,0),"")</f>
        <v>742</v>
      </c>
    </row>
    <row r="7">
      <c r="A7" s="116">
        <f t="shared" si="1"/>
        <v>34</v>
      </c>
      <c r="B7" s="145"/>
      <c r="C7" s="118" t="s">
        <v>595</v>
      </c>
      <c r="D7" s="119">
        <f t="array" ref="D7">IFERROR(VLOOKUP($C7&amp;D$2,{MASTER!$Y$2:$Y992,MASTER!$M$2:$M992},2,0),"")</f>
        <v>533</v>
      </c>
      <c r="E7" s="119" t="str">
        <f t="array" ref="E7">IFERROR(VLOOKUP($C7&amp;E$2,{MASTER!$Y$2:$Y992,MASTER!$M$2:$M992},2,0),"")</f>
        <v/>
      </c>
      <c r="F7" s="119" t="str">
        <f t="array" ref="F7">IFERROR(VLOOKUP($C7&amp;F$2,{MASTER!$Y$2:$Y992,MASTER!$M$2:$M992},2,0),"")</f>
        <v/>
      </c>
      <c r="G7" s="119">
        <f t="array" ref="G7">IFERROR(VLOOKUP($C7&amp;G$2,{MASTER!$Y$2:$Y992,MASTER!$M$2:$M992},2,0),"")</f>
        <v>765</v>
      </c>
      <c r="H7" s="119" t="str">
        <f t="array" ref="H7">IFERROR(VLOOKUP($C7&amp;H$2,{MASTER!$Y$2:$Y992,MASTER!$M$2:$M992},2,0),"")</f>
        <v/>
      </c>
      <c r="I7" s="119">
        <f t="array" ref="I7">IFERROR(VLOOKUP($C7&amp;I$2,{MASTER!$Y$2:$Y992,MASTER!$M$2:$M992},2,0),"")</f>
        <v>455</v>
      </c>
      <c r="J7" s="119">
        <f t="array" ref="J7">IFERROR(VLOOKUP($C7&amp;J$2,{MASTER!$Y$2:$Y992,MASTER!$M$2:$M992},2,0),"")</f>
        <v>799</v>
      </c>
      <c r="K7" s="119">
        <f t="array" ref="K7">IFERROR(VLOOKUP($C7&amp;K$2,{MASTER!$Y$2:$Y992,MASTER!$M$2:$M992},2,0),"")</f>
        <v>445</v>
      </c>
      <c r="L7" s="119">
        <f t="array" ref="L7">IFERROR(VLOOKUP($C7&amp;L$2,{MASTER!$Y$2:$Y992,MASTER!$M$2:$M992},2,0),"")</f>
        <v>372</v>
      </c>
      <c r="M7" s="119">
        <f t="array" ref="M7">IFERROR(VLOOKUP($C7&amp;M$2,{MASTER!$Y$2:$Y992,MASTER!$M$2:$M992},2,0),"")</f>
        <v>495</v>
      </c>
      <c r="N7" s="119" t="str">
        <f t="array" ref="N7">IFERROR(VLOOKUP($C7&amp;N$2,{MASTER!$Y$2:$Y992,MASTER!$M$2:$M992},2,0),"")</f>
        <v/>
      </c>
      <c r="O7" s="119">
        <f t="array" ref="O7">IFERROR(VLOOKUP($C7&amp;O$2,{MASTER!$Y$2:$Y992,MASTER!$M$2:$M992},2,0),"")</f>
        <v>201</v>
      </c>
      <c r="P7" s="119">
        <f t="array" ref="P7">IFERROR(VLOOKUP($C7&amp;P$2,{MASTER!$Y$2:$Y992,MASTER!$M$2:$M992},2,0),"")</f>
        <v>507</v>
      </c>
      <c r="Q7" s="119">
        <f t="array" ref="Q7">IFERROR(VLOOKUP($C7&amp;Q$2,{MASTER!$Y$2:$Y992,MASTER!$M$2:$M992},2,0),"")</f>
        <v>677</v>
      </c>
      <c r="R7" s="119" t="str">
        <f t="array" ref="R7">IFERROR(VLOOKUP($C7&amp;R$2,{MASTER!$Y$2:$Y992,MASTER!$M$2:$M992},2,0),"")</f>
        <v/>
      </c>
      <c r="S7" s="119">
        <f t="array" ref="S7">IFERROR(VLOOKUP($C7&amp;S$2,{MASTER!$Y$2:$Y992,MASTER!$M$2:$M992},2,0),"")</f>
        <v>567</v>
      </c>
      <c r="T7" s="119">
        <f t="array" ref="T7">IFERROR(VLOOKUP($C7&amp;T$2,{MASTER!$Y$2:$Y992,MASTER!$M$2:$M992},2,0),"")</f>
        <v>483</v>
      </c>
      <c r="U7" s="119">
        <f t="array" ref="U7">IFERROR(VLOOKUP($C7&amp;U$2,{MASTER!$Y$2:$Y992,MASTER!$M$2:$M992},2,0),"")</f>
        <v>513</v>
      </c>
      <c r="V7" s="119">
        <f t="array" ref="V7">IFERROR(VLOOKUP($C7&amp;V$2,{MASTER!$Y$2:$Y992,MASTER!$M$2:$M992},2,0),"")</f>
        <v>395</v>
      </c>
      <c r="W7" s="119">
        <f t="array" ref="W7">IFERROR(VLOOKUP($C7&amp;W$2,{MASTER!$Y$2:$Y992,MASTER!$M$2:$M992},2,0),"")</f>
        <v>406</v>
      </c>
      <c r="X7" s="119" t="str">
        <f t="array" ref="X7">IFERROR(VLOOKUP($C7&amp;X$2,{MASTER!$Y$2:$Y992,MASTER!$M$2:$M992},2,0),"")</f>
        <v/>
      </c>
      <c r="Y7" s="119" t="str">
        <f t="array" ref="Y7">IFERROR(VLOOKUP($C7&amp;Y$2,{MASTER!$Y$2:$Y992,MASTER!$M$2:$M992},2,0),"")</f>
        <v/>
      </c>
      <c r="Z7" s="119">
        <f t="array" ref="Z7">IFERROR(VLOOKUP($C7&amp;Z$2,{MASTER!$Y$2:$Y992,MASTER!$M$2:$M992},2,0),"")</f>
        <v>810</v>
      </c>
      <c r="AA7" s="119">
        <f t="array" ref="AA7">IFERROR(VLOOKUP($C7&amp;AA$2,{MASTER!$Y$2:$Y992,MASTER!$M$2:$M992},2,0),"")</f>
        <v>1007</v>
      </c>
      <c r="AB7" s="119" t="str">
        <f t="array" ref="AB7">IFERROR(VLOOKUP($C7&amp;AB$2,{MASTER!$Y$2:$Y992,MASTER!$M$2:$M992},2,0),"")</f>
        <v/>
      </c>
      <c r="AC7" s="119">
        <f t="array" ref="AC7">IFERROR(VLOOKUP($C7&amp;AC$2,{MASTER!$Y$2:$Y992,MASTER!$M$2:$M992},2,0),"")</f>
        <v>1685</v>
      </c>
      <c r="AD7" s="119" t="str">
        <f t="array" ref="AD7">IFERROR(VLOOKUP($C7&amp;AD$2,{MASTER!$Y$2:$Y992,MASTER!$M$2:$M992},2,0),"")</f>
        <v/>
      </c>
      <c r="AE7" s="119">
        <f t="array" ref="AE7">IFERROR(VLOOKUP($C7&amp;AE$2,{MASTER!$Y$2:$Y992,MASTER!$M$2:$M992},2,0),"")</f>
        <v>1070</v>
      </c>
      <c r="AF7" s="119">
        <f t="array" ref="AF7">IFERROR(VLOOKUP($C7&amp;AF$2,{MASTER!$Y$2:$Y992,MASTER!$M$2:$M992},2,0),"")</f>
        <v>612</v>
      </c>
      <c r="AG7" s="119" t="str">
        <f t="array" ref="AG7">IFERROR(VLOOKUP($C7&amp;AG$2,{MASTER!$Y$2:$Y992,MASTER!$M$2:$M992},2,0),"")</f>
        <v/>
      </c>
      <c r="AH7" s="119">
        <f t="array" ref="AH7">IFERROR(VLOOKUP($C7&amp;AH$2,{MASTER!$Y$2:$Y992,MASTER!$M$2:$M992},2,0),"")</f>
        <v>959</v>
      </c>
      <c r="AI7" s="119" t="str">
        <f t="array" ref="AI7">IFERROR(VLOOKUP($C7&amp;AI$2,{MASTER!$Y$2:$Y992,MASTER!$M$2:$M992},2,0),"")</f>
        <v/>
      </c>
      <c r="AJ7" s="119" t="str">
        <f t="array" ref="AJ7">IFERROR(VLOOKUP($C7&amp;AJ$2,{MASTER!$Y$2:$Y992,MASTER!$M$2:$M992},2,0),"")</f>
        <v/>
      </c>
      <c r="AK7" s="119" t="str">
        <f t="array" ref="AK7">IFERROR(VLOOKUP($C7&amp;AK$2,{MASTER!$Y$2:$Y992,MASTER!$M$2:$M992},2,0),"")</f>
        <v/>
      </c>
      <c r="AL7" s="119" t="str">
        <f t="array" ref="AL7">IFERROR(VLOOKUP($C7&amp;AL$2,{MASTER!$Y$2:$Y992,MASTER!$M$2:$M992},2,0),"")</f>
        <v/>
      </c>
      <c r="AM7" s="119">
        <f t="array" ref="AM7">IFERROR(VLOOKUP($C7&amp;AM$2,{MASTER!$Y$2:$Y992,MASTER!$M$2:$M992},2,0),"")</f>
        <v>1605</v>
      </c>
      <c r="AN7" s="119" t="str">
        <f t="array" ref="AN7">IFERROR(VLOOKUP($C7&amp;AN$2,{MASTER!$Y$2:$Y992,MASTER!$M$2:$M992},2,0),"")</f>
        <v/>
      </c>
      <c r="AO7" s="119">
        <f t="array" ref="AO7">IFERROR(VLOOKUP($C7&amp;AO$2,{MASTER!$Y$2:$Y992,MASTER!$M$2:$M992},2,0),"")</f>
        <v>1563</v>
      </c>
      <c r="AP7" s="119" t="str">
        <f t="array" ref="AP7">IFERROR(VLOOKUP($C7&amp;AP$2,{MASTER!$Y$2:$Y992,MASTER!$M$2:$M992},2,0),"")</f>
        <v/>
      </c>
      <c r="AQ7" s="119">
        <f t="array" ref="AQ7">IFERROR(VLOOKUP($C7&amp;AQ$2,{MASTER!$Y$2:$Y992,MASTER!$M$2:$M992},2,0),"")</f>
        <v>1765</v>
      </c>
      <c r="AR7" s="119">
        <f t="array" ref="AR7">IFERROR(VLOOKUP($C7&amp;AR$2,{MASTER!$Y$2:$Y992,MASTER!$M$2:$M992},2,0),"")</f>
        <v>1730</v>
      </c>
      <c r="AS7" s="119">
        <f t="array" ref="AS7">IFERROR(VLOOKUP($C7&amp;AS$2,{MASTER!$Y$2:$Y992,MASTER!$M$2:$M992},2,0),"")</f>
        <v>2088</v>
      </c>
      <c r="AT7" s="119">
        <f t="array" ref="AT7">IFERROR(VLOOKUP($C7&amp;AT$2,{MASTER!$Y$2:$Y992,MASTER!$M$2:$M992},2,0),"")</f>
        <v>2023.53</v>
      </c>
      <c r="AU7" s="119">
        <f t="array" ref="AU7">IFERROR(VLOOKUP($C7&amp;AU$2,{MASTER!$Y$2:$Y992,MASTER!$M$2:$M992},2,0),"")</f>
        <v>2000</v>
      </c>
      <c r="AV7" s="119">
        <f t="array" ref="AV7">IFERROR(VLOOKUP($C7&amp;AV$2,{MASTER!$Y$2:$Y992,MASTER!$M$2:$M992},2,0),"")</f>
        <v>1868</v>
      </c>
      <c r="AW7" s="119">
        <f t="array" ref="AW7">IFERROR(VLOOKUP($C7&amp;AW$2,{MASTER!$Y$2:$Y992,MASTER!$M$2:$M992},2,0),"")</f>
        <v>1806.66</v>
      </c>
      <c r="AX7" s="119">
        <f t="array" ref="AX7">IFERROR(VLOOKUP($C7&amp;AX$2,{MASTER!$Y$2:$Y992,MASTER!$M$2:$M992},2,0),"")</f>
        <v>2058</v>
      </c>
      <c r="AY7" s="119" t="str">
        <f t="array" ref="AY7">IFERROR(VLOOKUP($C7&amp;AY$2,{MASTER!$Y$2:$Y992,MASTER!$M$2:$M992},2,0),"")</f>
        <v/>
      </c>
      <c r="AZ7" s="119">
        <f t="array" ref="AZ7">IFERROR(VLOOKUP($C7&amp;AZ$2,{MASTER!$Y$2:$Y992,MASTER!$M$2:$M992},2,0),"")</f>
        <v>322</v>
      </c>
      <c r="BA7" s="119">
        <f t="array" ref="BA7">IFERROR(VLOOKUP($C7&amp;BA$2,{MASTER!$Y$2:$Y992,MASTER!$M$2:$M992},2,0),"")</f>
        <v>541</v>
      </c>
      <c r="BB7" s="119">
        <f t="array" ref="BB7">IFERROR(VLOOKUP($C7&amp;BB$2,{MASTER!$Y$2:$Y992,MASTER!$M$2:$M992},2,0),"")</f>
        <v>737</v>
      </c>
    </row>
    <row r="8">
      <c r="A8" s="116">
        <f t="shared" si="1"/>
        <v>33</v>
      </c>
      <c r="B8" s="117">
        <v>6000.0</v>
      </c>
      <c r="C8" s="162" t="s">
        <v>716</v>
      </c>
      <c r="D8" s="119">
        <f t="array" ref="D8">IFERROR(VLOOKUP($C8&amp;D$2,{MASTER!$Y$2:$Y992,MASTER!$M$2:$M992},2,0),"")</f>
        <v>618</v>
      </c>
      <c r="E8" s="119" t="str">
        <f t="array" ref="E8">IFERROR(VLOOKUP($C8&amp;E$2,{MASTER!$Y$2:$Y992,MASTER!$M$2:$M992},2,0),"")</f>
        <v/>
      </c>
      <c r="F8" s="119" t="str">
        <f t="array" ref="F8">IFERROR(VLOOKUP($C8&amp;F$2,{MASTER!$Y$2:$Y992,MASTER!$M$2:$M992},2,0),"")</f>
        <v/>
      </c>
      <c r="G8" s="119">
        <f t="array" ref="G8">IFERROR(VLOOKUP($C8&amp;G$2,{MASTER!$Y$2:$Y992,MASTER!$M$2:$M992},2,0),"")</f>
        <v>827</v>
      </c>
      <c r="H8" s="119" t="str">
        <f t="array" ref="H8">IFERROR(VLOOKUP($C8&amp;H$2,{MASTER!$Y$2:$Y992,MASTER!$M$2:$M992},2,0),"")</f>
        <v/>
      </c>
      <c r="I8" s="119">
        <f t="array" ref="I8">IFERROR(VLOOKUP($C8&amp;I$2,{MASTER!$Y$2:$Y992,MASTER!$M$2:$M992},2,0),"")</f>
        <v>463</v>
      </c>
      <c r="J8" s="119">
        <f t="array" ref="J8">IFERROR(VLOOKUP($C8&amp;J$2,{MASTER!$Y$2:$Y992,MASTER!$M$2:$M992},2,0),"")</f>
        <v>808</v>
      </c>
      <c r="K8" s="119">
        <f t="array" ref="K8">IFERROR(VLOOKUP($C8&amp;K$2,{MASTER!$Y$2:$Y992,MASTER!$M$2:$M992},2,0),"")</f>
        <v>445</v>
      </c>
      <c r="L8" s="119">
        <f t="array" ref="L8">IFERROR(VLOOKUP($C8&amp;L$2,{MASTER!$Y$2:$Y992,MASTER!$M$2:$M992},2,0),"")</f>
        <v>381</v>
      </c>
      <c r="M8" s="119">
        <f t="array" ref="M8">IFERROR(VLOOKUP($C8&amp;M$2,{MASTER!$Y$2:$Y992,MASTER!$M$2:$M992},2,0),"")</f>
        <v>566</v>
      </c>
      <c r="N8" s="119" t="str">
        <f t="array" ref="N8">IFERROR(VLOOKUP($C8&amp;N$2,{MASTER!$Y$2:$Y992,MASTER!$M$2:$M992},2,0),"")</f>
        <v/>
      </c>
      <c r="O8" s="119">
        <f t="array" ref="O8">IFERROR(VLOOKUP($C8&amp;O$2,{MASTER!$Y$2:$Y992,MASTER!$M$2:$M992},2,0),"")</f>
        <v>301</v>
      </c>
      <c r="P8" s="119">
        <f t="array" ref="P8">IFERROR(VLOOKUP($C8&amp;P$2,{MASTER!$Y$2:$Y992,MASTER!$M$2:$M992},2,0),"")</f>
        <v>604</v>
      </c>
      <c r="Q8" s="119">
        <f t="array" ref="Q8">IFERROR(VLOOKUP($C8&amp;Q$2,{MASTER!$Y$2:$Y992,MASTER!$M$2:$M992},2,0),"")</f>
        <v>681</v>
      </c>
      <c r="R8" s="119" t="str">
        <f t="array" ref="R8">IFERROR(VLOOKUP($C8&amp;R$2,{MASTER!$Y$2:$Y992,MASTER!$M$2:$M992},2,0),"")</f>
        <v/>
      </c>
      <c r="S8" s="119">
        <f t="array" ref="S8">IFERROR(VLOOKUP($C8&amp;S$2,{MASTER!$Y$2:$Y992,MASTER!$M$2:$M992},2,0),"")</f>
        <v>742</v>
      </c>
      <c r="T8" s="119">
        <f t="array" ref="T8">IFERROR(VLOOKUP($C8&amp;T$2,{MASTER!$Y$2:$Y992,MASTER!$M$2:$M992},2,0),"")</f>
        <v>677</v>
      </c>
      <c r="U8" s="119" t="str">
        <f t="array" ref="U8">IFERROR(VLOOKUP($C8&amp;U$2,{MASTER!$Y$2:$Y992,MASTER!$M$2:$M992},2,0),"")</f>
        <v/>
      </c>
      <c r="V8" s="119">
        <f t="array" ref="V8">IFERROR(VLOOKUP($C8&amp;V$2,{MASTER!$Y$2:$Y992,MASTER!$M$2:$M992},2,0),"")</f>
        <v>413</v>
      </c>
      <c r="W8" s="119">
        <f t="array" ref="W8">IFERROR(VLOOKUP($C8&amp;W$2,{MASTER!$Y$2:$Y992,MASTER!$M$2:$M992},2,0),"")</f>
        <v>424</v>
      </c>
      <c r="X8" s="119" t="str">
        <f t="array" ref="X8">IFERROR(VLOOKUP($C8&amp;X$2,{MASTER!$Y$2:$Y992,MASTER!$M$2:$M992},2,0),"")</f>
        <v/>
      </c>
      <c r="Y8" s="119" t="str">
        <f t="array" ref="Y8">IFERROR(VLOOKUP($C8&amp;Y$2,{MASTER!$Y$2:$Y992,MASTER!$M$2:$M992},2,0),"")</f>
        <v/>
      </c>
      <c r="Z8" s="119">
        <f t="array" ref="Z8">IFERROR(VLOOKUP($C8&amp;Z$2,{MASTER!$Y$2:$Y992,MASTER!$M$2:$M992},2,0),"")</f>
        <v>1243</v>
      </c>
      <c r="AA8" s="119">
        <f t="array" ref="AA8">IFERROR(VLOOKUP($C8&amp;AA$2,{MASTER!$Y$2:$Y992,MASTER!$M$2:$M992},2,0),"")</f>
        <v>1211</v>
      </c>
      <c r="AB8" s="119" t="str">
        <f t="array" ref="AB8">IFERROR(VLOOKUP($C8&amp;AB$2,{MASTER!$Y$2:$Y992,MASTER!$M$2:$M992},2,0),"")</f>
        <v/>
      </c>
      <c r="AC8" s="119">
        <f t="array" ref="AC8">IFERROR(VLOOKUP($C8&amp;AC$2,{MASTER!$Y$2:$Y992,MASTER!$M$2:$M992},2,0),"")</f>
        <v>1790</v>
      </c>
      <c r="AD8" s="119" t="str">
        <f t="array" ref="AD8">IFERROR(VLOOKUP($C8&amp;AD$2,{MASTER!$Y$2:$Y992,MASTER!$M$2:$M992},2,0),"")</f>
        <v/>
      </c>
      <c r="AE8" s="119">
        <f t="array" ref="AE8">IFERROR(VLOOKUP($C8&amp;AE$2,{MASTER!$Y$2:$Y992,MASTER!$M$2:$M992},2,0),"")</f>
        <v>1070</v>
      </c>
      <c r="AF8" s="119">
        <f t="array" ref="AF8">IFERROR(VLOOKUP($C8&amp;AF$2,{MASTER!$Y$2:$Y992,MASTER!$M$2:$M992},2,0),"")</f>
        <v>717</v>
      </c>
      <c r="AG8" s="119" t="str">
        <f t="array" ref="AG8">IFERROR(VLOOKUP($C8&amp;AG$2,{MASTER!$Y$2:$Y992,MASTER!$M$2:$M992},2,0),"")</f>
        <v/>
      </c>
      <c r="AH8" s="119">
        <f t="array" ref="AH8">IFERROR(VLOOKUP($C8&amp;AH$2,{MASTER!$Y$2:$Y992,MASTER!$M$2:$M992},2,0),"")</f>
        <v>1225</v>
      </c>
      <c r="AI8" s="119" t="str">
        <f t="array" ref="AI8">IFERROR(VLOOKUP($C8&amp;AI$2,{MASTER!$Y$2:$Y992,MASTER!$M$2:$M992},2,0),"")</f>
        <v/>
      </c>
      <c r="AJ8" s="119" t="str">
        <f t="array" ref="AJ8">IFERROR(VLOOKUP($C8&amp;AJ$2,{MASTER!$Y$2:$Y992,MASTER!$M$2:$M992},2,0),"")</f>
        <v/>
      </c>
      <c r="AK8" s="119" t="str">
        <f t="array" ref="AK8">IFERROR(VLOOKUP($C8&amp;AK$2,{MASTER!$Y$2:$Y992,MASTER!$M$2:$M992},2,0),"")</f>
        <v/>
      </c>
      <c r="AL8" s="119" t="str">
        <f t="array" ref="AL8">IFERROR(VLOOKUP($C8&amp;AL$2,{MASTER!$Y$2:$Y992,MASTER!$M$2:$M992},2,0),"")</f>
        <v/>
      </c>
      <c r="AM8" s="119">
        <f t="array" ref="AM8">IFERROR(VLOOKUP($C8&amp;AM$2,{MASTER!$Y$2:$Y992,MASTER!$M$2:$M992},2,0),"")</f>
        <v>2020</v>
      </c>
      <c r="AN8" s="119" t="str">
        <f t="array" ref="AN8">IFERROR(VLOOKUP($C8&amp;AN$2,{MASTER!$Y$2:$Y992,MASTER!$M$2:$M992},2,0),"")</f>
        <v/>
      </c>
      <c r="AO8" s="119">
        <f t="array" ref="AO8">IFERROR(VLOOKUP($C8&amp;AO$2,{MASTER!$Y$2:$Y992,MASTER!$M$2:$M992},2,0),"")</f>
        <v>1979</v>
      </c>
      <c r="AP8" s="119" t="str">
        <f t="array" ref="AP8">IFERROR(VLOOKUP($C8&amp;AP$2,{MASTER!$Y$2:$Y992,MASTER!$M$2:$M992},2,0),"")</f>
        <v/>
      </c>
      <c r="AQ8" s="119">
        <f t="array" ref="AQ8">IFERROR(VLOOKUP($C8&amp;AQ$2,{MASTER!$Y$2:$Y992,MASTER!$M$2:$M992},2,0),"")</f>
        <v>2299</v>
      </c>
      <c r="AR8" s="119">
        <f t="array" ref="AR8">IFERROR(VLOOKUP($C8&amp;AR$2,{MASTER!$Y$2:$Y992,MASTER!$M$2:$M992},2,0),"")</f>
        <v>2007</v>
      </c>
      <c r="AS8" s="119">
        <f t="array" ref="AS8">IFERROR(VLOOKUP($C8&amp;AS$2,{MASTER!$Y$2:$Y992,MASTER!$M$2:$M992},2,0),"")</f>
        <v>2364</v>
      </c>
      <c r="AT8" s="119">
        <f t="array" ref="AT8">IFERROR(VLOOKUP($C8&amp;AT$2,{MASTER!$Y$2:$Y992,MASTER!$M$2:$M992},2,0),"")</f>
        <v>2340.62</v>
      </c>
      <c r="AU8" s="119">
        <f t="array" ref="AU8">IFERROR(VLOOKUP($C8&amp;AU$2,{MASTER!$Y$2:$Y992,MASTER!$M$2:$M992},2,0),"")</f>
        <v>2276</v>
      </c>
      <c r="AV8" s="119">
        <f t="array" ref="AV8">IFERROR(VLOOKUP($C8&amp;AV$2,{MASTER!$Y$2:$Y992,MASTER!$M$2:$M992},2,0),"")</f>
        <v>2144</v>
      </c>
      <c r="AW8" s="119">
        <f t="array" ref="AW8">IFERROR(VLOOKUP($C8&amp;AW$2,{MASTER!$Y$2:$Y992,MASTER!$M$2:$M992},2,0),"")</f>
        <v>2123.75</v>
      </c>
      <c r="AX8" s="119">
        <f t="array" ref="AX8">IFERROR(VLOOKUP($C8&amp;AX$2,{MASTER!$Y$2:$Y992,MASTER!$M$2:$M992},2,0),"")</f>
        <v>2335</v>
      </c>
      <c r="AY8" s="119" t="str">
        <f t="array" ref="AY8">IFERROR(VLOOKUP($C8&amp;AY$2,{MASTER!$Y$2:$Y992,MASTER!$M$2:$M992},2,0),"")</f>
        <v/>
      </c>
      <c r="AZ8" s="119">
        <f t="array" ref="AZ8">IFERROR(VLOOKUP($C8&amp;AZ$2,{MASTER!$Y$2:$Y992,MASTER!$M$2:$M992},2,0),"")</f>
        <v>485</v>
      </c>
      <c r="BA8" s="119">
        <f t="array" ref="BA8">IFERROR(VLOOKUP($C8&amp;BA$2,{MASTER!$Y$2:$Y992,MASTER!$M$2:$M992},2,0),"")</f>
        <v>678</v>
      </c>
      <c r="BB8" s="119">
        <f t="array" ref="BB8">IFERROR(VLOOKUP($C8&amp;BB$2,{MASTER!$Y$2:$Y992,MASTER!$M$2:$M992},2,0),"")</f>
        <v>751</v>
      </c>
    </row>
    <row r="9">
      <c r="A9" s="116">
        <f t="shared" si="1"/>
        <v>36</v>
      </c>
      <c r="B9" s="120"/>
      <c r="C9" s="162" t="s">
        <v>856</v>
      </c>
      <c r="D9" s="119">
        <f t="array" ref="D9">IFERROR(VLOOKUP($C9&amp;D$2,{MASTER!$Y$2:$Y992,MASTER!$M$2:$M992},2,0),"")</f>
        <v>620</v>
      </c>
      <c r="E9" s="119">
        <f t="array" ref="E9">IFERROR(VLOOKUP($C9&amp;E$2,{MASTER!$Y$2:$Y992,MASTER!$M$2:$M992},2,0),"")</f>
        <v>1466</v>
      </c>
      <c r="F9" s="119">
        <f t="array" ref="F9">IFERROR(VLOOKUP($C9&amp;F$2,{MASTER!$Y$2:$Y992,MASTER!$M$2:$M992},2,0),"")</f>
        <v>1303</v>
      </c>
      <c r="G9" s="119">
        <f t="array" ref="G9">IFERROR(VLOOKUP($C9&amp;G$2,{MASTER!$Y$2:$Y992,MASTER!$M$2:$M992},2,0),"")</f>
        <v>869</v>
      </c>
      <c r="H9" s="119" t="str">
        <f t="array" ref="H9">IFERROR(VLOOKUP($C9&amp;H$2,{MASTER!$Y$2:$Y992,MASTER!$M$2:$M992},2,0),"")</f>
        <v/>
      </c>
      <c r="I9" s="119">
        <f t="array" ref="I9">IFERROR(VLOOKUP($C9&amp;I$2,{MASTER!$Y$2:$Y992,MASTER!$M$2:$M992},2,0),"")</f>
        <v>469</v>
      </c>
      <c r="J9" s="119">
        <f t="array" ref="J9">IFERROR(VLOOKUP($C9&amp;J$2,{MASTER!$Y$2:$Y992,MASTER!$M$2:$M992},2,0),"")</f>
        <v>804</v>
      </c>
      <c r="K9" s="119">
        <f t="array" ref="K9">IFERROR(VLOOKUP($C9&amp;K$2,{MASTER!$Y$2:$Y992,MASTER!$M$2:$M992},2,0),"")</f>
        <v>445</v>
      </c>
      <c r="L9" s="119">
        <f t="array" ref="L9">IFERROR(VLOOKUP($C9&amp;L$2,{MASTER!$Y$2:$Y992,MASTER!$M$2:$M992},2,0),"")</f>
        <v>376</v>
      </c>
      <c r="M9" s="119">
        <f t="array" ref="M9">IFERROR(VLOOKUP($C9&amp;M$2,{MASTER!$Y$2:$Y992,MASTER!$M$2:$M992},2,0),"")</f>
        <v>514</v>
      </c>
      <c r="N9" s="119" t="str">
        <f t="array" ref="N9">IFERROR(VLOOKUP($C9&amp;N$2,{MASTER!$Y$2:$Y992,MASTER!$M$2:$M992},2,0),"")</f>
        <v/>
      </c>
      <c r="O9" s="119">
        <f t="array" ref="O9">IFERROR(VLOOKUP($C9&amp;O$2,{MASTER!$Y$2:$Y992,MASTER!$M$2:$M992},2,0),"")</f>
        <v>269</v>
      </c>
      <c r="P9" s="119">
        <f t="array" ref="P9">IFERROR(VLOOKUP($C9&amp;P$2,{MASTER!$Y$2:$Y992,MASTER!$M$2:$M992},2,0),"")</f>
        <v>574</v>
      </c>
      <c r="Q9" s="119">
        <f t="array" ref="Q9">IFERROR(VLOOKUP($C9&amp;Q$2,{MASTER!$Y$2:$Y992,MASTER!$M$2:$M992},2,0),"")</f>
        <v>813</v>
      </c>
      <c r="R9" s="119">
        <f t="array" ref="R9">IFERROR(VLOOKUP($C9&amp;R$2,{MASTER!$Y$2:$Y992,MASTER!$M$2:$M992},2,0),"")</f>
        <v>739</v>
      </c>
      <c r="S9" s="119">
        <f t="array" ref="S9">IFERROR(VLOOKUP($C9&amp;S$2,{MASTER!$Y$2:$Y992,MASTER!$M$2:$M992},2,0),"")</f>
        <v>601</v>
      </c>
      <c r="T9" s="119">
        <f t="array" ref="T9">IFERROR(VLOOKUP($C9&amp;T$2,{MASTER!$Y$2:$Y992,MASTER!$M$2:$M992},2,0),"")</f>
        <v>572</v>
      </c>
      <c r="U9" s="119" t="str">
        <f t="array" ref="U9">IFERROR(VLOOKUP($C9&amp;U$2,{MASTER!$Y$2:$Y992,MASTER!$M$2:$M992},2,0),"")</f>
        <v/>
      </c>
      <c r="V9" s="119">
        <f t="array" ref="V9">IFERROR(VLOOKUP($C9&amp;V$2,{MASTER!$Y$2:$Y992,MASTER!$M$2:$M992},2,0),"")</f>
        <v>404</v>
      </c>
      <c r="W9" s="119">
        <f t="array" ref="W9">IFERROR(VLOOKUP($C9&amp;W$2,{MASTER!$Y$2:$Y992,MASTER!$M$2:$M992},2,0),"")</f>
        <v>416</v>
      </c>
      <c r="X9" s="119" t="str">
        <f t="array" ref="X9">IFERROR(VLOOKUP($C9&amp;X$2,{MASTER!$Y$2:$Y992,MASTER!$M$2:$M992},2,0),"")</f>
        <v/>
      </c>
      <c r="Y9" s="119" t="str">
        <f t="array" ref="Y9">IFERROR(VLOOKUP($C9&amp;Y$2,{MASTER!$Y$2:$Y992,MASTER!$M$2:$M992},2,0),"")</f>
        <v/>
      </c>
      <c r="Z9" s="119">
        <f t="array" ref="Z9">IFERROR(VLOOKUP($C9&amp;Z$2,{MASTER!$Y$2:$Y992,MASTER!$M$2:$M992},2,0),"")</f>
        <v>990</v>
      </c>
      <c r="AA9" s="119">
        <f t="array" ref="AA9">IFERROR(VLOOKUP($C9&amp;AA$2,{MASTER!$Y$2:$Y992,MASTER!$M$2:$M992},2,0),"")</f>
        <v>1166</v>
      </c>
      <c r="AB9" s="119">
        <f t="array" ref="AB9">IFERROR(VLOOKUP($C9&amp;AB$2,{MASTER!$Y$2:$Y992,MASTER!$M$2:$M992},2,0),"")</f>
        <v>2154</v>
      </c>
      <c r="AC9" s="119">
        <f t="array" ref="AC9">IFERROR(VLOOKUP($C9&amp;AC$2,{MASTER!$Y$2:$Y992,MASTER!$M$2:$M992},2,0),"")</f>
        <v>1783</v>
      </c>
      <c r="AD9" s="119" t="str">
        <f t="array" ref="AD9">IFERROR(VLOOKUP($C9&amp;AD$2,{MASTER!$Y$2:$Y992,MASTER!$M$2:$M992},2,0),"")</f>
        <v/>
      </c>
      <c r="AE9" s="119">
        <f t="array" ref="AE9">IFERROR(VLOOKUP($C9&amp;AE$2,{MASTER!$Y$2:$Y992,MASTER!$M$2:$M992},2,0),"")</f>
        <v>1070</v>
      </c>
      <c r="AF9" s="119">
        <f t="array" ref="AF9">IFERROR(VLOOKUP($C9&amp;AF$2,{MASTER!$Y$2:$Y992,MASTER!$M$2:$M992},2,0),"")</f>
        <v>711</v>
      </c>
      <c r="AG9" s="119" t="str">
        <f t="array" ref="AG9">IFERROR(VLOOKUP($C9&amp;AG$2,{MASTER!$Y$2:$Y992,MASTER!$M$2:$M992},2,0),"")</f>
        <v/>
      </c>
      <c r="AH9" s="119">
        <f t="array" ref="AH9">IFERROR(VLOOKUP($C9&amp;AH$2,{MASTER!$Y$2:$Y992,MASTER!$M$2:$M992},2,0),"")</f>
        <v>1109</v>
      </c>
      <c r="AI9" s="119" t="str">
        <f t="array" ref="AI9">IFERROR(VLOOKUP($C9&amp;AI$2,{MASTER!$Y$2:$Y992,MASTER!$M$2:$M992},2,0),"")</f>
        <v/>
      </c>
      <c r="AJ9" s="119" t="str">
        <f t="array" ref="AJ9">IFERROR(VLOOKUP($C9&amp;AJ$2,{MASTER!$Y$2:$Y992,MASTER!$M$2:$M992},2,0),"")</f>
        <v/>
      </c>
      <c r="AK9" s="119" t="str">
        <f t="array" ref="AK9">IFERROR(VLOOKUP($C9&amp;AK$2,{MASTER!$Y$2:$Y992,MASTER!$M$2:$M992},2,0),"")</f>
        <v/>
      </c>
      <c r="AL9" s="119" t="str">
        <f t="array" ref="AL9">IFERROR(VLOOKUP($C9&amp;AL$2,{MASTER!$Y$2:$Y992,MASTER!$M$2:$M992},2,0),"")</f>
        <v/>
      </c>
      <c r="AM9" s="119">
        <f t="array" ref="AM9">IFERROR(VLOOKUP($C9&amp;AM$2,{MASTER!$Y$2:$Y992,MASTER!$M$2:$M992},2,0),"")</f>
        <v>1872</v>
      </c>
      <c r="AN9" s="119" t="str">
        <f t="array" ref="AN9">IFERROR(VLOOKUP($C9&amp;AN$2,{MASTER!$Y$2:$Y992,MASTER!$M$2:$M992},2,0),"")</f>
        <v/>
      </c>
      <c r="AO9" s="119">
        <f t="array" ref="AO9">IFERROR(VLOOKUP($C9&amp;AO$2,{MASTER!$Y$2:$Y992,MASTER!$M$2:$M992},2,0),"")</f>
        <v>1833</v>
      </c>
      <c r="AP9" s="119" t="str">
        <f t="array" ref="AP9">IFERROR(VLOOKUP($C9&amp;AP$2,{MASTER!$Y$2:$Y992,MASTER!$M$2:$M992},2,0),"")</f>
        <v/>
      </c>
      <c r="AQ9" s="119">
        <f t="array" ref="AQ9">IFERROR(VLOOKUP($C9&amp;AQ$2,{MASTER!$Y$2:$Y992,MASTER!$M$2:$M992},2,0),"")</f>
        <v>2034</v>
      </c>
      <c r="AR9" s="119">
        <f t="array" ref="AR9">IFERROR(VLOOKUP($C9&amp;AR$2,{MASTER!$Y$2:$Y992,MASTER!$M$2:$M992},2,0),"")</f>
        <v>1852</v>
      </c>
      <c r="AS9" s="119">
        <f t="array" ref="AS9">IFERROR(VLOOKUP($C9&amp;AS$2,{MASTER!$Y$2:$Y992,MASTER!$M$2:$M992},2,0),"")</f>
        <v>2211</v>
      </c>
      <c r="AT9" s="119" t="str">
        <f t="array" ref="AT9">IFERROR(VLOOKUP($C9&amp;AT$2,{MASTER!$Y$2:$Y992,MASTER!$M$2:$M992},2,0),"")</f>
        <v/>
      </c>
      <c r="AU9" s="119">
        <f t="array" ref="AU9">IFERROR(VLOOKUP($C9&amp;AU$2,{MASTER!$Y$2:$Y992,MASTER!$M$2:$M992},2,0),"")</f>
        <v>2125</v>
      </c>
      <c r="AV9" s="119">
        <f t="array" ref="AV9">IFERROR(VLOOKUP($C9&amp;AV$2,{MASTER!$Y$2:$Y992,MASTER!$M$2:$M992},2,0),"")</f>
        <v>1991</v>
      </c>
      <c r="AW9" s="119" t="str">
        <f t="array" ref="AW9">IFERROR(VLOOKUP($C9&amp;AW$2,{MASTER!$Y$2:$Y992,MASTER!$M$2:$M992},2,0),"")</f>
        <v/>
      </c>
      <c r="AX9" s="119">
        <f t="array" ref="AX9">IFERROR(VLOOKUP($C9&amp;AX$2,{MASTER!$Y$2:$Y992,MASTER!$M$2:$M992},2,0),"")</f>
        <v>2181</v>
      </c>
      <c r="AY9" s="119">
        <f t="array" ref="AY9">IFERROR(VLOOKUP($C9&amp;AY$2,{MASTER!$Y$2:$Y992,MASTER!$M$2:$M992},2,0),"")</f>
        <v>2985</v>
      </c>
      <c r="AZ9" s="119">
        <f t="array" ref="AZ9">IFERROR(VLOOKUP($C9&amp;AZ$2,{MASTER!$Y$2:$Y992,MASTER!$M$2:$M992},2,0),"")</f>
        <v>398</v>
      </c>
      <c r="BA9" s="119">
        <f t="array" ref="BA9">IFERROR(VLOOKUP($C9&amp;BA$2,{MASTER!$Y$2:$Y992,MASTER!$M$2:$M992},2,0),"")</f>
        <v>596</v>
      </c>
      <c r="BB9" s="119">
        <f t="array" ref="BB9">IFERROR(VLOOKUP($C9&amp;BB$2,{MASTER!$Y$2:$Y992,MASTER!$M$2:$M992},2,0),"")</f>
        <v>745</v>
      </c>
    </row>
    <row r="10">
      <c r="A10" s="116">
        <f t="shared" si="1"/>
        <v>33</v>
      </c>
      <c r="B10" s="120"/>
      <c r="C10" s="162" t="s">
        <v>787</v>
      </c>
      <c r="D10" s="119">
        <f t="array" ref="D10">IFERROR(VLOOKUP($C10&amp;D$2,{MASTER!$Y$2:$Y992,MASTER!$M$2:$M992},2,0),"")</f>
        <v>591</v>
      </c>
      <c r="E10" s="119" t="str">
        <f t="array" ref="E10">IFERROR(VLOOKUP($C10&amp;E$2,{MASTER!$Y$2:$Y992,MASTER!$M$2:$M992},2,0),"")</f>
        <v/>
      </c>
      <c r="F10" s="119" t="str">
        <f t="array" ref="F10">IFERROR(VLOOKUP($C10&amp;F$2,{MASTER!$Y$2:$Y992,MASTER!$M$2:$M992},2,0),"")</f>
        <v/>
      </c>
      <c r="G10" s="119">
        <f t="array" ref="G10">IFERROR(VLOOKUP($C10&amp;G$2,{MASTER!$Y$2:$Y992,MASTER!$M$2:$M992},2,0),"")</f>
        <v>788</v>
      </c>
      <c r="H10" s="119" t="str">
        <f t="array" ref="H10">IFERROR(VLOOKUP($C10&amp;H$2,{MASTER!$Y$2:$Y992,MASTER!$M$2:$M992},2,0),"")</f>
        <v/>
      </c>
      <c r="I10" s="119">
        <f t="array" ref="I10">IFERROR(VLOOKUP($C10&amp;I$2,{MASTER!$Y$2:$Y992,MASTER!$M$2:$M992},2,0),"")</f>
        <v>453</v>
      </c>
      <c r="J10" s="119">
        <f t="array" ref="J10">IFERROR(VLOOKUP($C10&amp;J$2,{MASTER!$Y$2:$Y992,MASTER!$M$2:$M992},2,0),"")</f>
        <v>798</v>
      </c>
      <c r="K10" s="119">
        <f t="array" ref="K10">IFERROR(VLOOKUP($C10&amp;K$2,{MASTER!$Y$2:$Y992,MASTER!$M$2:$M992},2,0),"")</f>
        <v>445</v>
      </c>
      <c r="L10" s="119">
        <f t="array" ref="L10">IFERROR(VLOOKUP($C10&amp;L$2,{MASTER!$Y$2:$Y992,MASTER!$M$2:$M992},2,0),"")</f>
        <v>370</v>
      </c>
      <c r="M10" s="119">
        <f t="array" ref="M10">IFERROR(VLOOKUP($C10&amp;M$2,{MASTER!$Y$2:$Y992,MASTER!$M$2:$M992},2,0),"")</f>
        <v>518</v>
      </c>
      <c r="N10" s="119" t="str">
        <f t="array" ref="N10">IFERROR(VLOOKUP($C10&amp;N$2,{MASTER!$Y$2:$Y992,MASTER!$M$2:$M992},2,0),"")</f>
        <v/>
      </c>
      <c r="O10" s="119">
        <f t="array" ref="O10">IFERROR(VLOOKUP($C10&amp;O$2,{MASTER!$Y$2:$Y992,MASTER!$M$2:$M992},2,0),"")</f>
        <v>240</v>
      </c>
      <c r="P10" s="119">
        <f t="array" ref="P10">IFERROR(VLOOKUP($C10&amp;P$2,{MASTER!$Y$2:$Y992,MASTER!$M$2:$M992},2,0),"")</f>
        <v>515</v>
      </c>
      <c r="Q10" s="119">
        <f t="array" ref="Q10">IFERROR(VLOOKUP($C10&amp;Q$2,{MASTER!$Y$2:$Y992,MASTER!$M$2:$M992},2,0),"")</f>
        <v>646</v>
      </c>
      <c r="R10" s="119" t="str">
        <f t="array" ref="R10">IFERROR(VLOOKUP($C10&amp;R$2,{MASTER!$Y$2:$Y992,MASTER!$M$2:$M992},2,0),"")</f>
        <v/>
      </c>
      <c r="S10" s="119">
        <f t="array" ref="S10">IFERROR(VLOOKUP($C10&amp;S$2,{MASTER!$Y$2:$Y992,MASTER!$M$2:$M992},2,0),"")</f>
        <v>572</v>
      </c>
      <c r="T10" s="119">
        <f t="array" ref="T10">IFERROR(VLOOKUP($C10&amp;T$2,{MASTER!$Y$2:$Y992,MASTER!$M$2:$M992},2,0),"")</f>
        <v>549</v>
      </c>
      <c r="U10" s="119" t="str">
        <f t="array" ref="U10">IFERROR(VLOOKUP($C10&amp;U$2,{MASTER!$Y$2:$Y992,MASTER!$M$2:$M992},2,0),"")</f>
        <v/>
      </c>
      <c r="V10" s="119">
        <f t="array" ref="V10">IFERROR(VLOOKUP($C10&amp;V$2,{MASTER!$Y$2:$Y992,MASTER!$M$2:$M992},2,0),"")</f>
        <v>398</v>
      </c>
      <c r="W10" s="119">
        <f t="array" ref="W10">IFERROR(VLOOKUP($C10&amp;W$2,{MASTER!$Y$2:$Y992,MASTER!$M$2:$M992},2,0),"")</f>
        <v>410</v>
      </c>
      <c r="X10" s="119" t="str">
        <f t="array" ref="X10">IFERROR(VLOOKUP($C10&amp;X$2,{MASTER!$Y$2:$Y992,MASTER!$M$2:$M992},2,0),"")</f>
        <v/>
      </c>
      <c r="Y10" s="119" t="str">
        <f t="array" ref="Y10">IFERROR(VLOOKUP($C10&amp;Y$2,{MASTER!$Y$2:$Y992,MASTER!$M$2:$M992},2,0),"")</f>
        <v/>
      </c>
      <c r="Z10" s="119">
        <f t="array" ref="Z10">IFERROR(VLOOKUP($C10&amp;Z$2,{MASTER!$Y$2:$Y992,MASTER!$M$2:$M992},2,0),"")</f>
        <v>931</v>
      </c>
      <c r="AA10" s="119">
        <f t="array" ref="AA10">IFERROR(VLOOKUP($C10&amp;AA$2,{MASTER!$Y$2:$Y992,MASTER!$M$2:$M992},2,0),"")</f>
        <v>964</v>
      </c>
      <c r="AB10" s="119" t="str">
        <f t="array" ref="AB10">IFERROR(VLOOKUP($C10&amp;AB$2,{MASTER!$Y$2:$Y992,MASTER!$M$2:$M992},2,0),"")</f>
        <v/>
      </c>
      <c r="AC10" s="119">
        <f t="array" ref="AC10">IFERROR(VLOOKUP($C10&amp;AC$2,{MASTER!$Y$2:$Y992,MASTER!$M$2:$M992},2,0),"")</f>
        <v>1667</v>
      </c>
      <c r="AD10" s="119" t="str">
        <f t="array" ref="AD10">IFERROR(VLOOKUP($C10&amp;AD$2,{MASTER!$Y$2:$Y992,MASTER!$M$2:$M992},2,0),"")</f>
        <v/>
      </c>
      <c r="AE10" s="119">
        <f t="array" ref="AE10">IFERROR(VLOOKUP($C10&amp;AE$2,{MASTER!$Y$2:$Y992,MASTER!$M$2:$M992},2,0),"")</f>
        <v>1070</v>
      </c>
      <c r="AF10" s="119">
        <f t="array" ref="AF10">IFERROR(VLOOKUP($C10&amp;AF$2,{MASTER!$Y$2:$Y992,MASTER!$M$2:$M992},2,0),"")</f>
        <v>594</v>
      </c>
      <c r="AG10" s="119" t="str">
        <f t="array" ref="AG10">IFERROR(VLOOKUP($C10&amp;AG$2,{MASTER!$Y$2:$Y992,MASTER!$M$2:$M992},2,0),"")</f>
        <v/>
      </c>
      <c r="AH10" s="119">
        <f t="array" ref="AH10">IFERROR(VLOOKUP($C10&amp;AH$2,{MASTER!$Y$2:$Y992,MASTER!$M$2:$M992},2,0),"")</f>
        <v>1049</v>
      </c>
      <c r="AI10" s="119" t="str">
        <f t="array" ref="AI10">IFERROR(VLOOKUP($C10&amp;AI$2,{MASTER!$Y$2:$Y992,MASTER!$M$2:$M992},2,0),"")</f>
        <v/>
      </c>
      <c r="AJ10" s="119" t="str">
        <f t="array" ref="AJ10">IFERROR(VLOOKUP($C10&amp;AJ$2,{MASTER!$Y$2:$Y992,MASTER!$M$2:$M992},2,0),"")</f>
        <v/>
      </c>
      <c r="AK10" s="119" t="str">
        <f t="array" ref="AK10">IFERROR(VLOOKUP($C10&amp;AK$2,{MASTER!$Y$2:$Y992,MASTER!$M$2:$M992},2,0),"")</f>
        <v/>
      </c>
      <c r="AL10" s="119" t="str">
        <f t="array" ref="AL10">IFERROR(VLOOKUP($C10&amp;AL$2,{MASTER!$Y$2:$Y992,MASTER!$M$2:$M992},2,0),"")</f>
        <v/>
      </c>
      <c r="AM10" s="119">
        <f t="array" ref="AM10">IFERROR(VLOOKUP($C10&amp;AM$2,{MASTER!$Y$2:$Y992,MASTER!$M$2:$M992},2,0),"")</f>
        <v>1832</v>
      </c>
      <c r="AN10" s="119" t="str">
        <f t="array" ref="AN10">IFERROR(VLOOKUP($C10&amp;AN$2,{MASTER!$Y$2:$Y992,MASTER!$M$2:$M992},2,0),"")</f>
        <v/>
      </c>
      <c r="AO10" s="119">
        <f t="array" ref="AO10">IFERROR(VLOOKUP($C10&amp;AO$2,{MASTER!$Y$2:$Y992,MASTER!$M$2:$M992},2,0),"")</f>
        <v>1792</v>
      </c>
      <c r="AP10" s="119" t="str">
        <f t="array" ref="AP10">IFERROR(VLOOKUP($C10&amp;AP$2,{MASTER!$Y$2:$Y992,MASTER!$M$2:$M992},2,0),"")</f>
        <v/>
      </c>
      <c r="AQ10" s="119">
        <f t="array" ref="AQ10">IFERROR(VLOOKUP($C10&amp;AQ$2,{MASTER!$Y$2:$Y992,MASTER!$M$2:$M992},2,0),"")</f>
        <v>1969</v>
      </c>
      <c r="AR10" s="119">
        <f t="array" ref="AR10">IFERROR(VLOOKUP($C10&amp;AR$2,{MASTER!$Y$2:$Y992,MASTER!$M$2:$M992},2,0),"")</f>
        <v>1713</v>
      </c>
      <c r="AS10" s="119">
        <f t="array" ref="AS10">IFERROR(VLOOKUP($C10&amp;AS$2,{MASTER!$Y$2:$Y992,MASTER!$M$2:$M992},2,0),"")</f>
        <v>2072</v>
      </c>
      <c r="AT10" s="119">
        <f t="array" ref="AT10">IFERROR(VLOOKUP($C10&amp;AT$2,{MASTER!$Y$2:$Y992,MASTER!$M$2:$M992},2,0),"")</f>
        <v>2024.83</v>
      </c>
      <c r="AU10" s="119">
        <f t="array" ref="AU10">IFERROR(VLOOKUP($C10&amp;AU$2,{MASTER!$Y$2:$Y992,MASTER!$M$2:$M992},2,0),"")</f>
        <v>1985</v>
      </c>
      <c r="AV10" s="119">
        <f t="array" ref="AV10">IFERROR(VLOOKUP($C10&amp;AV$2,{MASTER!$Y$2:$Y992,MASTER!$M$2:$M992},2,0),"")</f>
        <v>1852</v>
      </c>
      <c r="AW10" s="119">
        <f t="array" ref="AW10">IFERROR(VLOOKUP($C10&amp;AW$2,{MASTER!$Y$2:$Y992,MASTER!$M$2:$M992},2,0),"")</f>
        <v>1808.37</v>
      </c>
      <c r="AX10" s="119">
        <f t="array" ref="AX10">IFERROR(VLOOKUP($C10&amp;AX$2,{MASTER!$Y$2:$Y992,MASTER!$M$2:$M992},2,0),"")</f>
        <v>2043</v>
      </c>
      <c r="AY10" s="119" t="str">
        <f t="array" ref="AY10">IFERROR(VLOOKUP($C10&amp;AY$2,{MASTER!$Y$2:$Y992,MASTER!$M$2:$M992},2,0),"")</f>
        <v/>
      </c>
      <c r="AZ10" s="119">
        <f t="array" ref="AZ10">IFERROR(VLOOKUP($C10&amp;AZ$2,{MASTER!$Y$2:$Y992,MASTER!$M$2:$M992},2,0),"")</f>
        <v>398</v>
      </c>
      <c r="BA10" s="119">
        <f t="array" ref="BA10">IFERROR(VLOOKUP($C10&amp;BA$2,{MASTER!$Y$2:$Y992,MASTER!$M$2:$M992},2,0),"")</f>
        <v>597</v>
      </c>
      <c r="BB10" s="119">
        <f t="array" ref="BB10">IFERROR(VLOOKUP($C10&amp;BB$2,{MASTER!$Y$2:$Y992,MASTER!$M$2:$M992},2,0),"")</f>
        <v>740</v>
      </c>
    </row>
    <row r="11">
      <c r="A11" s="116">
        <f t="shared" si="1"/>
        <v>36</v>
      </c>
      <c r="B11" s="120"/>
      <c r="C11" s="162" t="s">
        <v>1011</v>
      </c>
      <c r="D11" s="119">
        <f t="array" ref="D11">IFERROR(VLOOKUP($C11&amp;D$2,{MASTER!$Y$2:$Y992,MASTER!$M$2:$M992},2,0),"")</f>
        <v>621</v>
      </c>
      <c r="E11" s="119" t="str">
        <f t="array" ref="E11">IFERROR(VLOOKUP($C11&amp;E$2,{MASTER!$Y$2:$Y992,MASTER!$M$2:$M992},2,0),"")</f>
        <v/>
      </c>
      <c r="F11" s="119">
        <f t="array" ref="F11">IFERROR(VLOOKUP($C11&amp;F$2,{MASTER!$Y$2:$Y992,MASTER!$M$2:$M992},2,0),"")</f>
        <v>1305</v>
      </c>
      <c r="G11" s="119">
        <f t="array" ref="G11">IFERROR(VLOOKUP($C11&amp;G$2,{MASTER!$Y$2:$Y992,MASTER!$M$2:$M992},2,0),"")</f>
        <v>798</v>
      </c>
      <c r="H11" s="119">
        <f t="array" ref="H11">IFERROR(VLOOKUP($C11&amp;H$2,{MASTER!$Y$2:$Y992,MASTER!$M$2:$M992},2,0),"")</f>
        <v>402</v>
      </c>
      <c r="I11" s="119">
        <f t="array" ref="I11">IFERROR(VLOOKUP($C11&amp;I$2,{MASTER!$Y$2:$Y992,MASTER!$M$2:$M992},2,0),"")</f>
        <v>470</v>
      </c>
      <c r="J11" s="119">
        <f t="array" ref="J11">IFERROR(VLOOKUP($C11&amp;J$2,{MASTER!$Y$2:$Y992,MASTER!$M$2:$M992},2,0),"")</f>
        <v>804</v>
      </c>
      <c r="K11" s="119">
        <f t="array" ref="K11">IFERROR(VLOOKUP($C11&amp;K$2,{MASTER!$Y$2:$Y992,MASTER!$M$2:$M992},2,0),"")</f>
        <v>445</v>
      </c>
      <c r="L11" s="119">
        <f t="array" ref="L11">IFERROR(VLOOKUP($C11&amp;L$2,{MASTER!$Y$2:$Y992,MASTER!$M$2:$M992},2,0),"")</f>
        <v>377</v>
      </c>
      <c r="M11" s="119">
        <f t="array" ref="M11">IFERROR(VLOOKUP($C11&amp;M$2,{MASTER!$Y$2:$Y992,MASTER!$M$2:$M992},2,0),"")</f>
        <v>511</v>
      </c>
      <c r="N11" s="119" t="str">
        <f t="array" ref="N11">IFERROR(VLOOKUP($C11&amp;N$2,{MASTER!$Y$2:$Y992,MASTER!$M$2:$M992},2,0),"")</f>
        <v/>
      </c>
      <c r="O11" s="119">
        <f t="array" ref="O11">IFERROR(VLOOKUP($C11&amp;O$2,{MASTER!$Y$2:$Y992,MASTER!$M$2:$M992},2,0),"")</f>
        <v>270</v>
      </c>
      <c r="P11" s="119">
        <f t="array" ref="P11">IFERROR(VLOOKUP($C11&amp;P$2,{MASTER!$Y$2:$Y992,MASTER!$M$2:$M992},2,0),"")</f>
        <v>576</v>
      </c>
      <c r="Q11" s="119">
        <f t="array" ref="Q11">IFERROR(VLOOKUP($C11&amp;Q$2,{MASTER!$Y$2:$Y992,MASTER!$M$2:$M992},2,0),"")</f>
        <v>815</v>
      </c>
      <c r="R11" s="119">
        <f t="array" ref="R11">IFERROR(VLOOKUP($C11&amp;R$2,{MASTER!$Y$2:$Y992,MASTER!$M$2:$M992},2,0),"")</f>
        <v>770</v>
      </c>
      <c r="S11" s="119">
        <f t="array" ref="S11">IFERROR(VLOOKUP($C11&amp;S$2,{MASTER!$Y$2:$Y992,MASTER!$M$2:$M992},2,0),"")</f>
        <v>602</v>
      </c>
      <c r="T11" s="119">
        <f t="array" ref="T11">IFERROR(VLOOKUP($C11&amp;T$2,{MASTER!$Y$2:$Y992,MASTER!$M$2:$M992},2,0),"")</f>
        <v>573</v>
      </c>
      <c r="U11" s="119" t="str">
        <f t="array" ref="U11">IFERROR(VLOOKUP($C11&amp;U$2,{MASTER!$Y$2:$Y992,MASTER!$M$2:$M992},2,0),"")</f>
        <v/>
      </c>
      <c r="V11" s="119">
        <f t="array" ref="V11">IFERROR(VLOOKUP($C11&amp;V$2,{MASTER!$Y$2:$Y992,MASTER!$M$2:$M992},2,0),"")</f>
        <v>405</v>
      </c>
      <c r="W11" s="119">
        <f t="array" ref="W11">IFERROR(VLOOKUP($C11&amp;W$2,{MASTER!$Y$2:$Y992,MASTER!$M$2:$M992},2,0),"")</f>
        <v>419</v>
      </c>
      <c r="X11" s="119" t="str">
        <f t="array" ref="X11">IFERROR(VLOOKUP($C11&amp;X$2,{MASTER!$Y$2:$Y992,MASTER!$M$2:$M992},2,0),"")</f>
        <v/>
      </c>
      <c r="Y11" s="119" t="str">
        <f t="array" ref="Y11">IFERROR(VLOOKUP($C11&amp;Y$2,{MASTER!$Y$2:$Y992,MASTER!$M$2:$M992},2,0),"")</f>
        <v/>
      </c>
      <c r="Z11" s="119">
        <f t="array" ref="Z11">IFERROR(VLOOKUP($C11&amp;Z$2,{MASTER!$Y$2:$Y992,MASTER!$M$2:$M992},2,0),"")</f>
        <v>992</v>
      </c>
      <c r="AA11" s="119">
        <f t="array" ref="AA11">IFERROR(VLOOKUP($C11&amp;AA$2,{MASTER!$Y$2:$Y992,MASTER!$M$2:$M992},2,0),"")</f>
        <v>1154</v>
      </c>
      <c r="AB11" s="119">
        <f t="array" ref="AB11">IFERROR(VLOOKUP($C11&amp;AB$2,{MASTER!$Y$2:$Y992,MASTER!$M$2:$M992},2,0),"")</f>
        <v>2110</v>
      </c>
      <c r="AC11" s="119">
        <f t="array" ref="AC11">IFERROR(VLOOKUP($C11&amp;AC$2,{MASTER!$Y$2:$Y992,MASTER!$M$2:$M992},2,0),"")</f>
        <v>1739</v>
      </c>
      <c r="AD11" s="119" t="str">
        <f t="array" ref="AD11">IFERROR(VLOOKUP($C11&amp;AD$2,{MASTER!$Y$2:$Y992,MASTER!$M$2:$M992},2,0),"")</f>
        <v/>
      </c>
      <c r="AE11" s="119">
        <f t="array" ref="AE11">IFERROR(VLOOKUP($C11&amp;AE$2,{MASTER!$Y$2:$Y992,MASTER!$M$2:$M992},2,0),"")</f>
        <v>1070</v>
      </c>
      <c r="AF11" s="119">
        <f t="array" ref="AF11">IFERROR(VLOOKUP($C11&amp;AF$2,{MASTER!$Y$2:$Y992,MASTER!$M$2:$M992},2,0),"")</f>
        <v>666</v>
      </c>
      <c r="AG11" s="119" t="str">
        <f t="array" ref="AG11">IFERROR(VLOOKUP($C11&amp;AG$2,{MASTER!$Y$2:$Y992,MASTER!$M$2:$M992},2,0),"")</f>
        <v/>
      </c>
      <c r="AH11" s="119">
        <f t="array" ref="AH11">IFERROR(VLOOKUP($C11&amp;AH$2,{MASTER!$Y$2:$Y992,MASTER!$M$2:$M992},2,0),"")</f>
        <v>1110</v>
      </c>
      <c r="AI11" s="119" t="str">
        <f t="array" ref="AI11">IFERROR(VLOOKUP($C11&amp;AI$2,{MASTER!$Y$2:$Y992,MASTER!$M$2:$M992},2,0),"")</f>
        <v/>
      </c>
      <c r="AJ11" s="119" t="str">
        <f t="array" ref="AJ11">IFERROR(VLOOKUP($C11&amp;AJ$2,{MASTER!$Y$2:$Y992,MASTER!$M$2:$M992},2,0),"")</f>
        <v/>
      </c>
      <c r="AK11" s="119" t="str">
        <f t="array" ref="AK11">IFERROR(VLOOKUP($C11&amp;AK$2,{MASTER!$Y$2:$Y992,MASTER!$M$2:$M992},2,0),"")</f>
        <v/>
      </c>
      <c r="AL11" s="119">
        <f t="array" ref="AL11">IFERROR(VLOOKUP($C11&amp;AL$2,{MASTER!$Y$2:$Y992,MASTER!$M$2:$M992},2,0),"")</f>
        <v>1312</v>
      </c>
      <c r="AM11" s="119">
        <f t="array" ref="AM11">IFERROR(VLOOKUP($C11&amp;AM$2,{MASTER!$Y$2:$Y992,MASTER!$M$2:$M992},2,0),"")</f>
        <v>1876</v>
      </c>
      <c r="AN11" s="119" t="str">
        <f t="array" ref="AN11">IFERROR(VLOOKUP($C11&amp;AN$2,{MASTER!$Y$2:$Y992,MASTER!$M$2:$M992},2,0),"")</f>
        <v/>
      </c>
      <c r="AO11" s="119">
        <f t="array" ref="AO11">IFERROR(VLOOKUP($C11&amp;AO$2,{MASTER!$Y$2:$Y992,MASTER!$M$2:$M992},2,0),"")</f>
        <v>1834</v>
      </c>
      <c r="AP11" s="119" t="str">
        <f t="array" ref="AP11">IFERROR(VLOOKUP($C11&amp;AP$2,{MASTER!$Y$2:$Y992,MASTER!$M$2:$M992},2,0),"")</f>
        <v/>
      </c>
      <c r="AQ11" s="119">
        <f t="array" ref="AQ11">IFERROR(VLOOKUP($C11&amp;AQ$2,{MASTER!$Y$2:$Y992,MASTER!$M$2:$M992},2,0),"")</f>
        <v>2036</v>
      </c>
      <c r="AR11" s="119">
        <f t="array" ref="AR11">IFERROR(VLOOKUP($C11&amp;AR$2,{MASTER!$Y$2:$Y992,MASTER!$M$2:$M992},2,0),"")</f>
        <v>1841</v>
      </c>
      <c r="AS11" s="119">
        <f t="array" ref="AS11">IFERROR(VLOOKUP($C11&amp;AS$2,{MASTER!$Y$2:$Y992,MASTER!$M$2:$M992},2,0),"")</f>
        <v>2248</v>
      </c>
      <c r="AT11" s="119" t="str">
        <f t="array" ref="AT11">IFERROR(VLOOKUP($C11&amp;AT$2,{MASTER!$Y$2:$Y992,MASTER!$M$2:$M992},2,0),"")</f>
        <v/>
      </c>
      <c r="AU11" s="119">
        <f t="array" ref="AU11">IFERROR(VLOOKUP($C11&amp;AU$2,{MASTER!$Y$2:$Y992,MASTER!$M$2:$M992},2,0),"")</f>
        <v>2112</v>
      </c>
      <c r="AV11" s="119">
        <f t="array" ref="AV11">IFERROR(VLOOKUP($C11&amp;AV$2,{MASTER!$Y$2:$Y992,MASTER!$M$2:$M992},2,0),"")</f>
        <v>1979</v>
      </c>
      <c r="AW11" s="119" t="str">
        <f t="array" ref="AW11">IFERROR(VLOOKUP($C11&amp;AW$2,{MASTER!$Y$2:$Y992,MASTER!$M$2:$M992},2,0),"")</f>
        <v/>
      </c>
      <c r="AX11" s="119">
        <f t="array" ref="AX11">IFERROR(VLOOKUP($C11&amp;AX$2,{MASTER!$Y$2:$Y992,MASTER!$M$2:$M992},2,0),"")</f>
        <v>2160</v>
      </c>
      <c r="AY11" s="119" t="str">
        <f t="array" ref="AY11">IFERROR(VLOOKUP($C11&amp;AY$2,{MASTER!$Y$2:$Y992,MASTER!$M$2:$M992},2,0),"")</f>
        <v/>
      </c>
      <c r="AZ11" s="119">
        <f t="array" ref="AZ11">IFERROR(VLOOKUP($C11&amp;AZ$2,{MASTER!$Y$2:$Y992,MASTER!$M$2:$M992},2,0),"")</f>
        <v>399</v>
      </c>
      <c r="BA11" s="119">
        <f t="array" ref="BA11">IFERROR(VLOOKUP($C11&amp;BA$2,{MASTER!$Y$2:$Y992,MASTER!$M$2:$M992},2,0),"")</f>
        <v>597</v>
      </c>
      <c r="BB11" s="119">
        <f t="array" ref="BB11">IFERROR(VLOOKUP($C11&amp;BB$2,{MASTER!$Y$2:$Y992,MASTER!$M$2:$M992},2,0),"")</f>
        <v>746</v>
      </c>
    </row>
    <row r="12">
      <c r="A12" s="116">
        <f t="shared" si="1"/>
        <v>39</v>
      </c>
      <c r="B12" s="120"/>
      <c r="C12" s="162" t="s">
        <v>1049</v>
      </c>
      <c r="D12" s="119">
        <f t="array" ref="D12">IFERROR(VLOOKUP($C12&amp;D$2,{MASTER!$Y$2:$Y992,MASTER!$M$2:$M992},2,0),"")</f>
        <v>621</v>
      </c>
      <c r="E12" s="119">
        <f t="array" ref="E12">IFERROR(VLOOKUP($C12&amp;E$2,{MASTER!$Y$2:$Y992,MASTER!$M$2:$M992},2,0),"")</f>
        <v>1465</v>
      </c>
      <c r="F12" s="119">
        <f t="array" ref="F12">IFERROR(VLOOKUP($C12&amp;F$2,{MASTER!$Y$2:$Y992,MASTER!$M$2:$M992},2,0),"")</f>
        <v>1309</v>
      </c>
      <c r="G12" s="119">
        <f t="array" ref="G12">IFERROR(VLOOKUP($C12&amp;G$2,{MASTER!$Y$2:$Y992,MASTER!$M$2:$M992},2,0),"")</f>
        <v>797</v>
      </c>
      <c r="H12" s="119">
        <f t="array" ref="H12">IFERROR(VLOOKUP($C12&amp;H$2,{MASTER!$Y$2:$Y992,MASTER!$M$2:$M992},2,0),"")</f>
        <v>403</v>
      </c>
      <c r="I12" s="119">
        <f t="array" ref="I12">IFERROR(VLOOKUP($C12&amp;I$2,{MASTER!$Y$2:$Y992,MASTER!$M$2:$M992},2,0),"")</f>
        <v>469</v>
      </c>
      <c r="J12" s="119">
        <f t="array" ref="J12">IFERROR(VLOOKUP($C12&amp;J$2,{MASTER!$Y$2:$Y992,MASTER!$M$2:$M992},2,0),"")</f>
        <v>804</v>
      </c>
      <c r="K12" s="119">
        <f t="array" ref="K12">IFERROR(VLOOKUP($C12&amp;K$2,{MASTER!$Y$2:$Y992,MASTER!$M$2:$M992},2,0),"")</f>
        <v>445</v>
      </c>
      <c r="L12" s="119">
        <f t="array" ref="L12">IFERROR(VLOOKUP($C12&amp;L$2,{MASTER!$Y$2:$Y992,MASTER!$M$2:$M992},2,0),"")</f>
        <v>376</v>
      </c>
      <c r="M12" s="119">
        <f t="array" ref="M12">IFERROR(VLOOKUP($C12&amp;M$2,{MASTER!$Y$2:$Y992,MASTER!$M$2:$M992},2,0),"")</f>
        <v>510</v>
      </c>
      <c r="N12" s="119" t="str">
        <f t="array" ref="N12">IFERROR(VLOOKUP($C12&amp;N$2,{MASTER!$Y$2:$Y992,MASTER!$M$2:$M992},2,0),"")</f>
        <v/>
      </c>
      <c r="O12" s="119">
        <f t="array" ref="O12">IFERROR(VLOOKUP($C12&amp;O$2,{MASTER!$Y$2:$Y992,MASTER!$M$2:$M992},2,0),"")</f>
        <v>270</v>
      </c>
      <c r="P12" s="119">
        <f t="array" ref="P12">IFERROR(VLOOKUP($C12&amp;P$2,{MASTER!$Y$2:$Y992,MASTER!$M$2:$M992},2,0),"")</f>
        <v>575</v>
      </c>
      <c r="Q12" s="119">
        <f t="array" ref="Q12">IFERROR(VLOOKUP($C12&amp;Q$2,{MASTER!$Y$2:$Y992,MASTER!$M$2:$M992},2,0),"")</f>
        <v>814</v>
      </c>
      <c r="R12" s="119">
        <f t="array" ref="R12">IFERROR(VLOOKUP($C12&amp;R$2,{MASTER!$Y$2:$Y992,MASTER!$M$2:$M992},2,0),"")</f>
        <v>733</v>
      </c>
      <c r="S12" s="119">
        <f t="array" ref="S12">IFERROR(VLOOKUP($C12&amp;S$2,{MASTER!$Y$2:$Y992,MASTER!$M$2:$M992},2,0),"")</f>
        <v>601</v>
      </c>
      <c r="T12" s="119">
        <f t="array" ref="T12">IFERROR(VLOOKUP($C12&amp;T$2,{MASTER!$Y$2:$Y992,MASTER!$M$2:$M992},2,0),"")</f>
        <v>573</v>
      </c>
      <c r="U12" s="119" t="str">
        <f t="array" ref="U12">IFERROR(VLOOKUP($C12&amp;U$2,{MASTER!$Y$2:$Y992,MASTER!$M$2:$M992},2,0),"")</f>
        <v/>
      </c>
      <c r="V12" s="119">
        <f t="array" ref="V12">IFERROR(VLOOKUP($C12&amp;V$2,{MASTER!$Y$2:$Y992,MASTER!$M$2:$M992},2,0),"")</f>
        <v>404</v>
      </c>
      <c r="W12" s="119">
        <f t="array" ref="W12">IFERROR(VLOOKUP($C12&amp;W$2,{MASTER!$Y$2:$Y992,MASTER!$M$2:$M992},2,0),"")</f>
        <v>416</v>
      </c>
      <c r="X12" s="119" t="str">
        <f t="array" ref="X12">IFERROR(VLOOKUP($C12&amp;X$2,{MASTER!$Y$2:$Y992,MASTER!$M$2:$M992},2,0),"")</f>
        <v/>
      </c>
      <c r="Y12" s="119" t="str">
        <f t="array" ref="Y12">IFERROR(VLOOKUP($C12&amp;Y$2,{MASTER!$Y$2:$Y992,MASTER!$M$2:$M992},2,0),"")</f>
        <v/>
      </c>
      <c r="Z12" s="119">
        <f t="array" ref="Z12">IFERROR(VLOOKUP($C12&amp;Z$2,{MASTER!$Y$2:$Y992,MASTER!$M$2:$M992},2,0),"")</f>
        <v>991</v>
      </c>
      <c r="AA12" s="119">
        <f t="array" ref="AA12">IFERROR(VLOOKUP($C12&amp;AA$2,{MASTER!$Y$2:$Y992,MASTER!$M$2:$M992},2,0),"")</f>
        <v>1083</v>
      </c>
      <c r="AB12" s="119">
        <f t="array" ref="AB12">IFERROR(VLOOKUP($C12&amp;AB$2,{MASTER!$Y$2:$Y992,MASTER!$M$2:$M992},2,0),"")</f>
        <v>2039</v>
      </c>
      <c r="AC12" s="119">
        <f t="array" ref="AC12">IFERROR(VLOOKUP($C12&amp;AC$2,{MASTER!$Y$2:$Y992,MASTER!$M$2:$M992},2,0),"")</f>
        <v>1668</v>
      </c>
      <c r="AD12" s="119" t="str">
        <f t="array" ref="AD12">IFERROR(VLOOKUP($C12&amp;AD$2,{MASTER!$Y$2:$Y992,MASTER!$M$2:$M992},2,0),"")</f>
        <v/>
      </c>
      <c r="AE12" s="119">
        <f t="array" ref="AE12">IFERROR(VLOOKUP($C12&amp;AE$2,{MASTER!$Y$2:$Y992,MASTER!$M$2:$M992},2,0),"")</f>
        <v>1070</v>
      </c>
      <c r="AF12" s="119">
        <f t="array" ref="AF12">IFERROR(VLOOKUP($C12&amp;AF$2,{MASTER!$Y$2:$Y992,MASTER!$M$2:$M992},2,0),"")</f>
        <v>596</v>
      </c>
      <c r="AG12" s="119" t="str">
        <f t="array" ref="AG12">IFERROR(VLOOKUP($C12&amp;AG$2,{MASTER!$Y$2:$Y992,MASTER!$M$2:$M992},2,0),"")</f>
        <v/>
      </c>
      <c r="AH12" s="119">
        <f t="array" ref="AH12">IFERROR(VLOOKUP($C12&amp;AH$2,{MASTER!$Y$2:$Y992,MASTER!$M$2:$M992},2,0),"")</f>
        <v>1110</v>
      </c>
      <c r="AI12" s="119" t="str">
        <f t="array" ref="AI12">IFERROR(VLOOKUP($C12&amp;AI$2,{MASTER!$Y$2:$Y992,MASTER!$M$2:$M992},2,0),"")</f>
        <v/>
      </c>
      <c r="AJ12" s="119" t="str">
        <f t="array" ref="AJ12">IFERROR(VLOOKUP($C12&amp;AJ$2,{MASTER!$Y$2:$Y992,MASTER!$M$2:$M992},2,0),"")</f>
        <v/>
      </c>
      <c r="AK12" s="119" t="str">
        <f t="array" ref="AK12">IFERROR(VLOOKUP($C12&amp;AK$2,{MASTER!$Y$2:$Y992,MASTER!$M$2:$M992},2,0),"")</f>
        <v/>
      </c>
      <c r="AL12" s="119">
        <f t="array" ref="AL12">IFERROR(VLOOKUP($C12&amp;AL$2,{MASTER!$Y$2:$Y992,MASTER!$M$2:$M992},2,0),"")</f>
        <v>1294</v>
      </c>
      <c r="AM12" s="119">
        <f t="array" ref="AM12">IFERROR(VLOOKUP($C12&amp;AM$2,{MASTER!$Y$2:$Y992,MASTER!$M$2:$M992},2,0),"")</f>
        <v>1873</v>
      </c>
      <c r="AN12" s="119" t="str">
        <f t="array" ref="AN12">IFERROR(VLOOKUP($C12&amp;AN$2,{MASTER!$Y$2:$Y992,MASTER!$M$2:$M992},2,0),"")</f>
        <v/>
      </c>
      <c r="AO12" s="119">
        <f t="array" ref="AO12">IFERROR(VLOOKUP($C12&amp;AO$2,{MASTER!$Y$2:$Y992,MASTER!$M$2:$M992},2,0),"")</f>
        <v>1834</v>
      </c>
      <c r="AP12" s="119" t="str">
        <f t="array" ref="AP12">IFERROR(VLOOKUP($C12&amp;AP$2,{MASTER!$Y$2:$Y992,MASTER!$M$2:$M992},2,0),"")</f>
        <v/>
      </c>
      <c r="AQ12" s="119">
        <f t="array" ref="AQ12">IFERROR(VLOOKUP($C12&amp;AQ$2,{MASTER!$Y$2:$Y992,MASTER!$M$2:$M992},2,0),"")</f>
        <v>2035</v>
      </c>
      <c r="AR12" s="119">
        <f t="array" ref="AR12">IFERROR(VLOOKUP($C12&amp;AR$2,{MASTER!$Y$2:$Y992,MASTER!$M$2:$M992},2,0),"")</f>
        <v>1700</v>
      </c>
      <c r="AS12" s="119">
        <f t="array" ref="AS12">IFERROR(VLOOKUP($C12&amp;AS$2,{MASTER!$Y$2:$Y992,MASTER!$M$2:$M992},2,0),"")</f>
        <v>2248</v>
      </c>
      <c r="AT12" s="119">
        <f t="array" ref="AT12">IFERROR(VLOOKUP($C12&amp;AT$2,{MASTER!$Y$2:$Y992,MASTER!$M$2:$M992},2,0),"")</f>
        <v>2201.69</v>
      </c>
      <c r="AU12" s="119">
        <f t="array" ref="AU12">IFERROR(VLOOKUP($C12&amp;AU$2,{MASTER!$Y$2:$Y992,MASTER!$M$2:$M992},2,0),"")</f>
        <v>2162</v>
      </c>
      <c r="AV12" s="119">
        <f t="array" ref="AV12">IFERROR(VLOOKUP($C12&amp;AV$2,{MASTER!$Y$2:$Y992,MASTER!$M$2:$M992},2,0),"")</f>
        <v>2029</v>
      </c>
      <c r="AW12" s="119">
        <f t="array" ref="AW12">IFERROR(VLOOKUP($C12&amp;AW$2,{MASTER!$Y$2:$Y992,MASTER!$M$2:$M992},2,0),"")</f>
        <v>1985.23</v>
      </c>
      <c r="AX12" s="119">
        <f t="array" ref="AX12">IFERROR(VLOOKUP($C12&amp;AX$2,{MASTER!$Y$2:$Y992,MASTER!$M$2:$M992},2,0),"")</f>
        <v>2220</v>
      </c>
      <c r="AY12" s="119" t="str">
        <f t="array" ref="AY12">IFERROR(VLOOKUP($C12&amp;AY$2,{MASTER!$Y$2:$Y992,MASTER!$M$2:$M992},2,0),"")</f>
        <v/>
      </c>
      <c r="AZ12" s="119">
        <f t="array" ref="AZ12">IFERROR(VLOOKUP($C12&amp;AZ$2,{MASTER!$Y$2:$Y992,MASTER!$M$2:$M992},2,0),"")</f>
        <v>399</v>
      </c>
      <c r="BA12" s="119">
        <f t="array" ref="BA12">IFERROR(VLOOKUP($C12&amp;BA$2,{MASTER!$Y$2:$Y992,MASTER!$M$2:$M992},2,0),"")</f>
        <v>597</v>
      </c>
      <c r="BB12" s="119">
        <f t="array" ref="BB12">IFERROR(VLOOKUP($C12&amp;BB$2,{MASTER!$Y$2:$Y992,MASTER!$M$2:$M992},2,0),"")</f>
        <v>746</v>
      </c>
    </row>
    <row r="13">
      <c r="A13" s="116">
        <f t="shared" si="1"/>
        <v>33</v>
      </c>
      <c r="B13" s="120"/>
      <c r="C13" s="162" t="s">
        <v>929</v>
      </c>
      <c r="D13" s="119">
        <f t="array" ref="D13">IFERROR(VLOOKUP($C13&amp;D$2,{MASTER!$Y$2:$Y992,MASTER!$M$2:$M992},2,0),"")</f>
        <v>536</v>
      </c>
      <c r="E13" s="119">
        <f t="array" ref="E13">IFERROR(VLOOKUP($C13&amp;E$2,{MASTER!$Y$2:$Y992,MASTER!$M$2:$M992},2,0),"")</f>
        <v>1392</v>
      </c>
      <c r="F13" s="119" t="str">
        <f t="array" ref="F13">IFERROR(VLOOKUP($C13&amp;F$2,{MASTER!$Y$2:$Y992,MASTER!$M$2:$M992},2,0),"")</f>
        <v/>
      </c>
      <c r="G13" s="119" t="str">
        <f t="array" ref="G13">IFERROR(VLOOKUP($C13&amp;G$2,{MASTER!$Y$2:$Y992,MASTER!$M$2:$M992},2,0),"")</f>
        <v/>
      </c>
      <c r="H13" s="119">
        <f t="array" ref="H13">IFERROR(VLOOKUP($C13&amp;H$2,{MASTER!$Y$2:$Y992,MASTER!$M$2:$M992},2,0),"")</f>
        <v>402</v>
      </c>
      <c r="I13" s="119">
        <f t="array" ref="I13">IFERROR(VLOOKUP($C13&amp;I$2,{MASTER!$Y$2:$Y992,MASTER!$M$2:$M992},2,0),"")</f>
        <v>385</v>
      </c>
      <c r="J13" s="119">
        <f t="array" ref="J13">IFERROR(VLOOKUP($C13&amp;J$2,{MASTER!$Y$2:$Y992,MASTER!$M$2:$M992},2,0),"")</f>
        <v>804</v>
      </c>
      <c r="K13" s="119">
        <f t="array" ref="K13">IFERROR(VLOOKUP($C13&amp;K$2,{MASTER!$Y$2:$Y992,MASTER!$M$2:$M992},2,0),"")</f>
        <v>445</v>
      </c>
      <c r="L13" s="119">
        <f t="array" ref="L13">IFERROR(VLOOKUP($C13&amp;L$2,{MASTER!$Y$2:$Y992,MASTER!$M$2:$M992},2,0),"")</f>
        <v>377</v>
      </c>
      <c r="M13" s="119">
        <f t="array" ref="M13">IFERROR(VLOOKUP($C13&amp;M$2,{MASTER!$Y$2:$Y992,MASTER!$M$2:$M992},2,0),"")</f>
        <v>410</v>
      </c>
      <c r="N13" s="119">
        <f t="array" ref="N13">IFERROR(VLOOKUP($C13&amp;N$2,{MASTER!$Y$2:$Y992,MASTER!$M$2:$M992},2,0),"")</f>
        <v>507</v>
      </c>
      <c r="O13" s="119">
        <f t="array" ref="O13">IFERROR(VLOOKUP($C13&amp;O$2,{MASTER!$Y$2:$Y992,MASTER!$M$2:$M992},2,0),"")</f>
        <v>246</v>
      </c>
      <c r="P13" s="119">
        <f t="array" ref="P13">IFERROR(VLOOKUP($C13&amp;P$2,{MASTER!$Y$2:$Y992,MASTER!$M$2:$M992},2,0),"")</f>
        <v>527</v>
      </c>
      <c r="Q13" s="119">
        <f t="array" ref="Q13">IFERROR(VLOOKUP($C13&amp;Q$2,{MASTER!$Y$2:$Y992,MASTER!$M$2:$M992},2,0),"")</f>
        <v>661</v>
      </c>
      <c r="R13" s="119" t="str">
        <f t="array" ref="R13">IFERROR(VLOOKUP($C13&amp;R$2,{MASTER!$Y$2:$Y992,MASTER!$M$2:$M992},2,0),"")</f>
        <v/>
      </c>
      <c r="S13" s="119">
        <f t="array" ref="S13">IFERROR(VLOOKUP($C13&amp;S$2,{MASTER!$Y$2:$Y992,MASTER!$M$2:$M992},2,0),"")</f>
        <v>578</v>
      </c>
      <c r="T13" s="119">
        <f t="array" ref="T13">IFERROR(VLOOKUP($C13&amp;T$2,{MASTER!$Y$2:$Y992,MASTER!$M$2:$M992},2,0),"")</f>
        <v>549</v>
      </c>
      <c r="U13" s="119" t="str">
        <f t="array" ref="U13">IFERROR(VLOOKUP($C13&amp;U$2,{MASTER!$Y$2:$Y992,MASTER!$M$2:$M992},2,0),"")</f>
        <v/>
      </c>
      <c r="V13" s="119">
        <f t="array" ref="V13">IFERROR(VLOOKUP($C13&amp;V$2,{MASTER!$Y$2:$Y992,MASTER!$M$2:$M992},2,0),"")</f>
        <v>405</v>
      </c>
      <c r="W13" s="119">
        <f t="array" ref="W13">IFERROR(VLOOKUP($C13&amp;W$2,{MASTER!$Y$2:$Y992,MASTER!$M$2:$M992},2,0),"")</f>
        <v>419</v>
      </c>
      <c r="X13" s="119" t="str">
        <f t="array" ref="X13">IFERROR(VLOOKUP($C13&amp;X$2,{MASTER!$Y$2:$Y992,MASTER!$M$2:$M992},2,0),"")</f>
        <v/>
      </c>
      <c r="Y13" s="119" t="str">
        <f t="array" ref="Y13">IFERROR(VLOOKUP($C13&amp;Y$2,{MASTER!$Y$2:$Y992,MASTER!$M$2:$M992},2,0),"")</f>
        <v/>
      </c>
      <c r="Z13" s="119">
        <f t="array" ref="Z13">IFERROR(VLOOKUP($C13&amp;Z$2,{MASTER!$Y$2:$Y992,MASTER!$M$2:$M992},2,0),"")</f>
        <v>944</v>
      </c>
      <c r="AA13" s="119">
        <f t="array" ref="AA13">IFERROR(VLOOKUP($C13&amp;AA$2,{MASTER!$Y$2:$Y992,MASTER!$M$2:$M992},2,0),"")</f>
        <v>1005</v>
      </c>
      <c r="AB13" s="119">
        <f t="array" ref="AB13">IFERROR(VLOOKUP($C13&amp;AB$2,{MASTER!$Y$2:$Y992,MASTER!$M$2:$M992},2,0),"")</f>
        <v>2049</v>
      </c>
      <c r="AC13" s="119">
        <f t="array" ref="AC13">IFERROR(VLOOKUP($C13&amp;AC$2,{MASTER!$Y$2:$Y992,MASTER!$M$2:$M992},2,0),"")</f>
        <v>1739</v>
      </c>
      <c r="AD13" s="119" t="str">
        <f t="array" ref="AD13">IFERROR(VLOOKUP($C13&amp;AD$2,{MASTER!$Y$2:$Y992,MASTER!$M$2:$M992},2,0),"")</f>
        <v/>
      </c>
      <c r="AE13" s="119">
        <f t="array" ref="AE13">IFERROR(VLOOKUP($C13&amp;AE$2,{MASTER!$Y$2:$Y992,MASTER!$M$2:$M992},2,0),"")</f>
        <v>1070</v>
      </c>
      <c r="AF13" s="119" t="str">
        <f t="array" ref="AF13">IFERROR(VLOOKUP($C13&amp;AF$2,{MASTER!$Y$2:$Y992,MASTER!$M$2:$M992},2,0),"")</f>
        <v/>
      </c>
      <c r="AG13" s="119" t="str">
        <f t="array" ref="AG13">IFERROR(VLOOKUP($C13&amp;AG$2,{MASTER!$Y$2:$Y992,MASTER!$M$2:$M992},2,0),"")</f>
        <v/>
      </c>
      <c r="AH13" s="119">
        <f t="array" ref="AH13">IFERROR(VLOOKUP($C13&amp;AH$2,{MASTER!$Y$2:$Y992,MASTER!$M$2:$M992},2,0),"")</f>
        <v>1062</v>
      </c>
      <c r="AI13" s="119" t="str">
        <f t="array" ref="AI13">IFERROR(VLOOKUP($C13&amp;AI$2,{MASTER!$Y$2:$Y992,MASTER!$M$2:$M992},2,0),"")</f>
        <v/>
      </c>
      <c r="AJ13" s="119" t="str">
        <f t="array" ref="AJ13">IFERROR(VLOOKUP($C13&amp;AJ$2,{MASTER!$Y$2:$Y992,MASTER!$M$2:$M992},2,0),"")</f>
        <v/>
      </c>
      <c r="AK13" s="119" t="str">
        <f t="array" ref="AK13">IFERROR(VLOOKUP($C13&amp;AK$2,{MASTER!$Y$2:$Y992,MASTER!$M$2:$M992},2,0),"")</f>
        <v/>
      </c>
      <c r="AL13" s="119" t="str">
        <f t="array" ref="AL13">IFERROR(VLOOKUP($C13&amp;AL$2,{MASTER!$Y$2:$Y992,MASTER!$M$2:$M992},2,0),"")</f>
        <v/>
      </c>
      <c r="AM13" s="119">
        <f t="array" ref="AM13">IFERROR(VLOOKUP($C13&amp;AM$2,{MASTER!$Y$2:$Y992,MASTER!$M$2:$M992},2,0),"")</f>
        <v>1772</v>
      </c>
      <c r="AN13" s="119" t="str">
        <f t="array" ref="AN13">IFERROR(VLOOKUP($C13&amp;AN$2,{MASTER!$Y$2:$Y992,MASTER!$M$2:$M992},2,0),"")</f>
        <v/>
      </c>
      <c r="AO13" s="119">
        <f t="array" ref="AO13">IFERROR(VLOOKUP($C13&amp;AO$2,{MASTER!$Y$2:$Y992,MASTER!$M$2:$M992},2,0),"")</f>
        <v>1731</v>
      </c>
      <c r="AP13" s="119" t="str">
        <f t="array" ref="AP13">IFERROR(VLOOKUP($C13&amp;AP$2,{MASTER!$Y$2:$Y992,MASTER!$M$2:$M992},2,0),"")</f>
        <v/>
      </c>
      <c r="AQ13" s="119">
        <f t="array" ref="AQ13">IFERROR(VLOOKUP($C13&amp;AQ$2,{MASTER!$Y$2:$Y992,MASTER!$M$2:$M992},2,0),"")</f>
        <v>1955</v>
      </c>
      <c r="AR13" s="119">
        <f t="array" ref="AR13">IFERROR(VLOOKUP($C13&amp;AR$2,{MASTER!$Y$2:$Y992,MASTER!$M$2:$M992},2,0),"")</f>
        <v>1841</v>
      </c>
      <c r="AS13" s="119">
        <f t="array" ref="AS13">IFERROR(VLOOKUP($C13&amp;AS$2,{MASTER!$Y$2:$Y992,MASTER!$M$2:$M992},2,0),"")</f>
        <v>2199</v>
      </c>
      <c r="AT13" s="119" t="str">
        <f t="array" ref="AT13">IFERROR(VLOOKUP($C13&amp;AT$2,{MASTER!$Y$2:$Y992,MASTER!$M$2:$M992},2,0),"")</f>
        <v/>
      </c>
      <c r="AU13" s="119">
        <f t="array" ref="AU13">IFERROR(VLOOKUP($C13&amp;AU$2,{MASTER!$Y$2:$Y992,MASTER!$M$2:$M992},2,0),"")</f>
        <v>2112</v>
      </c>
      <c r="AV13" s="119">
        <f t="array" ref="AV13">IFERROR(VLOOKUP($C13&amp;AV$2,{MASTER!$Y$2:$Y992,MASTER!$M$2:$M992},2,0),"")</f>
        <v>1979</v>
      </c>
      <c r="AW13" s="119" t="str">
        <f t="array" ref="AW13">IFERROR(VLOOKUP($C13&amp;AW$2,{MASTER!$Y$2:$Y992,MASTER!$M$2:$M992},2,0),"")</f>
        <v/>
      </c>
      <c r="AX13" s="119">
        <f t="array" ref="AX13">IFERROR(VLOOKUP($C13&amp;AX$2,{MASTER!$Y$2:$Y992,MASTER!$M$2:$M992},2,0),"")</f>
        <v>2160</v>
      </c>
      <c r="AY13" s="119" t="str">
        <f t="array" ref="AY13">IFERROR(VLOOKUP($C13&amp;AY$2,{MASTER!$Y$2:$Y992,MASTER!$M$2:$M992},2,0),"")</f>
        <v/>
      </c>
      <c r="AZ13" s="119">
        <f t="array" ref="AZ13">IFERROR(VLOOKUP($C13&amp;AZ$2,{MASTER!$Y$2:$Y992,MASTER!$M$2:$M992},2,0),"")</f>
        <v>306</v>
      </c>
      <c r="BA13" s="119">
        <f t="array" ref="BA13">IFERROR(VLOOKUP($C13&amp;BA$2,{MASTER!$Y$2:$Y992,MASTER!$M$2:$M992},2,0),"")</f>
        <v>591</v>
      </c>
      <c r="BB13" s="119">
        <f t="array" ref="BB13">IFERROR(VLOOKUP($C13&amp;BB$2,{MASTER!$Y$2:$Y992,MASTER!$M$2:$M992},2,0),"")</f>
        <v>746</v>
      </c>
    </row>
    <row r="14">
      <c r="A14" s="116">
        <f t="shared" si="1"/>
        <v>0</v>
      </c>
      <c r="B14" s="145"/>
      <c r="C14" s="162" t="s">
        <v>1320</v>
      </c>
      <c r="D14" s="119" t="str">
        <f t="array" ref="D14">IFERROR(VLOOKUP($C14&amp;D$2,{MASTER!$Y$2:$Y992,MASTER!$M$2:$M992},2,0),"")</f>
        <v/>
      </c>
      <c r="E14" s="119" t="str">
        <f t="array" ref="E14">IFERROR(VLOOKUP($C14&amp;E$2,{MASTER!$Y$2:$Y992,MASTER!$M$2:$M992},2,0),"")</f>
        <v/>
      </c>
      <c r="F14" s="119" t="str">
        <f t="array" ref="F14">IFERROR(VLOOKUP($C14&amp;F$2,{MASTER!$Y$2:$Y992,MASTER!$M$2:$M992},2,0),"")</f>
        <v/>
      </c>
      <c r="G14" s="119" t="str">
        <f t="array" ref="G14">IFERROR(VLOOKUP($C14&amp;G$2,{MASTER!$Y$2:$Y992,MASTER!$M$2:$M992},2,0),"")</f>
        <v/>
      </c>
      <c r="H14" s="119" t="str">
        <f t="array" ref="H14">IFERROR(VLOOKUP($C14&amp;H$2,{MASTER!$Y$2:$Y992,MASTER!$M$2:$M992},2,0),"")</f>
        <v/>
      </c>
      <c r="I14" s="119" t="str">
        <f t="array" ref="I14">IFERROR(VLOOKUP($C14&amp;I$2,{MASTER!$Y$2:$Y992,MASTER!$M$2:$M992},2,0),"")</f>
        <v/>
      </c>
      <c r="J14" s="119" t="str">
        <f t="array" ref="J14">IFERROR(VLOOKUP($C14&amp;J$2,{MASTER!$Y$2:$Y992,MASTER!$M$2:$M992},2,0),"")</f>
        <v/>
      </c>
      <c r="K14" s="119" t="str">
        <f t="array" ref="K14">IFERROR(VLOOKUP($C14&amp;K$2,{MASTER!$Y$2:$Y992,MASTER!$M$2:$M992},2,0),"")</f>
        <v/>
      </c>
      <c r="L14" s="119" t="str">
        <f t="array" ref="L14">IFERROR(VLOOKUP($C14&amp;L$2,{MASTER!$Y$2:$Y992,MASTER!$M$2:$M992},2,0),"")</f>
        <v/>
      </c>
      <c r="M14" s="119" t="str">
        <f t="array" ref="M14">IFERROR(VLOOKUP($C14&amp;M$2,{MASTER!$Y$2:$Y992,MASTER!$M$2:$M992},2,0),"")</f>
        <v/>
      </c>
      <c r="N14" s="119" t="str">
        <f t="array" ref="N14">IFERROR(VLOOKUP($C14&amp;N$2,{MASTER!$Y$2:$Y992,MASTER!$M$2:$M992},2,0),"")</f>
        <v/>
      </c>
      <c r="O14" s="119" t="str">
        <f t="array" ref="O14">IFERROR(VLOOKUP($C14&amp;O$2,{MASTER!$Y$2:$Y992,MASTER!$M$2:$M992},2,0),"")</f>
        <v/>
      </c>
      <c r="P14" s="119" t="str">
        <f t="array" ref="P14">IFERROR(VLOOKUP($C14&amp;P$2,{MASTER!$Y$2:$Y992,MASTER!$M$2:$M992},2,0),"")</f>
        <v/>
      </c>
      <c r="Q14" s="119" t="str">
        <f t="array" ref="Q14">IFERROR(VLOOKUP($C14&amp;Q$2,{MASTER!$Y$2:$Y992,MASTER!$M$2:$M992},2,0),"")</f>
        <v/>
      </c>
      <c r="R14" s="119" t="str">
        <f t="array" ref="R14">IFERROR(VLOOKUP($C14&amp;R$2,{MASTER!$Y$2:$Y992,MASTER!$M$2:$M992},2,0),"")</f>
        <v/>
      </c>
      <c r="S14" s="119" t="str">
        <f t="array" ref="S14">IFERROR(VLOOKUP($C14&amp;S$2,{MASTER!$Y$2:$Y992,MASTER!$M$2:$M992},2,0),"")</f>
        <v/>
      </c>
      <c r="T14" s="119" t="str">
        <f t="array" ref="T14">IFERROR(VLOOKUP($C14&amp;T$2,{MASTER!$Y$2:$Y992,MASTER!$M$2:$M992},2,0),"")</f>
        <v/>
      </c>
      <c r="U14" s="119" t="str">
        <f t="array" ref="U14">IFERROR(VLOOKUP($C14&amp;U$2,{MASTER!$Y$2:$Y992,MASTER!$M$2:$M992},2,0),"")</f>
        <v/>
      </c>
      <c r="V14" s="119" t="str">
        <f t="array" ref="V14">IFERROR(VLOOKUP($C14&amp;V$2,{MASTER!$Y$2:$Y992,MASTER!$M$2:$M992},2,0),"")</f>
        <v/>
      </c>
      <c r="W14" s="119" t="str">
        <f t="array" ref="W14">IFERROR(VLOOKUP($C14&amp;W$2,{MASTER!$Y$2:$Y992,MASTER!$M$2:$M992},2,0),"")</f>
        <v/>
      </c>
      <c r="X14" s="119" t="str">
        <f t="array" ref="X14">IFERROR(VLOOKUP($C14&amp;X$2,{MASTER!$Y$2:$Y992,MASTER!$M$2:$M992},2,0),"")</f>
        <v/>
      </c>
      <c r="Y14" s="119" t="str">
        <f t="array" ref="Y14">IFERROR(VLOOKUP($C14&amp;Y$2,{MASTER!$Y$2:$Y992,MASTER!$M$2:$M992},2,0),"")</f>
        <v/>
      </c>
      <c r="Z14" s="119" t="str">
        <f t="array" ref="Z14">IFERROR(VLOOKUP($C14&amp;Z$2,{MASTER!$Y$2:$Y992,MASTER!$M$2:$M992},2,0),"")</f>
        <v/>
      </c>
      <c r="AA14" s="119" t="str">
        <f t="array" ref="AA14">IFERROR(VLOOKUP($C14&amp;AA$2,{MASTER!$Y$2:$Y992,MASTER!$M$2:$M992},2,0),"")</f>
        <v/>
      </c>
      <c r="AB14" s="119" t="str">
        <f t="array" ref="AB14">IFERROR(VLOOKUP($C14&amp;AB$2,{MASTER!$Y$2:$Y992,MASTER!$M$2:$M992},2,0),"")</f>
        <v/>
      </c>
      <c r="AC14" s="119" t="str">
        <f t="array" ref="AC14">IFERROR(VLOOKUP($C14&amp;AC$2,{MASTER!$Y$2:$Y992,MASTER!$M$2:$M992},2,0),"")</f>
        <v/>
      </c>
      <c r="AD14" s="119" t="str">
        <f t="array" ref="AD14">IFERROR(VLOOKUP($C14&amp;AD$2,{MASTER!$Y$2:$Y992,MASTER!$M$2:$M992},2,0),"")</f>
        <v/>
      </c>
      <c r="AE14" s="119" t="str">
        <f t="array" ref="AE14">IFERROR(VLOOKUP($C14&amp;AE$2,{MASTER!$Y$2:$Y992,MASTER!$M$2:$M992},2,0),"")</f>
        <v/>
      </c>
      <c r="AF14" s="119" t="str">
        <f t="array" ref="AF14">IFERROR(VLOOKUP($C14&amp;AF$2,{MASTER!$Y$2:$Y992,MASTER!$M$2:$M992},2,0),"")</f>
        <v/>
      </c>
      <c r="AG14" s="119" t="str">
        <f t="array" ref="AG14">IFERROR(VLOOKUP($C14&amp;AG$2,{MASTER!$Y$2:$Y992,MASTER!$M$2:$M992},2,0),"")</f>
        <v/>
      </c>
      <c r="AH14" s="119" t="str">
        <f t="array" ref="AH14">IFERROR(VLOOKUP($C14&amp;AH$2,{MASTER!$Y$2:$Y992,MASTER!$M$2:$M992},2,0),"")</f>
        <v/>
      </c>
      <c r="AI14" s="119" t="str">
        <f t="array" ref="AI14">IFERROR(VLOOKUP($C14&amp;AI$2,{MASTER!$Y$2:$Y992,MASTER!$M$2:$M992},2,0),"")</f>
        <v/>
      </c>
      <c r="AJ14" s="119" t="str">
        <f t="array" ref="AJ14">IFERROR(VLOOKUP($C14&amp;AJ$2,{MASTER!$Y$2:$Y992,MASTER!$M$2:$M992},2,0),"")</f>
        <v/>
      </c>
      <c r="AK14" s="119" t="str">
        <f t="array" ref="AK14">IFERROR(VLOOKUP($C14&amp;AK$2,{MASTER!$Y$2:$Y992,MASTER!$M$2:$M992},2,0),"")</f>
        <v/>
      </c>
      <c r="AL14" s="119" t="str">
        <f t="array" ref="AL14">IFERROR(VLOOKUP($C14&amp;AL$2,{MASTER!$Y$2:$Y992,MASTER!$M$2:$M992},2,0),"")</f>
        <v/>
      </c>
      <c r="AM14" s="119" t="str">
        <f t="array" ref="AM14">IFERROR(VLOOKUP($C14&amp;AM$2,{MASTER!$Y$2:$Y992,MASTER!$M$2:$M992},2,0),"")</f>
        <v/>
      </c>
      <c r="AN14" s="119" t="str">
        <f t="array" ref="AN14">IFERROR(VLOOKUP($C14&amp;AN$2,{MASTER!$Y$2:$Y992,MASTER!$M$2:$M992},2,0),"")</f>
        <v/>
      </c>
      <c r="AO14" s="119" t="str">
        <f t="array" ref="AO14">IFERROR(VLOOKUP($C14&amp;AO$2,{MASTER!$Y$2:$Y992,MASTER!$M$2:$M992},2,0),"")</f>
        <v/>
      </c>
      <c r="AP14" s="119" t="str">
        <f t="array" ref="AP14">IFERROR(VLOOKUP($C14&amp;AP$2,{MASTER!$Y$2:$Y992,MASTER!$M$2:$M992},2,0),"")</f>
        <v/>
      </c>
      <c r="AQ14" s="119" t="str">
        <f t="array" ref="AQ14">IFERROR(VLOOKUP($C14&amp;AQ$2,{MASTER!$Y$2:$Y992,MASTER!$M$2:$M992},2,0),"")</f>
        <v/>
      </c>
      <c r="AR14" s="119" t="str">
        <f t="array" ref="AR14">IFERROR(VLOOKUP($C14&amp;AR$2,{MASTER!$Y$2:$Y992,MASTER!$M$2:$M992},2,0),"")</f>
        <v/>
      </c>
      <c r="AS14" s="119" t="str">
        <f t="array" ref="AS14">IFERROR(VLOOKUP($C14&amp;AS$2,{MASTER!$Y$2:$Y992,MASTER!$M$2:$M992},2,0),"")</f>
        <v/>
      </c>
      <c r="AT14" s="119" t="str">
        <f t="array" ref="AT14">IFERROR(VLOOKUP($C14&amp;AT$2,{MASTER!$Y$2:$Y992,MASTER!$M$2:$M992},2,0),"")</f>
        <v/>
      </c>
      <c r="AU14" s="119" t="str">
        <f t="array" ref="AU14">IFERROR(VLOOKUP($C14&amp;AU$2,{MASTER!$Y$2:$Y992,MASTER!$M$2:$M992},2,0),"")</f>
        <v/>
      </c>
      <c r="AV14" s="119" t="str">
        <f t="array" ref="AV14">IFERROR(VLOOKUP($C14&amp;AV$2,{MASTER!$Y$2:$Y992,MASTER!$M$2:$M992},2,0),"")</f>
        <v/>
      </c>
      <c r="AW14" s="119" t="str">
        <f t="array" ref="AW14">IFERROR(VLOOKUP($C14&amp;AW$2,{MASTER!$Y$2:$Y992,MASTER!$M$2:$M992},2,0),"")</f>
        <v/>
      </c>
      <c r="AX14" s="119" t="str">
        <f t="array" ref="AX14">IFERROR(VLOOKUP($C14&amp;AX$2,{MASTER!$Y$2:$Y992,MASTER!$M$2:$M992},2,0),"")</f>
        <v/>
      </c>
      <c r="AY14" s="119" t="str">
        <f t="array" ref="AY14">IFERROR(VLOOKUP($C14&amp;AY$2,{MASTER!$Y$2:$Y992,MASTER!$M$2:$M992},2,0),"")</f>
        <v/>
      </c>
      <c r="AZ14" s="119" t="str">
        <f t="array" ref="AZ14">IFERROR(VLOOKUP($C14&amp;AZ$2,{MASTER!$Y$2:$Y992,MASTER!$M$2:$M992},2,0),"")</f>
        <v/>
      </c>
      <c r="BA14" s="119" t="str">
        <f t="array" ref="BA14">IFERROR(VLOOKUP($C14&amp;BA$2,{MASTER!$Y$2:$Y992,MASTER!$M$2:$M992},2,0),"")</f>
        <v/>
      </c>
      <c r="BB14" s="119" t="str">
        <f t="array" ref="BB14">IFERROR(VLOOKUP($C14&amp;BB$2,{MASTER!$Y$2:$Y992,MASTER!$M$2:$M992},2,0),"")</f>
        <v/>
      </c>
    </row>
    <row r="15">
      <c r="A15" s="116">
        <f t="shared" si="1"/>
        <v>30</v>
      </c>
      <c r="B15" s="117">
        <v>7000.0</v>
      </c>
      <c r="C15" s="230" t="s">
        <v>1235</v>
      </c>
      <c r="D15" s="119">
        <f t="array" ref="D15">IFERROR(VLOOKUP($C15&amp;D$2,{MASTER!$Y$2:$Y992,MASTER!$M$2:$M992},2,0),"")</f>
        <v>844</v>
      </c>
      <c r="E15" s="119">
        <f t="array" ref="E15">IFERROR(VLOOKUP($C15&amp;E$2,{MASTER!$Y$2:$Y992,MASTER!$M$2:$M992},2,0),"")</f>
        <v>1973</v>
      </c>
      <c r="F15" s="119" t="str">
        <f t="array" ref="F15">IFERROR(VLOOKUP($C15&amp;F$2,{MASTER!$Y$2:$Y992,MASTER!$M$2:$M992},2,0),"")</f>
        <v/>
      </c>
      <c r="G15" s="119">
        <f t="array" ref="G15">IFERROR(VLOOKUP($C15&amp;G$2,{MASTER!$Y$2:$Y992,MASTER!$M$2:$M992},2,0),"")</f>
        <v>1000</v>
      </c>
      <c r="H15" s="119" t="str">
        <f t="array" ref="H15">IFERROR(VLOOKUP($C15&amp;H$2,{MASTER!$Y$2:$Y992,MASTER!$M$2:$M992},2,0),"")</f>
        <v/>
      </c>
      <c r="I15" s="119">
        <f t="array" ref="I15">IFERROR(VLOOKUP($C15&amp;I$2,{MASTER!$Y$2:$Y992,MASTER!$M$2:$M992},2,0),"")</f>
        <v>696</v>
      </c>
      <c r="J15" s="119" t="str">
        <f t="array" ref="J15">IFERROR(VLOOKUP($C15&amp;J$2,{MASTER!$Y$2:$Y992,MASTER!$M$2:$M992},2,0),"")</f>
        <v/>
      </c>
      <c r="K15" s="119" t="str">
        <f t="array" ref="K15">IFERROR(VLOOKUP($C15&amp;K$2,{MASTER!$Y$2:$Y992,MASTER!$M$2:$M992},2,0),"")</f>
        <v/>
      </c>
      <c r="L15" s="119" t="str">
        <f t="array" ref="L15">IFERROR(VLOOKUP($C15&amp;L$2,{MASTER!$Y$2:$Y992,MASTER!$M$2:$M992},2,0),"")</f>
        <v/>
      </c>
      <c r="M15" s="119">
        <f t="array" ref="M15">IFERROR(VLOOKUP($C15&amp;M$2,{MASTER!$Y$2:$Y992,MASTER!$M$2:$M992},2,0),"")</f>
        <v>754</v>
      </c>
      <c r="N15" s="119" t="str">
        <f t="array" ref="N15">IFERROR(VLOOKUP($C15&amp;N$2,{MASTER!$Y$2:$Y992,MASTER!$M$2:$M992},2,0),"")</f>
        <v/>
      </c>
      <c r="O15" s="119">
        <f t="array" ref="O15">IFERROR(VLOOKUP($C15&amp;O$2,{MASTER!$Y$2:$Y992,MASTER!$M$2:$M992},2,0),"")</f>
        <v>488</v>
      </c>
      <c r="P15" s="119">
        <f t="array" ref="P15">IFERROR(VLOOKUP($C15&amp;P$2,{MASTER!$Y$2:$Y992,MASTER!$M$2:$M992},2,0),"")</f>
        <v>805</v>
      </c>
      <c r="Q15" s="119" t="str">
        <f t="array" ref="Q15">IFERROR(VLOOKUP($C15&amp;Q$2,{MASTER!$Y$2:$Y992,MASTER!$M$2:$M992},2,0),"")</f>
        <v/>
      </c>
      <c r="R15" s="119">
        <f t="array" ref="R15">IFERROR(VLOOKUP($C15&amp;R$2,{MASTER!$Y$2:$Y992,MASTER!$M$2:$M992},2,0),"")</f>
        <v>951</v>
      </c>
      <c r="S15" s="119">
        <f t="array" ref="S15">IFERROR(VLOOKUP($C15&amp;S$2,{MASTER!$Y$2:$Y992,MASTER!$M$2:$M992},2,0),"")</f>
        <v>1032</v>
      </c>
      <c r="T15" s="119">
        <f t="array" ref="T15">IFERROR(VLOOKUP($C15&amp;T$2,{MASTER!$Y$2:$Y992,MASTER!$M$2:$M992},2,0),"")</f>
        <v>845</v>
      </c>
      <c r="U15" s="119" t="str">
        <f t="array" ref="U15">IFERROR(VLOOKUP($C15&amp;U$2,{MASTER!$Y$2:$Y992,MASTER!$M$2:$M992},2,0),"")</f>
        <v/>
      </c>
      <c r="V15" s="119">
        <f t="array" ref="V15">IFERROR(VLOOKUP($C15&amp;V$2,{MASTER!$Y$2:$Y992,MASTER!$M$2:$M992},2,0),"")</f>
        <v>652</v>
      </c>
      <c r="W15" s="119">
        <f t="array" ref="W15">IFERROR(VLOOKUP($C15&amp;W$2,{MASTER!$Y$2:$Y992,MASTER!$M$2:$M992},2,0),"")</f>
        <v>681</v>
      </c>
      <c r="X15" s="119" t="str">
        <f t="array" ref="X15">IFERROR(VLOOKUP($C15&amp;X$2,{MASTER!$Y$2:$Y992,MASTER!$M$2:$M992},2,0),"")</f>
        <v/>
      </c>
      <c r="Y15" s="119" t="str">
        <f t="array" ref="Y15">IFERROR(VLOOKUP($C15&amp;Y$2,{MASTER!$Y$2:$Y992,MASTER!$M$2:$M992},2,0),"")</f>
        <v/>
      </c>
      <c r="Z15" s="119" t="str">
        <f t="array" ref="Z15">IFERROR(VLOOKUP($C15&amp;Z$2,{MASTER!$Y$2:$Y992,MASTER!$M$2:$M992},2,0),"")</f>
        <v/>
      </c>
      <c r="AA15" s="119">
        <f t="array" ref="AA15">IFERROR(VLOOKUP($C15&amp;AA$2,{MASTER!$Y$2:$Y992,MASTER!$M$2:$M992},2,0),"")</f>
        <v>1920</v>
      </c>
      <c r="AB15" s="119">
        <f t="array" ref="AB15">IFERROR(VLOOKUP($C15&amp;AB$2,{MASTER!$Y$2:$Y992,MASTER!$M$2:$M992},2,0),"")</f>
        <v>2908</v>
      </c>
      <c r="AC15" s="119">
        <f t="array" ref="AC15">IFERROR(VLOOKUP($C15&amp;AC$2,{MASTER!$Y$2:$Y992,MASTER!$M$2:$M992},2,0),"")</f>
        <v>2498</v>
      </c>
      <c r="AD15" s="119" t="str">
        <f t="array" ref="AD15">IFERROR(VLOOKUP($C15&amp;AD$2,{MASTER!$Y$2:$Y992,MASTER!$M$2:$M992},2,0),"")</f>
        <v/>
      </c>
      <c r="AE15" s="119">
        <f t="array" ref="AE15">IFERROR(VLOOKUP($C15&amp;AE$2,{MASTER!$Y$2:$Y992,MASTER!$M$2:$M992},2,0),"")</f>
        <v>1070</v>
      </c>
      <c r="AF15" s="119">
        <f t="array" ref="AF15">IFERROR(VLOOKUP($C15&amp;AF$2,{MASTER!$Y$2:$Y992,MASTER!$M$2:$M992},2,0),"")</f>
        <v>1425</v>
      </c>
      <c r="AG15" s="119" t="str">
        <f t="array" ref="AG15">IFERROR(VLOOKUP($C15&amp;AG$2,{MASTER!$Y$2:$Y992,MASTER!$M$2:$M992},2,0),"")</f>
        <v/>
      </c>
      <c r="AH15" s="119">
        <f t="array" ref="AH15">IFERROR(VLOOKUP($C15&amp;AH$2,{MASTER!$Y$2:$Y992,MASTER!$M$2:$M992},2,0),"")</f>
        <v>1976</v>
      </c>
      <c r="AI15" s="119" t="str">
        <f t="array" ref="AI15">IFERROR(VLOOKUP($C15&amp;AI$2,{MASTER!$Y$2:$Y992,MASTER!$M$2:$M992},2,0),"")</f>
        <v/>
      </c>
      <c r="AJ15" s="119" t="str">
        <f t="array" ref="AJ15">IFERROR(VLOOKUP($C15&amp;AJ$2,{MASTER!$Y$2:$Y992,MASTER!$M$2:$M992},2,0),"")</f>
        <v/>
      </c>
      <c r="AK15" s="119" t="str">
        <f t="array" ref="AK15">IFERROR(VLOOKUP($C15&amp;AK$2,{MASTER!$Y$2:$Y992,MASTER!$M$2:$M992},2,0),"")</f>
        <v/>
      </c>
      <c r="AL15" s="119" t="str">
        <f t="array" ref="AL15">IFERROR(VLOOKUP($C15&amp;AL$2,{MASTER!$Y$2:$Y992,MASTER!$M$2:$M992},2,0),"")</f>
        <v/>
      </c>
      <c r="AM15" s="119">
        <f t="array" ref="AM15">IFERROR(VLOOKUP($C15&amp;AM$2,{MASTER!$Y$2:$Y992,MASTER!$M$2:$M992},2,0),"")</f>
        <v>2647</v>
      </c>
      <c r="AN15" s="119" t="str">
        <f t="array" ref="AN15">IFERROR(VLOOKUP($C15&amp;AN$2,{MASTER!$Y$2:$Y992,MASTER!$M$2:$M992},2,0),"")</f>
        <v/>
      </c>
      <c r="AO15" s="119">
        <f t="array" ref="AO15">IFERROR(VLOOKUP($C15&amp;AO$2,{MASTER!$Y$2:$Y992,MASTER!$M$2:$M992},2,0),"")</f>
        <v>2607</v>
      </c>
      <c r="AP15" s="119" t="str">
        <f t="array" ref="AP15">IFERROR(VLOOKUP($C15&amp;AP$2,{MASTER!$Y$2:$Y992,MASTER!$M$2:$M992},2,0),"")</f>
        <v/>
      </c>
      <c r="AQ15" s="119">
        <f t="array" ref="AQ15">IFERROR(VLOOKUP($C15&amp;AQ$2,{MASTER!$Y$2:$Y992,MASTER!$M$2:$M992},2,0),"")</f>
        <v>2870</v>
      </c>
      <c r="AR15" s="119">
        <f t="array" ref="AR15">IFERROR(VLOOKUP($C15&amp;AR$2,{MASTER!$Y$2:$Y992,MASTER!$M$2:$M992},2,0),"")</f>
        <v>2093</v>
      </c>
      <c r="AS15" s="119">
        <f t="array" ref="AS15">IFERROR(VLOOKUP($C15&amp;AS$2,{MASTER!$Y$2:$Y992,MASTER!$M$2:$M992},2,0),"")</f>
        <v>2452</v>
      </c>
      <c r="AT15" s="119" t="str">
        <f t="array" ref="AT15">IFERROR(VLOOKUP($C15&amp;AT$2,{MASTER!$Y$2:$Y992,MASTER!$M$2:$M992},2,0),"")</f>
        <v/>
      </c>
      <c r="AU15" s="119">
        <f t="array" ref="AU15">IFERROR(VLOOKUP($C15&amp;AU$2,{MASTER!$Y$2:$Y992,MASTER!$M$2:$M992},2,0),"")</f>
        <v>2357</v>
      </c>
      <c r="AV15" s="119">
        <f t="array" ref="AV15">IFERROR(VLOOKUP($C15&amp;AV$2,{MASTER!$Y$2:$Y992,MASTER!$M$2:$M992},2,0),"")</f>
        <v>2232</v>
      </c>
      <c r="AW15" s="119" t="str">
        <f t="array" ref="AW15">IFERROR(VLOOKUP($C15&amp;AW$2,{MASTER!$Y$2:$Y992,MASTER!$M$2:$M992},2,0),"")</f>
        <v/>
      </c>
      <c r="AX15" s="119">
        <f t="array" ref="AX15">IFERROR(VLOOKUP($C15&amp;AX$2,{MASTER!$Y$2:$Y992,MASTER!$M$2:$M992},2,0),"")</f>
        <v>2422</v>
      </c>
      <c r="AY15" s="119">
        <f t="array" ref="AY15">IFERROR(VLOOKUP($C15&amp;AY$2,{MASTER!$Y$2:$Y992,MASTER!$M$2:$M992},2,0),"")</f>
        <v>3212</v>
      </c>
      <c r="AZ15" s="119">
        <f t="array" ref="AZ15">IFERROR(VLOOKUP($C15&amp;AZ$2,{MASTER!$Y$2:$Y992,MASTER!$M$2:$M992},2,0),"")</f>
        <v>508</v>
      </c>
      <c r="BA15" s="119">
        <f t="array" ref="BA15">IFERROR(VLOOKUP($C15&amp;BA$2,{MASTER!$Y$2:$Y992,MASTER!$M$2:$M992},2,0),"")</f>
        <v>725</v>
      </c>
      <c r="BB15" s="119">
        <f t="array" ref="BB15">IFERROR(VLOOKUP($C15&amp;BB$2,{MASTER!$Y$2:$Y992,MASTER!$M$2:$M992},2,0),"")</f>
        <v>954</v>
      </c>
    </row>
    <row r="16">
      <c r="A16" s="116">
        <f t="shared" si="1"/>
        <v>20</v>
      </c>
      <c r="B16" s="120"/>
      <c r="C16" s="230" t="s">
        <v>1166</v>
      </c>
      <c r="D16" s="119">
        <f t="array" ref="D16">IFERROR(VLOOKUP($C16&amp;D$2,{MASTER!$Y$2:$Y992,MASTER!$M$2:$M992},2,0),"")</f>
        <v>543</v>
      </c>
      <c r="E16" s="119" t="str">
        <f t="array" ref="E16">IFERROR(VLOOKUP($C16&amp;E$2,{MASTER!$Y$2:$Y992,MASTER!$M$2:$M992},2,0),"")</f>
        <v/>
      </c>
      <c r="F16" s="119" t="str">
        <f t="array" ref="F16">IFERROR(VLOOKUP($C16&amp;F$2,{MASTER!$Y$2:$Y992,MASTER!$M$2:$M992},2,0),"")</f>
        <v/>
      </c>
      <c r="G16" s="119" t="str">
        <f t="array" ref="G16">IFERROR(VLOOKUP($C16&amp;G$2,{MASTER!$Y$2:$Y992,MASTER!$M$2:$M992},2,0),"")</f>
        <v/>
      </c>
      <c r="H16" s="119">
        <f t="array" ref="H16">IFERROR(VLOOKUP($C16&amp;H$2,{MASTER!$Y$2:$Y992,MASTER!$M$2:$M992},2,0),"")</f>
        <v>449</v>
      </c>
      <c r="I16" s="119">
        <f t="array" ref="I16">IFERROR(VLOOKUP($C16&amp;I$2,{MASTER!$Y$2:$Y992,MASTER!$M$2:$M992},2,0),"")</f>
        <v>454</v>
      </c>
      <c r="J16" s="119" t="str">
        <f t="array" ref="J16">IFERROR(VLOOKUP($C16&amp;J$2,{MASTER!$Y$2:$Y992,MASTER!$M$2:$M992},2,0),"")</f>
        <v/>
      </c>
      <c r="K16" s="119" t="str">
        <f t="array" ref="K16">IFERROR(VLOOKUP($C16&amp;K$2,{MASTER!$Y$2:$Y992,MASTER!$M$2:$M992},2,0),"")</f>
        <v/>
      </c>
      <c r="L16" s="119" t="str">
        <f t="array" ref="L16">IFERROR(VLOOKUP($C16&amp;L$2,{MASTER!$Y$2:$Y992,MASTER!$M$2:$M992},2,0),"")</f>
        <v/>
      </c>
      <c r="M16" s="119">
        <f t="array" ref="M16">IFERROR(VLOOKUP($C16&amp;M$2,{MASTER!$Y$2:$Y992,MASTER!$M$2:$M992},2,0),"")</f>
        <v>488</v>
      </c>
      <c r="N16" s="119">
        <f t="array" ref="N16">IFERROR(VLOOKUP($C16&amp;N$2,{MASTER!$Y$2:$Y992,MASTER!$M$2:$M992},2,0),"")</f>
        <v>550</v>
      </c>
      <c r="O16" s="119">
        <f t="array" ref="O16">IFERROR(VLOOKUP($C16&amp;O$2,{MASTER!$Y$2:$Y992,MASTER!$M$2:$M992},2,0),"")</f>
        <v>323</v>
      </c>
      <c r="P16" s="119">
        <f t="array" ref="P16">IFERROR(VLOOKUP($C16&amp;P$2,{MASTER!$Y$2:$Y992,MASTER!$M$2:$M992},2,0),"")</f>
        <v>706</v>
      </c>
      <c r="Q16" s="119">
        <f t="array" ref="Q16">IFERROR(VLOOKUP($C16&amp;Q$2,{MASTER!$Y$2:$Y992,MASTER!$M$2:$M992},2,0),"")</f>
        <v>785</v>
      </c>
      <c r="R16" s="119" t="str">
        <f t="array" ref="R16">IFERROR(VLOOKUP($C16&amp;R$2,{MASTER!$Y$2:$Y992,MASTER!$M$2:$M992},2,0),"")</f>
        <v/>
      </c>
      <c r="S16" s="119">
        <f t="array" ref="S16">IFERROR(VLOOKUP($C16&amp;S$2,{MASTER!$Y$2:$Y992,MASTER!$M$2:$M992},2,0),"")</f>
        <v>909</v>
      </c>
      <c r="T16" s="119">
        <f t="array" ref="T16">IFERROR(VLOOKUP($C16&amp;T$2,{MASTER!$Y$2:$Y992,MASTER!$M$2:$M992},2,0),"")</f>
        <v>823</v>
      </c>
      <c r="U16" s="119" t="str">
        <f t="array" ref="U16">IFERROR(VLOOKUP($C16&amp;U$2,{MASTER!$Y$2:$Y992,MASTER!$M$2:$M992},2,0),"")</f>
        <v/>
      </c>
      <c r="V16" s="119">
        <f t="array" ref="V16">IFERROR(VLOOKUP($C16&amp;V$2,{MASTER!$Y$2:$Y992,MASTER!$M$2:$M992},2,0),"")</f>
        <v>500</v>
      </c>
      <c r="W16" s="119">
        <f t="array" ref="W16">IFERROR(VLOOKUP($C16&amp;W$2,{MASTER!$Y$2:$Y992,MASTER!$M$2:$M992},2,0),"")</f>
        <v>489</v>
      </c>
      <c r="X16" s="119">
        <f t="array" ref="X16">IFERROR(VLOOKUP($C16&amp;X$2,{MASTER!$Y$2:$Y992,MASTER!$M$2:$M992},2,0),"")</f>
        <v>427</v>
      </c>
      <c r="Y16" s="119">
        <f t="array" ref="Y16">IFERROR(VLOOKUP($C16&amp;Y$2,{MASTER!$Y$2:$Y992,MASTER!$M$2:$M992},2,0),"")</f>
        <v>382</v>
      </c>
      <c r="Z16" s="119">
        <f t="array" ref="Z16">IFERROR(VLOOKUP($C16&amp;Z$2,{MASTER!$Y$2:$Y992,MASTER!$M$2:$M992},2,0),"")</f>
        <v>1609</v>
      </c>
      <c r="AA16" s="119" t="str">
        <f t="array" ref="AA16">IFERROR(VLOOKUP($C16&amp;AA$2,{MASTER!$Y$2:$Y992,MASTER!$M$2:$M992},2,0),"")</f>
        <v/>
      </c>
      <c r="AB16" s="119" t="str">
        <f t="array" ref="AB16">IFERROR(VLOOKUP($C16&amp;AB$2,{MASTER!$Y$2:$Y992,MASTER!$M$2:$M992},2,0),"")</f>
        <v/>
      </c>
      <c r="AC16" s="119" t="str">
        <f t="array" ref="AC16">IFERROR(VLOOKUP($C16&amp;AC$2,{MASTER!$Y$2:$Y992,MASTER!$M$2:$M992},2,0),"")</f>
        <v/>
      </c>
      <c r="AD16" s="119" t="str">
        <f t="array" ref="AD16">IFERROR(VLOOKUP($C16&amp;AD$2,{MASTER!$Y$2:$Y992,MASTER!$M$2:$M992},2,0),"")</f>
        <v/>
      </c>
      <c r="AE16" s="119" t="str">
        <f t="array" ref="AE16">IFERROR(VLOOKUP($C16&amp;AE$2,{MASTER!$Y$2:$Y992,MASTER!$M$2:$M992},2,0),"")</f>
        <v/>
      </c>
      <c r="AF16" s="119" t="str">
        <f t="array" ref="AF16">IFERROR(VLOOKUP($C16&amp;AF$2,{MASTER!$Y$2:$Y992,MASTER!$M$2:$M992},2,0),"")</f>
        <v/>
      </c>
      <c r="AG16" s="119" t="str">
        <f t="array" ref="AG16">IFERROR(VLOOKUP($C16&amp;AG$2,{MASTER!$Y$2:$Y992,MASTER!$M$2:$M992},2,0),"")</f>
        <v/>
      </c>
      <c r="AH16" s="119">
        <f t="array" ref="AH16">IFERROR(VLOOKUP($C16&amp;AH$2,{MASTER!$Y$2:$Y992,MASTER!$M$2:$M992},2,0),"")</f>
        <v>1689</v>
      </c>
      <c r="AI16" s="119" t="str">
        <f t="array" ref="AI16">IFERROR(VLOOKUP($C16&amp;AI$2,{MASTER!$Y$2:$Y992,MASTER!$M$2:$M992},2,0),"")</f>
        <v/>
      </c>
      <c r="AJ16" s="119" t="str">
        <f t="array" ref="AJ16">IFERROR(VLOOKUP($C16&amp;AJ$2,{MASTER!$Y$2:$Y992,MASTER!$M$2:$M992},2,0),"")</f>
        <v/>
      </c>
      <c r="AK16" s="119" t="str">
        <f t="array" ref="AK16">IFERROR(VLOOKUP($C16&amp;AK$2,{MASTER!$Y$2:$Y992,MASTER!$M$2:$M992},2,0),"")</f>
        <v/>
      </c>
      <c r="AL16" s="119" t="str">
        <f t="array" ref="AL16">IFERROR(VLOOKUP($C16&amp;AL$2,{MASTER!$Y$2:$Y992,MASTER!$M$2:$M992},2,0),"")</f>
        <v/>
      </c>
      <c r="AM16" s="119">
        <f t="array" ref="AM16">IFERROR(VLOOKUP($C16&amp;AM$2,{MASTER!$Y$2:$Y992,MASTER!$M$2:$M992},2,0),"")</f>
        <v>2322</v>
      </c>
      <c r="AN16" s="119" t="str">
        <f t="array" ref="AN16">IFERROR(VLOOKUP($C16&amp;AN$2,{MASTER!$Y$2:$Y992,MASTER!$M$2:$M992},2,0),"")</f>
        <v/>
      </c>
      <c r="AO16" s="119">
        <f t="array" ref="AO16">IFERROR(VLOOKUP($C16&amp;AO$2,{MASTER!$Y$2:$Y992,MASTER!$M$2:$M992},2,0),"")</f>
        <v>2283</v>
      </c>
      <c r="AP16" s="119" t="str">
        <f t="array" ref="AP16">IFERROR(VLOOKUP($C16&amp;AP$2,{MASTER!$Y$2:$Y992,MASTER!$M$2:$M992},2,0),"")</f>
        <v/>
      </c>
      <c r="AQ16" s="119">
        <f t="array" ref="AQ16">IFERROR(VLOOKUP($C16&amp;AQ$2,{MASTER!$Y$2:$Y992,MASTER!$M$2:$M992},2,0),"")</f>
        <v>2484</v>
      </c>
      <c r="AR16" s="119" t="str">
        <f t="array" ref="AR16">IFERROR(VLOOKUP($C16&amp;AR$2,{MASTER!$Y$2:$Y992,MASTER!$M$2:$M992},2,0),"")</f>
        <v/>
      </c>
      <c r="AS16" s="119" t="str">
        <f t="array" ref="AS16">IFERROR(VLOOKUP($C16&amp;AS$2,{MASTER!$Y$2:$Y992,MASTER!$M$2:$M992},2,0),"")</f>
        <v/>
      </c>
      <c r="AT16" s="119" t="str">
        <f t="array" ref="AT16">IFERROR(VLOOKUP($C16&amp;AT$2,{MASTER!$Y$2:$Y992,MASTER!$M$2:$M992},2,0),"")</f>
        <v/>
      </c>
      <c r="AU16" s="119" t="str">
        <f t="array" ref="AU16">IFERROR(VLOOKUP($C16&amp;AU$2,{MASTER!$Y$2:$Y992,MASTER!$M$2:$M992},2,0),"")</f>
        <v/>
      </c>
      <c r="AV16" s="119" t="str">
        <f t="array" ref="AV16">IFERROR(VLOOKUP($C16&amp;AV$2,{MASTER!$Y$2:$Y992,MASTER!$M$2:$M992},2,0),"")</f>
        <v/>
      </c>
      <c r="AW16" s="119" t="str">
        <f t="array" ref="AW16">IFERROR(VLOOKUP($C16&amp;AW$2,{MASTER!$Y$2:$Y992,MASTER!$M$2:$M992},2,0),"")</f>
        <v/>
      </c>
      <c r="AX16" s="119" t="str">
        <f t="array" ref="AX16">IFERROR(VLOOKUP($C16&amp;AX$2,{MASTER!$Y$2:$Y992,MASTER!$M$2:$M992},2,0),"")</f>
        <v/>
      </c>
      <c r="AY16" s="119" t="str">
        <f t="array" ref="AY16">IFERROR(VLOOKUP($C16&amp;AY$2,{MASTER!$Y$2:$Y992,MASTER!$M$2:$M992},2,0),"")</f>
        <v/>
      </c>
      <c r="AZ16" s="119" t="str">
        <f t="array" ref="AZ16">IFERROR(VLOOKUP($C16&amp;AZ$2,{MASTER!$Y$2:$Y992,MASTER!$M$2:$M992},2,0),"")</f>
        <v/>
      </c>
      <c r="BA16" s="119" t="str">
        <f t="array" ref="BA16">IFERROR(VLOOKUP($C16&amp;BA$2,{MASTER!$Y$2:$Y992,MASTER!$M$2:$M992},2,0),"")</f>
        <v/>
      </c>
      <c r="BB16" s="119">
        <f t="array" ref="BB16">IFERROR(VLOOKUP($C16&amp;BB$2,{MASTER!$Y$2:$Y992,MASTER!$M$2:$M992},2,0),"")</f>
        <v>746</v>
      </c>
    </row>
    <row r="17">
      <c r="A17" s="116">
        <f t="shared" si="1"/>
        <v>20</v>
      </c>
      <c r="B17" s="120"/>
      <c r="C17" s="230" t="s">
        <v>1169</v>
      </c>
      <c r="D17" s="119">
        <f t="array" ref="D17">IFERROR(VLOOKUP($C17&amp;D$2,{MASTER!$Y$2:$Y992,MASTER!$M$2:$M992},2,0),"")</f>
        <v>537</v>
      </c>
      <c r="E17" s="119" t="str">
        <f t="array" ref="E17">IFERROR(VLOOKUP($C17&amp;E$2,{MASTER!$Y$2:$Y992,MASTER!$M$2:$M992},2,0),"")</f>
        <v/>
      </c>
      <c r="F17" s="119" t="str">
        <f t="array" ref="F17">IFERROR(VLOOKUP($C17&amp;F$2,{MASTER!$Y$2:$Y992,MASTER!$M$2:$M992},2,0),"")</f>
        <v/>
      </c>
      <c r="G17" s="119" t="str">
        <f t="array" ref="G17">IFERROR(VLOOKUP($C17&amp;G$2,{MASTER!$Y$2:$Y992,MASTER!$M$2:$M992},2,0),"")</f>
        <v/>
      </c>
      <c r="H17" s="119">
        <f t="array" ref="H17">IFERROR(VLOOKUP($C17&amp;H$2,{MASTER!$Y$2:$Y992,MASTER!$M$2:$M992},2,0),"")</f>
        <v>443</v>
      </c>
      <c r="I17" s="119">
        <f t="array" ref="I17">IFERROR(VLOOKUP($C17&amp;I$2,{MASTER!$Y$2:$Y992,MASTER!$M$2:$M992},2,0),"")</f>
        <v>448</v>
      </c>
      <c r="J17" s="119" t="str">
        <f t="array" ref="J17">IFERROR(VLOOKUP($C17&amp;J$2,{MASTER!$Y$2:$Y992,MASTER!$M$2:$M992},2,0),"")</f>
        <v/>
      </c>
      <c r="K17" s="119" t="str">
        <f t="array" ref="K17">IFERROR(VLOOKUP($C17&amp;K$2,{MASTER!$Y$2:$Y992,MASTER!$M$2:$M992},2,0),"")</f>
        <v/>
      </c>
      <c r="L17" s="119" t="str">
        <f t="array" ref="L17">IFERROR(VLOOKUP($C17&amp;L$2,{MASTER!$Y$2:$Y992,MASTER!$M$2:$M992},2,0),"")</f>
        <v/>
      </c>
      <c r="M17" s="119">
        <f t="array" ref="M17">IFERROR(VLOOKUP($C17&amp;M$2,{MASTER!$Y$2:$Y992,MASTER!$M$2:$M992},2,0),"")</f>
        <v>482</v>
      </c>
      <c r="N17" s="119">
        <f t="array" ref="N17">IFERROR(VLOOKUP($C17&amp;N$2,{MASTER!$Y$2:$Y992,MASTER!$M$2:$M992},2,0),"")</f>
        <v>544</v>
      </c>
      <c r="O17" s="119">
        <f t="array" ref="O17">IFERROR(VLOOKUP($C17&amp;O$2,{MASTER!$Y$2:$Y992,MASTER!$M$2:$M992},2,0),"")</f>
        <v>317</v>
      </c>
      <c r="P17" s="119">
        <f t="array" ref="P17">IFERROR(VLOOKUP($C17&amp;P$2,{MASTER!$Y$2:$Y992,MASTER!$M$2:$M992},2,0),"")</f>
        <v>694</v>
      </c>
      <c r="Q17" s="119">
        <f t="array" ref="Q17">IFERROR(VLOOKUP($C17&amp;Q$2,{MASTER!$Y$2:$Y992,MASTER!$M$2:$M992},2,0),"")</f>
        <v>788</v>
      </c>
      <c r="R17" s="119" t="str">
        <f t="array" ref="R17">IFERROR(VLOOKUP($C17&amp;R$2,{MASTER!$Y$2:$Y992,MASTER!$M$2:$M992},2,0),"")</f>
        <v/>
      </c>
      <c r="S17" s="119">
        <f t="array" ref="S17">IFERROR(VLOOKUP($C17&amp;S$2,{MASTER!$Y$2:$Y992,MASTER!$M$2:$M992},2,0),"")</f>
        <v>903</v>
      </c>
      <c r="T17" s="119">
        <f t="array" ref="T17">IFERROR(VLOOKUP($C17&amp;T$2,{MASTER!$Y$2:$Y992,MASTER!$M$2:$M992},2,0),"")</f>
        <v>854</v>
      </c>
      <c r="U17" s="119" t="str">
        <f t="array" ref="U17">IFERROR(VLOOKUP($C17&amp;U$2,{MASTER!$Y$2:$Y992,MASTER!$M$2:$M992},2,0),"")</f>
        <v/>
      </c>
      <c r="V17" s="119">
        <f t="array" ref="V17">IFERROR(VLOOKUP($C17&amp;V$2,{MASTER!$Y$2:$Y992,MASTER!$M$2:$M992},2,0),"")</f>
        <v>542</v>
      </c>
      <c r="W17" s="119">
        <f t="array" ref="W17">IFERROR(VLOOKUP($C17&amp;W$2,{MASTER!$Y$2:$Y992,MASTER!$M$2:$M992},2,0),"")</f>
        <v>570</v>
      </c>
      <c r="X17" s="119">
        <f t="array" ref="X17">IFERROR(VLOOKUP($C17&amp;X$2,{MASTER!$Y$2:$Y992,MASTER!$M$2:$M992},2,0),"")</f>
        <v>421</v>
      </c>
      <c r="Y17" s="119">
        <f t="array" ref="Y17">IFERROR(VLOOKUP($C17&amp;Y$2,{MASTER!$Y$2:$Y992,MASTER!$M$2:$M992},2,0),"")</f>
        <v>376</v>
      </c>
      <c r="Z17" s="119">
        <f t="array" ref="Z17">IFERROR(VLOOKUP($C17&amp;Z$2,{MASTER!$Y$2:$Y992,MASTER!$M$2:$M992},2,0),"")</f>
        <v>1597</v>
      </c>
      <c r="AA17" s="119" t="str">
        <f t="array" ref="AA17">IFERROR(VLOOKUP($C17&amp;AA$2,{MASTER!$Y$2:$Y992,MASTER!$M$2:$M992},2,0),"")</f>
        <v/>
      </c>
      <c r="AB17" s="119" t="str">
        <f t="array" ref="AB17">IFERROR(VLOOKUP($C17&amp;AB$2,{MASTER!$Y$2:$Y992,MASTER!$M$2:$M992},2,0),"")</f>
        <v/>
      </c>
      <c r="AC17" s="119" t="str">
        <f t="array" ref="AC17">IFERROR(VLOOKUP($C17&amp;AC$2,{MASTER!$Y$2:$Y992,MASTER!$M$2:$M992},2,0),"")</f>
        <v/>
      </c>
      <c r="AD17" s="119" t="str">
        <f t="array" ref="AD17">IFERROR(VLOOKUP($C17&amp;AD$2,{MASTER!$Y$2:$Y992,MASTER!$M$2:$M992},2,0),"")</f>
        <v/>
      </c>
      <c r="AE17" s="119" t="str">
        <f t="array" ref="AE17">IFERROR(VLOOKUP($C17&amp;AE$2,{MASTER!$Y$2:$Y992,MASTER!$M$2:$M992},2,0),"")</f>
        <v/>
      </c>
      <c r="AF17" s="119" t="str">
        <f t="array" ref="AF17">IFERROR(VLOOKUP($C17&amp;AF$2,{MASTER!$Y$2:$Y992,MASTER!$M$2:$M992},2,0),"")</f>
        <v/>
      </c>
      <c r="AG17" s="119" t="str">
        <f t="array" ref="AG17">IFERROR(VLOOKUP($C17&amp;AG$2,{MASTER!$Y$2:$Y992,MASTER!$M$2:$M992},2,0),"")</f>
        <v/>
      </c>
      <c r="AH17" s="119">
        <f t="array" ref="AH17">IFERROR(VLOOKUP($C17&amp;AH$2,{MASTER!$Y$2:$Y992,MASTER!$M$2:$M992},2,0),"")</f>
        <v>1716</v>
      </c>
      <c r="AI17" s="119" t="str">
        <f t="array" ref="AI17">IFERROR(VLOOKUP($C17&amp;AI$2,{MASTER!$Y$2:$Y992,MASTER!$M$2:$M992},2,0),"")</f>
        <v/>
      </c>
      <c r="AJ17" s="119" t="str">
        <f t="array" ref="AJ17">IFERROR(VLOOKUP($C17&amp;AJ$2,{MASTER!$Y$2:$Y992,MASTER!$M$2:$M992},2,0),"")</f>
        <v/>
      </c>
      <c r="AK17" s="119" t="str">
        <f t="array" ref="AK17">IFERROR(VLOOKUP($C17&amp;AK$2,{MASTER!$Y$2:$Y992,MASTER!$M$2:$M992},2,0),"")</f>
        <v/>
      </c>
      <c r="AL17" s="119" t="str">
        <f t="array" ref="AL17">IFERROR(VLOOKUP($C17&amp;AL$2,{MASTER!$Y$2:$Y992,MASTER!$M$2:$M992},2,0),"")</f>
        <v/>
      </c>
      <c r="AM17" s="119">
        <f t="array" ref="AM17">IFERROR(VLOOKUP($C17&amp;AM$2,{MASTER!$Y$2:$Y992,MASTER!$M$2:$M992},2,0),"")</f>
        <v>2313</v>
      </c>
      <c r="AN17" s="119" t="str">
        <f t="array" ref="AN17">IFERROR(VLOOKUP($C17&amp;AN$2,{MASTER!$Y$2:$Y992,MASTER!$M$2:$M992},2,0),"")</f>
        <v/>
      </c>
      <c r="AO17" s="119">
        <f t="array" ref="AO17">IFERROR(VLOOKUP($C17&amp;AO$2,{MASTER!$Y$2:$Y992,MASTER!$M$2:$M992},2,0),"")</f>
        <v>2273</v>
      </c>
      <c r="AP17" s="119" t="str">
        <f t="array" ref="AP17">IFERROR(VLOOKUP($C17&amp;AP$2,{MASTER!$Y$2:$Y992,MASTER!$M$2:$M992},2,0),"")</f>
        <v/>
      </c>
      <c r="AQ17" s="119">
        <f t="array" ref="AQ17">IFERROR(VLOOKUP($C17&amp;AQ$2,{MASTER!$Y$2:$Y992,MASTER!$M$2:$M992},2,0),"")</f>
        <v>2475</v>
      </c>
      <c r="AR17" s="119" t="str">
        <f t="array" ref="AR17">IFERROR(VLOOKUP($C17&amp;AR$2,{MASTER!$Y$2:$Y992,MASTER!$M$2:$M992},2,0),"")</f>
        <v/>
      </c>
      <c r="AS17" s="119" t="str">
        <f t="array" ref="AS17">IFERROR(VLOOKUP($C17&amp;AS$2,{MASTER!$Y$2:$Y992,MASTER!$M$2:$M992},2,0),"")</f>
        <v/>
      </c>
      <c r="AT17" s="119" t="str">
        <f t="array" ref="AT17">IFERROR(VLOOKUP($C17&amp;AT$2,{MASTER!$Y$2:$Y992,MASTER!$M$2:$M992},2,0),"")</f>
        <v/>
      </c>
      <c r="AU17" s="119" t="str">
        <f t="array" ref="AU17">IFERROR(VLOOKUP($C17&amp;AU$2,{MASTER!$Y$2:$Y992,MASTER!$M$2:$M992},2,0),"")</f>
        <v/>
      </c>
      <c r="AV17" s="119" t="str">
        <f t="array" ref="AV17">IFERROR(VLOOKUP($C17&amp;AV$2,{MASTER!$Y$2:$Y992,MASTER!$M$2:$M992},2,0),"")</f>
        <v/>
      </c>
      <c r="AW17" s="119" t="str">
        <f t="array" ref="AW17">IFERROR(VLOOKUP($C17&amp;AW$2,{MASTER!$Y$2:$Y992,MASTER!$M$2:$M992},2,0),"")</f>
        <v/>
      </c>
      <c r="AX17" s="119" t="str">
        <f t="array" ref="AX17">IFERROR(VLOOKUP($C17&amp;AX$2,{MASTER!$Y$2:$Y992,MASTER!$M$2:$M992},2,0),"")</f>
        <v/>
      </c>
      <c r="AY17" s="119" t="str">
        <f t="array" ref="AY17">IFERROR(VLOOKUP($C17&amp;AY$2,{MASTER!$Y$2:$Y992,MASTER!$M$2:$M992},2,0),"")</f>
        <v/>
      </c>
      <c r="AZ17" s="119" t="str">
        <f t="array" ref="AZ17">IFERROR(VLOOKUP($C17&amp;AZ$2,{MASTER!$Y$2:$Y992,MASTER!$M$2:$M992},2,0),"")</f>
        <v/>
      </c>
      <c r="BA17" s="119" t="str">
        <f t="array" ref="BA17">IFERROR(VLOOKUP($C17&amp;BA$2,{MASTER!$Y$2:$Y992,MASTER!$M$2:$M992},2,0),"")</f>
        <v/>
      </c>
      <c r="BB17" s="119">
        <f t="array" ref="BB17">IFERROR(VLOOKUP($C17&amp;BB$2,{MASTER!$Y$2:$Y992,MASTER!$M$2:$M992},2,0),"")</f>
        <v>748</v>
      </c>
    </row>
    <row r="18">
      <c r="A18" s="116">
        <f t="shared" si="1"/>
        <v>21</v>
      </c>
      <c r="B18" s="120"/>
      <c r="C18" s="230" t="s">
        <v>1121</v>
      </c>
      <c r="D18" s="119">
        <f t="array" ref="D18">IFERROR(VLOOKUP($C18&amp;D$2,{MASTER!$Y$2:$Y992,MASTER!$M$2:$M992},2,0),"")</f>
        <v>671</v>
      </c>
      <c r="E18" s="119">
        <f t="array" ref="E18">IFERROR(VLOOKUP($C18&amp;E$2,{MASTER!$Y$2:$Y992,MASTER!$M$2:$M992},2,0),"")</f>
        <v>1421</v>
      </c>
      <c r="F18" s="119" t="str">
        <f t="array" ref="F18">IFERROR(VLOOKUP($C18&amp;F$2,{MASTER!$Y$2:$Y992,MASTER!$M$2:$M992},2,0),"")</f>
        <v/>
      </c>
      <c r="G18" s="119">
        <f t="array" ref="G18">IFERROR(VLOOKUP($C18&amp;G$2,{MASTER!$Y$2:$Y992,MASTER!$M$2:$M992},2,0),"")</f>
        <v>842</v>
      </c>
      <c r="H18" s="119" t="str">
        <f t="array" ref="H18">IFERROR(VLOOKUP($C18&amp;H$2,{MASTER!$Y$2:$Y992,MASTER!$M$2:$M992},2,0),"")</f>
        <v/>
      </c>
      <c r="I18" s="119">
        <f t="array" ref="I18">IFERROR(VLOOKUP($C18&amp;I$2,{MASTER!$Y$2:$Y992,MASTER!$M$2:$M992},2,0),"")</f>
        <v>524</v>
      </c>
      <c r="J18" s="119">
        <f t="array" ref="J18">IFERROR(VLOOKUP($C18&amp;J$2,{MASTER!$Y$2:$Y992,MASTER!$M$2:$M992},2,0),"")</f>
        <v>812</v>
      </c>
      <c r="K18" s="119">
        <f t="array" ref="K18">IFERROR(VLOOKUP($C18&amp;K$2,{MASTER!$Y$2:$Y992,MASTER!$M$2:$M992},2,0),"")</f>
        <v>445</v>
      </c>
      <c r="L18" s="119">
        <f t="array" ref="L18">IFERROR(VLOOKUP($C18&amp;L$2,{MASTER!$Y$2:$Y992,MASTER!$M$2:$M992},2,0),"")</f>
        <v>385</v>
      </c>
      <c r="M18" s="119">
        <f t="array" ref="M18">IFERROR(VLOOKUP($C18&amp;M$2,{MASTER!$Y$2:$Y992,MASTER!$M$2:$M992},2,0),"")</f>
        <v>593</v>
      </c>
      <c r="N18" s="119" t="str">
        <f t="array" ref="N18">IFERROR(VLOOKUP($C18&amp;N$2,{MASTER!$Y$2:$Y992,MASTER!$M$2:$M992},2,0),"")</f>
        <v/>
      </c>
      <c r="O18" s="119">
        <f t="array" ref="O18">IFERROR(VLOOKUP($C18&amp;O$2,{MASTER!$Y$2:$Y992,MASTER!$M$2:$M992},2,0),"")</f>
        <v>374</v>
      </c>
      <c r="P18" s="119">
        <f t="array" ref="P18">IFERROR(VLOOKUP($C18&amp;P$2,{MASTER!$Y$2:$Y992,MASTER!$M$2:$M992},2,0),"")</f>
        <v>749</v>
      </c>
      <c r="Q18" s="119">
        <f t="array" ref="Q18">IFERROR(VLOOKUP($C18&amp;Q$2,{MASTER!$Y$2:$Y992,MASTER!$M$2:$M992},2,0),"")</f>
        <v>854</v>
      </c>
      <c r="R18" s="119" t="str">
        <f t="array" ref="R18">IFERROR(VLOOKUP($C18&amp;R$2,{MASTER!$Y$2:$Y992,MASTER!$M$2:$M992},2,0),"")</f>
        <v/>
      </c>
      <c r="S18" s="119">
        <f t="array" ref="S18">IFERROR(VLOOKUP($C18&amp;S$2,{MASTER!$Y$2:$Y992,MASTER!$M$2:$M992},2,0),"")</f>
        <v>911</v>
      </c>
      <c r="T18" s="119">
        <f t="array" ref="T18">IFERROR(VLOOKUP($C18&amp;T$2,{MASTER!$Y$2:$Y992,MASTER!$M$2:$M992},2,0),"")</f>
        <v>785</v>
      </c>
      <c r="U18" s="119" t="str">
        <f t="array" ref="U18">IFERROR(VLOOKUP($C18&amp;U$2,{MASTER!$Y$2:$Y992,MASTER!$M$2:$M992},2,0),"")</f>
        <v/>
      </c>
      <c r="V18" s="119">
        <f t="array" ref="V18">IFERROR(VLOOKUP($C18&amp;V$2,{MASTER!$Y$2:$Y992,MASTER!$M$2:$M992},2,0),"")</f>
        <v>531</v>
      </c>
      <c r="W18" s="119">
        <f t="array" ref="W18">IFERROR(VLOOKUP($C18&amp;W$2,{MASTER!$Y$2:$Y992,MASTER!$M$2:$M992},2,0),"")</f>
        <v>559</v>
      </c>
      <c r="X18" s="119" t="str">
        <f t="array" ref="X18">IFERROR(VLOOKUP($C18&amp;X$2,{MASTER!$Y$2:$Y992,MASTER!$M$2:$M992},2,0),"")</f>
        <v/>
      </c>
      <c r="Y18" s="119" t="str">
        <f t="array" ref="Y18">IFERROR(VLOOKUP($C18&amp;Y$2,{MASTER!$Y$2:$Y992,MASTER!$M$2:$M992},2,0),"")</f>
        <v/>
      </c>
      <c r="Z18" s="119">
        <f t="array" ref="Z18">IFERROR(VLOOKUP($C18&amp;Z$2,{MASTER!$Y$2:$Y992,MASTER!$M$2:$M992},2,0),"")</f>
        <v>1449</v>
      </c>
      <c r="AA18" s="119" t="str">
        <f t="array" ref="AA18">IFERROR(VLOOKUP($C18&amp;AA$2,{MASTER!$Y$2:$Y992,MASTER!$M$2:$M992},2,0),"")</f>
        <v/>
      </c>
      <c r="AB18" s="119" t="str">
        <f t="array" ref="AB18">IFERROR(VLOOKUP($C18&amp;AB$2,{MASTER!$Y$2:$Y992,MASTER!$M$2:$M992},2,0),"")</f>
        <v/>
      </c>
      <c r="AC18" s="119" t="str">
        <f t="array" ref="AC18">IFERROR(VLOOKUP($C18&amp;AC$2,{MASTER!$Y$2:$Y992,MASTER!$M$2:$M992},2,0),"")</f>
        <v/>
      </c>
      <c r="AD18" s="119" t="str">
        <f t="array" ref="AD18">IFERROR(VLOOKUP($C18&amp;AD$2,{MASTER!$Y$2:$Y992,MASTER!$M$2:$M992},2,0),"")</f>
        <v/>
      </c>
      <c r="AE18" s="119" t="str">
        <f t="array" ref="AE18">IFERROR(VLOOKUP($C18&amp;AE$2,{MASTER!$Y$2:$Y992,MASTER!$M$2:$M992},2,0),"")</f>
        <v/>
      </c>
      <c r="AF18" s="119" t="str">
        <f t="array" ref="AF18">IFERROR(VLOOKUP($C18&amp;AF$2,{MASTER!$Y$2:$Y992,MASTER!$M$2:$M992},2,0),"")</f>
        <v/>
      </c>
      <c r="AG18" s="119" t="str">
        <f t="array" ref="AG18">IFERROR(VLOOKUP($C18&amp;AG$2,{MASTER!$Y$2:$Y992,MASTER!$M$2:$M992},2,0),"")</f>
        <v/>
      </c>
      <c r="AH18" s="119">
        <f t="array" ref="AH18">IFERROR(VLOOKUP($C18&amp;AH$2,{MASTER!$Y$2:$Y992,MASTER!$M$2:$M992},2,0),"")</f>
        <v>1662</v>
      </c>
      <c r="AI18" s="119" t="str">
        <f t="array" ref="AI18">IFERROR(VLOOKUP($C18&amp;AI$2,{MASTER!$Y$2:$Y992,MASTER!$M$2:$M992},2,0),"")</f>
        <v/>
      </c>
      <c r="AJ18" s="119" t="str">
        <f t="array" ref="AJ18">IFERROR(VLOOKUP($C18&amp;AJ$2,{MASTER!$Y$2:$Y992,MASTER!$M$2:$M992},2,0),"")</f>
        <v/>
      </c>
      <c r="AK18" s="119" t="str">
        <f t="array" ref="AK18">IFERROR(VLOOKUP($C18&amp;AK$2,{MASTER!$Y$2:$Y992,MASTER!$M$2:$M992},2,0),"")</f>
        <v/>
      </c>
      <c r="AL18" s="119" t="str">
        <f t="array" ref="AL18">IFERROR(VLOOKUP($C18&amp;AL$2,{MASTER!$Y$2:$Y992,MASTER!$M$2:$M992},2,0),"")</f>
        <v/>
      </c>
      <c r="AM18" s="119">
        <f t="array" ref="AM18">IFERROR(VLOOKUP($C18&amp;AM$2,{MASTER!$Y$2:$Y992,MASTER!$M$2:$M992},2,0),"")</f>
        <v>2352</v>
      </c>
      <c r="AN18" s="119" t="str">
        <f t="array" ref="AN18">IFERROR(VLOOKUP($C18&amp;AN$2,{MASTER!$Y$2:$Y992,MASTER!$M$2:$M992},2,0),"")</f>
        <v/>
      </c>
      <c r="AO18" s="119">
        <f t="array" ref="AO18">IFERROR(VLOOKUP($C18&amp;AO$2,{MASTER!$Y$2:$Y992,MASTER!$M$2:$M992},2,0),"")</f>
        <v>2310</v>
      </c>
      <c r="AP18" s="119" t="str">
        <f t="array" ref="AP18">IFERROR(VLOOKUP($C18&amp;AP$2,{MASTER!$Y$2:$Y992,MASTER!$M$2:$M992},2,0),"")</f>
        <v/>
      </c>
      <c r="AQ18" s="119">
        <f t="array" ref="AQ18">IFERROR(VLOOKUP($C18&amp;AQ$2,{MASTER!$Y$2:$Y992,MASTER!$M$2:$M992},2,0),"")</f>
        <v>2513</v>
      </c>
      <c r="AR18" s="119" t="str">
        <f t="array" ref="AR18">IFERROR(VLOOKUP($C18&amp;AR$2,{MASTER!$Y$2:$Y992,MASTER!$M$2:$M992},2,0),"")</f>
        <v/>
      </c>
      <c r="AS18" s="119" t="str">
        <f t="array" ref="AS18">IFERROR(VLOOKUP($C18&amp;AS$2,{MASTER!$Y$2:$Y992,MASTER!$M$2:$M992},2,0),"")</f>
        <v/>
      </c>
      <c r="AT18" s="119" t="str">
        <f t="array" ref="AT18">IFERROR(VLOOKUP($C18&amp;AT$2,{MASTER!$Y$2:$Y992,MASTER!$M$2:$M992},2,0),"")</f>
        <v/>
      </c>
      <c r="AU18" s="119" t="str">
        <f t="array" ref="AU18">IFERROR(VLOOKUP($C18&amp;AU$2,{MASTER!$Y$2:$Y992,MASTER!$M$2:$M992},2,0),"")</f>
        <v/>
      </c>
      <c r="AV18" s="119" t="str">
        <f t="array" ref="AV18">IFERROR(VLOOKUP($C18&amp;AV$2,{MASTER!$Y$2:$Y992,MASTER!$M$2:$M992},2,0),"")</f>
        <v/>
      </c>
      <c r="AW18" s="119" t="str">
        <f t="array" ref="AW18">IFERROR(VLOOKUP($C18&amp;AW$2,{MASTER!$Y$2:$Y992,MASTER!$M$2:$M992},2,0),"")</f>
        <v/>
      </c>
      <c r="AX18" s="119" t="str">
        <f t="array" ref="AX18">IFERROR(VLOOKUP($C18&amp;AX$2,{MASTER!$Y$2:$Y992,MASTER!$M$2:$M992},2,0),"")</f>
        <v/>
      </c>
      <c r="AY18" s="119" t="str">
        <f t="array" ref="AY18">IFERROR(VLOOKUP($C18&amp;AY$2,{MASTER!$Y$2:$Y992,MASTER!$M$2:$M992},2,0),"")</f>
        <v/>
      </c>
      <c r="AZ18" s="119" t="str">
        <f t="array" ref="AZ18">IFERROR(VLOOKUP($C18&amp;AZ$2,{MASTER!$Y$2:$Y992,MASTER!$M$2:$M992},2,0),"")</f>
        <v/>
      </c>
      <c r="BA18" s="119" t="str">
        <f t="array" ref="BA18">IFERROR(VLOOKUP($C18&amp;BA$2,{MASTER!$Y$2:$Y992,MASTER!$M$2:$M992},2,0),"")</f>
        <v/>
      </c>
      <c r="BB18" s="119">
        <f t="array" ref="BB18">IFERROR(VLOOKUP($C18&amp;BB$2,{MASTER!$Y$2:$Y992,MASTER!$M$2:$M992},2,0),"")</f>
        <v>754</v>
      </c>
    </row>
    <row r="19">
      <c r="A19" s="116">
        <f t="shared" si="1"/>
        <v>38</v>
      </c>
      <c r="B19" s="120"/>
      <c r="C19" s="230" t="s">
        <v>1129</v>
      </c>
      <c r="D19" s="119">
        <f t="array" ref="D19">IFERROR(VLOOKUP($C19&amp;D$2,{MASTER!$Y$2:$Y992,MASTER!$M$2:$M992},2,0),"")</f>
        <v>616</v>
      </c>
      <c r="E19" s="119">
        <f t="array" ref="E19">IFERROR(VLOOKUP($C19&amp;E$2,{MASTER!$Y$2:$Y992,MASTER!$M$2:$M992},2,0),"")</f>
        <v>1399</v>
      </c>
      <c r="F19" s="119" t="str">
        <f t="array" ref="F19">IFERROR(VLOOKUP($C19&amp;F$2,{MASTER!$Y$2:$Y992,MASTER!$M$2:$M992},2,0),"")</f>
        <v/>
      </c>
      <c r="G19" s="119">
        <f t="array" ref="G19">IFERROR(VLOOKUP($C19&amp;G$2,{MASTER!$Y$2:$Y992,MASTER!$M$2:$M992},2,0),"")</f>
        <v>786</v>
      </c>
      <c r="H19" s="119" t="str">
        <f t="array" ref="H19">IFERROR(VLOOKUP($C19&amp;H$2,{MASTER!$Y$2:$Y992,MASTER!$M$2:$M992},2,0),"")</f>
        <v/>
      </c>
      <c r="I19" s="119">
        <f t="array" ref="I19">IFERROR(VLOOKUP($C19&amp;I$2,{MASTER!$Y$2:$Y992,MASTER!$M$2:$M992},2,0),"")</f>
        <v>462</v>
      </c>
      <c r="J19" s="119">
        <f t="array" ref="J19">IFERROR(VLOOKUP($C19&amp;J$2,{MASTER!$Y$2:$Y992,MASTER!$M$2:$M992},2,0),"")</f>
        <v>790</v>
      </c>
      <c r="K19" s="119">
        <f t="array" ref="K19">IFERROR(VLOOKUP($C19&amp;K$2,{MASTER!$Y$2:$Y992,MASTER!$M$2:$M992},2,0),"")</f>
        <v>445</v>
      </c>
      <c r="L19" s="119">
        <f t="array" ref="L19">IFERROR(VLOOKUP($C19&amp;L$2,{MASTER!$Y$2:$Y992,MASTER!$M$2:$M992},2,0),"")</f>
        <v>363</v>
      </c>
      <c r="M19" s="119">
        <f t="array" ref="M19">IFERROR(VLOOKUP($C19&amp;M$2,{MASTER!$Y$2:$Y992,MASTER!$M$2:$M992},2,0),"")</f>
        <v>534</v>
      </c>
      <c r="N19" s="119" t="str">
        <f t="array" ref="N19">IFERROR(VLOOKUP($C19&amp;N$2,{MASTER!$Y$2:$Y992,MASTER!$M$2:$M992},2,0),"")</f>
        <v/>
      </c>
      <c r="O19" s="119">
        <f t="array" ref="O19">IFERROR(VLOOKUP($C19&amp;O$2,{MASTER!$Y$2:$Y992,MASTER!$M$2:$M992},2,0),"")</f>
        <v>318</v>
      </c>
      <c r="P19" s="119">
        <f t="array" ref="P19">IFERROR(VLOOKUP($C19&amp;P$2,{MASTER!$Y$2:$Y992,MASTER!$M$2:$M992},2,0),"")</f>
        <v>638</v>
      </c>
      <c r="Q19" s="119">
        <f t="array" ref="Q19">IFERROR(VLOOKUP($C19&amp;Q$2,{MASTER!$Y$2:$Y992,MASTER!$M$2:$M992},2,0),"")</f>
        <v>736</v>
      </c>
      <c r="R19" s="119" t="str">
        <f t="array" ref="R19">IFERROR(VLOOKUP($C19&amp;R$2,{MASTER!$Y$2:$Y992,MASTER!$M$2:$M992},2,0),"")</f>
        <v/>
      </c>
      <c r="S19" s="119">
        <f t="array" ref="S19">IFERROR(VLOOKUP($C19&amp;S$2,{MASTER!$Y$2:$Y992,MASTER!$M$2:$M992},2,0),"")</f>
        <v>842</v>
      </c>
      <c r="T19" s="119">
        <f t="array" ref="T19">IFERROR(VLOOKUP($C19&amp;T$2,{MASTER!$Y$2:$Y992,MASTER!$M$2:$M992},2,0),"")</f>
        <v>729</v>
      </c>
      <c r="U19" s="119" t="str">
        <f t="array" ref="U19">IFERROR(VLOOKUP($C19&amp;U$2,{MASTER!$Y$2:$Y992,MASTER!$M$2:$M992},2,0),"")</f>
        <v/>
      </c>
      <c r="V19" s="119">
        <f t="array" ref="V19">IFERROR(VLOOKUP($C19&amp;V$2,{MASTER!$Y$2:$Y992,MASTER!$M$2:$M992},2,0),"")</f>
        <v>506</v>
      </c>
      <c r="W19" s="119">
        <f t="array" ref="W19">IFERROR(VLOOKUP($C19&amp;W$2,{MASTER!$Y$2:$Y992,MASTER!$M$2:$M992},2,0),"")</f>
        <v>535</v>
      </c>
      <c r="X19" s="119" t="str">
        <f t="array" ref="X19">IFERROR(VLOOKUP($C19&amp;X$2,{MASTER!$Y$2:$Y992,MASTER!$M$2:$M992},2,0),"")</f>
        <v/>
      </c>
      <c r="Y19" s="119" t="str">
        <f t="array" ref="Y19">IFERROR(VLOOKUP($C19&amp;Y$2,{MASTER!$Y$2:$Y992,MASTER!$M$2:$M992},2,0),"")</f>
        <v/>
      </c>
      <c r="Z19" s="119">
        <f t="array" ref="Z19">IFERROR(VLOOKUP($C19&amp;Z$2,{MASTER!$Y$2:$Y992,MASTER!$M$2:$M992},2,0),"")</f>
        <v>1335</v>
      </c>
      <c r="AA19" s="119">
        <f t="array" ref="AA19">IFERROR(VLOOKUP($C19&amp;AA$2,{MASTER!$Y$2:$Y992,MASTER!$M$2:$M992},2,0),"")</f>
        <v>1073</v>
      </c>
      <c r="AB19" s="119">
        <f t="array" ref="AB19">IFERROR(VLOOKUP($C19&amp;AB$2,{MASTER!$Y$2:$Y992,MASTER!$M$2:$M992},2,0),"")</f>
        <v>1770</v>
      </c>
      <c r="AC19" s="119">
        <f t="array" ref="AC19">IFERROR(VLOOKUP($C19&amp;AC$2,{MASTER!$Y$2:$Y992,MASTER!$M$2:$M992},2,0),"")</f>
        <v>1783</v>
      </c>
      <c r="AD19" s="119" t="str">
        <f t="array" ref="AD19">IFERROR(VLOOKUP($C19&amp;AD$2,{MASTER!$Y$2:$Y992,MASTER!$M$2:$M992},2,0),"")</f>
        <v/>
      </c>
      <c r="AE19" s="119">
        <f t="array" ref="AE19">IFERROR(VLOOKUP($C19&amp;AE$2,{MASTER!$Y$2:$Y992,MASTER!$M$2:$M992},2,0),"")</f>
        <v>1070</v>
      </c>
      <c r="AF19" s="119">
        <f t="array" ref="AF19">IFERROR(VLOOKUP($C19&amp;AF$2,{MASTER!$Y$2:$Y992,MASTER!$M$2:$M992},2,0),"")</f>
        <v>679</v>
      </c>
      <c r="AG19" s="119" t="str">
        <f t="array" ref="AG19">IFERROR(VLOOKUP($C19&amp;AG$2,{MASTER!$Y$2:$Y992,MASTER!$M$2:$M992},2,0),"")</f>
        <v/>
      </c>
      <c r="AH19" s="119">
        <f t="array" ref="AH19">IFERROR(VLOOKUP($C19&amp;AH$2,{MASTER!$Y$2:$Y992,MASTER!$M$2:$M992},2,0),"")</f>
        <v>1551</v>
      </c>
      <c r="AI19" s="119" t="str">
        <f t="array" ref="AI19">IFERROR(VLOOKUP($C19&amp;AI$2,{MASTER!$Y$2:$Y992,MASTER!$M$2:$M992},2,0),"")</f>
        <v/>
      </c>
      <c r="AJ19" s="119" t="str">
        <f t="array" ref="AJ19">IFERROR(VLOOKUP($C19&amp;AJ$2,{MASTER!$Y$2:$Y992,MASTER!$M$2:$M992},2,0),"")</f>
        <v/>
      </c>
      <c r="AK19" s="119" t="str">
        <f t="array" ref="AK19">IFERROR(VLOOKUP($C19&amp;AK$2,{MASTER!$Y$2:$Y992,MASTER!$M$2:$M992},2,0),"")</f>
        <v/>
      </c>
      <c r="AL19" s="119" t="str">
        <f t="array" ref="AL19">IFERROR(VLOOKUP($C19&amp;AL$2,{MASTER!$Y$2:$Y992,MASTER!$M$2:$M992},2,0),"")</f>
        <v/>
      </c>
      <c r="AM19" s="119">
        <f t="array" ref="AM19">IFERROR(VLOOKUP($C19&amp;AM$2,{MASTER!$Y$2:$Y992,MASTER!$M$2:$M992},2,0),"")</f>
        <v>2298</v>
      </c>
      <c r="AN19" s="119">
        <f t="array" ref="AN19">IFERROR(VLOOKUP($C19&amp;AN$2,{MASTER!$Y$2:$Y992,MASTER!$M$2:$M992},2,0),"")</f>
        <v>1948</v>
      </c>
      <c r="AO19" s="119">
        <f t="array" ref="AO19">IFERROR(VLOOKUP($C19&amp;AO$2,{MASTER!$Y$2:$Y992,MASTER!$M$2:$M992},2,0),"")</f>
        <v>2256</v>
      </c>
      <c r="AP19" s="119">
        <f t="array" ref="AP19">IFERROR(VLOOKUP($C19&amp;AP$2,{MASTER!$Y$2:$Y992,MASTER!$M$2:$M992},2,0),"")</f>
        <v>3499</v>
      </c>
      <c r="AQ19" s="119">
        <f t="array" ref="AQ19">IFERROR(VLOOKUP($C19&amp;AQ$2,{MASTER!$Y$2:$Y992,MASTER!$M$2:$M992},2,0),"")</f>
        <v>2458</v>
      </c>
      <c r="AR19" s="119">
        <f t="array" ref="AR19">IFERROR(VLOOKUP($C19&amp;AR$2,{MASTER!$Y$2:$Y992,MASTER!$M$2:$M992},2,0),"")</f>
        <v>1848</v>
      </c>
      <c r="AS19" s="119">
        <f t="array" ref="AS19">IFERROR(VLOOKUP($C19&amp;AS$2,{MASTER!$Y$2:$Y992,MASTER!$M$2:$M992},2,0),"")</f>
        <v>2207</v>
      </c>
      <c r="AT19" s="119">
        <f t="array" ref="AT19">IFERROR(VLOOKUP($C19&amp;AT$2,{MASTER!$Y$2:$Y992,MASTER!$M$2:$M992},2,0),"")</f>
        <v>2189.39</v>
      </c>
      <c r="AU19" s="119">
        <f t="array" ref="AU19">IFERROR(VLOOKUP($C19&amp;AU$2,{MASTER!$Y$2:$Y992,MASTER!$M$2:$M992},2,0),"")</f>
        <v>2131</v>
      </c>
      <c r="AV19" s="119">
        <f t="array" ref="AV19">IFERROR(VLOOKUP($C19&amp;AV$2,{MASTER!$Y$2:$Y992,MASTER!$M$2:$M992},2,0),"")</f>
        <v>1977</v>
      </c>
      <c r="AW19" s="119">
        <f t="array" ref="AW19">IFERROR(VLOOKUP($C19&amp;AW$2,{MASTER!$Y$2:$Y992,MASTER!$M$2:$M992},2,0),"")</f>
        <v>1972.93</v>
      </c>
      <c r="AX19" s="119">
        <f t="array" ref="AX19">IFERROR(VLOOKUP($C19&amp;AX$2,{MASTER!$Y$2:$Y992,MASTER!$M$2:$M992},2,0),"")</f>
        <v>2188</v>
      </c>
      <c r="AY19" s="119">
        <f t="array" ref="AY19">IFERROR(VLOOKUP($C19&amp;AY$2,{MASTER!$Y$2:$Y992,MASTER!$M$2:$M992},2,0),"")</f>
        <v>2869</v>
      </c>
      <c r="AZ19" s="119">
        <f t="array" ref="AZ19">IFERROR(VLOOKUP($C19&amp;AZ$2,{MASTER!$Y$2:$Y992,MASTER!$M$2:$M992},2,0),"")</f>
        <v>373</v>
      </c>
      <c r="BA19" s="119">
        <f t="array" ref="BA19">IFERROR(VLOOKUP($C19&amp;BA$2,{MASTER!$Y$2:$Y992,MASTER!$M$2:$M992},2,0),"")</f>
        <v>618</v>
      </c>
      <c r="BB19" s="119">
        <f t="array" ref="BB19">IFERROR(VLOOKUP($C19&amp;BB$2,{MASTER!$Y$2:$Y992,MASTER!$M$2:$M992},2,0),"")</f>
        <v>732</v>
      </c>
    </row>
    <row r="20">
      <c r="A20" s="116">
        <f t="shared" si="1"/>
        <v>22</v>
      </c>
      <c r="B20" s="120"/>
      <c r="C20" s="230" t="s">
        <v>1183</v>
      </c>
      <c r="D20" s="119">
        <f t="array" ref="D20">IFERROR(VLOOKUP($C20&amp;D$2,{MASTER!$Y$2:$Y992,MASTER!$M$2:$M992},2,0),"")</f>
        <v>667</v>
      </c>
      <c r="E20" s="119">
        <f t="array" ref="E20">IFERROR(VLOOKUP($C20&amp;E$2,{MASTER!$Y$2:$Y992,MASTER!$M$2:$M992},2,0),"")</f>
        <v>1452</v>
      </c>
      <c r="F20" s="119" t="str">
        <f t="array" ref="F20">IFERROR(VLOOKUP($C20&amp;F$2,{MASTER!$Y$2:$Y992,MASTER!$M$2:$M992},2,0),"")</f>
        <v/>
      </c>
      <c r="G20" s="119">
        <f t="array" ref="G20">IFERROR(VLOOKUP($C20&amp;G$2,{MASTER!$Y$2:$Y992,MASTER!$M$2:$M992},2,0),"")</f>
        <v>843</v>
      </c>
      <c r="H20" s="119" t="str">
        <f t="array" ref="H20">IFERROR(VLOOKUP($C20&amp;H$2,{MASTER!$Y$2:$Y992,MASTER!$M$2:$M992},2,0),"")</f>
        <v/>
      </c>
      <c r="I20" s="119">
        <f t="array" ref="I20">IFERROR(VLOOKUP($C20&amp;I$2,{MASTER!$Y$2:$Y992,MASTER!$M$2:$M992},2,0),"")</f>
        <v>527</v>
      </c>
      <c r="J20" s="119">
        <f t="array" ref="J20">IFERROR(VLOOKUP($C20&amp;J$2,{MASTER!$Y$2:$Y992,MASTER!$M$2:$M992},2,0),"")</f>
        <v>808</v>
      </c>
      <c r="K20" s="119">
        <f t="array" ref="K20">IFERROR(VLOOKUP($C20&amp;K$2,{MASTER!$Y$2:$Y992,MASTER!$M$2:$M992},2,0),"")</f>
        <v>445</v>
      </c>
      <c r="L20" s="119">
        <f t="array" ref="L20">IFERROR(VLOOKUP($C20&amp;L$2,{MASTER!$Y$2:$Y992,MASTER!$M$2:$M992},2,0),"")</f>
        <v>381</v>
      </c>
      <c r="M20" s="119">
        <f t="array" ref="M20">IFERROR(VLOOKUP($C20&amp;M$2,{MASTER!$Y$2:$Y992,MASTER!$M$2:$M992},2,0),"")</f>
        <v>608</v>
      </c>
      <c r="N20" s="119" t="str">
        <f t="array" ref="N20">IFERROR(VLOOKUP($C20&amp;N$2,{MASTER!$Y$2:$Y992,MASTER!$M$2:$M992},2,0),"")</f>
        <v/>
      </c>
      <c r="O20" s="119">
        <f t="array" ref="O20">IFERROR(VLOOKUP($C20&amp;O$2,{MASTER!$Y$2:$Y992,MASTER!$M$2:$M992},2,0),"")</f>
        <v>370</v>
      </c>
      <c r="P20" s="119">
        <f t="array" ref="P20">IFERROR(VLOOKUP($C20&amp;P$2,{MASTER!$Y$2:$Y992,MASTER!$M$2:$M992},2,0),"")</f>
        <v>741</v>
      </c>
      <c r="Q20" s="119">
        <f t="array" ref="Q20">IFERROR(VLOOKUP($C20&amp;Q$2,{MASTER!$Y$2:$Y992,MASTER!$M$2:$M992},2,0),"")</f>
        <v>870</v>
      </c>
      <c r="R20" s="119" t="str">
        <f t="array" ref="R20">IFERROR(VLOOKUP($C20&amp;R$2,{MASTER!$Y$2:$Y992,MASTER!$M$2:$M992},2,0),"")</f>
        <v/>
      </c>
      <c r="S20" s="119">
        <f t="array" ref="S20">IFERROR(VLOOKUP($C20&amp;S$2,{MASTER!$Y$2:$Y992,MASTER!$M$2:$M992},2,0),"")</f>
        <v>893</v>
      </c>
      <c r="T20" s="119">
        <f t="array" ref="T20">IFERROR(VLOOKUP($C20&amp;T$2,{MASTER!$Y$2:$Y992,MASTER!$M$2:$M992},2,0),"")</f>
        <v>785</v>
      </c>
      <c r="U20" s="119" t="str">
        <f t="array" ref="U20">IFERROR(VLOOKUP($C20&amp;U$2,{MASTER!$Y$2:$Y992,MASTER!$M$2:$M992},2,0),"")</f>
        <v/>
      </c>
      <c r="V20" s="119">
        <f t="array" ref="V20">IFERROR(VLOOKUP($C20&amp;V$2,{MASTER!$Y$2:$Y992,MASTER!$M$2:$M992},2,0),"")</f>
        <v>524</v>
      </c>
      <c r="W20" s="119">
        <f t="array" ref="W20">IFERROR(VLOOKUP($C20&amp;W$2,{MASTER!$Y$2:$Y992,MASTER!$M$2:$M992},2,0),"")</f>
        <v>553</v>
      </c>
      <c r="X20" s="119" t="str">
        <f t="array" ref="X20">IFERROR(VLOOKUP($C20&amp;X$2,{MASTER!$Y$2:$Y992,MASTER!$M$2:$M992},2,0),"")</f>
        <v/>
      </c>
      <c r="Y20" s="119" t="str">
        <f t="array" ref="Y20">IFERROR(VLOOKUP($C20&amp;Y$2,{MASTER!$Y$2:$Y992,MASTER!$M$2:$M992},2,0),"")</f>
        <v/>
      </c>
      <c r="Z20" s="119">
        <f t="array" ref="Z20">IFERROR(VLOOKUP($C20&amp;Z$2,{MASTER!$Y$2:$Y992,MASTER!$M$2:$M992},2,0),"")</f>
        <v>1440</v>
      </c>
      <c r="AA20" s="119" t="str">
        <f t="array" ref="AA20">IFERROR(VLOOKUP($C20&amp;AA$2,{MASTER!$Y$2:$Y992,MASTER!$M$2:$M992},2,0),"")</f>
        <v/>
      </c>
      <c r="AB20" s="119" t="str">
        <f t="array" ref="AB20">IFERROR(VLOOKUP($C20&amp;AB$2,{MASTER!$Y$2:$Y992,MASTER!$M$2:$M992},2,0),"")</f>
        <v/>
      </c>
      <c r="AC20" s="119" t="str">
        <f t="array" ref="AC20">IFERROR(VLOOKUP($C20&amp;AC$2,{MASTER!$Y$2:$Y992,MASTER!$M$2:$M992},2,0),"")</f>
        <v/>
      </c>
      <c r="AD20" s="119" t="str">
        <f t="array" ref="AD20">IFERROR(VLOOKUP($C20&amp;AD$2,{MASTER!$Y$2:$Y992,MASTER!$M$2:$M992},2,0),"")</f>
        <v/>
      </c>
      <c r="AE20" s="119" t="str">
        <f t="array" ref="AE20">IFERROR(VLOOKUP($C20&amp;AE$2,{MASTER!$Y$2:$Y992,MASTER!$M$2:$M992},2,0),"")</f>
        <v/>
      </c>
      <c r="AF20" s="119" t="str">
        <f t="array" ref="AF20">IFERROR(VLOOKUP($C20&amp;AF$2,{MASTER!$Y$2:$Y992,MASTER!$M$2:$M992},2,0),"")</f>
        <v/>
      </c>
      <c r="AG20" s="119" t="str">
        <f t="array" ref="AG20">IFERROR(VLOOKUP($C20&amp;AG$2,{MASTER!$Y$2:$Y992,MASTER!$M$2:$M992},2,0),"")</f>
        <v/>
      </c>
      <c r="AH20" s="119">
        <f t="array" ref="AH20">IFERROR(VLOOKUP($C20&amp;AH$2,{MASTER!$Y$2:$Y992,MASTER!$M$2:$M992},2,0),"")</f>
        <v>1655</v>
      </c>
      <c r="AI20" s="119" t="str">
        <f t="array" ref="AI20">IFERROR(VLOOKUP($C20&amp;AI$2,{MASTER!$Y$2:$Y992,MASTER!$M$2:$M992},2,0),"")</f>
        <v/>
      </c>
      <c r="AJ20" s="119" t="str">
        <f t="array" ref="AJ20">IFERROR(VLOOKUP($C20&amp;AJ$2,{MASTER!$Y$2:$Y992,MASTER!$M$2:$M992},2,0),"")</f>
        <v/>
      </c>
      <c r="AK20" s="119" t="str">
        <f t="array" ref="AK20">IFERROR(VLOOKUP($C20&amp;AK$2,{MASTER!$Y$2:$Y992,MASTER!$M$2:$M992},2,0),"")</f>
        <v/>
      </c>
      <c r="AL20" s="119" t="str">
        <f t="array" ref="AL20">IFERROR(VLOOKUP($C20&amp;AL$2,{MASTER!$Y$2:$Y992,MASTER!$M$2:$M992},2,0),"")</f>
        <v/>
      </c>
      <c r="AM20" s="119">
        <f t="array" ref="AM20">IFERROR(VLOOKUP($C20&amp;AM$2,{MASTER!$Y$2:$Y992,MASTER!$M$2:$M992},2,0),"")</f>
        <v>2281</v>
      </c>
      <c r="AN20" s="119" t="str">
        <f t="array" ref="AN20">IFERROR(VLOOKUP($C20&amp;AN$2,{MASTER!$Y$2:$Y992,MASTER!$M$2:$M992},2,0),"")</f>
        <v/>
      </c>
      <c r="AO20" s="119">
        <f t="array" ref="AO20">IFERROR(VLOOKUP($C20&amp;AO$2,{MASTER!$Y$2:$Y992,MASTER!$M$2:$M992},2,0),"")</f>
        <v>2241</v>
      </c>
      <c r="AP20" s="119" t="str">
        <f t="array" ref="AP20">IFERROR(VLOOKUP($C20&amp;AP$2,{MASTER!$Y$2:$Y992,MASTER!$M$2:$M992},2,0),"")</f>
        <v/>
      </c>
      <c r="AQ20" s="119">
        <f t="array" ref="AQ20">IFERROR(VLOOKUP($C20&amp;AQ$2,{MASTER!$Y$2:$Y992,MASTER!$M$2:$M992},2,0),"")</f>
        <v>2580</v>
      </c>
      <c r="AR20" s="119" t="str">
        <f t="array" ref="AR20">IFERROR(VLOOKUP($C20&amp;AR$2,{MASTER!$Y$2:$Y992,MASTER!$M$2:$M992},2,0),"")</f>
        <v/>
      </c>
      <c r="AS20" s="119" t="str">
        <f t="array" ref="AS20">IFERROR(VLOOKUP($C20&amp;AS$2,{MASTER!$Y$2:$Y992,MASTER!$M$2:$M992},2,0),"")</f>
        <v/>
      </c>
      <c r="AT20" s="119" t="str">
        <f t="array" ref="AT20">IFERROR(VLOOKUP($C20&amp;AT$2,{MASTER!$Y$2:$Y992,MASTER!$M$2:$M992},2,0),"")</f>
        <v/>
      </c>
      <c r="AU20" s="119" t="str">
        <f t="array" ref="AU20">IFERROR(VLOOKUP($C20&amp;AU$2,{MASTER!$Y$2:$Y992,MASTER!$M$2:$M992},2,0),"")</f>
        <v/>
      </c>
      <c r="AV20" s="119" t="str">
        <f t="array" ref="AV20">IFERROR(VLOOKUP($C20&amp;AV$2,{MASTER!$Y$2:$Y992,MASTER!$M$2:$M992},2,0),"")</f>
        <v/>
      </c>
      <c r="AW20" s="119" t="str">
        <f t="array" ref="AW20">IFERROR(VLOOKUP($C20&amp;AW$2,{MASTER!$Y$2:$Y992,MASTER!$M$2:$M992},2,0),"")</f>
        <v/>
      </c>
      <c r="AX20" s="119" t="str">
        <f t="array" ref="AX20">IFERROR(VLOOKUP($C20&amp;AX$2,{MASTER!$Y$2:$Y992,MASTER!$M$2:$M992},2,0),"")</f>
        <v/>
      </c>
      <c r="AY20" s="119">
        <f t="array" ref="AY20">IFERROR(VLOOKUP($C20&amp;AY$2,{MASTER!$Y$2:$Y992,MASTER!$M$2:$M992},2,0),"")</f>
        <v>2982</v>
      </c>
      <c r="AZ20" s="119" t="str">
        <f t="array" ref="AZ20">IFERROR(VLOOKUP($C20&amp;AZ$2,{MASTER!$Y$2:$Y992,MASTER!$M$2:$M992},2,0),"")</f>
        <v/>
      </c>
      <c r="BA20" s="119" t="str">
        <f t="array" ref="BA20">IFERROR(VLOOKUP($C20&amp;BA$2,{MASTER!$Y$2:$Y992,MASTER!$M$2:$M992},2,0),"")</f>
        <v/>
      </c>
      <c r="BB20" s="119">
        <f t="array" ref="BB20">IFERROR(VLOOKUP($C20&amp;BB$2,{MASTER!$Y$2:$Y992,MASTER!$M$2:$M992},2,0),"")</f>
        <v>750</v>
      </c>
    </row>
    <row r="21">
      <c r="A21" s="116">
        <f t="shared" si="1"/>
        <v>36</v>
      </c>
      <c r="B21" s="120"/>
      <c r="C21" s="230" t="s">
        <v>1189</v>
      </c>
      <c r="D21" s="119">
        <f t="array" ref="D21">IFERROR(VLOOKUP($C21&amp;D$2,{MASTER!$Y$2:$Y992,MASTER!$M$2:$M992},2,0),"")</f>
        <v>629</v>
      </c>
      <c r="E21" s="119">
        <f t="array" ref="E21">IFERROR(VLOOKUP($C21&amp;E$2,{MASTER!$Y$2:$Y992,MASTER!$M$2:$M992},2,0),"")</f>
        <v>1439</v>
      </c>
      <c r="F21" s="119" t="str">
        <f t="array" ref="F21">IFERROR(VLOOKUP($C21&amp;F$2,{MASTER!$Y$2:$Y992,MASTER!$M$2:$M992},2,0),"")</f>
        <v/>
      </c>
      <c r="G21" s="119">
        <f t="array" ref="G21">IFERROR(VLOOKUP($C21&amp;G$2,{MASTER!$Y$2:$Y992,MASTER!$M$2:$M992},2,0),"")</f>
        <v>805</v>
      </c>
      <c r="H21" s="119" t="str">
        <f t="array" ref="H21">IFERROR(VLOOKUP($C21&amp;H$2,{MASTER!$Y$2:$Y992,MASTER!$M$2:$M992},2,0),"")</f>
        <v/>
      </c>
      <c r="I21" s="119">
        <f t="array" ref="I21">IFERROR(VLOOKUP($C21&amp;I$2,{MASTER!$Y$2:$Y992,MASTER!$M$2:$M992},2,0),"")</f>
        <v>488</v>
      </c>
      <c r="J21" s="119">
        <f t="array" ref="J21">IFERROR(VLOOKUP($C21&amp;J$2,{MASTER!$Y$2:$Y992,MASTER!$M$2:$M992},2,0),"")</f>
        <v>804</v>
      </c>
      <c r="K21" s="119">
        <f t="array" ref="K21">IFERROR(VLOOKUP($C21&amp;K$2,{MASTER!$Y$2:$Y992,MASTER!$M$2:$M992},2,0),"")</f>
        <v>445</v>
      </c>
      <c r="L21" s="119">
        <f t="array" ref="L21">IFERROR(VLOOKUP($C21&amp;L$2,{MASTER!$Y$2:$Y992,MASTER!$M$2:$M992},2,0),"")</f>
        <v>376</v>
      </c>
      <c r="M21" s="119">
        <f t="array" ref="M21">IFERROR(VLOOKUP($C21&amp;M$2,{MASTER!$Y$2:$Y992,MASTER!$M$2:$M992},2,0),"")</f>
        <v>566</v>
      </c>
      <c r="N21" s="119" t="str">
        <f t="array" ref="N21">IFERROR(VLOOKUP($C21&amp;N$2,{MASTER!$Y$2:$Y992,MASTER!$M$2:$M992},2,0),"")</f>
        <v/>
      </c>
      <c r="O21" s="119">
        <f t="array" ref="O21">IFERROR(VLOOKUP($C21&amp;O$2,{MASTER!$Y$2:$Y992,MASTER!$M$2:$M992},2,0),"")</f>
        <v>335</v>
      </c>
      <c r="P21" s="119">
        <f t="array" ref="P21">IFERROR(VLOOKUP($C21&amp;P$2,{MASTER!$Y$2:$Y992,MASTER!$M$2:$M992},2,0),"")</f>
        <v>664</v>
      </c>
      <c r="Q21" s="119">
        <f t="array" ref="Q21">IFERROR(VLOOKUP($C21&amp;Q$2,{MASTER!$Y$2:$Y992,MASTER!$M$2:$M992},2,0),"")</f>
        <v>794</v>
      </c>
      <c r="R21" s="119" t="str">
        <f t="array" ref="R21">IFERROR(VLOOKUP($C21&amp;R$2,{MASTER!$Y$2:$Y992,MASTER!$M$2:$M992},2,0),"")</f>
        <v/>
      </c>
      <c r="S21" s="119">
        <f t="array" ref="S21">IFERROR(VLOOKUP($C21&amp;S$2,{MASTER!$Y$2:$Y992,MASTER!$M$2:$M992},2,0),"")</f>
        <v>855</v>
      </c>
      <c r="T21" s="119">
        <f t="array" ref="T21">IFERROR(VLOOKUP($C21&amp;T$2,{MASTER!$Y$2:$Y992,MASTER!$M$2:$M992},2,0),"")</f>
        <v>749</v>
      </c>
      <c r="U21" s="119" t="str">
        <f t="array" ref="U21">IFERROR(VLOOKUP($C21&amp;U$2,{MASTER!$Y$2:$Y992,MASTER!$M$2:$M992},2,0),"")</f>
        <v/>
      </c>
      <c r="V21" s="119">
        <f t="array" ref="V21">IFERROR(VLOOKUP($C21&amp;V$2,{MASTER!$Y$2:$Y992,MASTER!$M$2:$M992},2,0),"")</f>
        <v>519</v>
      </c>
      <c r="W21" s="119">
        <f t="array" ref="W21">IFERROR(VLOOKUP($C21&amp;W$2,{MASTER!$Y$2:$Y992,MASTER!$M$2:$M992},2,0),"")</f>
        <v>548</v>
      </c>
      <c r="X21" s="119" t="str">
        <f t="array" ref="X21">IFERROR(VLOOKUP($C21&amp;X$2,{MASTER!$Y$2:$Y992,MASTER!$M$2:$M992},2,0),"")</f>
        <v/>
      </c>
      <c r="Y21" s="119" t="str">
        <f t="array" ref="Y21">IFERROR(VLOOKUP($C21&amp;Y$2,{MASTER!$Y$2:$Y992,MASTER!$M$2:$M992},2,0),"")</f>
        <v/>
      </c>
      <c r="Z21" s="119">
        <f t="array" ref="Z21">IFERROR(VLOOKUP($C21&amp;Z$2,{MASTER!$Y$2:$Y992,MASTER!$M$2:$M992},2,0),"")</f>
        <v>1364</v>
      </c>
      <c r="AA21" s="119">
        <f t="array" ref="AA21">IFERROR(VLOOKUP($C21&amp;AA$2,{MASTER!$Y$2:$Y992,MASTER!$M$2:$M992},2,0),"")</f>
        <v>1098</v>
      </c>
      <c r="AB21" s="119">
        <f t="array" ref="AB21">IFERROR(VLOOKUP($C21&amp;AB$2,{MASTER!$Y$2:$Y992,MASTER!$M$2:$M992},2,0),"")</f>
        <v>1912</v>
      </c>
      <c r="AC21" s="119">
        <f t="array" ref="AC21">IFERROR(VLOOKUP($C21&amp;AC$2,{MASTER!$Y$2:$Y992,MASTER!$M$2:$M992},2,0),"")</f>
        <v>1783</v>
      </c>
      <c r="AD21" s="119" t="str">
        <f t="array" ref="AD21">IFERROR(VLOOKUP($C21&amp;AD$2,{MASTER!$Y$2:$Y992,MASTER!$M$2:$M992},2,0),"")</f>
        <v/>
      </c>
      <c r="AE21" s="119">
        <f t="array" ref="AE21">IFERROR(VLOOKUP($C21&amp;AE$2,{MASTER!$Y$2:$Y992,MASTER!$M$2:$M992},2,0),"")</f>
        <v>1070</v>
      </c>
      <c r="AF21" s="119">
        <f t="array" ref="AF21">IFERROR(VLOOKUP($C21&amp;AF$2,{MASTER!$Y$2:$Y992,MASTER!$M$2:$M992},2,0),"")</f>
        <v>710</v>
      </c>
      <c r="AG21" s="119" t="str">
        <f t="array" ref="AG21">IFERROR(VLOOKUP($C21&amp;AG$2,{MASTER!$Y$2:$Y992,MASTER!$M$2:$M992},2,0),"")</f>
        <v/>
      </c>
      <c r="AH21" s="119">
        <f t="array" ref="AH21">IFERROR(VLOOKUP($C21&amp;AH$2,{MASTER!$Y$2:$Y992,MASTER!$M$2:$M992},2,0),"")</f>
        <v>1578</v>
      </c>
      <c r="AI21" s="119" t="str">
        <f t="array" ref="AI21">IFERROR(VLOOKUP($C21&amp;AI$2,{MASTER!$Y$2:$Y992,MASTER!$M$2:$M992},2,0),"")</f>
        <v/>
      </c>
      <c r="AJ21" s="119" t="str">
        <f t="array" ref="AJ21">IFERROR(VLOOKUP($C21&amp;AJ$2,{MASTER!$Y$2:$Y992,MASTER!$M$2:$M992},2,0),"")</f>
        <v/>
      </c>
      <c r="AK21" s="119" t="str">
        <f t="array" ref="AK21">IFERROR(VLOOKUP($C21&amp;AK$2,{MASTER!$Y$2:$Y992,MASTER!$M$2:$M992},2,0),"")</f>
        <v/>
      </c>
      <c r="AL21" s="119" t="str">
        <f t="array" ref="AL21">IFERROR(VLOOKUP($C21&amp;AL$2,{MASTER!$Y$2:$Y992,MASTER!$M$2:$M992},2,0),"")</f>
        <v/>
      </c>
      <c r="AM21" s="119">
        <f t="array" ref="AM21">IFERROR(VLOOKUP($C21&amp;AM$2,{MASTER!$Y$2:$Y992,MASTER!$M$2:$M992},2,0),"")</f>
        <v>2204</v>
      </c>
      <c r="AN21" s="119">
        <f t="array" ref="AN21">IFERROR(VLOOKUP($C21&amp;AN$2,{MASTER!$Y$2:$Y992,MASTER!$M$2:$M992},2,0),"")</f>
        <v>1948</v>
      </c>
      <c r="AO21" s="119">
        <f t="array" ref="AO21">IFERROR(VLOOKUP($C21&amp;AO$2,{MASTER!$Y$2:$Y992,MASTER!$M$2:$M992},2,0),"")</f>
        <v>2136</v>
      </c>
      <c r="AP21" s="119">
        <f t="array" ref="AP21">IFERROR(VLOOKUP($C21&amp;AP$2,{MASTER!$Y$2:$Y992,MASTER!$M$2:$M992},2,0),"")</f>
        <v>3479</v>
      </c>
      <c r="AQ21" s="119">
        <f t="array" ref="AQ21">IFERROR(VLOOKUP($C21&amp;AQ$2,{MASTER!$Y$2:$Y992,MASTER!$M$2:$M992},2,0),"")</f>
        <v>2501</v>
      </c>
      <c r="AR21" s="119">
        <f t="array" ref="AR21">IFERROR(VLOOKUP($C21&amp;AR$2,{MASTER!$Y$2:$Y992,MASTER!$M$2:$M992},2,0),"")</f>
        <v>1852</v>
      </c>
      <c r="AS21" s="119">
        <f t="array" ref="AS21">IFERROR(VLOOKUP($C21&amp;AS$2,{MASTER!$Y$2:$Y992,MASTER!$M$2:$M992},2,0),"")</f>
        <v>2211</v>
      </c>
      <c r="AT21" s="119" t="str">
        <f t="array" ref="AT21">IFERROR(VLOOKUP($C21&amp;AT$2,{MASTER!$Y$2:$Y992,MASTER!$M$2:$M992},2,0),"")</f>
        <v/>
      </c>
      <c r="AU21" s="119">
        <f t="array" ref="AU21">IFERROR(VLOOKUP($C21&amp;AU$2,{MASTER!$Y$2:$Y992,MASTER!$M$2:$M992},2,0),"")</f>
        <v>2124</v>
      </c>
      <c r="AV21" s="119">
        <f t="array" ref="AV21">IFERROR(VLOOKUP($C21&amp;AV$2,{MASTER!$Y$2:$Y992,MASTER!$M$2:$M992},2,0),"")</f>
        <v>1991</v>
      </c>
      <c r="AW21" s="119" t="str">
        <f t="array" ref="AW21">IFERROR(VLOOKUP($C21&amp;AW$2,{MASTER!$Y$2:$Y992,MASTER!$M$2:$M992},2,0),"")</f>
        <v/>
      </c>
      <c r="AX21" s="119">
        <f t="array" ref="AX21">IFERROR(VLOOKUP($C21&amp;AX$2,{MASTER!$Y$2:$Y992,MASTER!$M$2:$M992},2,0),"")</f>
        <v>2181</v>
      </c>
      <c r="AY21" s="119">
        <f t="array" ref="AY21">IFERROR(VLOOKUP($C21&amp;AY$2,{MASTER!$Y$2:$Y992,MASTER!$M$2:$M992},2,0),"")</f>
        <v>2985</v>
      </c>
      <c r="AZ21" s="119">
        <f t="array" ref="AZ21">IFERROR(VLOOKUP($C21&amp;AZ$2,{MASTER!$Y$2:$Y992,MASTER!$M$2:$M992},2,0),"")</f>
        <v>435</v>
      </c>
      <c r="BA21" s="119">
        <f t="array" ref="BA21">IFERROR(VLOOKUP($C21&amp;BA$2,{MASTER!$Y$2:$Y992,MASTER!$M$2:$M992},2,0),"")</f>
        <v>631</v>
      </c>
      <c r="BB21" s="119">
        <f t="array" ref="BB21">IFERROR(VLOOKUP($C21&amp;BB$2,{MASTER!$Y$2:$Y992,MASTER!$M$2:$M992},2,0),"")</f>
        <v>745</v>
      </c>
    </row>
    <row r="22">
      <c r="A22" s="116">
        <f t="shared" si="1"/>
        <v>30</v>
      </c>
      <c r="B22" s="145"/>
      <c r="C22" s="230" t="s">
        <v>1202</v>
      </c>
      <c r="D22" s="119">
        <f t="array" ref="D22">IFERROR(VLOOKUP($C22&amp;D$2,{MASTER!$Y$2:$Y992,MASTER!$M$2:$M992},2,0),"")</f>
        <v>815</v>
      </c>
      <c r="E22" s="119">
        <f t="array" ref="E22">IFERROR(VLOOKUP($C22&amp;E$2,{MASTER!$Y$2:$Y992,MASTER!$M$2:$M992},2,0),"")</f>
        <v>1763</v>
      </c>
      <c r="F22" s="119" t="str">
        <f t="array" ref="F22">IFERROR(VLOOKUP($C22&amp;F$2,{MASTER!$Y$2:$Y992,MASTER!$M$2:$M992},2,0),"")</f>
        <v/>
      </c>
      <c r="G22" s="119">
        <f t="array" ref="G22">IFERROR(VLOOKUP($C22&amp;G$2,{MASTER!$Y$2:$Y992,MASTER!$M$2:$M992},2,0),"")</f>
        <v>1079</v>
      </c>
      <c r="H22" s="119" t="str">
        <f t="array" ref="H22">IFERROR(VLOOKUP($C22&amp;H$2,{MASTER!$Y$2:$Y992,MASTER!$M$2:$M992},2,0),"")</f>
        <v/>
      </c>
      <c r="I22" s="119">
        <f t="array" ref="I22">IFERROR(VLOOKUP($C22&amp;I$2,{MASTER!$Y$2:$Y992,MASTER!$M$2:$M992},2,0),"")</f>
        <v>605</v>
      </c>
      <c r="J22" s="119" t="str">
        <f t="array" ref="J22">IFERROR(VLOOKUP($C22&amp;J$2,{MASTER!$Y$2:$Y992,MASTER!$M$2:$M992},2,0),"")</f>
        <v/>
      </c>
      <c r="K22" s="119" t="str">
        <f t="array" ref="K22">IFERROR(VLOOKUP($C22&amp;K$2,{MASTER!$Y$2:$Y992,MASTER!$M$2:$M992},2,0),"")</f>
        <v/>
      </c>
      <c r="L22" s="119" t="str">
        <f t="array" ref="L22">IFERROR(VLOOKUP($C22&amp;L$2,{MASTER!$Y$2:$Y992,MASTER!$M$2:$M992},2,0),"")</f>
        <v/>
      </c>
      <c r="M22" s="119">
        <f t="array" ref="M22">IFERROR(VLOOKUP($C22&amp;M$2,{MASTER!$Y$2:$Y992,MASTER!$M$2:$M992},2,0),"")</f>
        <v>645</v>
      </c>
      <c r="N22" s="119" t="str">
        <f t="array" ref="N22">IFERROR(VLOOKUP($C22&amp;N$2,{MASTER!$Y$2:$Y992,MASTER!$M$2:$M992},2,0),"")</f>
        <v/>
      </c>
      <c r="O22" s="119">
        <f t="array" ref="O22">IFERROR(VLOOKUP($C22&amp;O$2,{MASTER!$Y$2:$Y992,MASTER!$M$2:$M992},2,0),"")</f>
        <v>383</v>
      </c>
      <c r="P22" s="119">
        <f t="array" ref="P22">IFERROR(VLOOKUP($C22&amp;P$2,{MASTER!$Y$2:$Y992,MASTER!$M$2:$M992},2,0),"")</f>
        <v>774</v>
      </c>
      <c r="Q22" s="119" t="str">
        <f t="array" ref="Q22">IFERROR(VLOOKUP($C22&amp;Q$2,{MASTER!$Y$2:$Y992,MASTER!$M$2:$M992},2,0),"")</f>
        <v/>
      </c>
      <c r="R22" s="119">
        <f t="array" ref="R22">IFERROR(VLOOKUP($C22&amp;R$2,{MASTER!$Y$2:$Y992,MASTER!$M$2:$M992},2,0),"")</f>
        <v>882</v>
      </c>
      <c r="S22" s="119">
        <f t="array" ref="S22">IFERROR(VLOOKUP($C22&amp;S$2,{MASTER!$Y$2:$Y992,MASTER!$M$2:$M992},2,0),"")</f>
        <v>957</v>
      </c>
      <c r="T22" s="119">
        <f t="array" ref="T22">IFERROR(VLOOKUP($C22&amp;T$2,{MASTER!$Y$2:$Y992,MASTER!$M$2:$M992},2,0),"")</f>
        <v>802</v>
      </c>
      <c r="U22" s="119" t="str">
        <f t="array" ref="U22">IFERROR(VLOOKUP($C22&amp;U$2,{MASTER!$Y$2:$Y992,MASTER!$M$2:$M992},2,0),"")</f>
        <v/>
      </c>
      <c r="V22" s="119">
        <f t="array" ref="V22">IFERROR(VLOOKUP($C22&amp;V$2,{MASTER!$Y$2:$Y992,MASTER!$M$2:$M992},2,0),"")</f>
        <v>540</v>
      </c>
      <c r="W22" s="119">
        <f t="array" ref="W22">IFERROR(VLOOKUP($C22&amp;W$2,{MASTER!$Y$2:$Y992,MASTER!$M$2:$M992},2,0),"")</f>
        <v>571</v>
      </c>
      <c r="X22" s="119" t="str">
        <f t="array" ref="X22">IFERROR(VLOOKUP($C22&amp;X$2,{MASTER!$Y$2:$Y992,MASTER!$M$2:$M992},2,0),"")</f>
        <v/>
      </c>
      <c r="Y22" s="119" t="str">
        <f t="array" ref="Y22">IFERROR(VLOOKUP($C22&amp;Y$2,{MASTER!$Y$2:$Y992,MASTER!$M$2:$M992},2,0),"")</f>
        <v/>
      </c>
      <c r="Z22" s="119">
        <f t="array" ref="Z22">IFERROR(VLOOKUP($C22&amp;Z$2,{MASTER!$Y$2:$Y992,MASTER!$M$2:$M992},2,0),"")</f>
        <v>1560</v>
      </c>
      <c r="AA22" s="119">
        <f t="array" ref="AA22">IFERROR(VLOOKUP($C22&amp;AA$2,{MASTER!$Y$2:$Y992,MASTER!$M$2:$M992},2,0),"")</f>
        <v>1642</v>
      </c>
      <c r="AB22" s="119">
        <f t="array" ref="AB22">IFERROR(VLOOKUP($C22&amp;AB$2,{MASTER!$Y$2:$Y992,MASTER!$M$2:$M992},2,0),"")</f>
        <v>2898</v>
      </c>
      <c r="AC22" s="119">
        <f t="array" ref="AC22">IFERROR(VLOOKUP($C22&amp;AC$2,{MASTER!$Y$2:$Y992,MASTER!$M$2:$M992},2,0),"")</f>
        <v>2364</v>
      </c>
      <c r="AD22" s="119" t="str">
        <f t="array" ref="AD22">IFERROR(VLOOKUP($C22&amp;AD$2,{MASTER!$Y$2:$Y992,MASTER!$M$2:$M992},2,0),"")</f>
        <v/>
      </c>
      <c r="AE22" s="119">
        <f t="array" ref="AE22">IFERROR(VLOOKUP($C22&amp;AE$2,{MASTER!$Y$2:$Y992,MASTER!$M$2:$M992},2,0),"")</f>
        <v>1070</v>
      </c>
      <c r="AF22" s="119">
        <f t="array" ref="AF22">IFERROR(VLOOKUP($C22&amp;AF$2,{MASTER!$Y$2:$Y992,MASTER!$M$2:$M992},2,0),"")</f>
        <v>1290</v>
      </c>
      <c r="AG22" s="119" t="str">
        <f t="array" ref="AG22">IFERROR(VLOOKUP($C22&amp;AG$2,{MASTER!$Y$2:$Y992,MASTER!$M$2:$M992},2,0),"")</f>
        <v/>
      </c>
      <c r="AH22" s="119">
        <f t="array" ref="AH22">IFERROR(VLOOKUP($C22&amp;AH$2,{MASTER!$Y$2:$Y992,MASTER!$M$2:$M992},2,0),"")</f>
        <v>1751</v>
      </c>
      <c r="AI22" s="119" t="str">
        <f t="array" ref="AI22">IFERROR(VLOOKUP($C22&amp;AI$2,{MASTER!$Y$2:$Y992,MASTER!$M$2:$M992},2,0),"")</f>
        <v/>
      </c>
      <c r="AJ22" s="119" t="str">
        <f t="array" ref="AJ22">IFERROR(VLOOKUP($C22&amp;AJ$2,{MASTER!$Y$2:$Y992,MASTER!$M$2:$M992},2,0),"")</f>
        <v/>
      </c>
      <c r="AK22" s="119" t="str">
        <f t="array" ref="AK22">IFERROR(VLOOKUP($C22&amp;AK$2,{MASTER!$Y$2:$Y992,MASTER!$M$2:$M992},2,0),"")</f>
        <v/>
      </c>
      <c r="AL22" s="119" t="str">
        <f t="array" ref="AL22">IFERROR(VLOOKUP($C22&amp;AL$2,{MASTER!$Y$2:$Y992,MASTER!$M$2:$M992},2,0),"")</f>
        <v/>
      </c>
      <c r="AM22" s="119">
        <f t="array" ref="AM22">IFERROR(VLOOKUP($C22&amp;AM$2,{MASTER!$Y$2:$Y992,MASTER!$M$2:$M992},2,0),"")</f>
        <v>2707</v>
      </c>
      <c r="AN22" s="119" t="str">
        <f t="array" ref="AN22">IFERROR(VLOOKUP($C22&amp;AN$2,{MASTER!$Y$2:$Y992,MASTER!$M$2:$M992},2,0),"")</f>
        <v/>
      </c>
      <c r="AO22" s="119">
        <f t="array" ref="AO22">IFERROR(VLOOKUP($C22&amp;AO$2,{MASTER!$Y$2:$Y992,MASTER!$M$2:$M992},2,0),"")</f>
        <v>2677</v>
      </c>
      <c r="AP22" s="119" t="str">
        <f t="array" ref="AP22">IFERROR(VLOOKUP($C22&amp;AP$2,{MASTER!$Y$2:$Y992,MASTER!$M$2:$M992},2,0),"")</f>
        <v/>
      </c>
      <c r="AQ22" s="119">
        <f t="array" ref="AQ22">IFERROR(VLOOKUP($C22&amp;AQ$2,{MASTER!$Y$2:$Y992,MASTER!$M$2:$M992},2,0),"")</f>
        <v>3038</v>
      </c>
      <c r="AR22" s="119">
        <f t="array" ref="AR22">IFERROR(VLOOKUP($C22&amp;AR$2,{MASTER!$Y$2:$Y992,MASTER!$M$2:$M992},2,0),"")</f>
        <v>2074</v>
      </c>
      <c r="AS22" s="119">
        <f t="array" ref="AS22">IFERROR(VLOOKUP($C22&amp;AS$2,{MASTER!$Y$2:$Y992,MASTER!$M$2:$M992},2,0),"")</f>
        <v>2432</v>
      </c>
      <c r="AT22" s="119" t="str">
        <f t="array" ref="AT22">IFERROR(VLOOKUP($C22&amp;AT$2,{MASTER!$Y$2:$Y992,MASTER!$M$2:$M992},2,0),"")</f>
        <v/>
      </c>
      <c r="AU22" s="119">
        <f t="array" ref="AU22">IFERROR(VLOOKUP($C22&amp;AU$2,{MASTER!$Y$2:$Y992,MASTER!$M$2:$M992},2,0),"")</f>
        <v>2337</v>
      </c>
      <c r="AV22" s="119">
        <f t="array" ref="AV22">IFERROR(VLOOKUP($C22&amp;AV$2,{MASTER!$Y$2:$Y992,MASTER!$M$2:$M992},2,0),"")</f>
        <v>2213</v>
      </c>
      <c r="AW22" s="119" t="str">
        <f t="array" ref="AW22">IFERROR(VLOOKUP($C22&amp;AW$2,{MASTER!$Y$2:$Y992,MASTER!$M$2:$M992},2,0),"")</f>
        <v/>
      </c>
      <c r="AX22" s="119">
        <f t="array" ref="AX22">IFERROR(VLOOKUP($C22&amp;AX$2,{MASTER!$Y$2:$Y992,MASTER!$M$2:$M992},2,0),"")</f>
        <v>2397</v>
      </c>
      <c r="AY22" s="119" t="str">
        <f t="array" ref="AY22">IFERROR(VLOOKUP($C22&amp;AY$2,{MASTER!$Y$2:$Y992,MASTER!$M$2:$M992},2,0),"")</f>
        <v/>
      </c>
      <c r="AZ22" s="119">
        <f t="array" ref="AZ22">IFERROR(VLOOKUP($C22&amp;AZ$2,{MASTER!$Y$2:$Y992,MASTER!$M$2:$M992},2,0),"")</f>
        <v>451</v>
      </c>
      <c r="BA22" s="119">
        <f t="array" ref="BA22">IFERROR(VLOOKUP($C22&amp;BA$2,{MASTER!$Y$2:$Y992,MASTER!$M$2:$M992},2,0),"")</f>
        <v>729</v>
      </c>
      <c r="BB22" s="119">
        <f t="array" ref="BB22">IFERROR(VLOOKUP($C22&amp;BB$2,{MASTER!$Y$2:$Y992,MASTER!$M$2:$M992},2,0),"")</f>
        <v>766</v>
      </c>
    </row>
    <row r="23">
      <c r="A23" s="116">
        <f t="shared" si="1"/>
        <v>31</v>
      </c>
      <c r="B23" s="117">
        <v>8000.0</v>
      </c>
      <c r="C23" s="285" t="s">
        <v>1271</v>
      </c>
      <c r="D23" s="119">
        <f t="array" ref="D23">IFERROR(VLOOKUP($C23&amp;D$2,{MASTER!$Y$2:$Y992,MASTER!$M$2:$M992},2,0),"")</f>
        <v>1098</v>
      </c>
      <c r="E23" s="119">
        <f t="array" ref="E23">IFERROR(VLOOKUP($C23&amp;E$2,{MASTER!$Y$2:$Y992,MASTER!$M$2:$M992},2,0),"")</f>
        <v>1779</v>
      </c>
      <c r="F23" s="119" t="str">
        <f t="array" ref="F23">IFERROR(VLOOKUP($C23&amp;F$2,{MASTER!$Y$2:$Y992,MASTER!$M$2:$M992},2,0),"")</f>
        <v/>
      </c>
      <c r="G23" s="119" t="str">
        <f t="array" ref="G23">IFERROR(VLOOKUP($C23&amp;G$2,{MASTER!$Y$2:$Y992,MASTER!$M$2:$M992},2,0),"")</f>
        <v/>
      </c>
      <c r="H23" s="119" t="str">
        <f t="array" ref="H23">IFERROR(VLOOKUP($C23&amp;H$2,{MASTER!$Y$2:$Y992,MASTER!$M$2:$M992},2,0),"")</f>
        <v/>
      </c>
      <c r="I23" s="119">
        <f t="array" ref="I23">IFERROR(VLOOKUP($C23&amp;I$2,{MASTER!$Y$2:$Y992,MASTER!$M$2:$M992},2,0),"")</f>
        <v>703</v>
      </c>
      <c r="J23" s="119" t="str">
        <f t="array" ref="J23">IFERROR(VLOOKUP($C23&amp;J$2,{MASTER!$Y$2:$Y992,MASTER!$M$2:$M992},2,0),"")</f>
        <v/>
      </c>
      <c r="K23" s="119" t="str">
        <f t="array" ref="K23">IFERROR(VLOOKUP($C23&amp;K$2,{MASTER!$Y$2:$Y992,MASTER!$M$2:$M992},2,0),"")</f>
        <v/>
      </c>
      <c r="L23" s="119" t="str">
        <f t="array" ref="L23">IFERROR(VLOOKUP($C23&amp;L$2,{MASTER!$Y$2:$Y992,MASTER!$M$2:$M992},2,0),"")</f>
        <v/>
      </c>
      <c r="M23" s="119">
        <f t="array" ref="M23">IFERROR(VLOOKUP($C23&amp;M$2,{MASTER!$Y$2:$Y992,MASTER!$M$2:$M992},2,0),"")</f>
        <v>764</v>
      </c>
      <c r="N23" s="119" t="str">
        <f t="array" ref="N23">IFERROR(VLOOKUP($C23&amp;N$2,{MASTER!$Y$2:$Y992,MASTER!$M$2:$M992},2,0),"")</f>
        <v/>
      </c>
      <c r="O23" s="119">
        <f t="array" ref="O23">IFERROR(VLOOKUP($C23&amp;O$2,{MASTER!$Y$2:$Y992,MASTER!$M$2:$M992},2,0),"")</f>
        <v>515</v>
      </c>
      <c r="P23" s="119">
        <f t="array" ref="P23">IFERROR(VLOOKUP($C23&amp;P$2,{MASTER!$Y$2:$Y992,MASTER!$M$2:$M992},2,0),"")</f>
        <v>807</v>
      </c>
      <c r="Q23" s="119">
        <f t="array" ref="Q23">IFERROR(VLOOKUP($C23&amp;Q$2,{MASTER!$Y$2:$Y992,MASTER!$M$2:$M992},2,0),"")</f>
        <v>1192</v>
      </c>
      <c r="R23" s="119" t="str">
        <f t="array" ref="R23">IFERROR(VLOOKUP($C23&amp;R$2,{MASTER!$Y$2:$Y992,MASTER!$M$2:$M992},2,0),"")</f>
        <v/>
      </c>
      <c r="S23" s="119">
        <f t="array" ref="S23">IFERROR(VLOOKUP($C23&amp;S$2,{MASTER!$Y$2:$Y992,MASTER!$M$2:$M992},2,0),"")</f>
        <v>956</v>
      </c>
      <c r="T23" s="119">
        <f t="array" ref="T23">IFERROR(VLOOKUP($C23&amp;T$2,{MASTER!$Y$2:$Y992,MASTER!$M$2:$M992},2,0),"")</f>
        <v>799</v>
      </c>
      <c r="U23" s="119" t="str">
        <f t="array" ref="U23">IFERROR(VLOOKUP($C23&amp;U$2,{MASTER!$Y$2:$Y992,MASTER!$M$2:$M992},2,0),"")</f>
        <v/>
      </c>
      <c r="V23" s="119">
        <f t="array" ref="V23">IFERROR(VLOOKUP($C23&amp;V$2,{MASTER!$Y$2:$Y992,MASTER!$M$2:$M992},2,0),"")</f>
        <v>659</v>
      </c>
      <c r="W23" s="119">
        <f t="array" ref="W23">IFERROR(VLOOKUP($C23&amp;W$2,{MASTER!$Y$2:$Y992,MASTER!$M$2:$M992},2,0),"")</f>
        <v>688</v>
      </c>
      <c r="X23" s="119" t="str">
        <f t="array" ref="X23">IFERROR(VLOOKUP($C23&amp;X$2,{MASTER!$Y$2:$Y992,MASTER!$M$2:$M992},2,0),"")</f>
        <v/>
      </c>
      <c r="Y23" s="119" t="str">
        <f t="array" ref="Y23">IFERROR(VLOOKUP($C23&amp;Y$2,{MASTER!$Y$2:$Y992,MASTER!$M$2:$M992},2,0),"")</f>
        <v/>
      </c>
      <c r="Z23" s="119" t="str">
        <f t="array" ref="Z23">IFERROR(VLOOKUP($C23&amp;Z$2,{MASTER!$Y$2:$Y992,MASTER!$M$2:$M992},2,0),"")</f>
        <v/>
      </c>
      <c r="AA23" s="119">
        <f t="array" ref="AA23">IFERROR(VLOOKUP($C23&amp;AA$2,{MASTER!$Y$2:$Y992,MASTER!$M$2:$M992},2,0),"")</f>
        <v>2143</v>
      </c>
      <c r="AB23" s="119">
        <f t="array" ref="AB23">IFERROR(VLOOKUP($C23&amp;AB$2,{MASTER!$Y$2:$Y992,MASTER!$M$2:$M992},2,0),"")</f>
        <v>3124</v>
      </c>
      <c r="AC23" s="119">
        <f t="array" ref="AC23">IFERROR(VLOOKUP($C23&amp;AC$2,{MASTER!$Y$2:$Y992,MASTER!$M$2:$M992},2,0),"")</f>
        <v>2546</v>
      </c>
      <c r="AD23" s="119" t="str">
        <f t="array" ref="AD23">IFERROR(VLOOKUP($C23&amp;AD$2,{MASTER!$Y$2:$Y992,MASTER!$M$2:$M992},2,0),"")</f>
        <v/>
      </c>
      <c r="AE23" s="119">
        <f t="array" ref="AE23">IFERROR(VLOOKUP($C23&amp;AE$2,{MASTER!$Y$2:$Y992,MASTER!$M$2:$M992},2,0),"")</f>
        <v>1070</v>
      </c>
      <c r="AF23" s="119">
        <f t="array" ref="AF23">IFERROR(VLOOKUP($C23&amp;AF$2,{MASTER!$Y$2:$Y992,MASTER!$M$2:$M992},2,0),"")</f>
        <v>1473</v>
      </c>
      <c r="AG23" s="119" t="str">
        <f t="array" ref="AG23">IFERROR(VLOOKUP($C23&amp;AG$2,{MASTER!$Y$2:$Y992,MASTER!$M$2:$M992},2,0),"")</f>
        <v/>
      </c>
      <c r="AH23" s="119">
        <f t="array" ref="AH23">IFERROR(VLOOKUP($C23&amp;AH$2,{MASTER!$Y$2:$Y992,MASTER!$M$2:$M992},2,0),"")</f>
        <v>1763</v>
      </c>
      <c r="AI23" s="119">
        <f t="array" ref="AI23">IFERROR(VLOOKUP($C23&amp;AI$2,{MASTER!$Y$2:$Y992,MASTER!$M$2:$M992},2,0),"")</f>
        <v>2594</v>
      </c>
      <c r="AJ23" s="119" t="str">
        <f t="array" ref="AJ23">IFERROR(VLOOKUP($C23&amp;AJ$2,{MASTER!$Y$2:$Y992,MASTER!$M$2:$M992},2,0),"")</f>
        <v/>
      </c>
      <c r="AK23" s="119" t="str">
        <f t="array" ref="AK23">IFERROR(VLOOKUP($C23&amp;AK$2,{MASTER!$Y$2:$Y992,MASTER!$M$2:$M992},2,0),"")</f>
        <v/>
      </c>
      <c r="AL23" s="119" t="str">
        <f t="array" ref="AL23">IFERROR(VLOOKUP($C23&amp;AL$2,{MASTER!$Y$2:$Y992,MASTER!$M$2:$M992},2,0),"")</f>
        <v/>
      </c>
      <c r="AM23" s="119">
        <f t="array" ref="AM23">IFERROR(VLOOKUP($C23&amp;AM$2,{MASTER!$Y$2:$Y992,MASTER!$M$2:$M992},2,0),"")</f>
        <v>2749</v>
      </c>
      <c r="AN23" s="119">
        <f t="array" ref="AN23">IFERROR(VLOOKUP($C23&amp;AN$2,{MASTER!$Y$2:$Y992,MASTER!$M$2:$M992},2,0),"")</f>
        <v>2193</v>
      </c>
      <c r="AO23" s="119">
        <f t="array" ref="AO23">IFERROR(VLOOKUP($C23&amp;AO$2,{MASTER!$Y$2:$Y992,MASTER!$M$2:$M992},2,0),"")</f>
        <v>2705</v>
      </c>
      <c r="AP23" s="119">
        <f t="array" ref="AP23">IFERROR(VLOOKUP($C23&amp;AP$2,{MASTER!$Y$2:$Y992,MASTER!$M$2:$M992},2,0),"")</f>
        <v>3653</v>
      </c>
      <c r="AQ23" s="119">
        <f t="array" ref="AQ23">IFERROR(VLOOKUP($C23&amp;AQ$2,{MASTER!$Y$2:$Y992,MASTER!$M$2:$M992},2,0),"")</f>
        <v>3056</v>
      </c>
      <c r="AR23" s="119">
        <f t="array" ref="AR23">IFERROR(VLOOKUP($C23&amp;AR$2,{MASTER!$Y$2:$Y992,MASTER!$M$2:$M992},2,0),"")</f>
        <v>2106</v>
      </c>
      <c r="AS23" s="119">
        <f t="array" ref="AS23">IFERROR(VLOOKUP($C23&amp;AS$2,{MASTER!$Y$2:$Y992,MASTER!$M$2:$M992},2,0),"")</f>
        <v>2474</v>
      </c>
      <c r="AT23" s="119" t="str">
        <f t="array" ref="AT23">IFERROR(VLOOKUP($C23&amp;AT$2,{MASTER!$Y$2:$Y992,MASTER!$M$2:$M992},2,0),"")</f>
        <v/>
      </c>
      <c r="AU23" s="119">
        <f t="array" ref="AU23">IFERROR(VLOOKUP($C23&amp;AU$2,{MASTER!$Y$2:$Y992,MASTER!$M$2:$M992},2,0),"")</f>
        <v>2379</v>
      </c>
      <c r="AV23" s="119">
        <f t="array" ref="AV23">IFERROR(VLOOKUP($C23&amp;AV$2,{MASTER!$Y$2:$Y992,MASTER!$M$2:$M992},2,0),"")</f>
        <v>2255</v>
      </c>
      <c r="AW23" s="119" t="str">
        <f t="array" ref="AW23">IFERROR(VLOOKUP($C23&amp;AW$2,{MASTER!$Y$2:$Y992,MASTER!$M$2:$M992},2,0),"")</f>
        <v/>
      </c>
      <c r="AX23" s="119">
        <f t="array" ref="AX23">IFERROR(VLOOKUP($C23&amp;AX$2,{MASTER!$Y$2:$Y992,MASTER!$M$2:$M992},2,0),"")</f>
        <v>2439</v>
      </c>
      <c r="AY23" s="119" t="str">
        <f t="array" ref="AY23">IFERROR(VLOOKUP($C23&amp;AY$2,{MASTER!$Y$2:$Y992,MASTER!$M$2:$M992},2,0),"")</f>
        <v/>
      </c>
      <c r="AZ23" s="119">
        <f t="array" ref="AZ23">IFERROR(VLOOKUP($C23&amp;AZ$2,{MASTER!$Y$2:$Y992,MASTER!$M$2:$M992},2,0),"")</f>
        <v>570</v>
      </c>
      <c r="BA23" s="119">
        <f t="array" ref="BA23">IFERROR(VLOOKUP($C23&amp;BA$2,{MASTER!$Y$2:$Y992,MASTER!$M$2:$M992},2,0),"")</f>
        <v>816</v>
      </c>
      <c r="BB23" s="119">
        <f t="array" ref="BB23">IFERROR(VLOOKUP($C23&amp;BB$2,{MASTER!$Y$2:$Y992,MASTER!$M$2:$M992},2,0),"")</f>
        <v>1144</v>
      </c>
    </row>
    <row r="24">
      <c r="A24" s="116">
        <f t="shared" si="1"/>
        <v>22</v>
      </c>
      <c r="B24" s="120"/>
      <c r="C24" s="285" t="s">
        <v>1247</v>
      </c>
      <c r="D24" s="119">
        <f t="array" ref="D24">IFERROR(VLOOKUP($C24&amp;D$2,{MASTER!$Y$2:$Y992,MASTER!$M$2:$M992},2,0),"")</f>
        <v>661</v>
      </c>
      <c r="E24" s="119" t="str">
        <f t="array" ref="E24">IFERROR(VLOOKUP($C24&amp;E$2,{MASTER!$Y$2:$Y992,MASTER!$M$2:$M992},2,0),"")</f>
        <v/>
      </c>
      <c r="F24" s="119" t="str">
        <f t="array" ref="F24">IFERROR(VLOOKUP($C24&amp;F$2,{MASTER!$Y$2:$Y992,MASTER!$M$2:$M992},2,0),"")</f>
        <v/>
      </c>
      <c r="G24" s="119">
        <f t="array" ref="G24">IFERROR(VLOOKUP($C24&amp;G$2,{MASTER!$Y$2:$Y992,MASTER!$M$2:$M992},2,0),"")</f>
        <v>675</v>
      </c>
      <c r="H24" s="119">
        <f t="array" ref="H24">IFERROR(VLOOKUP($C24&amp;H$2,{MASTER!$Y$2:$Y992,MASTER!$M$2:$M992},2,0),"")</f>
        <v>486</v>
      </c>
      <c r="I24" s="119">
        <f t="array" ref="I24">IFERROR(VLOOKUP($C24&amp;I$2,{MASTER!$Y$2:$Y992,MASTER!$M$2:$M992},2,0),"")</f>
        <v>487</v>
      </c>
      <c r="J24" s="119" t="str">
        <f t="array" ref="J24">IFERROR(VLOOKUP($C24&amp;J$2,{MASTER!$Y$2:$Y992,MASTER!$M$2:$M992},2,0),"")</f>
        <v/>
      </c>
      <c r="K24" s="119" t="str">
        <f t="array" ref="K24">IFERROR(VLOOKUP($C24&amp;K$2,{MASTER!$Y$2:$Y992,MASTER!$M$2:$M992},2,0),"")</f>
        <v/>
      </c>
      <c r="L24" s="119" t="str">
        <f t="array" ref="L24">IFERROR(VLOOKUP($C24&amp;L$2,{MASTER!$Y$2:$Y992,MASTER!$M$2:$M992},2,0),"")</f>
        <v/>
      </c>
      <c r="M24" s="119">
        <f t="array" ref="M24">IFERROR(VLOOKUP($C24&amp;M$2,{MASTER!$Y$2:$Y992,MASTER!$M$2:$M992},2,0),"")</f>
        <v>533</v>
      </c>
      <c r="N24" s="119">
        <f t="array" ref="N24">IFERROR(VLOOKUP($C24&amp;N$2,{MASTER!$Y$2:$Y992,MASTER!$M$2:$M992},2,0),"")</f>
        <v>654</v>
      </c>
      <c r="O24" s="119">
        <f t="array" ref="O24">IFERROR(VLOOKUP($C24&amp;O$2,{MASTER!$Y$2:$Y992,MASTER!$M$2:$M992},2,0),"")</f>
        <v>457</v>
      </c>
      <c r="P24" s="119">
        <f t="array" ref="P24">IFERROR(VLOOKUP($C24&amp;P$2,{MASTER!$Y$2:$Y992,MASTER!$M$2:$M992},2,0),"")</f>
        <v>764</v>
      </c>
      <c r="Q24" s="119">
        <f t="array" ref="Q24">IFERROR(VLOOKUP($C24&amp;Q$2,{MASTER!$Y$2:$Y992,MASTER!$M$2:$M992},2,0),"")</f>
        <v>882</v>
      </c>
      <c r="R24" s="119" t="str">
        <f t="array" ref="R24">IFERROR(VLOOKUP($C24&amp;R$2,{MASTER!$Y$2:$Y992,MASTER!$M$2:$M992},2,0),"")</f>
        <v/>
      </c>
      <c r="S24" s="119">
        <f t="array" ref="S24">IFERROR(VLOOKUP($C24&amp;S$2,{MASTER!$Y$2:$Y992,MASTER!$M$2:$M992},2,0),"")</f>
        <v>1338</v>
      </c>
      <c r="T24" s="119">
        <f t="array" ref="T24">IFERROR(VLOOKUP($C24&amp;T$2,{MASTER!$Y$2:$Y992,MASTER!$M$2:$M992},2,0),"")</f>
        <v>1174</v>
      </c>
      <c r="U24" s="119" t="str">
        <f t="array" ref="U24">IFERROR(VLOOKUP($C24&amp;U$2,{MASTER!$Y$2:$Y992,MASTER!$M$2:$M992},2,0),"")</f>
        <v/>
      </c>
      <c r="V24" s="119">
        <f t="array" ref="V24">IFERROR(VLOOKUP($C24&amp;V$2,{MASTER!$Y$2:$Y992,MASTER!$M$2:$M992},2,0),"")</f>
        <v>640</v>
      </c>
      <c r="W24" s="119">
        <f t="array" ref="W24">IFERROR(VLOOKUP($C24&amp;W$2,{MASTER!$Y$2:$Y992,MASTER!$M$2:$M992},2,0),"")</f>
        <v>668</v>
      </c>
      <c r="X24" s="119">
        <f t="array" ref="X24">IFERROR(VLOOKUP($C24&amp;X$2,{MASTER!$Y$2:$Y992,MASTER!$M$2:$M992},2,0),"")</f>
        <v>457</v>
      </c>
      <c r="Y24" s="119">
        <f t="array" ref="Y24">IFERROR(VLOOKUP($C24&amp;Y$2,{MASTER!$Y$2:$Y992,MASTER!$M$2:$M992},2,0),"")</f>
        <v>412</v>
      </c>
      <c r="Z24" s="119">
        <f t="array" ref="Z24">IFERROR(VLOOKUP($C24&amp;Z$2,{MASTER!$Y$2:$Y992,MASTER!$M$2:$M992},2,0),"")</f>
        <v>1702</v>
      </c>
      <c r="AA24" s="119" t="str">
        <f t="array" ref="AA24">IFERROR(VLOOKUP($C24&amp;AA$2,{MASTER!$Y$2:$Y992,MASTER!$M$2:$M992},2,0),"")</f>
        <v/>
      </c>
      <c r="AB24" s="119" t="str">
        <f t="array" ref="AB24">IFERROR(VLOOKUP($C24&amp;AB$2,{MASTER!$Y$2:$Y992,MASTER!$M$2:$M992},2,0),"")</f>
        <v/>
      </c>
      <c r="AC24" s="119" t="str">
        <f t="array" ref="AC24">IFERROR(VLOOKUP($C24&amp;AC$2,{MASTER!$Y$2:$Y992,MASTER!$M$2:$M992},2,0),"")</f>
        <v/>
      </c>
      <c r="AD24" s="119" t="str">
        <f t="array" ref="AD24">IFERROR(VLOOKUP($C24&amp;AD$2,{MASTER!$Y$2:$Y992,MASTER!$M$2:$M992},2,0),"")</f>
        <v/>
      </c>
      <c r="AE24" s="119" t="str">
        <f t="array" ref="AE24">IFERROR(VLOOKUP($C24&amp;AE$2,{MASTER!$Y$2:$Y992,MASTER!$M$2:$M992},2,0),"")</f>
        <v/>
      </c>
      <c r="AF24" s="119" t="str">
        <f t="array" ref="AF24">IFERROR(VLOOKUP($C24&amp;AF$2,{MASTER!$Y$2:$Y992,MASTER!$M$2:$M992},2,0),"")</f>
        <v/>
      </c>
      <c r="AG24" s="119" t="str">
        <f t="array" ref="AG24">IFERROR(VLOOKUP($C24&amp;AG$2,{MASTER!$Y$2:$Y992,MASTER!$M$2:$M992},2,0),"")</f>
        <v/>
      </c>
      <c r="AH24" s="119">
        <f t="array" ref="AH24">IFERROR(VLOOKUP($C24&amp;AH$2,{MASTER!$Y$2:$Y992,MASTER!$M$2:$M992},2,0),"")</f>
        <v>2121</v>
      </c>
      <c r="AI24" s="119" t="str">
        <f t="array" ref="AI24">IFERROR(VLOOKUP($C24&amp;AI$2,{MASTER!$Y$2:$Y992,MASTER!$M$2:$M992},2,0),"")</f>
        <v/>
      </c>
      <c r="AJ24" s="119" t="str">
        <f t="array" ref="AJ24">IFERROR(VLOOKUP($C24&amp;AJ$2,{MASTER!$Y$2:$Y992,MASTER!$M$2:$M992},2,0),"")</f>
        <v/>
      </c>
      <c r="AK24" s="119" t="str">
        <f t="array" ref="AK24">IFERROR(VLOOKUP($C24&amp;AK$2,{MASTER!$Y$2:$Y992,MASTER!$M$2:$M992},2,0),"")</f>
        <v/>
      </c>
      <c r="AL24" s="119" t="str">
        <f t="array" ref="AL24">IFERROR(VLOOKUP($C24&amp;AL$2,{MASTER!$Y$2:$Y992,MASTER!$M$2:$M992},2,0),"")</f>
        <v/>
      </c>
      <c r="AM24" s="119">
        <f t="array" ref="AM24">IFERROR(VLOOKUP($C24&amp;AM$2,{MASTER!$Y$2:$Y992,MASTER!$M$2:$M992},2,0),"")</f>
        <v>2760</v>
      </c>
      <c r="AN24" s="119" t="str">
        <f t="array" ref="AN24">IFERROR(VLOOKUP($C24&amp;AN$2,{MASTER!$Y$2:$Y992,MASTER!$M$2:$M992},2,0),"")</f>
        <v/>
      </c>
      <c r="AO24" s="119">
        <f t="array" ref="AO24">IFERROR(VLOOKUP($C24&amp;AO$2,{MASTER!$Y$2:$Y992,MASTER!$M$2:$M992},2,0),"")</f>
        <v>2720</v>
      </c>
      <c r="AP24" s="119" t="str">
        <f t="array" ref="AP24">IFERROR(VLOOKUP($C24&amp;AP$2,{MASTER!$Y$2:$Y992,MASTER!$M$2:$M992},2,0),"")</f>
        <v/>
      </c>
      <c r="AQ24" s="119">
        <f t="array" ref="AQ24">IFERROR(VLOOKUP($C24&amp;AQ$2,{MASTER!$Y$2:$Y992,MASTER!$M$2:$M992},2,0),"")</f>
        <v>3060</v>
      </c>
      <c r="AR24" s="119" t="str">
        <f t="array" ref="AR24">IFERROR(VLOOKUP($C24&amp;AR$2,{MASTER!$Y$2:$Y992,MASTER!$M$2:$M992},2,0),"")</f>
        <v/>
      </c>
      <c r="AS24" s="119" t="str">
        <f t="array" ref="AS24">IFERROR(VLOOKUP($C24&amp;AS$2,{MASTER!$Y$2:$Y992,MASTER!$M$2:$M992},2,0),"")</f>
        <v/>
      </c>
      <c r="AT24" s="119" t="str">
        <f t="array" ref="AT24">IFERROR(VLOOKUP($C24&amp;AT$2,{MASTER!$Y$2:$Y992,MASTER!$M$2:$M992},2,0),"")</f>
        <v/>
      </c>
      <c r="AU24" s="119" t="str">
        <f t="array" ref="AU24">IFERROR(VLOOKUP($C24&amp;AU$2,{MASTER!$Y$2:$Y992,MASTER!$M$2:$M992},2,0),"")</f>
        <v/>
      </c>
      <c r="AV24" s="119" t="str">
        <f t="array" ref="AV24">IFERROR(VLOOKUP($C24&amp;AV$2,{MASTER!$Y$2:$Y992,MASTER!$M$2:$M992},2,0),"")</f>
        <v/>
      </c>
      <c r="AW24" s="119" t="str">
        <f t="array" ref="AW24">IFERROR(VLOOKUP($C24&amp;AW$2,{MASTER!$Y$2:$Y992,MASTER!$M$2:$M992},2,0),"")</f>
        <v/>
      </c>
      <c r="AX24" s="119" t="str">
        <f t="array" ref="AX24">IFERROR(VLOOKUP($C24&amp;AX$2,{MASTER!$Y$2:$Y992,MASTER!$M$2:$M992},2,0),"")</f>
        <v/>
      </c>
      <c r="AY24" s="119">
        <f t="array" ref="AY24">IFERROR(VLOOKUP($C24&amp;AY$2,{MASTER!$Y$2:$Y992,MASTER!$M$2:$M992},2,0),"")</f>
        <v>3078</v>
      </c>
      <c r="AZ24" s="119" t="str">
        <f t="array" ref="AZ24">IFERROR(VLOOKUP($C24&amp;AZ$2,{MASTER!$Y$2:$Y992,MASTER!$M$2:$M992},2,0),"")</f>
        <v/>
      </c>
      <c r="BA24" s="119" t="str">
        <f t="array" ref="BA24">IFERROR(VLOOKUP($C24&amp;BA$2,{MASTER!$Y$2:$Y992,MASTER!$M$2:$M992},2,0),"")</f>
        <v/>
      </c>
      <c r="BB24" s="119">
        <f t="array" ref="BB24">IFERROR(VLOOKUP($C24&amp;BB$2,{MASTER!$Y$2:$Y992,MASTER!$M$2:$M992},2,0),"")</f>
        <v>1268</v>
      </c>
    </row>
    <row r="25">
      <c r="A25" s="116">
        <f t="shared" si="1"/>
        <v>19</v>
      </c>
      <c r="B25" s="120"/>
      <c r="C25" s="285" t="s">
        <v>1250</v>
      </c>
      <c r="D25" s="119">
        <f t="array" ref="D25">IFERROR(VLOOKUP($C25&amp;D$2,{MASTER!$Y$2:$Y992,MASTER!$M$2:$M992},2,0),"")</f>
        <v>752</v>
      </c>
      <c r="E25" s="119" t="str">
        <f t="array" ref="E25">IFERROR(VLOOKUP($C25&amp;E$2,{MASTER!$Y$2:$Y992,MASTER!$M$2:$M992},2,0),"")</f>
        <v/>
      </c>
      <c r="F25" s="119" t="str">
        <f t="array" ref="F25">IFERROR(VLOOKUP($C25&amp;F$2,{MASTER!$Y$2:$Y992,MASTER!$M$2:$M992},2,0),"")</f>
        <v/>
      </c>
      <c r="G25" s="119" t="str">
        <f t="array" ref="G25">IFERROR(VLOOKUP($C25&amp;G$2,{MASTER!$Y$2:$Y992,MASTER!$M$2:$M992},2,0),"")</f>
        <v/>
      </c>
      <c r="H25" s="119" t="str">
        <f t="array" ref="H25">IFERROR(VLOOKUP($C25&amp;H$2,{MASTER!$Y$2:$Y992,MASTER!$M$2:$M992},2,0),"")</f>
        <v/>
      </c>
      <c r="I25" s="119">
        <f t="array" ref="I25">IFERROR(VLOOKUP($C25&amp;I$2,{MASTER!$Y$2:$Y992,MASTER!$M$2:$M992},2,0),"")</f>
        <v>605</v>
      </c>
      <c r="J25" s="119" t="str">
        <f t="array" ref="J25">IFERROR(VLOOKUP($C25&amp;J$2,{MASTER!$Y$2:$Y992,MASTER!$M$2:$M992},2,0),"")</f>
        <v/>
      </c>
      <c r="K25" s="119" t="str">
        <f t="array" ref="K25">IFERROR(VLOOKUP($C25&amp;K$2,{MASTER!$Y$2:$Y992,MASTER!$M$2:$M992},2,0),"")</f>
        <v/>
      </c>
      <c r="L25" s="119" t="str">
        <f t="array" ref="L25">IFERROR(VLOOKUP($C25&amp;L$2,{MASTER!$Y$2:$Y992,MASTER!$M$2:$M992},2,0),"")</f>
        <v/>
      </c>
      <c r="M25" s="119">
        <f t="array" ref="M25">IFERROR(VLOOKUP($C25&amp;M$2,{MASTER!$Y$2:$Y992,MASTER!$M$2:$M992},2,0),"")</f>
        <v>630</v>
      </c>
      <c r="N25" s="119">
        <f t="array" ref="N25">IFERROR(VLOOKUP($C25&amp;N$2,{MASTER!$Y$2:$Y992,MASTER!$M$2:$M992},2,0),"")</f>
        <v>731</v>
      </c>
      <c r="O25" s="119">
        <f t="array" ref="O25">IFERROR(VLOOKUP($C25&amp;O$2,{MASTER!$Y$2:$Y992,MASTER!$M$2:$M992},2,0),"")</f>
        <v>471</v>
      </c>
      <c r="P25" s="119">
        <f t="array" ref="P25">IFERROR(VLOOKUP($C25&amp;P$2,{MASTER!$Y$2:$Y992,MASTER!$M$2:$M992},2,0),"")</f>
        <v>791</v>
      </c>
      <c r="Q25" s="119">
        <f t="array" ref="Q25">IFERROR(VLOOKUP($C25&amp;Q$2,{MASTER!$Y$2:$Y992,MASTER!$M$2:$M992},2,0),"")</f>
        <v>926</v>
      </c>
      <c r="R25" s="119" t="str">
        <f t="array" ref="R25">IFERROR(VLOOKUP($C25&amp;R$2,{MASTER!$Y$2:$Y992,MASTER!$M$2:$M992},2,0),"")</f>
        <v/>
      </c>
      <c r="S25" s="119">
        <f t="array" ref="S25">IFERROR(VLOOKUP($C25&amp;S$2,{MASTER!$Y$2:$Y992,MASTER!$M$2:$M992},2,0),"")</f>
        <v>1351</v>
      </c>
      <c r="T25" s="119">
        <f t="array" ref="T25">IFERROR(VLOOKUP($C25&amp;T$2,{MASTER!$Y$2:$Y992,MASTER!$M$2:$M992},2,0),"")</f>
        <v>1188</v>
      </c>
      <c r="U25" s="119" t="str">
        <f t="array" ref="U25">IFERROR(VLOOKUP($C25&amp;U$2,{MASTER!$Y$2:$Y992,MASTER!$M$2:$M992},2,0),"")</f>
        <v/>
      </c>
      <c r="V25" s="119">
        <f t="array" ref="V25">IFERROR(VLOOKUP($C25&amp;V$2,{MASTER!$Y$2:$Y992,MASTER!$M$2:$M992},2,0),"")</f>
        <v>654</v>
      </c>
      <c r="W25" s="119">
        <f t="array" ref="W25">IFERROR(VLOOKUP($C25&amp;W$2,{MASTER!$Y$2:$Y992,MASTER!$M$2:$M992},2,0),"")</f>
        <v>682</v>
      </c>
      <c r="X25" s="119">
        <f t="array" ref="X25">IFERROR(VLOOKUP($C25&amp;X$2,{MASTER!$Y$2:$Y992,MASTER!$M$2:$M992},2,0),"")</f>
        <v>471</v>
      </c>
      <c r="Y25" s="119">
        <f t="array" ref="Y25">IFERROR(VLOOKUP($C25&amp;Y$2,{MASTER!$Y$2:$Y992,MASTER!$M$2:$M992},2,0),"")</f>
        <v>428</v>
      </c>
      <c r="Z25" s="119">
        <f t="array" ref="Z25">IFERROR(VLOOKUP($C25&amp;Z$2,{MASTER!$Y$2:$Y992,MASTER!$M$2:$M992},2,0),"")</f>
        <v>1729</v>
      </c>
      <c r="AA25" s="119" t="str">
        <f t="array" ref="AA25">IFERROR(VLOOKUP($C25&amp;AA$2,{MASTER!$Y$2:$Y992,MASTER!$M$2:$M992},2,0),"")</f>
        <v/>
      </c>
      <c r="AB25" s="119" t="str">
        <f t="array" ref="AB25">IFERROR(VLOOKUP($C25&amp;AB$2,{MASTER!$Y$2:$Y992,MASTER!$M$2:$M992},2,0),"")</f>
        <v/>
      </c>
      <c r="AC25" s="119" t="str">
        <f t="array" ref="AC25">IFERROR(VLOOKUP($C25&amp;AC$2,{MASTER!$Y$2:$Y992,MASTER!$M$2:$M992},2,0),"")</f>
        <v/>
      </c>
      <c r="AD25" s="119" t="str">
        <f t="array" ref="AD25">IFERROR(VLOOKUP($C25&amp;AD$2,{MASTER!$Y$2:$Y992,MASTER!$M$2:$M992},2,0),"")</f>
        <v/>
      </c>
      <c r="AE25" s="119" t="str">
        <f t="array" ref="AE25">IFERROR(VLOOKUP($C25&amp;AE$2,{MASTER!$Y$2:$Y992,MASTER!$M$2:$M992},2,0),"")</f>
        <v/>
      </c>
      <c r="AF25" s="119" t="str">
        <f t="array" ref="AF25">IFERROR(VLOOKUP($C25&amp;AF$2,{MASTER!$Y$2:$Y992,MASTER!$M$2:$M992},2,0),"")</f>
        <v/>
      </c>
      <c r="AG25" s="119" t="str">
        <f t="array" ref="AG25">IFERROR(VLOOKUP($C25&amp;AG$2,{MASTER!$Y$2:$Y992,MASTER!$M$2:$M992},2,0),"")</f>
        <v/>
      </c>
      <c r="AH25" s="119">
        <f t="array" ref="AH25">IFERROR(VLOOKUP($C25&amp;AH$2,{MASTER!$Y$2:$Y992,MASTER!$M$2:$M992},2,0),"")</f>
        <v>2148</v>
      </c>
      <c r="AI25" s="119" t="str">
        <f t="array" ref="AI25">IFERROR(VLOOKUP($C25&amp;AI$2,{MASTER!$Y$2:$Y992,MASTER!$M$2:$M992},2,0),"")</f>
        <v/>
      </c>
      <c r="AJ25" s="119" t="str">
        <f t="array" ref="AJ25">IFERROR(VLOOKUP($C25&amp;AJ$2,{MASTER!$Y$2:$Y992,MASTER!$M$2:$M992},2,0),"")</f>
        <v/>
      </c>
      <c r="AK25" s="119" t="str">
        <f t="array" ref="AK25">IFERROR(VLOOKUP($C25&amp;AK$2,{MASTER!$Y$2:$Y992,MASTER!$M$2:$M992},2,0),"")</f>
        <v/>
      </c>
      <c r="AL25" s="119" t="str">
        <f t="array" ref="AL25">IFERROR(VLOOKUP($C25&amp;AL$2,{MASTER!$Y$2:$Y992,MASTER!$M$2:$M992},2,0),"")</f>
        <v/>
      </c>
      <c r="AM25" s="119">
        <f t="array" ref="AM25">IFERROR(VLOOKUP($C25&amp;AM$2,{MASTER!$Y$2:$Y992,MASTER!$M$2:$M992},2,0),"")</f>
        <v>2787</v>
      </c>
      <c r="AN25" s="119" t="str">
        <f t="array" ref="AN25">IFERROR(VLOOKUP($C25&amp;AN$2,{MASTER!$Y$2:$Y992,MASTER!$M$2:$M992},2,0),"")</f>
        <v/>
      </c>
      <c r="AO25" s="119">
        <f t="array" ref="AO25">IFERROR(VLOOKUP($C25&amp;AO$2,{MASTER!$Y$2:$Y992,MASTER!$M$2:$M992},2,0),"")</f>
        <v>2747</v>
      </c>
      <c r="AP25" s="119" t="str">
        <f t="array" ref="AP25">IFERROR(VLOOKUP($C25&amp;AP$2,{MASTER!$Y$2:$Y992,MASTER!$M$2:$M992},2,0),"")</f>
        <v/>
      </c>
      <c r="AQ25" s="119">
        <f t="array" ref="AQ25">IFERROR(VLOOKUP($C25&amp;AQ$2,{MASTER!$Y$2:$Y992,MASTER!$M$2:$M992},2,0),"")</f>
        <v>3087</v>
      </c>
      <c r="AR25" s="119" t="str">
        <f t="array" ref="AR25">IFERROR(VLOOKUP($C25&amp;AR$2,{MASTER!$Y$2:$Y992,MASTER!$M$2:$M992},2,0),"")</f>
        <v/>
      </c>
      <c r="AS25" s="119" t="str">
        <f t="array" ref="AS25">IFERROR(VLOOKUP($C25&amp;AS$2,{MASTER!$Y$2:$Y992,MASTER!$M$2:$M992},2,0),"")</f>
        <v/>
      </c>
      <c r="AT25" s="119" t="str">
        <f t="array" ref="AT25">IFERROR(VLOOKUP($C25&amp;AT$2,{MASTER!$Y$2:$Y992,MASTER!$M$2:$M992},2,0),"")</f>
        <v/>
      </c>
      <c r="AU25" s="119" t="str">
        <f t="array" ref="AU25">IFERROR(VLOOKUP($C25&amp;AU$2,{MASTER!$Y$2:$Y992,MASTER!$M$2:$M992},2,0),"")</f>
        <v/>
      </c>
      <c r="AV25" s="119" t="str">
        <f t="array" ref="AV25">IFERROR(VLOOKUP($C25&amp;AV$2,{MASTER!$Y$2:$Y992,MASTER!$M$2:$M992},2,0),"")</f>
        <v/>
      </c>
      <c r="AW25" s="119" t="str">
        <f t="array" ref="AW25">IFERROR(VLOOKUP($C25&amp;AW$2,{MASTER!$Y$2:$Y992,MASTER!$M$2:$M992},2,0),"")</f>
        <v/>
      </c>
      <c r="AX25" s="119" t="str">
        <f t="array" ref="AX25">IFERROR(VLOOKUP($C25&amp;AX$2,{MASTER!$Y$2:$Y992,MASTER!$M$2:$M992},2,0),"")</f>
        <v/>
      </c>
      <c r="AY25" s="119" t="str">
        <f t="array" ref="AY25">IFERROR(VLOOKUP($C25&amp;AY$2,{MASTER!$Y$2:$Y992,MASTER!$M$2:$M992},2,0),"")</f>
        <v/>
      </c>
      <c r="AZ25" s="119" t="str">
        <f t="array" ref="AZ25">IFERROR(VLOOKUP($C25&amp;AZ$2,{MASTER!$Y$2:$Y992,MASTER!$M$2:$M992},2,0),"")</f>
        <v/>
      </c>
      <c r="BA25" s="119" t="str">
        <f t="array" ref="BA25">IFERROR(VLOOKUP($C25&amp;BA$2,{MASTER!$Y$2:$Y992,MASTER!$M$2:$M992},2,0),"")</f>
        <v/>
      </c>
      <c r="BB25" s="119">
        <f t="array" ref="BB25">IFERROR(VLOOKUP($C25&amp;BB$2,{MASTER!$Y$2:$Y992,MASTER!$M$2:$M992},2,0),"")</f>
        <v>1268</v>
      </c>
    </row>
    <row r="26">
      <c r="A26" s="116">
        <f t="shared" si="1"/>
        <v>36</v>
      </c>
      <c r="B26" s="120"/>
      <c r="C26" s="285" t="s">
        <v>1269</v>
      </c>
      <c r="D26" s="119">
        <f t="array" ref="D26">IFERROR(VLOOKUP($C26&amp;D$2,{MASTER!$Y$2:$Y992,MASTER!$M$2:$M992},2,0),"")</f>
        <v>600</v>
      </c>
      <c r="E26" s="119">
        <f t="array" ref="E26">IFERROR(VLOOKUP($C26&amp;E$2,{MASTER!$Y$2:$Y992,MASTER!$M$2:$M992},2,0),"")</f>
        <v>1429</v>
      </c>
      <c r="F26" s="119" t="str">
        <f t="array" ref="F26">IFERROR(VLOOKUP($C26&amp;F$2,{MASTER!$Y$2:$Y992,MASTER!$M$2:$M992},2,0),"")</f>
        <v/>
      </c>
      <c r="G26" s="119">
        <f t="array" ref="G26">IFERROR(VLOOKUP($C26&amp;G$2,{MASTER!$Y$2:$Y992,MASTER!$M$2:$M992},2,0),"")</f>
        <v>840</v>
      </c>
      <c r="H26" s="119" t="str">
        <f t="array" ref="H26">IFERROR(VLOOKUP($C26&amp;H$2,{MASTER!$Y$2:$Y992,MASTER!$M$2:$M992},2,0),"")</f>
        <v/>
      </c>
      <c r="I26" s="119">
        <f t="array" ref="I26">IFERROR(VLOOKUP($C26&amp;I$2,{MASTER!$Y$2:$Y992,MASTER!$M$2:$M992},2,0),"")</f>
        <v>585</v>
      </c>
      <c r="J26" s="119" t="str">
        <f t="array" ref="J26">IFERROR(VLOOKUP($C26&amp;J$2,{MASTER!$Y$2:$Y992,MASTER!$M$2:$M992},2,0),"")</f>
        <v/>
      </c>
      <c r="K26" s="119" t="str">
        <f t="array" ref="K26">IFERROR(VLOOKUP($C26&amp;K$2,{MASTER!$Y$2:$Y992,MASTER!$M$2:$M992},2,0),"")</f>
        <v/>
      </c>
      <c r="L26" s="119" t="str">
        <f t="array" ref="L26">IFERROR(VLOOKUP($C26&amp;L$2,{MASTER!$Y$2:$Y992,MASTER!$M$2:$M992},2,0),"")</f>
        <v/>
      </c>
      <c r="M26" s="119">
        <f t="array" ref="M26">IFERROR(VLOOKUP($C26&amp;M$2,{MASTER!$Y$2:$Y992,MASTER!$M$2:$M992},2,0),"")</f>
        <v>606</v>
      </c>
      <c r="N26" s="119" t="str">
        <f t="array" ref="N26">IFERROR(VLOOKUP($C26&amp;N$2,{MASTER!$Y$2:$Y992,MASTER!$M$2:$M992},2,0),"")</f>
        <v/>
      </c>
      <c r="O26" s="119">
        <f t="array" ref="O26">IFERROR(VLOOKUP($C26&amp;O$2,{MASTER!$Y$2:$Y992,MASTER!$M$2:$M992},2,0),"")</f>
        <v>431</v>
      </c>
      <c r="P26" s="119">
        <f t="array" ref="P26">IFERROR(VLOOKUP($C26&amp;P$2,{MASTER!$Y$2:$Y992,MASTER!$M$2:$M992},2,0),"")</f>
        <v>718</v>
      </c>
      <c r="Q26" s="119">
        <f t="array" ref="Q26">IFERROR(VLOOKUP($C26&amp;Q$2,{MASTER!$Y$2:$Y992,MASTER!$M$2:$M992},2,0),"")</f>
        <v>828</v>
      </c>
      <c r="R26" s="119" t="str">
        <f t="array" ref="R26">IFERROR(VLOOKUP($C26&amp;R$2,{MASTER!$Y$2:$Y992,MASTER!$M$2:$M992},2,0),"")</f>
        <v/>
      </c>
      <c r="S26" s="119">
        <f t="array" ref="S26">IFERROR(VLOOKUP($C26&amp;S$2,{MASTER!$Y$2:$Y992,MASTER!$M$2:$M992},2,0),"")</f>
        <v>939</v>
      </c>
      <c r="T26" s="119">
        <f t="array" ref="T26">IFERROR(VLOOKUP($C26&amp;T$2,{MASTER!$Y$2:$Y992,MASTER!$M$2:$M992},2,0),"")</f>
        <v>889</v>
      </c>
      <c r="U26" s="119" t="str">
        <f t="array" ref="U26">IFERROR(VLOOKUP($C26&amp;U$2,{MASTER!$Y$2:$Y992,MASTER!$M$2:$M992},2,0),"")</f>
        <v/>
      </c>
      <c r="V26" s="119">
        <f t="array" ref="V26">IFERROR(VLOOKUP($C26&amp;V$2,{MASTER!$Y$2:$Y992,MASTER!$M$2:$M992},2,0),"")</f>
        <v>576</v>
      </c>
      <c r="W26" s="119">
        <f t="array" ref="W26">IFERROR(VLOOKUP($C26&amp;W$2,{MASTER!$Y$2:$Y992,MASTER!$M$2:$M992},2,0),"")</f>
        <v>605</v>
      </c>
      <c r="X26" s="119" t="str">
        <f t="array" ref="X26">IFERROR(VLOOKUP($C26&amp;X$2,{MASTER!$Y$2:$Y992,MASTER!$M$2:$M992},2,0),"")</f>
        <v/>
      </c>
      <c r="Y26" s="119" t="str">
        <f t="array" ref="Y26">IFERROR(VLOOKUP($C26&amp;Y$2,{MASTER!$Y$2:$Y992,MASTER!$M$2:$M992},2,0),"")</f>
        <v/>
      </c>
      <c r="Z26" s="119">
        <f t="array" ref="Z26">IFERROR(VLOOKUP($C26&amp;Z$2,{MASTER!$Y$2:$Y992,MASTER!$M$2:$M992},2,0),"")</f>
        <v>1415</v>
      </c>
      <c r="AA26" s="119">
        <f t="array" ref="AA26">IFERROR(VLOOKUP($C26&amp;AA$2,{MASTER!$Y$2:$Y992,MASTER!$M$2:$M992},2,0),"")</f>
        <v>1294</v>
      </c>
      <c r="AB26" s="119">
        <f t="array" ref="AB26">IFERROR(VLOOKUP($C26&amp;AB$2,{MASTER!$Y$2:$Y992,MASTER!$M$2:$M992},2,0),"")</f>
        <v>2128</v>
      </c>
      <c r="AC26" s="119">
        <f t="array" ref="AC26">IFERROR(VLOOKUP($C26&amp;AC$2,{MASTER!$Y$2:$Y992,MASTER!$M$2:$M992},2,0),"")</f>
        <v>1783</v>
      </c>
      <c r="AD26" s="119" t="str">
        <f t="array" ref="AD26">IFERROR(VLOOKUP($C26&amp;AD$2,{MASTER!$Y$2:$Y992,MASTER!$M$2:$M992},2,0),"")</f>
        <v/>
      </c>
      <c r="AE26" s="119">
        <f t="array" ref="AE26">IFERROR(VLOOKUP($C26&amp;AE$2,{MASTER!$Y$2:$Y992,MASTER!$M$2:$M992},2,0),"")</f>
        <v>1070</v>
      </c>
      <c r="AF26" s="119">
        <f t="array" ref="AF26">IFERROR(VLOOKUP($C26&amp;AF$2,{MASTER!$Y$2:$Y992,MASTER!$M$2:$M992},2,0),"")</f>
        <v>679</v>
      </c>
      <c r="AG26" s="119" t="str">
        <f t="array" ref="AG26">IFERROR(VLOOKUP($C26&amp;AG$2,{MASTER!$Y$2:$Y992,MASTER!$M$2:$M992},2,0),"")</f>
        <v/>
      </c>
      <c r="AH26" s="119">
        <f t="array" ref="AH26">IFERROR(VLOOKUP($C26&amp;AH$2,{MASTER!$Y$2:$Y992,MASTER!$M$2:$M992},2,0),"")</f>
        <v>1680</v>
      </c>
      <c r="AI26" s="119">
        <f t="array" ref="AI26">IFERROR(VLOOKUP($C26&amp;AI$2,{MASTER!$Y$2:$Y992,MASTER!$M$2:$M992},2,0),"")</f>
        <v>2321</v>
      </c>
      <c r="AJ26" s="119" t="str">
        <f t="array" ref="AJ26">IFERROR(VLOOKUP($C26&amp;AJ$2,{MASTER!$Y$2:$Y992,MASTER!$M$2:$M992},2,0),"")</f>
        <v/>
      </c>
      <c r="AK26" s="119" t="str">
        <f t="array" ref="AK26">IFERROR(VLOOKUP($C26&amp;AK$2,{MASTER!$Y$2:$Y992,MASTER!$M$2:$M992},2,0),"")</f>
        <v/>
      </c>
      <c r="AL26" s="119" t="str">
        <f t="array" ref="AL26">IFERROR(VLOOKUP($C26&amp;AL$2,{MASTER!$Y$2:$Y992,MASTER!$M$2:$M992},2,0),"")</f>
        <v/>
      </c>
      <c r="AM26" s="119">
        <f t="array" ref="AM26">IFERROR(VLOOKUP($C26&amp;AM$2,{MASTER!$Y$2:$Y992,MASTER!$M$2:$M992},2,0),"")</f>
        <v>2498</v>
      </c>
      <c r="AN26" s="119">
        <f t="array" ref="AN26">IFERROR(VLOOKUP($C26&amp;AN$2,{MASTER!$Y$2:$Y992,MASTER!$M$2:$M992},2,0),"")</f>
        <v>1951</v>
      </c>
      <c r="AO26" s="119">
        <f t="array" ref="AO26">IFERROR(VLOOKUP($C26&amp;AO$2,{MASTER!$Y$2:$Y992,MASTER!$M$2:$M992},2,0),"")</f>
        <v>2459</v>
      </c>
      <c r="AP26" s="119">
        <f t="array" ref="AP26">IFERROR(VLOOKUP($C26&amp;AP$2,{MASTER!$Y$2:$Y992,MASTER!$M$2:$M992},2,0),"")</f>
        <v>3499</v>
      </c>
      <c r="AQ26" s="119">
        <f t="array" ref="AQ26">IFERROR(VLOOKUP($C26&amp;AQ$2,{MASTER!$Y$2:$Y992,MASTER!$M$2:$M992},2,0),"")</f>
        <v>2637</v>
      </c>
      <c r="AR26" s="119">
        <f t="array" ref="AR26">IFERROR(VLOOKUP($C26&amp;AR$2,{MASTER!$Y$2:$Y992,MASTER!$M$2:$M992},2,0),"")</f>
        <v>1848</v>
      </c>
      <c r="AS26" s="119">
        <f t="array" ref="AS26">IFERROR(VLOOKUP($C26&amp;AS$2,{MASTER!$Y$2:$Y992,MASTER!$M$2:$M992},2,0),"")</f>
        <v>2207</v>
      </c>
      <c r="AT26" s="119">
        <f t="array" ref="AT26">IFERROR(VLOOKUP($C26&amp;AT$2,{MASTER!$Y$2:$Y992,MASTER!$M$2:$M992},2,0),"")</f>
        <v>2189.39</v>
      </c>
      <c r="AU26" s="119">
        <f t="array" ref="AU26">IFERROR(VLOOKUP($C26&amp;AU$2,{MASTER!$Y$2:$Y992,MASTER!$M$2:$M992},2,0),"")</f>
        <v>2121</v>
      </c>
      <c r="AV26" s="119">
        <f t="array" ref="AV26">IFERROR(VLOOKUP($C26&amp;AV$2,{MASTER!$Y$2:$Y992,MASTER!$M$2:$M992},2,0),"")</f>
        <v>1977</v>
      </c>
      <c r="AW26" s="119">
        <f t="array" ref="AW26">IFERROR(VLOOKUP($C26&amp;AW$2,{MASTER!$Y$2:$Y992,MASTER!$M$2:$M992},2,0),"")</f>
        <v>1972.93</v>
      </c>
      <c r="AX26" s="119">
        <f t="array" ref="AX26">IFERROR(VLOOKUP($C26&amp;AX$2,{MASTER!$Y$2:$Y992,MASTER!$M$2:$M992},2,0),"")</f>
        <v>2178</v>
      </c>
      <c r="AY26" s="119">
        <f t="array" ref="AY26">IFERROR(VLOOKUP($C26&amp;AY$2,{MASTER!$Y$2:$Y992,MASTER!$M$2:$M992},2,0),"")</f>
        <v>2853</v>
      </c>
      <c r="AZ26" s="119">
        <f t="array" ref="AZ26">IFERROR(VLOOKUP($C26&amp;AZ$2,{MASTER!$Y$2:$Y992,MASTER!$M$2:$M992},2,0),"")</f>
        <v>521</v>
      </c>
      <c r="BA26" s="119">
        <f t="array" ref="BA26">IFERROR(VLOOKUP($C26&amp;BA$2,{MASTER!$Y$2:$Y992,MASTER!$M$2:$M992},2,0),"")</f>
        <v>689</v>
      </c>
      <c r="BB26" s="119">
        <f t="array" ref="BB26">IFERROR(VLOOKUP($C26&amp;BB$2,{MASTER!$Y$2:$Y992,MASTER!$M$2:$M992},2,0),"")</f>
        <v>1063</v>
      </c>
    </row>
    <row r="27">
      <c r="A27" s="116">
        <f t="shared" si="1"/>
        <v>28</v>
      </c>
      <c r="B27" s="120"/>
      <c r="C27" s="285" t="s">
        <v>1256</v>
      </c>
      <c r="D27" s="119">
        <f t="array" ref="D27">IFERROR(VLOOKUP($C27&amp;D$2,{MASTER!$Y$2:$Y992,MASTER!$M$2:$M992},2,0),"")</f>
        <v>821</v>
      </c>
      <c r="E27" s="119">
        <f t="array" ref="E27">IFERROR(VLOOKUP($C27&amp;E$2,{MASTER!$Y$2:$Y992,MASTER!$M$2:$M992},2,0),"")</f>
        <v>1575</v>
      </c>
      <c r="F27" s="119" t="str">
        <f t="array" ref="F27">IFERROR(VLOOKUP($C27&amp;F$2,{MASTER!$Y$2:$Y992,MASTER!$M$2:$M992},2,0),"")</f>
        <v/>
      </c>
      <c r="G27" s="119" t="str">
        <f t="array" ref="G27">IFERROR(VLOOKUP($C27&amp;G$2,{MASTER!$Y$2:$Y992,MASTER!$M$2:$M992},2,0),"")</f>
        <v/>
      </c>
      <c r="H27" s="119" t="str">
        <f t="array" ref="H27">IFERROR(VLOOKUP($C27&amp;H$2,{MASTER!$Y$2:$Y992,MASTER!$M$2:$M992},2,0),"")</f>
        <v/>
      </c>
      <c r="I27" s="119" t="str">
        <f t="array" ref="I27">IFERROR(VLOOKUP($C27&amp;I$2,{MASTER!$Y$2:$Y992,MASTER!$M$2:$M992},2,0),"")</f>
        <v/>
      </c>
      <c r="J27" s="119" t="str">
        <f t="array" ref="J27">IFERROR(VLOOKUP($C27&amp;J$2,{MASTER!$Y$2:$Y992,MASTER!$M$2:$M992},2,0),"")</f>
        <v/>
      </c>
      <c r="K27" s="119" t="str">
        <f t="array" ref="K27">IFERROR(VLOOKUP($C27&amp;K$2,{MASTER!$Y$2:$Y992,MASTER!$M$2:$M992},2,0),"")</f>
        <v/>
      </c>
      <c r="L27" s="119" t="str">
        <f t="array" ref="L27">IFERROR(VLOOKUP($C27&amp;L$2,{MASTER!$Y$2:$Y992,MASTER!$M$2:$M992},2,0),"")</f>
        <v/>
      </c>
      <c r="M27" s="119">
        <f t="array" ref="M27">IFERROR(VLOOKUP($C27&amp;M$2,{MASTER!$Y$2:$Y992,MASTER!$M$2:$M992},2,0),"")</f>
        <v>655</v>
      </c>
      <c r="N27" s="119" t="str">
        <f t="array" ref="N27">IFERROR(VLOOKUP($C27&amp;N$2,{MASTER!$Y$2:$Y992,MASTER!$M$2:$M992},2,0),"")</f>
        <v/>
      </c>
      <c r="O27" s="119">
        <f t="array" ref="O27">IFERROR(VLOOKUP($C27&amp;O$2,{MASTER!$Y$2:$Y992,MASTER!$M$2:$M992},2,0),"")</f>
        <v>452</v>
      </c>
      <c r="P27" s="119">
        <f t="array" ref="P27">IFERROR(VLOOKUP($C27&amp;P$2,{MASTER!$Y$2:$Y992,MASTER!$M$2:$M992},2,0),"")</f>
        <v>759</v>
      </c>
      <c r="Q27" s="119">
        <f t="array" ref="Q27">IFERROR(VLOOKUP($C27&amp;Q$2,{MASTER!$Y$2:$Y992,MASTER!$M$2:$M992},2,0),"")</f>
        <v>924</v>
      </c>
      <c r="R27" s="119" t="str">
        <f t="array" ref="R27">IFERROR(VLOOKUP($C27&amp;R$2,{MASTER!$Y$2:$Y992,MASTER!$M$2:$M992},2,0),"")</f>
        <v/>
      </c>
      <c r="S27" s="119">
        <f t="array" ref="S27">IFERROR(VLOOKUP($C27&amp;S$2,{MASTER!$Y$2:$Y992,MASTER!$M$2:$M992},2,0),"")</f>
        <v>992</v>
      </c>
      <c r="T27" s="119">
        <f t="array" ref="T27">IFERROR(VLOOKUP($C27&amp;T$2,{MASTER!$Y$2:$Y992,MASTER!$M$2:$M992},2,0),"")</f>
        <v>903</v>
      </c>
      <c r="U27" s="119" t="str">
        <f t="array" ref="U27">IFERROR(VLOOKUP($C27&amp;U$2,{MASTER!$Y$2:$Y992,MASTER!$M$2:$M992},2,0),"")</f>
        <v/>
      </c>
      <c r="V27" s="119">
        <f t="array" ref="V27">IFERROR(VLOOKUP($C27&amp;V$2,{MASTER!$Y$2:$Y992,MASTER!$M$2:$M992},2,0),"")</f>
        <v>599</v>
      </c>
      <c r="W27" s="119">
        <f t="array" ref="W27">IFERROR(VLOOKUP($C27&amp;W$2,{MASTER!$Y$2:$Y992,MASTER!$M$2:$M992},2,0),"")</f>
        <v>627</v>
      </c>
      <c r="X27" s="119" t="str">
        <f t="array" ref="X27">IFERROR(VLOOKUP($C27&amp;X$2,{MASTER!$Y$2:$Y992,MASTER!$M$2:$M992},2,0),"")</f>
        <v/>
      </c>
      <c r="Y27" s="119" t="str">
        <f t="array" ref="Y27">IFERROR(VLOOKUP($C27&amp;Y$2,{MASTER!$Y$2:$Y992,MASTER!$M$2:$M992},2,0),"")</f>
        <v/>
      </c>
      <c r="Z27" s="119" t="str">
        <f t="array" ref="Z27">IFERROR(VLOOKUP($C27&amp;Z$2,{MASTER!$Y$2:$Y992,MASTER!$M$2:$M992},2,0),"")</f>
        <v/>
      </c>
      <c r="AA27" s="119">
        <f t="array" ref="AA27">IFERROR(VLOOKUP($C27&amp;AA$2,{MASTER!$Y$2:$Y992,MASTER!$M$2:$M992},2,0),"")</f>
        <v>1336</v>
      </c>
      <c r="AB27" s="119">
        <f t="array" ref="AB27">IFERROR(VLOOKUP($C27&amp;AB$2,{MASTER!$Y$2:$Y992,MASTER!$M$2:$M992},2,0),"")</f>
        <v>2176</v>
      </c>
      <c r="AC27" s="119">
        <f t="array" ref="AC27">IFERROR(VLOOKUP($C27&amp;AC$2,{MASTER!$Y$2:$Y992,MASTER!$M$2:$M992},2,0),"")</f>
        <v>1827</v>
      </c>
      <c r="AD27" s="119" t="str">
        <f t="array" ref="AD27">IFERROR(VLOOKUP($C27&amp;AD$2,{MASTER!$Y$2:$Y992,MASTER!$M$2:$M992},2,0),"")</f>
        <v/>
      </c>
      <c r="AE27" s="119">
        <f t="array" ref="AE27">IFERROR(VLOOKUP($C27&amp;AE$2,{MASTER!$Y$2:$Y992,MASTER!$M$2:$M992},2,0),"")</f>
        <v>1070</v>
      </c>
      <c r="AF27" s="119">
        <f t="array" ref="AF27">IFERROR(VLOOKUP($C27&amp;AF$2,{MASTER!$Y$2:$Y992,MASTER!$M$2:$M992},2,0),"")</f>
        <v>754</v>
      </c>
      <c r="AG27" s="119" t="str">
        <f t="array" ref="AG27">IFERROR(VLOOKUP($C27&amp;AG$2,{MASTER!$Y$2:$Y992,MASTER!$M$2:$M992},2,0),"")</f>
        <v/>
      </c>
      <c r="AH27" s="119">
        <f t="array" ref="AH27">IFERROR(VLOOKUP($C27&amp;AH$2,{MASTER!$Y$2:$Y992,MASTER!$M$2:$M992},2,0),"")</f>
        <v>1727</v>
      </c>
      <c r="AI27" s="119">
        <f t="array" ref="AI27">IFERROR(VLOOKUP($C27&amp;AI$2,{MASTER!$Y$2:$Y992,MASTER!$M$2:$M992},2,0),"")</f>
        <v>2396</v>
      </c>
      <c r="AJ27" s="119" t="str">
        <f t="array" ref="AJ27">IFERROR(VLOOKUP($C27&amp;AJ$2,{MASTER!$Y$2:$Y992,MASTER!$M$2:$M992},2,0),"")</f>
        <v/>
      </c>
      <c r="AK27" s="119">
        <f t="array" ref="AK27">IFERROR(VLOOKUP($C27&amp;AK$2,{MASTER!$Y$2:$Y992,MASTER!$M$2:$M992},2,0),"")</f>
        <v>1952</v>
      </c>
      <c r="AL27" s="119" t="str">
        <f t="array" ref="AL27">IFERROR(VLOOKUP($C27&amp;AL$2,{MASTER!$Y$2:$Y992,MASTER!$M$2:$M992},2,0),"")</f>
        <v/>
      </c>
      <c r="AM27" s="119">
        <f t="array" ref="AM27">IFERROR(VLOOKUP($C27&amp;AM$2,{MASTER!$Y$2:$Y992,MASTER!$M$2:$M992},2,0),"")</f>
        <v>2539</v>
      </c>
      <c r="AN27" s="119">
        <f t="array" ref="AN27">IFERROR(VLOOKUP($C27&amp;AN$2,{MASTER!$Y$2:$Y992,MASTER!$M$2:$M992},2,0),"")</f>
        <v>1992</v>
      </c>
      <c r="AO27" s="119">
        <f t="array" ref="AO27">IFERROR(VLOOKUP($C27&amp;AO$2,{MASTER!$Y$2:$Y992,MASTER!$M$2:$M992},2,0),"")</f>
        <v>2500</v>
      </c>
      <c r="AP27" s="119">
        <f t="array" ref="AP27">IFERROR(VLOOKUP($C27&amp;AP$2,{MASTER!$Y$2:$Y992,MASTER!$M$2:$M992},2,0),"")</f>
        <v>3549</v>
      </c>
      <c r="AQ27" s="119">
        <f t="array" ref="AQ27">IFERROR(VLOOKUP($C27&amp;AQ$2,{MASTER!$Y$2:$Y992,MASTER!$M$2:$M992},2,0),"")</f>
        <v>2678</v>
      </c>
      <c r="AR27" s="119">
        <f t="array" ref="AR27">IFERROR(VLOOKUP($C27&amp;AR$2,{MASTER!$Y$2:$Y992,MASTER!$M$2:$M992},2,0),"")</f>
        <v>1911</v>
      </c>
      <c r="AS27" s="119">
        <f t="array" ref="AS27">IFERROR(VLOOKUP($C27&amp;AS$2,{MASTER!$Y$2:$Y992,MASTER!$M$2:$M992},2,0),"")</f>
        <v>1326</v>
      </c>
      <c r="AT27" s="119" t="str">
        <f t="array" ref="AT27">IFERROR(VLOOKUP($C27&amp;AT$2,{MASTER!$Y$2:$Y992,MASTER!$M$2:$M992},2,0),"")</f>
        <v/>
      </c>
      <c r="AU27" s="119">
        <f t="array" ref="AU27">IFERROR(VLOOKUP($C27&amp;AU$2,{MASTER!$Y$2:$Y992,MASTER!$M$2:$M992},2,0),"")</f>
        <v>2193</v>
      </c>
      <c r="AV27" s="119">
        <f t="array" ref="AV27">IFERROR(VLOOKUP($C27&amp;AV$2,{MASTER!$Y$2:$Y992,MASTER!$M$2:$M992},2,0),"")</f>
        <v>2060</v>
      </c>
      <c r="AW27" s="119" t="str">
        <f t="array" ref="AW27">IFERROR(VLOOKUP($C27&amp;AW$2,{MASTER!$Y$2:$Y992,MASTER!$M$2:$M992},2,0),"")</f>
        <v/>
      </c>
      <c r="AX27" s="119">
        <f t="array" ref="AX27">IFERROR(VLOOKUP($C27&amp;AX$2,{MASTER!$Y$2:$Y992,MASTER!$M$2:$M992},2,0),"")</f>
        <v>2250</v>
      </c>
      <c r="AY27" s="119" t="str">
        <f t="array" ref="AY27">IFERROR(VLOOKUP($C27&amp;AY$2,{MASTER!$Y$2:$Y992,MASTER!$M$2:$M992},2,0),"")</f>
        <v/>
      </c>
      <c r="AZ27" s="119" t="str">
        <f t="array" ref="AZ27">IFERROR(VLOOKUP($C27&amp;AZ$2,{MASTER!$Y$2:$Y992,MASTER!$M$2:$M992},2,0),"")</f>
        <v/>
      </c>
      <c r="BA27" s="119" t="str">
        <f t="array" ref="BA27">IFERROR(VLOOKUP($C27&amp;BA$2,{MASTER!$Y$2:$Y992,MASTER!$M$2:$M992},2,0),"")</f>
        <v/>
      </c>
      <c r="BB27" s="119" t="str">
        <f t="array" ref="BB27">IFERROR(VLOOKUP($C27&amp;BB$2,{MASTER!$Y$2:$Y992,MASTER!$M$2:$M992},2,0),"")</f>
        <v/>
      </c>
    </row>
    <row r="28">
      <c r="A28" s="116">
        <f t="shared" si="1"/>
        <v>32</v>
      </c>
      <c r="B28" s="145"/>
      <c r="C28" s="285" t="s">
        <v>1273</v>
      </c>
      <c r="D28" s="119">
        <f t="array" ref="D28">IFERROR(VLOOKUP($C28&amp;D$2,{MASTER!$Y$2:$Y992,MASTER!$M$2:$M992},2,0),"")</f>
        <v>906</v>
      </c>
      <c r="E28" s="119">
        <f t="array" ref="E28">IFERROR(VLOOKUP($C28&amp;E$2,{MASTER!$Y$2:$Y992,MASTER!$M$2:$M992},2,0),"")</f>
        <v>1824</v>
      </c>
      <c r="F28" s="119" t="str">
        <f t="array" ref="F28">IFERROR(VLOOKUP($C28&amp;F$2,{MASTER!$Y$2:$Y992,MASTER!$M$2:$M992},2,0),"")</f>
        <v/>
      </c>
      <c r="G28" s="119">
        <f t="array" ref="G28">IFERROR(VLOOKUP($C28&amp;G$2,{MASTER!$Y$2:$Y992,MASTER!$M$2:$M992},2,0),"")</f>
        <v>1026</v>
      </c>
      <c r="H28" s="119" t="str">
        <f t="array" ref="H28">IFERROR(VLOOKUP($C28&amp;H$2,{MASTER!$Y$2:$Y992,MASTER!$M$2:$M992},2,0),"")</f>
        <v/>
      </c>
      <c r="I28" s="119">
        <f t="array" ref="I28">IFERROR(VLOOKUP($C28&amp;I$2,{MASTER!$Y$2:$Y992,MASTER!$M$2:$M992},2,0),"")</f>
        <v>663</v>
      </c>
      <c r="J28" s="119" t="str">
        <f t="array" ref="J28">IFERROR(VLOOKUP($C28&amp;J$2,{MASTER!$Y$2:$Y992,MASTER!$M$2:$M992},2,0),"")</f>
        <v/>
      </c>
      <c r="K28" s="119" t="str">
        <f t="array" ref="K28">IFERROR(VLOOKUP($C28&amp;K$2,{MASTER!$Y$2:$Y992,MASTER!$M$2:$M992},2,0),"")</f>
        <v/>
      </c>
      <c r="L28" s="119" t="str">
        <f t="array" ref="L28">IFERROR(VLOOKUP($C28&amp;L$2,{MASTER!$Y$2:$Y992,MASTER!$M$2:$M992},2,0),"")</f>
        <v/>
      </c>
      <c r="M28" s="119">
        <f t="array" ref="M28">IFERROR(VLOOKUP($C28&amp;M$2,{MASTER!$Y$2:$Y992,MASTER!$M$2:$M992},2,0),"")</f>
        <v>747</v>
      </c>
      <c r="N28" s="119" t="str">
        <f t="array" ref="N28">IFERROR(VLOOKUP($C28&amp;N$2,{MASTER!$Y$2:$Y992,MASTER!$M$2:$M992},2,0),"")</f>
        <v/>
      </c>
      <c r="O28" s="119">
        <f t="array" ref="O28">IFERROR(VLOOKUP($C28&amp;O$2,{MASTER!$Y$2:$Y992,MASTER!$M$2:$M992},2,0),"")</f>
        <v>498</v>
      </c>
      <c r="P28" s="119">
        <f t="array" ref="P28">IFERROR(VLOOKUP($C28&amp;P$2,{MASTER!$Y$2:$Y992,MASTER!$M$2:$M992},2,0),"")</f>
        <v>826</v>
      </c>
      <c r="Q28" s="119" t="str">
        <f t="array" ref="Q28">IFERROR(VLOOKUP($C28&amp;Q$2,{MASTER!$Y$2:$Y992,MASTER!$M$2:$M992},2,0),"")</f>
        <v/>
      </c>
      <c r="R28" s="119">
        <f t="array" ref="R28">IFERROR(VLOOKUP($C28&amp;R$2,{MASTER!$Y$2:$Y992,MASTER!$M$2:$M992},2,0),"")</f>
        <v>906</v>
      </c>
      <c r="S28" s="119">
        <f t="array" ref="S28">IFERROR(VLOOKUP($C28&amp;S$2,{MASTER!$Y$2:$Y992,MASTER!$M$2:$M992},2,0),"")</f>
        <v>1076</v>
      </c>
      <c r="T28" s="119">
        <f t="array" ref="T28">IFERROR(VLOOKUP($C28&amp;T$2,{MASTER!$Y$2:$Y992,MASTER!$M$2:$M992},2,0),"")</f>
        <v>973</v>
      </c>
      <c r="U28" s="119" t="str">
        <f t="array" ref="U28">IFERROR(VLOOKUP($C28&amp;U$2,{MASTER!$Y$2:$Y992,MASTER!$M$2:$M992},2,0),"")</f>
        <v/>
      </c>
      <c r="V28" s="119">
        <f t="array" ref="V28">IFERROR(VLOOKUP($C28&amp;V$2,{MASTER!$Y$2:$Y992,MASTER!$M$2:$M992},2,0),"")</f>
        <v>616</v>
      </c>
      <c r="W28" s="119">
        <f t="array" ref="W28">IFERROR(VLOOKUP($C28&amp;W$2,{MASTER!$Y$2:$Y992,MASTER!$M$2:$M992},2,0),"")</f>
        <v>645</v>
      </c>
      <c r="X28" s="119" t="str">
        <f t="array" ref="X28">IFERROR(VLOOKUP($C28&amp;X$2,{MASTER!$Y$2:$Y992,MASTER!$M$2:$M992},2,0),"")</f>
        <v/>
      </c>
      <c r="Y28" s="119" t="str">
        <f t="array" ref="Y28">IFERROR(VLOOKUP($C28&amp;Y$2,{MASTER!$Y$2:$Y992,MASTER!$M$2:$M992},2,0),"")</f>
        <v/>
      </c>
      <c r="Z28" s="119" t="str">
        <f t="array" ref="Z28">IFERROR(VLOOKUP($C28&amp;Z$2,{MASTER!$Y$2:$Y992,MASTER!$M$2:$M992},2,0),"")</f>
        <v/>
      </c>
      <c r="AA28" s="119">
        <f t="array" ref="AA28">IFERROR(VLOOKUP($C28&amp;AA$2,{MASTER!$Y$2:$Y992,MASTER!$M$2:$M992},2,0),"")</f>
        <v>1575</v>
      </c>
      <c r="AB28" s="119">
        <f t="array" ref="AB28">IFERROR(VLOOKUP($C28&amp;AB$2,{MASTER!$Y$2:$Y992,MASTER!$M$2:$M992},2,0),"")</f>
        <v>2472</v>
      </c>
      <c r="AC28" s="119">
        <f t="array" ref="AC28">IFERROR(VLOOKUP($C28&amp;AC$2,{MASTER!$Y$2:$Y992,MASTER!$M$2:$M992},2,0),"")</f>
        <v>2349</v>
      </c>
      <c r="AD28" s="119" t="str">
        <f t="array" ref="AD28">IFERROR(VLOOKUP($C28&amp;AD$2,{MASTER!$Y$2:$Y992,MASTER!$M$2:$M992},2,0),"")</f>
        <v/>
      </c>
      <c r="AE28" s="119">
        <f t="array" ref="AE28">IFERROR(VLOOKUP($C28&amp;AE$2,{MASTER!$Y$2:$Y992,MASTER!$M$2:$M992},2,0),"")</f>
        <v>1070</v>
      </c>
      <c r="AF28" s="119">
        <f t="array" ref="AF28">IFERROR(VLOOKUP($C28&amp;AF$2,{MASTER!$Y$2:$Y992,MASTER!$M$2:$M992},2,0),"")</f>
        <v>776</v>
      </c>
      <c r="AG28" s="119" t="str">
        <f t="array" ref="AG28">IFERROR(VLOOKUP($C28&amp;AG$2,{MASTER!$Y$2:$Y992,MASTER!$M$2:$M992},2,0),"")</f>
        <v/>
      </c>
      <c r="AH28" s="119">
        <f t="array" ref="AH28">IFERROR(VLOOKUP($C28&amp;AH$2,{MASTER!$Y$2:$Y992,MASTER!$M$2:$M992},2,0),"")</f>
        <v>2113</v>
      </c>
      <c r="AI28" s="119" t="str">
        <f t="array" ref="AI28">IFERROR(VLOOKUP($C28&amp;AI$2,{MASTER!$Y$2:$Y992,MASTER!$M$2:$M992},2,0),"")</f>
        <v/>
      </c>
      <c r="AJ28" s="119" t="str">
        <f t="array" ref="AJ28">IFERROR(VLOOKUP($C28&amp;AJ$2,{MASTER!$Y$2:$Y992,MASTER!$M$2:$M992},2,0),"")</f>
        <v/>
      </c>
      <c r="AK28" s="119">
        <f t="array" ref="AK28">IFERROR(VLOOKUP($C28&amp;AK$2,{MASTER!$Y$2:$Y992,MASTER!$M$2:$M992},2,0),"")</f>
        <v>1974</v>
      </c>
      <c r="AL28" s="119" t="str">
        <f t="array" ref="AL28">IFERROR(VLOOKUP($C28&amp;AL$2,{MASTER!$Y$2:$Y992,MASTER!$M$2:$M992},2,0),"")</f>
        <v/>
      </c>
      <c r="AM28" s="119">
        <f t="array" ref="AM28">IFERROR(VLOOKUP($C28&amp;AM$2,{MASTER!$Y$2:$Y992,MASTER!$M$2:$M992},2,0),"")</f>
        <v>2900</v>
      </c>
      <c r="AN28" s="119">
        <f t="array" ref="AN28">IFERROR(VLOOKUP($C28&amp;AN$2,{MASTER!$Y$2:$Y992,MASTER!$M$2:$M992},2,0),"")</f>
        <v>2014</v>
      </c>
      <c r="AO28" s="119">
        <f t="array" ref="AO28">IFERROR(VLOOKUP($C28&amp;AO$2,{MASTER!$Y$2:$Y992,MASTER!$M$2:$M992},2,0),"")</f>
        <v>2865</v>
      </c>
      <c r="AP28" s="119">
        <f t="array" ref="AP28">IFERROR(VLOOKUP($C28&amp;AP$2,{MASTER!$Y$2:$Y992,MASTER!$M$2:$M992},2,0),"")</f>
        <v>3555</v>
      </c>
      <c r="AQ28" s="119">
        <f t="array" ref="AQ28">IFERROR(VLOOKUP($C28&amp;AQ$2,{MASTER!$Y$2:$Y992,MASTER!$M$2:$M992},2,0),"")</f>
        <v>3092</v>
      </c>
      <c r="AR28" s="119">
        <f t="array" ref="AR28">IFERROR(VLOOKUP($C28&amp;AR$2,{MASTER!$Y$2:$Y992,MASTER!$M$2:$M992},2,0),"")</f>
        <v>2018</v>
      </c>
      <c r="AS28" s="119">
        <f t="array" ref="AS28">IFERROR(VLOOKUP($C28&amp;AS$2,{MASTER!$Y$2:$Y992,MASTER!$M$2:$M992},2,0),"")</f>
        <v>2377</v>
      </c>
      <c r="AT28" s="119" t="str">
        <f t="array" ref="AT28">IFERROR(VLOOKUP($C28&amp;AT$2,{MASTER!$Y$2:$Y992,MASTER!$M$2:$M992},2,0),"")</f>
        <v/>
      </c>
      <c r="AU28" s="119">
        <f t="array" ref="AU28">IFERROR(VLOOKUP($C28&amp;AU$2,{MASTER!$Y$2:$Y992,MASTER!$M$2:$M992},2,0),"")</f>
        <v>2291</v>
      </c>
      <c r="AV28" s="119">
        <f t="array" ref="AV28">IFERROR(VLOOKUP($C28&amp;AV$2,{MASTER!$Y$2:$Y992,MASTER!$M$2:$M992},2,0),"")</f>
        <v>2348</v>
      </c>
      <c r="AW28" s="119" t="str">
        <f t="array" ref="AW28">IFERROR(VLOOKUP($C28&amp;AW$2,{MASTER!$Y$2:$Y992,MASTER!$M$2:$M992},2,0),"")</f>
        <v/>
      </c>
      <c r="AX28" s="119">
        <f t="array" ref="AX28">IFERROR(VLOOKUP($C28&amp;AX$2,{MASTER!$Y$2:$Y992,MASTER!$M$2:$M992},2,0),"")</f>
        <v>2348</v>
      </c>
      <c r="AY28" s="119" t="str">
        <f t="array" ref="AY28">IFERROR(VLOOKUP($C28&amp;AY$2,{MASTER!$Y$2:$Y992,MASTER!$M$2:$M992},2,0),"")</f>
        <v/>
      </c>
      <c r="AZ28" s="119">
        <f t="array" ref="AZ28">IFERROR(VLOOKUP($C28&amp;AZ$2,{MASTER!$Y$2:$Y992,MASTER!$M$2:$M992},2,0),"")</f>
        <v>445</v>
      </c>
      <c r="BA28" s="119">
        <f t="array" ref="BA28">IFERROR(VLOOKUP($C28&amp;BA$2,{MASTER!$Y$2:$Y992,MASTER!$M$2:$M992},2,0),"")</f>
        <v>650</v>
      </c>
      <c r="BB28" s="119">
        <f t="array" ref="BB28">IFERROR(VLOOKUP($C28&amp;BB$2,{MASTER!$Y$2:$Y992,MASTER!$M$2:$M992},2,0),"")</f>
        <v>1101</v>
      </c>
    </row>
    <row r="29">
      <c r="A29" s="116">
        <f t="shared" si="1"/>
        <v>36</v>
      </c>
      <c r="B29" s="308">
        <v>9000.0</v>
      </c>
      <c r="C29" s="309" t="s">
        <v>1275</v>
      </c>
      <c r="D29" s="119">
        <f t="array" ref="D29">IFERROR(VLOOKUP($C29&amp;D$2,{MASTER!$Y$2:$Y992,MASTER!$M$2:$M992},2,0),"")</f>
        <v>900</v>
      </c>
      <c r="E29" s="119" t="str">
        <f t="array" ref="E29">IFERROR(VLOOKUP($C29&amp;E$2,{MASTER!$Y$2:$Y992,MASTER!$M$2:$M992},2,0),"")</f>
        <v/>
      </c>
      <c r="F29" s="119" t="str">
        <f t="array" ref="F29">IFERROR(VLOOKUP($C29&amp;F$2,{MASTER!$Y$2:$Y992,MASTER!$M$2:$M992},2,0),"")</f>
        <v/>
      </c>
      <c r="G29" s="119" t="str">
        <f t="array" ref="G29">IFERROR(VLOOKUP($C29&amp;G$2,{MASTER!$Y$2:$Y992,MASTER!$M$2:$M992},2,0),"")</f>
        <v/>
      </c>
      <c r="H29" s="119" t="str">
        <f t="array" ref="H29">IFERROR(VLOOKUP($C29&amp;H$2,{MASTER!$Y$2:$Y992,MASTER!$M$2:$M992},2,0),"")</f>
        <v/>
      </c>
      <c r="I29" s="119">
        <f t="array" ref="I29">IFERROR(VLOOKUP($C29&amp;I$2,{MASTER!$Y$2:$Y992,MASTER!$M$2:$M992},2,0),"")</f>
        <v>704</v>
      </c>
      <c r="J29" s="119" t="str">
        <f t="array" ref="J29">IFERROR(VLOOKUP($C29&amp;J$2,{MASTER!$Y$2:$Y992,MASTER!$M$2:$M992},2,0),"")</f>
        <v/>
      </c>
      <c r="K29" s="119" t="str">
        <f t="array" ref="K29">IFERROR(VLOOKUP($C29&amp;K$2,{MASTER!$Y$2:$Y992,MASTER!$M$2:$M992},2,0),"")</f>
        <v/>
      </c>
      <c r="L29" s="119" t="str">
        <f t="array" ref="L29">IFERROR(VLOOKUP($C29&amp;L$2,{MASTER!$Y$2:$Y992,MASTER!$M$2:$M992},2,0),"")</f>
        <v/>
      </c>
      <c r="M29" s="119">
        <f t="array" ref="M29">IFERROR(VLOOKUP($C29&amp;M$2,{MASTER!$Y$2:$Y992,MASTER!$M$2:$M992},2,0),"")</f>
        <v>703</v>
      </c>
      <c r="N29" s="119" t="str">
        <f t="array" ref="N29">IFERROR(VLOOKUP($C29&amp;N$2,{MASTER!$Y$2:$Y992,MASTER!$M$2:$M992},2,0),"")</f>
        <v/>
      </c>
      <c r="O29" s="119">
        <f t="array" ref="O29">IFERROR(VLOOKUP($C29&amp;O$2,{MASTER!$Y$2:$Y992,MASTER!$M$2:$M992},2,0),"")</f>
        <v>525</v>
      </c>
      <c r="P29" s="119">
        <f t="array" ref="P29">IFERROR(VLOOKUP($C29&amp;P$2,{MASTER!$Y$2:$Y992,MASTER!$M$2:$M992},2,0),"")</f>
        <v>968</v>
      </c>
      <c r="Q29" s="119">
        <f t="array" ref="Q29">IFERROR(VLOOKUP($C29&amp;Q$2,{MASTER!$Y$2:$Y992,MASTER!$M$2:$M992},2,0),"")</f>
        <v>1075</v>
      </c>
      <c r="R29" s="119">
        <f t="array" ref="R29">IFERROR(VLOOKUP($C29&amp;R$2,{MASTER!$Y$2:$Y992,MASTER!$M$2:$M992},2,0),"")</f>
        <v>725</v>
      </c>
      <c r="S29" s="119">
        <f t="array" ref="S29">IFERROR(VLOOKUP($C29&amp;S$2,{MASTER!$Y$2:$Y992,MASTER!$M$2:$M992},2,0),"")</f>
        <v>1084</v>
      </c>
      <c r="T29" s="119">
        <f t="array" ref="T29">IFERROR(VLOOKUP($C29&amp;T$2,{MASTER!$Y$2:$Y992,MASTER!$M$2:$M992},2,0),"")</f>
        <v>952</v>
      </c>
      <c r="U29" s="119" t="str">
        <f t="array" ref="U29">IFERROR(VLOOKUP($C29&amp;U$2,{MASTER!$Y$2:$Y992,MASTER!$M$2:$M992},2,0),"")</f>
        <v/>
      </c>
      <c r="V29" s="119">
        <f t="array" ref="V29">IFERROR(VLOOKUP($C29&amp;V$2,{MASTER!$Y$2:$Y992,MASTER!$M$2:$M992},2,0),"")</f>
        <v>591</v>
      </c>
      <c r="W29" s="119">
        <f t="array" ref="W29">IFERROR(VLOOKUP($C29&amp;W$2,{MASTER!$Y$2:$Y992,MASTER!$M$2:$M992},2,0),"")</f>
        <v>620</v>
      </c>
      <c r="X29" s="119" t="str">
        <f t="array" ref="X29">IFERROR(VLOOKUP($C29&amp;X$2,{MASTER!$Y$2:$Y992,MASTER!$M$2:$M992},2,0),"")</f>
        <v/>
      </c>
      <c r="Y29" s="119" t="str">
        <f t="array" ref="Y29">IFERROR(VLOOKUP($C29&amp;Y$2,{MASTER!$Y$2:$Y992,MASTER!$M$2:$M992},2,0),"")</f>
        <v/>
      </c>
      <c r="Z29" s="119">
        <f t="array" ref="Z29">IFERROR(VLOOKUP($C29&amp;Z$2,{MASTER!$Y$2:$Y992,MASTER!$M$2:$M992},2,0),"")</f>
        <v>1613</v>
      </c>
      <c r="AA29" s="119">
        <f t="array" ref="AA29">IFERROR(VLOOKUP($C29&amp;AA$2,{MASTER!$Y$2:$Y992,MASTER!$M$2:$M992},2,0),"")</f>
        <v>1473</v>
      </c>
      <c r="AB29" s="119">
        <f t="array" ref="AB29">IFERROR(VLOOKUP($C29&amp;AB$2,{MASTER!$Y$2:$Y992,MASTER!$M$2:$M992},2,0),"")</f>
        <v>2265</v>
      </c>
      <c r="AC29" s="119">
        <f t="array" ref="AC29">IFERROR(VLOOKUP($C29&amp;AC$2,{MASTER!$Y$2:$Y992,MASTER!$M$2:$M992},2,0),"")</f>
        <v>1783</v>
      </c>
      <c r="AD29" s="119" t="str">
        <f t="array" ref="AD29">IFERROR(VLOOKUP($C29&amp;AD$2,{MASTER!$Y$2:$Y992,MASTER!$M$2:$M992},2,0),"")</f>
        <v/>
      </c>
      <c r="AE29" s="119">
        <f t="array" ref="AE29">IFERROR(VLOOKUP($C29&amp;AE$2,{MASTER!$Y$2:$Y992,MASTER!$M$2:$M992},2,0),"")</f>
        <v>1070</v>
      </c>
      <c r="AF29" s="119">
        <f t="array" ref="AF29">IFERROR(VLOOKUP($C29&amp;AF$2,{MASTER!$Y$2:$Y992,MASTER!$M$2:$M992},2,0),"")</f>
        <v>679</v>
      </c>
      <c r="AG29" s="119" t="str">
        <f t="array" ref="AG29">IFERROR(VLOOKUP($C29&amp;AG$2,{MASTER!$Y$2:$Y992,MASTER!$M$2:$M992},2,0),"")</f>
        <v/>
      </c>
      <c r="AH29" s="119">
        <f t="array" ref="AH29">IFERROR(VLOOKUP($C29&amp;AH$2,{MASTER!$Y$2:$Y992,MASTER!$M$2:$M992},2,0),"")</f>
        <v>1948</v>
      </c>
      <c r="AI29" s="119" t="str">
        <f t="array" ref="AI29">IFERROR(VLOOKUP($C29&amp;AI$2,{MASTER!$Y$2:$Y992,MASTER!$M$2:$M992},2,0),"")</f>
        <v/>
      </c>
      <c r="AJ29" s="119">
        <f t="array" ref="AJ29">IFERROR(VLOOKUP($C29&amp;AJ$2,{MASTER!$Y$2:$Y992,MASTER!$M$2:$M992},2,0),"")</f>
        <v>1633</v>
      </c>
      <c r="AK29" s="119" t="str">
        <f t="array" ref="AK29">IFERROR(VLOOKUP($C29&amp;AK$2,{MASTER!$Y$2:$Y992,MASTER!$M$2:$M992},2,0),"")</f>
        <v/>
      </c>
      <c r="AL29" s="119">
        <f t="array" ref="AL29">IFERROR(VLOOKUP($C29&amp;AL$2,{MASTER!$Y$2:$Y992,MASTER!$M$2:$M992},2,0),"")</f>
        <v>2146</v>
      </c>
      <c r="AM29" s="119">
        <f t="array" ref="AM29">IFERROR(VLOOKUP($C29&amp;AM$2,{MASTER!$Y$2:$Y992,MASTER!$M$2:$M992},2,0),"")</f>
        <v>2953</v>
      </c>
      <c r="AN29" s="119">
        <f t="array" ref="AN29">IFERROR(VLOOKUP($C29&amp;AN$2,{MASTER!$Y$2:$Y992,MASTER!$M$2:$M992},2,0),"")</f>
        <v>1949</v>
      </c>
      <c r="AO29" s="119">
        <f t="array" ref="AO29">IFERROR(VLOOKUP($C29&amp;AO$2,{MASTER!$Y$2:$Y992,MASTER!$M$2:$M992},2,0),"")</f>
        <v>2914</v>
      </c>
      <c r="AP29" s="119">
        <f t="array" ref="AP29">IFERROR(VLOOKUP($C29&amp;AP$2,{MASTER!$Y$2:$Y992,MASTER!$M$2:$M992},2,0),"")</f>
        <v>3499</v>
      </c>
      <c r="AQ29" s="119">
        <f t="array" ref="AQ29">IFERROR(VLOOKUP($C29&amp;AQ$2,{MASTER!$Y$2:$Y992,MASTER!$M$2:$M992},2,0),"")</f>
        <v>3090</v>
      </c>
      <c r="AR29" s="119">
        <f t="array" ref="AR29">IFERROR(VLOOKUP($C29&amp;AR$2,{MASTER!$Y$2:$Y992,MASTER!$M$2:$M992},2,0),"")</f>
        <v>1848</v>
      </c>
      <c r="AS29" s="119">
        <f t="array" ref="AS29">IFERROR(VLOOKUP($C29&amp;AS$2,{MASTER!$Y$2:$Y992,MASTER!$M$2:$M992},2,0),"")</f>
        <v>2207</v>
      </c>
      <c r="AT29" s="119">
        <f t="array" ref="AT29">IFERROR(VLOOKUP($C29&amp;AT$2,{MASTER!$Y$2:$Y992,MASTER!$M$2:$M992},2,0),"")</f>
        <v>2189.39</v>
      </c>
      <c r="AU29" s="119">
        <f t="array" ref="AU29">IFERROR(VLOOKUP($C29&amp;AU$2,{MASTER!$Y$2:$Y992,MASTER!$M$2:$M992},2,0),"")</f>
        <v>2131</v>
      </c>
      <c r="AV29" s="119">
        <f t="array" ref="AV29">IFERROR(VLOOKUP($C29&amp;AV$2,{MASTER!$Y$2:$Y992,MASTER!$M$2:$M992},2,0),"")</f>
        <v>1975</v>
      </c>
      <c r="AW29" s="119">
        <f t="array" ref="AW29">IFERROR(VLOOKUP($C29&amp;AW$2,{MASTER!$Y$2:$Y992,MASTER!$M$2:$M992},2,0),"")</f>
        <v>1972.93</v>
      </c>
      <c r="AX29" s="119">
        <f t="array" ref="AX29">IFERROR(VLOOKUP($C29&amp;AX$2,{MASTER!$Y$2:$Y992,MASTER!$M$2:$M992},2,0),"")</f>
        <v>2178</v>
      </c>
      <c r="AY29" s="119">
        <f t="array" ref="AY29">IFERROR(VLOOKUP($C29&amp;AY$2,{MASTER!$Y$2:$Y992,MASTER!$M$2:$M992},2,0),"")</f>
        <v>2853</v>
      </c>
      <c r="AZ29" s="119">
        <f t="array" ref="AZ29">IFERROR(VLOOKUP($C29&amp;AZ$2,{MASTER!$Y$2:$Y992,MASTER!$M$2:$M992},2,0),"")</f>
        <v>610</v>
      </c>
      <c r="BA29" s="119">
        <f t="array" ref="BA29">IFERROR(VLOOKUP($C29&amp;BA$2,{MASTER!$Y$2:$Y992,MASTER!$M$2:$M992},2,0),"")</f>
        <v>809</v>
      </c>
      <c r="BB29" s="119">
        <f t="array" ref="BB29">IFERROR(VLOOKUP($C29&amp;BB$2,{MASTER!$Y$2:$Y992,MASTER!$M$2:$M992},2,0),"")</f>
        <v>1078</v>
      </c>
    </row>
    <row r="30">
      <c r="A30" s="2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</row>
    <row r="31">
      <c r="A31" s="28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</row>
    <row r="32">
      <c r="A32" s="28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</row>
    <row r="33">
      <c r="A33" s="28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</row>
    <row r="34">
      <c r="A34" s="2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</row>
    <row r="35">
      <c r="A35" s="28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</row>
    <row r="36">
      <c r="A36" s="28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</row>
    <row r="37">
      <c r="A37" s="28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</row>
    <row r="38">
      <c r="A38" s="28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</row>
    <row r="39">
      <c r="A39" s="28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</row>
    <row r="40">
      <c r="A40" s="28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</row>
    <row r="41">
      <c r="A41" s="28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</row>
    <row r="42">
      <c r="A42" s="28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</row>
    <row r="43">
      <c r="A43" s="28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</row>
    <row r="44">
      <c r="A44" s="28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</row>
    <row r="45">
      <c r="A45" s="28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</row>
    <row r="46">
      <c r="A46" s="28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</row>
    <row r="47">
      <c r="A47" s="28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</row>
    <row r="48">
      <c r="A48" s="28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</row>
    <row r="49">
      <c r="A49" s="28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</row>
    <row r="50">
      <c r="A50" s="28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</row>
    <row r="51">
      <c r="A51" s="28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</row>
    <row r="52">
      <c r="A52" s="28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</row>
    <row r="53">
      <c r="A53" s="28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</row>
    <row r="54">
      <c r="A54" s="28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</row>
    <row r="55">
      <c r="A55" s="28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</row>
    <row r="56">
      <c r="A56" s="28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</row>
    <row r="57">
      <c r="A57" s="28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</row>
    <row r="58">
      <c r="A58" s="28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</row>
    <row r="59">
      <c r="A59" s="28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</row>
    <row r="60">
      <c r="A60" s="2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</row>
    <row r="61">
      <c r="A61" s="28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</row>
    <row r="62">
      <c r="A62" s="28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</row>
    <row r="63">
      <c r="A63" s="28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</row>
    <row r="64">
      <c r="A64" s="28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</row>
    <row r="65">
      <c r="A65" s="28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</row>
    <row r="66">
      <c r="A66" s="28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</row>
    <row r="67">
      <c r="A67" s="28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</row>
    <row r="68">
      <c r="A68" s="28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</row>
    <row r="69">
      <c r="A69" s="28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</row>
    <row r="70">
      <c r="A70" s="28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</row>
    <row r="71">
      <c r="A71" s="28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</row>
    <row r="72">
      <c r="A72" s="28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</row>
    <row r="73">
      <c r="A73" s="28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</row>
    <row r="74">
      <c r="A74" s="28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</row>
    <row r="75">
      <c r="A75" s="28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</row>
    <row r="76">
      <c r="A76" s="28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</row>
    <row r="77">
      <c r="A77" s="28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</row>
    <row r="78">
      <c r="A78" s="28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</row>
    <row r="79">
      <c r="A79" s="28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</row>
    <row r="80">
      <c r="A80" s="28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/>
      <c r="BB80" s="139"/>
    </row>
    <row r="81">
      <c r="A81" s="28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139"/>
    </row>
    <row r="82">
      <c r="A82" s="28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39"/>
      <c r="AM82" s="139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</row>
    <row r="83">
      <c r="A83" s="28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  <c r="AN83" s="139"/>
      <c r="AO83" s="139"/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</row>
    <row r="84">
      <c r="A84" s="28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/>
      <c r="AL84" s="139"/>
      <c r="AM84" s="139"/>
      <c r="AN84" s="139"/>
      <c r="AO84" s="139"/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/>
      <c r="BB84" s="139"/>
    </row>
    <row r="85">
      <c r="A85" s="28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39"/>
      <c r="AI85" s="139"/>
      <c r="AJ85" s="139"/>
      <c r="AK85" s="139"/>
      <c r="AL85" s="139"/>
      <c r="AM85" s="139"/>
      <c r="AN85" s="139"/>
      <c r="AO85" s="139"/>
      <c r="AP85" s="139"/>
      <c r="AQ85" s="139"/>
      <c r="AR85" s="139"/>
      <c r="AS85" s="139"/>
      <c r="AT85" s="139"/>
      <c r="AU85" s="139"/>
      <c r="AV85" s="139"/>
      <c r="AW85" s="139"/>
      <c r="AX85" s="139"/>
      <c r="AY85" s="139"/>
      <c r="AZ85" s="139"/>
      <c r="BA85" s="139"/>
      <c r="BB85" s="139"/>
    </row>
    <row r="86">
      <c r="A86" s="28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</row>
    <row r="87">
      <c r="A87" s="28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  <c r="AK87" s="139"/>
      <c r="AL87" s="139"/>
      <c r="AM87" s="139"/>
      <c r="AN87" s="139"/>
      <c r="AO87" s="139"/>
      <c r="AP87" s="139"/>
      <c r="AQ87" s="139"/>
      <c r="AR87" s="139"/>
      <c r="AS87" s="139"/>
      <c r="AT87" s="139"/>
      <c r="AU87" s="139"/>
      <c r="AV87" s="139"/>
      <c r="AW87" s="139"/>
      <c r="AX87" s="139"/>
      <c r="AY87" s="139"/>
      <c r="AZ87" s="139"/>
      <c r="BA87" s="139"/>
      <c r="BB87" s="139"/>
    </row>
    <row r="88">
      <c r="A88" s="28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</row>
    <row r="89">
      <c r="A89" s="28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  <c r="AK89" s="139"/>
      <c r="AL89" s="139"/>
      <c r="AM89" s="139"/>
      <c r="AN89" s="139"/>
      <c r="AO89" s="139"/>
      <c r="AP89" s="139"/>
      <c r="AQ89" s="139"/>
      <c r="AR89" s="139"/>
      <c r="AS89" s="139"/>
      <c r="AT89" s="139"/>
      <c r="AU89" s="139"/>
      <c r="AV89" s="139"/>
      <c r="AW89" s="139"/>
      <c r="AX89" s="139"/>
      <c r="AY89" s="139"/>
      <c r="AZ89" s="139"/>
      <c r="BA89" s="139"/>
      <c r="BB89" s="139"/>
    </row>
    <row r="90">
      <c r="A90" s="28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39"/>
      <c r="AI90" s="139"/>
      <c r="AJ90" s="139"/>
      <c r="AK90" s="139"/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</row>
    <row r="91">
      <c r="A91" s="28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  <c r="AF91" s="139"/>
      <c r="AG91" s="139"/>
      <c r="AH91" s="139"/>
      <c r="AI91" s="139"/>
      <c r="AJ91" s="139"/>
      <c r="AK91" s="139"/>
      <c r="AL91" s="139"/>
      <c r="AM91" s="139"/>
      <c r="AN91" s="139"/>
      <c r="AO91" s="139"/>
      <c r="AP91" s="139"/>
      <c r="AQ91" s="139"/>
      <c r="AR91" s="139"/>
      <c r="AS91" s="139"/>
      <c r="AT91" s="139"/>
      <c r="AU91" s="139"/>
      <c r="AV91" s="139"/>
      <c r="AW91" s="139"/>
      <c r="AX91" s="139"/>
      <c r="AY91" s="139"/>
      <c r="AZ91" s="139"/>
      <c r="BA91" s="139"/>
      <c r="BB91" s="139"/>
    </row>
    <row r="92">
      <c r="A92" s="28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  <c r="AH92" s="139"/>
      <c r="AI92" s="139"/>
      <c r="AJ92" s="139"/>
      <c r="AK92" s="139"/>
      <c r="AL92" s="139"/>
      <c r="AM92" s="139"/>
      <c r="AN92" s="139"/>
      <c r="AO92" s="139"/>
      <c r="AP92" s="139"/>
      <c r="AQ92" s="139"/>
      <c r="AR92" s="139"/>
      <c r="AS92" s="139"/>
      <c r="AT92" s="139"/>
      <c r="AU92" s="139"/>
      <c r="AV92" s="139"/>
      <c r="AW92" s="139"/>
      <c r="AX92" s="139"/>
      <c r="AY92" s="139"/>
      <c r="AZ92" s="139"/>
      <c r="BA92" s="139"/>
      <c r="BB92" s="139"/>
    </row>
    <row r="93">
      <c r="A93" s="28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  <c r="AV93" s="139"/>
      <c r="AW93" s="139"/>
      <c r="AX93" s="139"/>
      <c r="AY93" s="139"/>
      <c r="AZ93" s="139"/>
      <c r="BA93" s="139"/>
      <c r="BB93" s="139"/>
    </row>
    <row r="94">
      <c r="A94" s="28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139"/>
      <c r="AN94" s="139"/>
      <c r="AO94" s="139"/>
      <c r="AP94" s="139"/>
      <c r="AQ94" s="139"/>
      <c r="AR94" s="139"/>
      <c r="AS94" s="139"/>
      <c r="AT94" s="139"/>
      <c r="AU94" s="139"/>
      <c r="AV94" s="139"/>
      <c r="AW94" s="139"/>
      <c r="AX94" s="139"/>
      <c r="AY94" s="139"/>
      <c r="AZ94" s="139"/>
      <c r="BA94" s="139"/>
      <c r="BB94" s="139"/>
    </row>
    <row r="95">
      <c r="A95" s="28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39"/>
      <c r="AV95" s="139"/>
      <c r="AW95" s="139"/>
      <c r="AX95" s="139"/>
      <c r="AY95" s="139"/>
      <c r="AZ95" s="139"/>
      <c r="BA95" s="139"/>
      <c r="BB95" s="139"/>
    </row>
    <row r="96">
      <c r="A96" s="28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9"/>
      <c r="AG96" s="139"/>
      <c r="AH96" s="139"/>
      <c r="AI96" s="139"/>
      <c r="AJ96" s="139"/>
      <c r="AK96" s="139"/>
      <c r="AL96" s="139"/>
      <c r="AM96" s="139"/>
      <c r="AN96" s="139"/>
      <c r="AO96" s="139"/>
      <c r="AP96" s="139"/>
      <c r="AQ96" s="139"/>
      <c r="AR96" s="139"/>
      <c r="AS96" s="139"/>
      <c r="AT96" s="139"/>
      <c r="AU96" s="139"/>
      <c r="AV96" s="139"/>
      <c r="AW96" s="139"/>
      <c r="AX96" s="139"/>
      <c r="AY96" s="139"/>
      <c r="AZ96" s="139"/>
      <c r="BA96" s="139"/>
      <c r="BB96" s="139"/>
    </row>
    <row r="97">
      <c r="A97" s="28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  <c r="AR97" s="139"/>
      <c r="AS97" s="139"/>
      <c r="AT97" s="139"/>
      <c r="AU97" s="139"/>
      <c r="AV97" s="139"/>
      <c r="AW97" s="139"/>
      <c r="AX97" s="139"/>
      <c r="AY97" s="139"/>
      <c r="AZ97" s="139"/>
      <c r="BA97" s="139"/>
      <c r="BB97" s="139"/>
    </row>
    <row r="98">
      <c r="A98" s="28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  <c r="AO98" s="139"/>
      <c r="AP98" s="139"/>
      <c r="AQ98" s="139"/>
      <c r="AR98" s="139"/>
      <c r="AS98" s="139"/>
      <c r="AT98" s="139"/>
      <c r="AU98" s="139"/>
      <c r="AV98" s="139"/>
      <c r="AW98" s="139"/>
      <c r="AX98" s="139"/>
      <c r="AY98" s="139"/>
      <c r="AZ98" s="139"/>
      <c r="BA98" s="139"/>
      <c r="BB98" s="139"/>
    </row>
    <row r="99">
      <c r="A99" s="28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139"/>
      <c r="AG99" s="139"/>
      <c r="AH99" s="139"/>
      <c r="AI99" s="139"/>
      <c r="AJ99" s="139"/>
      <c r="AK99" s="139"/>
      <c r="AL99" s="139"/>
      <c r="AM99" s="139"/>
      <c r="AN99" s="139"/>
      <c r="AO99" s="139"/>
      <c r="AP99" s="139"/>
      <c r="AQ99" s="139"/>
      <c r="AR99" s="139"/>
      <c r="AS99" s="139"/>
      <c r="AT99" s="139"/>
      <c r="AU99" s="139"/>
      <c r="AV99" s="139"/>
      <c r="AW99" s="139"/>
      <c r="AX99" s="139"/>
      <c r="AY99" s="139"/>
      <c r="AZ99" s="139"/>
      <c r="BA99" s="139"/>
      <c r="BB99" s="139"/>
    </row>
    <row r="100">
      <c r="A100" s="28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  <c r="AF100" s="139"/>
      <c r="AG100" s="139"/>
      <c r="AH100" s="139"/>
      <c r="AI100" s="139"/>
      <c r="AJ100" s="139"/>
      <c r="AK100" s="139"/>
      <c r="AL100" s="139"/>
      <c r="AM100" s="139"/>
      <c r="AN100" s="139"/>
      <c r="AO100" s="139"/>
      <c r="AP100" s="139"/>
      <c r="AQ100" s="139"/>
      <c r="AR100" s="139"/>
      <c r="AS100" s="139"/>
      <c r="AT100" s="139"/>
      <c r="AU100" s="139"/>
      <c r="AV100" s="139"/>
      <c r="AW100" s="139"/>
      <c r="AX100" s="139"/>
      <c r="AY100" s="139"/>
      <c r="AZ100" s="139"/>
      <c r="BA100" s="139"/>
      <c r="BB100" s="139"/>
    </row>
    <row r="101">
      <c r="A101" s="28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39"/>
      <c r="AJ101" s="139"/>
      <c r="AK101" s="139"/>
      <c r="AL101" s="139"/>
      <c r="AM101" s="139"/>
      <c r="AN101" s="139"/>
      <c r="AO101" s="139"/>
      <c r="AP101" s="139"/>
      <c r="AQ101" s="139"/>
      <c r="AR101" s="139"/>
      <c r="AS101" s="139"/>
      <c r="AT101" s="139"/>
      <c r="AU101" s="139"/>
      <c r="AV101" s="139"/>
      <c r="AW101" s="139"/>
      <c r="AX101" s="139"/>
      <c r="AY101" s="139"/>
      <c r="AZ101" s="139"/>
      <c r="BA101" s="139"/>
      <c r="BB101" s="139"/>
    </row>
    <row r="102">
      <c r="A102" s="28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  <c r="AK102" s="139"/>
      <c r="AL102" s="139"/>
      <c r="AM102" s="139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/>
      <c r="AZ102" s="139"/>
      <c r="BA102" s="139"/>
      <c r="BB102" s="139"/>
    </row>
    <row r="103">
      <c r="A103" s="28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  <c r="AJ103" s="139"/>
      <c r="AK103" s="139"/>
      <c r="AL103" s="139"/>
      <c r="AM103" s="139"/>
      <c r="AN103" s="139"/>
      <c r="AO103" s="139"/>
      <c r="AP103" s="139"/>
      <c r="AQ103" s="139"/>
      <c r="AR103" s="139"/>
      <c r="AS103" s="139"/>
      <c r="AT103" s="139"/>
      <c r="AU103" s="139"/>
      <c r="AV103" s="139"/>
      <c r="AW103" s="139"/>
      <c r="AX103" s="139"/>
      <c r="AY103" s="139"/>
      <c r="AZ103" s="139"/>
      <c r="BA103" s="139"/>
      <c r="BB103" s="139"/>
    </row>
    <row r="104">
      <c r="A104" s="28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39"/>
      <c r="AQ104" s="139"/>
      <c r="AR104" s="139"/>
      <c r="AS104" s="139"/>
      <c r="AT104" s="139"/>
      <c r="AU104" s="139"/>
      <c r="AV104" s="139"/>
      <c r="AW104" s="139"/>
      <c r="AX104" s="139"/>
      <c r="AY104" s="139"/>
      <c r="AZ104" s="139"/>
      <c r="BA104" s="139"/>
      <c r="BB104" s="139"/>
    </row>
    <row r="105">
      <c r="A105" s="28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  <c r="AJ105" s="139"/>
      <c r="AK105" s="139"/>
      <c r="AL105" s="139"/>
      <c r="AM105" s="139"/>
      <c r="AN105" s="139"/>
      <c r="AO105" s="139"/>
      <c r="AP105" s="139"/>
      <c r="AQ105" s="139"/>
      <c r="AR105" s="139"/>
      <c r="AS105" s="139"/>
      <c r="AT105" s="139"/>
      <c r="AU105" s="139"/>
      <c r="AV105" s="139"/>
      <c r="AW105" s="139"/>
      <c r="AX105" s="139"/>
      <c r="AY105" s="139"/>
      <c r="AZ105" s="139"/>
      <c r="BA105" s="139"/>
      <c r="BB105" s="139"/>
    </row>
    <row r="106">
      <c r="A106" s="28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9"/>
      <c r="AM106" s="139"/>
      <c r="AN106" s="139"/>
      <c r="AO106" s="139"/>
      <c r="AP106" s="139"/>
      <c r="AQ106" s="139"/>
      <c r="AR106" s="139"/>
      <c r="AS106" s="139"/>
      <c r="AT106" s="139"/>
      <c r="AU106" s="139"/>
      <c r="AV106" s="139"/>
      <c r="AW106" s="139"/>
      <c r="AX106" s="139"/>
      <c r="AY106" s="139"/>
      <c r="AZ106" s="139"/>
      <c r="BA106" s="139"/>
      <c r="BB106" s="139"/>
    </row>
    <row r="107">
      <c r="A107" s="28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9"/>
      <c r="AM107" s="139"/>
      <c r="AN107" s="139"/>
      <c r="AO107" s="139"/>
      <c r="AP107" s="139"/>
      <c r="AQ107" s="139"/>
      <c r="AR107" s="139"/>
      <c r="AS107" s="139"/>
      <c r="AT107" s="139"/>
      <c r="AU107" s="139"/>
      <c r="AV107" s="139"/>
      <c r="AW107" s="139"/>
      <c r="AX107" s="139"/>
      <c r="AY107" s="139"/>
      <c r="AZ107" s="139"/>
      <c r="BA107" s="139"/>
      <c r="BB107" s="139"/>
    </row>
    <row r="108">
      <c r="A108" s="28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39"/>
      <c r="AF108" s="139"/>
      <c r="AG108" s="139"/>
      <c r="AH108" s="139"/>
      <c r="AI108" s="139"/>
      <c r="AJ108" s="139"/>
      <c r="AK108" s="139"/>
      <c r="AL108" s="139"/>
      <c r="AM108" s="139"/>
      <c r="AN108" s="139"/>
      <c r="AO108" s="139"/>
      <c r="AP108" s="139"/>
      <c r="AQ108" s="139"/>
      <c r="AR108" s="139"/>
      <c r="AS108" s="139"/>
      <c r="AT108" s="139"/>
      <c r="AU108" s="139"/>
      <c r="AV108" s="139"/>
      <c r="AW108" s="139"/>
      <c r="AX108" s="139"/>
      <c r="AY108" s="139"/>
      <c r="AZ108" s="139"/>
      <c r="BA108" s="139"/>
      <c r="BB108" s="139"/>
    </row>
    <row r="109">
      <c r="A109" s="28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39"/>
      <c r="AW109" s="139"/>
      <c r="AX109" s="139"/>
      <c r="AY109" s="139"/>
      <c r="AZ109" s="139"/>
      <c r="BA109" s="139"/>
      <c r="BB109" s="139"/>
    </row>
    <row r="110">
      <c r="A110" s="28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  <c r="AK110" s="139"/>
      <c r="AL110" s="139"/>
      <c r="AM110" s="139"/>
      <c r="AN110" s="139"/>
      <c r="AO110" s="139"/>
      <c r="AP110" s="139"/>
      <c r="AQ110" s="139"/>
      <c r="AR110" s="139"/>
      <c r="AS110" s="139"/>
      <c r="AT110" s="139"/>
      <c r="AU110" s="139"/>
      <c r="AV110" s="139"/>
      <c r="AW110" s="139"/>
      <c r="AX110" s="139"/>
      <c r="AY110" s="139"/>
      <c r="AZ110" s="139"/>
      <c r="BA110" s="139"/>
      <c r="BB110" s="139"/>
    </row>
    <row r="111">
      <c r="A111" s="28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  <c r="AC111" s="139"/>
      <c r="AD111" s="139"/>
      <c r="AE111" s="139"/>
      <c r="AF111" s="139"/>
      <c r="AG111" s="139"/>
      <c r="AH111" s="139"/>
      <c r="AI111" s="139"/>
      <c r="AJ111" s="139"/>
      <c r="AK111" s="139"/>
      <c r="AL111" s="139"/>
      <c r="AM111" s="139"/>
      <c r="AN111" s="139"/>
      <c r="AO111" s="139"/>
      <c r="AP111" s="139"/>
      <c r="AQ111" s="139"/>
      <c r="AR111" s="139"/>
      <c r="AS111" s="139"/>
      <c r="AT111" s="139"/>
      <c r="AU111" s="139"/>
      <c r="AV111" s="139"/>
      <c r="AW111" s="139"/>
      <c r="AX111" s="139"/>
      <c r="AY111" s="139"/>
      <c r="AZ111" s="139"/>
      <c r="BA111" s="139"/>
      <c r="BB111" s="139"/>
    </row>
    <row r="112">
      <c r="A112" s="28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9"/>
      <c r="AG112" s="139"/>
      <c r="AH112" s="139"/>
      <c r="AI112" s="139"/>
      <c r="AJ112" s="139"/>
      <c r="AK112" s="139"/>
      <c r="AL112" s="139"/>
      <c r="AM112" s="139"/>
      <c r="AN112" s="139"/>
      <c r="AO112" s="139"/>
      <c r="AP112" s="139"/>
      <c r="AQ112" s="139"/>
      <c r="AR112" s="139"/>
      <c r="AS112" s="139"/>
      <c r="AT112" s="139"/>
      <c r="AU112" s="139"/>
      <c r="AV112" s="139"/>
      <c r="AW112" s="139"/>
      <c r="AX112" s="139"/>
      <c r="AY112" s="139"/>
      <c r="AZ112" s="139"/>
      <c r="BA112" s="139"/>
      <c r="BB112" s="139"/>
    </row>
    <row r="113">
      <c r="A113" s="28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  <c r="AK113" s="139"/>
      <c r="AL113" s="139"/>
      <c r="AM113" s="139"/>
      <c r="AN113" s="139"/>
      <c r="AO113" s="139"/>
      <c r="AP113" s="139"/>
      <c r="AQ113" s="139"/>
      <c r="AR113" s="139"/>
      <c r="AS113" s="139"/>
      <c r="AT113" s="139"/>
      <c r="AU113" s="139"/>
      <c r="AV113" s="139"/>
      <c r="AW113" s="139"/>
      <c r="AX113" s="139"/>
      <c r="AY113" s="139"/>
      <c r="AZ113" s="139"/>
      <c r="BA113" s="139"/>
      <c r="BB113" s="139"/>
    </row>
    <row r="114">
      <c r="A114" s="28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  <c r="AK114" s="139"/>
      <c r="AL114" s="139"/>
      <c r="AM114" s="139"/>
      <c r="AN114" s="139"/>
      <c r="AO114" s="139"/>
      <c r="AP114" s="139"/>
      <c r="AQ114" s="139"/>
      <c r="AR114" s="139"/>
      <c r="AS114" s="139"/>
      <c r="AT114" s="139"/>
      <c r="AU114" s="139"/>
      <c r="AV114" s="139"/>
      <c r="AW114" s="139"/>
      <c r="AX114" s="139"/>
      <c r="AY114" s="139"/>
      <c r="AZ114" s="139"/>
      <c r="BA114" s="139"/>
      <c r="BB114" s="139"/>
    </row>
    <row r="115">
      <c r="A115" s="28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139"/>
      <c r="AD115" s="139"/>
      <c r="AE115" s="139"/>
      <c r="AF115" s="139"/>
      <c r="AG115" s="139"/>
      <c r="AH115" s="139"/>
      <c r="AI115" s="139"/>
      <c r="AJ115" s="139"/>
      <c r="AK115" s="139"/>
      <c r="AL115" s="139"/>
      <c r="AM115" s="139"/>
      <c r="AN115" s="139"/>
      <c r="AO115" s="139"/>
      <c r="AP115" s="139"/>
      <c r="AQ115" s="139"/>
      <c r="AR115" s="139"/>
      <c r="AS115" s="139"/>
      <c r="AT115" s="139"/>
      <c r="AU115" s="139"/>
      <c r="AV115" s="139"/>
      <c r="AW115" s="139"/>
      <c r="AX115" s="139"/>
      <c r="AY115" s="139"/>
      <c r="AZ115" s="139"/>
      <c r="BA115" s="139"/>
      <c r="BB115" s="139"/>
    </row>
    <row r="116">
      <c r="A116" s="28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  <c r="AK116" s="139"/>
      <c r="AL116" s="139"/>
      <c r="AM116" s="139"/>
      <c r="AN116" s="139"/>
      <c r="AO116" s="139"/>
      <c r="AP116" s="139"/>
      <c r="AQ116" s="139"/>
      <c r="AR116" s="139"/>
      <c r="AS116" s="139"/>
      <c r="AT116" s="139"/>
      <c r="AU116" s="139"/>
      <c r="AV116" s="139"/>
      <c r="AW116" s="139"/>
      <c r="AX116" s="139"/>
      <c r="AY116" s="139"/>
      <c r="AZ116" s="139"/>
      <c r="BA116" s="139"/>
      <c r="BB116" s="139"/>
    </row>
    <row r="117">
      <c r="A117" s="28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</row>
    <row r="118">
      <c r="A118" s="28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  <c r="AF118" s="139"/>
      <c r="AG118" s="139"/>
      <c r="AH118" s="139"/>
      <c r="AI118" s="139"/>
      <c r="AJ118" s="139"/>
      <c r="AK118" s="139"/>
      <c r="AL118" s="139"/>
      <c r="AM118" s="139"/>
      <c r="AN118" s="139"/>
      <c r="AO118" s="139"/>
      <c r="AP118" s="139"/>
      <c r="AQ118" s="139"/>
      <c r="AR118" s="139"/>
      <c r="AS118" s="139"/>
      <c r="AT118" s="139"/>
      <c r="AU118" s="139"/>
      <c r="AV118" s="139"/>
      <c r="AW118" s="139"/>
      <c r="AX118" s="139"/>
      <c r="AY118" s="139"/>
      <c r="AZ118" s="139"/>
      <c r="BA118" s="139"/>
      <c r="BB118" s="139"/>
    </row>
    <row r="119">
      <c r="A119" s="28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139"/>
      <c r="AJ119" s="139"/>
      <c r="AK119" s="139"/>
      <c r="AL119" s="139"/>
      <c r="AM119" s="139"/>
      <c r="AN119" s="139"/>
      <c r="AO119" s="139"/>
      <c r="AP119" s="139"/>
      <c r="AQ119" s="139"/>
      <c r="AR119" s="139"/>
      <c r="AS119" s="139"/>
      <c r="AT119" s="139"/>
      <c r="AU119" s="139"/>
      <c r="AV119" s="139"/>
      <c r="AW119" s="139"/>
      <c r="AX119" s="139"/>
      <c r="AY119" s="139"/>
      <c r="AZ119" s="139"/>
      <c r="BA119" s="139"/>
      <c r="BB119" s="139"/>
    </row>
    <row r="120">
      <c r="A120" s="28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  <c r="AK120" s="139"/>
      <c r="AL120" s="139"/>
      <c r="AM120" s="139"/>
      <c r="AN120" s="139"/>
      <c r="AO120" s="139"/>
      <c r="AP120" s="139"/>
      <c r="AQ120" s="139"/>
      <c r="AR120" s="139"/>
      <c r="AS120" s="139"/>
      <c r="AT120" s="139"/>
      <c r="AU120" s="139"/>
      <c r="AV120" s="139"/>
      <c r="AW120" s="139"/>
      <c r="AX120" s="139"/>
      <c r="AY120" s="139"/>
      <c r="AZ120" s="139"/>
      <c r="BA120" s="139"/>
      <c r="BB120" s="139"/>
    </row>
    <row r="121">
      <c r="A121" s="28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  <c r="AB121" s="139"/>
      <c r="AC121" s="139"/>
      <c r="AD121" s="139"/>
      <c r="AE121" s="139"/>
      <c r="AF121" s="139"/>
      <c r="AG121" s="139"/>
      <c r="AH121" s="139"/>
      <c r="AI121" s="139"/>
      <c r="AJ121" s="139"/>
      <c r="AK121" s="139"/>
      <c r="AL121" s="139"/>
      <c r="AM121" s="139"/>
      <c r="AN121" s="139"/>
      <c r="AO121" s="139"/>
      <c r="AP121" s="139"/>
      <c r="AQ121" s="139"/>
      <c r="AR121" s="139"/>
      <c r="AS121" s="139"/>
      <c r="AT121" s="139"/>
      <c r="AU121" s="139"/>
      <c r="AV121" s="139"/>
      <c r="AW121" s="139"/>
      <c r="AX121" s="139"/>
      <c r="AY121" s="139"/>
      <c r="AZ121" s="139"/>
      <c r="BA121" s="139"/>
      <c r="BB121" s="139"/>
    </row>
    <row r="122">
      <c r="A122" s="28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9"/>
      <c r="AW122" s="139"/>
      <c r="AX122" s="139"/>
      <c r="AY122" s="139"/>
      <c r="AZ122" s="139"/>
      <c r="BA122" s="139"/>
      <c r="BB122" s="139"/>
    </row>
    <row r="123">
      <c r="A123" s="28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  <c r="AG123" s="139"/>
      <c r="AH123" s="139"/>
      <c r="AI123" s="139"/>
      <c r="AJ123" s="139"/>
      <c r="AK123" s="139"/>
      <c r="AL123" s="139"/>
      <c r="AM123" s="139"/>
      <c r="AN123" s="139"/>
      <c r="AO123" s="139"/>
      <c r="AP123" s="139"/>
      <c r="AQ123" s="139"/>
      <c r="AR123" s="139"/>
      <c r="AS123" s="139"/>
      <c r="AT123" s="139"/>
      <c r="AU123" s="139"/>
      <c r="AV123" s="139"/>
      <c r="AW123" s="139"/>
      <c r="AX123" s="139"/>
      <c r="AY123" s="139"/>
      <c r="AZ123" s="139"/>
      <c r="BA123" s="139"/>
      <c r="BB123" s="139"/>
    </row>
    <row r="124">
      <c r="A124" s="28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39"/>
      <c r="AH124" s="139"/>
      <c r="AI124" s="139"/>
      <c r="AJ124" s="139"/>
      <c r="AK124" s="139"/>
      <c r="AL124" s="139"/>
      <c r="AM124" s="139"/>
      <c r="AN124" s="139"/>
      <c r="AO124" s="139"/>
      <c r="AP124" s="139"/>
      <c r="AQ124" s="139"/>
      <c r="AR124" s="139"/>
      <c r="AS124" s="139"/>
      <c r="AT124" s="139"/>
      <c r="AU124" s="139"/>
      <c r="AV124" s="139"/>
      <c r="AW124" s="139"/>
      <c r="AX124" s="139"/>
      <c r="AY124" s="139"/>
      <c r="AZ124" s="139"/>
      <c r="BA124" s="139"/>
      <c r="BB124" s="139"/>
    </row>
    <row r="125">
      <c r="A125" s="28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  <c r="AF125" s="139"/>
      <c r="AG125" s="139"/>
      <c r="AH125" s="139"/>
      <c r="AI125" s="139"/>
      <c r="AJ125" s="139"/>
      <c r="AK125" s="139"/>
      <c r="AL125" s="139"/>
      <c r="AM125" s="139"/>
      <c r="AN125" s="139"/>
      <c r="AO125" s="139"/>
      <c r="AP125" s="139"/>
      <c r="AQ125" s="139"/>
      <c r="AR125" s="139"/>
      <c r="AS125" s="139"/>
      <c r="AT125" s="139"/>
      <c r="AU125" s="139"/>
      <c r="AV125" s="139"/>
      <c r="AW125" s="139"/>
      <c r="AX125" s="139"/>
      <c r="AY125" s="139"/>
      <c r="AZ125" s="139"/>
      <c r="BA125" s="139"/>
      <c r="BB125" s="139"/>
    </row>
    <row r="126">
      <c r="A126" s="28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39"/>
      <c r="BB126" s="139"/>
    </row>
    <row r="127">
      <c r="A127" s="28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39"/>
      <c r="BB127" s="139"/>
    </row>
    <row r="128">
      <c r="A128" s="28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139"/>
      <c r="AZ128" s="139"/>
      <c r="BA128" s="139"/>
      <c r="BB128" s="139"/>
    </row>
    <row r="129">
      <c r="A129" s="28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9"/>
      <c r="AM129" s="139"/>
      <c r="AN129" s="139"/>
      <c r="AO129" s="139"/>
      <c r="AP129" s="139"/>
      <c r="AQ129" s="139"/>
      <c r="AR129" s="139"/>
      <c r="AS129" s="139"/>
      <c r="AT129" s="139"/>
      <c r="AU129" s="139"/>
      <c r="AV129" s="139"/>
      <c r="AW129" s="139"/>
      <c r="AX129" s="139"/>
      <c r="AY129" s="139"/>
      <c r="AZ129" s="139"/>
      <c r="BA129" s="139"/>
      <c r="BB129" s="139"/>
    </row>
    <row r="130">
      <c r="A130" s="28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  <c r="AK130" s="139"/>
      <c r="AL130" s="139"/>
      <c r="AM130" s="139"/>
      <c r="AN130" s="139"/>
      <c r="AO130" s="139"/>
      <c r="AP130" s="139"/>
      <c r="AQ130" s="139"/>
      <c r="AR130" s="139"/>
      <c r="AS130" s="139"/>
      <c r="AT130" s="139"/>
      <c r="AU130" s="139"/>
      <c r="AV130" s="139"/>
      <c r="AW130" s="139"/>
      <c r="AX130" s="139"/>
      <c r="AY130" s="139"/>
      <c r="AZ130" s="139"/>
      <c r="BA130" s="139"/>
      <c r="BB130" s="139"/>
    </row>
    <row r="131">
      <c r="A131" s="28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9"/>
      <c r="AM131" s="139"/>
      <c r="AN131" s="139"/>
      <c r="AO131" s="139"/>
      <c r="AP131" s="139"/>
      <c r="AQ131" s="139"/>
      <c r="AR131" s="139"/>
      <c r="AS131" s="139"/>
      <c r="AT131" s="139"/>
      <c r="AU131" s="139"/>
      <c r="AV131" s="139"/>
      <c r="AW131" s="139"/>
      <c r="AX131" s="139"/>
      <c r="AY131" s="139"/>
      <c r="AZ131" s="139"/>
      <c r="BA131" s="139"/>
      <c r="BB131" s="139"/>
    </row>
    <row r="132">
      <c r="A132" s="28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39"/>
      <c r="AV132" s="139"/>
      <c r="AW132" s="139"/>
      <c r="AX132" s="139"/>
      <c r="AY132" s="139"/>
      <c r="AZ132" s="139"/>
      <c r="BA132" s="139"/>
      <c r="BB132" s="139"/>
    </row>
    <row r="133">
      <c r="A133" s="28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39"/>
      <c r="AK133" s="139"/>
      <c r="AL133" s="139"/>
      <c r="AM133" s="139"/>
      <c r="AN133" s="139"/>
      <c r="AO133" s="139"/>
      <c r="AP133" s="139"/>
      <c r="AQ133" s="139"/>
      <c r="AR133" s="139"/>
      <c r="AS133" s="139"/>
      <c r="AT133" s="139"/>
      <c r="AU133" s="139"/>
      <c r="AV133" s="139"/>
      <c r="AW133" s="139"/>
      <c r="AX133" s="139"/>
      <c r="AY133" s="139"/>
      <c r="AZ133" s="139"/>
      <c r="BA133" s="139"/>
      <c r="BB133" s="139"/>
    </row>
    <row r="134">
      <c r="A134" s="28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  <c r="AO134" s="139"/>
      <c r="AP134" s="139"/>
      <c r="AQ134" s="139"/>
      <c r="AR134" s="139"/>
      <c r="AS134" s="139"/>
      <c r="AT134" s="139"/>
      <c r="AU134" s="139"/>
      <c r="AV134" s="139"/>
      <c r="AW134" s="139"/>
      <c r="AX134" s="139"/>
      <c r="AY134" s="139"/>
      <c r="AZ134" s="139"/>
      <c r="BA134" s="139"/>
      <c r="BB134" s="139"/>
    </row>
    <row r="135">
      <c r="A135" s="28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39"/>
      <c r="AW135" s="139"/>
      <c r="AX135" s="139"/>
      <c r="AY135" s="139"/>
      <c r="AZ135" s="139"/>
      <c r="BA135" s="139"/>
      <c r="BB135" s="139"/>
    </row>
    <row r="136">
      <c r="A136" s="28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39"/>
      <c r="AV136" s="139"/>
      <c r="AW136" s="139"/>
      <c r="AX136" s="139"/>
      <c r="AY136" s="139"/>
      <c r="AZ136" s="139"/>
      <c r="BA136" s="139"/>
      <c r="BB136" s="139"/>
    </row>
    <row r="137">
      <c r="A137" s="28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9"/>
      <c r="AM137" s="139"/>
      <c r="AN137" s="139"/>
      <c r="AO137" s="139"/>
      <c r="AP137" s="139"/>
      <c r="AQ137" s="139"/>
      <c r="AR137" s="139"/>
      <c r="AS137" s="139"/>
      <c r="AT137" s="139"/>
      <c r="AU137" s="139"/>
      <c r="AV137" s="139"/>
      <c r="AW137" s="139"/>
      <c r="AX137" s="139"/>
      <c r="AY137" s="139"/>
      <c r="AZ137" s="139"/>
      <c r="BA137" s="139"/>
      <c r="BB137" s="139"/>
    </row>
    <row r="138">
      <c r="A138" s="28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9"/>
      <c r="AM138" s="139"/>
      <c r="AN138" s="139"/>
      <c r="AO138" s="139"/>
      <c r="AP138" s="139"/>
      <c r="AQ138" s="139"/>
      <c r="AR138" s="139"/>
      <c r="AS138" s="139"/>
      <c r="AT138" s="139"/>
      <c r="AU138" s="139"/>
      <c r="AV138" s="139"/>
      <c r="AW138" s="139"/>
      <c r="AX138" s="139"/>
      <c r="AY138" s="139"/>
      <c r="AZ138" s="139"/>
      <c r="BA138" s="139"/>
      <c r="BB138" s="139"/>
    </row>
    <row r="139">
      <c r="A139" s="28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  <c r="AC139" s="139"/>
      <c r="AD139" s="139"/>
      <c r="AE139" s="139"/>
      <c r="AF139" s="139"/>
      <c r="AG139" s="139"/>
      <c r="AH139" s="139"/>
      <c r="AI139" s="139"/>
      <c r="AJ139" s="139"/>
      <c r="AK139" s="139"/>
      <c r="AL139" s="139"/>
      <c r="AM139" s="139"/>
      <c r="AN139" s="139"/>
      <c r="AO139" s="139"/>
      <c r="AP139" s="139"/>
      <c r="AQ139" s="139"/>
      <c r="AR139" s="139"/>
      <c r="AS139" s="139"/>
      <c r="AT139" s="139"/>
      <c r="AU139" s="139"/>
      <c r="AV139" s="139"/>
      <c r="AW139" s="139"/>
      <c r="AX139" s="139"/>
      <c r="AY139" s="139"/>
      <c r="AZ139" s="139"/>
      <c r="BA139" s="139"/>
      <c r="BB139" s="139"/>
    </row>
    <row r="140">
      <c r="A140" s="28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  <c r="AU140" s="139"/>
      <c r="AV140" s="139"/>
      <c r="AW140" s="139"/>
      <c r="AX140" s="139"/>
      <c r="AY140" s="139"/>
      <c r="AZ140" s="139"/>
      <c r="BA140" s="139"/>
      <c r="BB140" s="139"/>
    </row>
    <row r="141">
      <c r="A141" s="28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  <c r="AU141" s="139"/>
      <c r="AV141" s="139"/>
      <c r="AW141" s="139"/>
      <c r="AX141" s="139"/>
      <c r="AY141" s="139"/>
      <c r="AZ141" s="139"/>
      <c r="BA141" s="139"/>
      <c r="BB141" s="139"/>
    </row>
    <row r="142">
      <c r="A142" s="28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39"/>
      <c r="AQ142" s="139"/>
      <c r="AR142" s="139"/>
      <c r="AS142" s="139"/>
      <c r="AT142" s="139"/>
      <c r="AU142" s="139"/>
      <c r="AV142" s="139"/>
      <c r="AW142" s="139"/>
      <c r="AX142" s="139"/>
      <c r="AY142" s="139"/>
      <c r="AZ142" s="139"/>
      <c r="BA142" s="139"/>
      <c r="BB142" s="139"/>
    </row>
    <row r="143">
      <c r="A143" s="28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39"/>
      <c r="AW143" s="139"/>
      <c r="AX143" s="139"/>
      <c r="AY143" s="139"/>
      <c r="AZ143" s="139"/>
      <c r="BA143" s="139"/>
      <c r="BB143" s="139"/>
    </row>
    <row r="144">
      <c r="A144" s="28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39"/>
      <c r="BB144" s="139"/>
    </row>
    <row r="145">
      <c r="A145" s="28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39"/>
      <c r="AW145" s="139"/>
      <c r="AX145" s="139"/>
      <c r="AY145" s="139"/>
      <c r="AZ145" s="139"/>
      <c r="BA145" s="139"/>
      <c r="BB145" s="139"/>
    </row>
    <row r="146">
      <c r="A146" s="28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  <c r="AK146" s="139"/>
      <c r="AL146" s="139"/>
      <c r="AM146" s="139"/>
      <c r="AN146" s="139"/>
      <c r="AO146" s="139"/>
      <c r="AP146" s="139"/>
      <c r="AQ146" s="139"/>
      <c r="AR146" s="139"/>
      <c r="AS146" s="139"/>
      <c r="AT146" s="139"/>
      <c r="AU146" s="139"/>
      <c r="AV146" s="139"/>
      <c r="AW146" s="139"/>
      <c r="AX146" s="139"/>
      <c r="AY146" s="139"/>
      <c r="AZ146" s="139"/>
      <c r="BA146" s="139"/>
      <c r="BB146" s="139"/>
    </row>
    <row r="147">
      <c r="A147" s="28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39"/>
      <c r="AH147" s="139"/>
      <c r="AI147" s="139"/>
      <c r="AJ147" s="139"/>
      <c r="AK147" s="139"/>
      <c r="AL147" s="139"/>
      <c r="AM147" s="139"/>
      <c r="AN147" s="139"/>
      <c r="AO147" s="139"/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39"/>
      <c r="BB147" s="139"/>
    </row>
    <row r="148">
      <c r="A148" s="28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  <c r="AJ148" s="139"/>
      <c r="AK148" s="139"/>
      <c r="AL148" s="139"/>
      <c r="AM148" s="139"/>
      <c r="AN148" s="139"/>
      <c r="AO148" s="139"/>
      <c r="AP148" s="139"/>
      <c r="AQ148" s="139"/>
      <c r="AR148" s="139"/>
      <c r="AS148" s="139"/>
      <c r="AT148" s="139"/>
      <c r="AU148" s="139"/>
      <c r="AV148" s="139"/>
      <c r="AW148" s="139"/>
      <c r="AX148" s="139"/>
      <c r="AY148" s="139"/>
      <c r="AZ148" s="139"/>
      <c r="BA148" s="139"/>
      <c r="BB148" s="139"/>
    </row>
    <row r="149">
      <c r="A149" s="28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  <c r="AC149" s="139"/>
      <c r="AD149" s="139"/>
      <c r="AE149" s="139"/>
      <c r="AF149" s="139"/>
      <c r="AG149" s="139"/>
      <c r="AH149" s="139"/>
      <c r="AI149" s="139"/>
      <c r="AJ149" s="139"/>
      <c r="AK149" s="139"/>
      <c r="AL149" s="139"/>
      <c r="AM149" s="139"/>
      <c r="AN149" s="139"/>
      <c r="AO149" s="139"/>
      <c r="AP149" s="139"/>
      <c r="AQ149" s="139"/>
      <c r="AR149" s="139"/>
      <c r="AS149" s="139"/>
      <c r="AT149" s="139"/>
      <c r="AU149" s="139"/>
      <c r="AV149" s="139"/>
      <c r="AW149" s="139"/>
      <c r="AX149" s="139"/>
      <c r="AY149" s="139"/>
      <c r="AZ149" s="139"/>
      <c r="BA149" s="139"/>
      <c r="BB149" s="139"/>
    </row>
    <row r="150">
      <c r="A150" s="28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39"/>
      <c r="AK150" s="139"/>
      <c r="AL150" s="139"/>
      <c r="AM150" s="139"/>
      <c r="AN150" s="139"/>
      <c r="AO150" s="139"/>
      <c r="AP150" s="139"/>
      <c r="AQ150" s="139"/>
      <c r="AR150" s="139"/>
      <c r="AS150" s="139"/>
      <c r="AT150" s="139"/>
      <c r="AU150" s="139"/>
      <c r="AV150" s="139"/>
      <c r="AW150" s="139"/>
      <c r="AX150" s="139"/>
      <c r="AY150" s="139"/>
      <c r="AZ150" s="139"/>
      <c r="BA150" s="139"/>
      <c r="BB150" s="139"/>
    </row>
    <row r="151">
      <c r="A151" s="28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39"/>
      <c r="AK151" s="139"/>
      <c r="AL151" s="139"/>
      <c r="AM151" s="139"/>
      <c r="AN151" s="139"/>
      <c r="AO151" s="139"/>
      <c r="AP151" s="139"/>
      <c r="AQ151" s="139"/>
      <c r="AR151" s="139"/>
      <c r="AS151" s="139"/>
      <c r="AT151" s="139"/>
      <c r="AU151" s="139"/>
      <c r="AV151" s="139"/>
      <c r="AW151" s="139"/>
      <c r="AX151" s="139"/>
      <c r="AY151" s="139"/>
      <c r="AZ151" s="139"/>
      <c r="BA151" s="139"/>
      <c r="BB151" s="139"/>
    </row>
    <row r="152">
      <c r="A152" s="28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39"/>
      <c r="AJ152" s="139"/>
      <c r="AK152" s="139"/>
      <c r="AL152" s="139"/>
      <c r="AM152" s="139"/>
      <c r="AN152" s="139"/>
      <c r="AO152" s="139"/>
      <c r="AP152" s="139"/>
      <c r="AQ152" s="139"/>
      <c r="AR152" s="139"/>
      <c r="AS152" s="139"/>
      <c r="AT152" s="139"/>
      <c r="AU152" s="139"/>
      <c r="AV152" s="139"/>
      <c r="AW152" s="139"/>
      <c r="AX152" s="139"/>
      <c r="AY152" s="139"/>
      <c r="AZ152" s="139"/>
      <c r="BA152" s="139"/>
      <c r="BB152" s="139"/>
    </row>
    <row r="153">
      <c r="A153" s="28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  <c r="AF153" s="139"/>
      <c r="AG153" s="139"/>
      <c r="AH153" s="139"/>
      <c r="AI153" s="139"/>
      <c r="AJ153" s="139"/>
      <c r="AK153" s="139"/>
      <c r="AL153" s="139"/>
      <c r="AM153" s="139"/>
      <c r="AN153" s="139"/>
      <c r="AO153" s="139"/>
      <c r="AP153" s="139"/>
      <c r="AQ153" s="139"/>
      <c r="AR153" s="139"/>
      <c r="AS153" s="139"/>
      <c r="AT153" s="139"/>
      <c r="AU153" s="139"/>
      <c r="AV153" s="139"/>
      <c r="AW153" s="139"/>
      <c r="AX153" s="139"/>
      <c r="AY153" s="139"/>
      <c r="AZ153" s="139"/>
      <c r="BA153" s="139"/>
      <c r="BB153" s="139"/>
    </row>
    <row r="154">
      <c r="A154" s="28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39"/>
    </row>
    <row r="155">
      <c r="A155" s="28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39"/>
      <c r="AK155" s="139"/>
      <c r="AL155" s="139"/>
      <c r="AM155" s="139"/>
      <c r="AN155" s="139"/>
      <c r="AO155" s="139"/>
      <c r="AP155" s="139"/>
      <c r="AQ155" s="139"/>
      <c r="AR155" s="139"/>
      <c r="AS155" s="139"/>
      <c r="AT155" s="139"/>
      <c r="AU155" s="139"/>
      <c r="AV155" s="139"/>
      <c r="AW155" s="139"/>
      <c r="AX155" s="139"/>
      <c r="AY155" s="139"/>
      <c r="AZ155" s="139"/>
      <c r="BA155" s="139"/>
      <c r="BB155" s="139"/>
    </row>
    <row r="156">
      <c r="A156" s="28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9"/>
      <c r="AM156" s="139"/>
      <c r="AN156" s="139"/>
      <c r="AO156" s="139"/>
      <c r="AP156" s="139"/>
      <c r="AQ156" s="139"/>
      <c r="AR156" s="139"/>
      <c r="AS156" s="139"/>
      <c r="AT156" s="139"/>
      <c r="AU156" s="139"/>
      <c r="AV156" s="139"/>
      <c r="AW156" s="139"/>
      <c r="AX156" s="139"/>
      <c r="AY156" s="139"/>
      <c r="AZ156" s="139"/>
      <c r="BA156" s="139"/>
      <c r="BB156" s="139"/>
    </row>
    <row r="157">
      <c r="A157" s="28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  <c r="AV157" s="139"/>
      <c r="AW157" s="139"/>
      <c r="AX157" s="139"/>
      <c r="AY157" s="139"/>
      <c r="AZ157" s="139"/>
      <c r="BA157" s="139"/>
      <c r="BB157" s="139"/>
    </row>
    <row r="158">
      <c r="A158" s="28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  <c r="AW158" s="139"/>
      <c r="AX158" s="139"/>
      <c r="AY158" s="139"/>
      <c r="AZ158" s="139"/>
      <c r="BA158" s="139"/>
      <c r="BB158" s="139"/>
    </row>
    <row r="159">
      <c r="A159" s="28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39"/>
      <c r="AW159" s="139"/>
      <c r="AX159" s="139"/>
      <c r="AY159" s="139"/>
      <c r="AZ159" s="139"/>
      <c r="BA159" s="139"/>
      <c r="BB159" s="139"/>
    </row>
    <row r="160">
      <c r="A160" s="28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  <c r="AW160" s="139"/>
      <c r="AX160" s="139"/>
      <c r="AY160" s="139"/>
      <c r="AZ160" s="139"/>
      <c r="BA160" s="139"/>
      <c r="BB160" s="139"/>
    </row>
    <row r="161">
      <c r="A161" s="28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39"/>
      <c r="AW161" s="139"/>
      <c r="AX161" s="139"/>
      <c r="AY161" s="139"/>
      <c r="AZ161" s="139"/>
      <c r="BA161" s="139"/>
      <c r="BB161" s="139"/>
    </row>
    <row r="162">
      <c r="A162" s="28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39"/>
      <c r="AW162" s="139"/>
      <c r="AX162" s="139"/>
      <c r="AY162" s="139"/>
      <c r="AZ162" s="139"/>
      <c r="BA162" s="139"/>
      <c r="BB162" s="139"/>
    </row>
    <row r="163">
      <c r="A163" s="28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9"/>
      <c r="AM163" s="139"/>
      <c r="AN163" s="139"/>
      <c r="AO163" s="139"/>
      <c r="AP163" s="139"/>
      <c r="AQ163" s="139"/>
      <c r="AR163" s="139"/>
      <c r="AS163" s="139"/>
      <c r="AT163" s="139"/>
      <c r="AU163" s="139"/>
      <c r="AV163" s="139"/>
      <c r="AW163" s="139"/>
      <c r="AX163" s="139"/>
      <c r="AY163" s="139"/>
      <c r="AZ163" s="139"/>
      <c r="BA163" s="139"/>
      <c r="BB163" s="139"/>
    </row>
    <row r="164">
      <c r="A164" s="28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9"/>
      <c r="AM164" s="139"/>
      <c r="AN164" s="139"/>
      <c r="AO164" s="139"/>
      <c r="AP164" s="139"/>
      <c r="AQ164" s="139"/>
      <c r="AR164" s="139"/>
      <c r="AS164" s="139"/>
      <c r="AT164" s="139"/>
      <c r="AU164" s="139"/>
      <c r="AV164" s="139"/>
      <c r="AW164" s="139"/>
      <c r="AX164" s="139"/>
      <c r="AY164" s="139"/>
      <c r="AZ164" s="139"/>
      <c r="BA164" s="139"/>
      <c r="BB164" s="139"/>
    </row>
    <row r="165">
      <c r="A165" s="28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  <c r="AV165" s="139"/>
      <c r="AW165" s="139"/>
      <c r="AX165" s="139"/>
      <c r="AY165" s="139"/>
      <c r="AZ165" s="139"/>
      <c r="BA165" s="139"/>
      <c r="BB165" s="139"/>
    </row>
    <row r="166">
      <c r="A166" s="28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/>
      <c r="AM166" s="139"/>
      <c r="AN166" s="139"/>
      <c r="AO166" s="139"/>
      <c r="AP166" s="139"/>
      <c r="AQ166" s="139"/>
      <c r="AR166" s="139"/>
      <c r="AS166" s="139"/>
      <c r="AT166" s="139"/>
      <c r="AU166" s="139"/>
      <c r="AV166" s="139"/>
      <c r="AW166" s="139"/>
      <c r="AX166" s="139"/>
      <c r="AY166" s="139"/>
      <c r="AZ166" s="139"/>
      <c r="BA166" s="139"/>
      <c r="BB166" s="139"/>
    </row>
    <row r="167">
      <c r="A167" s="28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9"/>
      <c r="AM167" s="139"/>
      <c r="AN167" s="139"/>
      <c r="AO167" s="139"/>
      <c r="AP167" s="139"/>
      <c r="AQ167" s="139"/>
      <c r="AR167" s="139"/>
      <c r="AS167" s="139"/>
      <c r="AT167" s="139"/>
      <c r="AU167" s="139"/>
      <c r="AV167" s="139"/>
      <c r="AW167" s="139"/>
      <c r="AX167" s="139"/>
      <c r="AY167" s="139"/>
      <c r="AZ167" s="139"/>
      <c r="BA167" s="139"/>
      <c r="BB167" s="139"/>
    </row>
    <row r="168">
      <c r="A168" s="28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  <c r="AO168" s="139"/>
      <c r="AP168" s="139"/>
      <c r="AQ168" s="139"/>
      <c r="AR168" s="139"/>
      <c r="AS168" s="139"/>
      <c r="AT168" s="139"/>
      <c r="AU168" s="139"/>
      <c r="AV168" s="139"/>
      <c r="AW168" s="139"/>
      <c r="AX168" s="139"/>
      <c r="AY168" s="139"/>
      <c r="AZ168" s="139"/>
      <c r="BA168" s="139"/>
      <c r="BB168" s="139"/>
    </row>
    <row r="169">
      <c r="A169" s="28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9"/>
      <c r="AM169" s="139"/>
      <c r="AN169" s="139"/>
      <c r="AO169" s="139"/>
      <c r="AP169" s="139"/>
      <c r="AQ169" s="139"/>
      <c r="AR169" s="139"/>
      <c r="AS169" s="139"/>
      <c r="AT169" s="139"/>
      <c r="AU169" s="139"/>
      <c r="AV169" s="139"/>
      <c r="AW169" s="139"/>
      <c r="AX169" s="139"/>
      <c r="AY169" s="139"/>
      <c r="AZ169" s="139"/>
      <c r="BA169" s="139"/>
      <c r="BB169" s="139"/>
    </row>
    <row r="170">
      <c r="A170" s="28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39"/>
      <c r="AW170" s="139"/>
      <c r="AX170" s="139"/>
      <c r="AY170" s="139"/>
      <c r="AZ170" s="139"/>
      <c r="BA170" s="139"/>
      <c r="BB170" s="139"/>
    </row>
    <row r="171">
      <c r="A171" s="28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9"/>
      <c r="AM171" s="139"/>
      <c r="AN171" s="139"/>
      <c r="AO171" s="139"/>
      <c r="AP171" s="139"/>
      <c r="AQ171" s="139"/>
      <c r="AR171" s="139"/>
      <c r="AS171" s="139"/>
      <c r="AT171" s="139"/>
      <c r="AU171" s="139"/>
      <c r="AV171" s="139"/>
      <c r="AW171" s="139"/>
      <c r="AX171" s="139"/>
      <c r="AY171" s="139"/>
      <c r="AZ171" s="139"/>
      <c r="BA171" s="139"/>
      <c r="BB171" s="139"/>
    </row>
    <row r="172">
      <c r="A172" s="28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  <c r="AO172" s="139"/>
      <c r="AP172" s="139"/>
      <c r="AQ172" s="139"/>
      <c r="AR172" s="139"/>
      <c r="AS172" s="139"/>
      <c r="AT172" s="139"/>
      <c r="AU172" s="139"/>
      <c r="AV172" s="139"/>
      <c r="AW172" s="139"/>
      <c r="AX172" s="139"/>
      <c r="AY172" s="139"/>
      <c r="AZ172" s="139"/>
      <c r="BA172" s="139"/>
      <c r="BB172" s="139"/>
    </row>
    <row r="173">
      <c r="A173" s="28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s="139"/>
      <c r="AV173" s="139"/>
      <c r="AW173" s="139"/>
      <c r="AX173" s="139"/>
      <c r="AY173" s="139"/>
      <c r="AZ173" s="139"/>
      <c r="BA173" s="139"/>
      <c r="BB173" s="139"/>
    </row>
    <row r="174">
      <c r="A174" s="28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  <c r="AO174" s="139"/>
      <c r="AP174" s="139"/>
      <c r="AQ174" s="139"/>
      <c r="AR174" s="139"/>
      <c r="AS174" s="139"/>
      <c r="AT174" s="139"/>
      <c r="AU174" s="139"/>
      <c r="AV174" s="139"/>
      <c r="AW174" s="139"/>
      <c r="AX174" s="139"/>
      <c r="AY174" s="139"/>
      <c r="AZ174" s="139"/>
      <c r="BA174" s="139"/>
      <c r="BB174" s="139"/>
    </row>
    <row r="175">
      <c r="A175" s="28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  <c r="AO175" s="139"/>
      <c r="AP175" s="139"/>
      <c r="AQ175" s="139"/>
      <c r="AR175" s="139"/>
      <c r="AS175" s="139"/>
      <c r="AT175" s="139"/>
      <c r="AU175" s="139"/>
      <c r="AV175" s="139"/>
      <c r="AW175" s="139"/>
      <c r="AX175" s="139"/>
      <c r="AY175" s="139"/>
      <c r="AZ175" s="139"/>
      <c r="BA175" s="139"/>
      <c r="BB175" s="139"/>
    </row>
    <row r="176">
      <c r="A176" s="28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  <c r="AO176" s="139"/>
      <c r="AP176" s="139"/>
      <c r="AQ176" s="139"/>
      <c r="AR176" s="139"/>
      <c r="AS176" s="139"/>
      <c r="AT176" s="139"/>
      <c r="AU176" s="139"/>
      <c r="AV176" s="139"/>
      <c r="AW176" s="139"/>
      <c r="AX176" s="139"/>
      <c r="AY176" s="139"/>
      <c r="AZ176" s="139"/>
      <c r="BA176" s="139"/>
      <c r="BB176" s="139"/>
    </row>
    <row r="177">
      <c r="A177" s="28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139"/>
      <c r="AU177" s="139"/>
      <c r="AV177" s="139"/>
      <c r="AW177" s="139"/>
      <c r="AX177" s="139"/>
      <c r="AY177" s="139"/>
      <c r="AZ177" s="139"/>
      <c r="BA177" s="139"/>
      <c r="BB177" s="139"/>
    </row>
    <row r="178">
      <c r="A178" s="28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  <c r="AO178" s="139"/>
      <c r="AP178" s="139"/>
      <c r="AQ178" s="139"/>
      <c r="AR178" s="139"/>
      <c r="AS178" s="139"/>
      <c r="AT178" s="139"/>
      <c r="AU178" s="139"/>
      <c r="AV178" s="139"/>
      <c r="AW178" s="139"/>
      <c r="AX178" s="139"/>
      <c r="AY178" s="139"/>
      <c r="AZ178" s="139"/>
      <c r="BA178" s="139"/>
      <c r="BB178" s="139"/>
    </row>
    <row r="179">
      <c r="A179" s="28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9"/>
      <c r="AM179" s="139"/>
      <c r="AN179" s="139"/>
      <c r="AO179" s="139"/>
      <c r="AP179" s="139"/>
      <c r="AQ179" s="139"/>
      <c r="AR179" s="139"/>
      <c r="AS179" s="139"/>
      <c r="AT179" s="139"/>
      <c r="AU179" s="139"/>
      <c r="AV179" s="139"/>
      <c r="AW179" s="139"/>
      <c r="AX179" s="139"/>
      <c r="AY179" s="139"/>
      <c r="AZ179" s="139"/>
      <c r="BA179" s="139"/>
      <c r="BB179" s="139"/>
    </row>
    <row r="180">
      <c r="A180" s="28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9"/>
      <c r="AM180" s="139"/>
      <c r="AN180" s="139"/>
      <c r="AO180" s="139"/>
      <c r="AP180" s="139"/>
      <c r="AQ180" s="139"/>
      <c r="AR180" s="139"/>
      <c r="AS180" s="139"/>
      <c r="AT180" s="139"/>
      <c r="AU180" s="139"/>
      <c r="AV180" s="139"/>
      <c r="AW180" s="139"/>
      <c r="AX180" s="139"/>
      <c r="AY180" s="139"/>
      <c r="AZ180" s="139"/>
      <c r="BA180" s="139"/>
      <c r="BB180" s="139"/>
    </row>
    <row r="181">
      <c r="A181" s="28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  <c r="AO181" s="139"/>
      <c r="AP181" s="139"/>
      <c r="AQ181" s="139"/>
      <c r="AR181" s="139"/>
      <c r="AS181" s="139"/>
      <c r="AT181" s="139"/>
      <c r="AU181" s="139"/>
      <c r="AV181" s="139"/>
      <c r="AW181" s="139"/>
      <c r="AX181" s="139"/>
      <c r="AY181" s="139"/>
      <c r="AZ181" s="139"/>
      <c r="BA181" s="139"/>
      <c r="BB181" s="139"/>
    </row>
    <row r="182">
      <c r="A182" s="28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9"/>
      <c r="AM182" s="139"/>
      <c r="AN182" s="139"/>
      <c r="AO182" s="139"/>
      <c r="AP182" s="139"/>
      <c r="AQ182" s="139"/>
      <c r="AR182" s="139"/>
      <c r="AS182" s="139"/>
      <c r="AT182" s="139"/>
      <c r="AU182" s="139"/>
      <c r="AV182" s="139"/>
      <c r="AW182" s="139"/>
      <c r="AX182" s="139"/>
      <c r="AY182" s="139"/>
      <c r="AZ182" s="139"/>
      <c r="BA182" s="139"/>
      <c r="BB182" s="139"/>
    </row>
    <row r="183">
      <c r="A183" s="28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  <c r="AC183" s="139"/>
      <c r="AD183" s="139"/>
      <c r="AE183" s="139"/>
      <c r="AF183" s="139"/>
      <c r="AG183" s="139"/>
      <c r="AH183" s="139"/>
      <c r="AI183" s="139"/>
      <c r="AJ183" s="139"/>
      <c r="AK183" s="139"/>
      <c r="AL183" s="139"/>
      <c r="AM183" s="139"/>
      <c r="AN183" s="139"/>
      <c r="AO183" s="139"/>
      <c r="AP183" s="139"/>
      <c r="AQ183" s="139"/>
      <c r="AR183" s="139"/>
      <c r="AS183" s="139"/>
      <c r="AT183" s="139"/>
      <c r="AU183" s="139"/>
      <c r="AV183" s="139"/>
      <c r="AW183" s="139"/>
      <c r="AX183" s="139"/>
      <c r="AY183" s="139"/>
      <c r="AZ183" s="139"/>
      <c r="BA183" s="139"/>
      <c r="BB183" s="139"/>
    </row>
    <row r="184">
      <c r="A184" s="28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/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  <c r="AW184" s="139"/>
      <c r="AX184" s="139"/>
      <c r="AY184" s="139"/>
      <c r="AZ184" s="139"/>
      <c r="BA184" s="139"/>
      <c r="BB184" s="139"/>
    </row>
    <row r="185">
      <c r="A185" s="28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  <c r="AO185" s="139"/>
      <c r="AP185" s="139"/>
      <c r="AQ185" s="139"/>
      <c r="AR185" s="139"/>
      <c r="AS185" s="139"/>
      <c r="AT185" s="139"/>
      <c r="AU185" s="139"/>
      <c r="AV185" s="139"/>
      <c r="AW185" s="139"/>
      <c r="AX185" s="139"/>
      <c r="AY185" s="139"/>
      <c r="AZ185" s="139"/>
      <c r="BA185" s="139"/>
      <c r="BB185" s="139"/>
    </row>
    <row r="186">
      <c r="A186" s="28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/>
      <c r="AM186" s="139"/>
      <c r="AN186" s="139"/>
      <c r="AO186" s="139"/>
      <c r="AP186" s="139"/>
      <c r="AQ186" s="139"/>
      <c r="AR186" s="139"/>
      <c r="AS186" s="139"/>
      <c r="AT186" s="139"/>
      <c r="AU186" s="139"/>
      <c r="AV186" s="139"/>
      <c r="AW186" s="139"/>
      <c r="AX186" s="139"/>
      <c r="AY186" s="139"/>
      <c r="AZ186" s="139"/>
      <c r="BA186" s="139"/>
      <c r="BB186" s="139"/>
    </row>
    <row r="187">
      <c r="A187" s="28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9"/>
      <c r="AM187" s="139"/>
      <c r="AN187" s="139"/>
      <c r="AO187" s="139"/>
      <c r="AP187" s="139"/>
      <c r="AQ187" s="139"/>
      <c r="AR187" s="139"/>
      <c r="AS187" s="139"/>
      <c r="AT187" s="139"/>
      <c r="AU187" s="139"/>
      <c r="AV187" s="139"/>
      <c r="AW187" s="139"/>
      <c r="AX187" s="139"/>
      <c r="AY187" s="139"/>
      <c r="AZ187" s="139"/>
      <c r="BA187" s="139"/>
      <c r="BB187" s="139"/>
    </row>
    <row r="188">
      <c r="A188" s="28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9"/>
      <c r="AM188" s="139"/>
      <c r="AN188" s="139"/>
      <c r="AO188" s="139"/>
      <c r="AP188" s="139"/>
      <c r="AQ188" s="139"/>
      <c r="AR188" s="139"/>
      <c r="AS188" s="139"/>
      <c r="AT188" s="139"/>
      <c r="AU188" s="139"/>
      <c r="AV188" s="139"/>
      <c r="AW188" s="139"/>
      <c r="AX188" s="139"/>
      <c r="AY188" s="139"/>
      <c r="AZ188" s="139"/>
      <c r="BA188" s="139"/>
      <c r="BB188" s="139"/>
    </row>
    <row r="189">
      <c r="A189" s="28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9"/>
      <c r="AM189" s="139"/>
      <c r="AN189" s="139"/>
      <c r="AO189" s="139"/>
      <c r="AP189" s="139"/>
      <c r="AQ189" s="139"/>
      <c r="AR189" s="139"/>
      <c r="AS189" s="139"/>
      <c r="AT189" s="139"/>
      <c r="AU189" s="139"/>
      <c r="AV189" s="139"/>
      <c r="AW189" s="139"/>
      <c r="AX189" s="139"/>
      <c r="AY189" s="139"/>
      <c r="AZ189" s="139"/>
      <c r="BA189" s="139"/>
      <c r="BB189" s="139"/>
    </row>
    <row r="190">
      <c r="A190" s="28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/>
      <c r="AM190" s="139"/>
      <c r="AN190" s="139"/>
      <c r="AO190" s="139"/>
      <c r="AP190" s="139"/>
      <c r="AQ190" s="139"/>
      <c r="AR190" s="139"/>
      <c r="AS190" s="139"/>
      <c r="AT190" s="139"/>
      <c r="AU190" s="139"/>
      <c r="AV190" s="139"/>
      <c r="AW190" s="139"/>
      <c r="AX190" s="139"/>
      <c r="AY190" s="139"/>
      <c r="AZ190" s="139"/>
      <c r="BA190" s="139"/>
      <c r="BB190" s="139"/>
    </row>
    <row r="191">
      <c r="A191" s="28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39"/>
      <c r="AG191" s="139"/>
      <c r="AH191" s="139"/>
      <c r="AI191" s="139"/>
      <c r="AJ191" s="139"/>
      <c r="AK191" s="139"/>
      <c r="AL191" s="139"/>
      <c r="AM191" s="139"/>
      <c r="AN191" s="139"/>
      <c r="AO191" s="139"/>
      <c r="AP191" s="139"/>
      <c r="AQ191" s="139"/>
      <c r="AR191" s="139"/>
      <c r="AS191" s="139"/>
      <c r="AT191" s="139"/>
      <c r="AU191" s="139"/>
      <c r="AV191" s="139"/>
      <c r="AW191" s="139"/>
      <c r="AX191" s="139"/>
      <c r="AY191" s="139"/>
      <c r="AZ191" s="139"/>
      <c r="BA191" s="139"/>
      <c r="BB191" s="139"/>
    </row>
    <row r="192">
      <c r="A192" s="28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9"/>
      <c r="AM192" s="139"/>
      <c r="AN192" s="139"/>
      <c r="AO192" s="139"/>
      <c r="AP192" s="139"/>
      <c r="AQ192" s="139"/>
      <c r="AR192" s="139"/>
      <c r="AS192" s="139"/>
      <c r="AT192" s="139"/>
      <c r="AU192" s="139"/>
      <c r="AV192" s="139"/>
      <c r="AW192" s="139"/>
      <c r="AX192" s="139"/>
      <c r="AY192" s="139"/>
      <c r="AZ192" s="139"/>
      <c r="BA192" s="139"/>
      <c r="BB192" s="139"/>
    </row>
    <row r="193">
      <c r="A193" s="28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  <c r="AC193" s="139"/>
      <c r="AD193" s="139"/>
      <c r="AE193" s="139"/>
      <c r="AF193" s="139"/>
      <c r="AG193" s="139"/>
      <c r="AH193" s="139"/>
      <c r="AI193" s="139"/>
      <c r="AJ193" s="139"/>
      <c r="AK193" s="139"/>
      <c r="AL193" s="139"/>
      <c r="AM193" s="139"/>
      <c r="AN193" s="139"/>
      <c r="AO193" s="139"/>
      <c r="AP193" s="139"/>
      <c r="AQ193" s="139"/>
      <c r="AR193" s="139"/>
      <c r="AS193" s="139"/>
      <c r="AT193" s="139"/>
      <c r="AU193" s="139"/>
      <c r="AV193" s="139"/>
      <c r="AW193" s="139"/>
      <c r="AX193" s="139"/>
      <c r="AY193" s="139"/>
      <c r="AZ193" s="139"/>
      <c r="BA193" s="139"/>
      <c r="BB193" s="139"/>
    </row>
    <row r="194">
      <c r="A194" s="28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9"/>
      <c r="AM194" s="139"/>
      <c r="AN194" s="139"/>
      <c r="AO194" s="139"/>
      <c r="AP194" s="139"/>
      <c r="AQ194" s="139"/>
      <c r="AR194" s="139"/>
      <c r="AS194" s="139"/>
      <c r="AT194" s="139"/>
      <c r="AU194" s="139"/>
      <c r="AV194" s="139"/>
      <c r="AW194" s="139"/>
      <c r="AX194" s="139"/>
      <c r="AY194" s="139"/>
      <c r="AZ194" s="139"/>
      <c r="BA194" s="139"/>
      <c r="BB194" s="139"/>
    </row>
    <row r="195">
      <c r="A195" s="28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139"/>
      <c r="AP195" s="139"/>
      <c r="AQ195" s="139"/>
      <c r="AR195" s="139"/>
      <c r="AS195" s="139"/>
      <c r="AT195" s="139"/>
      <c r="AU195" s="139"/>
      <c r="AV195" s="139"/>
      <c r="AW195" s="139"/>
      <c r="AX195" s="139"/>
      <c r="AY195" s="139"/>
      <c r="AZ195" s="139"/>
      <c r="BA195" s="139"/>
      <c r="BB195" s="139"/>
    </row>
    <row r="196">
      <c r="A196" s="28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  <c r="AO196" s="139"/>
      <c r="AP196" s="139"/>
      <c r="AQ196" s="139"/>
      <c r="AR196" s="139"/>
      <c r="AS196" s="139"/>
      <c r="AT196" s="139"/>
      <c r="AU196" s="139"/>
      <c r="AV196" s="139"/>
      <c r="AW196" s="139"/>
      <c r="AX196" s="139"/>
      <c r="AY196" s="139"/>
      <c r="AZ196" s="139"/>
      <c r="BA196" s="139"/>
      <c r="BB196" s="139"/>
    </row>
    <row r="197">
      <c r="A197" s="28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  <c r="AS197" s="139"/>
      <c r="AT197" s="139"/>
      <c r="AU197" s="139"/>
      <c r="AV197" s="139"/>
      <c r="AW197" s="139"/>
      <c r="AX197" s="139"/>
      <c r="AY197" s="139"/>
      <c r="AZ197" s="139"/>
      <c r="BA197" s="139"/>
      <c r="BB197" s="139"/>
    </row>
    <row r="198">
      <c r="A198" s="28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9"/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39"/>
      <c r="AW198" s="139"/>
      <c r="AX198" s="139"/>
      <c r="AY198" s="139"/>
      <c r="AZ198" s="139"/>
      <c r="BA198" s="139"/>
      <c r="BB198" s="139"/>
    </row>
    <row r="199">
      <c r="A199" s="28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  <c r="AO199" s="139"/>
      <c r="AP199" s="139"/>
      <c r="AQ199" s="139"/>
      <c r="AR199" s="139"/>
      <c r="AS199" s="139"/>
      <c r="AT199" s="139"/>
      <c r="AU199" s="139"/>
      <c r="AV199" s="139"/>
      <c r="AW199" s="139"/>
      <c r="AX199" s="139"/>
      <c r="AY199" s="139"/>
      <c r="AZ199" s="139"/>
      <c r="BA199" s="139"/>
      <c r="BB199" s="139"/>
    </row>
    <row r="200">
      <c r="A200" s="28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9"/>
      <c r="AM200" s="139"/>
      <c r="AN200" s="139"/>
      <c r="AO200" s="139"/>
      <c r="AP200" s="139"/>
      <c r="AQ200" s="139"/>
      <c r="AR200" s="139"/>
      <c r="AS200" s="139"/>
      <c r="AT200" s="139"/>
      <c r="AU200" s="139"/>
      <c r="AV200" s="139"/>
      <c r="AW200" s="139"/>
      <c r="AX200" s="139"/>
      <c r="AY200" s="139"/>
      <c r="AZ200" s="139"/>
      <c r="BA200" s="139"/>
      <c r="BB200" s="139"/>
    </row>
    <row r="201">
      <c r="A201" s="28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  <c r="AF201" s="139"/>
      <c r="AG201" s="139"/>
      <c r="AH201" s="139"/>
      <c r="AI201" s="139"/>
      <c r="AJ201" s="139"/>
      <c r="AK201" s="139"/>
      <c r="AL201" s="139"/>
      <c r="AM201" s="139"/>
      <c r="AN201" s="139"/>
      <c r="AO201" s="139"/>
      <c r="AP201" s="139"/>
      <c r="AQ201" s="139"/>
      <c r="AR201" s="139"/>
      <c r="AS201" s="139"/>
      <c r="AT201" s="139"/>
      <c r="AU201" s="139"/>
      <c r="AV201" s="139"/>
      <c r="AW201" s="139"/>
      <c r="AX201" s="139"/>
      <c r="AY201" s="139"/>
      <c r="AZ201" s="139"/>
      <c r="BA201" s="139"/>
      <c r="BB201" s="139"/>
    </row>
    <row r="202">
      <c r="A202" s="28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39"/>
      <c r="BB202" s="139"/>
    </row>
    <row r="203">
      <c r="A203" s="28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s="139"/>
      <c r="AV203" s="139"/>
      <c r="AW203" s="139"/>
      <c r="AX203" s="139"/>
      <c r="AY203" s="139"/>
      <c r="AZ203" s="139"/>
      <c r="BA203" s="139"/>
      <c r="BB203" s="139"/>
    </row>
    <row r="204">
      <c r="A204" s="28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/>
      <c r="AM204" s="139"/>
      <c r="AN204" s="139"/>
      <c r="AO204" s="139"/>
      <c r="AP204" s="139"/>
      <c r="AQ204" s="139"/>
      <c r="AR204" s="139"/>
      <c r="AS204" s="139"/>
      <c r="AT204" s="139"/>
      <c r="AU204" s="139"/>
      <c r="AV204" s="139"/>
      <c r="AW204" s="139"/>
      <c r="AX204" s="139"/>
      <c r="AY204" s="139"/>
      <c r="AZ204" s="139"/>
      <c r="BA204" s="139"/>
      <c r="BB204" s="139"/>
    </row>
    <row r="205">
      <c r="A205" s="28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39"/>
      <c r="AG205" s="139"/>
      <c r="AH205" s="139"/>
      <c r="AI205" s="139"/>
      <c r="AJ205" s="139"/>
      <c r="AK205" s="139"/>
      <c r="AL205" s="139"/>
      <c r="AM205" s="139"/>
      <c r="AN205" s="139"/>
      <c r="AO205" s="139"/>
      <c r="AP205" s="139"/>
      <c r="AQ205" s="139"/>
      <c r="AR205" s="139"/>
      <c r="AS205" s="139"/>
      <c r="AT205" s="139"/>
      <c r="AU205" s="139"/>
      <c r="AV205" s="139"/>
      <c r="AW205" s="139"/>
      <c r="AX205" s="139"/>
      <c r="AY205" s="139"/>
      <c r="AZ205" s="139"/>
      <c r="BA205" s="139"/>
      <c r="BB205" s="139"/>
    </row>
    <row r="206">
      <c r="A206" s="28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  <c r="AO206" s="139"/>
      <c r="AP206" s="139"/>
      <c r="AQ206" s="139"/>
      <c r="AR206" s="139"/>
      <c r="AS206" s="139"/>
      <c r="AT206" s="139"/>
      <c r="AU206" s="139"/>
      <c r="AV206" s="139"/>
      <c r="AW206" s="139"/>
      <c r="AX206" s="139"/>
      <c r="AY206" s="139"/>
      <c r="AZ206" s="139"/>
      <c r="BA206" s="139"/>
      <c r="BB206" s="139"/>
    </row>
    <row r="207">
      <c r="A207" s="28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  <c r="AF207" s="139"/>
      <c r="AG207" s="139"/>
      <c r="AH207" s="139"/>
      <c r="AI207" s="139"/>
      <c r="AJ207" s="139"/>
      <c r="AK207" s="139"/>
      <c r="AL207" s="139"/>
      <c r="AM207" s="139"/>
      <c r="AN207" s="139"/>
      <c r="AO207" s="139"/>
      <c r="AP207" s="139"/>
      <c r="AQ207" s="139"/>
      <c r="AR207" s="139"/>
      <c r="AS207" s="139"/>
      <c r="AT207" s="139"/>
      <c r="AU207" s="139"/>
      <c r="AV207" s="139"/>
      <c r="AW207" s="139"/>
      <c r="AX207" s="139"/>
      <c r="AY207" s="139"/>
      <c r="AZ207" s="139"/>
      <c r="BA207" s="139"/>
      <c r="BB207" s="139"/>
    </row>
    <row r="208">
      <c r="A208" s="28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  <c r="AO208" s="139"/>
      <c r="AP208" s="139"/>
      <c r="AQ208" s="139"/>
      <c r="AR208" s="139"/>
      <c r="AS208" s="139"/>
      <c r="AT208" s="139"/>
      <c r="AU208" s="139"/>
      <c r="AV208" s="139"/>
      <c r="AW208" s="139"/>
      <c r="AX208" s="139"/>
      <c r="AY208" s="139"/>
      <c r="AZ208" s="139"/>
      <c r="BA208" s="139"/>
      <c r="BB208" s="139"/>
    </row>
    <row r="209">
      <c r="A209" s="28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O209" s="139"/>
      <c r="AP209" s="139"/>
      <c r="AQ209" s="139"/>
      <c r="AR209" s="139"/>
      <c r="AS209" s="139"/>
      <c r="AT209" s="139"/>
      <c r="AU209" s="139"/>
      <c r="AV209" s="139"/>
      <c r="AW209" s="139"/>
      <c r="AX209" s="139"/>
      <c r="AY209" s="139"/>
      <c r="AZ209" s="139"/>
      <c r="BA209" s="139"/>
      <c r="BB209" s="139"/>
    </row>
    <row r="210">
      <c r="A210" s="28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  <c r="AO210" s="139"/>
      <c r="AP210" s="139"/>
      <c r="AQ210" s="139"/>
      <c r="AR210" s="139"/>
      <c r="AS210" s="139"/>
      <c r="AT210" s="139"/>
      <c r="AU210" s="139"/>
      <c r="AV210" s="139"/>
      <c r="AW210" s="139"/>
      <c r="AX210" s="139"/>
      <c r="AY210" s="139"/>
      <c r="AZ210" s="139"/>
      <c r="BA210" s="139"/>
      <c r="BB210" s="139"/>
    </row>
    <row r="211">
      <c r="A211" s="28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O211" s="139"/>
      <c r="AP211" s="139"/>
      <c r="AQ211" s="139"/>
      <c r="AR211" s="139"/>
      <c r="AS211" s="139"/>
      <c r="AT211" s="139"/>
      <c r="AU211" s="139"/>
      <c r="AV211" s="139"/>
      <c r="AW211" s="139"/>
      <c r="AX211" s="139"/>
      <c r="AY211" s="139"/>
      <c r="AZ211" s="139"/>
      <c r="BA211" s="139"/>
      <c r="BB211" s="139"/>
    </row>
    <row r="212">
      <c r="A212" s="28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O212" s="139"/>
      <c r="AP212" s="139"/>
      <c r="AQ212" s="139"/>
      <c r="AR212" s="139"/>
      <c r="AS212" s="139"/>
      <c r="AT212" s="139"/>
      <c r="AU212" s="139"/>
      <c r="AV212" s="139"/>
      <c r="AW212" s="139"/>
      <c r="AX212" s="139"/>
      <c r="AY212" s="139"/>
      <c r="AZ212" s="139"/>
      <c r="BA212" s="139"/>
      <c r="BB212" s="139"/>
    </row>
    <row r="213">
      <c r="A213" s="28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  <c r="AO213" s="139"/>
      <c r="AP213" s="139"/>
      <c r="AQ213" s="139"/>
      <c r="AR213" s="139"/>
      <c r="AS213" s="139"/>
      <c r="AT213" s="139"/>
      <c r="AU213" s="139"/>
      <c r="AV213" s="139"/>
      <c r="AW213" s="139"/>
      <c r="AX213" s="139"/>
      <c r="AY213" s="139"/>
      <c r="AZ213" s="139"/>
      <c r="BA213" s="139"/>
      <c r="BB213" s="139"/>
    </row>
    <row r="214">
      <c r="A214" s="28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  <c r="AE214" s="139"/>
      <c r="AF214" s="139"/>
      <c r="AG214" s="139"/>
      <c r="AH214" s="139"/>
      <c r="AI214" s="139"/>
      <c r="AJ214" s="139"/>
      <c r="AK214" s="139"/>
      <c r="AL214" s="139"/>
      <c r="AM214" s="139"/>
      <c r="AN214" s="139"/>
      <c r="AO214" s="139"/>
      <c r="AP214" s="139"/>
      <c r="AQ214" s="139"/>
      <c r="AR214" s="139"/>
      <c r="AS214" s="139"/>
      <c r="AT214" s="139"/>
      <c r="AU214" s="139"/>
      <c r="AV214" s="139"/>
      <c r="AW214" s="139"/>
      <c r="AX214" s="139"/>
      <c r="AY214" s="139"/>
      <c r="AZ214" s="139"/>
      <c r="BA214" s="139"/>
      <c r="BB214" s="139"/>
    </row>
    <row r="215">
      <c r="A215" s="28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139"/>
      <c r="AI215" s="139"/>
      <c r="AJ215" s="139"/>
      <c r="AK215" s="139"/>
      <c r="AL215" s="139"/>
      <c r="AM215" s="139"/>
      <c r="AN215" s="139"/>
      <c r="AO215" s="139"/>
      <c r="AP215" s="139"/>
      <c r="AQ215" s="139"/>
      <c r="AR215" s="139"/>
      <c r="AS215" s="139"/>
      <c r="AT215" s="139"/>
      <c r="AU215" s="139"/>
      <c r="AV215" s="139"/>
      <c r="AW215" s="139"/>
      <c r="AX215" s="139"/>
      <c r="AY215" s="139"/>
      <c r="AZ215" s="139"/>
      <c r="BA215" s="139"/>
      <c r="BB215" s="139"/>
    </row>
    <row r="216">
      <c r="A216" s="28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9"/>
      <c r="AM216" s="139"/>
      <c r="AN216" s="139"/>
      <c r="AO216" s="139"/>
      <c r="AP216" s="139"/>
      <c r="AQ216" s="139"/>
      <c r="AR216" s="139"/>
      <c r="AS216" s="139"/>
      <c r="AT216" s="139"/>
      <c r="AU216" s="139"/>
      <c r="AV216" s="139"/>
      <c r="AW216" s="139"/>
      <c r="AX216" s="139"/>
      <c r="AY216" s="139"/>
      <c r="AZ216" s="139"/>
      <c r="BA216" s="139"/>
      <c r="BB216" s="139"/>
    </row>
    <row r="217">
      <c r="A217" s="28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  <c r="AO217" s="139"/>
      <c r="AP217" s="139"/>
      <c r="AQ217" s="139"/>
      <c r="AR217" s="139"/>
      <c r="AS217" s="139"/>
      <c r="AT217" s="139"/>
      <c r="AU217" s="139"/>
      <c r="AV217" s="139"/>
      <c r="AW217" s="139"/>
      <c r="AX217" s="139"/>
      <c r="AY217" s="139"/>
      <c r="AZ217" s="139"/>
      <c r="BA217" s="139"/>
      <c r="BB217" s="139"/>
    </row>
    <row r="218">
      <c r="A218" s="28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s="139"/>
      <c r="AV218" s="139"/>
      <c r="AW218" s="139"/>
      <c r="AX218" s="139"/>
      <c r="AY218" s="139"/>
      <c r="AZ218" s="139"/>
      <c r="BA218" s="139"/>
      <c r="BB218" s="139"/>
    </row>
    <row r="219">
      <c r="A219" s="28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  <c r="AO219" s="139"/>
      <c r="AP219" s="139"/>
      <c r="AQ219" s="139"/>
      <c r="AR219" s="139"/>
      <c r="AS219" s="139"/>
      <c r="AT219" s="139"/>
      <c r="AU219" s="139"/>
      <c r="AV219" s="139"/>
      <c r="AW219" s="139"/>
      <c r="AX219" s="139"/>
      <c r="AY219" s="139"/>
      <c r="AZ219" s="139"/>
      <c r="BA219" s="139"/>
      <c r="BB219" s="139"/>
    </row>
    <row r="220">
      <c r="A220" s="28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39"/>
      <c r="AD220" s="139"/>
      <c r="AE220" s="139"/>
      <c r="AF220" s="139"/>
      <c r="AG220" s="139"/>
      <c r="AH220" s="139"/>
      <c r="AI220" s="139"/>
      <c r="AJ220" s="139"/>
      <c r="AK220" s="139"/>
      <c r="AL220" s="139"/>
      <c r="AM220" s="139"/>
      <c r="AN220" s="139"/>
      <c r="AO220" s="139"/>
      <c r="AP220" s="139"/>
      <c r="AQ220" s="139"/>
      <c r="AR220" s="139"/>
      <c r="AS220" s="139"/>
      <c r="AT220" s="139"/>
      <c r="AU220" s="139"/>
      <c r="AV220" s="139"/>
      <c r="AW220" s="139"/>
      <c r="AX220" s="139"/>
      <c r="AY220" s="139"/>
      <c r="AZ220" s="139"/>
      <c r="BA220" s="139"/>
      <c r="BB220" s="139"/>
    </row>
    <row r="221">
      <c r="A221" s="28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39"/>
      <c r="AH221" s="139"/>
      <c r="AI221" s="139"/>
      <c r="AJ221" s="139"/>
      <c r="AK221" s="139"/>
      <c r="AL221" s="139"/>
      <c r="AM221" s="139"/>
      <c r="AN221" s="139"/>
      <c r="AO221" s="139"/>
      <c r="AP221" s="139"/>
      <c r="AQ221" s="139"/>
      <c r="AR221" s="139"/>
      <c r="AS221" s="139"/>
      <c r="AT221" s="139"/>
      <c r="AU221" s="139"/>
      <c r="AV221" s="139"/>
      <c r="AW221" s="139"/>
      <c r="AX221" s="139"/>
      <c r="AY221" s="139"/>
      <c r="AZ221" s="139"/>
      <c r="BA221" s="139"/>
      <c r="BB221" s="139"/>
    </row>
    <row r="222">
      <c r="A222" s="28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O222" s="139"/>
      <c r="AP222" s="139"/>
      <c r="AQ222" s="139"/>
      <c r="AR222" s="139"/>
      <c r="AS222" s="139"/>
      <c r="AT222" s="139"/>
      <c r="AU222" s="139"/>
      <c r="AV222" s="139"/>
      <c r="AW222" s="139"/>
      <c r="AX222" s="139"/>
      <c r="AY222" s="139"/>
      <c r="AZ222" s="139"/>
      <c r="BA222" s="139"/>
      <c r="BB222" s="139"/>
    </row>
    <row r="223">
      <c r="A223" s="28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  <c r="AO223" s="139"/>
      <c r="AP223" s="139"/>
      <c r="AQ223" s="139"/>
      <c r="AR223" s="139"/>
      <c r="AS223" s="139"/>
      <c r="AT223" s="139"/>
      <c r="AU223" s="139"/>
      <c r="AV223" s="139"/>
      <c r="AW223" s="139"/>
      <c r="AX223" s="139"/>
      <c r="AY223" s="139"/>
      <c r="AZ223" s="139"/>
      <c r="BA223" s="139"/>
      <c r="BB223" s="139"/>
    </row>
    <row r="224">
      <c r="A224" s="28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O224" s="139"/>
      <c r="AP224" s="139"/>
      <c r="AQ224" s="139"/>
      <c r="AR224" s="139"/>
      <c r="AS224" s="139"/>
      <c r="AT224" s="139"/>
      <c r="AU224" s="139"/>
      <c r="AV224" s="139"/>
      <c r="AW224" s="139"/>
      <c r="AX224" s="139"/>
      <c r="AY224" s="139"/>
      <c r="AZ224" s="139"/>
      <c r="BA224" s="139"/>
      <c r="BB224" s="139"/>
    </row>
    <row r="225">
      <c r="A225" s="28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O225" s="139"/>
      <c r="AP225" s="139"/>
      <c r="AQ225" s="139"/>
      <c r="AR225" s="139"/>
      <c r="AS225" s="139"/>
      <c r="AT225" s="139"/>
      <c r="AU225" s="139"/>
      <c r="AV225" s="139"/>
      <c r="AW225" s="139"/>
      <c r="AX225" s="139"/>
      <c r="AY225" s="139"/>
      <c r="AZ225" s="139"/>
      <c r="BA225" s="139"/>
      <c r="BB225" s="139"/>
    </row>
    <row r="226">
      <c r="A226" s="28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  <c r="AO226" s="139"/>
      <c r="AP226" s="139"/>
      <c r="AQ226" s="139"/>
      <c r="AR226" s="139"/>
      <c r="AS226" s="139"/>
      <c r="AT226" s="139"/>
      <c r="AU226" s="139"/>
      <c r="AV226" s="139"/>
      <c r="AW226" s="139"/>
      <c r="AX226" s="139"/>
      <c r="AY226" s="139"/>
      <c r="AZ226" s="139"/>
      <c r="BA226" s="139"/>
      <c r="BB226" s="139"/>
    </row>
    <row r="227">
      <c r="A227" s="28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O227" s="139"/>
      <c r="AP227" s="139"/>
      <c r="AQ227" s="139"/>
      <c r="AR227" s="139"/>
      <c r="AS227" s="139"/>
      <c r="AT227" s="139"/>
      <c r="AU227" s="139"/>
      <c r="AV227" s="139"/>
      <c r="AW227" s="139"/>
      <c r="AX227" s="139"/>
      <c r="AY227" s="139"/>
      <c r="AZ227" s="139"/>
      <c r="BA227" s="139"/>
      <c r="BB227" s="139"/>
    </row>
    <row r="228">
      <c r="A228" s="28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  <c r="AO228" s="139"/>
      <c r="AP228" s="139"/>
      <c r="AQ228" s="139"/>
      <c r="AR228" s="139"/>
      <c r="AS228" s="139"/>
      <c r="AT228" s="139"/>
      <c r="AU228" s="139"/>
      <c r="AV228" s="139"/>
      <c r="AW228" s="139"/>
      <c r="AX228" s="139"/>
      <c r="AY228" s="139"/>
      <c r="AZ228" s="139"/>
      <c r="BA228" s="139"/>
      <c r="BB228" s="139"/>
    </row>
    <row r="229">
      <c r="A229" s="28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O229" s="139"/>
      <c r="AP229" s="139"/>
      <c r="AQ229" s="139"/>
      <c r="AR229" s="139"/>
      <c r="AS229" s="139"/>
      <c r="AT229" s="139"/>
      <c r="AU229" s="139"/>
      <c r="AV229" s="139"/>
      <c r="AW229" s="139"/>
      <c r="AX229" s="139"/>
      <c r="AY229" s="139"/>
      <c r="AZ229" s="139"/>
      <c r="BA229" s="139"/>
      <c r="BB229" s="139"/>
    </row>
    <row r="230">
      <c r="A230" s="28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  <c r="AO230" s="139"/>
      <c r="AP230" s="139"/>
      <c r="AQ230" s="139"/>
      <c r="AR230" s="139"/>
      <c r="AS230" s="139"/>
      <c r="AT230" s="139"/>
      <c r="AU230" s="139"/>
      <c r="AV230" s="139"/>
      <c r="AW230" s="139"/>
      <c r="AX230" s="139"/>
      <c r="AY230" s="139"/>
      <c r="AZ230" s="139"/>
      <c r="BA230" s="139"/>
      <c r="BB230" s="139"/>
    </row>
    <row r="231">
      <c r="A231" s="28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s="139"/>
      <c r="AV231" s="139"/>
      <c r="AW231" s="139"/>
      <c r="AX231" s="139"/>
      <c r="AY231" s="139"/>
      <c r="AZ231" s="139"/>
      <c r="BA231" s="139"/>
      <c r="BB231" s="139"/>
    </row>
    <row r="232">
      <c r="A232" s="28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  <c r="AO232" s="139"/>
      <c r="AP232" s="139"/>
      <c r="AQ232" s="139"/>
      <c r="AR232" s="139"/>
      <c r="AS232" s="139"/>
      <c r="AT232" s="139"/>
      <c r="AU232" s="139"/>
      <c r="AV232" s="139"/>
      <c r="AW232" s="139"/>
      <c r="AX232" s="139"/>
      <c r="AY232" s="139"/>
      <c r="AZ232" s="139"/>
      <c r="BA232" s="139"/>
      <c r="BB232" s="139"/>
    </row>
    <row r="233">
      <c r="A233" s="28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  <c r="AE233" s="139"/>
      <c r="AF233" s="139"/>
      <c r="AG233" s="139"/>
      <c r="AH233" s="139"/>
      <c r="AI233" s="139"/>
      <c r="AJ233" s="139"/>
      <c r="AK233" s="139"/>
      <c r="AL233" s="139"/>
      <c r="AM233" s="139"/>
      <c r="AN233" s="139"/>
      <c r="AO233" s="139"/>
      <c r="AP233" s="139"/>
      <c r="AQ233" s="139"/>
      <c r="AR233" s="139"/>
      <c r="AS233" s="139"/>
      <c r="AT233" s="139"/>
      <c r="AU233" s="139"/>
      <c r="AV233" s="139"/>
      <c r="AW233" s="139"/>
      <c r="AX233" s="139"/>
      <c r="AY233" s="139"/>
      <c r="AZ233" s="139"/>
      <c r="BA233" s="139"/>
      <c r="BB233" s="139"/>
    </row>
    <row r="234">
      <c r="A234" s="28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O234" s="139"/>
      <c r="AP234" s="139"/>
      <c r="AQ234" s="139"/>
      <c r="AR234" s="139"/>
      <c r="AS234" s="139"/>
      <c r="AT234" s="139"/>
      <c r="AU234" s="139"/>
      <c r="AV234" s="139"/>
      <c r="AW234" s="139"/>
      <c r="AX234" s="139"/>
      <c r="AY234" s="139"/>
      <c r="AZ234" s="139"/>
      <c r="BA234" s="139"/>
      <c r="BB234" s="139"/>
    </row>
    <row r="235">
      <c r="A235" s="28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  <c r="AO235" s="139"/>
      <c r="AP235" s="139"/>
      <c r="AQ235" s="139"/>
      <c r="AR235" s="139"/>
      <c r="AS235" s="139"/>
      <c r="AT235" s="139"/>
      <c r="AU235" s="139"/>
      <c r="AV235" s="139"/>
      <c r="AW235" s="139"/>
      <c r="AX235" s="139"/>
      <c r="AY235" s="139"/>
      <c r="AZ235" s="139"/>
      <c r="BA235" s="139"/>
      <c r="BB235" s="139"/>
    </row>
    <row r="236">
      <c r="A236" s="28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9"/>
      <c r="AM236" s="139"/>
      <c r="AN236" s="139"/>
      <c r="AO236" s="139"/>
      <c r="AP236" s="139"/>
      <c r="AQ236" s="139"/>
      <c r="AR236" s="139"/>
      <c r="AS236" s="139"/>
      <c r="AT236" s="139"/>
      <c r="AU236" s="139"/>
      <c r="AV236" s="139"/>
      <c r="AW236" s="139"/>
      <c r="AX236" s="139"/>
      <c r="AY236" s="139"/>
      <c r="AZ236" s="139"/>
      <c r="BA236" s="139"/>
      <c r="BB236" s="139"/>
    </row>
    <row r="237">
      <c r="A237" s="28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  <c r="AO237" s="139"/>
      <c r="AP237" s="139"/>
      <c r="AQ237" s="139"/>
      <c r="AR237" s="139"/>
      <c r="AS237" s="139"/>
      <c r="AT237" s="139"/>
      <c r="AU237" s="139"/>
      <c r="AV237" s="139"/>
      <c r="AW237" s="139"/>
      <c r="AX237" s="139"/>
      <c r="AY237" s="139"/>
      <c r="AZ237" s="139"/>
      <c r="BA237" s="139"/>
      <c r="BB237" s="139"/>
    </row>
    <row r="238">
      <c r="A238" s="28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9"/>
      <c r="AM238" s="139"/>
      <c r="AN238" s="139"/>
      <c r="AO238" s="139"/>
      <c r="AP238" s="139"/>
      <c r="AQ238" s="139"/>
      <c r="AR238" s="139"/>
      <c r="AS238" s="139"/>
      <c r="AT238" s="139"/>
      <c r="AU238" s="139"/>
      <c r="AV238" s="139"/>
      <c r="AW238" s="139"/>
      <c r="AX238" s="139"/>
      <c r="AY238" s="139"/>
      <c r="AZ238" s="139"/>
      <c r="BA238" s="139"/>
      <c r="BB238" s="139"/>
    </row>
    <row r="239">
      <c r="A239" s="28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  <c r="AF239" s="139"/>
      <c r="AG239" s="139"/>
      <c r="AH239" s="139"/>
      <c r="AI239" s="139"/>
      <c r="AJ239" s="139"/>
      <c r="AK239" s="139"/>
      <c r="AL239" s="139"/>
      <c r="AM239" s="139"/>
      <c r="AN239" s="139"/>
      <c r="AO239" s="139"/>
      <c r="AP239" s="139"/>
      <c r="AQ239" s="139"/>
      <c r="AR239" s="139"/>
      <c r="AS239" s="139"/>
      <c r="AT239" s="139"/>
      <c r="AU239" s="139"/>
      <c r="AV239" s="139"/>
      <c r="AW239" s="139"/>
      <c r="AX239" s="139"/>
      <c r="AY239" s="139"/>
      <c r="AZ239" s="139"/>
      <c r="BA239" s="139"/>
      <c r="BB239" s="139"/>
    </row>
    <row r="240">
      <c r="A240" s="28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  <c r="AF240" s="139"/>
      <c r="AG240" s="139"/>
      <c r="AH240" s="139"/>
      <c r="AI240" s="139"/>
      <c r="AJ240" s="139"/>
      <c r="AK240" s="139"/>
      <c r="AL240" s="139"/>
      <c r="AM240" s="139"/>
      <c r="AN240" s="139"/>
      <c r="AO240" s="139"/>
      <c r="AP240" s="139"/>
      <c r="AQ240" s="139"/>
      <c r="AR240" s="139"/>
      <c r="AS240" s="139"/>
      <c r="AT240" s="139"/>
      <c r="AU240" s="139"/>
      <c r="AV240" s="139"/>
      <c r="AW240" s="139"/>
      <c r="AX240" s="139"/>
      <c r="AY240" s="139"/>
      <c r="AZ240" s="139"/>
      <c r="BA240" s="139"/>
      <c r="BB240" s="139"/>
    </row>
    <row r="241">
      <c r="A241" s="28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  <c r="AO241" s="139"/>
      <c r="AP241" s="139"/>
      <c r="AQ241" s="139"/>
      <c r="AR241" s="139"/>
      <c r="AS241" s="139"/>
      <c r="AT241" s="139"/>
      <c r="AU241" s="139"/>
      <c r="AV241" s="139"/>
      <c r="AW241" s="139"/>
      <c r="AX241" s="139"/>
      <c r="AY241" s="139"/>
      <c r="AZ241" s="139"/>
      <c r="BA241" s="139"/>
      <c r="BB241" s="139"/>
    </row>
    <row r="242">
      <c r="A242" s="28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  <c r="AE242" s="139"/>
      <c r="AF242" s="139"/>
      <c r="AG242" s="139"/>
      <c r="AH242" s="139"/>
      <c r="AI242" s="139"/>
      <c r="AJ242" s="139"/>
      <c r="AK242" s="139"/>
      <c r="AL242" s="139"/>
      <c r="AM242" s="139"/>
      <c r="AN242" s="139"/>
      <c r="AO242" s="139"/>
      <c r="AP242" s="139"/>
      <c r="AQ242" s="139"/>
      <c r="AR242" s="139"/>
      <c r="AS242" s="139"/>
      <c r="AT242" s="139"/>
      <c r="AU242" s="139"/>
      <c r="AV242" s="139"/>
      <c r="AW242" s="139"/>
      <c r="AX242" s="139"/>
      <c r="AY242" s="139"/>
      <c r="AZ242" s="139"/>
      <c r="BA242" s="139"/>
      <c r="BB242" s="139"/>
    </row>
    <row r="243">
      <c r="A243" s="28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/>
      <c r="AP243" s="139"/>
      <c r="AQ243" s="139"/>
      <c r="AR243" s="139"/>
      <c r="AS243" s="139"/>
      <c r="AT243" s="139"/>
      <c r="AU243" s="139"/>
      <c r="AV243" s="139"/>
      <c r="AW243" s="139"/>
      <c r="AX243" s="139"/>
      <c r="AY243" s="139"/>
      <c r="AZ243" s="139"/>
      <c r="BA243" s="139"/>
      <c r="BB243" s="139"/>
    </row>
    <row r="244">
      <c r="A244" s="28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39"/>
      <c r="AF244" s="139"/>
      <c r="AG244" s="139"/>
      <c r="AH244" s="139"/>
      <c r="AI244" s="139"/>
      <c r="AJ244" s="139"/>
      <c r="AK244" s="139"/>
      <c r="AL244" s="139"/>
      <c r="AM244" s="139"/>
      <c r="AN244" s="139"/>
      <c r="AO244" s="139"/>
      <c r="AP244" s="139"/>
      <c r="AQ244" s="139"/>
      <c r="AR244" s="139"/>
      <c r="AS244" s="139"/>
      <c r="AT244" s="139"/>
      <c r="AU244" s="139"/>
      <c r="AV244" s="139"/>
      <c r="AW244" s="139"/>
      <c r="AX244" s="139"/>
      <c r="AY244" s="139"/>
      <c r="AZ244" s="139"/>
      <c r="BA244" s="139"/>
      <c r="BB244" s="139"/>
    </row>
    <row r="245">
      <c r="A245" s="28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39"/>
      <c r="BB245" s="139"/>
    </row>
    <row r="246">
      <c r="A246" s="28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39"/>
      <c r="AD246" s="139"/>
      <c r="AE246" s="139"/>
      <c r="AF246" s="139"/>
      <c r="AG246" s="139"/>
      <c r="AH246" s="139"/>
      <c r="AI246" s="139"/>
      <c r="AJ246" s="139"/>
      <c r="AK246" s="139"/>
      <c r="AL246" s="139"/>
      <c r="AM246" s="139"/>
      <c r="AN246" s="139"/>
      <c r="AO246" s="139"/>
      <c r="AP246" s="139"/>
      <c r="AQ246" s="139"/>
      <c r="AR246" s="139"/>
      <c r="AS246" s="139"/>
      <c r="AT246" s="139"/>
      <c r="AU246" s="139"/>
      <c r="AV246" s="139"/>
      <c r="AW246" s="139"/>
      <c r="AX246" s="139"/>
      <c r="AY246" s="139"/>
      <c r="AZ246" s="139"/>
      <c r="BA246" s="139"/>
      <c r="BB246" s="139"/>
    </row>
    <row r="247">
      <c r="A247" s="28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  <c r="AO247" s="139"/>
      <c r="AP247" s="139"/>
      <c r="AQ247" s="139"/>
      <c r="AR247" s="139"/>
      <c r="AS247" s="139"/>
      <c r="AT247" s="139"/>
      <c r="AU247" s="139"/>
      <c r="AV247" s="139"/>
      <c r="AW247" s="139"/>
      <c r="AX247" s="139"/>
      <c r="AY247" s="139"/>
      <c r="AZ247" s="139"/>
      <c r="BA247" s="139"/>
      <c r="BB247" s="139"/>
    </row>
    <row r="248">
      <c r="A248" s="28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  <c r="AQ248" s="139"/>
      <c r="AR248" s="139"/>
      <c r="AS248" s="139"/>
      <c r="AT248" s="139"/>
      <c r="AU248" s="139"/>
      <c r="AV248" s="139"/>
      <c r="AW248" s="139"/>
      <c r="AX248" s="139"/>
      <c r="AY248" s="139"/>
      <c r="AZ248" s="139"/>
      <c r="BA248" s="139"/>
      <c r="BB248" s="139"/>
    </row>
    <row r="249">
      <c r="A249" s="28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  <c r="AF249" s="139"/>
      <c r="AG249" s="139"/>
      <c r="AH249" s="139"/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  <c r="AW249" s="139"/>
      <c r="AX249" s="139"/>
      <c r="AY249" s="139"/>
      <c r="AZ249" s="139"/>
      <c r="BA249" s="139"/>
      <c r="BB249" s="139"/>
    </row>
    <row r="250">
      <c r="A250" s="28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  <c r="AE250" s="139"/>
      <c r="AF250" s="139"/>
      <c r="AG250" s="139"/>
      <c r="AH250" s="139"/>
      <c r="AI250" s="139"/>
      <c r="AJ250" s="139"/>
      <c r="AK250" s="139"/>
      <c r="AL250" s="139"/>
      <c r="AM250" s="139"/>
      <c r="AN250" s="139"/>
      <c r="AO250" s="139"/>
      <c r="AP250" s="139"/>
      <c r="AQ250" s="139"/>
      <c r="AR250" s="139"/>
      <c r="AS250" s="139"/>
      <c r="AT250" s="139"/>
      <c r="AU250" s="139"/>
      <c r="AV250" s="139"/>
      <c r="AW250" s="139"/>
      <c r="AX250" s="139"/>
      <c r="AY250" s="139"/>
      <c r="AZ250" s="139"/>
      <c r="BA250" s="139"/>
      <c r="BB250" s="139"/>
    </row>
    <row r="251">
      <c r="A251" s="28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  <c r="AW251" s="139"/>
      <c r="AX251" s="139"/>
      <c r="AY251" s="139"/>
      <c r="AZ251" s="139"/>
      <c r="BA251" s="139"/>
      <c r="BB251" s="139"/>
    </row>
    <row r="252">
      <c r="A252" s="28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  <c r="AE252" s="139"/>
      <c r="AF252" s="139"/>
      <c r="AG252" s="139"/>
      <c r="AH252" s="139"/>
      <c r="AI252" s="139"/>
      <c r="AJ252" s="139"/>
      <c r="AK252" s="139"/>
      <c r="AL252" s="139"/>
      <c r="AM252" s="139"/>
      <c r="AN252" s="139"/>
      <c r="AO252" s="139"/>
      <c r="AP252" s="139"/>
      <c r="AQ252" s="139"/>
      <c r="AR252" s="139"/>
      <c r="AS252" s="139"/>
      <c r="AT252" s="139"/>
      <c r="AU252" s="139"/>
      <c r="AV252" s="139"/>
      <c r="AW252" s="139"/>
      <c r="AX252" s="139"/>
      <c r="AY252" s="139"/>
      <c r="AZ252" s="139"/>
      <c r="BA252" s="139"/>
      <c r="BB252" s="139"/>
    </row>
    <row r="253">
      <c r="A253" s="28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  <c r="AK253" s="139"/>
      <c r="AL253" s="139"/>
      <c r="AM253" s="139"/>
      <c r="AN253" s="139"/>
      <c r="AO253" s="139"/>
      <c r="AP253" s="139"/>
      <c r="AQ253" s="139"/>
      <c r="AR253" s="139"/>
      <c r="AS253" s="139"/>
      <c r="AT253" s="139"/>
      <c r="AU253" s="139"/>
      <c r="AV253" s="139"/>
      <c r="AW253" s="139"/>
      <c r="AX253" s="139"/>
      <c r="AY253" s="139"/>
      <c r="AZ253" s="139"/>
      <c r="BA253" s="139"/>
      <c r="BB253" s="139"/>
    </row>
    <row r="254">
      <c r="A254" s="28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  <c r="AQ254" s="139"/>
      <c r="AR254" s="139"/>
      <c r="AS254" s="139"/>
      <c r="AT254" s="139"/>
      <c r="AU254" s="139"/>
      <c r="AV254" s="139"/>
      <c r="AW254" s="139"/>
      <c r="AX254" s="139"/>
      <c r="AY254" s="139"/>
      <c r="AZ254" s="139"/>
      <c r="BA254" s="139"/>
      <c r="BB254" s="139"/>
    </row>
    <row r="255">
      <c r="A255" s="28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  <c r="AO255" s="139"/>
      <c r="AP255" s="139"/>
      <c r="AQ255" s="139"/>
      <c r="AR255" s="139"/>
      <c r="AS255" s="139"/>
      <c r="AT255" s="139"/>
      <c r="AU255" s="139"/>
      <c r="AV255" s="139"/>
      <c r="AW255" s="139"/>
      <c r="AX255" s="139"/>
      <c r="AY255" s="139"/>
      <c r="AZ255" s="139"/>
      <c r="BA255" s="139"/>
      <c r="BB255" s="139"/>
    </row>
    <row r="256">
      <c r="A256" s="28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  <c r="AE256" s="139"/>
      <c r="AF256" s="139"/>
      <c r="AG256" s="139"/>
      <c r="AH256" s="139"/>
      <c r="AI256" s="139"/>
      <c r="AJ256" s="139"/>
      <c r="AK256" s="139"/>
      <c r="AL256" s="139"/>
      <c r="AM256" s="139"/>
      <c r="AN256" s="139"/>
      <c r="AO256" s="139"/>
      <c r="AP256" s="139"/>
      <c r="AQ256" s="139"/>
      <c r="AR256" s="139"/>
      <c r="AS256" s="139"/>
      <c r="AT256" s="139"/>
      <c r="AU256" s="139"/>
      <c r="AV256" s="139"/>
      <c r="AW256" s="139"/>
      <c r="AX256" s="139"/>
      <c r="AY256" s="139"/>
      <c r="AZ256" s="139"/>
      <c r="BA256" s="139"/>
      <c r="BB256" s="139"/>
    </row>
    <row r="257">
      <c r="A257" s="28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  <c r="AW257" s="139"/>
      <c r="AX257" s="139"/>
      <c r="AY257" s="139"/>
      <c r="AZ257" s="139"/>
      <c r="BA257" s="139"/>
      <c r="BB257" s="139"/>
    </row>
    <row r="258">
      <c r="A258" s="28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  <c r="AE258" s="139"/>
      <c r="AF258" s="139"/>
      <c r="AG258" s="139"/>
      <c r="AH258" s="139"/>
      <c r="AI258" s="139"/>
      <c r="AJ258" s="139"/>
      <c r="AK258" s="139"/>
      <c r="AL258" s="139"/>
      <c r="AM258" s="139"/>
      <c r="AN258" s="139"/>
      <c r="AO258" s="139"/>
      <c r="AP258" s="139"/>
      <c r="AQ258" s="139"/>
      <c r="AR258" s="139"/>
      <c r="AS258" s="139"/>
      <c r="AT258" s="139"/>
      <c r="AU258" s="139"/>
      <c r="AV258" s="139"/>
      <c r="AW258" s="139"/>
      <c r="AX258" s="139"/>
      <c r="AY258" s="139"/>
      <c r="AZ258" s="139"/>
      <c r="BA258" s="139"/>
      <c r="BB258" s="139"/>
    </row>
    <row r="259">
      <c r="A259" s="28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  <c r="AO259" s="139"/>
      <c r="AP259" s="139"/>
      <c r="AQ259" s="139"/>
      <c r="AR259" s="139"/>
      <c r="AS259" s="139"/>
      <c r="AT259" s="139"/>
      <c r="AU259" s="139"/>
      <c r="AV259" s="139"/>
      <c r="AW259" s="139"/>
      <c r="AX259" s="139"/>
      <c r="AY259" s="139"/>
      <c r="AZ259" s="139"/>
      <c r="BA259" s="139"/>
      <c r="BB259" s="139"/>
    </row>
    <row r="260">
      <c r="A260" s="28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39"/>
      <c r="AV260" s="139"/>
      <c r="AW260" s="139"/>
      <c r="AX260" s="139"/>
      <c r="AY260" s="139"/>
      <c r="AZ260" s="139"/>
      <c r="BA260" s="139"/>
      <c r="BB260" s="139"/>
    </row>
    <row r="261">
      <c r="A261" s="28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  <c r="AK261" s="139"/>
      <c r="AL261" s="139"/>
      <c r="AM261" s="139"/>
      <c r="AN261" s="139"/>
      <c r="AO261" s="139"/>
      <c r="AP261" s="139"/>
      <c r="AQ261" s="139"/>
      <c r="AR261" s="139"/>
      <c r="AS261" s="139"/>
      <c r="AT261" s="139"/>
      <c r="AU261" s="139"/>
      <c r="AV261" s="139"/>
      <c r="AW261" s="139"/>
      <c r="AX261" s="139"/>
      <c r="AY261" s="139"/>
      <c r="AZ261" s="139"/>
      <c r="BA261" s="139"/>
      <c r="BB261" s="139"/>
    </row>
    <row r="262">
      <c r="A262" s="28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  <c r="AO262" s="139"/>
      <c r="AP262" s="139"/>
      <c r="AQ262" s="139"/>
      <c r="AR262" s="139"/>
      <c r="AS262" s="139"/>
      <c r="AT262" s="139"/>
      <c r="AU262" s="139"/>
      <c r="AV262" s="139"/>
      <c r="AW262" s="139"/>
      <c r="AX262" s="139"/>
      <c r="AY262" s="139"/>
      <c r="AZ262" s="139"/>
      <c r="BA262" s="139"/>
      <c r="BB262" s="139"/>
    </row>
    <row r="263">
      <c r="A263" s="28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9"/>
      <c r="AM263" s="139"/>
      <c r="AN263" s="139"/>
      <c r="AO263" s="139"/>
      <c r="AP263" s="139"/>
      <c r="AQ263" s="139"/>
      <c r="AR263" s="139"/>
      <c r="AS263" s="139"/>
      <c r="AT263" s="139"/>
      <c r="AU263" s="139"/>
      <c r="AV263" s="139"/>
      <c r="AW263" s="139"/>
      <c r="AX263" s="139"/>
      <c r="AY263" s="139"/>
      <c r="AZ263" s="139"/>
      <c r="BA263" s="139"/>
      <c r="BB263" s="139"/>
    </row>
    <row r="264">
      <c r="A264" s="28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9"/>
      <c r="AM264" s="139"/>
      <c r="AN264" s="139"/>
      <c r="AO264" s="139"/>
      <c r="AP264" s="139"/>
      <c r="AQ264" s="139"/>
      <c r="AR264" s="139"/>
      <c r="AS264" s="139"/>
      <c r="AT264" s="139"/>
      <c r="AU264" s="139"/>
      <c r="AV264" s="139"/>
      <c r="AW264" s="139"/>
      <c r="AX264" s="139"/>
      <c r="AY264" s="139"/>
      <c r="AZ264" s="139"/>
      <c r="BA264" s="139"/>
      <c r="BB264" s="139"/>
    </row>
    <row r="265">
      <c r="A265" s="28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  <c r="AO265" s="139"/>
      <c r="AP265" s="139"/>
      <c r="AQ265" s="139"/>
      <c r="AR265" s="139"/>
      <c r="AS265" s="139"/>
      <c r="AT265" s="139"/>
      <c r="AU265" s="139"/>
      <c r="AV265" s="139"/>
      <c r="AW265" s="139"/>
      <c r="AX265" s="139"/>
      <c r="AY265" s="139"/>
      <c r="AZ265" s="139"/>
      <c r="BA265" s="139"/>
      <c r="BB265" s="139"/>
    </row>
    <row r="266">
      <c r="A266" s="28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9"/>
      <c r="AM266" s="139"/>
      <c r="AN266" s="139"/>
      <c r="AO266" s="139"/>
      <c r="AP266" s="139"/>
      <c r="AQ266" s="139"/>
      <c r="AR266" s="139"/>
      <c r="AS266" s="139"/>
      <c r="AT266" s="139"/>
      <c r="AU266" s="139"/>
      <c r="AV266" s="139"/>
      <c r="AW266" s="139"/>
      <c r="AX266" s="139"/>
      <c r="AY266" s="139"/>
      <c r="AZ266" s="139"/>
      <c r="BA266" s="139"/>
      <c r="BB266" s="139"/>
    </row>
    <row r="267">
      <c r="A267" s="28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9"/>
      <c r="AM267" s="139"/>
      <c r="AN267" s="139"/>
      <c r="AO267" s="139"/>
      <c r="AP267" s="139"/>
      <c r="AQ267" s="139"/>
      <c r="AR267" s="139"/>
      <c r="AS267" s="139"/>
      <c r="AT267" s="139"/>
      <c r="AU267" s="139"/>
      <c r="AV267" s="139"/>
      <c r="AW267" s="139"/>
      <c r="AX267" s="139"/>
      <c r="AY267" s="139"/>
      <c r="AZ267" s="139"/>
      <c r="BA267" s="139"/>
      <c r="BB267" s="139"/>
    </row>
    <row r="268">
      <c r="A268" s="28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9"/>
      <c r="AM268" s="139"/>
      <c r="AN268" s="139"/>
      <c r="AO268" s="139"/>
      <c r="AP268" s="139"/>
      <c r="AQ268" s="139"/>
      <c r="AR268" s="139"/>
      <c r="AS268" s="139"/>
      <c r="AT268" s="139"/>
      <c r="AU268" s="139"/>
      <c r="AV268" s="139"/>
      <c r="AW268" s="139"/>
      <c r="AX268" s="139"/>
      <c r="AY268" s="139"/>
      <c r="AZ268" s="139"/>
      <c r="BA268" s="139"/>
      <c r="BB268" s="139"/>
    </row>
    <row r="269">
      <c r="A269" s="28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9"/>
      <c r="AM269" s="139"/>
      <c r="AN269" s="139"/>
      <c r="AO269" s="139"/>
      <c r="AP269" s="139"/>
      <c r="AQ269" s="139"/>
      <c r="AR269" s="139"/>
      <c r="AS269" s="139"/>
      <c r="AT269" s="139"/>
      <c r="AU269" s="139"/>
      <c r="AV269" s="139"/>
      <c r="AW269" s="139"/>
      <c r="AX269" s="139"/>
      <c r="AY269" s="139"/>
      <c r="AZ269" s="139"/>
      <c r="BA269" s="139"/>
      <c r="BB269" s="139"/>
    </row>
    <row r="270">
      <c r="A270" s="28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9"/>
      <c r="AM270" s="139"/>
      <c r="AN270" s="139"/>
      <c r="AO270" s="139"/>
      <c r="AP270" s="139"/>
      <c r="AQ270" s="139"/>
      <c r="AR270" s="139"/>
      <c r="AS270" s="139"/>
      <c r="AT270" s="139"/>
      <c r="AU270" s="139"/>
      <c r="AV270" s="139"/>
      <c r="AW270" s="139"/>
      <c r="AX270" s="139"/>
      <c r="AY270" s="139"/>
      <c r="AZ270" s="139"/>
      <c r="BA270" s="139"/>
      <c r="BB270" s="139"/>
    </row>
    <row r="271">
      <c r="A271" s="28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9"/>
      <c r="AM271" s="139"/>
      <c r="AN271" s="139"/>
      <c r="AO271" s="139"/>
      <c r="AP271" s="139"/>
      <c r="AQ271" s="139"/>
      <c r="AR271" s="139"/>
      <c r="AS271" s="139"/>
      <c r="AT271" s="139"/>
      <c r="AU271" s="139"/>
      <c r="AV271" s="139"/>
      <c r="AW271" s="139"/>
      <c r="AX271" s="139"/>
      <c r="AY271" s="139"/>
      <c r="AZ271" s="139"/>
      <c r="BA271" s="139"/>
      <c r="BB271" s="139"/>
    </row>
    <row r="272">
      <c r="A272" s="28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  <c r="AE272" s="139"/>
      <c r="AF272" s="139"/>
      <c r="AG272" s="139"/>
      <c r="AH272" s="139"/>
      <c r="AI272" s="139"/>
      <c r="AJ272" s="139"/>
      <c r="AK272" s="139"/>
      <c r="AL272" s="139"/>
      <c r="AM272" s="139"/>
      <c r="AN272" s="139"/>
      <c r="AO272" s="139"/>
      <c r="AP272" s="139"/>
      <c r="AQ272" s="139"/>
      <c r="AR272" s="139"/>
      <c r="AS272" s="139"/>
      <c r="AT272" s="139"/>
      <c r="AU272" s="139"/>
      <c r="AV272" s="139"/>
      <c r="AW272" s="139"/>
      <c r="AX272" s="139"/>
      <c r="AY272" s="139"/>
      <c r="AZ272" s="139"/>
      <c r="BA272" s="139"/>
      <c r="BB272" s="139"/>
    </row>
    <row r="273">
      <c r="A273" s="28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9"/>
      <c r="AM273" s="139"/>
      <c r="AN273" s="139"/>
      <c r="AO273" s="139"/>
      <c r="AP273" s="139"/>
      <c r="AQ273" s="139"/>
      <c r="AR273" s="139"/>
      <c r="AS273" s="139"/>
      <c r="AT273" s="139"/>
      <c r="AU273" s="139"/>
      <c r="AV273" s="139"/>
      <c r="AW273" s="139"/>
      <c r="AX273" s="139"/>
      <c r="AY273" s="139"/>
      <c r="AZ273" s="139"/>
      <c r="BA273" s="139"/>
      <c r="BB273" s="139"/>
    </row>
    <row r="274">
      <c r="A274" s="28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9"/>
      <c r="AM274" s="139"/>
      <c r="AN274" s="139"/>
      <c r="AO274" s="139"/>
      <c r="AP274" s="139"/>
      <c r="AQ274" s="139"/>
      <c r="AR274" s="139"/>
      <c r="AS274" s="139"/>
      <c r="AT274" s="139"/>
      <c r="AU274" s="139"/>
      <c r="AV274" s="139"/>
      <c r="AW274" s="139"/>
      <c r="AX274" s="139"/>
      <c r="AY274" s="139"/>
      <c r="AZ274" s="139"/>
      <c r="BA274" s="139"/>
      <c r="BB274" s="139"/>
    </row>
    <row r="275">
      <c r="A275" s="28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  <c r="AF275" s="139"/>
      <c r="AG275" s="139"/>
      <c r="AH275" s="139"/>
      <c r="AI275" s="139"/>
      <c r="AJ275" s="139"/>
      <c r="AK275" s="139"/>
      <c r="AL275" s="139"/>
      <c r="AM275" s="139"/>
      <c r="AN275" s="139"/>
      <c r="AO275" s="139"/>
      <c r="AP275" s="139"/>
      <c r="AQ275" s="139"/>
      <c r="AR275" s="139"/>
      <c r="AS275" s="139"/>
      <c r="AT275" s="139"/>
      <c r="AU275" s="139"/>
      <c r="AV275" s="139"/>
      <c r="AW275" s="139"/>
      <c r="AX275" s="139"/>
      <c r="AY275" s="139"/>
      <c r="AZ275" s="139"/>
      <c r="BA275" s="139"/>
      <c r="BB275" s="139"/>
    </row>
    <row r="276">
      <c r="A276" s="28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  <c r="AE276" s="139"/>
      <c r="AF276" s="139"/>
      <c r="AG276" s="139"/>
      <c r="AH276" s="139"/>
      <c r="AI276" s="139"/>
      <c r="AJ276" s="139"/>
      <c r="AK276" s="139"/>
      <c r="AL276" s="139"/>
      <c r="AM276" s="139"/>
      <c r="AN276" s="139"/>
      <c r="AO276" s="139"/>
      <c r="AP276" s="139"/>
      <c r="AQ276" s="139"/>
      <c r="AR276" s="139"/>
      <c r="AS276" s="139"/>
      <c r="AT276" s="139"/>
      <c r="AU276" s="139"/>
      <c r="AV276" s="139"/>
      <c r="AW276" s="139"/>
      <c r="AX276" s="139"/>
      <c r="AY276" s="139"/>
      <c r="AZ276" s="139"/>
      <c r="BA276" s="139"/>
      <c r="BB276" s="139"/>
    </row>
    <row r="277">
      <c r="A277" s="28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9"/>
      <c r="AM277" s="139"/>
      <c r="AN277" s="139"/>
      <c r="AO277" s="139"/>
      <c r="AP277" s="139"/>
      <c r="AQ277" s="139"/>
      <c r="AR277" s="139"/>
      <c r="AS277" s="139"/>
      <c r="AT277" s="139"/>
      <c r="AU277" s="139"/>
      <c r="AV277" s="139"/>
      <c r="AW277" s="139"/>
      <c r="AX277" s="139"/>
      <c r="AY277" s="139"/>
      <c r="AZ277" s="139"/>
      <c r="BA277" s="139"/>
      <c r="BB277" s="139"/>
    </row>
    <row r="278">
      <c r="A278" s="28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39"/>
      <c r="AD278" s="139"/>
      <c r="AE278" s="139"/>
      <c r="AF278" s="139"/>
      <c r="AG278" s="139"/>
      <c r="AH278" s="139"/>
      <c r="AI278" s="139"/>
      <c r="AJ278" s="139"/>
      <c r="AK278" s="139"/>
      <c r="AL278" s="139"/>
      <c r="AM278" s="139"/>
      <c r="AN278" s="139"/>
      <c r="AO278" s="139"/>
      <c r="AP278" s="139"/>
      <c r="AQ278" s="139"/>
      <c r="AR278" s="139"/>
      <c r="AS278" s="139"/>
      <c r="AT278" s="139"/>
      <c r="AU278" s="139"/>
      <c r="AV278" s="139"/>
      <c r="AW278" s="139"/>
      <c r="AX278" s="139"/>
      <c r="AY278" s="139"/>
      <c r="AZ278" s="139"/>
      <c r="BA278" s="139"/>
      <c r="BB278" s="139"/>
    </row>
    <row r="279">
      <c r="A279" s="28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39"/>
      <c r="AM279" s="139"/>
      <c r="AN279" s="139"/>
      <c r="AO279" s="139"/>
      <c r="AP279" s="139"/>
      <c r="AQ279" s="139"/>
      <c r="AR279" s="139"/>
      <c r="AS279" s="139"/>
      <c r="AT279" s="139"/>
      <c r="AU279" s="139"/>
      <c r="AV279" s="139"/>
      <c r="AW279" s="139"/>
      <c r="AX279" s="139"/>
      <c r="AY279" s="139"/>
      <c r="AZ279" s="139"/>
      <c r="BA279" s="139"/>
      <c r="BB279" s="139"/>
    </row>
    <row r="280">
      <c r="A280" s="28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  <c r="AK280" s="139"/>
      <c r="AL280" s="139"/>
      <c r="AM280" s="139"/>
      <c r="AN280" s="139"/>
      <c r="AO280" s="139"/>
      <c r="AP280" s="139"/>
      <c r="AQ280" s="139"/>
      <c r="AR280" s="139"/>
      <c r="AS280" s="139"/>
      <c r="AT280" s="139"/>
      <c r="AU280" s="139"/>
      <c r="AV280" s="139"/>
      <c r="AW280" s="139"/>
      <c r="AX280" s="139"/>
      <c r="AY280" s="139"/>
      <c r="AZ280" s="139"/>
      <c r="BA280" s="139"/>
      <c r="BB280" s="139"/>
    </row>
    <row r="281">
      <c r="A281" s="28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  <c r="AE281" s="139"/>
      <c r="AF281" s="139"/>
      <c r="AG281" s="139"/>
      <c r="AH281" s="139"/>
      <c r="AI281" s="139"/>
      <c r="AJ281" s="139"/>
      <c r="AK281" s="139"/>
      <c r="AL281" s="139"/>
      <c r="AM281" s="139"/>
      <c r="AN281" s="139"/>
      <c r="AO281" s="139"/>
      <c r="AP281" s="139"/>
      <c r="AQ281" s="139"/>
      <c r="AR281" s="139"/>
      <c r="AS281" s="139"/>
      <c r="AT281" s="139"/>
      <c r="AU281" s="139"/>
      <c r="AV281" s="139"/>
      <c r="AW281" s="139"/>
      <c r="AX281" s="139"/>
      <c r="AY281" s="139"/>
      <c r="AZ281" s="139"/>
      <c r="BA281" s="139"/>
      <c r="BB281" s="139"/>
    </row>
    <row r="282">
      <c r="A282" s="28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39"/>
      <c r="AK282" s="139"/>
      <c r="AL282" s="139"/>
      <c r="AM282" s="139"/>
      <c r="AN282" s="139"/>
      <c r="AO282" s="139"/>
      <c r="AP282" s="139"/>
      <c r="AQ282" s="139"/>
      <c r="AR282" s="139"/>
      <c r="AS282" s="139"/>
      <c r="AT282" s="139"/>
      <c r="AU282" s="139"/>
      <c r="AV282" s="139"/>
      <c r="AW282" s="139"/>
      <c r="AX282" s="139"/>
      <c r="AY282" s="139"/>
      <c r="AZ282" s="139"/>
      <c r="BA282" s="139"/>
      <c r="BB282" s="139"/>
    </row>
    <row r="283">
      <c r="A283" s="28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  <c r="AE283" s="139"/>
      <c r="AF283" s="139"/>
      <c r="AG283" s="139"/>
      <c r="AH283" s="139"/>
      <c r="AI283" s="139"/>
      <c r="AJ283" s="139"/>
      <c r="AK283" s="139"/>
      <c r="AL283" s="139"/>
      <c r="AM283" s="139"/>
      <c r="AN283" s="139"/>
      <c r="AO283" s="139"/>
      <c r="AP283" s="139"/>
      <c r="AQ283" s="139"/>
      <c r="AR283" s="139"/>
      <c r="AS283" s="139"/>
      <c r="AT283" s="139"/>
      <c r="AU283" s="139"/>
      <c r="AV283" s="139"/>
      <c r="AW283" s="139"/>
      <c r="AX283" s="139"/>
      <c r="AY283" s="139"/>
      <c r="AZ283" s="139"/>
      <c r="BA283" s="139"/>
      <c r="BB283" s="139"/>
    </row>
    <row r="284">
      <c r="A284" s="28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9"/>
      <c r="AM284" s="139"/>
      <c r="AN284" s="139"/>
      <c r="AO284" s="139"/>
      <c r="AP284" s="139"/>
      <c r="AQ284" s="139"/>
      <c r="AR284" s="139"/>
      <c r="AS284" s="139"/>
      <c r="AT284" s="139"/>
      <c r="AU284" s="139"/>
      <c r="AV284" s="139"/>
      <c r="AW284" s="139"/>
      <c r="AX284" s="139"/>
      <c r="AY284" s="139"/>
      <c r="AZ284" s="139"/>
      <c r="BA284" s="139"/>
      <c r="BB284" s="139"/>
    </row>
    <row r="285">
      <c r="A285" s="28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  <c r="AE285" s="139"/>
      <c r="AF285" s="139"/>
      <c r="AG285" s="139"/>
      <c r="AH285" s="139"/>
      <c r="AI285" s="139"/>
      <c r="AJ285" s="139"/>
      <c r="AK285" s="139"/>
      <c r="AL285" s="139"/>
      <c r="AM285" s="139"/>
      <c r="AN285" s="139"/>
      <c r="AO285" s="139"/>
      <c r="AP285" s="139"/>
      <c r="AQ285" s="139"/>
      <c r="AR285" s="139"/>
      <c r="AS285" s="139"/>
      <c r="AT285" s="139"/>
      <c r="AU285" s="139"/>
      <c r="AV285" s="139"/>
      <c r="AW285" s="139"/>
      <c r="AX285" s="139"/>
      <c r="AY285" s="139"/>
      <c r="AZ285" s="139"/>
      <c r="BA285" s="139"/>
      <c r="BB285" s="139"/>
    </row>
    <row r="286">
      <c r="A286" s="28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  <c r="AK286" s="139"/>
      <c r="AL286" s="139"/>
      <c r="AM286" s="139"/>
      <c r="AN286" s="139"/>
      <c r="AO286" s="139"/>
      <c r="AP286" s="139"/>
      <c r="AQ286" s="139"/>
      <c r="AR286" s="139"/>
      <c r="AS286" s="139"/>
      <c r="AT286" s="139"/>
      <c r="AU286" s="139"/>
      <c r="AV286" s="139"/>
      <c r="AW286" s="139"/>
      <c r="AX286" s="139"/>
      <c r="AY286" s="139"/>
      <c r="AZ286" s="139"/>
      <c r="BA286" s="139"/>
      <c r="BB286" s="139"/>
    </row>
    <row r="287">
      <c r="A287" s="28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  <c r="AO287" s="139"/>
      <c r="AP287" s="139"/>
      <c r="AQ287" s="139"/>
      <c r="AR287" s="139"/>
      <c r="AS287" s="139"/>
      <c r="AT287" s="139"/>
      <c r="AU287" s="139"/>
      <c r="AV287" s="139"/>
      <c r="AW287" s="139"/>
      <c r="AX287" s="139"/>
      <c r="AY287" s="139"/>
      <c r="AZ287" s="139"/>
      <c r="BA287" s="139"/>
      <c r="BB287" s="139"/>
    </row>
    <row r="288">
      <c r="A288" s="28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9"/>
      <c r="AM288" s="139"/>
      <c r="AN288" s="139"/>
      <c r="AO288" s="139"/>
      <c r="AP288" s="139"/>
      <c r="AQ288" s="139"/>
      <c r="AR288" s="139"/>
      <c r="AS288" s="139"/>
      <c r="AT288" s="139"/>
      <c r="AU288" s="139"/>
      <c r="AV288" s="139"/>
      <c r="AW288" s="139"/>
      <c r="AX288" s="139"/>
      <c r="AY288" s="139"/>
      <c r="AZ288" s="139"/>
      <c r="BA288" s="139"/>
      <c r="BB288" s="139"/>
    </row>
    <row r="289">
      <c r="A289" s="28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39"/>
      <c r="AM289" s="139"/>
      <c r="AN289" s="139"/>
      <c r="AO289" s="139"/>
      <c r="AP289" s="139"/>
      <c r="AQ289" s="139"/>
      <c r="AR289" s="139"/>
      <c r="AS289" s="139"/>
      <c r="AT289" s="139"/>
      <c r="AU289" s="139"/>
      <c r="AV289" s="139"/>
      <c r="AW289" s="139"/>
      <c r="AX289" s="139"/>
      <c r="AY289" s="139"/>
      <c r="AZ289" s="139"/>
      <c r="BA289" s="139"/>
      <c r="BB289" s="139"/>
    </row>
    <row r="290">
      <c r="A290" s="28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9"/>
      <c r="AM290" s="139"/>
      <c r="AN290" s="139"/>
      <c r="AO290" s="139"/>
      <c r="AP290" s="139"/>
      <c r="AQ290" s="139"/>
      <c r="AR290" s="139"/>
      <c r="AS290" s="139"/>
      <c r="AT290" s="139"/>
      <c r="AU290" s="139"/>
      <c r="AV290" s="139"/>
      <c r="AW290" s="139"/>
      <c r="AX290" s="139"/>
      <c r="AY290" s="139"/>
      <c r="AZ290" s="139"/>
      <c r="BA290" s="139"/>
      <c r="BB290" s="139"/>
    </row>
    <row r="291">
      <c r="A291" s="28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9"/>
      <c r="AM291" s="139"/>
      <c r="AN291" s="139"/>
      <c r="AO291" s="139"/>
      <c r="AP291" s="139"/>
      <c r="AQ291" s="139"/>
      <c r="AR291" s="139"/>
      <c r="AS291" s="139"/>
      <c r="AT291" s="139"/>
      <c r="AU291" s="139"/>
      <c r="AV291" s="139"/>
      <c r="AW291" s="139"/>
      <c r="AX291" s="139"/>
      <c r="AY291" s="139"/>
      <c r="AZ291" s="139"/>
      <c r="BA291" s="139"/>
      <c r="BB291" s="139"/>
    </row>
    <row r="292">
      <c r="A292" s="28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/>
      <c r="AM292" s="139"/>
      <c r="AN292" s="139"/>
      <c r="AO292" s="139"/>
      <c r="AP292" s="139"/>
      <c r="AQ292" s="139"/>
      <c r="AR292" s="139"/>
      <c r="AS292" s="139"/>
      <c r="AT292" s="139"/>
      <c r="AU292" s="139"/>
      <c r="AV292" s="139"/>
      <c r="AW292" s="139"/>
      <c r="AX292" s="139"/>
      <c r="AY292" s="139"/>
      <c r="AZ292" s="139"/>
      <c r="BA292" s="139"/>
      <c r="BB292" s="139"/>
    </row>
    <row r="293">
      <c r="A293" s="28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39"/>
      <c r="AD293" s="139"/>
      <c r="AE293" s="139"/>
      <c r="AF293" s="139"/>
      <c r="AG293" s="139"/>
      <c r="AH293" s="139"/>
      <c r="AI293" s="139"/>
      <c r="AJ293" s="139"/>
      <c r="AK293" s="139"/>
      <c r="AL293" s="139"/>
      <c r="AM293" s="139"/>
      <c r="AN293" s="139"/>
      <c r="AO293" s="139"/>
      <c r="AP293" s="139"/>
      <c r="AQ293" s="139"/>
      <c r="AR293" s="139"/>
      <c r="AS293" s="139"/>
      <c r="AT293" s="139"/>
      <c r="AU293" s="139"/>
      <c r="AV293" s="139"/>
      <c r="AW293" s="139"/>
      <c r="AX293" s="139"/>
      <c r="AY293" s="139"/>
      <c r="AZ293" s="139"/>
      <c r="BA293" s="139"/>
      <c r="BB293" s="139"/>
    </row>
    <row r="294">
      <c r="A294" s="28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/>
      <c r="AU294" s="139"/>
      <c r="AV294" s="139"/>
      <c r="AW294" s="139"/>
      <c r="AX294" s="139"/>
      <c r="AY294" s="139"/>
      <c r="AZ294" s="139"/>
      <c r="BA294" s="139"/>
      <c r="BB294" s="139"/>
    </row>
    <row r="295">
      <c r="A295" s="28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  <c r="AE295" s="139"/>
      <c r="AF295" s="139"/>
      <c r="AG295" s="139"/>
      <c r="AH295" s="139"/>
      <c r="AI295" s="139"/>
      <c r="AJ295" s="139"/>
      <c r="AK295" s="139"/>
      <c r="AL295" s="139"/>
      <c r="AM295" s="139"/>
      <c r="AN295" s="139"/>
      <c r="AO295" s="139"/>
      <c r="AP295" s="139"/>
      <c r="AQ295" s="139"/>
      <c r="AR295" s="139"/>
      <c r="AS295" s="139"/>
      <c r="AT295" s="139"/>
      <c r="AU295" s="139"/>
      <c r="AV295" s="139"/>
      <c r="AW295" s="139"/>
      <c r="AX295" s="139"/>
      <c r="AY295" s="139"/>
      <c r="AZ295" s="139"/>
      <c r="BA295" s="139"/>
      <c r="BB295" s="139"/>
    </row>
    <row r="296">
      <c r="A296" s="28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  <c r="AE296" s="139"/>
      <c r="AF296" s="139"/>
      <c r="AG296" s="139"/>
      <c r="AH296" s="139"/>
      <c r="AI296" s="139"/>
      <c r="AJ296" s="139"/>
      <c r="AK296" s="139"/>
      <c r="AL296" s="139"/>
      <c r="AM296" s="139"/>
      <c r="AN296" s="139"/>
      <c r="AO296" s="139"/>
      <c r="AP296" s="139"/>
      <c r="AQ296" s="139"/>
      <c r="AR296" s="139"/>
      <c r="AS296" s="139"/>
      <c r="AT296" s="139"/>
      <c r="AU296" s="139"/>
      <c r="AV296" s="139"/>
      <c r="AW296" s="139"/>
      <c r="AX296" s="139"/>
      <c r="AY296" s="139"/>
      <c r="AZ296" s="139"/>
      <c r="BA296" s="139"/>
      <c r="BB296" s="139"/>
    </row>
    <row r="297">
      <c r="A297" s="28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39"/>
      <c r="AG297" s="139"/>
      <c r="AH297" s="139"/>
      <c r="AI297" s="139"/>
      <c r="AJ297" s="139"/>
      <c r="AK297" s="139"/>
      <c r="AL297" s="139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39"/>
      <c r="BB297" s="139"/>
    </row>
    <row r="298">
      <c r="A298" s="28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9"/>
      <c r="AM298" s="139"/>
      <c r="AN298" s="139"/>
      <c r="AO298" s="139"/>
      <c r="AP298" s="139"/>
      <c r="AQ298" s="139"/>
      <c r="AR298" s="139"/>
      <c r="AS298" s="139"/>
      <c r="AT298" s="139"/>
      <c r="AU298" s="139"/>
      <c r="AV298" s="139"/>
      <c r="AW298" s="139"/>
      <c r="AX298" s="139"/>
      <c r="AY298" s="139"/>
      <c r="AZ298" s="139"/>
      <c r="BA298" s="139"/>
      <c r="BB298" s="139"/>
    </row>
    <row r="299">
      <c r="A299" s="28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39"/>
      <c r="AK299" s="139"/>
      <c r="AL299" s="139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39"/>
    </row>
    <row r="300">
      <c r="A300" s="28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9"/>
      <c r="AM300" s="139"/>
      <c r="AN300" s="139"/>
      <c r="AO300" s="139"/>
      <c r="AP300" s="139"/>
      <c r="AQ300" s="139"/>
      <c r="AR300" s="139"/>
      <c r="AS300" s="139"/>
      <c r="AT300" s="139"/>
      <c r="AU300" s="139"/>
      <c r="AV300" s="139"/>
      <c r="AW300" s="139"/>
      <c r="AX300" s="139"/>
      <c r="AY300" s="139"/>
      <c r="AZ300" s="139"/>
      <c r="BA300" s="139"/>
      <c r="BB300" s="139"/>
    </row>
    <row r="301">
      <c r="A301" s="28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  <c r="AE301" s="139"/>
      <c r="AF301" s="139"/>
      <c r="AG301" s="139"/>
      <c r="AH301" s="139"/>
      <c r="AI301" s="139"/>
      <c r="AJ301" s="139"/>
      <c r="AK301" s="139"/>
      <c r="AL301" s="139"/>
      <c r="AM301" s="139"/>
      <c r="AN301" s="139"/>
      <c r="AO301" s="139"/>
      <c r="AP301" s="139"/>
      <c r="AQ301" s="139"/>
      <c r="AR301" s="139"/>
      <c r="AS301" s="139"/>
      <c r="AT301" s="139"/>
      <c r="AU301" s="139"/>
      <c r="AV301" s="139"/>
      <c r="AW301" s="139"/>
      <c r="AX301" s="139"/>
      <c r="AY301" s="139"/>
      <c r="AZ301" s="139"/>
      <c r="BA301" s="139"/>
      <c r="BB301" s="139"/>
    </row>
    <row r="302">
      <c r="A302" s="28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</row>
    <row r="303">
      <c r="A303" s="28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39"/>
      <c r="AD303" s="139"/>
      <c r="AE303" s="139"/>
      <c r="AF303" s="139"/>
      <c r="AG303" s="139"/>
      <c r="AH303" s="139"/>
      <c r="AI303" s="139"/>
      <c r="AJ303" s="139"/>
      <c r="AK303" s="139"/>
      <c r="AL303" s="139"/>
      <c r="AM303" s="139"/>
      <c r="AN303" s="139"/>
      <c r="AO303" s="139"/>
      <c r="AP303" s="139"/>
      <c r="AQ303" s="139"/>
      <c r="AR303" s="139"/>
      <c r="AS303" s="139"/>
      <c r="AT303" s="139"/>
      <c r="AU303" s="139"/>
      <c r="AV303" s="139"/>
      <c r="AW303" s="139"/>
      <c r="AX303" s="139"/>
      <c r="AY303" s="139"/>
      <c r="AZ303" s="139"/>
      <c r="BA303" s="139"/>
      <c r="BB303" s="139"/>
    </row>
    <row r="304">
      <c r="A304" s="28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</row>
    <row r="305">
      <c r="A305" s="28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</row>
    <row r="306">
      <c r="A306" s="28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</row>
    <row r="307">
      <c r="A307" s="28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39"/>
      <c r="AG307" s="139"/>
      <c r="AH307" s="139"/>
      <c r="AI307" s="139"/>
      <c r="AJ307" s="139"/>
      <c r="AK307" s="139"/>
      <c r="AL307" s="139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39"/>
    </row>
    <row r="308">
      <c r="A308" s="28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</row>
    <row r="309">
      <c r="A309" s="28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  <c r="AO309" s="139"/>
      <c r="AP309" s="139"/>
      <c r="AQ309" s="139"/>
      <c r="AR309" s="139"/>
      <c r="AS309" s="139"/>
      <c r="AT309" s="139"/>
      <c r="AU309" s="139"/>
      <c r="AV309" s="139"/>
      <c r="AW309" s="139"/>
      <c r="AX309" s="139"/>
      <c r="AY309" s="139"/>
      <c r="AZ309" s="139"/>
      <c r="BA309" s="139"/>
      <c r="BB309" s="139"/>
    </row>
    <row r="310">
      <c r="A310" s="28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</row>
    <row r="311">
      <c r="A311" s="28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39"/>
      <c r="AG311" s="139"/>
      <c r="AH311" s="139"/>
      <c r="AI311" s="139"/>
      <c r="AJ311" s="139"/>
      <c r="AK311" s="139"/>
      <c r="AL311" s="139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39"/>
      <c r="BB311" s="139"/>
    </row>
    <row r="312">
      <c r="A312" s="28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</row>
    <row r="313">
      <c r="A313" s="28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9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39"/>
    </row>
    <row r="314">
      <c r="A314" s="28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39"/>
    </row>
    <row r="315">
      <c r="A315" s="28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</row>
    <row r="316">
      <c r="A316" s="28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/>
      <c r="AM316" s="139"/>
      <c r="AN316" s="139"/>
      <c r="AO316" s="139"/>
      <c r="AP316" s="139"/>
      <c r="AQ316" s="139"/>
      <c r="AR316" s="139"/>
      <c r="AS316" s="139"/>
      <c r="AT316" s="139"/>
      <c r="AU316" s="139"/>
      <c r="AV316" s="139"/>
      <c r="AW316" s="139"/>
      <c r="AX316" s="139"/>
      <c r="AY316" s="139"/>
      <c r="AZ316" s="139"/>
      <c r="BA316" s="139"/>
      <c r="BB316" s="139"/>
    </row>
    <row r="317">
      <c r="A317" s="28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9"/>
      <c r="AM317" s="139"/>
      <c r="AN317" s="139"/>
      <c r="AO317" s="139"/>
      <c r="AP317" s="139"/>
      <c r="AQ317" s="139"/>
      <c r="AR317" s="139"/>
      <c r="AS317" s="139"/>
      <c r="AT317" s="139"/>
      <c r="AU317" s="139"/>
      <c r="AV317" s="139"/>
      <c r="AW317" s="139"/>
      <c r="AX317" s="139"/>
      <c r="AY317" s="139"/>
      <c r="AZ317" s="139"/>
      <c r="BA317" s="139"/>
      <c r="BB317" s="139"/>
    </row>
    <row r="318">
      <c r="A318" s="28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/>
    </row>
    <row r="319">
      <c r="A319" s="28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39"/>
      <c r="AG319" s="139"/>
      <c r="AH319" s="139"/>
      <c r="AI319" s="139"/>
      <c r="AJ319" s="139"/>
      <c r="AK319" s="139"/>
      <c r="AL319" s="139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39"/>
      <c r="BB319" s="139"/>
    </row>
    <row r="320">
      <c r="A320" s="28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9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39"/>
    </row>
    <row r="321">
      <c r="A321" s="28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9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</row>
    <row r="322">
      <c r="A322" s="28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</row>
    <row r="323">
      <c r="A323" s="28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9"/>
      <c r="AM323" s="139"/>
      <c r="AN323" s="139"/>
      <c r="AO323" s="139"/>
      <c r="AP323" s="139"/>
      <c r="AQ323" s="139"/>
      <c r="AR323" s="139"/>
      <c r="AS323" s="139"/>
      <c r="AT323" s="139"/>
      <c r="AU323" s="139"/>
      <c r="AV323" s="139"/>
      <c r="AW323" s="139"/>
      <c r="AX323" s="139"/>
      <c r="AY323" s="139"/>
      <c r="AZ323" s="139"/>
      <c r="BA323" s="139"/>
      <c r="BB323" s="139"/>
    </row>
    <row r="324">
      <c r="A324" s="28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</row>
    <row r="325">
      <c r="A325" s="28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</row>
    <row r="326">
      <c r="A326" s="28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39"/>
    </row>
    <row r="327">
      <c r="A327" s="28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9"/>
      <c r="AM327" s="139"/>
      <c r="AN327" s="139"/>
      <c r="AO327" s="139"/>
      <c r="AP327" s="139"/>
      <c r="AQ327" s="139"/>
      <c r="AR327" s="139"/>
      <c r="AS327" s="139"/>
      <c r="AT327" s="139"/>
      <c r="AU327" s="139"/>
      <c r="AV327" s="139"/>
      <c r="AW327" s="139"/>
      <c r="AX327" s="139"/>
      <c r="AY327" s="139"/>
      <c r="AZ327" s="139"/>
      <c r="BA327" s="139"/>
      <c r="BB327" s="139"/>
    </row>
    <row r="328">
      <c r="A328" s="28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/>
      <c r="AQ328" s="139"/>
      <c r="AR328" s="139"/>
      <c r="AS328" s="139"/>
      <c r="AT328" s="139"/>
      <c r="AU328" s="139"/>
      <c r="AV328" s="139"/>
      <c r="AW328" s="139"/>
      <c r="AX328" s="139"/>
      <c r="AY328" s="139"/>
      <c r="AZ328" s="139"/>
      <c r="BA328" s="139"/>
      <c r="BB328" s="139"/>
    </row>
    <row r="329">
      <c r="A329" s="28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9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39"/>
    </row>
    <row r="330">
      <c r="A330" s="28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</row>
    <row r="331">
      <c r="A331" s="28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9"/>
      <c r="AM331" s="139"/>
      <c r="AN331" s="139"/>
      <c r="AO331" s="139"/>
      <c r="AP331" s="139"/>
      <c r="AQ331" s="139"/>
      <c r="AR331" s="139"/>
      <c r="AS331" s="139"/>
      <c r="AT331" s="139"/>
      <c r="AU331" s="139"/>
      <c r="AV331" s="139"/>
      <c r="AW331" s="139"/>
      <c r="AX331" s="139"/>
      <c r="AY331" s="139"/>
      <c r="AZ331" s="139"/>
      <c r="BA331" s="139"/>
      <c r="BB331" s="139"/>
    </row>
    <row r="332">
      <c r="A332" s="28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</row>
    <row r="333">
      <c r="A333" s="28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</row>
    <row r="334">
      <c r="A334" s="28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  <c r="AW334" s="139"/>
      <c r="AX334" s="139"/>
      <c r="AY334" s="139"/>
      <c r="AZ334" s="139"/>
      <c r="BA334" s="139"/>
      <c r="BB334" s="139"/>
    </row>
    <row r="335">
      <c r="A335" s="28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39"/>
      <c r="BB335" s="139"/>
    </row>
    <row r="336">
      <c r="A336" s="28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/>
      <c r="AM336" s="139"/>
      <c r="AN336" s="139"/>
      <c r="AO336" s="139"/>
      <c r="AP336" s="139"/>
      <c r="AQ336" s="139"/>
      <c r="AR336" s="139"/>
      <c r="AS336" s="139"/>
      <c r="AT336" s="139"/>
      <c r="AU336" s="139"/>
      <c r="AV336" s="139"/>
      <c r="AW336" s="139"/>
      <c r="AX336" s="139"/>
      <c r="AY336" s="139"/>
      <c r="AZ336" s="139"/>
      <c r="BA336" s="139"/>
      <c r="BB336" s="139"/>
    </row>
    <row r="337">
      <c r="A337" s="28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9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39"/>
    </row>
    <row r="338">
      <c r="A338" s="28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</row>
    <row r="339">
      <c r="A339" s="28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9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</row>
    <row r="340">
      <c r="A340" s="28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</row>
    <row r="341">
      <c r="A341" s="28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39"/>
      <c r="AG341" s="139"/>
      <c r="AH341" s="139"/>
      <c r="AI341" s="139"/>
      <c r="AJ341" s="139"/>
      <c r="AK341" s="139"/>
      <c r="AL341" s="139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39"/>
    </row>
    <row r="342">
      <c r="A342" s="28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</row>
    <row r="343">
      <c r="A343" s="28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  <c r="AO343" s="139"/>
      <c r="AP343" s="139"/>
      <c r="AQ343" s="139"/>
      <c r="AR343" s="139"/>
      <c r="AS343" s="139"/>
      <c r="AT343" s="139"/>
      <c r="AU343" s="139"/>
      <c r="AV343" s="139"/>
      <c r="AW343" s="139"/>
      <c r="AX343" s="139"/>
      <c r="AY343" s="139"/>
      <c r="AZ343" s="139"/>
      <c r="BA343" s="139"/>
      <c r="BB343" s="139"/>
    </row>
    <row r="344">
      <c r="A344" s="28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/>
      <c r="AQ344" s="139"/>
      <c r="AR344" s="139"/>
      <c r="AS344" s="139"/>
      <c r="AT344" s="139"/>
      <c r="AU344" s="139"/>
      <c r="AV344" s="139"/>
      <c r="AW344" s="139"/>
      <c r="AX344" s="139"/>
      <c r="AY344" s="139"/>
      <c r="AZ344" s="139"/>
      <c r="BA344" s="139"/>
      <c r="BB344" s="139"/>
    </row>
    <row r="345">
      <c r="A345" s="28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</row>
    <row r="346">
      <c r="A346" s="28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</row>
    <row r="347">
      <c r="A347" s="28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  <c r="AO347" s="139"/>
      <c r="AP347" s="139"/>
      <c r="AQ347" s="139"/>
      <c r="AR347" s="139"/>
      <c r="AS347" s="139"/>
      <c r="AT347" s="139"/>
      <c r="AU347" s="139"/>
      <c r="AV347" s="139"/>
      <c r="AW347" s="139"/>
      <c r="AX347" s="139"/>
      <c r="AY347" s="139"/>
      <c r="AZ347" s="139"/>
      <c r="BA347" s="139"/>
      <c r="BB347" s="139"/>
    </row>
    <row r="348">
      <c r="A348" s="28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9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39"/>
    </row>
    <row r="349">
      <c r="A349" s="28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</row>
    <row r="350">
      <c r="A350" s="28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9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39"/>
    </row>
    <row r="351">
      <c r="A351" s="28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9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39"/>
    </row>
    <row r="352">
      <c r="A352" s="28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9"/>
      <c r="AM352" s="139"/>
      <c r="AN352" s="139"/>
      <c r="AO352" s="139"/>
      <c r="AP352" s="139"/>
      <c r="AQ352" s="139"/>
      <c r="AR352" s="139"/>
      <c r="AS352" s="139"/>
      <c r="AT352" s="139"/>
      <c r="AU352" s="139"/>
      <c r="AV352" s="139"/>
      <c r="AW352" s="139"/>
      <c r="AX352" s="139"/>
      <c r="AY352" s="139"/>
      <c r="AZ352" s="139"/>
      <c r="BA352" s="139"/>
      <c r="BB352" s="139"/>
    </row>
    <row r="353">
      <c r="A353" s="28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9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39"/>
    </row>
    <row r="354">
      <c r="A354" s="28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9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</row>
    <row r="355">
      <c r="A355" s="28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9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39"/>
    </row>
    <row r="356">
      <c r="A356" s="28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9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39"/>
    </row>
    <row r="357">
      <c r="A357" s="28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</row>
    <row r="358">
      <c r="A358" s="28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9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39"/>
    </row>
    <row r="359">
      <c r="A359" s="28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39"/>
      <c r="AG359" s="139"/>
      <c r="AH359" s="139"/>
      <c r="AI359" s="139"/>
      <c r="AJ359" s="139"/>
      <c r="AK359" s="139"/>
      <c r="AL359" s="139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39"/>
      <c r="BB359" s="139"/>
    </row>
    <row r="360">
      <c r="A360" s="28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  <c r="AK360" s="139"/>
      <c r="AL360" s="139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39"/>
    </row>
    <row r="361">
      <c r="A361" s="28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9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39"/>
    </row>
    <row r="362">
      <c r="A362" s="28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</row>
    <row r="363">
      <c r="A363" s="28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9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39"/>
    </row>
    <row r="364">
      <c r="A364" s="28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</row>
    <row r="365">
      <c r="A365" s="28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9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39"/>
    </row>
    <row r="366">
      <c r="A366" s="28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</row>
    <row r="367">
      <c r="A367" s="28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9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39"/>
    </row>
    <row r="368">
      <c r="A368" s="28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39"/>
    </row>
    <row r="369">
      <c r="A369" s="28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9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39"/>
    </row>
    <row r="370">
      <c r="A370" s="28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9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</row>
    <row r="371">
      <c r="A371" s="28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9"/>
      <c r="AM371" s="139"/>
      <c r="AN371" s="139"/>
      <c r="AO371" s="139"/>
      <c r="AP371" s="139"/>
      <c r="AQ371" s="139"/>
      <c r="AR371" s="139"/>
      <c r="AS371" s="139"/>
      <c r="AT371" s="139"/>
      <c r="AU371" s="139"/>
      <c r="AV371" s="139"/>
      <c r="AW371" s="139"/>
      <c r="AX371" s="139"/>
      <c r="AY371" s="139"/>
      <c r="AZ371" s="139"/>
      <c r="BA371" s="139"/>
      <c r="BB371" s="139"/>
    </row>
    <row r="372">
      <c r="A372" s="28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9"/>
      <c r="AO372" s="139"/>
      <c r="AP372" s="139"/>
      <c r="AQ372" s="139"/>
      <c r="AR372" s="139"/>
      <c r="AS372" s="139"/>
      <c r="AT372" s="139"/>
      <c r="AU372" s="139"/>
      <c r="AV372" s="139"/>
      <c r="AW372" s="139"/>
      <c r="AX372" s="139"/>
      <c r="AY372" s="139"/>
      <c r="AZ372" s="139"/>
      <c r="BA372" s="139"/>
      <c r="BB372" s="139"/>
    </row>
    <row r="373">
      <c r="A373" s="28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9"/>
      <c r="AO373" s="139"/>
      <c r="AP373" s="139"/>
      <c r="AQ373" s="139"/>
      <c r="AR373" s="139"/>
      <c r="AS373" s="139"/>
      <c r="AT373" s="139"/>
      <c r="AU373" s="139"/>
      <c r="AV373" s="139"/>
      <c r="AW373" s="139"/>
      <c r="AX373" s="139"/>
      <c r="AY373" s="139"/>
      <c r="AZ373" s="139"/>
      <c r="BA373" s="139"/>
      <c r="BB373" s="139"/>
    </row>
    <row r="374">
      <c r="A374" s="28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  <c r="AO374" s="139"/>
      <c r="AP374" s="139"/>
      <c r="AQ374" s="139"/>
      <c r="AR374" s="139"/>
      <c r="AS374" s="139"/>
      <c r="AT374" s="139"/>
      <c r="AU374" s="139"/>
      <c r="AV374" s="139"/>
      <c r="AW374" s="139"/>
      <c r="AX374" s="139"/>
      <c r="AY374" s="139"/>
      <c r="AZ374" s="139"/>
      <c r="BA374" s="139"/>
      <c r="BB374" s="139"/>
    </row>
    <row r="375">
      <c r="A375" s="28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9"/>
      <c r="AO375" s="139"/>
      <c r="AP375" s="139"/>
      <c r="AQ375" s="139"/>
      <c r="AR375" s="139"/>
      <c r="AS375" s="139"/>
      <c r="AT375" s="139"/>
      <c r="AU375" s="139"/>
      <c r="AV375" s="139"/>
      <c r="AW375" s="139"/>
      <c r="AX375" s="139"/>
      <c r="AY375" s="139"/>
      <c r="AZ375" s="139"/>
      <c r="BA375" s="139"/>
      <c r="BB375" s="139"/>
    </row>
    <row r="376">
      <c r="A376" s="28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  <c r="AO376" s="139"/>
      <c r="AP376" s="139"/>
      <c r="AQ376" s="139"/>
      <c r="AR376" s="139"/>
      <c r="AS376" s="139"/>
      <c r="AT376" s="139"/>
      <c r="AU376" s="139"/>
      <c r="AV376" s="139"/>
      <c r="AW376" s="139"/>
      <c r="AX376" s="139"/>
      <c r="AY376" s="139"/>
      <c r="AZ376" s="139"/>
      <c r="BA376" s="139"/>
      <c r="BB376" s="139"/>
    </row>
    <row r="377">
      <c r="A377" s="28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9"/>
      <c r="AO377" s="139"/>
      <c r="AP377" s="139"/>
      <c r="AQ377" s="139"/>
      <c r="AR377" s="139"/>
      <c r="AS377" s="139"/>
      <c r="AT377" s="139"/>
      <c r="AU377" s="139"/>
      <c r="AV377" s="139"/>
      <c r="AW377" s="139"/>
      <c r="AX377" s="139"/>
      <c r="AY377" s="139"/>
      <c r="AZ377" s="139"/>
      <c r="BA377" s="139"/>
      <c r="BB377" s="139"/>
    </row>
    <row r="378">
      <c r="A378" s="28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9"/>
      <c r="AO378" s="139"/>
      <c r="AP378" s="139"/>
      <c r="AQ378" s="139"/>
      <c r="AR378" s="139"/>
      <c r="AS378" s="139"/>
      <c r="AT378" s="139"/>
      <c r="AU378" s="139"/>
      <c r="AV378" s="139"/>
      <c r="AW378" s="139"/>
      <c r="AX378" s="139"/>
      <c r="AY378" s="139"/>
      <c r="AZ378" s="139"/>
      <c r="BA378" s="139"/>
      <c r="BB378" s="139"/>
    </row>
    <row r="379">
      <c r="A379" s="28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39"/>
      <c r="AD379" s="139"/>
      <c r="AE379" s="139"/>
      <c r="AF379" s="139"/>
      <c r="AG379" s="139"/>
      <c r="AH379" s="139"/>
      <c r="AI379" s="139"/>
      <c r="AJ379" s="139"/>
      <c r="AK379" s="139"/>
      <c r="AL379" s="139"/>
      <c r="AM379" s="139"/>
      <c r="AN379" s="139"/>
      <c r="AO379" s="139"/>
      <c r="AP379" s="139"/>
      <c r="AQ379" s="139"/>
      <c r="AR379" s="139"/>
      <c r="AS379" s="139"/>
      <c r="AT379" s="139"/>
      <c r="AU379" s="139"/>
      <c r="AV379" s="139"/>
      <c r="AW379" s="139"/>
      <c r="AX379" s="139"/>
      <c r="AY379" s="139"/>
      <c r="AZ379" s="139"/>
      <c r="BA379" s="139"/>
      <c r="BB379" s="139"/>
    </row>
    <row r="380">
      <c r="A380" s="28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9"/>
      <c r="AM380" s="139"/>
      <c r="AN380" s="139"/>
      <c r="AO380" s="139"/>
      <c r="AP380" s="139"/>
      <c r="AQ380" s="139"/>
      <c r="AR380" s="139"/>
      <c r="AS380" s="139"/>
      <c r="AT380" s="139"/>
      <c r="AU380" s="139"/>
      <c r="AV380" s="139"/>
      <c r="AW380" s="139"/>
      <c r="AX380" s="139"/>
      <c r="AY380" s="139"/>
      <c r="AZ380" s="139"/>
      <c r="BA380" s="139"/>
      <c r="BB380" s="139"/>
    </row>
    <row r="381">
      <c r="A381" s="28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9"/>
      <c r="AM381" s="139"/>
      <c r="AN381" s="139"/>
      <c r="AO381" s="139"/>
      <c r="AP381" s="139"/>
      <c r="AQ381" s="139"/>
      <c r="AR381" s="139"/>
      <c r="AS381" s="139"/>
      <c r="AT381" s="139"/>
      <c r="AU381" s="139"/>
      <c r="AV381" s="139"/>
      <c r="AW381" s="139"/>
      <c r="AX381" s="139"/>
      <c r="AY381" s="139"/>
      <c r="AZ381" s="139"/>
      <c r="BA381" s="139"/>
      <c r="BB381" s="139"/>
    </row>
    <row r="382">
      <c r="A382" s="28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9"/>
      <c r="AM382" s="139"/>
      <c r="AN382" s="139"/>
      <c r="AO382" s="139"/>
      <c r="AP382" s="139"/>
      <c r="AQ382" s="139"/>
      <c r="AR382" s="139"/>
      <c r="AS382" s="139"/>
      <c r="AT382" s="139"/>
      <c r="AU382" s="139"/>
      <c r="AV382" s="139"/>
      <c r="AW382" s="139"/>
      <c r="AX382" s="139"/>
      <c r="AY382" s="139"/>
      <c r="AZ382" s="139"/>
      <c r="BA382" s="139"/>
      <c r="BB382" s="139"/>
    </row>
    <row r="383">
      <c r="A383" s="28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9"/>
      <c r="AM383" s="139"/>
      <c r="AN383" s="139"/>
      <c r="AO383" s="139"/>
      <c r="AP383" s="139"/>
      <c r="AQ383" s="139"/>
      <c r="AR383" s="139"/>
      <c r="AS383" s="139"/>
      <c r="AT383" s="139"/>
      <c r="AU383" s="139"/>
      <c r="AV383" s="139"/>
      <c r="AW383" s="139"/>
      <c r="AX383" s="139"/>
      <c r="AY383" s="139"/>
      <c r="AZ383" s="139"/>
      <c r="BA383" s="139"/>
      <c r="BB383" s="139"/>
    </row>
    <row r="384">
      <c r="A384" s="28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  <c r="AW384" s="139"/>
      <c r="AX384" s="139"/>
      <c r="AY384" s="139"/>
      <c r="AZ384" s="139"/>
      <c r="BA384" s="139"/>
      <c r="BB384" s="139"/>
    </row>
    <row r="385">
      <c r="A385" s="28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  <c r="AO385" s="139"/>
      <c r="AP385" s="139"/>
      <c r="AQ385" s="139"/>
      <c r="AR385" s="139"/>
      <c r="AS385" s="139"/>
      <c r="AT385" s="139"/>
      <c r="AU385" s="139"/>
      <c r="AV385" s="139"/>
      <c r="AW385" s="139"/>
      <c r="AX385" s="139"/>
      <c r="AY385" s="139"/>
      <c r="AZ385" s="139"/>
      <c r="BA385" s="139"/>
      <c r="BB385" s="139"/>
    </row>
    <row r="386">
      <c r="A386" s="28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  <c r="AO386" s="139"/>
      <c r="AP386" s="139"/>
      <c r="AQ386" s="139"/>
      <c r="AR386" s="139"/>
      <c r="AS386" s="139"/>
      <c r="AT386" s="139"/>
      <c r="AU386" s="139"/>
      <c r="AV386" s="139"/>
      <c r="AW386" s="139"/>
      <c r="AX386" s="139"/>
      <c r="AY386" s="139"/>
      <c r="AZ386" s="139"/>
      <c r="BA386" s="139"/>
      <c r="BB386" s="139"/>
    </row>
    <row r="387">
      <c r="A387" s="28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39"/>
      <c r="AD387" s="139"/>
      <c r="AE387" s="139"/>
      <c r="AF387" s="139"/>
      <c r="AG387" s="139"/>
      <c r="AH387" s="139"/>
      <c r="AI387" s="139"/>
      <c r="AJ387" s="139"/>
      <c r="AK387" s="139"/>
      <c r="AL387" s="139"/>
      <c r="AM387" s="139"/>
      <c r="AN387" s="139"/>
      <c r="AO387" s="139"/>
      <c r="AP387" s="139"/>
      <c r="AQ387" s="139"/>
      <c r="AR387" s="139"/>
      <c r="AS387" s="139"/>
      <c r="AT387" s="139"/>
      <c r="AU387" s="139"/>
      <c r="AV387" s="139"/>
      <c r="AW387" s="139"/>
      <c r="AX387" s="139"/>
      <c r="AY387" s="139"/>
      <c r="AZ387" s="139"/>
      <c r="BA387" s="139"/>
      <c r="BB387" s="139"/>
    </row>
    <row r="388">
      <c r="A388" s="28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9"/>
      <c r="AM388" s="139"/>
      <c r="AN388" s="139"/>
      <c r="AO388" s="139"/>
      <c r="AP388" s="139"/>
      <c r="AQ388" s="139"/>
      <c r="AR388" s="139"/>
      <c r="AS388" s="139"/>
      <c r="AT388" s="139"/>
      <c r="AU388" s="139"/>
      <c r="AV388" s="139"/>
      <c r="AW388" s="139"/>
      <c r="AX388" s="139"/>
      <c r="AY388" s="139"/>
      <c r="AZ388" s="139"/>
      <c r="BA388" s="139"/>
      <c r="BB388" s="139"/>
    </row>
    <row r="389">
      <c r="A389" s="28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9"/>
      <c r="AM389" s="139"/>
      <c r="AN389" s="139"/>
      <c r="AO389" s="139"/>
      <c r="AP389" s="139"/>
      <c r="AQ389" s="139"/>
      <c r="AR389" s="139"/>
      <c r="AS389" s="139"/>
      <c r="AT389" s="139"/>
      <c r="AU389" s="139"/>
      <c r="AV389" s="139"/>
      <c r="AW389" s="139"/>
      <c r="AX389" s="139"/>
      <c r="AY389" s="139"/>
      <c r="AZ389" s="139"/>
      <c r="BA389" s="139"/>
      <c r="BB389" s="139"/>
    </row>
    <row r="390">
      <c r="A390" s="28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  <c r="AO390" s="139"/>
      <c r="AP390" s="139"/>
      <c r="AQ390" s="139"/>
      <c r="AR390" s="139"/>
      <c r="AS390" s="139"/>
      <c r="AT390" s="139"/>
      <c r="AU390" s="139"/>
      <c r="AV390" s="139"/>
      <c r="AW390" s="139"/>
      <c r="AX390" s="139"/>
      <c r="AY390" s="139"/>
      <c r="AZ390" s="139"/>
      <c r="BA390" s="139"/>
      <c r="BB390" s="139"/>
    </row>
    <row r="391">
      <c r="A391" s="28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9"/>
      <c r="AM391" s="139"/>
      <c r="AN391" s="139"/>
      <c r="AO391" s="139"/>
      <c r="AP391" s="139"/>
      <c r="AQ391" s="139"/>
      <c r="AR391" s="139"/>
      <c r="AS391" s="139"/>
      <c r="AT391" s="139"/>
      <c r="AU391" s="139"/>
      <c r="AV391" s="139"/>
      <c r="AW391" s="139"/>
      <c r="AX391" s="139"/>
      <c r="AY391" s="139"/>
      <c r="AZ391" s="139"/>
      <c r="BA391" s="139"/>
      <c r="BB391" s="139"/>
    </row>
    <row r="392">
      <c r="A392" s="28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39"/>
      <c r="BB392" s="139"/>
    </row>
    <row r="393">
      <c r="A393" s="28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  <c r="AW393" s="139"/>
      <c r="AX393" s="139"/>
      <c r="AY393" s="139"/>
      <c r="AZ393" s="139"/>
      <c r="BA393" s="139"/>
      <c r="BB393" s="139"/>
    </row>
    <row r="394">
      <c r="A394" s="28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39"/>
      <c r="BB394" s="139"/>
    </row>
    <row r="395">
      <c r="A395" s="28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39"/>
      <c r="AD395" s="139"/>
      <c r="AE395" s="139"/>
      <c r="AF395" s="139"/>
      <c r="AG395" s="139"/>
      <c r="AH395" s="139"/>
      <c r="AI395" s="139"/>
      <c r="AJ395" s="139"/>
      <c r="AK395" s="139"/>
      <c r="AL395" s="139"/>
      <c r="AM395" s="139"/>
      <c r="AN395" s="139"/>
      <c r="AO395" s="139"/>
      <c r="AP395" s="139"/>
      <c r="AQ395" s="139"/>
      <c r="AR395" s="139"/>
      <c r="AS395" s="139"/>
      <c r="AT395" s="139"/>
      <c r="AU395" s="139"/>
      <c r="AV395" s="139"/>
      <c r="AW395" s="139"/>
      <c r="AX395" s="139"/>
      <c r="AY395" s="139"/>
      <c r="AZ395" s="139"/>
      <c r="BA395" s="139"/>
      <c r="BB395" s="139"/>
    </row>
    <row r="396">
      <c r="A396" s="28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39"/>
      <c r="BB396" s="139"/>
    </row>
    <row r="397">
      <c r="A397" s="28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9"/>
      <c r="AM397" s="139"/>
      <c r="AN397" s="139"/>
      <c r="AO397" s="139"/>
      <c r="AP397" s="139"/>
      <c r="AQ397" s="139"/>
      <c r="AR397" s="139"/>
      <c r="AS397" s="139"/>
      <c r="AT397" s="139"/>
      <c r="AU397" s="139"/>
      <c r="AV397" s="139"/>
      <c r="AW397" s="139"/>
      <c r="AX397" s="139"/>
      <c r="AY397" s="139"/>
      <c r="AZ397" s="139"/>
      <c r="BA397" s="139"/>
      <c r="BB397" s="139"/>
    </row>
    <row r="398">
      <c r="A398" s="28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9"/>
      <c r="AM398" s="139"/>
      <c r="AN398" s="139"/>
      <c r="AO398" s="139"/>
      <c r="AP398" s="139"/>
      <c r="AQ398" s="139"/>
      <c r="AR398" s="139"/>
      <c r="AS398" s="139"/>
      <c r="AT398" s="139"/>
      <c r="AU398" s="139"/>
      <c r="AV398" s="139"/>
      <c r="AW398" s="139"/>
      <c r="AX398" s="139"/>
      <c r="AY398" s="139"/>
      <c r="AZ398" s="139"/>
      <c r="BA398" s="139"/>
      <c r="BB398" s="139"/>
    </row>
    <row r="399">
      <c r="A399" s="28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39"/>
      <c r="AE399" s="139"/>
      <c r="AF399" s="139"/>
      <c r="AG399" s="139"/>
      <c r="AH399" s="139"/>
      <c r="AI399" s="139"/>
      <c r="AJ399" s="139"/>
      <c r="AK399" s="139"/>
      <c r="AL399" s="139"/>
      <c r="AM399" s="139"/>
      <c r="AN399" s="139"/>
      <c r="AO399" s="139"/>
      <c r="AP399" s="139"/>
      <c r="AQ399" s="139"/>
      <c r="AR399" s="139"/>
      <c r="AS399" s="139"/>
      <c r="AT399" s="139"/>
      <c r="AU399" s="139"/>
      <c r="AV399" s="139"/>
      <c r="AW399" s="139"/>
      <c r="AX399" s="139"/>
      <c r="AY399" s="139"/>
      <c r="AZ399" s="139"/>
      <c r="BA399" s="139"/>
      <c r="BB399" s="139"/>
    </row>
    <row r="400">
      <c r="A400" s="28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  <c r="AW400" s="139"/>
      <c r="AX400" s="139"/>
      <c r="AY400" s="139"/>
      <c r="AZ400" s="139"/>
      <c r="BA400" s="139"/>
      <c r="BB400" s="139"/>
    </row>
    <row r="401">
      <c r="A401" s="28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9"/>
      <c r="AM401" s="139"/>
      <c r="AN401" s="139"/>
      <c r="AO401" s="139"/>
      <c r="AP401" s="139"/>
      <c r="AQ401" s="139"/>
      <c r="AR401" s="139"/>
      <c r="AS401" s="139"/>
      <c r="AT401" s="139"/>
      <c r="AU401" s="139"/>
      <c r="AV401" s="139"/>
      <c r="AW401" s="139"/>
      <c r="AX401" s="139"/>
      <c r="AY401" s="139"/>
      <c r="AZ401" s="139"/>
      <c r="BA401" s="139"/>
      <c r="BB401" s="139"/>
    </row>
    <row r="402">
      <c r="A402" s="28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9"/>
      <c r="AM402" s="139"/>
      <c r="AN402" s="139"/>
      <c r="AO402" s="139"/>
      <c r="AP402" s="139"/>
      <c r="AQ402" s="139"/>
      <c r="AR402" s="139"/>
      <c r="AS402" s="139"/>
      <c r="AT402" s="139"/>
      <c r="AU402" s="139"/>
      <c r="AV402" s="139"/>
      <c r="AW402" s="139"/>
      <c r="AX402" s="139"/>
      <c r="AY402" s="139"/>
      <c r="AZ402" s="139"/>
      <c r="BA402" s="139"/>
      <c r="BB402" s="139"/>
    </row>
    <row r="403">
      <c r="A403" s="28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39"/>
      <c r="AD403" s="139"/>
      <c r="AE403" s="139"/>
      <c r="AF403" s="139"/>
      <c r="AG403" s="139"/>
      <c r="AH403" s="139"/>
      <c r="AI403" s="139"/>
      <c r="AJ403" s="139"/>
      <c r="AK403" s="139"/>
      <c r="AL403" s="139"/>
      <c r="AM403" s="139"/>
      <c r="AN403" s="139"/>
      <c r="AO403" s="139"/>
      <c r="AP403" s="139"/>
      <c r="AQ403" s="139"/>
      <c r="AR403" s="139"/>
      <c r="AS403" s="139"/>
      <c r="AT403" s="139"/>
      <c r="AU403" s="139"/>
      <c r="AV403" s="139"/>
      <c r="AW403" s="139"/>
      <c r="AX403" s="139"/>
      <c r="AY403" s="139"/>
      <c r="AZ403" s="139"/>
      <c r="BA403" s="139"/>
      <c r="BB403" s="139"/>
    </row>
    <row r="404">
      <c r="A404" s="28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9"/>
      <c r="AM404" s="139"/>
      <c r="AN404" s="139"/>
      <c r="AO404" s="139"/>
      <c r="AP404" s="139"/>
      <c r="AQ404" s="139"/>
      <c r="AR404" s="139"/>
      <c r="AS404" s="139"/>
      <c r="AT404" s="139"/>
      <c r="AU404" s="139"/>
      <c r="AV404" s="139"/>
      <c r="AW404" s="139"/>
      <c r="AX404" s="139"/>
      <c r="AY404" s="139"/>
      <c r="AZ404" s="139"/>
      <c r="BA404" s="139"/>
      <c r="BB404" s="139"/>
    </row>
    <row r="405">
      <c r="A405" s="28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  <c r="AF405" s="139"/>
      <c r="AG405" s="139"/>
      <c r="AH405" s="139"/>
      <c r="AI405" s="139"/>
      <c r="AJ405" s="139"/>
      <c r="AK405" s="139"/>
      <c r="AL405" s="139"/>
      <c r="AM405" s="139"/>
      <c r="AN405" s="139"/>
      <c r="AO405" s="139"/>
      <c r="AP405" s="139"/>
      <c r="AQ405" s="139"/>
      <c r="AR405" s="139"/>
      <c r="AS405" s="139"/>
      <c r="AT405" s="139"/>
      <c r="AU405" s="139"/>
      <c r="AV405" s="139"/>
      <c r="AW405" s="139"/>
      <c r="AX405" s="139"/>
      <c r="AY405" s="139"/>
      <c r="AZ405" s="139"/>
      <c r="BA405" s="139"/>
      <c r="BB405" s="139"/>
    </row>
    <row r="406">
      <c r="A406" s="28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  <c r="AF406" s="139"/>
      <c r="AG406" s="139"/>
      <c r="AH406" s="139"/>
      <c r="AI406" s="139"/>
      <c r="AJ406" s="139"/>
      <c r="AK406" s="139"/>
      <c r="AL406" s="139"/>
      <c r="AM406" s="139"/>
      <c r="AN406" s="139"/>
      <c r="AO406" s="139"/>
      <c r="AP406" s="139"/>
      <c r="AQ406" s="139"/>
      <c r="AR406" s="139"/>
      <c r="AS406" s="139"/>
      <c r="AT406" s="139"/>
      <c r="AU406" s="139"/>
      <c r="AV406" s="139"/>
      <c r="AW406" s="139"/>
      <c r="AX406" s="139"/>
      <c r="AY406" s="139"/>
      <c r="AZ406" s="139"/>
      <c r="BA406" s="139"/>
      <c r="BB406" s="139"/>
    </row>
    <row r="407">
      <c r="A407" s="28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39"/>
      <c r="BB407" s="139"/>
    </row>
    <row r="408">
      <c r="A408" s="28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39"/>
      <c r="BB408" s="139"/>
    </row>
    <row r="409">
      <c r="A409" s="28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  <c r="AW409" s="139"/>
      <c r="AX409" s="139"/>
      <c r="AY409" s="139"/>
      <c r="AZ409" s="139"/>
      <c r="BA409" s="139"/>
      <c r="BB409" s="139"/>
    </row>
    <row r="410">
      <c r="A410" s="28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  <c r="AW410" s="139"/>
      <c r="AX410" s="139"/>
      <c r="AY410" s="139"/>
      <c r="AZ410" s="139"/>
      <c r="BA410" s="139"/>
      <c r="BB410" s="139"/>
    </row>
    <row r="411">
      <c r="A411" s="28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9"/>
      <c r="AM411" s="139"/>
      <c r="AN411" s="139"/>
      <c r="AO411" s="139"/>
      <c r="AP411" s="139"/>
      <c r="AQ411" s="139"/>
      <c r="AR411" s="139"/>
      <c r="AS411" s="139"/>
      <c r="AT411" s="139"/>
      <c r="AU411" s="139"/>
      <c r="AV411" s="139"/>
      <c r="AW411" s="139"/>
      <c r="AX411" s="139"/>
      <c r="AY411" s="139"/>
      <c r="AZ411" s="139"/>
      <c r="BA411" s="139"/>
      <c r="BB411" s="139"/>
    </row>
    <row r="412">
      <c r="A412" s="28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9"/>
      <c r="AM412" s="139"/>
      <c r="AN412" s="139"/>
      <c r="AO412" s="139"/>
      <c r="AP412" s="139"/>
      <c r="AQ412" s="139"/>
      <c r="AR412" s="139"/>
      <c r="AS412" s="139"/>
      <c r="AT412" s="139"/>
      <c r="AU412" s="139"/>
      <c r="AV412" s="139"/>
      <c r="AW412" s="139"/>
      <c r="AX412" s="139"/>
      <c r="AY412" s="139"/>
      <c r="AZ412" s="139"/>
      <c r="BA412" s="139"/>
      <c r="BB412" s="139"/>
    </row>
    <row r="413">
      <c r="A413" s="28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  <c r="AW413" s="139"/>
      <c r="AX413" s="139"/>
      <c r="AY413" s="139"/>
      <c r="AZ413" s="139"/>
      <c r="BA413" s="139"/>
      <c r="BB413" s="139"/>
    </row>
    <row r="414">
      <c r="A414" s="28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9"/>
      <c r="AM414" s="139"/>
      <c r="AN414" s="139"/>
      <c r="AO414" s="139"/>
      <c r="AP414" s="139"/>
      <c r="AQ414" s="139"/>
      <c r="AR414" s="139"/>
      <c r="AS414" s="139"/>
      <c r="AT414" s="139"/>
      <c r="AU414" s="139"/>
      <c r="AV414" s="139"/>
      <c r="AW414" s="139"/>
      <c r="AX414" s="139"/>
      <c r="AY414" s="139"/>
      <c r="AZ414" s="139"/>
      <c r="BA414" s="139"/>
      <c r="BB414" s="139"/>
    </row>
    <row r="415">
      <c r="A415" s="28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9"/>
      <c r="AM415" s="139"/>
      <c r="AN415" s="139"/>
      <c r="AO415" s="139"/>
      <c r="AP415" s="139"/>
      <c r="AQ415" s="139"/>
      <c r="AR415" s="139"/>
      <c r="AS415" s="139"/>
      <c r="AT415" s="139"/>
      <c r="AU415" s="139"/>
      <c r="AV415" s="139"/>
      <c r="AW415" s="139"/>
      <c r="AX415" s="139"/>
      <c r="AY415" s="139"/>
      <c r="AZ415" s="139"/>
      <c r="BA415" s="139"/>
      <c r="BB415" s="139"/>
    </row>
    <row r="416">
      <c r="A416" s="28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  <c r="AW416" s="139"/>
      <c r="AX416" s="139"/>
      <c r="AY416" s="139"/>
      <c r="AZ416" s="139"/>
      <c r="BA416" s="139"/>
      <c r="BB416" s="139"/>
    </row>
    <row r="417">
      <c r="A417" s="28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39"/>
      <c r="BB417" s="139"/>
    </row>
    <row r="418">
      <c r="A418" s="28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39"/>
      <c r="AD418" s="139"/>
      <c r="AE418" s="139"/>
      <c r="AF418" s="139"/>
      <c r="AG418" s="139"/>
      <c r="AH418" s="139"/>
      <c r="AI418" s="139"/>
      <c r="AJ418" s="139"/>
      <c r="AK418" s="139"/>
      <c r="AL418" s="139"/>
      <c r="AM418" s="139"/>
      <c r="AN418" s="139"/>
      <c r="AO418" s="139"/>
      <c r="AP418" s="139"/>
      <c r="AQ418" s="139"/>
      <c r="AR418" s="139"/>
      <c r="AS418" s="139"/>
      <c r="AT418" s="139"/>
      <c r="AU418" s="139"/>
      <c r="AV418" s="139"/>
      <c r="AW418" s="139"/>
      <c r="AX418" s="139"/>
      <c r="AY418" s="139"/>
      <c r="AZ418" s="139"/>
      <c r="BA418" s="139"/>
      <c r="BB418" s="139"/>
    </row>
    <row r="419">
      <c r="A419" s="28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39"/>
      <c r="BB419" s="139"/>
    </row>
    <row r="420">
      <c r="A420" s="28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9"/>
      <c r="AM420" s="139"/>
      <c r="AN420" s="139"/>
      <c r="AO420" s="139"/>
      <c r="AP420" s="139"/>
      <c r="AQ420" s="139"/>
      <c r="AR420" s="139"/>
      <c r="AS420" s="139"/>
      <c r="AT420" s="139"/>
      <c r="AU420" s="139"/>
      <c r="AV420" s="139"/>
      <c r="AW420" s="139"/>
      <c r="AX420" s="139"/>
      <c r="AY420" s="139"/>
      <c r="AZ420" s="139"/>
      <c r="BA420" s="139"/>
      <c r="BB420" s="139"/>
    </row>
    <row r="421">
      <c r="A421" s="28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39"/>
      <c r="BB421" s="139"/>
    </row>
    <row r="422">
      <c r="A422" s="28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9"/>
      <c r="AM422" s="139"/>
      <c r="AN422" s="139"/>
      <c r="AO422" s="139"/>
      <c r="AP422" s="139"/>
      <c r="AQ422" s="139"/>
      <c r="AR422" s="139"/>
      <c r="AS422" s="139"/>
      <c r="AT422" s="139"/>
      <c r="AU422" s="139"/>
      <c r="AV422" s="139"/>
      <c r="AW422" s="139"/>
      <c r="AX422" s="139"/>
      <c r="AY422" s="139"/>
      <c r="AZ422" s="139"/>
      <c r="BA422" s="139"/>
      <c r="BB422" s="139"/>
    </row>
    <row r="423">
      <c r="A423" s="28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39"/>
      <c r="BB423" s="139"/>
    </row>
    <row r="424">
      <c r="A424" s="28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9"/>
      <c r="AM424" s="139"/>
      <c r="AN424" s="139"/>
      <c r="AO424" s="139"/>
      <c r="AP424" s="139"/>
      <c r="AQ424" s="139"/>
      <c r="AR424" s="139"/>
      <c r="AS424" s="139"/>
      <c r="AT424" s="139"/>
      <c r="AU424" s="139"/>
      <c r="AV424" s="139"/>
      <c r="AW424" s="139"/>
      <c r="AX424" s="139"/>
      <c r="AY424" s="139"/>
      <c r="AZ424" s="139"/>
      <c r="BA424" s="139"/>
      <c r="BB424" s="139"/>
    </row>
    <row r="425">
      <c r="A425" s="28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9"/>
      <c r="AM425" s="139"/>
      <c r="AN425" s="139"/>
      <c r="AO425" s="139"/>
      <c r="AP425" s="139"/>
      <c r="AQ425" s="139"/>
      <c r="AR425" s="139"/>
      <c r="AS425" s="139"/>
      <c r="AT425" s="139"/>
      <c r="AU425" s="139"/>
      <c r="AV425" s="139"/>
      <c r="AW425" s="139"/>
      <c r="AX425" s="139"/>
      <c r="AY425" s="139"/>
      <c r="AZ425" s="139"/>
      <c r="BA425" s="139"/>
      <c r="BB425" s="139"/>
    </row>
    <row r="426">
      <c r="A426" s="28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9"/>
      <c r="AM426" s="139"/>
      <c r="AN426" s="139"/>
      <c r="AO426" s="139"/>
      <c r="AP426" s="139"/>
      <c r="AQ426" s="139"/>
      <c r="AR426" s="139"/>
      <c r="AS426" s="139"/>
      <c r="AT426" s="139"/>
      <c r="AU426" s="139"/>
      <c r="AV426" s="139"/>
      <c r="AW426" s="139"/>
      <c r="AX426" s="139"/>
      <c r="AY426" s="139"/>
      <c r="AZ426" s="139"/>
      <c r="BA426" s="139"/>
      <c r="BB426" s="139"/>
    </row>
    <row r="427">
      <c r="A427" s="28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9"/>
      <c r="AM427" s="139"/>
      <c r="AN427" s="139"/>
      <c r="AO427" s="139"/>
      <c r="AP427" s="139"/>
      <c r="AQ427" s="139"/>
      <c r="AR427" s="139"/>
      <c r="AS427" s="139"/>
      <c r="AT427" s="139"/>
      <c r="AU427" s="139"/>
      <c r="AV427" s="139"/>
      <c r="AW427" s="139"/>
      <c r="AX427" s="139"/>
      <c r="AY427" s="139"/>
      <c r="AZ427" s="139"/>
      <c r="BA427" s="139"/>
      <c r="BB427" s="139"/>
    </row>
    <row r="428">
      <c r="A428" s="28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39"/>
      <c r="AD428" s="139"/>
      <c r="AE428" s="139"/>
      <c r="AF428" s="139"/>
      <c r="AG428" s="139"/>
      <c r="AH428" s="139"/>
      <c r="AI428" s="139"/>
      <c r="AJ428" s="139"/>
      <c r="AK428" s="139"/>
      <c r="AL428" s="139"/>
      <c r="AM428" s="139"/>
      <c r="AN428" s="139"/>
      <c r="AO428" s="139"/>
      <c r="AP428" s="139"/>
      <c r="AQ428" s="139"/>
      <c r="AR428" s="139"/>
      <c r="AS428" s="139"/>
      <c r="AT428" s="139"/>
      <c r="AU428" s="139"/>
      <c r="AV428" s="139"/>
      <c r="AW428" s="139"/>
      <c r="AX428" s="139"/>
      <c r="AY428" s="139"/>
      <c r="AZ428" s="139"/>
      <c r="BA428" s="139"/>
      <c r="BB428" s="139"/>
    </row>
    <row r="429">
      <c r="A429" s="28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39"/>
      <c r="BB429" s="139"/>
    </row>
    <row r="430">
      <c r="A430" s="28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9"/>
      <c r="AM430" s="139"/>
      <c r="AN430" s="139"/>
      <c r="AO430" s="139"/>
      <c r="AP430" s="139"/>
      <c r="AQ430" s="139"/>
      <c r="AR430" s="139"/>
      <c r="AS430" s="139"/>
      <c r="AT430" s="139"/>
      <c r="AU430" s="139"/>
      <c r="AV430" s="139"/>
      <c r="AW430" s="139"/>
      <c r="AX430" s="139"/>
      <c r="AY430" s="139"/>
      <c r="AZ430" s="139"/>
      <c r="BA430" s="139"/>
      <c r="BB430" s="139"/>
    </row>
    <row r="431">
      <c r="A431" s="28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9"/>
      <c r="AM431" s="139"/>
      <c r="AN431" s="139"/>
      <c r="AO431" s="139"/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39"/>
      <c r="BB431" s="139"/>
    </row>
    <row r="432">
      <c r="A432" s="28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39"/>
      <c r="AD432" s="139"/>
      <c r="AE432" s="139"/>
      <c r="AF432" s="139"/>
      <c r="AG432" s="139"/>
      <c r="AH432" s="139"/>
      <c r="AI432" s="139"/>
      <c r="AJ432" s="139"/>
      <c r="AK432" s="139"/>
      <c r="AL432" s="139"/>
      <c r="AM432" s="139"/>
      <c r="AN432" s="139"/>
      <c r="AO432" s="139"/>
      <c r="AP432" s="139"/>
      <c r="AQ432" s="139"/>
      <c r="AR432" s="139"/>
      <c r="AS432" s="139"/>
      <c r="AT432" s="139"/>
      <c r="AU432" s="139"/>
      <c r="AV432" s="139"/>
      <c r="AW432" s="139"/>
      <c r="AX432" s="139"/>
      <c r="AY432" s="139"/>
      <c r="AZ432" s="139"/>
      <c r="BA432" s="139"/>
      <c r="BB432" s="139"/>
    </row>
    <row r="433">
      <c r="A433" s="28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/>
      <c r="AD433" s="139"/>
      <c r="AE433" s="139"/>
      <c r="AF433" s="139"/>
      <c r="AG433" s="139"/>
      <c r="AH433" s="139"/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39"/>
      <c r="BB433" s="139"/>
    </row>
    <row r="434">
      <c r="A434" s="28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39"/>
      <c r="AD434" s="139"/>
      <c r="AE434" s="139"/>
      <c r="AF434" s="139"/>
      <c r="AG434" s="139"/>
      <c r="AH434" s="139"/>
      <c r="AI434" s="139"/>
      <c r="AJ434" s="139"/>
      <c r="AK434" s="139"/>
      <c r="AL434" s="139"/>
      <c r="AM434" s="139"/>
      <c r="AN434" s="139"/>
      <c r="AO434" s="139"/>
      <c r="AP434" s="139"/>
      <c r="AQ434" s="139"/>
      <c r="AR434" s="139"/>
      <c r="AS434" s="139"/>
      <c r="AT434" s="139"/>
      <c r="AU434" s="139"/>
      <c r="AV434" s="139"/>
      <c r="AW434" s="139"/>
      <c r="AX434" s="139"/>
      <c r="AY434" s="139"/>
      <c r="AZ434" s="139"/>
      <c r="BA434" s="139"/>
      <c r="BB434" s="139"/>
    </row>
    <row r="435">
      <c r="A435" s="28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39"/>
      <c r="BB435" s="139"/>
    </row>
    <row r="436">
      <c r="A436" s="28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9"/>
      <c r="AM436" s="139"/>
      <c r="AN436" s="139"/>
      <c r="AO436" s="139"/>
      <c r="AP436" s="139"/>
      <c r="AQ436" s="139"/>
      <c r="AR436" s="139"/>
      <c r="AS436" s="139"/>
      <c r="AT436" s="139"/>
      <c r="AU436" s="139"/>
      <c r="AV436" s="139"/>
      <c r="AW436" s="139"/>
      <c r="AX436" s="139"/>
      <c r="AY436" s="139"/>
      <c r="AZ436" s="139"/>
      <c r="BA436" s="139"/>
      <c r="BB436" s="139"/>
    </row>
    <row r="437">
      <c r="A437" s="28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9"/>
      <c r="AM437" s="139"/>
      <c r="AN437" s="139"/>
      <c r="AO437" s="139"/>
      <c r="AP437" s="139"/>
      <c r="AQ437" s="139"/>
      <c r="AR437" s="139"/>
      <c r="AS437" s="139"/>
      <c r="AT437" s="139"/>
      <c r="AU437" s="139"/>
      <c r="AV437" s="139"/>
      <c r="AW437" s="139"/>
      <c r="AX437" s="139"/>
      <c r="AY437" s="139"/>
      <c r="AZ437" s="139"/>
      <c r="BA437" s="139"/>
      <c r="BB437" s="139"/>
    </row>
    <row r="438">
      <c r="A438" s="28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  <c r="AW438" s="139"/>
      <c r="AX438" s="139"/>
      <c r="AY438" s="139"/>
      <c r="AZ438" s="139"/>
      <c r="BA438" s="139"/>
      <c r="BB438" s="139"/>
    </row>
    <row r="439">
      <c r="A439" s="28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9"/>
      <c r="AM439" s="139"/>
      <c r="AN439" s="139"/>
      <c r="AO439" s="139"/>
      <c r="AP439" s="139"/>
      <c r="AQ439" s="139"/>
      <c r="AR439" s="139"/>
      <c r="AS439" s="139"/>
      <c r="AT439" s="139"/>
      <c r="AU439" s="139"/>
      <c r="AV439" s="139"/>
      <c r="AW439" s="139"/>
      <c r="AX439" s="139"/>
      <c r="AY439" s="139"/>
      <c r="AZ439" s="139"/>
      <c r="BA439" s="139"/>
      <c r="BB439" s="139"/>
    </row>
    <row r="440">
      <c r="A440" s="28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39"/>
      <c r="BB440" s="139"/>
    </row>
    <row r="441">
      <c r="A441" s="28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  <c r="AW441" s="139"/>
      <c r="AX441" s="139"/>
      <c r="AY441" s="139"/>
      <c r="AZ441" s="139"/>
      <c r="BA441" s="139"/>
      <c r="BB441" s="139"/>
    </row>
    <row r="442">
      <c r="A442" s="28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39"/>
      <c r="AD442" s="139"/>
      <c r="AE442" s="139"/>
      <c r="AF442" s="139"/>
      <c r="AG442" s="139"/>
      <c r="AH442" s="139"/>
      <c r="AI442" s="139"/>
      <c r="AJ442" s="139"/>
      <c r="AK442" s="139"/>
      <c r="AL442" s="139"/>
      <c r="AM442" s="139"/>
      <c r="AN442" s="139"/>
      <c r="AO442" s="139"/>
      <c r="AP442" s="139"/>
      <c r="AQ442" s="139"/>
      <c r="AR442" s="139"/>
      <c r="AS442" s="139"/>
      <c r="AT442" s="139"/>
      <c r="AU442" s="139"/>
      <c r="AV442" s="139"/>
      <c r="AW442" s="139"/>
      <c r="AX442" s="139"/>
      <c r="AY442" s="139"/>
      <c r="AZ442" s="139"/>
      <c r="BA442" s="139"/>
      <c r="BB442" s="139"/>
    </row>
    <row r="443">
      <c r="A443" s="28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  <c r="AK443" s="139"/>
      <c r="AL443" s="139"/>
      <c r="AM443" s="139"/>
      <c r="AN443" s="139"/>
      <c r="AO443" s="139"/>
      <c r="AP443" s="139"/>
      <c r="AQ443" s="139"/>
      <c r="AR443" s="139"/>
      <c r="AS443" s="139"/>
      <c r="AT443" s="139"/>
      <c r="AU443" s="139"/>
      <c r="AV443" s="139"/>
      <c r="AW443" s="139"/>
      <c r="AX443" s="139"/>
      <c r="AY443" s="139"/>
      <c r="AZ443" s="139"/>
      <c r="BA443" s="139"/>
      <c r="BB443" s="139"/>
    </row>
    <row r="444">
      <c r="A444" s="28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39"/>
      <c r="AD444" s="139"/>
      <c r="AE444" s="139"/>
      <c r="AF444" s="139"/>
      <c r="AG444" s="139"/>
      <c r="AH444" s="139"/>
      <c r="AI444" s="139"/>
      <c r="AJ444" s="139"/>
      <c r="AK444" s="139"/>
      <c r="AL444" s="139"/>
      <c r="AM444" s="139"/>
      <c r="AN444" s="139"/>
      <c r="AO444" s="139"/>
      <c r="AP444" s="139"/>
      <c r="AQ444" s="139"/>
      <c r="AR444" s="139"/>
      <c r="AS444" s="139"/>
      <c r="AT444" s="139"/>
      <c r="AU444" s="139"/>
      <c r="AV444" s="139"/>
      <c r="AW444" s="139"/>
      <c r="AX444" s="139"/>
      <c r="AY444" s="139"/>
      <c r="AZ444" s="139"/>
      <c r="BA444" s="139"/>
      <c r="BB444" s="139"/>
    </row>
    <row r="445">
      <c r="A445" s="28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9"/>
      <c r="AM445" s="139"/>
      <c r="AN445" s="139"/>
      <c r="AO445" s="139"/>
      <c r="AP445" s="139"/>
      <c r="AQ445" s="139"/>
      <c r="AR445" s="139"/>
      <c r="AS445" s="139"/>
      <c r="AT445" s="139"/>
      <c r="AU445" s="139"/>
      <c r="AV445" s="139"/>
      <c r="AW445" s="139"/>
      <c r="AX445" s="139"/>
      <c r="AY445" s="139"/>
      <c r="AZ445" s="139"/>
      <c r="BA445" s="139"/>
      <c r="BB445" s="139"/>
    </row>
    <row r="446">
      <c r="A446" s="28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  <c r="AW446" s="139"/>
      <c r="AX446" s="139"/>
      <c r="AY446" s="139"/>
      <c r="AZ446" s="139"/>
      <c r="BA446" s="139"/>
      <c r="BB446" s="139"/>
    </row>
    <row r="447">
      <c r="A447" s="28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9"/>
      <c r="AM447" s="139"/>
      <c r="AN447" s="139"/>
      <c r="AO447" s="139"/>
      <c r="AP447" s="139"/>
      <c r="AQ447" s="139"/>
      <c r="AR447" s="139"/>
      <c r="AS447" s="139"/>
      <c r="AT447" s="139"/>
      <c r="AU447" s="139"/>
      <c r="AV447" s="139"/>
      <c r="AW447" s="139"/>
      <c r="AX447" s="139"/>
      <c r="AY447" s="139"/>
      <c r="AZ447" s="139"/>
      <c r="BA447" s="139"/>
      <c r="BB447" s="139"/>
    </row>
    <row r="448">
      <c r="A448" s="28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39"/>
      <c r="BB448" s="139"/>
    </row>
    <row r="449">
      <c r="A449" s="28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/>
      <c r="AM449" s="139"/>
      <c r="AN449" s="139"/>
      <c r="AO449" s="139"/>
      <c r="AP449" s="139"/>
      <c r="AQ449" s="139"/>
      <c r="AR449" s="139"/>
      <c r="AS449" s="139"/>
      <c r="AT449" s="139"/>
      <c r="AU449" s="139"/>
      <c r="AV449" s="139"/>
      <c r="AW449" s="139"/>
      <c r="AX449" s="139"/>
      <c r="AY449" s="139"/>
      <c r="AZ449" s="139"/>
      <c r="BA449" s="139"/>
      <c r="BB449" s="139"/>
    </row>
    <row r="450">
      <c r="A450" s="28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  <c r="AW450" s="139"/>
      <c r="AX450" s="139"/>
      <c r="AY450" s="139"/>
      <c r="AZ450" s="139"/>
      <c r="BA450" s="139"/>
      <c r="BB450" s="139"/>
    </row>
    <row r="451">
      <c r="A451" s="28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9"/>
      <c r="AM451" s="139"/>
      <c r="AN451" s="139"/>
      <c r="AO451" s="139"/>
      <c r="AP451" s="139"/>
      <c r="AQ451" s="139"/>
      <c r="AR451" s="139"/>
      <c r="AS451" s="139"/>
      <c r="AT451" s="139"/>
      <c r="AU451" s="139"/>
      <c r="AV451" s="139"/>
      <c r="AW451" s="139"/>
      <c r="AX451" s="139"/>
      <c r="AY451" s="139"/>
      <c r="AZ451" s="139"/>
      <c r="BA451" s="139"/>
      <c r="BB451" s="139"/>
    </row>
    <row r="452">
      <c r="A452" s="28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39"/>
      <c r="AD452" s="139"/>
      <c r="AE452" s="139"/>
      <c r="AF452" s="139"/>
      <c r="AG452" s="139"/>
      <c r="AH452" s="139"/>
      <c r="AI452" s="139"/>
      <c r="AJ452" s="139"/>
      <c r="AK452" s="139"/>
      <c r="AL452" s="139"/>
      <c r="AM452" s="139"/>
      <c r="AN452" s="139"/>
      <c r="AO452" s="139"/>
      <c r="AP452" s="139"/>
      <c r="AQ452" s="139"/>
      <c r="AR452" s="139"/>
      <c r="AS452" s="139"/>
      <c r="AT452" s="139"/>
      <c r="AU452" s="139"/>
      <c r="AV452" s="139"/>
      <c r="AW452" s="139"/>
      <c r="AX452" s="139"/>
      <c r="AY452" s="139"/>
      <c r="AZ452" s="139"/>
      <c r="BA452" s="139"/>
      <c r="BB452" s="139"/>
    </row>
    <row r="453">
      <c r="A453" s="28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  <c r="AK453" s="139"/>
      <c r="AL453" s="139"/>
      <c r="AM453" s="139"/>
      <c r="AN453" s="139"/>
      <c r="AO453" s="139"/>
      <c r="AP453" s="139"/>
      <c r="AQ453" s="139"/>
      <c r="AR453" s="139"/>
      <c r="AS453" s="139"/>
      <c r="AT453" s="139"/>
      <c r="AU453" s="139"/>
      <c r="AV453" s="139"/>
      <c r="AW453" s="139"/>
      <c r="AX453" s="139"/>
      <c r="AY453" s="139"/>
      <c r="AZ453" s="139"/>
      <c r="BA453" s="139"/>
      <c r="BB453" s="139"/>
    </row>
    <row r="454">
      <c r="A454" s="28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39"/>
      <c r="AD454" s="139"/>
      <c r="AE454" s="139"/>
      <c r="AF454" s="139"/>
      <c r="AG454" s="139"/>
      <c r="AH454" s="139"/>
      <c r="AI454" s="139"/>
      <c r="AJ454" s="139"/>
      <c r="AK454" s="139"/>
      <c r="AL454" s="139"/>
      <c r="AM454" s="139"/>
      <c r="AN454" s="139"/>
      <c r="AO454" s="139"/>
      <c r="AP454" s="139"/>
      <c r="AQ454" s="139"/>
      <c r="AR454" s="139"/>
      <c r="AS454" s="139"/>
      <c r="AT454" s="139"/>
      <c r="AU454" s="139"/>
      <c r="AV454" s="139"/>
      <c r="AW454" s="139"/>
      <c r="AX454" s="139"/>
      <c r="AY454" s="139"/>
      <c r="AZ454" s="139"/>
      <c r="BA454" s="139"/>
      <c r="BB454" s="139"/>
    </row>
    <row r="455">
      <c r="A455" s="28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  <c r="AK455" s="139"/>
      <c r="AL455" s="139"/>
      <c r="AM455" s="139"/>
      <c r="AN455" s="139"/>
      <c r="AO455" s="139"/>
      <c r="AP455" s="139"/>
      <c r="AQ455" s="139"/>
      <c r="AR455" s="139"/>
      <c r="AS455" s="139"/>
      <c r="AT455" s="139"/>
      <c r="AU455" s="139"/>
      <c r="AV455" s="139"/>
      <c r="AW455" s="139"/>
      <c r="AX455" s="139"/>
      <c r="AY455" s="139"/>
      <c r="AZ455" s="139"/>
      <c r="BA455" s="139"/>
      <c r="BB455" s="139"/>
    </row>
    <row r="456">
      <c r="A456" s="28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39"/>
      <c r="AD456" s="139"/>
      <c r="AE456" s="139"/>
      <c r="AF456" s="139"/>
      <c r="AG456" s="139"/>
      <c r="AH456" s="139"/>
      <c r="AI456" s="139"/>
      <c r="AJ456" s="139"/>
      <c r="AK456" s="139"/>
      <c r="AL456" s="139"/>
      <c r="AM456" s="139"/>
      <c r="AN456" s="139"/>
      <c r="AO456" s="139"/>
      <c r="AP456" s="139"/>
      <c r="AQ456" s="139"/>
      <c r="AR456" s="139"/>
      <c r="AS456" s="139"/>
      <c r="AT456" s="139"/>
      <c r="AU456" s="139"/>
      <c r="AV456" s="139"/>
      <c r="AW456" s="139"/>
      <c r="AX456" s="139"/>
      <c r="AY456" s="139"/>
      <c r="AZ456" s="139"/>
      <c r="BA456" s="139"/>
      <c r="BB456" s="139"/>
    </row>
    <row r="457">
      <c r="A457" s="28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9"/>
      <c r="AM457" s="139"/>
      <c r="AN457" s="139"/>
      <c r="AO457" s="139"/>
      <c r="AP457" s="139"/>
      <c r="AQ457" s="139"/>
      <c r="AR457" s="139"/>
      <c r="AS457" s="139"/>
      <c r="AT457" s="139"/>
      <c r="AU457" s="139"/>
      <c r="AV457" s="139"/>
      <c r="AW457" s="139"/>
      <c r="AX457" s="139"/>
      <c r="AY457" s="139"/>
      <c r="AZ457" s="139"/>
      <c r="BA457" s="139"/>
      <c r="BB457" s="139"/>
    </row>
    <row r="458">
      <c r="A458" s="28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  <c r="AW458" s="139"/>
      <c r="AX458" s="139"/>
      <c r="AY458" s="139"/>
      <c r="AZ458" s="139"/>
      <c r="BA458" s="139"/>
      <c r="BB458" s="139"/>
    </row>
    <row r="459">
      <c r="A459" s="28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/>
      <c r="AM459" s="139"/>
      <c r="AN459" s="139"/>
      <c r="AO459" s="139"/>
      <c r="AP459" s="139"/>
      <c r="AQ459" s="139"/>
      <c r="AR459" s="139"/>
      <c r="AS459" s="139"/>
      <c r="AT459" s="139"/>
      <c r="AU459" s="139"/>
      <c r="AV459" s="139"/>
      <c r="AW459" s="139"/>
      <c r="AX459" s="139"/>
      <c r="AY459" s="139"/>
      <c r="AZ459" s="139"/>
      <c r="BA459" s="139"/>
      <c r="BB459" s="139"/>
    </row>
    <row r="460">
      <c r="A460" s="28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39"/>
      <c r="AD460" s="139"/>
      <c r="AE460" s="139"/>
      <c r="AF460" s="139"/>
      <c r="AG460" s="139"/>
      <c r="AH460" s="139"/>
      <c r="AI460" s="139"/>
      <c r="AJ460" s="139"/>
      <c r="AK460" s="139"/>
      <c r="AL460" s="139"/>
      <c r="AM460" s="139"/>
      <c r="AN460" s="139"/>
      <c r="AO460" s="139"/>
      <c r="AP460" s="139"/>
      <c r="AQ460" s="139"/>
      <c r="AR460" s="139"/>
      <c r="AS460" s="139"/>
      <c r="AT460" s="139"/>
      <c r="AU460" s="139"/>
      <c r="AV460" s="139"/>
      <c r="AW460" s="139"/>
      <c r="AX460" s="139"/>
      <c r="AY460" s="139"/>
      <c r="AZ460" s="139"/>
      <c r="BA460" s="139"/>
      <c r="BB460" s="139"/>
    </row>
    <row r="461">
      <c r="A461" s="28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  <c r="AO461" s="139"/>
      <c r="AP461" s="139"/>
      <c r="AQ461" s="139"/>
      <c r="AR461" s="139"/>
      <c r="AS461" s="139"/>
      <c r="AT461" s="139"/>
      <c r="AU461" s="139"/>
      <c r="AV461" s="139"/>
      <c r="AW461" s="139"/>
      <c r="AX461" s="139"/>
      <c r="AY461" s="139"/>
      <c r="AZ461" s="139"/>
      <c r="BA461" s="139"/>
      <c r="BB461" s="139"/>
    </row>
    <row r="462">
      <c r="A462" s="28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  <c r="AO462" s="139"/>
      <c r="AP462" s="139"/>
      <c r="AQ462" s="139"/>
      <c r="AR462" s="139"/>
      <c r="AS462" s="139"/>
      <c r="AT462" s="139"/>
      <c r="AU462" s="139"/>
      <c r="AV462" s="139"/>
      <c r="AW462" s="139"/>
      <c r="AX462" s="139"/>
      <c r="AY462" s="139"/>
      <c r="AZ462" s="139"/>
      <c r="BA462" s="139"/>
      <c r="BB462" s="139"/>
    </row>
    <row r="463">
      <c r="A463" s="28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39"/>
      <c r="BB463" s="139"/>
    </row>
    <row r="464">
      <c r="A464" s="28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9"/>
      <c r="AM464" s="139"/>
      <c r="AN464" s="139"/>
      <c r="AO464" s="139"/>
      <c r="AP464" s="139"/>
      <c r="AQ464" s="139"/>
      <c r="AR464" s="139"/>
      <c r="AS464" s="139"/>
      <c r="AT464" s="139"/>
      <c r="AU464" s="139"/>
      <c r="AV464" s="139"/>
      <c r="AW464" s="139"/>
      <c r="AX464" s="139"/>
      <c r="AY464" s="139"/>
      <c r="AZ464" s="139"/>
      <c r="BA464" s="139"/>
      <c r="BB464" s="139"/>
    </row>
    <row r="465">
      <c r="A465" s="28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/>
      <c r="AE465" s="139"/>
      <c r="AF465" s="139"/>
      <c r="AG465" s="139"/>
      <c r="AH465" s="139"/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139"/>
      <c r="BA465" s="139"/>
      <c r="BB465" s="139"/>
    </row>
    <row r="466">
      <c r="A466" s="28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39"/>
      <c r="AD466" s="139"/>
      <c r="AE466" s="139"/>
      <c r="AF466" s="139"/>
      <c r="AG466" s="139"/>
      <c r="AH466" s="139"/>
      <c r="AI466" s="139"/>
      <c r="AJ466" s="139"/>
      <c r="AK466" s="139"/>
      <c r="AL466" s="139"/>
      <c r="AM466" s="139"/>
      <c r="AN466" s="139"/>
      <c r="AO466" s="139"/>
      <c r="AP466" s="139"/>
      <c r="AQ466" s="139"/>
      <c r="AR466" s="139"/>
      <c r="AS466" s="139"/>
      <c r="AT466" s="139"/>
      <c r="AU466" s="139"/>
      <c r="AV466" s="139"/>
      <c r="AW466" s="139"/>
      <c r="AX466" s="139"/>
      <c r="AY466" s="139"/>
      <c r="AZ466" s="139"/>
      <c r="BA466" s="139"/>
      <c r="BB466" s="139"/>
    </row>
    <row r="467">
      <c r="A467" s="28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9"/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  <c r="AW467" s="139"/>
      <c r="AX467" s="139"/>
      <c r="AY467" s="139"/>
      <c r="AZ467" s="139"/>
      <c r="BA467" s="139"/>
      <c r="BB467" s="139"/>
    </row>
    <row r="468">
      <c r="A468" s="28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39"/>
      <c r="AK468" s="139"/>
      <c r="AL468" s="139"/>
      <c r="AM468" s="139"/>
      <c r="AN468" s="139"/>
      <c r="AO468" s="139"/>
      <c r="AP468" s="139"/>
      <c r="AQ468" s="139"/>
      <c r="AR468" s="139"/>
      <c r="AS468" s="139"/>
      <c r="AT468" s="139"/>
      <c r="AU468" s="139"/>
      <c r="AV468" s="139"/>
      <c r="AW468" s="139"/>
      <c r="AX468" s="139"/>
      <c r="AY468" s="139"/>
      <c r="AZ468" s="139"/>
      <c r="BA468" s="139"/>
      <c r="BB468" s="139"/>
    </row>
    <row r="469">
      <c r="A469" s="28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39"/>
      <c r="BB469" s="139"/>
    </row>
    <row r="470">
      <c r="A470" s="28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39"/>
      <c r="AD470" s="139"/>
      <c r="AE470" s="139"/>
      <c r="AF470" s="139"/>
      <c r="AG470" s="139"/>
      <c r="AH470" s="139"/>
      <c r="AI470" s="139"/>
      <c r="AJ470" s="139"/>
      <c r="AK470" s="139"/>
      <c r="AL470" s="139"/>
      <c r="AM470" s="139"/>
      <c r="AN470" s="139"/>
      <c r="AO470" s="139"/>
      <c r="AP470" s="139"/>
      <c r="AQ470" s="139"/>
      <c r="AR470" s="139"/>
      <c r="AS470" s="139"/>
      <c r="AT470" s="139"/>
      <c r="AU470" s="139"/>
      <c r="AV470" s="139"/>
      <c r="AW470" s="139"/>
      <c r="AX470" s="139"/>
      <c r="AY470" s="139"/>
      <c r="AZ470" s="139"/>
      <c r="BA470" s="139"/>
      <c r="BB470" s="139"/>
    </row>
    <row r="471">
      <c r="A471" s="28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39"/>
      <c r="BB471" s="139"/>
    </row>
    <row r="472">
      <c r="A472" s="28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39"/>
      <c r="AD472" s="139"/>
      <c r="AE472" s="139"/>
      <c r="AF472" s="139"/>
      <c r="AG472" s="139"/>
      <c r="AH472" s="139"/>
      <c r="AI472" s="139"/>
      <c r="AJ472" s="139"/>
      <c r="AK472" s="139"/>
      <c r="AL472" s="139"/>
      <c r="AM472" s="139"/>
      <c r="AN472" s="139"/>
      <c r="AO472" s="139"/>
      <c r="AP472" s="139"/>
      <c r="AQ472" s="139"/>
      <c r="AR472" s="139"/>
      <c r="AS472" s="139"/>
      <c r="AT472" s="139"/>
      <c r="AU472" s="139"/>
      <c r="AV472" s="139"/>
      <c r="AW472" s="139"/>
      <c r="AX472" s="139"/>
      <c r="AY472" s="139"/>
      <c r="AZ472" s="139"/>
      <c r="BA472" s="139"/>
      <c r="BB472" s="139"/>
    </row>
    <row r="473">
      <c r="A473" s="28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39"/>
      <c r="BB473" s="139"/>
    </row>
    <row r="474">
      <c r="A474" s="28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39"/>
      <c r="AD474" s="139"/>
      <c r="AE474" s="139"/>
      <c r="AF474" s="139"/>
      <c r="AG474" s="139"/>
      <c r="AH474" s="139"/>
      <c r="AI474" s="139"/>
      <c r="AJ474" s="139"/>
      <c r="AK474" s="139"/>
      <c r="AL474" s="139"/>
      <c r="AM474" s="139"/>
      <c r="AN474" s="139"/>
      <c r="AO474" s="139"/>
      <c r="AP474" s="139"/>
      <c r="AQ474" s="139"/>
      <c r="AR474" s="139"/>
      <c r="AS474" s="139"/>
      <c r="AT474" s="139"/>
      <c r="AU474" s="139"/>
      <c r="AV474" s="139"/>
      <c r="AW474" s="139"/>
      <c r="AX474" s="139"/>
      <c r="AY474" s="139"/>
      <c r="AZ474" s="139"/>
      <c r="BA474" s="139"/>
      <c r="BB474" s="139"/>
    </row>
    <row r="475">
      <c r="A475" s="28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39"/>
      <c r="BB475" s="139"/>
    </row>
    <row r="476">
      <c r="A476" s="28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9"/>
      <c r="AM476" s="139"/>
      <c r="AN476" s="139"/>
      <c r="AO476" s="139"/>
      <c r="AP476" s="139"/>
      <c r="AQ476" s="139"/>
      <c r="AR476" s="139"/>
      <c r="AS476" s="139"/>
      <c r="AT476" s="139"/>
      <c r="AU476" s="139"/>
      <c r="AV476" s="139"/>
      <c r="AW476" s="139"/>
      <c r="AX476" s="139"/>
      <c r="AY476" s="139"/>
      <c r="AZ476" s="139"/>
      <c r="BA476" s="139"/>
      <c r="BB476" s="139"/>
    </row>
    <row r="477">
      <c r="A477" s="28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39"/>
      <c r="BB477" s="139"/>
    </row>
    <row r="478">
      <c r="A478" s="28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9"/>
      <c r="AM478" s="139"/>
      <c r="AN478" s="139"/>
      <c r="AO478" s="139"/>
      <c r="AP478" s="139"/>
      <c r="AQ478" s="139"/>
      <c r="AR478" s="139"/>
      <c r="AS478" s="139"/>
      <c r="AT478" s="139"/>
      <c r="AU478" s="139"/>
      <c r="AV478" s="139"/>
      <c r="AW478" s="139"/>
      <c r="AX478" s="139"/>
      <c r="AY478" s="139"/>
      <c r="AZ478" s="139"/>
      <c r="BA478" s="139"/>
      <c r="BB478" s="139"/>
    </row>
    <row r="479">
      <c r="A479" s="28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/>
      <c r="AY479" s="139"/>
      <c r="AZ479" s="139"/>
      <c r="BA479" s="139"/>
      <c r="BB479" s="139"/>
    </row>
    <row r="480">
      <c r="A480" s="28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9"/>
      <c r="AM480" s="139"/>
      <c r="AN480" s="139"/>
      <c r="AO480" s="139"/>
      <c r="AP480" s="139"/>
      <c r="AQ480" s="139"/>
      <c r="AR480" s="139"/>
      <c r="AS480" s="139"/>
      <c r="AT480" s="139"/>
      <c r="AU480" s="139"/>
      <c r="AV480" s="139"/>
      <c r="AW480" s="139"/>
      <c r="AX480" s="139"/>
      <c r="AY480" s="139"/>
      <c r="AZ480" s="139"/>
      <c r="BA480" s="139"/>
      <c r="BB480" s="139"/>
    </row>
    <row r="481">
      <c r="A481" s="28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39"/>
      <c r="BB481" s="139"/>
    </row>
    <row r="482">
      <c r="A482" s="28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9"/>
      <c r="AM482" s="139"/>
      <c r="AN482" s="139"/>
      <c r="AO482" s="139"/>
      <c r="AP482" s="139"/>
      <c r="AQ482" s="139"/>
      <c r="AR482" s="139"/>
      <c r="AS482" s="139"/>
      <c r="AT482" s="139"/>
      <c r="AU482" s="139"/>
      <c r="AV482" s="139"/>
      <c r="AW482" s="139"/>
      <c r="AX482" s="139"/>
      <c r="AY482" s="139"/>
      <c r="AZ482" s="139"/>
      <c r="BA482" s="139"/>
      <c r="BB482" s="139"/>
    </row>
    <row r="483">
      <c r="A483" s="28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39"/>
      <c r="BB483" s="139"/>
    </row>
    <row r="484">
      <c r="A484" s="28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9"/>
      <c r="AM484" s="139"/>
      <c r="AN484" s="139"/>
      <c r="AO484" s="139"/>
      <c r="AP484" s="139"/>
      <c r="AQ484" s="139"/>
      <c r="AR484" s="139"/>
      <c r="AS484" s="139"/>
      <c r="AT484" s="139"/>
      <c r="AU484" s="139"/>
      <c r="AV484" s="139"/>
      <c r="AW484" s="139"/>
      <c r="AX484" s="139"/>
      <c r="AY484" s="139"/>
      <c r="AZ484" s="139"/>
      <c r="BA484" s="139"/>
      <c r="BB484" s="139"/>
    </row>
    <row r="485">
      <c r="A485" s="28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39"/>
      <c r="BB485" s="139"/>
    </row>
    <row r="486">
      <c r="A486" s="28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  <c r="AO486" s="139"/>
      <c r="AP486" s="139"/>
      <c r="AQ486" s="139"/>
      <c r="AR486" s="139"/>
      <c r="AS486" s="139"/>
      <c r="AT486" s="139"/>
      <c r="AU486" s="139"/>
      <c r="AV486" s="139"/>
      <c r="AW486" s="139"/>
      <c r="AX486" s="139"/>
      <c r="AY486" s="139"/>
      <c r="AZ486" s="139"/>
      <c r="BA486" s="139"/>
      <c r="BB486" s="139"/>
    </row>
    <row r="487">
      <c r="A487" s="28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/>
      <c r="AM487" s="139"/>
      <c r="AN487" s="139"/>
      <c r="AO487" s="139"/>
      <c r="AP487" s="139"/>
      <c r="AQ487" s="139"/>
      <c r="AR487" s="139"/>
      <c r="AS487" s="139"/>
      <c r="AT487" s="139"/>
      <c r="AU487" s="139"/>
      <c r="AV487" s="139"/>
      <c r="AW487" s="139"/>
      <c r="AX487" s="139"/>
      <c r="AY487" s="139"/>
      <c r="AZ487" s="139"/>
      <c r="BA487" s="139"/>
      <c r="BB487" s="139"/>
    </row>
    <row r="488">
      <c r="A488" s="28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  <c r="AW488" s="139"/>
      <c r="AX488" s="139"/>
      <c r="AY488" s="139"/>
      <c r="AZ488" s="139"/>
      <c r="BA488" s="139"/>
      <c r="BB488" s="139"/>
    </row>
    <row r="489">
      <c r="A489" s="28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  <c r="AO489" s="139"/>
      <c r="AP489" s="139"/>
      <c r="AQ489" s="139"/>
      <c r="AR489" s="139"/>
      <c r="AS489" s="139"/>
      <c r="AT489" s="139"/>
      <c r="AU489" s="139"/>
      <c r="AV489" s="139"/>
      <c r="AW489" s="139"/>
      <c r="AX489" s="139"/>
      <c r="AY489" s="139"/>
      <c r="AZ489" s="139"/>
      <c r="BA489" s="139"/>
      <c r="BB489" s="139"/>
    </row>
    <row r="490">
      <c r="A490" s="28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  <c r="AW490" s="139"/>
      <c r="AX490" s="139"/>
      <c r="AY490" s="139"/>
      <c r="AZ490" s="139"/>
      <c r="BA490" s="139"/>
      <c r="BB490" s="139"/>
    </row>
    <row r="491">
      <c r="A491" s="28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  <c r="AO491" s="139"/>
      <c r="AP491" s="139"/>
      <c r="AQ491" s="139"/>
      <c r="AR491" s="139"/>
      <c r="AS491" s="139"/>
      <c r="AT491" s="139"/>
      <c r="AU491" s="139"/>
      <c r="AV491" s="139"/>
      <c r="AW491" s="139"/>
      <c r="AX491" s="139"/>
      <c r="AY491" s="139"/>
      <c r="AZ491" s="139"/>
      <c r="BA491" s="139"/>
      <c r="BB491" s="139"/>
    </row>
    <row r="492">
      <c r="A492" s="28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  <c r="AW492" s="139"/>
      <c r="AX492" s="139"/>
      <c r="AY492" s="139"/>
      <c r="AZ492" s="139"/>
      <c r="BA492" s="139"/>
      <c r="BB492" s="139"/>
    </row>
    <row r="493">
      <c r="A493" s="28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  <c r="AW493" s="139"/>
      <c r="AX493" s="139"/>
      <c r="AY493" s="139"/>
      <c r="AZ493" s="139"/>
      <c r="BA493" s="139"/>
      <c r="BB493" s="139"/>
    </row>
    <row r="494">
      <c r="A494" s="28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39"/>
      <c r="BB494" s="139"/>
    </row>
    <row r="495">
      <c r="A495" s="28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/>
      <c r="AM495" s="139"/>
      <c r="AN495" s="139"/>
      <c r="AO495" s="139"/>
      <c r="AP495" s="139"/>
      <c r="AQ495" s="139"/>
      <c r="AR495" s="139"/>
      <c r="AS495" s="139"/>
      <c r="AT495" s="139"/>
      <c r="AU495" s="139"/>
      <c r="AV495" s="139"/>
      <c r="AW495" s="139"/>
      <c r="AX495" s="139"/>
      <c r="AY495" s="139"/>
      <c r="AZ495" s="139"/>
      <c r="BA495" s="139"/>
      <c r="BB495" s="139"/>
    </row>
    <row r="496">
      <c r="A496" s="28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  <c r="BA496" s="139"/>
      <c r="BB496" s="139"/>
    </row>
    <row r="497">
      <c r="A497" s="28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/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  <c r="AW497" s="139"/>
      <c r="AX497" s="139"/>
      <c r="AY497" s="139"/>
      <c r="AZ497" s="139"/>
      <c r="BA497" s="139"/>
      <c r="BB497" s="139"/>
    </row>
    <row r="498">
      <c r="A498" s="28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39"/>
      <c r="BB498" s="139"/>
    </row>
    <row r="499">
      <c r="A499" s="28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39"/>
      <c r="AK499" s="139"/>
      <c r="AL499" s="139"/>
      <c r="AM499" s="139"/>
      <c r="AN499" s="139"/>
      <c r="AO499" s="139"/>
      <c r="AP499" s="139"/>
      <c r="AQ499" s="139"/>
      <c r="AR499" s="139"/>
      <c r="AS499" s="139"/>
      <c r="AT499" s="139"/>
      <c r="AU499" s="139"/>
      <c r="AV499" s="139"/>
      <c r="AW499" s="139"/>
      <c r="AX499" s="139"/>
      <c r="AY499" s="139"/>
      <c r="AZ499" s="139"/>
      <c r="BA499" s="139"/>
      <c r="BB499" s="139"/>
    </row>
    <row r="500">
      <c r="A500" s="28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39"/>
      <c r="BB500" s="139"/>
    </row>
    <row r="501">
      <c r="A501" s="28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9"/>
      <c r="AM501" s="139"/>
      <c r="AN501" s="139"/>
      <c r="AO501" s="139"/>
      <c r="AP501" s="139"/>
      <c r="AQ501" s="139"/>
      <c r="AR501" s="139"/>
      <c r="AS501" s="139"/>
      <c r="AT501" s="139"/>
      <c r="AU501" s="139"/>
      <c r="AV501" s="139"/>
      <c r="AW501" s="139"/>
      <c r="AX501" s="139"/>
      <c r="AY501" s="139"/>
      <c r="AZ501" s="139"/>
      <c r="BA501" s="139"/>
      <c r="BB501" s="139"/>
    </row>
    <row r="502">
      <c r="A502" s="28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  <c r="BA502" s="139"/>
      <c r="BB502" s="139"/>
    </row>
    <row r="503">
      <c r="A503" s="28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9"/>
      <c r="AM503" s="139"/>
      <c r="AN503" s="139"/>
      <c r="AO503" s="139"/>
      <c r="AP503" s="139"/>
      <c r="AQ503" s="139"/>
      <c r="AR503" s="139"/>
      <c r="AS503" s="139"/>
      <c r="AT503" s="139"/>
      <c r="AU503" s="139"/>
      <c r="AV503" s="139"/>
      <c r="AW503" s="139"/>
      <c r="AX503" s="139"/>
      <c r="AY503" s="139"/>
      <c r="AZ503" s="139"/>
      <c r="BA503" s="139"/>
      <c r="BB503" s="139"/>
    </row>
    <row r="504">
      <c r="A504" s="28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39"/>
      <c r="AK504" s="139"/>
      <c r="AL504" s="139"/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  <c r="AW504" s="139"/>
      <c r="AX504" s="139"/>
      <c r="AY504" s="139"/>
      <c r="AZ504" s="139"/>
      <c r="BA504" s="139"/>
      <c r="BB504" s="139"/>
    </row>
    <row r="505">
      <c r="A505" s="28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  <c r="AK505" s="139"/>
      <c r="AL505" s="139"/>
      <c r="AM505" s="139"/>
      <c r="AN505" s="139"/>
      <c r="AO505" s="139"/>
      <c r="AP505" s="139"/>
      <c r="AQ505" s="139"/>
      <c r="AR505" s="139"/>
      <c r="AS505" s="139"/>
      <c r="AT505" s="139"/>
      <c r="AU505" s="139"/>
      <c r="AV505" s="139"/>
      <c r="AW505" s="139"/>
      <c r="AX505" s="139"/>
      <c r="AY505" s="139"/>
      <c r="AZ505" s="139"/>
      <c r="BA505" s="139"/>
      <c r="BB505" s="139"/>
    </row>
    <row r="506">
      <c r="A506" s="28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39"/>
      <c r="AK506" s="139"/>
      <c r="AL506" s="139"/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  <c r="AW506" s="139"/>
      <c r="AX506" s="139"/>
      <c r="AY506" s="139"/>
      <c r="AZ506" s="139"/>
      <c r="BA506" s="139"/>
      <c r="BB506" s="139"/>
    </row>
    <row r="507">
      <c r="A507" s="28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  <c r="AK507" s="139"/>
      <c r="AL507" s="139"/>
      <c r="AM507" s="139"/>
      <c r="AN507" s="139"/>
      <c r="AO507" s="139"/>
      <c r="AP507" s="139"/>
      <c r="AQ507" s="139"/>
      <c r="AR507" s="139"/>
      <c r="AS507" s="139"/>
      <c r="AT507" s="139"/>
      <c r="AU507" s="139"/>
      <c r="AV507" s="139"/>
      <c r="AW507" s="139"/>
      <c r="AX507" s="139"/>
      <c r="AY507" s="139"/>
      <c r="AZ507" s="139"/>
      <c r="BA507" s="139"/>
      <c r="BB507" s="139"/>
    </row>
    <row r="508">
      <c r="A508" s="28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39"/>
      <c r="AK508" s="139"/>
      <c r="AL508" s="139"/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  <c r="AW508" s="139"/>
      <c r="AX508" s="139"/>
      <c r="AY508" s="139"/>
      <c r="AZ508" s="139"/>
      <c r="BA508" s="139"/>
      <c r="BB508" s="139"/>
    </row>
    <row r="509">
      <c r="A509" s="28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  <c r="AK509" s="139"/>
      <c r="AL509" s="139"/>
      <c r="AM509" s="139"/>
      <c r="AN509" s="139"/>
      <c r="AO509" s="139"/>
      <c r="AP509" s="139"/>
      <c r="AQ509" s="139"/>
      <c r="AR509" s="139"/>
      <c r="AS509" s="139"/>
      <c r="AT509" s="139"/>
      <c r="AU509" s="139"/>
      <c r="AV509" s="139"/>
      <c r="AW509" s="139"/>
      <c r="AX509" s="139"/>
      <c r="AY509" s="139"/>
      <c r="AZ509" s="139"/>
      <c r="BA509" s="139"/>
      <c r="BB509" s="139"/>
    </row>
    <row r="510">
      <c r="A510" s="28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  <c r="AF510" s="139"/>
      <c r="AG510" s="139"/>
      <c r="AH510" s="139"/>
      <c r="AI510" s="139"/>
      <c r="AJ510" s="139"/>
      <c r="AK510" s="139"/>
      <c r="AL510" s="139"/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  <c r="AW510" s="139"/>
      <c r="AX510" s="139"/>
      <c r="AY510" s="139"/>
      <c r="AZ510" s="139"/>
      <c r="BA510" s="139"/>
      <c r="BB510" s="139"/>
    </row>
    <row r="511">
      <c r="A511" s="28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9"/>
      <c r="AM511" s="139"/>
      <c r="AN511" s="139"/>
      <c r="AO511" s="139"/>
      <c r="AP511" s="139"/>
      <c r="AQ511" s="139"/>
      <c r="AR511" s="139"/>
      <c r="AS511" s="139"/>
      <c r="AT511" s="139"/>
      <c r="AU511" s="139"/>
      <c r="AV511" s="139"/>
      <c r="AW511" s="139"/>
      <c r="AX511" s="139"/>
      <c r="AY511" s="139"/>
      <c r="AZ511" s="139"/>
      <c r="BA511" s="139"/>
      <c r="BB511" s="139"/>
    </row>
    <row r="512">
      <c r="A512" s="28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  <c r="AF512" s="139"/>
      <c r="AG512" s="139"/>
      <c r="AH512" s="139"/>
      <c r="AI512" s="139"/>
      <c r="AJ512" s="139"/>
      <c r="AK512" s="139"/>
      <c r="AL512" s="139"/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  <c r="AW512" s="139"/>
      <c r="AX512" s="139"/>
      <c r="AY512" s="139"/>
      <c r="AZ512" s="139"/>
      <c r="BA512" s="139"/>
      <c r="BB512" s="139"/>
    </row>
    <row r="513">
      <c r="A513" s="28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9"/>
      <c r="AM513" s="139"/>
      <c r="AN513" s="139"/>
      <c r="AO513" s="139"/>
      <c r="AP513" s="139"/>
      <c r="AQ513" s="139"/>
      <c r="AR513" s="139"/>
      <c r="AS513" s="139"/>
      <c r="AT513" s="139"/>
      <c r="AU513" s="139"/>
      <c r="AV513" s="139"/>
      <c r="AW513" s="139"/>
      <c r="AX513" s="139"/>
      <c r="AY513" s="139"/>
      <c r="AZ513" s="139"/>
      <c r="BA513" s="139"/>
      <c r="BB513" s="139"/>
    </row>
    <row r="514">
      <c r="A514" s="28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  <c r="BA514" s="139"/>
      <c r="BB514" s="139"/>
    </row>
    <row r="515">
      <c r="A515" s="28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9"/>
      <c r="AM515" s="139"/>
      <c r="AN515" s="139"/>
      <c r="AO515" s="139"/>
      <c r="AP515" s="139"/>
      <c r="AQ515" s="139"/>
      <c r="AR515" s="139"/>
      <c r="AS515" s="139"/>
      <c r="AT515" s="139"/>
      <c r="AU515" s="139"/>
      <c r="AV515" s="139"/>
      <c r="AW515" s="139"/>
      <c r="AX515" s="139"/>
      <c r="AY515" s="139"/>
      <c r="AZ515" s="139"/>
      <c r="BA515" s="139"/>
      <c r="BB515" s="139"/>
    </row>
    <row r="516">
      <c r="A516" s="28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39"/>
      <c r="AD516" s="139"/>
      <c r="AE516" s="139"/>
      <c r="AF516" s="139"/>
      <c r="AG516" s="139"/>
      <c r="AH516" s="139"/>
      <c r="AI516" s="139"/>
      <c r="AJ516" s="139"/>
      <c r="AK516" s="139"/>
      <c r="AL516" s="139"/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  <c r="AW516" s="139"/>
      <c r="AX516" s="139"/>
      <c r="AY516" s="139"/>
      <c r="AZ516" s="139"/>
      <c r="BA516" s="139"/>
      <c r="BB516" s="139"/>
    </row>
    <row r="517">
      <c r="A517" s="28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9"/>
      <c r="AM517" s="139"/>
      <c r="AN517" s="139"/>
      <c r="AO517" s="139"/>
      <c r="AP517" s="139"/>
      <c r="AQ517" s="139"/>
      <c r="AR517" s="139"/>
      <c r="AS517" s="139"/>
      <c r="AT517" s="139"/>
      <c r="AU517" s="139"/>
      <c r="AV517" s="139"/>
      <c r="AW517" s="139"/>
      <c r="AX517" s="139"/>
      <c r="AY517" s="139"/>
      <c r="AZ517" s="139"/>
      <c r="BA517" s="139"/>
      <c r="BB517" s="139"/>
    </row>
    <row r="518">
      <c r="A518" s="28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  <c r="BA518" s="139"/>
      <c r="BB518" s="139"/>
    </row>
    <row r="519">
      <c r="A519" s="28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9"/>
      <c r="AM519" s="139"/>
      <c r="AN519" s="139"/>
      <c r="AO519" s="139"/>
      <c r="AP519" s="139"/>
      <c r="AQ519" s="139"/>
      <c r="AR519" s="139"/>
      <c r="AS519" s="139"/>
      <c r="AT519" s="139"/>
      <c r="AU519" s="139"/>
      <c r="AV519" s="139"/>
      <c r="AW519" s="139"/>
      <c r="AX519" s="139"/>
      <c r="AY519" s="139"/>
      <c r="AZ519" s="139"/>
      <c r="BA519" s="139"/>
      <c r="BB519" s="139"/>
    </row>
    <row r="520">
      <c r="A520" s="28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39"/>
      <c r="AD520" s="139"/>
      <c r="AE520" s="139"/>
      <c r="AF520" s="139"/>
      <c r="AG520" s="139"/>
      <c r="AH520" s="139"/>
      <c r="AI520" s="139"/>
      <c r="AJ520" s="139"/>
      <c r="AK520" s="139"/>
      <c r="AL520" s="139"/>
      <c r="AM520" s="139"/>
      <c r="AN520" s="139"/>
      <c r="AO520" s="139"/>
      <c r="AP520" s="139"/>
      <c r="AQ520" s="139"/>
      <c r="AR520" s="139"/>
      <c r="AS520" s="139"/>
      <c r="AT520" s="139"/>
      <c r="AU520" s="139"/>
      <c r="AV520" s="139"/>
      <c r="AW520" s="139"/>
      <c r="AX520" s="139"/>
      <c r="AY520" s="139"/>
      <c r="AZ520" s="139"/>
      <c r="BA520" s="139"/>
      <c r="BB520" s="139"/>
    </row>
    <row r="521">
      <c r="A521" s="28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39"/>
      <c r="AK521" s="139"/>
      <c r="AL521" s="139"/>
      <c r="AM521" s="139"/>
      <c r="AN521" s="139"/>
      <c r="AO521" s="139"/>
      <c r="AP521" s="139"/>
      <c r="AQ521" s="139"/>
      <c r="AR521" s="139"/>
      <c r="AS521" s="139"/>
      <c r="AT521" s="139"/>
      <c r="AU521" s="139"/>
      <c r="AV521" s="139"/>
      <c r="AW521" s="139"/>
      <c r="AX521" s="139"/>
      <c r="AY521" s="139"/>
      <c r="AZ521" s="139"/>
      <c r="BA521" s="139"/>
      <c r="BB521" s="139"/>
    </row>
    <row r="522">
      <c r="A522" s="28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39"/>
      <c r="AD522" s="139"/>
      <c r="AE522" s="139"/>
      <c r="AF522" s="139"/>
      <c r="AG522" s="139"/>
      <c r="AH522" s="139"/>
      <c r="AI522" s="139"/>
      <c r="AJ522" s="139"/>
      <c r="AK522" s="139"/>
      <c r="AL522" s="139"/>
      <c r="AM522" s="139"/>
      <c r="AN522" s="139"/>
      <c r="AO522" s="139"/>
      <c r="AP522" s="139"/>
      <c r="AQ522" s="139"/>
      <c r="AR522" s="139"/>
      <c r="AS522" s="139"/>
      <c r="AT522" s="139"/>
      <c r="AU522" s="139"/>
      <c r="AV522" s="139"/>
      <c r="AW522" s="139"/>
      <c r="AX522" s="139"/>
      <c r="AY522" s="139"/>
      <c r="AZ522" s="139"/>
      <c r="BA522" s="139"/>
      <c r="BB522" s="139"/>
    </row>
    <row r="523">
      <c r="A523" s="28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39"/>
      <c r="AK523" s="139"/>
      <c r="AL523" s="139"/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  <c r="AW523" s="139"/>
      <c r="AX523" s="139"/>
      <c r="AY523" s="139"/>
      <c r="AZ523" s="139"/>
      <c r="BA523" s="139"/>
      <c r="BB523" s="139"/>
    </row>
    <row r="524">
      <c r="A524" s="28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39"/>
      <c r="AD524" s="139"/>
      <c r="AE524" s="139"/>
      <c r="AF524" s="139"/>
      <c r="AG524" s="139"/>
      <c r="AH524" s="139"/>
      <c r="AI524" s="139"/>
      <c r="AJ524" s="139"/>
      <c r="AK524" s="139"/>
      <c r="AL524" s="139"/>
      <c r="AM524" s="139"/>
      <c r="AN524" s="139"/>
      <c r="AO524" s="139"/>
      <c r="AP524" s="139"/>
      <c r="AQ524" s="139"/>
      <c r="AR524" s="139"/>
      <c r="AS524" s="139"/>
      <c r="AT524" s="139"/>
      <c r="AU524" s="139"/>
      <c r="AV524" s="139"/>
      <c r="AW524" s="139"/>
      <c r="AX524" s="139"/>
      <c r="AY524" s="139"/>
      <c r="AZ524" s="139"/>
      <c r="BA524" s="139"/>
      <c r="BB524" s="139"/>
    </row>
    <row r="525">
      <c r="A525" s="28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  <c r="AK525" s="139"/>
      <c r="AL525" s="139"/>
      <c r="AM525" s="139"/>
      <c r="AN525" s="139"/>
      <c r="AO525" s="139"/>
      <c r="AP525" s="139"/>
      <c r="AQ525" s="139"/>
      <c r="AR525" s="139"/>
      <c r="AS525" s="139"/>
      <c r="AT525" s="139"/>
      <c r="AU525" s="139"/>
      <c r="AV525" s="139"/>
      <c r="AW525" s="139"/>
      <c r="AX525" s="139"/>
      <c r="AY525" s="139"/>
      <c r="AZ525" s="139"/>
      <c r="BA525" s="139"/>
      <c r="BB525" s="139"/>
    </row>
    <row r="526">
      <c r="A526" s="28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39"/>
      <c r="AD526" s="139"/>
      <c r="AE526" s="139"/>
      <c r="AF526" s="139"/>
      <c r="AG526" s="139"/>
      <c r="AH526" s="139"/>
      <c r="AI526" s="139"/>
      <c r="AJ526" s="139"/>
      <c r="AK526" s="139"/>
      <c r="AL526" s="139"/>
      <c r="AM526" s="139"/>
      <c r="AN526" s="139"/>
      <c r="AO526" s="139"/>
      <c r="AP526" s="139"/>
      <c r="AQ526" s="139"/>
      <c r="AR526" s="139"/>
      <c r="AS526" s="139"/>
      <c r="AT526" s="139"/>
      <c r="AU526" s="139"/>
      <c r="AV526" s="139"/>
      <c r="AW526" s="139"/>
      <c r="AX526" s="139"/>
      <c r="AY526" s="139"/>
      <c r="AZ526" s="139"/>
      <c r="BA526" s="139"/>
      <c r="BB526" s="139"/>
    </row>
    <row r="527">
      <c r="A527" s="28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  <c r="AF527" s="139"/>
      <c r="AG527" s="139"/>
      <c r="AH527" s="139"/>
      <c r="AI527" s="139"/>
      <c r="AJ527" s="139"/>
      <c r="AK527" s="139"/>
      <c r="AL527" s="139"/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  <c r="AW527" s="139"/>
      <c r="AX527" s="139"/>
      <c r="AY527" s="139"/>
      <c r="AZ527" s="139"/>
      <c r="BA527" s="139"/>
      <c r="BB527" s="139"/>
    </row>
    <row r="528">
      <c r="A528" s="28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  <c r="AC528" s="139"/>
      <c r="AD528" s="139"/>
      <c r="AE528" s="139"/>
      <c r="AF528" s="139"/>
      <c r="AG528" s="139"/>
      <c r="AH528" s="139"/>
      <c r="AI528" s="139"/>
      <c r="AJ528" s="139"/>
      <c r="AK528" s="139"/>
      <c r="AL528" s="139"/>
      <c r="AM528" s="139"/>
      <c r="AN528" s="139"/>
      <c r="AO528" s="139"/>
      <c r="AP528" s="139"/>
      <c r="AQ528" s="139"/>
      <c r="AR528" s="139"/>
      <c r="AS528" s="139"/>
      <c r="AT528" s="139"/>
      <c r="AU528" s="139"/>
      <c r="AV528" s="139"/>
      <c r="AW528" s="139"/>
      <c r="AX528" s="139"/>
      <c r="AY528" s="139"/>
      <c r="AZ528" s="139"/>
      <c r="BA528" s="139"/>
      <c r="BB528" s="139"/>
    </row>
    <row r="529">
      <c r="A529" s="28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39"/>
      <c r="AD529" s="139"/>
      <c r="AE529" s="139"/>
      <c r="AF529" s="139"/>
      <c r="AG529" s="139"/>
      <c r="AH529" s="139"/>
      <c r="AI529" s="139"/>
      <c r="AJ529" s="139"/>
      <c r="AK529" s="139"/>
      <c r="AL529" s="139"/>
      <c r="AM529" s="139"/>
      <c r="AN529" s="139"/>
      <c r="AO529" s="139"/>
      <c r="AP529" s="139"/>
      <c r="AQ529" s="139"/>
      <c r="AR529" s="139"/>
      <c r="AS529" s="139"/>
      <c r="AT529" s="139"/>
      <c r="AU529" s="139"/>
      <c r="AV529" s="139"/>
      <c r="AW529" s="139"/>
      <c r="AX529" s="139"/>
      <c r="AY529" s="139"/>
      <c r="AZ529" s="139"/>
      <c r="BA529" s="139"/>
      <c r="BB529" s="139"/>
    </row>
    <row r="530">
      <c r="A530" s="28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39"/>
      <c r="AD530" s="139"/>
      <c r="AE530" s="139"/>
      <c r="AF530" s="139"/>
      <c r="AG530" s="139"/>
      <c r="AH530" s="139"/>
      <c r="AI530" s="139"/>
      <c r="AJ530" s="139"/>
      <c r="AK530" s="139"/>
      <c r="AL530" s="139"/>
      <c r="AM530" s="139"/>
      <c r="AN530" s="139"/>
      <c r="AO530" s="139"/>
      <c r="AP530" s="139"/>
      <c r="AQ530" s="139"/>
      <c r="AR530" s="139"/>
      <c r="AS530" s="139"/>
      <c r="AT530" s="139"/>
      <c r="AU530" s="139"/>
      <c r="AV530" s="139"/>
      <c r="AW530" s="139"/>
      <c r="AX530" s="139"/>
      <c r="AY530" s="139"/>
      <c r="AZ530" s="139"/>
      <c r="BA530" s="139"/>
      <c r="BB530" s="139"/>
    </row>
    <row r="531">
      <c r="A531" s="28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39"/>
      <c r="AK531" s="139"/>
      <c r="AL531" s="139"/>
      <c r="AM531" s="139"/>
      <c r="AN531" s="139"/>
      <c r="AO531" s="139"/>
      <c r="AP531" s="139"/>
      <c r="AQ531" s="139"/>
      <c r="AR531" s="139"/>
      <c r="AS531" s="139"/>
      <c r="AT531" s="139"/>
      <c r="AU531" s="139"/>
      <c r="AV531" s="139"/>
      <c r="AW531" s="139"/>
      <c r="AX531" s="139"/>
      <c r="AY531" s="139"/>
      <c r="AZ531" s="139"/>
      <c r="BA531" s="139"/>
      <c r="BB531" s="139"/>
    </row>
    <row r="532">
      <c r="A532" s="28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39"/>
      <c r="AK532" s="139"/>
      <c r="AL532" s="139"/>
      <c r="AM532" s="139"/>
      <c r="AN532" s="139"/>
      <c r="AO532" s="139"/>
      <c r="AP532" s="139"/>
      <c r="AQ532" s="139"/>
      <c r="AR532" s="139"/>
      <c r="AS532" s="139"/>
      <c r="AT532" s="139"/>
      <c r="AU532" s="139"/>
      <c r="AV532" s="139"/>
      <c r="AW532" s="139"/>
      <c r="AX532" s="139"/>
      <c r="AY532" s="139"/>
      <c r="AZ532" s="139"/>
      <c r="BA532" s="139"/>
      <c r="BB532" s="139"/>
    </row>
    <row r="533">
      <c r="A533" s="28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39"/>
      <c r="AK533" s="139"/>
      <c r="AL533" s="139"/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  <c r="AW533" s="139"/>
      <c r="AX533" s="139"/>
      <c r="AY533" s="139"/>
      <c r="AZ533" s="139"/>
      <c r="BA533" s="139"/>
      <c r="BB533" s="139"/>
    </row>
    <row r="534">
      <c r="A534" s="28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39"/>
      <c r="AD534" s="139"/>
      <c r="AE534" s="139"/>
      <c r="AF534" s="139"/>
      <c r="AG534" s="139"/>
      <c r="AH534" s="139"/>
      <c r="AI534" s="139"/>
      <c r="AJ534" s="139"/>
      <c r="AK534" s="139"/>
      <c r="AL534" s="139"/>
      <c r="AM534" s="139"/>
      <c r="AN534" s="139"/>
      <c r="AO534" s="139"/>
      <c r="AP534" s="139"/>
      <c r="AQ534" s="139"/>
      <c r="AR534" s="139"/>
      <c r="AS534" s="139"/>
      <c r="AT534" s="139"/>
      <c r="AU534" s="139"/>
      <c r="AV534" s="139"/>
      <c r="AW534" s="139"/>
      <c r="AX534" s="139"/>
      <c r="AY534" s="139"/>
      <c r="AZ534" s="139"/>
      <c r="BA534" s="139"/>
      <c r="BB534" s="139"/>
    </row>
    <row r="535">
      <c r="A535" s="28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39"/>
      <c r="AK535" s="139"/>
      <c r="AL535" s="139"/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  <c r="AW535" s="139"/>
      <c r="AX535" s="139"/>
      <c r="AY535" s="139"/>
      <c r="AZ535" s="139"/>
      <c r="BA535" s="139"/>
      <c r="BB535" s="139"/>
    </row>
    <row r="536">
      <c r="A536" s="28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39"/>
      <c r="AD536" s="139"/>
      <c r="AE536" s="139"/>
      <c r="AF536" s="139"/>
      <c r="AG536" s="139"/>
      <c r="AH536" s="139"/>
      <c r="AI536" s="139"/>
      <c r="AJ536" s="139"/>
      <c r="AK536" s="139"/>
      <c r="AL536" s="139"/>
      <c r="AM536" s="139"/>
      <c r="AN536" s="139"/>
      <c r="AO536" s="139"/>
      <c r="AP536" s="139"/>
      <c r="AQ536" s="139"/>
      <c r="AR536" s="139"/>
      <c r="AS536" s="139"/>
      <c r="AT536" s="139"/>
      <c r="AU536" s="139"/>
      <c r="AV536" s="139"/>
      <c r="AW536" s="139"/>
      <c r="AX536" s="139"/>
      <c r="AY536" s="139"/>
      <c r="AZ536" s="139"/>
      <c r="BA536" s="139"/>
      <c r="BB536" s="139"/>
    </row>
    <row r="537">
      <c r="A537" s="28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/>
      <c r="AD537" s="139"/>
      <c r="AE537" s="139"/>
      <c r="AF537" s="139"/>
      <c r="AG537" s="139"/>
      <c r="AH537" s="139"/>
      <c r="AI537" s="139"/>
      <c r="AJ537" s="139"/>
      <c r="AK537" s="139"/>
      <c r="AL537" s="139"/>
      <c r="AM537" s="139"/>
      <c r="AN537" s="139"/>
      <c r="AO537" s="139"/>
      <c r="AP537" s="139"/>
      <c r="AQ537" s="139"/>
      <c r="AR537" s="139"/>
      <c r="AS537" s="139"/>
      <c r="AT537" s="139"/>
      <c r="AU537" s="139"/>
      <c r="AV537" s="139"/>
      <c r="AW537" s="139"/>
      <c r="AX537" s="139"/>
      <c r="AY537" s="139"/>
      <c r="AZ537" s="139"/>
      <c r="BA537" s="139"/>
      <c r="BB537" s="139"/>
    </row>
    <row r="538">
      <c r="A538" s="28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39"/>
      <c r="AD538" s="139"/>
      <c r="AE538" s="139"/>
      <c r="AF538" s="139"/>
      <c r="AG538" s="139"/>
      <c r="AH538" s="139"/>
      <c r="AI538" s="139"/>
      <c r="AJ538" s="139"/>
      <c r="AK538" s="139"/>
      <c r="AL538" s="139"/>
      <c r="AM538" s="139"/>
      <c r="AN538" s="139"/>
      <c r="AO538" s="139"/>
      <c r="AP538" s="139"/>
      <c r="AQ538" s="139"/>
      <c r="AR538" s="139"/>
      <c r="AS538" s="139"/>
      <c r="AT538" s="139"/>
      <c r="AU538" s="139"/>
      <c r="AV538" s="139"/>
      <c r="AW538" s="139"/>
      <c r="AX538" s="139"/>
      <c r="AY538" s="139"/>
      <c r="AZ538" s="139"/>
      <c r="BA538" s="139"/>
      <c r="BB538" s="139"/>
    </row>
    <row r="539">
      <c r="A539" s="28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39"/>
      <c r="AK539" s="139"/>
      <c r="AL539" s="139"/>
      <c r="AM539" s="139"/>
      <c r="AN539" s="139"/>
      <c r="AO539" s="139"/>
      <c r="AP539" s="139"/>
      <c r="AQ539" s="139"/>
      <c r="AR539" s="139"/>
      <c r="AS539" s="139"/>
      <c r="AT539" s="139"/>
      <c r="AU539" s="139"/>
      <c r="AV539" s="139"/>
      <c r="AW539" s="139"/>
      <c r="AX539" s="139"/>
      <c r="AY539" s="139"/>
      <c r="AZ539" s="139"/>
      <c r="BA539" s="139"/>
      <c r="BB539" s="139"/>
    </row>
    <row r="540">
      <c r="A540" s="28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39"/>
      <c r="AK540" s="139"/>
      <c r="AL540" s="139"/>
      <c r="AM540" s="139"/>
      <c r="AN540" s="139"/>
      <c r="AO540" s="139"/>
      <c r="AP540" s="139"/>
      <c r="AQ540" s="139"/>
      <c r="AR540" s="139"/>
      <c r="AS540" s="139"/>
      <c r="AT540" s="139"/>
      <c r="AU540" s="139"/>
      <c r="AV540" s="139"/>
      <c r="AW540" s="139"/>
      <c r="AX540" s="139"/>
      <c r="AY540" s="139"/>
      <c r="AZ540" s="139"/>
      <c r="BA540" s="139"/>
      <c r="BB540" s="139"/>
    </row>
    <row r="541">
      <c r="A541" s="28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39"/>
      <c r="AK541" s="139"/>
      <c r="AL541" s="139"/>
      <c r="AM541" s="139"/>
      <c r="AN541" s="139"/>
      <c r="AO541" s="139"/>
      <c r="AP541" s="139"/>
      <c r="AQ541" s="139"/>
      <c r="AR541" s="139"/>
      <c r="AS541" s="139"/>
      <c r="AT541" s="139"/>
      <c r="AU541" s="139"/>
      <c r="AV541" s="139"/>
      <c r="AW541" s="139"/>
      <c r="AX541" s="139"/>
      <c r="AY541" s="139"/>
      <c r="AZ541" s="139"/>
      <c r="BA541" s="139"/>
      <c r="BB541" s="139"/>
    </row>
    <row r="542">
      <c r="A542" s="28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39"/>
      <c r="AD542" s="139"/>
      <c r="AE542" s="139"/>
      <c r="AF542" s="139"/>
      <c r="AG542" s="139"/>
      <c r="AH542" s="139"/>
      <c r="AI542" s="139"/>
      <c r="AJ542" s="139"/>
      <c r="AK542" s="139"/>
      <c r="AL542" s="139"/>
      <c r="AM542" s="139"/>
      <c r="AN542" s="139"/>
      <c r="AO542" s="139"/>
      <c r="AP542" s="139"/>
      <c r="AQ542" s="139"/>
      <c r="AR542" s="139"/>
      <c r="AS542" s="139"/>
      <c r="AT542" s="139"/>
      <c r="AU542" s="139"/>
      <c r="AV542" s="139"/>
      <c r="AW542" s="139"/>
      <c r="AX542" s="139"/>
      <c r="AY542" s="139"/>
      <c r="AZ542" s="139"/>
      <c r="BA542" s="139"/>
      <c r="BB542" s="139"/>
    </row>
    <row r="543">
      <c r="A543" s="28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39"/>
      <c r="AK543" s="139"/>
      <c r="AL543" s="139"/>
      <c r="AM543" s="139"/>
      <c r="AN543" s="139"/>
      <c r="AO543" s="139"/>
      <c r="AP543" s="139"/>
      <c r="AQ543" s="139"/>
      <c r="AR543" s="139"/>
      <c r="AS543" s="139"/>
      <c r="AT543" s="139"/>
      <c r="AU543" s="139"/>
      <c r="AV543" s="139"/>
      <c r="AW543" s="139"/>
      <c r="AX543" s="139"/>
      <c r="AY543" s="139"/>
      <c r="AZ543" s="139"/>
      <c r="BA543" s="139"/>
      <c r="BB543" s="139"/>
    </row>
    <row r="544">
      <c r="A544" s="28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39"/>
      <c r="AD544" s="139"/>
      <c r="AE544" s="139"/>
      <c r="AF544" s="139"/>
      <c r="AG544" s="139"/>
      <c r="AH544" s="139"/>
      <c r="AI544" s="139"/>
      <c r="AJ544" s="139"/>
      <c r="AK544" s="139"/>
      <c r="AL544" s="139"/>
      <c r="AM544" s="139"/>
      <c r="AN544" s="139"/>
      <c r="AO544" s="139"/>
      <c r="AP544" s="139"/>
      <c r="AQ544" s="139"/>
      <c r="AR544" s="139"/>
      <c r="AS544" s="139"/>
      <c r="AT544" s="139"/>
      <c r="AU544" s="139"/>
      <c r="AV544" s="139"/>
      <c r="AW544" s="139"/>
      <c r="AX544" s="139"/>
      <c r="AY544" s="139"/>
      <c r="AZ544" s="139"/>
      <c r="BA544" s="139"/>
      <c r="BB544" s="139"/>
    </row>
    <row r="545">
      <c r="A545" s="28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39"/>
      <c r="AK545" s="139"/>
      <c r="AL545" s="139"/>
      <c r="AM545" s="139"/>
      <c r="AN545" s="139"/>
      <c r="AO545" s="139"/>
      <c r="AP545" s="139"/>
      <c r="AQ545" s="139"/>
      <c r="AR545" s="139"/>
      <c r="AS545" s="139"/>
      <c r="AT545" s="139"/>
      <c r="AU545" s="139"/>
      <c r="AV545" s="139"/>
      <c r="AW545" s="139"/>
      <c r="AX545" s="139"/>
      <c r="AY545" s="139"/>
      <c r="AZ545" s="139"/>
      <c r="BA545" s="139"/>
      <c r="BB545" s="139"/>
    </row>
    <row r="546">
      <c r="A546" s="28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39"/>
      <c r="AK546" s="139"/>
      <c r="AL546" s="139"/>
      <c r="AM546" s="139"/>
      <c r="AN546" s="139"/>
      <c r="AO546" s="139"/>
      <c r="AP546" s="139"/>
      <c r="AQ546" s="139"/>
      <c r="AR546" s="139"/>
      <c r="AS546" s="139"/>
      <c r="AT546" s="139"/>
      <c r="AU546" s="139"/>
      <c r="AV546" s="139"/>
      <c r="AW546" s="139"/>
      <c r="AX546" s="139"/>
      <c r="AY546" s="139"/>
      <c r="AZ546" s="139"/>
      <c r="BA546" s="139"/>
      <c r="BB546" s="139"/>
    </row>
    <row r="547">
      <c r="A547" s="28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  <c r="BA547" s="139"/>
      <c r="BB547" s="139"/>
    </row>
    <row r="548">
      <c r="A548" s="28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139"/>
      <c r="AJ548" s="139"/>
      <c r="AK548" s="139"/>
      <c r="AL548" s="139"/>
      <c r="AM548" s="139"/>
      <c r="AN548" s="139"/>
      <c r="AO548" s="139"/>
      <c r="AP548" s="139"/>
      <c r="AQ548" s="139"/>
      <c r="AR548" s="139"/>
      <c r="AS548" s="139"/>
      <c r="AT548" s="139"/>
      <c r="AU548" s="139"/>
      <c r="AV548" s="139"/>
      <c r="AW548" s="139"/>
      <c r="AX548" s="139"/>
      <c r="AY548" s="139"/>
      <c r="AZ548" s="139"/>
      <c r="BA548" s="139"/>
      <c r="BB548" s="139"/>
    </row>
    <row r="549">
      <c r="A549" s="28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39"/>
      <c r="AK549" s="139"/>
      <c r="AL549" s="139"/>
      <c r="AM549" s="139"/>
      <c r="AN549" s="139"/>
      <c r="AO549" s="139"/>
      <c r="AP549" s="139"/>
      <c r="AQ549" s="139"/>
      <c r="AR549" s="139"/>
      <c r="AS549" s="139"/>
      <c r="AT549" s="139"/>
      <c r="AU549" s="139"/>
      <c r="AV549" s="139"/>
      <c r="AW549" s="139"/>
      <c r="AX549" s="139"/>
      <c r="AY549" s="139"/>
      <c r="AZ549" s="139"/>
      <c r="BA549" s="139"/>
      <c r="BB549" s="139"/>
    </row>
    <row r="550">
      <c r="A550" s="28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39"/>
      <c r="AD550" s="139"/>
      <c r="AE550" s="139"/>
      <c r="AF550" s="139"/>
      <c r="AG550" s="139"/>
      <c r="AH550" s="139"/>
      <c r="AI550" s="139"/>
      <c r="AJ550" s="139"/>
      <c r="AK550" s="139"/>
      <c r="AL550" s="139"/>
      <c r="AM550" s="139"/>
      <c r="AN550" s="139"/>
      <c r="AO550" s="139"/>
      <c r="AP550" s="139"/>
      <c r="AQ550" s="139"/>
      <c r="AR550" s="139"/>
      <c r="AS550" s="139"/>
      <c r="AT550" s="139"/>
      <c r="AU550" s="139"/>
      <c r="AV550" s="139"/>
      <c r="AW550" s="139"/>
      <c r="AX550" s="139"/>
      <c r="AY550" s="139"/>
      <c r="AZ550" s="139"/>
      <c r="BA550" s="139"/>
      <c r="BB550" s="139"/>
    </row>
    <row r="551">
      <c r="A551" s="28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9"/>
      <c r="AM551" s="139"/>
      <c r="AN551" s="139"/>
      <c r="AO551" s="139"/>
      <c r="AP551" s="139"/>
      <c r="AQ551" s="139"/>
      <c r="AR551" s="139"/>
      <c r="AS551" s="139"/>
      <c r="AT551" s="139"/>
      <c r="AU551" s="139"/>
      <c r="AV551" s="139"/>
      <c r="AW551" s="139"/>
      <c r="AX551" s="139"/>
      <c r="AY551" s="139"/>
      <c r="AZ551" s="139"/>
      <c r="BA551" s="139"/>
      <c r="BB551" s="139"/>
    </row>
    <row r="552">
      <c r="A552" s="28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39"/>
      <c r="AK552" s="139"/>
      <c r="AL552" s="139"/>
      <c r="AM552" s="139"/>
      <c r="AN552" s="139"/>
      <c r="AO552" s="139"/>
      <c r="AP552" s="139"/>
      <c r="AQ552" s="139"/>
      <c r="AR552" s="139"/>
      <c r="AS552" s="139"/>
      <c r="AT552" s="139"/>
      <c r="AU552" s="139"/>
      <c r="AV552" s="139"/>
      <c r="AW552" s="139"/>
      <c r="AX552" s="139"/>
      <c r="AY552" s="139"/>
      <c r="AZ552" s="139"/>
      <c r="BA552" s="139"/>
      <c r="BB552" s="139"/>
    </row>
    <row r="553">
      <c r="A553" s="28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39"/>
      <c r="AK553" s="139"/>
      <c r="AL553" s="139"/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  <c r="AW553" s="139"/>
      <c r="AX553" s="139"/>
      <c r="AY553" s="139"/>
      <c r="AZ553" s="139"/>
      <c r="BA553" s="139"/>
      <c r="BB553" s="139"/>
    </row>
    <row r="554">
      <c r="A554" s="28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39"/>
      <c r="AD554" s="139"/>
      <c r="AE554" s="139"/>
      <c r="AF554" s="139"/>
      <c r="AG554" s="139"/>
      <c r="AH554" s="139"/>
      <c r="AI554" s="139"/>
      <c r="AJ554" s="139"/>
      <c r="AK554" s="139"/>
      <c r="AL554" s="139"/>
      <c r="AM554" s="139"/>
      <c r="AN554" s="139"/>
      <c r="AO554" s="139"/>
      <c r="AP554" s="139"/>
      <c r="AQ554" s="139"/>
      <c r="AR554" s="139"/>
      <c r="AS554" s="139"/>
      <c r="AT554" s="139"/>
      <c r="AU554" s="139"/>
      <c r="AV554" s="139"/>
      <c r="AW554" s="139"/>
      <c r="AX554" s="139"/>
      <c r="AY554" s="139"/>
      <c r="AZ554" s="139"/>
      <c r="BA554" s="139"/>
      <c r="BB554" s="139"/>
    </row>
    <row r="555">
      <c r="A555" s="28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39"/>
      <c r="AK555" s="139"/>
      <c r="AL555" s="139"/>
      <c r="AM555" s="139"/>
      <c r="AN555" s="139"/>
      <c r="AO555" s="139"/>
      <c r="AP555" s="139"/>
      <c r="AQ555" s="139"/>
      <c r="AR555" s="139"/>
      <c r="AS555" s="139"/>
      <c r="AT555" s="139"/>
      <c r="AU555" s="139"/>
      <c r="AV555" s="139"/>
      <c r="AW555" s="139"/>
      <c r="AX555" s="139"/>
      <c r="AY555" s="139"/>
      <c r="AZ555" s="139"/>
      <c r="BA555" s="139"/>
      <c r="BB555" s="139"/>
    </row>
    <row r="556">
      <c r="A556" s="28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39"/>
      <c r="AD556" s="139"/>
      <c r="AE556" s="139"/>
      <c r="AF556" s="139"/>
      <c r="AG556" s="139"/>
      <c r="AH556" s="139"/>
      <c r="AI556" s="139"/>
      <c r="AJ556" s="139"/>
      <c r="AK556" s="139"/>
      <c r="AL556" s="139"/>
      <c r="AM556" s="139"/>
      <c r="AN556" s="139"/>
      <c r="AO556" s="139"/>
      <c r="AP556" s="139"/>
      <c r="AQ556" s="139"/>
      <c r="AR556" s="139"/>
      <c r="AS556" s="139"/>
      <c r="AT556" s="139"/>
      <c r="AU556" s="139"/>
      <c r="AV556" s="139"/>
      <c r="AW556" s="139"/>
      <c r="AX556" s="139"/>
      <c r="AY556" s="139"/>
      <c r="AZ556" s="139"/>
      <c r="BA556" s="139"/>
      <c r="BB556" s="139"/>
    </row>
    <row r="557">
      <c r="A557" s="28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  <c r="AF557" s="139"/>
      <c r="AG557" s="139"/>
      <c r="AH557" s="139"/>
      <c r="AI557" s="139"/>
      <c r="AJ557" s="139"/>
      <c r="AK557" s="139"/>
      <c r="AL557" s="139"/>
      <c r="AM557" s="139"/>
      <c r="AN557" s="139"/>
      <c r="AO557" s="139"/>
      <c r="AP557" s="139"/>
      <c r="AQ557" s="139"/>
      <c r="AR557" s="139"/>
      <c r="AS557" s="139"/>
      <c r="AT557" s="139"/>
      <c r="AU557" s="139"/>
      <c r="AV557" s="139"/>
      <c r="AW557" s="139"/>
      <c r="AX557" s="139"/>
      <c r="AY557" s="139"/>
      <c r="AZ557" s="139"/>
      <c r="BA557" s="139"/>
      <c r="BB557" s="139"/>
    </row>
    <row r="558">
      <c r="A558" s="28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  <c r="AC558" s="139"/>
      <c r="AD558" s="139"/>
      <c r="AE558" s="139"/>
      <c r="AF558" s="139"/>
      <c r="AG558" s="139"/>
      <c r="AH558" s="139"/>
      <c r="AI558" s="139"/>
      <c r="AJ558" s="139"/>
      <c r="AK558" s="139"/>
      <c r="AL558" s="139"/>
      <c r="AM558" s="139"/>
      <c r="AN558" s="139"/>
      <c r="AO558" s="139"/>
      <c r="AP558" s="139"/>
      <c r="AQ558" s="139"/>
      <c r="AR558" s="139"/>
      <c r="AS558" s="139"/>
      <c r="AT558" s="139"/>
      <c r="AU558" s="139"/>
      <c r="AV558" s="139"/>
      <c r="AW558" s="139"/>
      <c r="AX558" s="139"/>
      <c r="AY558" s="139"/>
      <c r="AZ558" s="139"/>
      <c r="BA558" s="139"/>
      <c r="BB558" s="139"/>
    </row>
    <row r="559">
      <c r="A559" s="28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39"/>
      <c r="AD559" s="139"/>
      <c r="AE559" s="139"/>
      <c r="AF559" s="139"/>
      <c r="AG559" s="139"/>
      <c r="AH559" s="139"/>
      <c r="AI559" s="139"/>
      <c r="AJ559" s="139"/>
      <c r="AK559" s="139"/>
      <c r="AL559" s="139"/>
      <c r="AM559" s="139"/>
      <c r="AN559" s="139"/>
      <c r="AO559" s="139"/>
      <c r="AP559" s="139"/>
      <c r="AQ559" s="139"/>
      <c r="AR559" s="139"/>
      <c r="AS559" s="139"/>
      <c r="AT559" s="139"/>
      <c r="AU559" s="139"/>
      <c r="AV559" s="139"/>
      <c r="AW559" s="139"/>
      <c r="AX559" s="139"/>
      <c r="AY559" s="139"/>
      <c r="AZ559" s="139"/>
      <c r="BA559" s="139"/>
      <c r="BB559" s="139"/>
    </row>
    <row r="560">
      <c r="A560" s="28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  <c r="AC560" s="139"/>
      <c r="AD560" s="139"/>
      <c r="AE560" s="139"/>
      <c r="AF560" s="139"/>
      <c r="AG560" s="139"/>
      <c r="AH560" s="139"/>
      <c r="AI560" s="139"/>
      <c r="AJ560" s="139"/>
      <c r="AK560" s="139"/>
      <c r="AL560" s="139"/>
      <c r="AM560" s="139"/>
      <c r="AN560" s="139"/>
      <c r="AO560" s="139"/>
      <c r="AP560" s="139"/>
      <c r="AQ560" s="139"/>
      <c r="AR560" s="139"/>
      <c r="AS560" s="139"/>
      <c r="AT560" s="139"/>
      <c r="AU560" s="139"/>
      <c r="AV560" s="139"/>
      <c r="AW560" s="139"/>
      <c r="AX560" s="139"/>
      <c r="AY560" s="139"/>
      <c r="AZ560" s="139"/>
      <c r="BA560" s="139"/>
      <c r="BB560" s="139"/>
    </row>
    <row r="561">
      <c r="A561" s="28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39"/>
      <c r="AD561" s="139"/>
      <c r="AE561" s="139"/>
      <c r="AF561" s="139"/>
      <c r="AG561" s="139"/>
      <c r="AH561" s="139"/>
      <c r="AI561" s="139"/>
      <c r="AJ561" s="139"/>
      <c r="AK561" s="139"/>
      <c r="AL561" s="139"/>
      <c r="AM561" s="139"/>
      <c r="AN561" s="139"/>
      <c r="AO561" s="139"/>
      <c r="AP561" s="139"/>
      <c r="AQ561" s="139"/>
      <c r="AR561" s="139"/>
      <c r="AS561" s="139"/>
      <c r="AT561" s="139"/>
      <c r="AU561" s="139"/>
      <c r="AV561" s="139"/>
      <c r="AW561" s="139"/>
      <c r="AX561" s="139"/>
      <c r="AY561" s="139"/>
      <c r="AZ561" s="139"/>
      <c r="BA561" s="139"/>
      <c r="BB561" s="139"/>
    </row>
    <row r="562">
      <c r="A562" s="28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  <c r="AC562" s="139"/>
      <c r="AD562" s="139"/>
      <c r="AE562" s="139"/>
      <c r="AF562" s="139"/>
      <c r="AG562" s="139"/>
      <c r="AH562" s="139"/>
      <c r="AI562" s="139"/>
      <c r="AJ562" s="139"/>
      <c r="AK562" s="139"/>
      <c r="AL562" s="139"/>
      <c r="AM562" s="139"/>
      <c r="AN562" s="139"/>
      <c r="AO562" s="139"/>
      <c r="AP562" s="139"/>
      <c r="AQ562" s="139"/>
      <c r="AR562" s="139"/>
      <c r="AS562" s="139"/>
      <c r="AT562" s="139"/>
      <c r="AU562" s="139"/>
      <c r="AV562" s="139"/>
      <c r="AW562" s="139"/>
      <c r="AX562" s="139"/>
      <c r="AY562" s="139"/>
      <c r="AZ562" s="139"/>
      <c r="BA562" s="139"/>
      <c r="BB562" s="139"/>
    </row>
    <row r="563">
      <c r="A563" s="28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39"/>
      <c r="AK563" s="139"/>
      <c r="AL563" s="139"/>
      <c r="AM563" s="139"/>
      <c r="AN563" s="139"/>
      <c r="AO563" s="139"/>
      <c r="AP563" s="139"/>
      <c r="AQ563" s="139"/>
      <c r="AR563" s="139"/>
      <c r="AS563" s="139"/>
      <c r="AT563" s="139"/>
      <c r="AU563" s="139"/>
      <c r="AV563" s="139"/>
      <c r="AW563" s="139"/>
      <c r="AX563" s="139"/>
      <c r="AY563" s="139"/>
      <c r="AZ563" s="139"/>
      <c r="BA563" s="139"/>
      <c r="BB563" s="139"/>
    </row>
    <row r="564">
      <c r="A564" s="28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39"/>
      <c r="AK564" s="139"/>
      <c r="AL564" s="139"/>
      <c r="AM564" s="139"/>
      <c r="AN564" s="139"/>
      <c r="AO564" s="139"/>
      <c r="AP564" s="139"/>
      <c r="AQ564" s="139"/>
      <c r="AR564" s="139"/>
      <c r="AS564" s="139"/>
      <c r="AT564" s="139"/>
      <c r="AU564" s="139"/>
      <c r="AV564" s="139"/>
      <c r="AW564" s="139"/>
      <c r="AX564" s="139"/>
      <c r="AY564" s="139"/>
      <c r="AZ564" s="139"/>
      <c r="BA564" s="139"/>
      <c r="BB564" s="139"/>
    </row>
    <row r="565">
      <c r="A565" s="28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39"/>
      <c r="AD565" s="139"/>
      <c r="AE565" s="139"/>
      <c r="AF565" s="139"/>
      <c r="AG565" s="139"/>
      <c r="AH565" s="139"/>
      <c r="AI565" s="139"/>
      <c r="AJ565" s="139"/>
      <c r="AK565" s="139"/>
      <c r="AL565" s="139"/>
      <c r="AM565" s="139"/>
      <c r="AN565" s="139"/>
      <c r="AO565" s="139"/>
      <c r="AP565" s="139"/>
      <c r="AQ565" s="139"/>
      <c r="AR565" s="139"/>
      <c r="AS565" s="139"/>
      <c r="AT565" s="139"/>
      <c r="AU565" s="139"/>
      <c r="AV565" s="139"/>
      <c r="AW565" s="139"/>
      <c r="AX565" s="139"/>
      <c r="AY565" s="139"/>
      <c r="AZ565" s="139"/>
      <c r="BA565" s="139"/>
      <c r="BB565" s="139"/>
    </row>
    <row r="566">
      <c r="A566" s="28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39"/>
      <c r="AK566" s="139"/>
      <c r="AL566" s="139"/>
      <c r="AM566" s="139"/>
      <c r="AN566" s="139"/>
      <c r="AO566" s="139"/>
      <c r="AP566" s="139"/>
      <c r="AQ566" s="139"/>
      <c r="AR566" s="139"/>
      <c r="AS566" s="139"/>
      <c r="AT566" s="139"/>
      <c r="AU566" s="139"/>
      <c r="AV566" s="139"/>
      <c r="AW566" s="139"/>
      <c r="AX566" s="139"/>
      <c r="AY566" s="139"/>
      <c r="AZ566" s="139"/>
      <c r="BA566" s="139"/>
      <c r="BB566" s="139"/>
    </row>
    <row r="567">
      <c r="A567" s="28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39"/>
      <c r="AD567" s="139"/>
      <c r="AE567" s="139"/>
      <c r="AF567" s="139"/>
      <c r="AG567" s="139"/>
      <c r="AH567" s="139"/>
      <c r="AI567" s="139"/>
      <c r="AJ567" s="139"/>
      <c r="AK567" s="139"/>
      <c r="AL567" s="139"/>
      <c r="AM567" s="139"/>
      <c r="AN567" s="139"/>
      <c r="AO567" s="139"/>
      <c r="AP567" s="139"/>
      <c r="AQ567" s="139"/>
      <c r="AR567" s="139"/>
      <c r="AS567" s="139"/>
      <c r="AT567" s="139"/>
      <c r="AU567" s="139"/>
      <c r="AV567" s="139"/>
      <c r="AW567" s="139"/>
      <c r="AX567" s="139"/>
      <c r="AY567" s="139"/>
      <c r="AZ567" s="139"/>
      <c r="BA567" s="139"/>
      <c r="BB567" s="139"/>
    </row>
    <row r="568">
      <c r="A568" s="28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39"/>
      <c r="AK568" s="139"/>
      <c r="AL568" s="139"/>
      <c r="AM568" s="139"/>
      <c r="AN568" s="139"/>
      <c r="AO568" s="139"/>
      <c r="AP568" s="139"/>
      <c r="AQ568" s="139"/>
      <c r="AR568" s="139"/>
      <c r="AS568" s="139"/>
      <c r="AT568" s="139"/>
      <c r="AU568" s="139"/>
      <c r="AV568" s="139"/>
      <c r="AW568" s="139"/>
      <c r="AX568" s="139"/>
      <c r="AY568" s="139"/>
      <c r="AZ568" s="139"/>
      <c r="BA568" s="139"/>
      <c r="BB568" s="139"/>
    </row>
    <row r="569">
      <c r="A569" s="28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39"/>
      <c r="AK569" s="139"/>
      <c r="AL569" s="139"/>
      <c r="AM569" s="139"/>
      <c r="AN569" s="139"/>
      <c r="AO569" s="139"/>
      <c r="AP569" s="139"/>
      <c r="AQ569" s="139"/>
      <c r="AR569" s="139"/>
      <c r="AS569" s="139"/>
      <c r="AT569" s="139"/>
      <c r="AU569" s="139"/>
      <c r="AV569" s="139"/>
      <c r="AW569" s="139"/>
      <c r="AX569" s="139"/>
      <c r="AY569" s="139"/>
      <c r="AZ569" s="139"/>
      <c r="BA569" s="139"/>
      <c r="BB569" s="139"/>
    </row>
    <row r="570">
      <c r="A570" s="28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39"/>
      <c r="AK570" s="139"/>
      <c r="AL570" s="139"/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  <c r="AW570" s="139"/>
      <c r="AX570" s="139"/>
      <c r="AY570" s="139"/>
      <c r="AZ570" s="139"/>
      <c r="BA570" s="139"/>
      <c r="BB570" s="139"/>
    </row>
    <row r="571">
      <c r="A571" s="28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39"/>
      <c r="AD571" s="139"/>
      <c r="AE571" s="139"/>
      <c r="AF571" s="139"/>
      <c r="AG571" s="139"/>
      <c r="AH571" s="139"/>
      <c r="AI571" s="139"/>
      <c r="AJ571" s="139"/>
      <c r="AK571" s="139"/>
      <c r="AL571" s="139"/>
      <c r="AM571" s="139"/>
      <c r="AN571" s="139"/>
      <c r="AO571" s="139"/>
      <c r="AP571" s="139"/>
      <c r="AQ571" s="139"/>
      <c r="AR571" s="139"/>
      <c r="AS571" s="139"/>
      <c r="AT571" s="139"/>
      <c r="AU571" s="139"/>
      <c r="AV571" s="139"/>
      <c r="AW571" s="139"/>
      <c r="AX571" s="139"/>
      <c r="AY571" s="139"/>
      <c r="AZ571" s="139"/>
      <c r="BA571" s="139"/>
      <c r="BB571" s="139"/>
    </row>
    <row r="572">
      <c r="A572" s="28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39"/>
      <c r="AD572" s="139"/>
      <c r="AE572" s="139"/>
      <c r="AF572" s="139"/>
      <c r="AG572" s="139"/>
      <c r="AH572" s="139"/>
      <c r="AI572" s="139"/>
      <c r="AJ572" s="139"/>
      <c r="AK572" s="139"/>
      <c r="AL572" s="139"/>
      <c r="AM572" s="139"/>
      <c r="AN572" s="139"/>
      <c r="AO572" s="139"/>
      <c r="AP572" s="139"/>
      <c r="AQ572" s="139"/>
      <c r="AR572" s="139"/>
      <c r="AS572" s="139"/>
      <c r="AT572" s="139"/>
      <c r="AU572" s="139"/>
      <c r="AV572" s="139"/>
      <c r="AW572" s="139"/>
      <c r="AX572" s="139"/>
      <c r="AY572" s="139"/>
      <c r="AZ572" s="139"/>
      <c r="BA572" s="139"/>
      <c r="BB572" s="139"/>
    </row>
    <row r="573">
      <c r="A573" s="28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39"/>
      <c r="AD573" s="139"/>
      <c r="AE573" s="139"/>
      <c r="AF573" s="139"/>
      <c r="AG573" s="139"/>
      <c r="AH573" s="139"/>
      <c r="AI573" s="139"/>
      <c r="AJ573" s="139"/>
      <c r="AK573" s="139"/>
      <c r="AL573" s="139"/>
      <c r="AM573" s="139"/>
      <c r="AN573" s="139"/>
      <c r="AO573" s="139"/>
      <c r="AP573" s="139"/>
      <c r="AQ573" s="139"/>
      <c r="AR573" s="139"/>
      <c r="AS573" s="139"/>
      <c r="AT573" s="139"/>
      <c r="AU573" s="139"/>
      <c r="AV573" s="139"/>
      <c r="AW573" s="139"/>
      <c r="AX573" s="139"/>
      <c r="AY573" s="139"/>
      <c r="AZ573" s="139"/>
      <c r="BA573" s="139"/>
      <c r="BB573" s="139"/>
    </row>
    <row r="574">
      <c r="A574" s="28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39"/>
      <c r="AK574" s="139"/>
      <c r="AL574" s="139"/>
      <c r="AM574" s="139"/>
      <c r="AN574" s="139"/>
      <c r="AO574" s="139"/>
      <c r="AP574" s="139"/>
      <c r="AQ574" s="139"/>
      <c r="AR574" s="139"/>
      <c r="AS574" s="139"/>
      <c r="AT574" s="139"/>
      <c r="AU574" s="139"/>
      <c r="AV574" s="139"/>
      <c r="AW574" s="139"/>
      <c r="AX574" s="139"/>
      <c r="AY574" s="139"/>
      <c r="AZ574" s="139"/>
      <c r="BA574" s="139"/>
      <c r="BB574" s="139"/>
    </row>
    <row r="575">
      <c r="A575" s="28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39"/>
      <c r="AD575" s="139"/>
      <c r="AE575" s="139"/>
      <c r="AF575" s="139"/>
      <c r="AG575" s="139"/>
      <c r="AH575" s="139"/>
      <c r="AI575" s="139"/>
      <c r="AJ575" s="139"/>
      <c r="AK575" s="139"/>
      <c r="AL575" s="139"/>
      <c r="AM575" s="139"/>
      <c r="AN575" s="139"/>
      <c r="AO575" s="139"/>
      <c r="AP575" s="139"/>
      <c r="AQ575" s="139"/>
      <c r="AR575" s="139"/>
      <c r="AS575" s="139"/>
      <c r="AT575" s="139"/>
      <c r="AU575" s="139"/>
      <c r="AV575" s="139"/>
      <c r="AW575" s="139"/>
      <c r="AX575" s="139"/>
      <c r="AY575" s="139"/>
      <c r="AZ575" s="139"/>
      <c r="BA575" s="139"/>
      <c r="BB575" s="139"/>
    </row>
    <row r="576">
      <c r="A576" s="28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39"/>
      <c r="AK576" s="139"/>
      <c r="AL576" s="139"/>
      <c r="AM576" s="139"/>
      <c r="AN576" s="139"/>
      <c r="AO576" s="139"/>
      <c r="AP576" s="139"/>
      <c r="AQ576" s="139"/>
      <c r="AR576" s="139"/>
      <c r="AS576" s="139"/>
      <c r="AT576" s="139"/>
      <c r="AU576" s="139"/>
      <c r="AV576" s="139"/>
      <c r="AW576" s="139"/>
      <c r="AX576" s="139"/>
      <c r="AY576" s="139"/>
      <c r="AZ576" s="139"/>
      <c r="BA576" s="139"/>
      <c r="BB576" s="139"/>
    </row>
    <row r="577">
      <c r="A577" s="28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39"/>
      <c r="AD577" s="139"/>
      <c r="AE577" s="139"/>
      <c r="AF577" s="139"/>
      <c r="AG577" s="139"/>
      <c r="AH577" s="139"/>
      <c r="AI577" s="139"/>
      <c r="AJ577" s="139"/>
      <c r="AK577" s="139"/>
      <c r="AL577" s="139"/>
      <c r="AM577" s="139"/>
      <c r="AN577" s="139"/>
      <c r="AO577" s="139"/>
      <c r="AP577" s="139"/>
      <c r="AQ577" s="139"/>
      <c r="AR577" s="139"/>
      <c r="AS577" s="139"/>
      <c r="AT577" s="139"/>
      <c r="AU577" s="139"/>
      <c r="AV577" s="139"/>
      <c r="AW577" s="139"/>
      <c r="AX577" s="139"/>
      <c r="AY577" s="139"/>
      <c r="AZ577" s="139"/>
      <c r="BA577" s="139"/>
      <c r="BB577" s="139"/>
    </row>
    <row r="578">
      <c r="A578" s="28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39"/>
      <c r="AK578" s="139"/>
      <c r="AL578" s="139"/>
      <c r="AM578" s="139"/>
      <c r="AN578" s="139"/>
      <c r="AO578" s="139"/>
      <c r="AP578" s="139"/>
      <c r="AQ578" s="139"/>
      <c r="AR578" s="139"/>
      <c r="AS578" s="139"/>
      <c r="AT578" s="139"/>
      <c r="AU578" s="139"/>
      <c r="AV578" s="139"/>
      <c r="AW578" s="139"/>
      <c r="AX578" s="139"/>
      <c r="AY578" s="139"/>
      <c r="AZ578" s="139"/>
      <c r="BA578" s="139"/>
      <c r="BB578" s="139"/>
    </row>
    <row r="579">
      <c r="A579" s="28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39"/>
      <c r="AD579" s="139"/>
      <c r="AE579" s="139"/>
      <c r="AF579" s="139"/>
      <c r="AG579" s="139"/>
      <c r="AH579" s="139"/>
      <c r="AI579" s="139"/>
      <c r="AJ579" s="139"/>
      <c r="AK579" s="139"/>
      <c r="AL579" s="139"/>
      <c r="AM579" s="139"/>
      <c r="AN579" s="139"/>
      <c r="AO579" s="139"/>
      <c r="AP579" s="139"/>
      <c r="AQ579" s="139"/>
      <c r="AR579" s="139"/>
      <c r="AS579" s="139"/>
      <c r="AT579" s="139"/>
      <c r="AU579" s="139"/>
      <c r="AV579" s="139"/>
      <c r="AW579" s="139"/>
      <c r="AX579" s="139"/>
      <c r="AY579" s="139"/>
      <c r="AZ579" s="139"/>
      <c r="BA579" s="139"/>
      <c r="BB579" s="139"/>
    </row>
    <row r="580">
      <c r="A580" s="28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39"/>
      <c r="AK580" s="139"/>
      <c r="AL580" s="139"/>
      <c r="AM580" s="139"/>
      <c r="AN580" s="139"/>
      <c r="AO580" s="139"/>
      <c r="AP580" s="139"/>
      <c r="AQ580" s="139"/>
      <c r="AR580" s="139"/>
      <c r="AS580" s="139"/>
      <c r="AT580" s="139"/>
      <c r="AU580" s="139"/>
      <c r="AV580" s="139"/>
      <c r="AW580" s="139"/>
      <c r="AX580" s="139"/>
      <c r="AY580" s="139"/>
      <c r="AZ580" s="139"/>
      <c r="BA580" s="139"/>
      <c r="BB580" s="139"/>
    </row>
    <row r="581">
      <c r="A581" s="28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39"/>
      <c r="AD581" s="139"/>
      <c r="AE581" s="139"/>
      <c r="AF581" s="139"/>
      <c r="AG581" s="139"/>
      <c r="AH581" s="139"/>
      <c r="AI581" s="139"/>
      <c r="AJ581" s="139"/>
      <c r="AK581" s="139"/>
      <c r="AL581" s="139"/>
      <c r="AM581" s="139"/>
      <c r="AN581" s="139"/>
      <c r="AO581" s="139"/>
      <c r="AP581" s="139"/>
      <c r="AQ581" s="139"/>
      <c r="AR581" s="139"/>
      <c r="AS581" s="139"/>
      <c r="AT581" s="139"/>
      <c r="AU581" s="139"/>
      <c r="AV581" s="139"/>
      <c r="AW581" s="139"/>
      <c r="AX581" s="139"/>
      <c r="AY581" s="139"/>
      <c r="AZ581" s="139"/>
      <c r="BA581" s="139"/>
      <c r="BB581" s="139"/>
    </row>
    <row r="582">
      <c r="A582" s="28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39"/>
      <c r="AK582" s="139"/>
      <c r="AL582" s="139"/>
      <c r="AM582" s="139"/>
      <c r="AN582" s="139"/>
      <c r="AO582" s="139"/>
      <c r="AP582" s="139"/>
      <c r="AQ582" s="139"/>
      <c r="AR582" s="139"/>
      <c r="AS582" s="139"/>
      <c r="AT582" s="139"/>
      <c r="AU582" s="139"/>
      <c r="AV582" s="139"/>
      <c r="AW582" s="139"/>
      <c r="AX582" s="139"/>
      <c r="AY582" s="139"/>
      <c r="AZ582" s="139"/>
      <c r="BA582" s="139"/>
      <c r="BB582" s="139"/>
    </row>
    <row r="583">
      <c r="A583" s="28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39"/>
      <c r="AD583" s="139"/>
      <c r="AE583" s="139"/>
      <c r="AF583" s="139"/>
      <c r="AG583" s="139"/>
      <c r="AH583" s="139"/>
      <c r="AI583" s="139"/>
      <c r="AJ583" s="139"/>
      <c r="AK583" s="139"/>
      <c r="AL583" s="139"/>
      <c r="AM583" s="139"/>
      <c r="AN583" s="139"/>
      <c r="AO583" s="139"/>
      <c r="AP583" s="139"/>
      <c r="AQ583" s="139"/>
      <c r="AR583" s="139"/>
      <c r="AS583" s="139"/>
      <c r="AT583" s="139"/>
      <c r="AU583" s="139"/>
      <c r="AV583" s="139"/>
      <c r="AW583" s="139"/>
      <c r="AX583" s="139"/>
      <c r="AY583" s="139"/>
      <c r="AZ583" s="139"/>
      <c r="BA583" s="139"/>
      <c r="BB583" s="139"/>
    </row>
    <row r="584">
      <c r="A584" s="28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39"/>
      <c r="AD584" s="139"/>
      <c r="AE584" s="139"/>
      <c r="AF584" s="139"/>
      <c r="AG584" s="139"/>
      <c r="AH584" s="139"/>
      <c r="AI584" s="139"/>
      <c r="AJ584" s="139"/>
      <c r="AK584" s="139"/>
      <c r="AL584" s="139"/>
      <c r="AM584" s="139"/>
      <c r="AN584" s="139"/>
      <c r="AO584" s="139"/>
      <c r="AP584" s="139"/>
      <c r="AQ584" s="139"/>
      <c r="AR584" s="139"/>
      <c r="AS584" s="139"/>
      <c r="AT584" s="139"/>
      <c r="AU584" s="139"/>
      <c r="AV584" s="139"/>
      <c r="AW584" s="139"/>
      <c r="AX584" s="139"/>
      <c r="AY584" s="139"/>
      <c r="AZ584" s="139"/>
      <c r="BA584" s="139"/>
      <c r="BB584" s="139"/>
    </row>
    <row r="585">
      <c r="A585" s="28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39"/>
      <c r="AK585" s="139"/>
      <c r="AL585" s="139"/>
      <c r="AM585" s="139"/>
      <c r="AN585" s="139"/>
      <c r="AO585" s="139"/>
      <c r="AP585" s="139"/>
      <c r="AQ585" s="139"/>
      <c r="AR585" s="139"/>
      <c r="AS585" s="139"/>
      <c r="AT585" s="139"/>
      <c r="AU585" s="139"/>
      <c r="AV585" s="139"/>
      <c r="AW585" s="139"/>
      <c r="AX585" s="139"/>
      <c r="AY585" s="139"/>
      <c r="AZ585" s="139"/>
      <c r="BA585" s="139"/>
      <c r="BB585" s="139"/>
    </row>
    <row r="586">
      <c r="A586" s="28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39"/>
      <c r="AD586" s="139"/>
      <c r="AE586" s="139"/>
      <c r="AF586" s="139"/>
      <c r="AG586" s="139"/>
      <c r="AH586" s="139"/>
      <c r="AI586" s="139"/>
      <c r="AJ586" s="139"/>
      <c r="AK586" s="139"/>
      <c r="AL586" s="139"/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  <c r="AW586" s="139"/>
      <c r="AX586" s="139"/>
      <c r="AY586" s="139"/>
      <c r="AZ586" s="139"/>
      <c r="BA586" s="139"/>
      <c r="BB586" s="139"/>
    </row>
    <row r="587">
      <c r="A587" s="28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39"/>
      <c r="AK587" s="139"/>
      <c r="AL587" s="139"/>
      <c r="AM587" s="139"/>
      <c r="AN587" s="139"/>
      <c r="AO587" s="139"/>
      <c r="AP587" s="139"/>
      <c r="AQ587" s="139"/>
      <c r="AR587" s="139"/>
      <c r="AS587" s="139"/>
      <c r="AT587" s="139"/>
      <c r="AU587" s="139"/>
      <c r="AV587" s="139"/>
      <c r="AW587" s="139"/>
      <c r="AX587" s="139"/>
      <c r="AY587" s="139"/>
      <c r="AZ587" s="139"/>
      <c r="BA587" s="139"/>
      <c r="BB587" s="139"/>
    </row>
    <row r="588">
      <c r="A588" s="28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39"/>
      <c r="AD588" s="139"/>
      <c r="AE588" s="139"/>
      <c r="AF588" s="139"/>
      <c r="AG588" s="139"/>
      <c r="AH588" s="139"/>
      <c r="AI588" s="139"/>
      <c r="AJ588" s="139"/>
      <c r="AK588" s="139"/>
      <c r="AL588" s="139"/>
      <c r="AM588" s="139"/>
      <c r="AN588" s="139"/>
      <c r="AO588" s="139"/>
      <c r="AP588" s="139"/>
      <c r="AQ588" s="139"/>
      <c r="AR588" s="139"/>
      <c r="AS588" s="139"/>
      <c r="AT588" s="139"/>
      <c r="AU588" s="139"/>
      <c r="AV588" s="139"/>
      <c r="AW588" s="139"/>
      <c r="AX588" s="139"/>
      <c r="AY588" s="139"/>
      <c r="AZ588" s="139"/>
      <c r="BA588" s="139"/>
      <c r="BB588" s="139"/>
    </row>
    <row r="589">
      <c r="A589" s="28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39"/>
      <c r="AK589" s="139"/>
      <c r="AL589" s="139"/>
      <c r="AM589" s="139"/>
      <c r="AN589" s="139"/>
      <c r="AO589" s="139"/>
      <c r="AP589" s="139"/>
      <c r="AQ589" s="139"/>
      <c r="AR589" s="139"/>
      <c r="AS589" s="139"/>
      <c r="AT589" s="139"/>
      <c r="AU589" s="139"/>
      <c r="AV589" s="139"/>
      <c r="AW589" s="139"/>
      <c r="AX589" s="139"/>
      <c r="AY589" s="139"/>
      <c r="AZ589" s="139"/>
      <c r="BA589" s="139"/>
      <c r="BB589" s="139"/>
    </row>
    <row r="590">
      <c r="A590" s="28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39"/>
      <c r="AK590" s="139"/>
      <c r="AL590" s="139"/>
      <c r="AM590" s="139"/>
      <c r="AN590" s="139"/>
      <c r="AO590" s="139"/>
      <c r="AP590" s="139"/>
      <c r="AQ590" s="139"/>
      <c r="AR590" s="139"/>
      <c r="AS590" s="139"/>
      <c r="AT590" s="139"/>
      <c r="AU590" s="139"/>
      <c r="AV590" s="139"/>
      <c r="AW590" s="139"/>
      <c r="AX590" s="139"/>
      <c r="AY590" s="139"/>
      <c r="AZ590" s="139"/>
      <c r="BA590" s="139"/>
      <c r="BB590" s="139"/>
    </row>
    <row r="591">
      <c r="A591" s="28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39"/>
      <c r="AD591" s="139"/>
      <c r="AE591" s="139"/>
      <c r="AF591" s="139"/>
      <c r="AG591" s="139"/>
      <c r="AH591" s="139"/>
      <c r="AI591" s="139"/>
      <c r="AJ591" s="139"/>
      <c r="AK591" s="139"/>
      <c r="AL591" s="139"/>
      <c r="AM591" s="139"/>
      <c r="AN591" s="139"/>
      <c r="AO591" s="139"/>
      <c r="AP591" s="139"/>
      <c r="AQ591" s="139"/>
      <c r="AR591" s="139"/>
      <c r="AS591" s="139"/>
      <c r="AT591" s="139"/>
      <c r="AU591" s="139"/>
      <c r="AV591" s="139"/>
      <c r="AW591" s="139"/>
      <c r="AX591" s="139"/>
      <c r="AY591" s="139"/>
      <c r="AZ591" s="139"/>
      <c r="BA591" s="139"/>
      <c r="BB591" s="139"/>
    </row>
    <row r="592">
      <c r="A592" s="28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39"/>
      <c r="AK592" s="139"/>
      <c r="AL592" s="139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39"/>
    </row>
    <row r="593">
      <c r="A593" s="28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39"/>
      <c r="AD593" s="139"/>
      <c r="AE593" s="139"/>
      <c r="AF593" s="139"/>
      <c r="AG593" s="139"/>
      <c r="AH593" s="139"/>
      <c r="AI593" s="139"/>
      <c r="AJ593" s="139"/>
      <c r="AK593" s="139"/>
      <c r="AL593" s="139"/>
      <c r="AM593" s="139"/>
      <c r="AN593" s="139"/>
      <c r="AO593" s="139"/>
      <c r="AP593" s="139"/>
      <c r="AQ593" s="139"/>
      <c r="AR593" s="139"/>
      <c r="AS593" s="139"/>
      <c r="AT593" s="139"/>
      <c r="AU593" s="139"/>
      <c r="AV593" s="139"/>
      <c r="AW593" s="139"/>
      <c r="AX593" s="139"/>
      <c r="AY593" s="139"/>
      <c r="AZ593" s="139"/>
      <c r="BA593" s="139"/>
      <c r="BB593" s="139"/>
    </row>
    <row r="594">
      <c r="A594" s="28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  <c r="AK594" s="139"/>
      <c r="AL594" s="139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39"/>
      <c r="BB594" s="139"/>
    </row>
    <row r="595">
      <c r="A595" s="28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39"/>
      <c r="AD595" s="139"/>
      <c r="AE595" s="139"/>
      <c r="AF595" s="139"/>
      <c r="AG595" s="139"/>
      <c r="AH595" s="139"/>
      <c r="AI595" s="139"/>
      <c r="AJ595" s="139"/>
      <c r="AK595" s="139"/>
      <c r="AL595" s="139"/>
      <c r="AM595" s="139"/>
      <c r="AN595" s="139"/>
      <c r="AO595" s="139"/>
      <c r="AP595" s="139"/>
      <c r="AQ595" s="139"/>
      <c r="AR595" s="139"/>
      <c r="AS595" s="139"/>
      <c r="AT595" s="139"/>
      <c r="AU595" s="139"/>
      <c r="AV595" s="139"/>
      <c r="AW595" s="139"/>
      <c r="AX595" s="139"/>
      <c r="AY595" s="139"/>
      <c r="AZ595" s="139"/>
      <c r="BA595" s="139"/>
      <c r="BB595" s="139"/>
    </row>
    <row r="596">
      <c r="A596" s="28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39"/>
      <c r="AK596" s="139"/>
      <c r="AL596" s="139"/>
      <c r="AM596" s="139"/>
      <c r="AN596" s="139"/>
      <c r="AO596" s="139"/>
      <c r="AP596" s="139"/>
      <c r="AQ596" s="139"/>
      <c r="AR596" s="139"/>
      <c r="AS596" s="139"/>
      <c r="AT596" s="139"/>
      <c r="AU596" s="139"/>
      <c r="AV596" s="139"/>
      <c r="AW596" s="139"/>
      <c r="AX596" s="139"/>
      <c r="AY596" s="139"/>
      <c r="AZ596" s="139"/>
      <c r="BA596" s="139"/>
      <c r="BB596" s="139"/>
    </row>
    <row r="597">
      <c r="A597" s="28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39"/>
      <c r="AK597" s="139"/>
      <c r="AL597" s="139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39"/>
    </row>
    <row r="598">
      <c r="A598" s="28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39"/>
      <c r="AK598" s="139"/>
      <c r="AL598" s="139"/>
      <c r="AM598" s="139"/>
      <c r="AN598" s="139"/>
      <c r="AO598" s="139"/>
      <c r="AP598" s="139"/>
      <c r="AQ598" s="139"/>
      <c r="AR598" s="139"/>
      <c r="AS598" s="139"/>
      <c r="AT598" s="139"/>
      <c r="AU598" s="139"/>
      <c r="AV598" s="139"/>
      <c r="AW598" s="139"/>
      <c r="AX598" s="139"/>
      <c r="AY598" s="139"/>
      <c r="AZ598" s="139"/>
      <c r="BA598" s="139"/>
      <c r="BB598" s="139"/>
    </row>
    <row r="599">
      <c r="A599" s="28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39"/>
      <c r="AG599" s="139"/>
      <c r="AH599" s="139"/>
      <c r="AI599" s="139"/>
      <c r="AJ599" s="139"/>
      <c r="AK599" s="139"/>
      <c r="AL599" s="139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39"/>
      <c r="BB599" s="139"/>
    </row>
    <row r="600">
      <c r="A600" s="28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39"/>
      <c r="AK600" s="139"/>
      <c r="AL600" s="139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</row>
    <row r="601">
      <c r="A601" s="28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39"/>
      <c r="AG601" s="139"/>
      <c r="AH601" s="139"/>
      <c r="AI601" s="139"/>
      <c r="AJ601" s="139"/>
      <c r="AK601" s="139"/>
      <c r="AL601" s="139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39"/>
      <c r="BB601" s="139"/>
    </row>
    <row r="602">
      <c r="A602" s="28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9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39"/>
    </row>
    <row r="603">
      <c r="A603" s="28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39"/>
      <c r="AK603" s="139"/>
      <c r="AL603" s="139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39"/>
    </row>
    <row r="604">
      <c r="A604" s="28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39"/>
      <c r="AD604" s="139"/>
      <c r="AE604" s="139"/>
      <c r="AF604" s="139"/>
      <c r="AG604" s="139"/>
      <c r="AH604" s="139"/>
      <c r="AI604" s="139"/>
      <c r="AJ604" s="139"/>
      <c r="AK604" s="139"/>
      <c r="AL604" s="139"/>
      <c r="AM604" s="139"/>
      <c r="AN604" s="139"/>
      <c r="AO604" s="139"/>
      <c r="AP604" s="139"/>
      <c r="AQ604" s="139"/>
      <c r="AR604" s="139"/>
      <c r="AS604" s="139"/>
      <c r="AT604" s="139"/>
      <c r="AU604" s="139"/>
      <c r="AV604" s="139"/>
      <c r="AW604" s="139"/>
      <c r="AX604" s="139"/>
      <c r="AY604" s="139"/>
      <c r="AZ604" s="139"/>
      <c r="BA604" s="139"/>
      <c r="BB604" s="139"/>
    </row>
    <row r="605">
      <c r="A605" s="28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39"/>
      <c r="AK605" s="139"/>
      <c r="AL605" s="139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</row>
    <row r="606">
      <c r="A606" s="28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39"/>
      <c r="AG606" s="139"/>
      <c r="AH606" s="139"/>
      <c r="AI606" s="139"/>
      <c r="AJ606" s="139"/>
      <c r="AK606" s="139"/>
      <c r="AL606" s="139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39"/>
      <c r="BB606" s="139"/>
    </row>
    <row r="607">
      <c r="A607" s="28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39"/>
      <c r="AK607" s="139"/>
      <c r="AL607" s="139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</row>
    <row r="608">
      <c r="A608" s="28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39"/>
      <c r="AG608" s="139"/>
      <c r="AH608" s="139"/>
      <c r="AI608" s="139"/>
      <c r="AJ608" s="139"/>
      <c r="AK608" s="139"/>
      <c r="AL608" s="139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39"/>
      <c r="BB608" s="139"/>
    </row>
    <row r="609">
      <c r="A609" s="28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39"/>
      <c r="AK609" s="139"/>
      <c r="AL609" s="139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</row>
    <row r="610">
      <c r="A610" s="28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39"/>
      <c r="AG610" s="139"/>
      <c r="AH610" s="139"/>
      <c r="AI610" s="139"/>
      <c r="AJ610" s="139"/>
      <c r="AK610" s="139"/>
      <c r="AL610" s="139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39"/>
      <c r="BB610" s="139"/>
    </row>
    <row r="611">
      <c r="A611" s="28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39"/>
      <c r="AK611" s="139"/>
      <c r="AL611" s="139"/>
      <c r="AM611" s="139"/>
      <c r="AN611" s="139"/>
      <c r="AO611" s="139"/>
      <c r="AP611" s="139"/>
      <c r="AQ611" s="139"/>
      <c r="AR611" s="139"/>
      <c r="AS611" s="139"/>
      <c r="AT611" s="139"/>
      <c r="AU611" s="139"/>
      <c r="AV611" s="139"/>
      <c r="AW611" s="139"/>
      <c r="AX611" s="139"/>
      <c r="AY611" s="139"/>
      <c r="AZ611" s="139"/>
      <c r="BA611" s="139"/>
      <c r="BB611" s="139"/>
    </row>
    <row r="612">
      <c r="A612" s="28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39"/>
      <c r="AD612" s="139"/>
      <c r="AE612" s="139"/>
      <c r="AF612" s="139"/>
      <c r="AG612" s="139"/>
      <c r="AH612" s="139"/>
      <c r="AI612" s="139"/>
      <c r="AJ612" s="139"/>
      <c r="AK612" s="139"/>
      <c r="AL612" s="139"/>
      <c r="AM612" s="139"/>
      <c r="AN612" s="139"/>
      <c r="AO612" s="139"/>
      <c r="AP612" s="139"/>
      <c r="AQ612" s="139"/>
      <c r="AR612" s="139"/>
      <c r="AS612" s="139"/>
      <c r="AT612" s="139"/>
      <c r="AU612" s="139"/>
      <c r="AV612" s="139"/>
      <c r="AW612" s="139"/>
      <c r="AX612" s="139"/>
      <c r="AY612" s="139"/>
      <c r="AZ612" s="139"/>
      <c r="BA612" s="139"/>
      <c r="BB612" s="139"/>
    </row>
    <row r="613">
      <c r="A613" s="28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39"/>
      <c r="AK613" s="139"/>
      <c r="AL613" s="139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39"/>
      <c r="BB613" s="139"/>
    </row>
    <row r="614">
      <c r="A614" s="28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39"/>
      <c r="AG614" s="139"/>
      <c r="AH614" s="139"/>
      <c r="AI614" s="139"/>
      <c r="AJ614" s="139"/>
      <c r="AK614" s="139"/>
      <c r="AL614" s="139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39"/>
      <c r="BB614" s="139"/>
    </row>
    <row r="615">
      <c r="A615" s="28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39"/>
      <c r="AG615" s="139"/>
      <c r="AH615" s="139"/>
      <c r="AI615" s="139"/>
      <c r="AJ615" s="139"/>
      <c r="AK615" s="139"/>
      <c r="AL615" s="139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39"/>
      <c r="BB615" s="139"/>
    </row>
    <row r="616">
      <c r="A616" s="28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39"/>
      <c r="AG616" s="139"/>
      <c r="AH616" s="139"/>
      <c r="AI616" s="139"/>
      <c r="AJ616" s="139"/>
      <c r="AK616" s="139"/>
      <c r="AL616" s="139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39"/>
      <c r="BB616" s="139"/>
    </row>
    <row r="617">
      <c r="A617" s="28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39"/>
      <c r="AK617" s="139"/>
      <c r="AL617" s="139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39"/>
      <c r="BB617" s="139"/>
    </row>
    <row r="618">
      <c r="A618" s="28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39"/>
      <c r="AD618" s="139"/>
      <c r="AE618" s="139"/>
      <c r="AF618" s="139"/>
      <c r="AG618" s="139"/>
      <c r="AH618" s="139"/>
      <c r="AI618" s="139"/>
      <c r="AJ618" s="139"/>
      <c r="AK618" s="139"/>
      <c r="AL618" s="139"/>
      <c r="AM618" s="139"/>
      <c r="AN618" s="139"/>
      <c r="AO618" s="139"/>
      <c r="AP618" s="139"/>
      <c r="AQ618" s="139"/>
      <c r="AR618" s="139"/>
      <c r="AS618" s="139"/>
      <c r="AT618" s="139"/>
      <c r="AU618" s="139"/>
      <c r="AV618" s="139"/>
      <c r="AW618" s="139"/>
      <c r="AX618" s="139"/>
      <c r="AY618" s="139"/>
      <c r="AZ618" s="139"/>
      <c r="BA618" s="139"/>
      <c r="BB618" s="139"/>
    </row>
    <row r="619">
      <c r="A619" s="28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39"/>
      <c r="AK619" s="139"/>
      <c r="AL619" s="139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39"/>
      <c r="BB619" s="139"/>
    </row>
    <row r="620">
      <c r="A620" s="28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39"/>
      <c r="AG620" s="139"/>
      <c r="AH620" s="139"/>
      <c r="AI620" s="139"/>
      <c r="AJ620" s="139"/>
      <c r="AK620" s="139"/>
      <c r="AL620" s="139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39"/>
      <c r="BB620" s="139"/>
    </row>
    <row r="621">
      <c r="A621" s="28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39"/>
      <c r="AK621" s="139"/>
      <c r="AL621" s="139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39"/>
      <c r="BB621" s="139"/>
    </row>
    <row r="622">
      <c r="A622" s="28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39"/>
      <c r="AD622" s="139"/>
      <c r="AE622" s="139"/>
      <c r="AF622" s="139"/>
      <c r="AG622" s="139"/>
      <c r="AH622" s="139"/>
      <c r="AI622" s="139"/>
      <c r="AJ622" s="139"/>
      <c r="AK622" s="139"/>
      <c r="AL622" s="139"/>
      <c r="AM622" s="139"/>
      <c r="AN622" s="139"/>
      <c r="AO622" s="139"/>
      <c r="AP622" s="139"/>
      <c r="AQ622" s="139"/>
      <c r="AR622" s="139"/>
      <c r="AS622" s="139"/>
      <c r="AT622" s="139"/>
      <c r="AU622" s="139"/>
      <c r="AV622" s="139"/>
      <c r="AW622" s="139"/>
      <c r="AX622" s="139"/>
      <c r="AY622" s="139"/>
      <c r="AZ622" s="139"/>
      <c r="BA622" s="139"/>
      <c r="BB622" s="139"/>
    </row>
    <row r="623">
      <c r="A623" s="28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39"/>
      <c r="AK623" s="139"/>
      <c r="AL623" s="139"/>
      <c r="AM623" s="139"/>
      <c r="AN623" s="139"/>
      <c r="AO623" s="139"/>
      <c r="AP623" s="139"/>
      <c r="AQ623" s="139"/>
      <c r="AR623" s="139"/>
      <c r="AS623" s="139"/>
      <c r="AT623" s="139"/>
      <c r="AU623" s="139"/>
      <c r="AV623" s="139"/>
      <c r="AW623" s="139"/>
      <c r="AX623" s="139"/>
      <c r="AY623" s="139"/>
      <c r="AZ623" s="139"/>
      <c r="BA623" s="139"/>
      <c r="BB623" s="139"/>
    </row>
    <row r="624">
      <c r="A624" s="28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39"/>
      <c r="AG624" s="139"/>
      <c r="AH624" s="139"/>
      <c r="AI624" s="139"/>
      <c r="AJ624" s="139"/>
      <c r="AK624" s="139"/>
      <c r="AL624" s="139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39"/>
      <c r="BB624" s="139"/>
    </row>
    <row r="625">
      <c r="A625" s="28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9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39"/>
      <c r="BB625" s="139"/>
    </row>
    <row r="626">
      <c r="A626" s="28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39"/>
      <c r="AD626" s="139"/>
      <c r="AE626" s="139"/>
      <c r="AF626" s="139"/>
      <c r="AG626" s="139"/>
      <c r="AH626" s="139"/>
      <c r="AI626" s="139"/>
      <c r="AJ626" s="139"/>
      <c r="AK626" s="139"/>
      <c r="AL626" s="139"/>
      <c r="AM626" s="139"/>
      <c r="AN626" s="139"/>
      <c r="AO626" s="139"/>
      <c r="AP626" s="139"/>
      <c r="AQ626" s="139"/>
      <c r="AR626" s="139"/>
      <c r="AS626" s="139"/>
      <c r="AT626" s="139"/>
      <c r="AU626" s="139"/>
      <c r="AV626" s="139"/>
      <c r="AW626" s="139"/>
      <c r="AX626" s="139"/>
      <c r="AY626" s="139"/>
      <c r="AZ626" s="139"/>
      <c r="BA626" s="139"/>
      <c r="BB626" s="139"/>
    </row>
    <row r="627">
      <c r="A627" s="28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39"/>
      <c r="AG627" s="139"/>
      <c r="AH627" s="139"/>
      <c r="AI627" s="139"/>
      <c r="AJ627" s="139"/>
      <c r="AK627" s="139"/>
      <c r="AL627" s="139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39"/>
      <c r="BB627" s="139"/>
    </row>
    <row r="628">
      <c r="A628" s="28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39"/>
      <c r="AG628" s="139"/>
      <c r="AH628" s="139"/>
      <c r="AI628" s="139"/>
      <c r="AJ628" s="139"/>
      <c r="AK628" s="139"/>
      <c r="AL628" s="139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39"/>
      <c r="BB628" s="139"/>
    </row>
    <row r="629">
      <c r="A629" s="28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39"/>
      <c r="AK629" s="139"/>
      <c r="AL629" s="139"/>
      <c r="AM629" s="139"/>
      <c r="AN629" s="139"/>
      <c r="AO629" s="139"/>
      <c r="AP629" s="139"/>
      <c r="AQ629" s="139"/>
      <c r="AR629" s="139"/>
      <c r="AS629" s="139"/>
      <c r="AT629" s="139"/>
      <c r="AU629" s="139"/>
      <c r="AV629" s="139"/>
      <c r="AW629" s="139"/>
      <c r="AX629" s="139"/>
      <c r="AY629" s="139"/>
      <c r="AZ629" s="139"/>
      <c r="BA629" s="139"/>
      <c r="BB629" s="139"/>
    </row>
    <row r="630">
      <c r="A630" s="28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39"/>
      <c r="AD630" s="139"/>
      <c r="AE630" s="139"/>
      <c r="AF630" s="139"/>
      <c r="AG630" s="139"/>
      <c r="AH630" s="139"/>
      <c r="AI630" s="139"/>
      <c r="AJ630" s="139"/>
      <c r="AK630" s="139"/>
      <c r="AL630" s="139"/>
      <c r="AM630" s="139"/>
      <c r="AN630" s="139"/>
      <c r="AO630" s="139"/>
      <c r="AP630" s="139"/>
      <c r="AQ630" s="139"/>
      <c r="AR630" s="139"/>
      <c r="AS630" s="139"/>
      <c r="AT630" s="139"/>
      <c r="AU630" s="139"/>
      <c r="AV630" s="139"/>
      <c r="AW630" s="139"/>
      <c r="AX630" s="139"/>
      <c r="AY630" s="139"/>
      <c r="AZ630" s="139"/>
      <c r="BA630" s="139"/>
      <c r="BB630" s="139"/>
    </row>
    <row r="631">
      <c r="A631" s="28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39"/>
      <c r="AK631" s="139"/>
      <c r="AL631" s="139"/>
      <c r="AM631" s="139"/>
      <c r="AN631" s="139"/>
      <c r="AO631" s="139"/>
      <c r="AP631" s="139"/>
      <c r="AQ631" s="139"/>
      <c r="AR631" s="139"/>
      <c r="AS631" s="139"/>
      <c r="AT631" s="139"/>
      <c r="AU631" s="139"/>
      <c r="AV631" s="139"/>
      <c r="AW631" s="139"/>
      <c r="AX631" s="139"/>
      <c r="AY631" s="139"/>
      <c r="AZ631" s="139"/>
      <c r="BA631" s="139"/>
      <c r="BB631" s="139"/>
    </row>
    <row r="632">
      <c r="A632" s="28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39"/>
      <c r="AG632" s="139"/>
      <c r="AH632" s="139"/>
      <c r="AI632" s="139"/>
      <c r="AJ632" s="139"/>
      <c r="AK632" s="139"/>
      <c r="AL632" s="139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39"/>
      <c r="BB632" s="139"/>
    </row>
    <row r="633">
      <c r="A633" s="28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  <c r="AK633" s="139"/>
      <c r="AL633" s="139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39"/>
    </row>
    <row r="634">
      <c r="A634" s="28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39"/>
      <c r="AK634" s="139"/>
      <c r="AL634" s="139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39"/>
      <c r="BB634" s="139"/>
    </row>
    <row r="635">
      <c r="A635" s="28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39"/>
      <c r="AK635" s="139"/>
      <c r="AL635" s="139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39"/>
      <c r="BB635" s="139"/>
    </row>
    <row r="636">
      <c r="A636" s="28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39"/>
      <c r="AG636" s="139"/>
      <c r="AH636" s="139"/>
      <c r="AI636" s="139"/>
      <c r="AJ636" s="139"/>
      <c r="AK636" s="139"/>
      <c r="AL636" s="139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39"/>
      <c r="BB636" s="139"/>
    </row>
    <row r="637">
      <c r="A637" s="28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39"/>
      <c r="AK637" s="139"/>
      <c r="AL637" s="139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39"/>
      <c r="BB637" s="139"/>
    </row>
    <row r="638">
      <c r="A638" s="28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39"/>
      <c r="AD638" s="139"/>
      <c r="AE638" s="139"/>
      <c r="AF638" s="139"/>
      <c r="AG638" s="139"/>
      <c r="AH638" s="139"/>
      <c r="AI638" s="139"/>
      <c r="AJ638" s="139"/>
      <c r="AK638" s="139"/>
      <c r="AL638" s="139"/>
      <c r="AM638" s="139"/>
      <c r="AN638" s="139"/>
      <c r="AO638" s="139"/>
      <c r="AP638" s="139"/>
      <c r="AQ638" s="139"/>
      <c r="AR638" s="139"/>
      <c r="AS638" s="139"/>
      <c r="AT638" s="139"/>
      <c r="AU638" s="139"/>
      <c r="AV638" s="139"/>
      <c r="AW638" s="139"/>
      <c r="AX638" s="139"/>
      <c r="AY638" s="139"/>
      <c r="AZ638" s="139"/>
      <c r="BA638" s="139"/>
      <c r="BB638" s="139"/>
    </row>
    <row r="639">
      <c r="A639" s="28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39"/>
      <c r="AK639" s="139"/>
      <c r="AL639" s="139"/>
      <c r="AM639" s="139"/>
      <c r="AN639" s="139"/>
      <c r="AO639" s="139"/>
      <c r="AP639" s="139"/>
      <c r="AQ639" s="139"/>
      <c r="AR639" s="139"/>
      <c r="AS639" s="139"/>
      <c r="AT639" s="139"/>
      <c r="AU639" s="139"/>
      <c r="AV639" s="139"/>
      <c r="AW639" s="139"/>
      <c r="AX639" s="139"/>
      <c r="AY639" s="139"/>
      <c r="AZ639" s="139"/>
      <c r="BA639" s="139"/>
      <c r="BB639" s="139"/>
    </row>
    <row r="640">
      <c r="A640" s="28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39"/>
      <c r="AG640" s="139"/>
      <c r="AH640" s="139"/>
      <c r="AI640" s="139"/>
      <c r="AJ640" s="139"/>
      <c r="AK640" s="139"/>
      <c r="AL640" s="139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39"/>
      <c r="BB640" s="139"/>
    </row>
    <row r="641">
      <c r="A641" s="28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39"/>
      <c r="AK641" s="139"/>
      <c r="AL641" s="139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39"/>
      <c r="BB641" s="139"/>
    </row>
    <row r="642">
      <c r="A642" s="28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39"/>
      <c r="AD642" s="139"/>
      <c r="AE642" s="139"/>
      <c r="AF642" s="139"/>
      <c r="AG642" s="139"/>
      <c r="AH642" s="139"/>
      <c r="AI642" s="139"/>
      <c r="AJ642" s="139"/>
      <c r="AK642" s="139"/>
      <c r="AL642" s="139"/>
      <c r="AM642" s="139"/>
      <c r="AN642" s="139"/>
      <c r="AO642" s="139"/>
      <c r="AP642" s="139"/>
      <c r="AQ642" s="139"/>
      <c r="AR642" s="139"/>
      <c r="AS642" s="139"/>
      <c r="AT642" s="139"/>
      <c r="AU642" s="139"/>
      <c r="AV642" s="139"/>
      <c r="AW642" s="139"/>
      <c r="AX642" s="139"/>
      <c r="AY642" s="139"/>
      <c r="AZ642" s="139"/>
      <c r="BA642" s="139"/>
      <c r="BB642" s="139"/>
    </row>
    <row r="643">
      <c r="A643" s="28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39"/>
      <c r="AK643" s="139"/>
      <c r="AL643" s="139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39"/>
      <c r="BB643" s="139"/>
    </row>
    <row r="644">
      <c r="A644" s="28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39"/>
      <c r="AG644" s="139"/>
      <c r="AH644" s="139"/>
      <c r="AI644" s="139"/>
      <c r="AJ644" s="139"/>
      <c r="AK644" s="139"/>
      <c r="AL644" s="139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39"/>
      <c r="BB644" s="139"/>
    </row>
    <row r="645">
      <c r="A645" s="28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39"/>
      <c r="AK645" s="139"/>
      <c r="AL645" s="139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39"/>
      <c r="BB645" s="139"/>
    </row>
    <row r="646">
      <c r="A646" s="28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39"/>
      <c r="AG646" s="139"/>
      <c r="AH646" s="139"/>
      <c r="AI646" s="139"/>
      <c r="AJ646" s="139"/>
      <c r="AK646" s="139"/>
      <c r="AL646" s="139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39"/>
      <c r="BB646" s="139"/>
    </row>
    <row r="647">
      <c r="A647" s="28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39"/>
      <c r="AD647" s="139"/>
      <c r="AE647" s="139"/>
      <c r="AF647" s="139"/>
      <c r="AG647" s="139"/>
      <c r="AH647" s="139"/>
      <c r="AI647" s="139"/>
      <c r="AJ647" s="139"/>
      <c r="AK647" s="139"/>
      <c r="AL647" s="139"/>
      <c r="AM647" s="139"/>
      <c r="AN647" s="139"/>
      <c r="AO647" s="139"/>
      <c r="AP647" s="139"/>
      <c r="AQ647" s="139"/>
      <c r="AR647" s="139"/>
      <c r="AS647" s="139"/>
      <c r="AT647" s="139"/>
      <c r="AU647" s="139"/>
      <c r="AV647" s="139"/>
      <c r="AW647" s="139"/>
      <c r="AX647" s="139"/>
      <c r="AY647" s="139"/>
      <c r="AZ647" s="139"/>
      <c r="BA647" s="139"/>
      <c r="BB647" s="139"/>
    </row>
    <row r="648">
      <c r="A648" s="28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39"/>
      <c r="AG648" s="139"/>
      <c r="AH648" s="139"/>
      <c r="AI648" s="139"/>
      <c r="AJ648" s="139"/>
      <c r="AK648" s="139"/>
      <c r="AL648" s="139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39"/>
      <c r="BB648" s="139"/>
    </row>
    <row r="649">
      <c r="A649" s="28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39"/>
      <c r="AG649" s="139"/>
      <c r="AH649" s="139"/>
      <c r="AI649" s="139"/>
      <c r="AJ649" s="139"/>
      <c r="AK649" s="139"/>
      <c r="AL649" s="139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39"/>
      <c r="BB649" s="139"/>
    </row>
    <row r="650">
      <c r="A650" s="28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39"/>
      <c r="AG650" s="139"/>
      <c r="AH650" s="139"/>
      <c r="AI650" s="139"/>
      <c r="AJ650" s="139"/>
      <c r="AK650" s="139"/>
      <c r="AL650" s="139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39"/>
      <c r="BB650" s="139"/>
    </row>
    <row r="651">
      <c r="A651" s="28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39"/>
      <c r="AG651" s="139"/>
      <c r="AH651" s="139"/>
      <c r="AI651" s="139"/>
      <c r="AJ651" s="139"/>
      <c r="AK651" s="139"/>
      <c r="AL651" s="139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39"/>
      <c r="BB651" s="139"/>
    </row>
    <row r="652">
      <c r="A652" s="28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39"/>
      <c r="AG652" s="139"/>
      <c r="AH652" s="139"/>
      <c r="AI652" s="139"/>
      <c r="AJ652" s="139"/>
      <c r="AK652" s="139"/>
      <c r="AL652" s="139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39"/>
      <c r="BB652" s="139"/>
    </row>
    <row r="653">
      <c r="A653" s="28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39"/>
      <c r="AK653" s="139"/>
      <c r="AL653" s="139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39"/>
      <c r="BB653" s="139"/>
    </row>
    <row r="654">
      <c r="A654" s="28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39"/>
      <c r="AG654" s="139"/>
      <c r="AH654" s="139"/>
      <c r="AI654" s="139"/>
      <c r="AJ654" s="139"/>
      <c r="AK654" s="139"/>
      <c r="AL654" s="139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39"/>
      <c r="BB654" s="139"/>
    </row>
    <row r="655">
      <c r="A655" s="28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39"/>
      <c r="AK655" s="139"/>
      <c r="AL655" s="139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39"/>
      <c r="BB655" s="139"/>
    </row>
    <row r="656">
      <c r="A656" s="28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39"/>
      <c r="AG656" s="139"/>
      <c r="AH656" s="139"/>
      <c r="AI656" s="139"/>
      <c r="AJ656" s="139"/>
      <c r="AK656" s="139"/>
      <c r="AL656" s="139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39"/>
      <c r="BB656" s="139"/>
    </row>
    <row r="657">
      <c r="A657" s="28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39"/>
      <c r="AK657" s="139"/>
      <c r="AL657" s="139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39"/>
      <c r="BB657" s="139"/>
    </row>
    <row r="658">
      <c r="A658" s="28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39"/>
      <c r="AG658" s="139"/>
      <c r="AH658" s="139"/>
      <c r="AI658" s="139"/>
      <c r="AJ658" s="139"/>
      <c r="AK658" s="139"/>
      <c r="AL658" s="139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39"/>
      <c r="BB658" s="139"/>
    </row>
    <row r="659">
      <c r="A659" s="28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39"/>
      <c r="AG659" s="139"/>
      <c r="AH659" s="139"/>
      <c r="AI659" s="139"/>
      <c r="AJ659" s="139"/>
      <c r="AK659" s="139"/>
      <c r="AL659" s="139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39"/>
      <c r="BB659" s="139"/>
    </row>
    <row r="660">
      <c r="A660" s="28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39"/>
      <c r="AG660" s="139"/>
      <c r="AH660" s="139"/>
      <c r="AI660" s="139"/>
      <c r="AJ660" s="139"/>
      <c r="AK660" s="139"/>
      <c r="AL660" s="139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39"/>
      <c r="BB660" s="139"/>
    </row>
    <row r="661">
      <c r="A661" s="28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39"/>
      <c r="AG661" s="139"/>
      <c r="AH661" s="139"/>
      <c r="AI661" s="139"/>
      <c r="AJ661" s="139"/>
      <c r="AK661" s="139"/>
      <c r="AL661" s="139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39"/>
      <c r="BB661" s="139"/>
    </row>
    <row r="662">
      <c r="A662" s="28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39"/>
      <c r="AG662" s="139"/>
      <c r="AH662" s="139"/>
      <c r="AI662" s="139"/>
      <c r="AJ662" s="139"/>
      <c r="AK662" s="139"/>
      <c r="AL662" s="139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39"/>
      <c r="BB662" s="139"/>
    </row>
    <row r="663">
      <c r="A663" s="28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39"/>
      <c r="AK663" s="139"/>
      <c r="AL663" s="139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39"/>
      <c r="BB663" s="139"/>
    </row>
    <row r="664">
      <c r="A664" s="28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39"/>
      <c r="AG664" s="139"/>
      <c r="AH664" s="139"/>
      <c r="AI664" s="139"/>
      <c r="AJ664" s="139"/>
      <c r="AK664" s="139"/>
      <c r="AL664" s="139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39"/>
      <c r="BB664" s="139"/>
    </row>
    <row r="665">
      <c r="A665" s="28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39"/>
      <c r="AK665" s="139"/>
      <c r="AL665" s="139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39"/>
      <c r="BB665" s="139"/>
    </row>
    <row r="666">
      <c r="A666" s="28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  <c r="AE666" s="139"/>
      <c r="AF666" s="139"/>
      <c r="AG666" s="139"/>
      <c r="AH666" s="139"/>
      <c r="AI666" s="139"/>
      <c r="AJ666" s="139"/>
      <c r="AK666" s="139"/>
      <c r="AL666" s="139"/>
      <c r="AM666" s="139"/>
      <c r="AN666" s="139"/>
      <c r="AO666" s="139"/>
      <c r="AP666" s="139"/>
      <c r="AQ666" s="139"/>
      <c r="AR666" s="139"/>
      <c r="AS666" s="139"/>
      <c r="AT666" s="139"/>
      <c r="AU666" s="139"/>
      <c r="AV666" s="139"/>
      <c r="AW666" s="139"/>
      <c r="AX666" s="139"/>
      <c r="AY666" s="139"/>
      <c r="AZ666" s="139"/>
      <c r="BA666" s="139"/>
      <c r="BB666" s="139"/>
    </row>
    <row r="667">
      <c r="A667" s="28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39"/>
      <c r="AK667" s="139"/>
      <c r="AL667" s="139"/>
      <c r="AM667" s="139"/>
      <c r="AN667" s="139"/>
      <c r="AO667" s="139"/>
      <c r="AP667" s="139"/>
      <c r="AQ667" s="139"/>
      <c r="AR667" s="139"/>
      <c r="AS667" s="139"/>
      <c r="AT667" s="139"/>
      <c r="AU667" s="139"/>
      <c r="AV667" s="139"/>
      <c r="AW667" s="139"/>
      <c r="AX667" s="139"/>
      <c r="AY667" s="139"/>
      <c r="AZ667" s="139"/>
      <c r="BA667" s="139"/>
      <c r="BB667" s="139"/>
    </row>
    <row r="668">
      <c r="A668" s="28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  <c r="AE668" s="139"/>
      <c r="AF668" s="139"/>
      <c r="AG668" s="139"/>
      <c r="AH668" s="139"/>
      <c r="AI668" s="139"/>
      <c r="AJ668" s="139"/>
      <c r="AK668" s="139"/>
      <c r="AL668" s="139"/>
      <c r="AM668" s="139"/>
      <c r="AN668" s="139"/>
      <c r="AO668" s="139"/>
      <c r="AP668" s="139"/>
      <c r="AQ668" s="139"/>
      <c r="AR668" s="139"/>
      <c r="AS668" s="139"/>
      <c r="AT668" s="139"/>
      <c r="AU668" s="139"/>
      <c r="AV668" s="139"/>
      <c r="AW668" s="139"/>
      <c r="AX668" s="139"/>
      <c r="AY668" s="139"/>
      <c r="AZ668" s="139"/>
      <c r="BA668" s="139"/>
      <c r="BB668" s="139"/>
    </row>
    <row r="669">
      <c r="A669" s="28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39"/>
      <c r="AK669" s="139"/>
      <c r="AL669" s="139"/>
      <c r="AM669" s="139"/>
      <c r="AN669" s="139"/>
      <c r="AO669" s="139"/>
      <c r="AP669" s="139"/>
      <c r="AQ669" s="139"/>
      <c r="AR669" s="139"/>
      <c r="AS669" s="139"/>
      <c r="AT669" s="139"/>
      <c r="AU669" s="139"/>
      <c r="AV669" s="139"/>
      <c r="AW669" s="139"/>
      <c r="AX669" s="139"/>
      <c r="AY669" s="139"/>
      <c r="AZ669" s="139"/>
      <c r="BA669" s="139"/>
      <c r="BB669" s="139"/>
    </row>
    <row r="670">
      <c r="A670" s="28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  <c r="AE670" s="139"/>
      <c r="AF670" s="139"/>
      <c r="AG670" s="139"/>
      <c r="AH670" s="139"/>
      <c r="AI670" s="139"/>
      <c r="AJ670" s="139"/>
      <c r="AK670" s="139"/>
      <c r="AL670" s="139"/>
      <c r="AM670" s="139"/>
      <c r="AN670" s="139"/>
      <c r="AO670" s="139"/>
      <c r="AP670" s="139"/>
      <c r="AQ670" s="139"/>
      <c r="AR670" s="139"/>
      <c r="AS670" s="139"/>
      <c r="AT670" s="139"/>
      <c r="AU670" s="139"/>
      <c r="AV670" s="139"/>
      <c r="AW670" s="139"/>
      <c r="AX670" s="139"/>
      <c r="AY670" s="139"/>
      <c r="AZ670" s="139"/>
      <c r="BA670" s="139"/>
      <c r="BB670" s="139"/>
    </row>
    <row r="671">
      <c r="A671" s="28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  <c r="AE671" s="139"/>
      <c r="AF671" s="139"/>
      <c r="AG671" s="139"/>
      <c r="AH671" s="139"/>
      <c r="AI671" s="139"/>
      <c r="AJ671" s="139"/>
      <c r="AK671" s="139"/>
      <c r="AL671" s="139"/>
      <c r="AM671" s="139"/>
      <c r="AN671" s="139"/>
      <c r="AO671" s="139"/>
      <c r="AP671" s="139"/>
      <c r="AQ671" s="139"/>
      <c r="AR671" s="139"/>
      <c r="AS671" s="139"/>
      <c r="AT671" s="139"/>
      <c r="AU671" s="139"/>
      <c r="AV671" s="139"/>
      <c r="AW671" s="139"/>
      <c r="AX671" s="139"/>
      <c r="AY671" s="139"/>
      <c r="AZ671" s="139"/>
      <c r="BA671" s="139"/>
      <c r="BB671" s="139"/>
    </row>
    <row r="672">
      <c r="A672" s="28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  <c r="AE672" s="139"/>
      <c r="AF672" s="139"/>
      <c r="AG672" s="139"/>
      <c r="AH672" s="139"/>
      <c r="AI672" s="139"/>
      <c r="AJ672" s="139"/>
      <c r="AK672" s="139"/>
      <c r="AL672" s="139"/>
      <c r="AM672" s="139"/>
      <c r="AN672" s="139"/>
      <c r="AO672" s="139"/>
      <c r="AP672" s="139"/>
      <c r="AQ672" s="139"/>
      <c r="AR672" s="139"/>
      <c r="AS672" s="139"/>
      <c r="AT672" s="139"/>
      <c r="AU672" s="139"/>
      <c r="AV672" s="139"/>
      <c r="AW672" s="139"/>
      <c r="AX672" s="139"/>
      <c r="AY672" s="139"/>
      <c r="AZ672" s="139"/>
      <c r="BA672" s="139"/>
      <c r="BB672" s="139"/>
    </row>
    <row r="673">
      <c r="A673" s="28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39"/>
      <c r="AK673" s="139"/>
      <c r="AL673" s="139"/>
      <c r="AM673" s="139"/>
      <c r="AN673" s="139"/>
      <c r="AO673" s="139"/>
      <c r="AP673" s="139"/>
      <c r="AQ673" s="139"/>
      <c r="AR673" s="139"/>
      <c r="AS673" s="139"/>
      <c r="AT673" s="139"/>
      <c r="AU673" s="139"/>
      <c r="AV673" s="139"/>
      <c r="AW673" s="139"/>
      <c r="AX673" s="139"/>
      <c r="AY673" s="139"/>
      <c r="AZ673" s="139"/>
      <c r="BA673" s="139"/>
      <c r="BB673" s="139"/>
    </row>
    <row r="674">
      <c r="A674" s="28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  <c r="AE674" s="139"/>
      <c r="AF674" s="139"/>
      <c r="AG674" s="139"/>
      <c r="AH674" s="139"/>
      <c r="AI674" s="139"/>
      <c r="AJ674" s="139"/>
      <c r="AK674" s="139"/>
      <c r="AL674" s="139"/>
      <c r="AM674" s="139"/>
      <c r="AN674" s="139"/>
      <c r="AO674" s="139"/>
      <c r="AP674" s="139"/>
      <c r="AQ674" s="139"/>
      <c r="AR674" s="139"/>
      <c r="AS674" s="139"/>
      <c r="AT674" s="139"/>
      <c r="AU674" s="139"/>
      <c r="AV674" s="139"/>
      <c r="AW674" s="139"/>
      <c r="AX674" s="139"/>
      <c r="AY674" s="139"/>
      <c r="AZ674" s="139"/>
      <c r="BA674" s="139"/>
      <c r="BB674" s="139"/>
    </row>
    <row r="675">
      <c r="A675" s="28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39"/>
      <c r="AK675" s="139"/>
      <c r="AL675" s="139"/>
      <c r="AM675" s="139"/>
      <c r="AN675" s="139"/>
      <c r="AO675" s="139"/>
      <c r="AP675" s="139"/>
      <c r="AQ675" s="139"/>
      <c r="AR675" s="139"/>
      <c r="AS675" s="139"/>
      <c r="AT675" s="139"/>
      <c r="AU675" s="139"/>
      <c r="AV675" s="139"/>
      <c r="AW675" s="139"/>
      <c r="AX675" s="139"/>
      <c r="AY675" s="139"/>
      <c r="AZ675" s="139"/>
      <c r="BA675" s="139"/>
      <c r="BB675" s="139"/>
    </row>
    <row r="676">
      <c r="A676" s="28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  <c r="AE676" s="139"/>
      <c r="AF676" s="139"/>
      <c r="AG676" s="139"/>
      <c r="AH676" s="139"/>
      <c r="AI676" s="139"/>
      <c r="AJ676" s="139"/>
      <c r="AK676" s="139"/>
      <c r="AL676" s="139"/>
      <c r="AM676" s="139"/>
      <c r="AN676" s="139"/>
      <c r="AO676" s="139"/>
      <c r="AP676" s="139"/>
      <c r="AQ676" s="139"/>
      <c r="AR676" s="139"/>
      <c r="AS676" s="139"/>
      <c r="AT676" s="139"/>
      <c r="AU676" s="139"/>
      <c r="AV676" s="139"/>
      <c r="AW676" s="139"/>
      <c r="AX676" s="139"/>
      <c r="AY676" s="139"/>
      <c r="AZ676" s="139"/>
      <c r="BA676" s="139"/>
      <c r="BB676" s="139"/>
    </row>
    <row r="677">
      <c r="A677" s="28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39"/>
      <c r="AK677" s="139"/>
      <c r="AL677" s="139"/>
      <c r="AM677" s="139"/>
      <c r="AN677" s="139"/>
      <c r="AO677" s="139"/>
      <c r="AP677" s="139"/>
      <c r="AQ677" s="139"/>
      <c r="AR677" s="139"/>
      <c r="AS677" s="139"/>
      <c r="AT677" s="139"/>
      <c r="AU677" s="139"/>
      <c r="AV677" s="139"/>
      <c r="AW677" s="139"/>
      <c r="AX677" s="139"/>
      <c r="AY677" s="139"/>
      <c r="AZ677" s="139"/>
      <c r="BA677" s="139"/>
      <c r="BB677" s="139"/>
    </row>
    <row r="678">
      <c r="A678" s="28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  <c r="AE678" s="139"/>
      <c r="AF678" s="139"/>
      <c r="AG678" s="139"/>
      <c r="AH678" s="139"/>
      <c r="AI678" s="139"/>
      <c r="AJ678" s="139"/>
      <c r="AK678" s="139"/>
      <c r="AL678" s="139"/>
      <c r="AM678" s="139"/>
      <c r="AN678" s="139"/>
      <c r="AO678" s="139"/>
      <c r="AP678" s="139"/>
      <c r="AQ678" s="139"/>
      <c r="AR678" s="139"/>
      <c r="AS678" s="139"/>
      <c r="AT678" s="139"/>
      <c r="AU678" s="139"/>
      <c r="AV678" s="139"/>
      <c r="AW678" s="139"/>
      <c r="AX678" s="139"/>
      <c r="AY678" s="139"/>
      <c r="AZ678" s="139"/>
      <c r="BA678" s="139"/>
      <c r="BB678" s="139"/>
    </row>
    <row r="679">
      <c r="A679" s="28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39"/>
      <c r="AK679" s="139"/>
      <c r="AL679" s="139"/>
      <c r="AM679" s="139"/>
      <c r="AN679" s="139"/>
      <c r="AO679" s="139"/>
      <c r="AP679" s="139"/>
      <c r="AQ679" s="139"/>
      <c r="AR679" s="139"/>
      <c r="AS679" s="139"/>
      <c r="AT679" s="139"/>
      <c r="AU679" s="139"/>
      <c r="AV679" s="139"/>
      <c r="AW679" s="139"/>
      <c r="AX679" s="139"/>
      <c r="AY679" s="139"/>
      <c r="AZ679" s="139"/>
      <c r="BA679" s="139"/>
      <c r="BB679" s="139"/>
    </row>
    <row r="680">
      <c r="A680" s="28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  <c r="AE680" s="139"/>
      <c r="AF680" s="139"/>
      <c r="AG680" s="139"/>
      <c r="AH680" s="139"/>
      <c r="AI680" s="139"/>
      <c r="AJ680" s="139"/>
      <c r="AK680" s="139"/>
      <c r="AL680" s="139"/>
      <c r="AM680" s="139"/>
      <c r="AN680" s="139"/>
      <c r="AO680" s="139"/>
      <c r="AP680" s="139"/>
      <c r="AQ680" s="139"/>
      <c r="AR680" s="139"/>
      <c r="AS680" s="139"/>
      <c r="AT680" s="139"/>
      <c r="AU680" s="139"/>
      <c r="AV680" s="139"/>
      <c r="AW680" s="139"/>
      <c r="AX680" s="139"/>
      <c r="AY680" s="139"/>
      <c r="AZ680" s="139"/>
      <c r="BA680" s="139"/>
      <c r="BB680" s="139"/>
    </row>
    <row r="681">
      <c r="A681" s="28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  <c r="AE681" s="139"/>
      <c r="AF681" s="139"/>
      <c r="AG681" s="139"/>
      <c r="AH681" s="139"/>
      <c r="AI681" s="139"/>
      <c r="AJ681" s="139"/>
      <c r="AK681" s="139"/>
      <c r="AL681" s="139"/>
      <c r="AM681" s="139"/>
      <c r="AN681" s="139"/>
      <c r="AO681" s="139"/>
      <c r="AP681" s="139"/>
      <c r="AQ681" s="139"/>
      <c r="AR681" s="139"/>
      <c r="AS681" s="139"/>
      <c r="AT681" s="139"/>
      <c r="AU681" s="139"/>
      <c r="AV681" s="139"/>
      <c r="AW681" s="139"/>
      <c r="AX681" s="139"/>
      <c r="AY681" s="139"/>
      <c r="AZ681" s="139"/>
      <c r="BA681" s="139"/>
      <c r="BB681" s="139"/>
    </row>
    <row r="682">
      <c r="A682" s="28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  <c r="AE682" s="139"/>
      <c r="AF682" s="139"/>
      <c r="AG682" s="139"/>
      <c r="AH682" s="139"/>
      <c r="AI682" s="139"/>
      <c r="AJ682" s="139"/>
      <c r="AK682" s="139"/>
      <c r="AL682" s="139"/>
      <c r="AM682" s="139"/>
      <c r="AN682" s="139"/>
      <c r="AO682" s="139"/>
      <c r="AP682" s="139"/>
      <c r="AQ682" s="139"/>
      <c r="AR682" s="139"/>
      <c r="AS682" s="139"/>
      <c r="AT682" s="139"/>
      <c r="AU682" s="139"/>
      <c r="AV682" s="139"/>
      <c r="AW682" s="139"/>
      <c r="AX682" s="139"/>
      <c r="AY682" s="139"/>
      <c r="AZ682" s="139"/>
      <c r="BA682" s="139"/>
      <c r="BB682" s="139"/>
    </row>
    <row r="683">
      <c r="A683" s="28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39"/>
      <c r="AK683" s="139"/>
      <c r="AL683" s="139"/>
      <c r="AM683" s="139"/>
      <c r="AN683" s="139"/>
      <c r="AO683" s="139"/>
      <c r="AP683" s="139"/>
      <c r="AQ683" s="139"/>
      <c r="AR683" s="139"/>
      <c r="AS683" s="139"/>
      <c r="AT683" s="139"/>
      <c r="AU683" s="139"/>
      <c r="AV683" s="139"/>
      <c r="AW683" s="139"/>
      <c r="AX683" s="139"/>
      <c r="AY683" s="139"/>
      <c r="AZ683" s="139"/>
      <c r="BA683" s="139"/>
      <c r="BB683" s="139"/>
    </row>
    <row r="684">
      <c r="A684" s="28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  <c r="AE684" s="139"/>
      <c r="AF684" s="139"/>
      <c r="AG684" s="139"/>
      <c r="AH684" s="139"/>
      <c r="AI684" s="139"/>
      <c r="AJ684" s="139"/>
      <c r="AK684" s="139"/>
      <c r="AL684" s="139"/>
      <c r="AM684" s="139"/>
      <c r="AN684" s="139"/>
      <c r="AO684" s="139"/>
      <c r="AP684" s="139"/>
      <c r="AQ684" s="139"/>
      <c r="AR684" s="139"/>
      <c r="AS684" s="139"/>
      <c r="AT684" s="139"/>
      <c r="AU684" s="139"/>
      <c r="AV684" s="139"/>
      <c r="AW684" s="139"/>
      <c r="AX684" s="139"/>
      <c r="AY684" s="139"/>
      <c r="AZ684" s="139"/>
      <c r="BA684" s="139"/>
      <c r="BB684" s="139"/>
    </row>
    <row r="685">
      <c r="A685" s="28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  <c r="AE685" s="139"/>
      <c r="AF685" s="139"/>
      <c r="AG685" s="139"/>
      <c r="AH685" s="139"/>
      <c r="AI685" s="139"/>
      <c r="AJ685" s="139"/>
      <c r="AK685" s="139"/>
      <c r="AL685" s="139"/>
      <c r="AM685" s="139"/>
      <c r="AN685" s="139"/>
      <c r="AO685" s="139"/>
      <c r="AP685" s="139"/>
      <c r="AQ685" s="139"/>
      <c r="AR685" s="139"/>
      <c r="AS685" s="139"/>
      <c r="AT685" s="139"/>
      <c r="AU685" s="139"/>
      <c r="AV685" s="139"/>
      <c r="AW685" s="139"/>
      <c r="AX685" s="139"/>
      <c r="AY685" s="139"/>
      <c r="AZ685" s="139"/>
      <c r="BA685" s="139"/>
      <c r="BB685" s="139"/>
    </row>
    <row r="686">
      <c r="A686" s="28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39"/>
      <c r="AK686" s="139"/>
      <c r="AL686" s="139"/>
      <c r="AM686" s="139"/>
      <c r="AN686" s="139"/>
      <c r="AO686" s="139"/>
      <c r="AP686" s="139"/>
      <c r="AQ686" s="139"/>
      <c r="AR686" s="139"/>
      <c r="AS686" s="139"/>
      <c r="AT686" s="139"/>
      <c r="AU686" s="139"/>
      <c r="AV686" s="139"/>
      <c r="AW686" s="139"/>
      <c r="AX686" s="139"/>
      <c r="AY686" s="139"/>
      <c r="AZ686" s="139"/>
      <c r="BA686" s="139"/>
      <c r="BB686" s="139"/>
    </row>
    <row r="687">
      <c r="A687" s="28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  <c r="AE687" s="139"/>
      <c r="AF687" s="139"/>
      <c r="AG687" s="139"/>
      <c r="AH687" s="139"/>
      <c r="AI687" s="139"/>
      <c r="AJ687" s="139"/>
      <c r="AK687" s="139"/>
      <c r="AL687" s="139"/>
      <c r="AM687" s="139"/>
      <c r="AN687" s="139"/>
      <c r="AO687" s="139"/>
      <c r="AP687" s="139"/>
      <c r="AQ687" s="139"/>
      <c r="AR687" s="139"/>
      <c r="AS687" s="139"/>
      <c r="AT687" s="139"/>
      <c r="AU687" s="139"/>
      <c r="AV687" s="139"/>
      <c r="AW687" s="139"/>
      <c r="AX687" s="139"/>
      <c r="AY687" s="139"/>
      <c r="AZ687" s="139"/>
      <c r="BA687" s="139"/>
      <c r="BB687" s="139"/>
    </row>
    <row r="688">
      <c r="A688" s="28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39"/>
      <c r="AK688" s="139"/>
      <c r="AL688" s="139"/>
      <c r="AM688" s="139"/>
      <c r="AN688" s="139"/>
      <c r="AO688" s="139"/>
      <c r="AP688" s="139"/>
      <c r="AQ688" s="139"/>
      <c r="AR688" s="139"/>
      <c r="AS688" s="139"/>
      <c r="AT688" s="139"/>
      <c r="AU688" s="139"/>
      <c r="AV688" s="139"/>
      <c r="AW688" s="139"/>
      <c r="AX688" s="139"/>
      <c r="AY688" s="139"/>
      <c r="AZ688" s="139"/>
      <c r="BA688" s="139"/>
      <c r="BB688" s="139"/>
    </row>
    <row r="689">
      <c r="A689" s="28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  <c r="AE689" s="139"/>
      <c r="AF689" s="139"/>
      <c r="AG689" s="139"/>
      <c r="AH689" s="139"/>
      <c r="AI689" s="139"/>
      <c r="AJ689" s="139"/>
      <c r="AK689" s="139"/>
      <c r="AL689" s="139"/>
      <c r="AM689" s="139"/>
      <c r="AN689" s="139"/>
      <c r="AO689" s="139"/>
      <c r="AP689" s="139"/>
      <c r="AQ689" s="139"/>
      <c r="AR689" s="139"/>
      <c r="AS689" s="139"/>
      <c r="AT689" s="139"/>
      <c r="AU689" s="139"/>
      <c r="AV689" s="139"/>
      <c r="AW689" s="139"/>
      <c r="AX689" s="139"/>
      <c r="AY689" s="139"/>
      <c r="AZ689" s="139"/>
      <c r="BA689" s="139"/>
      <c r="BB689" s="139"/>
    </row>
    <row r="690">
      <c r="A690" s="28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39"/>
      <c r="AK690" s="139"/>
      <c r="AL690" s="139"/>
      <c r="AM690" s="139"/>
      <c r="AN690" s="139"/>
      <c r="AO690" s="139"/>
      <c r="AP690" s="139"/>
      <c r="AQ690" s="139"/>
      <c r="AR690" s="139"/>
      <c r="AS690" s="139"/>
      <c r="AT690" s="139"/>
      <c r="AU690" s="139"/>
      <c r="AV690" s="139"/>
      <c r="AW690" s="139"/>
      <c r="AX690" s="139"/>
      <c r="AY690" s="139"/>
      <c r="AZ690" s="139"/>
      <c r="BA690" s="139"/>
      <c r="BB690" s="139"/>
    </row>
    <row r="691">
      <c r="A691" s="28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39"/>
      <c r="AK691" s="139"/>
      <c r="AL691" s="139"/>
      <c r="AM691" s="139"/>
      <c r="AN691" s="139"/>
      <c r="AO691" s="139"/>
      <c r="AP691" s="139"/>
      <c r="AQ691" s="139"/>
      <c r="AR691" s="139"/>
      <c r="AS691" s="139"/>
      <c r="AT691" s="139"/>
      <c r="AU691" s="139"/>
      <c r="AV691" s="139"/>
      <c r="AW691" s="139"/>
      <c r="AX691" s="139"/>
      <c r="AY691" s="139"/>
      <c r="AZ691" s="139"/>
      <c r="BA691" s="139"/>
      <c r="BB691" s="139"/>
    </row>
    <row r="692">
      <c r="A692" s="28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39"/>
      <c r="AK692" s="139"/>
      <c r="AL692" s="139"/>
      <c r="AM692" s="139"/>
      <c r="AN692" s="139"/>
      <c r="AO692" s="139"/>
      <c r="AP692" s="139"/>
      <c r="AQ692" s="139"/>
      <c r="AR692" s="139"/>
      <c r="AS692" s="139"/>
      <c r="AT692" s="139"/>
      <c r="AU692" s="139"/>
      <c r="AV692" s="139"/>
      <c r="AW692" s="139"/>
      <c r="AX692" s="139"/>
      <c r="AY692" s="139"/>
      <c r="AZ692" s="139"/>
      <c r="BA692" s="139"/>
      <c r="BB692" s="139"/>
    </row>
    <row r="693">
      <c r="A693" s="28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  <c r="AE693" s="139"/>
      <c r="AF693" s="139"/>
      <c r="AG693" s="139"/>
      <c r="AH693" s="139"/>
      <c r="AI693" s="139"/>
      <c r="AJ693" s="139"/>
      <c r="AK693" s="139"/>
      <c r="AL693" s="139"/>
      <c r="AM693" s="139"/>
      <c r="AN693" s="139"/>
      <c r="AO693" s="139"/>
      <c r="AP693" s="139"/>
      <c r="AQ693" s="139"/>
      <c r="AR693" s="139"/>
      <c r="AS693" s="139"/>
      <c r="AT693" s="139"/>
      <c r="AU693" s="139"/>
      <c r="AV693" s="139"/>
      <c r="AW693" s="139"/>
      <c r="AX693" s="139"/>
      <c r="AY693" s="139"/>
      <c r="AZ693" s="139"/>
      <c r="BA693" s="139"/>
      <c r="BB693" s="139"/>
    </row>
    <row r="694">
      <c r="A694" s="28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39"/>
      <c r="AK694" s="139"/>
      <c r="AL694" s="139"/>
      <c r="AM694" s="139"/>
      <c r="AN694" s="139"/>
      <c r="AO694" s="139"/>
      <c r="AP694" s="139"/>
      <c r="AQ694" s="139"/>
      <c r="AR694" s="139"/>
      <c r="AS694" s="139"/>
      <c r="AT694" s="139"/>
      <c r="AU694" s="139"/>
      <c r="AV694" s="139"/>
      <c r="AW694" s="139"/>
      <c r="AX694" s="139"/>
      <c r="AY694" s="139"/>
      <c r="AZ694" s="139"/>
      <c r="BA694" s="139"/>
      <c r="BB694" s="139"/>
    </row>
    <row r="695">
      <c r="A695" s="28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  <c r="AE695" s="139"/>
      <c r="AF695" s="139"/>
      <c r="AG695" s="139"/>
      <c r="AH695" s="139"/>
      <c r="AI695" s="139"/>
      <c r="AJ695" s="139"/>
      <c r="AK695" s="139"/>
      <c r="AL695" s="139"/>
      <c r="AM695" s="139"/>
      <c r="AN695" s="139"/>
      <c r="AO695" s="139"/>
      <c r="AP695" s="139"/>
      <c r="AQ695" s="139"/>
      <c r="AR695" s="139"/>
      <c r="AS695" s="139"/>
      <c r="AT695" s="139"/>
      <c r="AU695" s="139"/>
      <c r="AV695" s="139"/>
      <c r="AW695" s="139"/>
      <c r="AX695" s="139"/>
      <c r="AY695" s="139"/>
      <c r="AZ695" s="139"/>
      <c r="BA695" s="139"/>
      <c r="BB695" s="139"/>
    </row>
    <row r="696">
      <c r="A696" s="28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  <c r="AE696" s="139"/>
      <c r="AF696" s="139"/>
      <c r="AG696" s="139"/>
      <c r="AH696" s="139"/>
      <c r="AI696" s="139"/>
      <c r="AJ696" s="139"/>
      <c r="AK696" s="139"/>
      <c r="AL696" s="139"/>
      <c r="AM696" s="139"/>
      <c r="AN696" s="139"/>
      <c r="AO696" s="139"/>
      <c r="AP696" s="139"/>
      <c r="AQ696" s="139"/>
      <c r="AR696" s="139"/>
      <c r="AS696" s="139"/>
      <c r="AT696" s="139"/>
      <c r="AU696" s="139"/>
      <c r="AV696" s="139"/>
      <c r="AW696" s="139"/>
      <c r="AX696" s="139"/>
      <c r="AY696" s="139"/>
      <c r="AZ696" s="139"/>
      <c r="BA696" s="139"/>
      <c r="BB696" s="139"/>
    </row>
    <row r="697">
      <c r="A697" s="28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39"/>
      <c r="AD697" s="139"/>
      <c r="AE697" s="139"/>
      <c r="AF697" s="139"/>
      <c r="AG697" s="139"/>
      <c r="AH697" s="139"/>
      <c r="AI697" s="139"/>
      <c r="AJ697" s="139"/>
      <c r="AK697" s="139"/>
      <c r="AL697" s="139"/>
      <c r="AM697" s="139"/>
      <c r="AN697" s="139"/>
      <c r="AO697" s="139"/>
      <c r="AP697" s="139"/>
      <c r="AQ697" s="139"/>
      <c r="AR697" s="139"/>
      <c r="AS697" s="139"/>
      <c r="AT697" s="139"/>
      <c r="AU697" s="139"/>
      <c r="AV697" s="139"/>
      <c r="AW697" s="139"/>
      <c r="AX697" s="139"/>
      <c r="AY697" s="139"/>
      <c r="AZ697" s="139"/>
      <c r="BA697" s="139"/>
      <c r="BB697" s="139"/>
    </row>
    <row r="698">
      <c r="A698" s="28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  <c r="AE698" s="139"/>
      <c r="AF698" s="139"/>
      <c r="AG698" s="139"/>
      <c r="AH698" s="139"/>
      <c r="AI698" s="139"/>
      <c r="AJ698" s="139"/>
      <c r="AK698" s="139"/>
      <c r="AL698" s="139"/>
      <c r="AM698" s="139"/>
      <c r="AN698" s="139"/>
      <c r="AO698" s="139"/>
      <c r="AP698" s="139"/>
      <c r="AQ698" s="139"/>
      <c r="AR698" s="139"/>
      <c r="AS698" s="139"/>
      <c r="AT698" s="139"/>
      <c r="AU698" s="139"/>
      <c r="AV698" s="139"/>
      <c r="AW698" s="139"/>
      <c r="AX698" s="139"/>
      <c r="AY698" s="139"/>
      <c r="AZ698" s="139"/>
      <c r="BA698" s="139"/>
      <c r="BB698" s="139"/>
    </row>
    <row r="699">
      <c r="A699" s="28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39"/>
      <c r="AD699" s="139"/>
      <c r="AE699" s="139"/>
      <c r="AF699" s="139"/>
      <c r="AG699" s="139"/>
      <c r="AH699" s="139"/>
      <c r="AI699" s="139"/>
      <c r="AJ699" s="139"/>
      <c r="AK699" s="139"/>
      <c r="AL699" s="139"/>
      <c r="AM699" s="139"/>
      <c r="AN699" s="139"/>
      <c r="AO699" s="139"/>
      <c r="AP699" s="139"/>
      <c r="AQ699" s="139"/>
      <c r="AR699" s="139"/>
      <c r="AS699" s="139"/>
      <c r="AT699" s="139"/>
      <c r="AU699" s="139"/>
      <c r="AV699" s="139"/>
      <c r="AW699" s="139"/>
      <c r="AX699" s="139"/>
      <c r="AY699" s="139"/>
      <c r="AZ699" s="139"/>
      <c r="BA699" s="139"/>
      <c r="BB699" s="139"/>
    </row>
    <row r="700">
      <c r="A700" s="28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  <c r="AE700" s="139"/>
      <c r="AF700" s="139"/>
      <c r="AG700" s="139"/>
      <c r="AH700" s="139"/>
      <c r="AI700" s="139"/>
      <c r="AJ700" s="139"/>
      <c r="AK700" s="139"/>
      <c r="AL700" s="139"/>
      <c r="AM700" s="139"/>
      <c r="AN700" s="139"/>
      <c r="AO700" s="139"/>
      <c r="AP700" s="139"/>
      <c r="AQ700" s="139"/>
      <c r="AR700" s="139"/>
      <c r="AS700" s="139"/>
      <c r="AT700" s="139"/>
      <c r="AU700" s="139"/>
      <c r="AV700" s="139"/>
      <c r="AW700" s="139"/>
      <c r="AX700" s="139"/>
      <c r="AY700" s="139"/>
      <c r="AZ700" s="139"/>
      <c r="BA700" s="139"/>
      <c r="BB700" s="139"/>
    </row>
    <row r="701">
      <c r="A701" s="28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39"/>
      <c r="AD701" s="139"/>
      <c r="AE701" s="139"/>
      <c r="AF701" s="139"/>
      <c r="AG701" s="139"/>
      <c r="AH701" s="139"/>
      <c r="AI701" s="139"/>
      <c r="AJ701" s="139"/>
      <c r="AK701" s="139"/>
      <c r="AL701" s="139"/>
      <c r="AM701" s="139"/>
      <c r="AN701" s="139"/>
      <c r="AO701" s="139"/>
      <c r="AP701" s="139"/>
      <c r="AQ701" s="139"/>
      <c r="AR701" s="139"/>
      <c r="AS701" s="139"/>
      <c r="AT701" s="139"/>
      <c r="AU701" s="139"/>
      <c r="AV701" s="139"/>
      <c r="AW701" s="139"/>
      <c r="AX701" s="139"/>
      <c r="AY701" s="139"/>
      <c r="AZ701" s="139"/>
      <c r="BA701" s="139"/>
      <c r="BB701" s="139"/>
    </row>
    <row r="702">
      <c r="A702" s="28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39"/>
      <c r="AD702" s="139"/>
      <c r="AE702" s="139"/>
      <c r="AF702" s="139"/>
      <c r="AG702" s="139"/>
      <c r="AH702" s="139"/>
      <c r="AI702" s="139"/>
      <c r="AJ702" s="139"/>
      <c r="AK702" s="139"/>
      <c r="AL702" s="139"/>
      <c r="AM702" s="139"/>
      <c r="AN702" s="139"/>
      <c r="AO702" s="139"/>
      <c r="AP702" s="139"/>
      <c r="AQ702" s="139"/>
      <c r="AR702" s="139"/>
      <c r="AS702" s="139"/>
      <c r="AT702" s="139"/>
      <c r="AU702" s="139"/>
      <c r="AV702" s="139"/>
      <c r="AW702" s="139"/>
      <c r="AX702" s="139"/>
      <c r="AY702" s="139"/>
      <c r="AZ702" s="139"/>
      <c r="BA702" s="139"/>
      <c r="BB702" s="139"/>
    </row>
    <row r="703">
      <c r="A703" s="28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39"/>
      <c r="AD703" s="139"/>
      <c r="AE703" s="139"/>
      <c r="AF703" s="139"/>
      <c r="AG703" s="139"/>
      <c r="AH703" s="139"/>
      <c r="AI703" s="139"/>
      <c r="AJ703" s="139"/>
      <c r="AK703" s="139"/>
      <c r="AL703" s="139"/>
      <c r="AM703" s="139"/>
      <c r="AN703" s="139"/>
      <c r="AO703" s="139"/>
      <c r="AP703" s="139"/>
      <c r="AQ703" s="139"/>
      <c r="AR703" s="139"/>
      <c r="AS703" s="139"/>
      <c r="AT703" s="139"/>
      <c r="AU703" s="139"/>
      <c r="AV703" s="139"/>
      <c r="AW703" s="139"/>
      <c r="AX703" s="139"/>
      <c r="AY703" s="139"/>
      <c r="AZ703" s="139"/>
      <c r="BA703" s="139"/>
      <c r="BB703" s="139"/>
    </row>
    <row r="704">
      <c r="A704" s="28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  <c r="AC704" s="139"/>
      <c r="AD704" s="139"/>
      <c r="AE704" s="139"/>
      <c r="AF704" s="139"/>
      <c r="AG704" s="139"/>
      <c r="AH704" s="139"/>
      <c r="AI704" s="139"/>
      <c r="AJ704" s="139"/>
      <c r="AK704" s="139"/>
      <c r="AL704" s="139"/>
      <c r="AM704" s="139"/>
      <c r="AN704" s="139"/>
      <c r="AO704" s="139"/>
      <c r="AP704" s="139"/>
      <c r="AQ704" s="139"/>
      <c r="AR704" s="139"/>
      <c r="AS704" s="139"/>
      <c r="AT704" s="139"/>
      <c r="AU704" s="139"/>
      <c r="AV704" s="139"/>
      <c r="AW704" s="139"/>
      <c r="AX704" s="139"/>
      <c r="AY704" s="139"/>
      <c r="AZ704" s="139"/>
      <c r="BA704" s="139"/>
      <c r="BB704" s="139"/>
    </row>
    <row r="705">
      <c r="A705" s="28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39"/>
      <c r="AK705" s="139"/>
      <c r="AL705" s="139"/>
      <c r="AM705" s="139"/>
      <c r="AN705" s="139"/>
      <c r="AO705" s="139"/>
      <c r="AP705" s="139"/>
      <c r="AQ705" s="139"/>
      <c r="AR705" s="139"/>
      <c r="AS705" s="139"/>
      <c r="AT705" s="139"/>
      <c r="AU705" s="139"/>
      <c r="AV705" s="139"/>
      <c r="AW705" s="139"/>
      <c r="AX705" s="139"/>
      <c r="AY705" s="139"/>
      <c r="AZ705" s="139"/>
      <c r="BA705" s="139"/>
      <c r="BB705" s="139"/>
    </row>
    <row r="706">
      <c r="A706" s="28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39"/>
      <c r="AD706" s="139"/>
      <c r="AE706" s="139"/>
      <c r="AF706" s="139"/>
      <c r="AG706" s="139"/>
      <c r="AH706" s="139"/>
      <c r="AI706" s="139"/>
      <c r="AJ706" s="139"/>
      <c r="AK706" s="139"/>
      <c r="AL706" s="139"/>
      <c r="AM706" s="139"/>
      <c r="AN706" s="139"/>
      <c r="AO706" s="139"/>
      <c r="AP706" s="139"/>
      <c r="AQ706" s="139"/>
      <c r="AR706" s="139"/>
      <c r="AS706" s="139"/>
      <c r="AT706" s="139"/>
      <c r="AU706" s="139"/>
      <c r="AV706" s="139"/>
      <c r="AW706" s="139"/>
      <c r="AX706" s="139"/>
      <c r="AY706" s="139"/>
      <c r="AZ706" s="139"/>
      <c r="BA706" s="139"/>
      <c r="BB706" s="139"/>
    </row>
    <row r="707">
      <c r="A707" s="28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39"/>
      <c r="AK707" s="139"/>
      <c r="AL707" s="139"/>
      <c r="AM707" s="139"/>
      <c r="AN707" s="139"/>
      <c r="AO707" s="139"/>
      <c r="AP707" s="139"/>
      <c r="AQ707" s="139"/>
      <c r="AR707" s="139"/>
      <c r="AS707" s="139"/>
      <c r="AT707" s="139"/>
      <c r="AU707" s="139"/>
      <c r="AV707" s="139"/>
      <c r="AW707" s="139"/>
      <c r="AX707" s="139"/>
      <c r="AY707" s="139"/>
      <c r="AZ707" s="139"/>
      <c r="BA707" s="139"/>
      <c r="BB707" s="139"/>
    </row>
    <row r="708">
      <c r="A708" s="28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  <c r="AC708" s="139"/>
      <c r="AD708" s="139"/>
      <c r="AE708" s="139"/>
      <c r="AF708" s="139"/>
      <c r="AG708" s="139"/>
      <c r="AH708" s="139"/>
      <c r="AI708" s="139"/>
      <c r="AJ708" s="139"/>
      <c r="AK708" s="139"/>
      <c r="AL708" s="139"/>
      <c r="AM708" s="139"/>
      <c r="AN708" s="139"/>
      <c r="AO708" s="139"/>
      <c r="AP708" s="139"/>
      <c r="AQ708" s="139"/>
      <c r="AR708" s="139"/>
      <c r="AS708" s="139"/>
      <c r="AT708" s="139"/>
      <c r="AU708" s="139"/>
      <c r="AV708" s="139"/>
      <c r="AW708" s="139"/>
      <c r="AX708" s="139"/>
      <c r="AY708" s="139"/>
      <c r="AZ708" s="139"/>
      <c r="BA708" s="139"/>
      <c r="BB708" s="139"/>
    </row>
    <row r="709">
      <c r="A709" s="28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39"/>
      <c r="AD709" s="139"/>
      <c r="AE709" s="139"/>
      <c r="AF709" s="139"/>
      <c r="AG709" s="139"/>
      <c r="AH709" s="139"/>
      <c r="AI709" s="139"/>
      <c r="AJ709" s="139"/>
      <c r="AK709" s="139"/>
      <c r="AL709" s="139"/>
      <c r="AM709" s="139"/>
      <c r="AN709" s="139"/>
      <c r="AO709" s="139"/>
      <c r="AP709" s="139"/>
      <c r="AQ709" s="139"/>
      <c r="AR709" s="139"/>
      <c r="AS709" s="139"/>
      <c r="AT709" s="139"/>
      <c r="AU709" s="139"/>
      <c r="AV709" s="139"/>
      <c r="AW709" s="139"/>
      <c r="AX709" s="139"/>
      <c r="AY709" s="139"/>
      <c r="AZ709" s="139"/>
      <c r="BA709" s="139"/>
      <c r="BB709" s="139"/>
    </row>
    <row r="710">
      <c r="A710" s="28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  <c r="AC710" s="139"/>
      <c r="AD710" s="139"/>
      <c r="AE710" s="139"/>
      <c r="AF710" s="139"/>
      <c r="AG710" s="139"/>
      <c r="AH710" s="139"/>
      <c r="AI710" s="139"/>
      <c r="AJ710" s="139"/>
      <c r="AK710" s="139"/>
      <c r="AL710" s="139"/>
      <c r="AM710" s="139"/>
      <c r="AN710" s="139"/>
      <c r="AO710" s="139"/>
      <c r="AP710" s="139"/>
      <c r="AQ710" s="139"/>
      <c r="AR710" s="139"/>
      <c r="AS710" s="139"/>
      <c r="AT710" s="139"/>
      <c r="AU710" s="139"/>
      <c r="AV710" s="139"/>
      <c r="AW710" s="139"/>
      <c r="AX710" s="139"/>
      <c r="AY710" s="139"/>
      <c r="AZ710" s="139"/>
      <c r="BA710" s="139"/>
      <c r="BB710" s="139"/>
    </row>
    <row r="711">
      <c r="A711" s="28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39"/>
      <c r="AD711" s="139"/>
      <c r="AE711" s="139"/>
      <c r="AF711" s="139"/>
      <c r="AG711" s="139"/>
      <c r="AH711" s="139"/>
      <c r="AI711" s="139"/>
      <c r="AJ711" s="139"/>
      <c r="AK711" s="139"/>
      <c r="AL711" s="139"/>
      <c r="AM711" s="139"/>
      <c r="AN711" s="139"/>
      <c r="AO711" s="139"/>
      <c r="AP711" s="139"/>
      <c r="AQ711" s="139"/>
      <c r="AR711" s="139"/>
      <c r="AS711" s="139"/>
      <c r="AT711" s="139"/>
      <c r="AU711" s="139"/>
      <c r="AV711" s="139"/>
      <c r="AW711" s="139"/>
      <c r="AX711" s="139"/>
      <c r="AY711" s="139"/>
      <c r="AZ711" s="139"/>
      <c r="BA711" s="139"/>
      <c r="BB711" s="139"/>
    </row>
    <row r="712">
      <c r="A712" s="28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  <c r="AC712" s="139"/>
      <c r="AD712" s="139"/>
      <c r="AE712" s="139"/>
      <c r="AF712" s="139"/>
      <c r="AG712" s="139"/>
      <c r="AH712" s="139"/>
      <c r="AI712" s="139"/>
      <c r="AJ712" s="139"/>
      <c r="AK712" s="139"/>
      <c r="AL712" s="139"/>
      <c r="AM712" s="139"/>
      <c r="AN712" s="139"/>
      <c r="AO712" s="139"/>
      <c r="AP712" s="139"/>
      <c r="AQ712" s="139"/>
      <c r="AR712" s="139"/>
      <c r="AS712" s="139"/>
      <c r="AT712" s="139"/>
      <c r="AU712" s="139"/>
      <c r="AV712" s="139"/>
      <c r="AW712" s="139"/>
      <c r="AX712" s="139"/>
      <c r="AY712" s="139"/>
      <c r="AZ712" s="139"/>
      <c r="BA712" s="139"/>
      <c r="BB712" s="139"/>
    </row>
    <row r="713">
      <c r="A713" s="28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9"/>
      <c r="AM713" s="139"/>
      <c r="AN713" s="139"/>
      <c r="AO713" s="139"/>
      <c r="AP713" s="139"/>
      <c r="AQ713" s="139"/>
      <c r="AR713" s="139"/>
      <c r="AS713" s="139"/>
      <c r="AT713" s="139"/>
      <c r="AU713" s="139"/>
      <c r="AV713" s="139"/>
      <c r="AW713" s="139"/>
      <c r="AX713" s="139"/>
      <c r="AY713" s="139"/>
      <c r="AZ713" s="139"/>
      <c r="BA713" s="139"/>
      <c r="BB713" s="139"/>
    </row>
    <row r="714">
      <c r="A714" s="28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  <c r="AC714" s="139"/>
      <c r="AD714" s="139"/>
      <c r="AE714" s="139"/>
      <c r="AF714" s="139"/>
      <c r="AG714" s="139"/>
      <c r="AH714" s="139"/>
      <c r="AI714" s="139"/>
      <c r="AJ714" s="139"/>
      <c r="AK714" s="139"/>
      <c r="AL714" s="139"/>
      <c r="AM714" s="139"/>
      <c r="AN714" s="139"/>
      <c r="AO714" s="139"/>
      <c r="AP714" s="139"/>
      <c r="AQ714" s="139"/>
      <c r="AR714" s="139"/>
      <c r="AS714" s="139"/>
      <c r="AT714" s="139"/>
      <c r="AU714" s="139"/>
      <c r="AV714" s="139"/>
      <c r="AW714" s="139"/>
      <c r="AX714" s="139"/>
      <c r="AY714" s="139"/>
      <c r="AZ714" s="139"/>
      <c r="BA714" s="139"/>
      <c r="BB714" s="139"/>
    </row>
    <row r="715">
      <c r="A715" s="28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39"/>
      <c r="AD715" s="139"/>
      <c r="AE715" s="139"/>
      <c r="AF715" s="139"/>
      <c r="AG715" s="139"/>
      <c r="AH715" s="139"/>
      <c r="AI715" s="139"/>
      <c r="AJ715" s="139"/>
      <c r="AK715" s="139"/>
      <c r="AL715" s="139"/>
      <c r="AM715" s="139"/>
      <c r="AN715" s="139"/>
      <c r="AO715" s="139"/>
      <c r="AP715" s="139"/>
      <c r="AQ715" s="139"/>
      <c r="AR715" s="139"/>
      <c r="AS715" s="139"/>
      <c r="AT715" s="139"/>
      <c r="AU715" s="139"/>
      <c r="AV715" s="139"/>
      <c r="AW715" s="139"/>
      <c r="AX715" s="139"/>
      <c r="AY715" s="139"/>
      <c r="AZ715" s="139"/>
      <c r="BA715" s="139"/>
      <c r="BB715" s="139"/>
    </row>
    <row r="716">
      <c r="A716" s="28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39"/>
      <c r="AD716" s="139"/>
      <c r="AE716" s="139"/>
      <c r="AF716" s="139"/>
      <c r="AG716" s="139"/>
      <c r="AH716" s="139"/>
      <c r="AI716" s="139"/>
      <c r="AJ716" s="139"/>
      <c r="AK716" s="139"/>
      <c r="AL716" s="139"/>
      <c r="AM716" s="139"/>
      <c r="AN716" s="139"/>
      <c r="AO716" s="139"/>
      <c r="AP716" s="139"/>
      <c r="AQ716" s="139"/>
      <c r="AR716" s="139"/>
      <c r="AS716" s="139"/>
      <c r="AT716" s="139"/>
      <c r="AU716" s="139"/>
      <c r="AV716" s="139"/>
      <c r="AW716" s="139"/>
      <c r="AX716" s="139"/>
      <c r="AY716" s="139"/>
      <c r="AZ716" s="139"/>
      <c r="BA716" s="139"/>
      <c r="BB716" s="139"/>
    </row>
    <row r="717">
      <c r="A717" s="28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39"/>
      <c r="AK717" s="139"/>
      <c r="AL717" s="139"/>
      <c r="AM717" s="139"/>
      <c r="AN717" s="139"/>
      <c r="AO717" s="139"/>
      <c r="AP717" s="139"/>
      <c r="AQ717" s="139"/>
      <c r="AR717" s="139"/>
      <c r="AS717" s="139"/>
      <c r="AT717" s="139"/>
      <c r="AU717" s="139"/>
      <c r="AV717" s="139"/>
      <c r="AW717" s="139"/>
      <c r="AX717" s="139"/>
      <c r="AY717" s="139"/>
      <c r="AZ717" s="139"/>
      <c r="BA717" s="139"/>
      <c r="BB717" s="139"/>
    </row>
    <row r="718">
      <c r="A718" s="28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39"/>
      <c r="AD718" s="139"/>
      <c r="AE718" s="139"/>
      <c r="AF718" s="139"/>
      <c r="AG718" s="139"/>
      <c r="AH718" s="139"/>
      <c r="AI718" s="139"/>
      <c r="AJ718" s="139"/>
      <c r="AK718" s="139"/>
      <c r="AL718" s="139"/>
      <c r="AM718" s="139"/>
      <c r="AN718" s="139"/>
      <c r="AO718" s="139"/>
      <c r="AP718" s="139"/>
      <c r="AQ718" s="139"/>
      <c r="AR718" s="139"/>
      <c r="AS718" s="139"/>
      <c r="AT718" s="139"/>
      <c r="AU718" s="139"/>
      <c r="AV718" s="139"/>
      <c r="AW718" s="139"/>
      <c r="AX718" s="139"/>
      <c r="AY718" s="139"/>
      <c r="AZ718" s="139"/>
      <c r="BA718" s="139"/>
      <c r="BB718" s="139"/>
    </row>
    <row r="719">
      <c r="A719" s="28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39"/>
      <c r="AK719" s="139"/>
      <c r="AL719" s="139"/>
      <c r="AM719" s="139"/>
      <c r="AN719" s="139"/>
      <c r="AO719" s="139"/>
      <c r="AP719" s="139"/>
      <c r="AQ719" s="139"/>
      <c r="AR719" s="139"/>
      <c r="AS719" s="139"/>
      <c r="AT719" s="139"/>
      <c r="AU719" s="139"/>
      <c r="AV719" s="139"/>
      <c r="AW719" s="139"/>
      <c r="AX719" s="139"/>
      <c r="AY719" s="139"/>
      <c r="AZ719" s="139"/>
      <c r="BA719" s="139"/>
      <c r="BB719" s="139"/>
    </row>
    <row r="720">
      <c r="A720" s="28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39"/>
      <c r="AD720" s="139"/>
      <c r="AE720" s="139"/>
      <c r="AF720" s="139"/>
      <c r="AG720" s="139"/>
      <c r="AH720" s="139"/>
      <c r="AI720" s="139"/>
      <c r="AJ720" s="139"/>
      <c r="AK720" s="139"/>
      <c r="AL720" s="139"/>
      <c r="AM720" s="139"/>
      <c r="AN720" s="139"/>
      <c r="AO720" s="139"/>
      <c r="AP720" s="139"/>
      <c r="AQ720" s="139"/>
      <c r="AR720" s="139"/>
      <c r="AS720" s="139"/>
      <c r="AT720" s="139"/>
      <c r="AU720" s="139"/>
      <c r="AV720" s="139"/>
      <c r="AW720" s="139"/>
      <c r="AX720" s="139"/>
      <c r="AY720" s="139"/>
      <c r="AZ720" s="139"/>
      <c r="BA720" s="139"/>
      <c r="BB720" s="139"/>
    </row>
    <row r="721">
      <c r="A721" s="28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39"/>
      <c r="AK721" s="139"/>
      <c r="AL721" s="139"/>
      <c r="AM721" s="139"/>
      <c r="AN721" s="139"/>
      <c r="AO721" s="139"/>
      <c r="AP721" s="139"/>
      <c r="AQ721" s="139"/>
      <c r="AR721" s="139"/>
      <c r="AS721" s="139"/>
      <c r="AT721" s="139"/>
      <c r="AU721" s="139"/>
      <c r="AV721" s="139"/>
      <c r="AW721" s="139"/>
      <c r="AX721" s="139"/>
      <c r="AY721" s="139"/>
      <c r="AZ721" s="139"/>
      <c r="BA721" s="139"/>
      <c r="BB721" s="139"/>
    </row>
    <row r="722">
      <c r="A722" s="28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39"/>
      <c r="AK722" s="139"/>
      <c r="AL722" s="139"/>
      <c r="AM722" s="139"/>
      <c r="AN722" s="139"/>
      <c r="AO722" s="139"/>
      <c r="AP722" s="139"/>
      <c r="AQ722" s="139"/>
      <c r="AR722" s="139"/>
      <c r="AS722" s="139"/>
      <c r="AT722" s="139"/>
      <c r="AU722" s="139"/>
      <c r="AV722" s="139"/>
      <c r="AW722" s="139"/>
      <c r="AX722" s="139"/>
      <c r="AY722" s="139"/>
      <c r="AZ722" s="139"/>
      <c r="BA722" s="139"/>
      <c r="BB722" s="139"/>
    </row>
    <row r="723">
      <c r="A723" s="28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39"/>
      <c r="AK723" s="139"/>
      <c r="AL723" s="139"/>
      <c r="AM723" s="139"/>
      <c r="AN723" s="139"/>
      <c r="AO723" s="139"/>
      <c r="AP723" s="139"/>
      <c r="AQ723" s="139"/>
      <c r="AR723" s="139"/>
      <c r="AS723" s="139"/>
      <c r="AT723" s="139"/>
      <c r="AU723" s="139"/>
      <c r="AV723" s="139"/>
      <c r="AW723" s="139"/>
      <c r="AX723" s="139"/>
      <c r="AY723" s="139"/>
      <c r="AZ723" s="139"/>
      <c r="BA723" s="139"/>
      <c r="BB723" s="139"/>
    </row>
    <row r="724">
      <c r="A724" s="28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39"/>
      <c r="AD724" s="139"/>
      <c r="AE724" s="139"/>
      <c r="AF724" s="139"/>
      <c r="AG724" s="139"/>
      <c r="AH724" s="139"/>
      <c r="AI724" s="139"/>
      <c r="AJ724" s="139"/>
      <c r="AK724" s="139"/>
      <c r="AL724" s="139"/>
      <c r="AM724" s="139"/>
      <c r="AN724" s="139"/>
      <c r="AO724" s="139"/>
      <c r="AP724" s="139"/>
      <c r="AQ724" s="139"/>
      <c r="AR724" s="139"/>
      <c r="AS724" s="139"/>
      <c r="AT724" s="139"/>
      <c r="AU724" s="139"/>
      <c r="AV724" s="139"/>
      <c r="AW724" s="139"/>
      <c r="AX724" s="139"/>
      <c r="AY724" s="139"/>
      <c r="AZ724" s="139"/>
      <c r="BA724" s="139"/>
      <c r="BB724" s="139"/>
    </row>
    <row r="725">
      <c r="A725" s="28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39"/>
      <c r="AK725" s="139"/>
      <c r="AL725" s="139"/>
      <c r="AM725" s="139"/>
      <c r="AN725" s="139"/>
      <c r="AO725" s="139"/>
      <c r="AP725" s="139"/>
      <c r="AQ725" s="139"/>
      <c r="AR725" s="139"/>
      <c r="AS725" s="139"/>
      <c r="AT725" s="139"/>
      <c r="AU725" s="139"/>
      <c r="AV725" s="139"/>
      <c r="AW725" s="139"/>
      <c r="AX725" s="139"/>
      <c r="AY725" s="139"/>
      <c r="AZ725" s="139"/>
      <c r="BA725" s="139"/>
      <c r="BB725" s="139"/>
    </row>
    <row r="726">
      <c r="A726" s="28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39"/>
      <c r="AD726" s="139"/>
      <c r="AE726" s="139"/>
      <c r="AF726" s="139"/>
      <c r="AG726" s="139"/>
      <c r="AH726" s="139"/>
      <c r="AI726" s="139"/>
      <c r="AJ726" s="139"/>
      <c r="AK726" s="139"/>
      <c r="AL726" s="139"/>
      <c r="AM726" s="139"/>
      <c r="AN726" s="139"/>
      <c r="AO726" s="139"/>
      <c r="AP726" s="139"/>
      <c r="AQ726" s="139"/>
      <c r="AR726" s="139"/>
      <c r="AS726" s="139"/>
      <c r="AT726" s="139"/>
      <c r="AU726" s="139"/>
      <c r="AV726" s="139"/>
      <c r="AW726" s="139"/>
      <c r="AX726" s="139"/>
      <c r="AY726" s="139"/>
      <c r="AZ726" s="139"/>
      <c r="BA726" s="139"/>
      <c r="BB726" s="139"/>
    </row>
    <row r="727">
      <c r="A727" s="28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/>
      <c r="AE727" s="139"/>
      <c r="AF727" s="139"/>
      <c r="AG727" s="139"/>
      <c r="AH727" s="139"/>
      <c r="AI727" s="139"/>
      <c r="AJ727" s="139"/>
      <c r="AK727" s="139"/>
      <c r="AL727" s="139"/>
      <c r="AM727" s="139"/>
      <c r="AN727" s="139"/>
      <c r="AO727" s="139"/>
      <c r="AP727" s="139"/>
      <c r="AQ727" s="139"/>
      <c r="AR727" s="139"/>
      <c r="AS727" s="139"/>
      <c r="AT727" s="139"/>
      <c r="AU727" s="139"/>
      <c r="AV727" s="139"/>
      <c r="AW727" s="139"/>
      <c r="AX727" s="139"/>
      <c r="AY727" s="139"/>
      <c r="AZ727" s="139"/>
      <c r="BA727" s="139"/>
      <c r="BB727" s="139"/>
    </row>
    <row r="728">
      <c r="A728" s="28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39"/>
      <c r="AD728" s="139"/>
      <c r="AE728" s="139"/>
      <c r="AF728" s="139"/>
      <c r="AG728" s="139"/>
      <c r="AH728" s="139"/>
      <c r="AI728" s="139"/>
      <c r="AJ728" s="139"/>
      <c r="AK728" s="139"/>
      <c r="AL728" s="139"/>
      <c r="AM728" s="139"/>
      <c r="AN728" s="139"/>
      <c r="AO728" s="139"/>
      <c r="AP728" s="139"/>
      <c r="AQ728" s="139"/>
      <c r="AR728" s="139"/>
      <c r="AS728" s="139"/>
      <c r="AT728" s="139"/>
      <c r="AU728" s="139"/>
      <c r="AV728" s="139"/>
      <c r="AW728" s="139"/>
      <c r="AX728" s="139"/>
      <c r="AY728" s="139"/>
      <c r="AZ728" s="139"/>
      <c r="BA728" s="139"/>
      <c r="BB728" s="139"/>
    </row>
    <row r="729">
      <c r="A729" s="28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39"/>
      <c r="AK729" s="139"/>
      <c r="AL729" s="139"/>
      <c r="AM729" s="139"/>
      <c r="AN729" s="139"/>
      <c r="AO729" s="139"/>
      <c r="AP729" s="139"/>
      <c r="AQ729" s="139"/>
      <c r="AR729" s="139"/>
      <c r="AS729" s="139"/>
      <c r="AT729" s="139"/>
      <c r="AU729" s="139"/>
      <c r="AV729" s="139"/>
      <c r="AW729" s="139"/>
      <c r="AX729" s="139"/>
      <c r="AY729" s="139"/>
      <c r="AZ729" s="139"/>
      <c r="BA729" s="139"/>
      <c r="BB729" s="139"/>
    </row>
    <row r="730">
      <c r="A730" s="28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39"/>
      <c r="AD730" s="139"/>
      <c r="AE730" s="139"/>
      <c r="AF730" s="139"/>
      <c r="AG730" s="139"/>
      <c r="AH730" s="139"/>
      <c r="AI730" s="139"/>
      <c r="AJ730" s="139"/>
      <c r="AK730" s="139"/>
      <c r="AL730" s="139"/>
      <c r="AM730" s="139"/>
      <c r="AN730" s="139"/>
      <c r="AO730" s="139"/>
      <c r="AP730" s="139"/>
      <c r="AQ730" s="139"/>
      <c r="AR730" s="139"/>
      <c r="AS730" s="139"/>
      <c r="AT730" s="139"/>
      <c r="AU730" s="139"/>
      <c r="AV730" s="139"/>
      <c r="AW730" s="139"/>
      <c r="AX730" s="139"/>
      <c r="AY730" s="139"/>
      <c r="AZ730" s="139"/>
      <c r="BA730" s="139"/>
      <c r="BB730" s="139"/>
    </row>
    <row r="731">
      <c r="A731" s="28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/>
      <c r="AD731" s="139"/>
      <c r="AE731" s="139"/>
      <c r="AF731" s="139"/>
      <c r="AG731" s="139"/>
      <c r="AH731" s="139"/>
      <c r="AI731" s="139"/>
      <c r="AJ731" s="139"/>
      <c r="AK731" s="139"/>
      <c r="AL731" s="139"/>
      <c r="AM731" s="139"/>
      <c r="AN731" s="139"/>
      <c r="AO731" s="139"/>
      <c r="AP731" s="139"/>
      <c r="AQ731" s="139"/>
      <c r="AR731" s="139"/>
      <c r="AS731" s="139"/>
      <c r="AT731" s="139"/>
      <c r="AU731" s="139"/>
      <c r="AV731" s="139"/>
      <c r="AW731" s="139"/>
      <c r="AX731" s="139"/>
      <c r="AY731" s="139"/>
      <c r="AZ731" s="139"/>
      <c r="BA731" s="139"/>
      <c r="BB731" s="139"/>
    </row>
    <row r="732">
      <c r="A732" s="28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39"/>
      <c r="AD732" s="139"/>
      <c r="AE732" s="139"/>
      <c r="AF732" s="139"/>
      <c r="AG732" s="139"/>
      <c r="AH732" s="139"/>
      <c r="AI732" s="139"/>
      <c r="AJ732" s="139"/>
      <c r="AK732" s="139"/>
      <c r="AL732" s="139"/>
      <c r="AM732" s="139"/>
      <c r="AN732" s="139"/>
      <c r="AO732" s="139"/>
      <c r="AP732" s="139"/>
      <c r="AQ732" s="139"/>
      <c r="AR732" s="139"/>
      <c r="AS732" s="139"/>
      <c r="AT732" s="139"/>
      <c r="AU732" s="139"/>
      <c r="AV732" s="139"/>
      <c r="AW732" s="139"/>
      <c r="AX732" s="139"/>
      <c r="AY732" s="139"/>
      <c r="AZ732" s="139"/>
      <c r="BA732" s="139"/>
      <c r="BB732" s="139"/>
    </row>
    <row r="733">
      <c r="A733" s="28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39"/>
      <c r="AK733" s="139"/>
      <c r="AL733" s="139"/>
      <c r="AM733" s="139"/>
      <c r="AN733" s="139"/>
      <c r="AO733" s="139"/>
      <c r="AP733" s="139"/>
      <c r="AQ733" s="139"/>
      <c r="AR733" s="139"/>
      <c r="AS733" s="139"/>
      <c r="AT733" s="139"/>
      <c r="AU733" s="139"/>
      <c r="AV733" s="139"/>
      <c r="AW733" s="139"/>
      <c r="AX733" s="139"/>
      <c r="AY733" s="139"/>
      <c r="AZ733" s="139"/>
      <c r="BA733" s="139"/>
      <c r="BB733" s="139"/>
    </row>
    <row r="734">
      <c r="A734" s="28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39"/>
      <c r="AD734" s="139"/>
      <c r="AE734" s="139"/>
      <c r="AF734" s="139"/>
      <c r="AG734" s="139"/>
      <c r="AH734" s="139"/>
      <c r="AI734" s="139"/>
      <c r="AJ734" s="139"/>
      <c r="AK734" s="139"/>
      <c r="AL734" s="139"/>
      <c r="AM734" s="139"/>
      <c r="AN734" s="139"/>
      <c r="AO734" s="139"/>
      <c r="AP734" s="139"/>
      <c r="AQ734" s="139"/>
      <c r="AR734" s="139"/>
      <c r="AS734" s="139"/>
      <c r="AT734" s="139"/>
      <c r="AU734" s="139"/>
      <c r="AV734" s="139"/>
      <c r="AW734" s="139"/>
      <c r="AX734" s="139"/>
      <c r="AY734" s="139"/>
      <c r="AZ734" s="139"/>
      <c r="BA734" s="139"/>
      <c r="BB734" s="139"/>
    </row>
    <row r="735">
      <c r="A735" s="28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39"/>
      <c r="AK735" s="139"/>
      <c r="AL735" s="139"/>
      <c r="AM735" s="139"/>
      <c r="AN735" s="139"/>
      <c r="AO735" s="139"/>
      <c r="AP735" s="139"/>
      <c r="AQ735" s="139"/>
      <c r="AR735" s="139"/>
      <c r="AS735" s="139"/>
      <c r="AT735" s="139"/>
      <c r="AU735" s="139"/>
      <c r="AV735" s="139"/>
      <c r="AW735" s="139"/>
      <c r="AX735" s="139"/>
      <c r="AY735" s="139"/>
      <c r="AZ735" s="139"/>
      <c r="BA735" s="139"/>
      <c r="BB735" s="139"/>
    </row>
    <row r="736">
      <c r="A736" s="28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39"/>
      <c r="AD736" s="139"/>
      <c r="AE736" s="139"/>
      <c r="AF736" s="139"/>
      <c r="AG736" s="139"/>
      <c r="AH736" s="139"/>
      <c r="AI736" s="139"/>
      <c r="AJ736" s="139"/>
      <c r="AK736" s="139"/>
      <c r="AL736" s="139"/>
      <c r="AM736" s="139"/>
      <c r="AN736" s="139"/>
      <c r="AO736" s="139"/>
      <c r="AP736" s="139"/>
      <c r="AQ736" s="139"/>
      <c r="AR736" s="139"/>
      <c r="AS736" s="139"/>
      <c r="AT736" s="139"/>
      <c r="AU736" s="139"/>
      <c r="AV736" s="139"/>
      <c r="AW736" s="139"/>
      <c r="AX736" s="139"/>
      <c r="AY736" s="139"/>
      <c r="AZ736" s="139"/>
      <c r="BA736" s="139"/>
      <c r="BB736" s="139"/>
    </row>
    <row r="737">
      <c r="A737" s="28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39"/>
      <c r="AD737" s="139"/>
      <c r="AE737" s="139"/>
      <c r="AF737" s="139"/>
      <c r="AG737" s="139"/>
      <c r="AH737" s="139"/>
      <c r="AI737" s="139"/>
      <c r="AJ737" s="139"/>
      <c r="AK737" s="139"/>
      <c r="AL737" s="139"/>
      <c r="AM737" s="139"/>
      <c r="AN737" s="139"/>
      <c r="AO737" s="139"/>
      <c r="AP737" s="139"/>
      <c r="AQ737" s="139"/>
      <c r="AR737" s="139"/>
      <c r="AS737" s="139"/>
      <c r="AT737" s="139"/>
      <c r="AU737" s="139"/>
      <c r="AV737" s="139"/>
      <c r="AW737" s="139"/>
      <c r="AX737" s="139"/>
      <c r="AY737" s="139"/>
      <c r="AZ737" s="139"/>
      <c r="BA737" s="139"/>
      <c r="BB737" s="139"/>
    </row>
    <row r="738">
      <c r="A738" s="28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39"/>
      <c r="AD738" s="139"/>
      <c r="AE738" s="139"/>
      <c r="AF738" s="139"/>
      <c r="AG738" s="139"/>
      <c r="AH738" s="139"/>
      <c r="AI738" s="139"/>
      <c r="AJ738" s="139"/>
      <c r="AK738" s="139"/>
      <c r="AL738" s="139"/>
      <c r="AM738" s="139"/>
      <c r="AN738" s="139"/>
      <c r="AO738" s="139"/>
      <c r="AP738" s="139"/>
      <c r="AQ738" s="139"/>
      <c r="AR738" s="139"/>
      <c r="AS738" s="139"/>
      <c r="AT738" s="139"/>
      <c r="AU738" s="139"/>
      <c r="AV738" s="139"/>
      <c r="AW738" s="139"/>
      <c r="AX738" s="139"/>
      <c r="AY738" s="139"/>
      <c r="AZ738" s="139"/>
      <c r="BA738" s="139"/>
      <c r="BB738" s="139"/>
    </row>
    <row r="739">
      <c r="A739" s="28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39"/>
      <c r="AD739" s="139"/>
      <c r="AE739" s="139"/>
      <c r="AF739" s="139"/>
      <c r="AG739" s="139"/>
      <c r="AH739" s="139"/>
      <c r="AI739" s="139"/>
      <c r="AJ739" s="139"/>
      <c r="AK739" s="139"/>
      <c r="AL739" s="139"/>
      <c r="AM739" s="139"/>
      <c r="AN739" s="139"/>
      <c r="AO739" s="139"/>
      <c r="AP739" s="139"/>
      <c r="AQ739" s="139"/>
      <c r="AR739" s="139"/>
      <c r="AS739" s="139"/>
      <c r="AT739" s="139"/>
      <c r="AU739" s="139"/>
      <c r="AV739" s="139"/>
      <c r="AW739" s="139"/>
      <c r="AX739" s="139"/>
      <c r="AY739" s="139"/>
      <c r="AZ739" s="139"/>
      <c r="BA739" s="139"/>
      <c r="BB739" s="139"/>
    </row>
    <row r="740">
      <c r="A740" s="28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39"/>
      <c r="AD740" s="139"/>
      <c r="AE740" s="139"/>
      <c r="AF740" s="139"/>
      <c r="AG740" s="139"/>
      <c r="AH740" s="139"/>
      <c r="AI740" s="139"/>
      <c r="AJ740" s="139"/>
      <c r="AK740" s="139"/>
      <c r="AL740" s="139"/>
      <c r="AM740" s="139"/>
      <c r="AN740" s="139"/>
      <c r="AO740" s="139"/>
      <c r="AP740" s="139"/>
      <c r="AQ740" s="139"/>
      <c r="AR740" s="139"/>
      <c r="AS740" s="139"/>
      <c r="AT740" s="139"/>
      <c r="AU740" s="139"/>
      <c r="AV740" s="139"/>
      <c r="AW740" s="139"/>
      <c r="AX740" s="139"/>
      <c r="AY740" s="139"/>
      <c r="AZ740" s="139"/>
      <c r="BA740" s="139"/>
      <c r="BB740" s="139"/>
    </row>
    <row r="741">
      <c r="A741" s="28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39"/>
      <c r="AK741" s="139"/>
      <c r="AL741" s="139"/>
      <c r="AM741" s="139"/>
      <c r="AN741" s="139"/>
      <c r="AO741" s="139"/>
      <c r="AP741" s="139"/>
      <c r="AQ741" s="139"/>
      <c r="AR741" s="139"/>
      <c r="AS741" s="139"/>
      <c r="AT741" s="139"/>
      <c r="AU741" s="139"/>
      <c r="AV741" s="139"/>
      <c r="AW741" s="139"/>
      <c r="AX741" s="139"/>
      <c r="AY741" s="139"/>
      <c r="AZ741" s="139"/>
      <c r="BA741" s="139"/>
      <c r="BB741" s="139"/>
    </row>
    <row r="742">
      <c r="A742" s="28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39"/>
      <c r="AK742" s="139"/>
      <c r="AL742" s="139"/>
      <c r="AM742" s="139"/>
      <c r="AN742" s="139"/>
      <c r="AO742" s="139"/>
      <c r="AP742" s="139"/>
      <c r="AQ742" s="139"/>
      <c r="AR742" s="139"/>
      <c r="AS742" s="139"/>
      <c r="AT742" s="139"/>
      <c r="AU742" s="139"/>
      <c r="AV742" s="139"/>
      <c r="AW742" s="139"/>
      <c r="AX742" s="139"/>
      <c r="AY742" s="139"/>
      <c r="AZ742" s="139"/>
      <c r="BA742" s="139"/>
      <c r="BB742" s="139"/>
    </row>
    <row r="743">
      <c r="A743" s="28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39"/>
      <c r="AK743" s="139"/>
      <c r="AL743" s="139"/>
      <c r="AM743" s="139"/>
      <c r="AN743" s="139"/>
      <c r="AO743" s="139"/>
      <c r="AP743" s="139"/>
      <c r="AQ743" s="139"/>
      <c r="AR743" s="139"/>
      <c r="AS743" s="139"/>
      <c r="AT743" s="139"/>
      <c r="AU743" s="139"/>
      <c r="AV743" s="139"/>
      <c r="AW743" s="139"/>
      <c r="AX743" s="139"/>
      <c r="AY743" s="139"/>
      <c r="AZ743" s="139"/>
      <c r="BA743" s="139"/>
      <c r="BB743" s="139"/>
    </row>
    <row r="744">
      <c r="A744" s="28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  <c r="AK744" s="139"/>
      <c r="AL744" s="139"/>
      <c r="AM744" s="139"/>
      <c r="AN744" s="139"/>
      <c r="AO744" s="139"/>
      <c r="AP744" s="139"/>
      <c r="AQ744" s="139"/>
      <c r="AR744" s="139"/>
      <c r="AS744" s="139"/>
      <c r="AT744" s="139"/>
      <c r="AU744" s="139"/>
      <c r="AV744" s="139"/>
      <c r="AW744" s="139"/>
      <c r="AX744" s="139"/>
      <c r="AY744" s="139"/>
      <c r="AZ744" s="139"/>
      <c r="BA744" s="139"/>
      <c r="BB744" s="139"/>
    </row>
    <row r="745">
      <c r="A745" s="28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39"/>
      <c r="AK745" s="139"/>
      <c r="AL745" s="139"/>
      <c r="AM745" s="139"/>
      <c r="AN745" s="139"/>
      <c r="AO745" s="139"/>
      <c r="AP745" s="139"/>
      <c r="AQ745" s="139"/>
      <c r="AR745" s="139"/>
      <c r="AS745" s="139"/>
      <c r="AT745" s="139"/>
      <c r="AU745" s="139"/>
      <c r="AV745" s="139"/>
      <c r="AW745" s="139"/>
      <c r="AX745" s="139"/>
      <c r="AY745" s="139"/>
      <c r="AZ745" s="139"/>
      <c r="BA745" s="139"/>
      <c r="BB745" s="139"/>
    </row>
    <row r="746">
      <c r="A746" s="28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  <c r="AK746" s="139"/>
      <c r="AL746" s="139"/>
      <c r="AM746" s="139"/>
      <c r="AN746" s="139"/>
      <c r="AO746" s="139"/>
      <c r="AP746" s="139"/>
      <c r="AQ746" s="139"/>
      <c r="AR746" s="139"/>
      <c r="AS746" s="139"/>
      <c r="AT746" s="139"/>
      <c r="AU746" s="139"/>
      <c r="AV746" s="139"/>
      <c r="AW746" s="139"/>
      <c r="AX746" s="139"/>
      <c r="AY746" s="139"/>
      <c r="AZ746" s="139"/>
      <c r="BA746" s="139"/>
      <c r="BB746" s="139"/>
    </row>
    <row r="747">
      <c r="A747" s="28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39"/>
      <c r="AD747" s="139"/>
      <c r="AE747" s="139"/>
      <c r="AF747" s="139"/>
      <c r="AG747" s="139"/>
      <c r="AH747" s="139"/>
      <c r="AI747" s="139"/>
      <c r="AJ747" s="139"/>
      <c r="AK747" s="139"/>
      <c r="AL747" s="139"/>
      <c r="AM747" s="139"/>
      <c r="AN747" s="139"/>
      <c r="AO747" s="139"/>
      <c r="AP747" s="139"/>
      <c r="AQ747" s="139"/>
      <c r="AR747" s="139"/>
      <c r="AS747" s="139"/>
      <c r="AT747" s="139"/>
      <c r="AU747" s="139"/>
      <c r="AV747" s="139"/>
      <c r="AW747" s="139"/>
      <c r="AX747" s="139"/>
      <c r="AY747" s="139"/>
      <c r="AZ747" s="139"/>
      <c r="BA747" s="139"/>
      <c r="BB747" s="139"/>
    </row>
    <row r="748">
      <c r="A748" s="28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  <c r="AC748" s="139"/>
      <c r="AD748" s="139"/>
      <c r="AE748" s="139"/>
      <c r="AF748" s="139"/>
      <c r="AG748" s="139"/>
      <c r="AH748" s="139"/>
      <c r="AI748" s="139"/>
      <c r="AJ748" s="139"/>
      <c r="AK748" s="139"/>
      <c r="AL748" s="139"/>
      <c r="AM748" s="139"/>
      <c r="AN748" s="139"/>
      <c r="AO748" s="139"/>
      <c r="AP748" s="139"/>
      <c r="AQ748" s="139"/>
      <c r="AR748" s="139"/>
      <c r="AS748" s="139"/>
      <c r="AT748" s="139"/>
      <c r="AU748" s="139"/>
      <c r="AV748" s="139"/>
      <c r="AW748" s="139"/>
      <c r="AX748" s="139"/>
      <c r="AY748" s="139"/>
      <c r="AZ748" s="139"/>
      <c r="BA748" s="139"/>
      <c r="BB748" s="139"/>
    </row>
    <row r="749">
      <c r="A749" s="28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  <c r="AC749" s="139"/>
      <c r="AD749" s="139"/>
      <c r="AE749" s="139"/>
      <c r="AF749" s="139"/>
      <c r="AG749" s="139"/>
      <c r="AH749" s="139"/>
      <c r="AI749" s="139"/>
      <c r="AJ749" s="139"/>
      <c r="AK749" s="139"/>
      <c r="AL749" s="139"/>
      <c r="AM749" s="139"/>
      <c r="AN749" s="139"/>
      <c r="AO749" s="139"/>
      <c r="AP749" s="139"/>
      <c r="AQ749" s="139"/>
      <c r="AR749" s="139"/>
      <c r="AS749" s="139"/>
      <c r="AT749" s="139"/>
      <c r="AU749" s="139"/>
      <c r="AV749" s="139"/>
      <c r="AW749" s="139"/>
      <c r="AX749" s="139"/>
      <c r="AY749" s="139"/>
      <c r="AZ749" s="139"/>
      <c r="BA749" s="139"/>
      <c r="BB749" s="139"/>
    </row>
    <row r="750">
      <c r="A750" s="28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39"/>
      <c r="AD750" s="139"/>
      <c r="AE750" s="139"/>
      <c r="AF750" s="139"/>
      <c r="AG750" s="139"/>
      <c r="AH750" s="139"/>
      <c r="AI750" s="139"/>
      <c r="AJ750" s="139"/>
      <c r="AK750" s="139"/>
      <c r="AL750" s="139"/>
      <c r="AM750" s="139"/>
      <c r="AN750" s="139"/>
      <c r="AO750" s="139"/>
      <c r="AP750" s="139"/>
      <c r="AQ750" s="139"/>
      <c r="AR750" s="139"/>
      <c r="AS750" s="139"/>
      <c r="AT750" s="139"/>
      <c r="AU750" s="139"/>
      <c r="AV750" s="139"/>
      <c r="AW750" s="139"/>
      <c r="AX750" s="139"/>
      <c r="AY750" s="139"/>
      <c r="AZ750" s="139"/>
      <c r="BA750" s="139"/>
      <c r="BB750" s="139"/>
    </row>
    <row r="751">
      <c r="A751" s="28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  <c r="AC751" s="139"/>
      <c r="AD751" s="139"/>
      <c r="AE751" s="139"/>
      <c r="AF751" s="139"/>
      <c r="AG751" s="139"/>
      <c r="AH751" s="139"/>
      <c r="AI751" s="139"/>
      <c r="AJ751" s="139"/>
      <c r="AK751" s="139"/>
      <c r="AL751" s="139"/>
      <c r="AM751" s="139"/>
      <c r="AN751" s="139"/>
      <c r="AO751" s="139"/>
      <c r="AP751" s="139"/>
      <c r="AQ751" s="139"/>
      <c r="AR751" s="139"/>
      <c r="AS751" s="139"/>
      <c r="AT751" s="139"/>
      <c r="AU751" s="139"/>
      <c r="AV751" s="139"/>
      <c r="AW751" s="139"/>
      <c r="AX751" s="139"/>
      <c r="AY751" s="139"/>
      <c r="AZ751" s="139"/>
      <c r="BA751" s="139"/>
      <c r="BB751" s="139"/>
    </row>
    <row r="752">
      <c r="A752" s="28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  <c r="AC752" s="139"/>
      <c r="AD752" s="139"/>
      <c r="AE752" s="139"/>
      <c r="AF752" s="139"/>
      <c r="AG752" s="139"/>
      <c r="AH752" s="139"/>
      <c r="AI752" s="139"/>
      <c r="AJ752" s="139"/>
      <c r="AK752" s="139"/>
      <c r="AL752" s="139"/>
      <c r="AM752" s="139"/>
      <c r="AN752" s="139"/>
      <c r="AO752" s="139"/>
      <c r="AP752" s="139"/>
      <c r="AQ752" s="139"/>
      <c r="AR752" s="139"/>
      <c r="AS752" s="139"/>
      <c r="AT752" s="139"/>
      <c r="AU752" s="139"/>
      <c r="AV752" s="139"/>
      <c r="AW752" s="139"/>
      <c r="AX752" s="139"/>
      <c r="AY752" s="139"/>
      <c r="AZ752" s="139"/>
      <c r="BA752" s="139"/>
      <c r="BB752" s="139"/>
    </row>
    <row r="753">
      <c r="A753" s="28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  <c r="AC753" s="139"/>
      <c r="AD753" s="139"/>
      <c r="AE753" s="139"/>
      <c r="AF753" s="139"/>
      <c r="AG753" s="139"/>
      <c r="AH753" s="139"/>
      <c r="AI753" s="139"/>
      <c r="AJ753" s="139"/>
      <c r="AK753" s="139"/>
      <c r="AL753" s="139"/>
      <c r="AM753" s="139"/>
      <c r="AN753" s="139"/>
      <c r="AO753" s="139"/>
      <c r="AP753" s="139"/>
      <c r="AQ753" s="139"/>
      <c r="AR753" s="139"/>
      <c r="AS753" s="139"/>
      <c r="AT753" s="139"/>
      <c r="AU753" s="139"/>
      <c r="AV753" s="139"/>
      <c r="AW753" s="139"/>
      <c r="AX753" s="139"/>
      <c r="AY753" s="139"/>
      <c r="AZ753" s="139"/>
      <c r="BA753" s="139"/>
      <c r="BB753" s="139"/>
    </row>
    <row r="754">
      <c r="A754" s="28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  <c r="AC754" s="139"/>
      <c r="AD754" s="139"/>
      <c r="AE754" s="139"/>
      <c r="AF754" s="139"/>
      <c r="AG754" s="139"/>
      <c r="AH754" s="139"/>
      <c r="AI754" s="139"/>
      <c r="AJ754" s="139"/>
      <c r="AK754" s="139"/>
      <c r="AL754" s="139"/>
      <c r="AM754" s="139"/>
      <c r="AN754" s="139"/>
      <c r="AO754" s="139"/>
      <c r="AP754" s="139"/>
      <c r="AQ754" s="139"/>
      <c r="AR754" s="139"/>
      <c r="AS754" s="139"/>
      <c r="AT754" s="139"/>
      <c r="AU754" s="139"/>
      <c r="AV754" s="139"/>
      <c r="AW754" s="139"/>
      <c r="AX754" s="139"/>
      <c r="AY754" s="139"/>
      <c r="AZ754" s="139"/>
      <c r="BA754" s="139"/>
      <c r="BB754" s="139"/>
    </row>
    <row r="755">
      <c r="A755" s="28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39"/>
      <c r="AD755" s="139"/>
      <c r="AE755" s="139"/>
      <c r="AF755" s="139"/>
      <c r="AG755" s="139"/>
      <c r="AH755" s="139"/>
      <c r="AI755" s="139"/>
      <c r="AJ755" s="139"/>
      <c r="AK755" s="139"/>
      <c r="AL755" s="139"/>
      <c r="AM755" s="139"/>
      <c r="AN755" s="139"/>
      <c r="AO755" s="139"/>
      <c r="AP755" s="139"/>
      <c r="AQ755" s="139"/>
      <c r="AR755" s="139"/>
      <c r="AS755" s="139"/>
      <c r="AT755" s="139"/>
      <c r="AU755" s="139"/>
      <c r="AV755" s="139"/>
      <c r="AW755" s="139"/>
      <c r="AX755" s="139"/>
      <c r="AY755" s="139"/>
      <c r="AZ755" s="139"/>
      <c r="BA755" s="139"/>
      <c r="BB755" s="139"/>
    </row>
    <row r="756">
      <c r="A756" s="28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39"/>
      <c r="AD756" s="139"/>
      <c r="AE756" s="139"/>
      <c r="AF756" s="139"/>
      <c r="AG756" s="139"/>
      <c r="AH756" s="139"/>
      <c r="AI756" s="139"/>
      <c r="AJ756" s="139"/>
      <c r="AK756" s="139"/>
      <c r="AL756" s="139"/>
      <c r="AM756" s="139"/>
      <c r="AN756" s="139"/>
      <c r="AO756" s="139"/>
      <c r="AP756" s="139"/>
      <c r="AQ756" s="139"/>
      <c r="AR756" s="139"/>
      <c r="AS756" s="139"/>
      <c r="AT756" s="139"/>
      <c r="AU756" s="139"/>
      <c r="AV756" s="139"/>
      <c r="AW756" s="139"/>
      <c r="AX756" s="139"/>
      <c r="AY756" s="139"/>
      <c r="AZ756" s="139"/>
      <c r="BA756" s="139"/>
      <c r="BB756" s="139"/>
    </row>
    <row r="757">
      <c r="A757" s="28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  <c r="AC757" s="139"/>
      <c r="AD757" s="139"/>
      <c r="AE757" s="139"/>
      <c r="AF757" s="139"/>
      <c r="AG757" s="139"/>
      <c r="AH757" s="139"/>
      <c r="AI757" s="139"/>
      <c r="AJ757" s="139"/>
      <c r="AK757" s="139"/>
      <c r="AL757" s="139"/>
      <c r="AM757" s="139"/>
      <c r="AN757" s="139"/>
      <c r="AO757" s="139"/>
      <c r="AP757" s="139"/>
      <c r="AQ757" s="139"/>
      <c r="AR757" s="139"/>
      <c r="AS757" s="139"/>
      <c r="AT757" s="139"/>
      <c r="AU757" s="139"/>
      <c r="AV757" s="139"/>
      <c r="AW757" s="139"/>
      <c r="AX757" s="139"/>
      <c r="AY757" s="139"/>
      <c r="AZ757" s="139"/>
      <c r="BA757" s="139"/>
      <c r="BB757" s="139"/>
    </row>
    <row r="758">
      <c r="A758" s="28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39"/>
      <c r="AD758" s="139"/>
      <c r="AE758" s="139"/>
      <c r="AF758" s="139"/>
      <c r="AG758" s="139"/>
      <c r="AH758" s="139"/>
      <c r="AI758" s="139"/>
      <c r="AJ758" s="139"/>
      <c r="AK758" s="139"/>
      <c r="AL758" s="139"/>
      <c r="AM758" s="139"/>
      <c r="AN758" s="139"/>
      <c r="AO758" s="139"/>
      <c r="AP758" s="139"/>
      <c r="AQ758" s="139"/>
      <c r="AR758" s="139"/>
      <c r="AS758" s="139"/>
      <c r="AT758" s="139"/>
      <c r="AU758" s="139"/>
      <c r="AV758" s="139"/>
      <c r="AW758" s="139"/>
      <c r="AX758" s="139"/>
      <c r="AY758" s="139"/>
      <c r="AZ758" s="139"/>
      <c r="BA758" s="139"/>
      <c r="BB758" s="139"/>
    </row>
    <row r="759">
      <c r="A759" s="28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  <c r="AC759" s="139"/>
      <c r="AD759" s="139"/>
      <c r="AE759" s="139"/>
      <c r="AF759" s="139"/>
      <c r="AG759" s="139"/>
      <c r="AH759" s="139"/>
      <c r="AI759" s="139"/>
      <c r="AJ759" s="139"/>
      <c r="AK759" s="139"/>
      <c r="AL759" s="139"/>
      <c r="AM759" s="139"/>
      <c r="AN759" s="139"/>
      <c r="AO759" s="139"/>
      <c r="AP759" s="139"/>
      <c r="AQ759" s="139"/>
      <c r="AR759" s="139"/>
      <c r="AS759" s="139"/>
      <c r="AT759" s="139"/>
      <c r="AU759" s="139"/>
      <c r="AV759" s="139"/>
      <c r="AW759" s="139"/>
      <c r="AX759" s="139"/>
      <c r="AY759" s="139"/>
      <c r="AZ759" s="139"/>
      <c r="BA759" s="139"/>
      <c r="BB759" s="139"/>
    </row>
    <row r="760">
      <c r="A760" s="28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39"/>
      <c r="AD760" s="139"/>
      <c r="AE760" s="139"/>
      <c r="AF760" s="139"/>
      <c r="AG760" s="139"/>
      <c r="AH760" s="139"/>
      <c r="AI760" s="139"/>
      <c r="AJ760" s="139"/>
      <c r="AK760" s="139"/>
      <c r="AL760" s="139"/>
      <c r="AM760" s="139"/>
      <c r="AN760" s="139"/>
      <c r="AO760" s="139"/>
      <c r="AP760" s="139"/>
      <c r="AQ760" s="139"/>
      <c r="AR760" s="139"/>
      <c r="AS760" s="139"/>
      <c r="AT760" s="139"/>
      <c r="AU760" s="139"/>
      <c r="AV760" s="139"/>
      <c r="AW760" s="139"/>
      <c r="AX760" s="139"/>
      <c r="AY760" s="139"/>
      <c r="AZ760" s="139"/>
      <c r="BA760" s="139"/>
      <c r="BB760" s="139"/>
    </row>
    <row r="761">
      <c r="A761" s="28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  <c r="AC761" s="139"/>
      <c r="AD761" s="139"/>
      <c r="AE761" s="139"/>
      <c r="AF761" s="139"/>
      <c r="AG761" s="139"/>
      <c r="AH761" s="139"/>
      <c r="AI761" s="139"/>
      <c r="AJ761" s="139"/>
      <c r="AK761" s="139"/>
      <c r="AL761" s="139"/>
      <c r="AM761" s="139"/>
      <c r="AN761" s="139"/>
      <c r="AO761" s="139"/>
      <c r="AP761" s="139"/>
      <c r="AQ761" s="139"/>
      <c r="AR761" s="139"/>
      <c r="AS761" s="139"/>
      <c r="AT761" s="139"/>
      <c r="AU761" s="139"/>
      <c r="AV761" s="139"/>
      <c r="AW761" s="139"/>
      <c r="AX761" s="139"/>
      <c r="AY761" s="139"/>
      <c r="AZ761" s="139"/>
      <c r="BA761" s="139"/>
      <c r="BB761" s="139"/>
    </row>
    <row r="762">
      <c r="A762" s="28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39"/>
      <c r="AD762" s="139"/>
      <c r="AE762" s="139"/>
      <c r="AF762" s="139"/>
      <c r="AG762" s="139"/>
      <c r="AH762" s="139"/>
      <c r="AI762" s="139"/>
      <c r="AJ762" s="139"/>
      <c r="AK762" s="139"/>
      <c r="AL762" s="139"/>
      <c r="AM762" s="139"/>
      <c r="AN762" s="139"/>
      <c r="AO762" s="139"/>
      <c r="AP762" s="139"/>
      <c r="AQ762" s="139"/>
      <c r="AR762" s="139"/>
      <c r="AS762" s="139"/>
      <c r="AT762" s="139"/>
      <c r="AU762" s="139"/>
      <c r="AV762" s="139"/>
      <c r="AW762" s="139"/>
      <c r="AX762" s="139"/>
      <c r="AY762" s="139"/>
      <c r="AZ762" s="139"/>
      <c r="BA762" s="139"/>
      <c r="BB762" s="139"/>
    </row>
    <row r="763">
      <c r="A763" s="28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  <c r="AC763" s="139"/>
      <c r="AD763" s="139"/>
      <c r="AE763" s="139"/>
      <c r="AF763" s="139"/>
      <c r="AG763" s="139"/>
      <c r="AH763" s="139"/>
      <c r="AI763" s="139"/>
      <c r="AJ763" s="139"/>
      <c r="AK763" s="139"/>
      <c r="AL763" s="139"/>
      <c r="AM763" s="139"/>
      <c r="AN763" s="139"/>
      <c r="AO763" s="139"/>
      <c r="AP763" s="139"/>
      <c r="AQ763" s="139"/>
      <c r="AR763" s="139"/>
      <c r="AS763" s="139"/>
      <c r="AT763" s="139"/>
      <c r="AU763" s="139"/>
      <c r="AV763" s="139"/>
      <c r="AW763" s="139"/>
      <c r="AX763" s="139"/>
      <c r="AY763" s="139"/>
      <c r="AZ763" s="139"/>
      <c r="BA763" s="139"/>
      <c r="BB763" s="139"/>
    </row>
    <row r="764">
      <c r="A764" s="28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39"/>
      <c r="AD764" s="139"/>
      <c r="AE764" s="139"/>
      <c r="AF764" s="139"/>
      <c r="AG764" s="139"/>
      <c r="AH764" s="139"/>
      <c r="AI764" s="139"/>
      <c r="AJ764" s="139"/>
      <c r="AK764" s="139"/>
      <c r="AL764" s="139"/>
      <c r="AM764" s="139"/>
      <c r="AN764" s="139"/>
      <c r="AO764" s="139"/>
      <c r="AP764" s="139"/>
      <c r="AQ764" s="139"/>
      <c r="AR764" s="139"/>
      <c r="AS764" s="139"/>
      <c r="AT764" s="139"/>
      <c r="AU764" s="139"/>
      <c r="AV764" s="139"/>
      <c r="AW764" s="139"/>
      <c r="AX764" s="139"/>
      <c r="AY764" s="139"/>
      <c r="AZ764" s="139"/>
      <c r="BA764" s="139"/>
      <c r="BB764" s="139"/>
    </row>
    <row r="765">
      <c r="A765" s="28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  <c r="AC765" s="139"/>
      <c r="AD765" s="139"/>
      <c r="AE765" s="139"/>
      <c r="AF765" s="139"/>
      <c r="AG765" s="139"/>
      <c r="AH765" s="139"/>
      <c r="AI765" s="139"/>
      <c r="AJ765" s="139"/>
      <c r="AK765" s="139"/>
      <c r="AL765" s="139"/>
      <c r="AM765" s="139"/>
      <c r="AN765" s="139"/>
      <c r="AO765" s="139"/>
      <c r="AP765" s="139"/>
      <c r="AQ765" s="139"/>
      <c r="AR765" s="139"/>
      <c r="AS765" s="139"/>
      <c r="AT765" s="139"/>
      <c r="AU765" s="139"/>
      <c r="AV765" s="139"/>
      <c r="AW765" s="139"/>
      <c r="AX765" s="139"/>
      <c r="AY765" s="139"/>
      <c r="AZ765" s="139"/>
      <c r="BA765" s="139"/>
      <c r="BB765" s="139"/>
    </row>
    <row r="766">
      <c r="A766" s="28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39"/>
      <c r="AD766" s="139"/>
      <c r="AE766" s="139"/>
      <c r="AF766" s="139"/>
      <c r="AG766" s="139"/>
      <c r="AH766" s="139"/>
      <c r="AI766" s="139"/>
      <c r="AJ766" s="139"/>
      <c r="AK766" s="139"/>
      <c r="AL766" s="139"/>
      <c r="AM766" s="139"/>
      <c r="AN766" s="139"/>
      <c r="AO766" s="139"/>
      <c r="AP766" s="139"/>
      <c r="AQ766" s="139"/>
      <c r="AR766" s="139"/>
      <c r="AS766" s="139"/>
      <c r="AT766" s="139"/>
      <c r="AU766" s="139"/>
      <c r="AV766" s="139"/>
      <c r="AW766" s="139"/>
      <c r="AX766" s="139"/>
      <c r="AY766" s="139"/>
      <c r="AZ766" s="139"/>
      <c r="BA766" s="139"/>
      <c r="BB766" s="139"/>
    </row>
    <row r="767">
      <c r="A767" s="28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  <c r="AC767" s="139"/>
      <c r="AD767" s="139"/>
      <c r="AE767" s="139"/>
      <c r="AF767" s="139"/>
      <c r="AG767" s="139"/>
      <c r="AH767" s="139"/>
      <c r="AI767" s="139"/>
      <c r="AJ767" s="139"/>
      <c r="AK767" s="139"/>
      <c r="AL767" s="139"/>
      <c r="AM767" s="139"/>
      <c r="AN767" s="139"/>
      <c r="AO767" s="139"/>
      <c r="AP767" s="139"/>
      <c r="AQ767" s="139"/>
      <c r="AR767" s="139"/>
      <c r="AS767" s="139"/>
      <c r="AT767" s="139"/>
      <c r="AU767" s="139"/>
      <c r="AV767" s="139"/>
      <c r="AW767" s="139"/>
      <c r="AX767" s="139"/>
      <c r="AY767" s="139"/>
      <c r="AZ767" s="139"/>
      <c r="BA767" s="139"/>
      <c r="BB767" s="139"/>
    </row>
    <row r="768">
      <c r="A768" s="28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39"/>
      <c r="AD768" s="139"/>
      <c r="AE768" s="139"/>
      <c r="AF768" s="139"/>
      <c r="AG768" s="139"/>
      <c r="AH768" s="139"/>
      <c r="AI768" s="139"/>
      <c r="AJ768" s="139"/>
      <c r="AK768" s="139"/>
      <c r="AL768" s="139"/>
      <c r="AM768" s="139"/>
      <c r="AN768" s="139"/>
      <c r="AO768" s="139"/>
      <c r="AP768" s="139"/>
      <c r="AQ768" s="139"/>
      <c r="AR768" s="139"/>
      <c r="AS768" s="139"/>
      <c r="AT768" s="139"/>
      <c r="AU768" s="139"/>
      <c r="AV768" s="139"/>
      <c r="AW768" s="139"/>
      <c r="AX768" s="139"/>
      <c r="AY768" s="139"/>
      <c r="AZ768" s="139"/>
      <c r="BA768" s="139"/>
      <c r="BB768" s="139"/>
    </row>
    <row r="769">
      <c r="A769" s="28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  <c r="AC769" s="139"/>
      <c r="AD769" s="139"/>
      <c r="AE769" s="139"/>
      <c r="AF769" s="139"/>
      <c r="AG769" s="139"/>
      <c r="AH769" s="139"/>
      <c r="AI769" s="139"/>
      <c r="AJ769" s="139"/>
      <c r="AK769" s="139"/>
      <c r="AL769" s="139"/>
      <c r="AM769" s="139"/>
      <c r="AN769" s="139"/>
      <c r="AO769" s="139"/>
      <c r="AP769" s="139"/>
      <c r="AQ769" s="139"/>
      <c r="AR769" s="139"/>
      <c r="AS769" s="139"/>
      <c r="AT769" s="139"/>
      <c r="AU769" s="139"/>
      <c r="AV769" s="139"/>
      <c r="AW769" s="139"/>
      <c r="AX769" s="139"/>
      <c r="AY769" s="139"/>
      <c r="AZ769" s="139"/>
      <c r="BA769" s="139"/>
      <c r="BB769" s="139"/>
    </row>
    <row r="770">
      <c r="A770" s="28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  <c r="AC770" s="139"/>
      <c r="AD770" s="139"/>
      <c r="AE770" s="139"/>
      <c r="AF770" s="139"/>
      <c r="AG770" s="139"/>
      <c r="AH770" s="139"/>
      <c r="AI770" s="139"/>
      <c r="AJ770" s="139"/>
      <c r="AK770" s="139"/>
      <c r="AL770" s="139"/>
      <c r="AM770" s="139"/>
      <c r="AN770" s="139"/>
      <c r="AO770" s="139"/>
      <c r="AP770" s="139"/>
      <c r="AQ770" s="139"/>
      <c r="AR770" s="139"/>
      <c r="AS770" s="139"/>
      <c r="AT770" s="139"/>
      <c r="AU770" s="139"/>
      <c r="AV770" s="139"/>
      <c r="AW770" s="139"/>
      <c r="AX770" s="139"/>
      <c r="AY770" s="139"/>
      <c r="AZ770" s="139"/>
      <c r="BA770" s="139"/>
      <c r="BB770" s="139"/>
    </row>
    <row r="771">
      <c r="A771" s="28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39"/>
      <c r="AD771" s="139"/>
      <c r="AE771" s="139"/>
      <c r="AF771" s="139"/>
      <c r="AG771" s="139"/>
      <c r="AH771" s="139"/>
      <c r="AI771" s="139"/>
      <c r="AJ771" s="139"/>
      <c r="AK771" s="139"/>
      <c r="AL771" s="139"/>
      <c r="AM771" s="139"/>
      <c r="AN771" s="139"/>
      <c r="AO771" s="139"/>
      <c r="AP771" s="139"/>
      <c r="AQ771" s="139"/>
      <c r="AR771" s="139"/>
      <c r="AS771" s="139"/>
      <c r="AT771" s="139"/>
      <c r="AU771" s="139"/>
      <c r="AV771" s="139"/>
      <c r="AW771" s="139"/>
      <c r="AX771" s="139"/>
      <c r="AY771" s="139"/>
      <c r="AZ771" s="139"/>
      <c r="BA771" s="139"/>
      <c r="BB771" s="139"/>
    </row>
    <row r="772">
      <c r="A772" s="28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  <c r="AC772" s="139"/>
      <c r="AD772" s="139"/>
      <c r="AE772" s="139"/>
      <c r="AF772" s="139"/>
      <c r="AG772" s="139"/>
      <c r="AH772" s="139"/>
      <c r="AI772" s="139"/>
      <c r="AJ772" s="139"/>
      <c r="AK772" s="139"/>
      <c r="AL772" s="139"/>
      <c r="AM772" s="139"/>
      <c r="AN772" s="139"/>
      <c r="AO772" s="139"/>
      <c r="AP772" s="139"/>
      <c r="AQ772" s="139"/>
      <c r="AR772" s="139"/>
      <c r="AS772" s="139"/>
      <c r="AT772" s="139"/>
      <c r="AU772" s="139"/>
      <c r="AV772" s="139"/>
      <c r="AW772" s="139"/>
      <c r="AX772" s="139"/>
      <c r="AY772" s="139"/>
      <c r="AZ772" s="139"/>
      <c r="BA772" s="139"/>
      <c r="BB772" s="139"/>
    </row>
    <row r="773">
      <c r="A773" s="28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  <c r="AC773" s="139"/>
      <c r="AD773" s="139"/>
      <c r="AE773" s="139"/>
      <c r="AF773" s="139"/>
      <c r="AG773" s="139"/>
      <c r="AH773" s="139"/>
      <c r="AI773" s="139"/>
      <c r="AJ773" s="139"/>
      <c r="AK773" s="139"/>
      <c r="AL773" s="139"/>
      <c r="AM773" s="139"/>
      <c r="AN773" s="139"/>
      <c r="AO773" s="139"/>
      <c r="AP773" s="139"/>
      <c r="AQ773" s="139"/>
      <c r="AR773" s="139"/>
      <c r="AS773" s="139"/>
      <c r="AT773" s="139"/>
      <c r="AU773" s="139"/>
      <c r="AV773" s="139"/>
      <c r="AW773" s="139"/>
      <c r="AX773" s="139"/>
      <c r="AY773" s="139"/>
      <c r="AZ773" s="139"/>
      <c r="BA773" s="139"/>
      <c r="BB773" s="139"/>
    </row>
    <row r="774">
      <c r="A774" s="28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  <c r="AC774" s="139"/>
      <c r="AD774" s="139"/>
      <c r="AE774" s="139"/>
      <c r="AF774" s="139"/>
      <c r="AG774" s="139"/>
      <c r="AH774" s="139"/>
      <c r="AI774" s="139"/>
      <c r="AJ774" s="139"/>
      <c r="AK774" s="139"/>
      <c r="AL774" s="139"/>
      <c r="AM774" s="139"/>
      <c r="AN774" s="139"/>
      <c r="AO774" s="139"/>
      <c r="AP774" s="139"/>
      <c r="AQ774" s="139"/>
      <c r="AR774" s="139"/>
      <c r="AS774" s="139"/>
      <c r="AT774" s="139"/>
      <c r="AU774" s="139"/>
      <c r="AV774" s="139"/>
      <c r="AW774" s="139"/>
      <c r="AX774" s="139"/>
      <c r="AY774" s="139"/>
      <c r="AZ774" s="139"/>
      <c r="BA774" s="139"/>
      <c r="BB774" s="139"/>
    </row>
    <row r="775">
      <c r="A775" s="28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39"/>
      <c r="AD775" s="139"/>
      <c r="AE775" s="139"/>
      <c r="AF775" s="139"/>
      <c r="AG775" s="139"/>
      <c r="AH775" s="139"/>
      <c r="AI775" s="139"/>
      <c r="AJ775" s="139"/>
      <c r="AK775" s="139"/>
      <c r="AL775" s="139"/>
      <c r="AM775" s="139"/>
      <c r="AN775" s="139"/>
      <c r="AO775" s="139"/>
      <c r="AP775" s="139"/>
      <c r="AQ775" s="139"/>
      <c r="AR775" s="139"/>
      <c r="AS775" s="139"/>
      <c r="AT775" s="139"/>
      <c r="AU775" s="139"/>
      <c r="AV775" s="139"/>
      <c r="AW775" s="139"/>
      <c r="AX775" s="139"/>
      <c r="AY775" s="139"/>
      <c r="AZ775" s="139"/>
      <c r="BA775" s="139"/>
      <c r="BB775" s="139"/>
    </row>
    <row r="776">
      <c r="A776" s="28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  <c r="AC776" s="139"/>
      <c r="AD776" s="139"/>
      <c r="AE776" s="139"/>
      <c r="AF776" s="139"/>
      <c r="AG776" s="139"/>
      <c r="AH776" s="139"/>
      <c r="AI776" s="139"/>
      <c r="AJ776" s="139"/>
      <c r="AK776" s="139"/>
      <c r="AL776" s="139"/>
      <c r="AM776" s="139"/>
      <c r="AN776" s="139"/>
      <c r="AO776" s="139"/>
      <c r="AP776" s="139"/>
      <c r="AQ776" s="139"/>
      <c r="AR776" s="139"/>
      <c r="AS776" s="139"/>
      <c r="AT776" s="139"/>
      <c r="AU776" s="139"/>
      <c r="AV776" s="139"/>
      <c r="AW776" s="139"/>
      <c r="AX776" s="139"/>
      <c r="AY776" s="139"/>
      <c r="AZ776" s="139"/>
      <c r="BA776" s="139"/>
      <c r="BB776" s="139"/>
    </row>
    <row r="777">
      <c r="A777" s="28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  <c r="AC777" s="139"/>
      <c r="AD777" s="139"/>
      <c r="AE777" s="139"/>
      <c r="AF777" s="139"/>
      <c r="AG777" s="139"/>
      <c r="AH777" s="139"/>
      <c r="AI777" s="139"/>
      <c r="AJ777" s="139"/>
      <c r="AK777" s="139"/>
      <c r="AL777" s="139"/>
      <c r="AM777" s="139"/>
      <c r="AN777" s="139"/>
      <c r="AO777" s="139"/>
      <c r="AP777" s="139"/>
      <c r="AQ777" s="139"/>
      <c r="AR777" s="139"/>
      <c r="AS777" s="139"/>
      <c r="AT777" s="139"/>
      <c r="AU777" s="139"/>
      <c r="AV777" s="139"/>
      <c r="AW777" s="139"/>
      <c r="AX777" s="139"/>
      <c r="AY777" s="139"/>
      <c r="AZ777" s="139"/>
      <c r="BA777" s="139"/>
      <c r="BB777" s="139"/>
    </row>
    <row r="778">
      <c r="A778" s="28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  <c r="AC778" s="139"/>
      <c r="AD778" s="139"/>
      <c r="AE778" s="139"/>
      <c r="AF778" s="139"/>
      <c r="AG778" s="139"/>
      <c r="AH778" s="139"/>
      <c r="AI778" s="139"/>
      <c r="AJ778" s="139"/>
      <c r="AK778" s="139"/>
      <c r="AL778" s="139"/>
      <c r="AM778" s="139"/>
      <c r="AN778" s="139"/>
      <c r="AO778" s="139"/>
      <c r="AP778" s="139"/>
      <c r="AQ778" s="139"/>
      <c r="AR778" s="139"/>
      <c r="AS778" s="139"/>
      <c r="AT778" s="139"/>
      <c r="AU778" s="139"/>
      <c r="AV778" s="139"/>
      <c r="AW778" s="139"/>
      <c r="AX778" s="139"/>
      <c r="AY778" s="139"/>
      <c r="AZ778" s="139"/>
      <c r="BA778" s="139"/>
      <c r="BB778" s="139"/>
    </row>
    <row r="779">
      <c r="A779" s="28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  <c r="AC779" s="139"/>
      <c r="AD779" s="139"/>
      <c r="AE779" s="139"/>
      <c r="AF779" s="139"/>
      <c r="AG779" s="139"/>
      <c r="AH779" s="139"/>
      <c r="AI779" s="139"/>
      <c r="AJ779" s="139"/>
      <c r="AK779" s="139"/>
      <c r="AL779" s="139"/>
      <c r="AM779" s="139"/>
      <c r="AN779" s="139"/>
      <c r="AO779" s="139"/>
      <c r="AP779" s="139"/>
      <c r="AQ779" s="139"/>
      <c r="AR779" s="139"/>
      <c r="AS779" s="139"/>
      <c r="AT779" s="139"/>
      <c r="AU779" s="139"/>
      <c r="AV779" s="139"/>
      <c r="AW779" s="139"/>
      <c r="AX779" s="139"/>
      <c r="AY779" s="139"/>
      <c r="AZ779" s="139"/>
      <c r="BA779" s="139"/>
      <c r="BB779" s="139"/>
    </row>
    <row r="780">
      <c r="A780" s="28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39"/>
      <c r="AD780" s="139"/>
      <c r="AE780" s="139"/>
      <c r="AF780" s="139"/>
      <c r="AG780" s="139"/>
      <c r="AH780" s="139"/>
      <c r="AI780" s="139"/>
      <c r="AJ780" s="139"/>
      <c r="AK780" s="139"/>
      <c r="AL780" s="139"/>
      <c r="AM780" s="139"/>
      <c r="AN780" s="139"/>
      <c r="AO780" s="139"/>
      <c r="AP780" s="139"/>
      <c r="AQ780" s="139"/>
      <c r="AR780" s="139"/>
      <c r="AS780" s="139"/>
      <c r="AT780" s="139"/>
      <c r="AU780" s="139"/>
      <c r="AV780" s="139"/>
      <c r="AW780" s="139"/>
      <c r="AX780" s="139"/>
      <c r="AY780" s="139"/>
      <c r="AZ780" s="139"/>
      <c r="BA780" s="139"/>
      <c r="BB780" s="139"/>
    </row>
    <row r="781">
      <c r="A781" s="28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  <c r="AC781" s="139"/>
      <c r="AD781" s="139"/>
      <c r="AE781" s="139"/>
      <c r="AF781" s="139"/>
      <c r="AG781" s="139"/>
      <c r="AH781" s="139"/>
      <c r="AI781" s="139"/>
      <c r="AJ781" s="139"/>
      <c r="AK781" s="139"/>
      <c r="AL781" s="139"/>
      <c r="AM781" s="139"/>
      <c r="AN781" s="139"/>
      <c r="AO781" s="139"/>
      <c r="AP781" s="139"/>
      <c r="AQ781" s="139"/>
      <c r="AR781" s="139"/>
      <c r="AS781" s="139"/>
      <c r="AT781" s="139"/>
      <c r="AU781" s="139"/>
      <c r="AV781" s="139"/>
      <c r="AW781" s="139"/>
      <c r="AX781" s="139"/>
      <c r="AY781" s="139"/>
      <c r="AZ781" s="139"/>
      <c r="BA781" s="139"/>
      <c r="BB781" s="139"/>
    </row>
    <row r="782">
      <c r="A782" s="28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39"/>
      <c r="AD782" s="139"/>
      <c r="AE782" s="139"/>
      <c r="AF782" s="139"/>
      <c r="AG782" s="139"/>
      <c r="AH782" s="139"/>
      <c r="AI782" s="139"/>
      <c r="AJ782" s="139"/>
      <c r="AK782" s="139"/>
      <c r="AL782" s="139"/>
      <c r="AM782" s="139"/>
      <c r="AN782" s="139"/>
      <c r="AO782" s="139"/>
      <c r="AP782" s="139"/>
      <c r="AQ782" s="139"/>
      <c r="AR782" s="139"/>
      <c r="AS782" s="139"/>
      <c r="AT782" s="139"/>
      <c r="AU782" s="139"/>
      <c r="AV782" s="139"/>
      <c r="AW782" s="139"/>
      <c r="AX782" s="139"/>
      <c r="AY782" s="139"/>
      <c r="AZ782" s="139"/>
      <c r="BA782" s="139"/>
      <c r="BB782" s="139"/>
    </row>
    <row r="783">
      <c r="A783" s="28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  <c r="AC783" s="139"/>
      <c r="AD783" s="139"/>
      <c r="AE783" s="139"/>
      <c r="AF783" s="139"/>
      <c r="AG783" s="139"/>
      <c r="AH783" s="139"/>
      <c r="AI783" s="139"/>
      <c r="AJ783" s="139"/>
      <c r="AK783" s="139"/>
      <c r="AL783" s="139"/>
      <c r="AM783" s="139"/>
      <c r="AN783" s="139"/>
      <c r="AO783" s="139"/>
      <c r="AP783" s="139"/>
      <c r="AQ783" s="139"/>
      <c r="AR783" s="139"/>
      <c r="AS783" s="139"/>
      <c r="AT783" s="139"/>
      <c r="AU783" s="139"/>
      <c r="AV783" s="139"/>
      <c r="AW783" s="139"/>
      <c r="AX783" s="139"/>
      <c r="AY783" s="139"/>
      <c r="AZ783" s="139"/>
      <c r="BA783" s="139"/>
      <c r="BB783" s="139"/>
    </row>
    <row r="784">
      <c r="A784" s="28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9"/>
      <c r="AM784" s="139"/>
      <c r="AN784" s="139"/>
      <c r="AO784" s="139"/>
      <c r="AP784" s="139"/>
      <c r="AQ784" s="139"/>
      <c r="AR784" s="139"/>
      <c r="AS784" s="139"/>
      <c r="AT784" s="139"/>
      <c r="AU784" s="139"/>
      <c r="AV784" s="139"/>
      <c r="AW784" s="139"/>
      <c r="AX784" s="139"/>
      <c r="AY784" s="139"/>
      <c r="AZ784" s="139"/>
      <c r="BA784" s="139"/>
      <c r="BB784" s="139"/>
    </row>
    <row r="785">
      <c r="A785" s="28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  <c r="AC785" s="139"/>
      <c r="AD785" s="139"/>
      <c r="AE785" s="139"/>
      <c r="AF785" s="139"/>
      <c r="AG785" s="139"/>
      <c r="AH785" s="139"/>
      <c r="AI785" s="139"/>
      <c r="AJ785" s="139"/>
      <c r="AK785" s="139"/>
      <c r="AL785" s="139"/>
      <c r="AM785" s="139"/>
      <c r="AN785" s="139"/>
      <c r="AO785" s="139"/>
      <c r="AP785" s="139"/>
      <c r="AQ785" s="139"/>
      <c r="AR785" s="139"/>
      <c r="AS785" s="139"/>
      <c r="AT785" s="139"/>
      <c r="AU785" s="139"/>
      <c r="AV785" s="139"/>
      <c r="AW785" s="139"/>
      <c r="AX785" s="139"/>
      <c r="AY785" s="139"/>
      <c r="AZ785" s="139"/>
      <c r="BA785" s="139"/>
      <c r="BB785" s="139"/>
    </row>
    <row r="786">
      <c r="A786" s="28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  <c r="AC786" s="139"/>
      <c r="AD786" s="139"/>
      <c r="AE786" s="139"/>
      <c r="AF786" s="139"/>
      <c r="AG786" s="139"/>
      <c r="AH786" s="139"/>
      <c r="AI786" s="139"/>
      <c r="AJ786" s="139"/>
      <c r="AK786" s="139"/>
      <c r="AL786" s="139"/>
      <c r="AM786" s="139"/>
      <c r="AN786" s="139"/>
      <c r="AO786" s="139"/>
      <c r="AP786" s="139"/>
      <c r="AQ786" s="139"/>
      <c r="AR786" s="139"/>
      <c r="AS786" s="139"/>
      <c r="AT786" s="139"/>
      <c r="AU786" s="139"/>
      <c r="AV786" s="139"/>
      <c r="AW786" s="139"/>
      <c r="AX786" s="139"/>
      <c r="AY786" s="139"/>
      <c r="AZ786" s="139"/>
      <c r="BA786" s="139"/>
      <c r="BB786" s="139"/>
    </row>
    <row r="787">
      <c r="A787" s="28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  <c r="AC787" s="139"/>
      <c r="AD787" s="139"/>
      <c r="AE787" s="139"/>
      <c r="AF787" s="139"/>
      <c r="AG787" s="139"/>
      <c r="AH787" s="139"/>
      <c r="AI787" s="139"/>
      <c r="AJ787" s="139"/>
      <c r="AK787" s="139"/>
      <c r="AL787" s="139"/>
      <c r="AM787" s="139"/>
      <c r="AN787" s="139"/>
      <c r="AO787" s="139"/>
      <c r="AP787" s="139"/>
      <c r="AQ787" s="139"/>
      <c r="AR787" s="139"/>
      <c r="AS787" s="139"/>
      <c r="AT787" s="139"/>
      <c r="AU787" s="139"/>
      <c r="AV787" s="139"/>
      <c r="AW787" s="139"/>
      <c r="AX787" s="139"/>
      <c r="AY787" s="139"/>
      <c r="AZ787" s="139"/>
      <c r="BA787" s="139"/>
      <c r="BB787" s="139"/>
    </row>
    <row r="788">
      <c r="A788" s="28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  <c r="AC788" s="139"/>
      <c r="AD788" s="139"/>
      <c r="AE788" s="139"/>
      <c r="AF788" s="139"/>
      <c r="AG788" s="139"/>
      <c r="AH788" s="139"/>
      <c r="AI788" s="139"/>
      <c r="AJ788" s="139"/>
      <c r="AK788" s="139"/>
      <c r="AL788" s="139"/>
      <c r="AM788" s="139"/>
      <c r="AN788" s="139"/>
      <c r="AO788" s="139"/>
      <c r="AP788" s="139"/>
      <c r="AQ788" s="139"/>
      <c r="AR788" s="139"/>
      <c r="AS788" s="139"/>
      <c r="AT788" s="139"/>
      <c r="AU788" s="139"/>
      <c r="AV788" s="139"/>
      <c r="AW788" s="139"/>
      <c r="AX788" s="139"/>
      <c r="AY788" s="139"/>
      <c r="AZ788" s="139"/>
      <c r="BA788" s="139"/>
      <c r="BB788" s="139"/>
    </row>
    <row r="789">
      <c r="A789" s="28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  <c r="AC789" s="139"/>
      <c r="AD789" s="139"/>
      <c r="AE789" s="139"/>
      <c r="AF789" s="139"/>
      <c r="AG789" s="139"/>
      <c r="AH789" s="139"/>
      <c r="AI789" s="139"/>
      <c r="AJ789" s="139"/>
      <c r="AK789" s="139"/>
      <c r="AL789" s="139"/>
      <c r="AM789" s="139"/>
      <c r="AN789" s="139"/>
      <c r="AO789" s="139"/>
      <c r="AP789" s="139"/>
      <c r="AQ789" s="139"/>
      <c r="AR789" s="139"/>
      <c r="AS789" s="139"/>
      <c r="AT789" s="139"/>
      <c r="AU789" s="139"/>
      <c r="AV789" s="139"/>
      <c r="AW789" s="139"/>
      <c r="AX789" s="139"/>
      <c r="AY789" s="139"/>
      <c r="AZ789" s="139"/>
      <c r="BA789" s="139"/>
      <c r="BB789" s="139"/>
    </row>
    <row r="790">
      <c r="A790" s="28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39"/>
      <c r="AD790" s="139"/>
      <c r="AE790" s="139"/>
      <c r="AF790" s="139"/>
      <c r="AG790" s="139"/>
      <c r="AH790" s="139"/>
      <c r="AI790" s="139"/>
      <c r="AJ790" s="139"/>
      <c r="AK790" s="139"/>
      <c r="AL790" s="139"/>
      <c r="AM790" s="139"/>
      <c r="AN790" s="139"/>
      <c r="AO790" s="139"/>
      <c r="AP790" s="139"/>
      <c r="AQ790" s="139"/>
      <c r="AR790" s="139"/>
      <c r="AS790" s="139"/>
      <c r="AT790" s="139"/>
      <c r="AU790" s="139"/>
      <c r="AV790" s="139"/>
      <c r="AW790" s="139"/>
      <c r="AX790" s="139"/>
      <c r="AY790" s="139"/>
      <c r="AZ790" s="139"/>
      <c r="BA790" s="139"/>
      <c r="BB790" s="139"/>
    </row>
    <row r="791">
      <c r="A791" s="28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  <c r="AC791" s="139"/>
      <c r="AD791" s="139"/>
      <c r="AE791" s="139"/>
      <c r="AF791" s="139"/>
      <c r="AG791" s="139"/>
      <c r="AH791" s="139"/>
      <c r="AI791" s="139"/>
      <c r="AJ791" s="139"/>
      <c r="AK791" s="139"/>
      <c r="AL791" s="139"/>
      <c r="AM791" s="139"/>
      <c r="AN791" s="139"/>
      <c r="AO791" s="139"/>
      <c r="AP791" s="139"/>
      <c r="AQ791" s="139"/>
      <c r="AR791" s="139"/>
      <c r="AS791" s="139"/>
      <c r="AT791" s="139"/>
      <c r="AU791" s="139"/>
      <c r="AV791" s="139"/>
      <c r="AW791" s="139"/>
      <c r="AX791" s="139"/>
      <c r="AY791" s="139"/>
      <c r="AZ791" s="139"/>
      <c r="BA791" s="139"/>
      <c r="BB791" s="139"/>
    </row>
    <row r="792">
      <c r="A792" s="28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39"/>
      <c r="AD792" s="139"/>
      <c r="AE792" s="139"/>
      <c r="AF792" s="139"/>
      <c r="AG792" s="139"/>
      <c r="AH792" s="139"/>
      <c r="AI792" s="139"/>
      <c r="AJ792" s="139"/>
      <c r="AK792" s="139"/>
      <c r="AL792" s="139"/>
      <c r="AM792" s="139"/>
      <c r="AN792" s="139"/>
      <c r="AO792" s="139"/>
      <c r="AP792" s="139"/>
      <c r="AQ792" s="139"/>
      <c r="AR792" s="139"/>
      <c r="AS792" s="139"/>
      <c r="AT792" s="139"/>
      <c r="AU792" s="139"/>
      <c r="AV792" s="139"/>
      <c r="AW792" s="139"/>
      <c r="AX792" s="139"/>
      <c r="AY792" s="139"/>
      <c r="AZ792" s="139"/>
      <c r="BA792" s="139"/>
      <c r="BB792" s="139"/>
    </row>
    <row r="793">
      <c r="A793" s="28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  <c r="AC793" s="139"/>
      <c r="AD793" s="139"/>
      <c r="AE793" s="139"/>
      <c r="AF793" s="139"/>
      <c r="AG793" s="139"/>
      <c r="AH793" s="139"/>
      <c r="AI793" s="139"/>
      <c r="AJ793" s="139"/>
      <c r="AK793" s="139"/>
      <c r="AL793" s="139"/>
      <c r="AM793" s="139"/>
      <c r="AN793" s="139"/>
      <c r="AO793" s="139"/>
      <c r="AP793" s="139"/>
      <c r="AQ793" s="139"/>
      <c r="AR793" s="139"/>
      <c r="AS793" s="139"/>
      <c r="AT793" s="139"/>
      <c r="AU793" s="139"/>
      <c r="AV793" s="139"/>
      <c r="AW793" s="139"/>
      <c r="AX793" s="139"/>
      <c r="AY793" s="139"/>
      <c r="AZ793" s="139"/>
      <c r="BA793" s="139"/>
      <c r="BB793" s="139"/>
    </row>
    <row r="794">
      <c r="A794" s="28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39"/>
      <c r="AD794" s="139"/>
      <c r="AE794" s="139"/>
      <c r="AF794" s="139"/>
      <c r="AG794" s="139"/>
      <c r="AH794" s="139"/>
      <c r="AI794" s="139"/>
      <c r="AJ794" s="139"/>
      <c r="AK794" s="139"/>
      <c r="AL794" s="139"/>
      <c r="AM794" s="139"/>
      <c r="AN794" s="139"/>
      <c r="AO794" s="139"/>
      <c r="AP794" s="139"/>
      <c r="AQ794" s="139"/>
      <c r="AR794" s="139"/>
      <c r="AS794" s="139"/>
      <c r="AT794" s="139"/>
      <c r="AU794" s="139"/>
      <c r="AV794" s="139"/>
      <c r="AW794" s="139"/>
      <c r="AX794" s="139"/>
      <c r="AY794" s="139"/>
      <c r="AZ794" s="139"/>
      <c r="BA794" s="139"/>
      <c r="BB794" s="139"/>
    </row>
    <row r="795">
      <c r="A795" s="28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  <c r="AC795" s="139"/>
      <c r="AD795" s="139"/>
      <c r="AE795" s="139"/>
      <c r="AF795" s="139"/>
      <c r="AG795" s="139"/>
      <c r="AH795" s="139"/>
      <c r="AI795" s="139"/>
      <c r="AJ795" s="139"/>
      <c r="AK795" s="139"/>
      <c r="AL795" s="139"/>
      <c r="AM795" s="139"/>
      <c r="AN795" s="139"/>
      <c r="AO795" s="139"/>
      <c r="AP795" s="139"/>
      <c r="AQ795" s="139"/>
      <c r="AR795" s="139"/>
      <c r="AS795" s="139"/>
      <c r="AT795" s="139"/>
      <c r="AU795" s="139"/>
      <c r="AV795" s="139"/>
      <c r="AW795" s="139"/>
      <c r="AX795" s="139"/>
      <c r="AY795" s="139"/>
      <c r="AZ795" s="139"/>
      <c r="BA795" s="139"/>
      <c r="BB795" s="139"/>
    </row>
    <row r="796">
      <c r="A796" s="28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39"/>
      <c r="AD796" s="139"/>
      <c r="AE796" s="139"/>
      <c r="AF796" s="139"/>
      <c r="AG796" s="139"/>
      <c r="AH796" s="139"/>
      <c r="AI796" s="139"/>
      <c r="AJ796" s="139"/>
      <c r="AK796" s="139"/>
      <c r="AL796" s="139"/>
      <c r="AM796" s="139"/>
      <c r="AN796" s="139"/>
      <c r="AO796" s="139"/>
      <c r="AP796" s="139"/>
      <c r="AQ796" s="139"/>
      <c r="AR796" s="139"/>
      <c r="AS796" s="139"/>
      <c r="AT796" s="139"/>
      <c r="AU796" s="139"/>
      <c r="AV796" s="139"/>
      <c r="AW796" s="139"/>
      <c r="AX796" s="139"/>
      <c r="AY796" s="139"/>
      <c r="AZ796" s="139"/>
      <c r="BA796" s="139"/>
      <c r="BB796" s="139"/>
    </row>
    <row r="797">
      <c r="A797" s="28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  <c r="AC797" s="139"/>
      <c r="AD797" s="139"/>
      <c r="AE797" s="139"/>
      <c r="AF797" s="139"/>
      <c r="AG797" s="139"/>
      <c r="AH797" s="139"/>
      <c r="AI797" s="139"/>
      <c r="AJ797" s="139"/>
      <c r="AK797" s="139"/>
      <c r="AL797" s="139"/>
      <c r="AM797" s="139"/>
      <c r="AN797" s="139"/>
      <c r="AO797" s="139"/>
      <c r="AP797" s="139"/>
      <c r="AQ797" s="139"/>
      <c r="AR797" s="139"/>
      <c r="AS797" s="139"/>
      <c r="AT797" s="139"/>
      <c r="AU797" s="139"/>
      <c r="AV797" s="139"/>
      <c r="AW797" s="139"/>
      <c r="AX797" s="139"/>
      <c r="AY797" s="139"/>
      <c r="AZ797" s="139"/>
      <c r="BA797" s="139"/>
      <c r="BB797" s="139"/>
    </row>
    <row r="798">
      <c r="A798" s="28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39"/>
      <c r="AD798" s="139"/>
      <c r="AE798" s="139"/>
      <c r="AF798" s="139"/>
      <c r="AG798" s="139"/>
      <c r="AH798" s="139"/>
      <c r="AI798" s="139"/>
      <c r="AJ798" s="139"/>
      <c r="AK798" s="139"/>
      <c r="AL798" s="139"/>
      <c r="AM798" s="139"/>
      <c r="AN798" s="139"/>
      <c r="AO798" s="139"/>
      <c r="AP798" s="139"/>
      <c r="AQ798" s="139"/>
      <c r="AR798" s="139"/>
      <c r="AS798" s="139"/>
      <c r="AT798" s="139"/>
      <c r="AU798" s="139"/>
      <c r="AV798" s="139"/>
      <c r="AW798" s="139"/>
      <c r="AX798" s="139"/>
      <c r="AY798" s="139"/>
      <c r="AZ798" s="139"/>
      <c r="BA798" s="139"/>
      <c r="BB798" s="139"/>
    </row>
    <row r="799">
      <c r="A799" s="28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  <c r="AC799" s="139"/>
      <c r="AD799" s="139"/>
      <c r="AE799" s="139"/>
      <c r="AF799" s="139"/>
      <c r="AG799" s="139"/>
      <c r="AH799" s="139"/>
      <c r="AI799" s="139"/>
      <c r="AJ799" s="139"/>
      <c r="AK799" s="139"/>
      <c r="AL799" s="139"/>
      <c r="AM799" s="139"/>
      <c r="AN799" s="139"/>
      <c r="AO799" s="139"/>
      <c r="AP799" s="139"/>
      <c r="AQ799" s="139"/>
      <c r="AR799" s="139"/>
      <c r="AS799" s="139"/>
      <c r="AT799" s="139"/>
      <c r="AU799" s="139"/>
      <c r="AV799" s="139"/>
      <c r="AW799" s="139"/>
      <c r="AX799" s="139"/>
      <c r="AY799" s="139"/>
      <c r="AZ799" s="139"/>
      <c r="BA799" s="139"/>
      <c r="BB799" s="139"/>
    </row>
    <row r="800">
      <c r="A800" s="28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39"/>
      <c r="AD800" s="139"/>
      <c r="AE800" s="139"/>
      <c r="AF800" s="139"/>
      <c r="AG800" s="139"/>
      <c r="AH800" s="139"/>
      <c r="AI800" s="139"/>
      <c r="AJ800" s="139"/>
      <c r="AK800" s="139"/>
      <c r="AL800" s="139"/>
      <c r="AM800" s="139"/>
      <c r="AN800" s="139"/>
      <c r="AO800" s="139"/>
      <c r="AP800" s="139"/>
      <c r="AQ800" s="139"/>
      <c r="AR800" s="139"/>
      <c r="AS800" s="139"/>
      <c r="AT800" s="139"/>
      <c r="AU800" s="139"/>
      <c r="AV800" s="139"/>
      <c r="AW800" s="139"/>
      <c r="AX800" s="139"/>
      <c r="AY800" s="139"/>
      <c r="AZ800" s="139"/>
      <c r="BA800" s="139"/>
      <c r="BB800" s="139"/>
    </row>
    <row r="801">
      <c r="A801" s="28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  <c r="AC801" s="139"/>
      <c r="AD801" s="139"/>
      <c r="AE801" s="139"/>
      <c r="AF801" s="139"/>
      <c r="AG801" s="139"/>
      <c r="AH801" s="139"/>
      <c r="AI801" s="139"/>
      <c r="AJ801" s="139"/>
      <c r="AK801" s="139"/>
      <c r="AL801" s="139"/>
      <c r="AM801" s="139"/>
      <c r="AN801" s="139"/>
      <c r="AO801" s="139"/>
      <c r="AP801" s="139"/>
      <c r="AQ801" s="139"/>
      <c r="AR801" s="139"/>
      <c r="AS801" s="139"/>
      <c r="AT801" s="139"/>
      <c r="AU801" s="139"/>
      <c r="AV801" s="139"/>
      <c r="AW801" s="139"/>
      <c r="AX801" s="139"/>
      <c r="AY801" s="139"/>
      <c r="AZ801" s="139"/>
      <c r="BA801" s="139"/>
      <c r="BB801" s="139"/>
    </row>
    <row r="802">
      <c r="A802" s="28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39"/>
      <c r="AD802" s="139"/>
      <c r="AE802" s="139"/>
      <c r="AF802" s="139"/>
      <c r="AG802" s="139"/>
      <c r="AH802" s="139"/>
      <c r="AI802" s="139"/>
      <c r="AJ802" s="139"/>
      <c r="AK802" s="139"/>
      <c r="AL802" s="139"/>
      <c r="AM802" s="139"/>
      <c r="AN802" s="139"/>
      <c r="AO802" s="139"/>
      <c r="AP802" s="139"/>
      <c r="AQ802" s="139"/>
      <c r="AR802" s="139"/>
      <c r="AS802" s="139"/>
      <c r="AT802" s="139"/>
      <c r="AU802" s="139"/>
      <c r="AV802" s="139"/>
      <c r="AW802" s="139"/>
      <c r="AX802" s="139"/>
      <c r="AY802" s="139"/>
      <c r="AZ802" s="139"/>
      <c r="BA802" s="139"/>
      <c r="BB802" s="139"/>
    </row>
    <row r="803">
      <c r="A803" s="28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39"/>
      <c r="AD803" s="139"/>
      <c r="AE803" s="139"/>
      <c r="AF803" s="139"/>
      <c r="AG803" s="139"/>
      <c r="AH803" s="139"/>
      <c r="AI803" s="139"/>
      <c r="AJ803" s="139"/>
      <c r="AK803" s="139"/>
      <c r="AL803" s="139"/>
      <c r="AM803" s="139"/>
      <c r="AN803" s="139"/>
      <c r="AO803" s="139"/>
      <c r="AP803" s="139"/>
      <c r="AQ803" s="139"/>
      <c r="AR803" s="139"/>
      <c r="AS803" s="139"/>
      <c r="AT803" s="139"/>
      <c r="AU803" s="139"/>
      <c r="AV803" s="139"/>
      <c r="AW803" s="139"/>
      <c r="AX803" s="139"/>
      <c r="AY803" s="139"/>
      <c r="AZ803" s="139"/>
      <c r="BA803" s="139"/>
      <c r="BB803" s="139"/>
    </row>
    <row r="804">
      <c r="A804" s="28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  <c r="AC804" s="139"/>
      <c r="AD804" s="139"/>
      <c r="AE804" s="139"/>
      <c r="AF804" s="139"/>
      <c r="AG804" s="139"/>
      <c r="AH804" s="139"/>
      <c r="AI804" s="139"/>
      <c r="AJ804" s="139"/>
      <c r="AK804" s="139"/>
      <c r="AL804" s="139"/>
      <c r="AM804" s="139"/>
      <c r="AN804" s="139"/>
      <c r="AO804" s="139"/>
      <c r="AP804" s="139"/>
      <c r="AQ804" s="139"/>
      <c r="AR804" s="139"/>
      <c r="AS804" s="139"/>
      <c r="AT804" s="139"/>
      <c r="AU804" s="139"/>
      <c r="AV804" s="139"/>
      <c r="AW804" s="139"/>
      <c r="AX804" s="139"/>
      <c r="AY804" s="139"/>
      <c r="AZ804" s="139"/>
      <c r="BA804" s="139"/>
      <c r="BB804" s="139"/>
    </row>
    <row r="805">
      <c r="A805" s="28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9"/>
      <c r="AM805" s="139"/>
      <c r="AN805" s="139"/>
      <c r="AO805" s="139"/>
      <c r="AP805" s="139"/>
      <c r="AQ805" s="139"/>
      <c r="AR805" s="139"/>
      <c r="AS805" s="139"/>
      <c r="AT805" s="139"/>
      <c r="AU805" s="139"/>
      <c r="AV805" s="139"/>
      <c r="AW805" s="139"/>
      <c r="AX805" s="139"/>
      <c r="AY805" s="139"/>
      <c r="AZ805" s="139"/>
      <c r="BA805" s="139"/>
      <c r="BB805" s="139"/>
    </row>
    <row r="806">
      <c r="A806" s="28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  <c r="AC806" s="139"/>
      <c r="AD806" s="139"/>
      <c r="AE806" s="139"/>
      <c r="AF806" s="139"/>
      <c r="AG806" s="139"/>
      <c r="AH806" s="139"/>
      <c r="AI806" s="139"/>
      <c r="AJ806" s="139"/>
      <c r="AK806" s="139"/>
      <c r="AL806" s="139"/>
      <c r="AM806" s="139"/>
      <c r="AN806" s="139"/>
      <c r="AO806" s="139"/>
      <c r="AP806" s="139"/>
      <c r="AQ806" s="139"/>
      <c r="AR806" s="139"/>
      <c r="AS806" s="139"/>
      <c r="AT806" s="139"/>
      <c r="AU806" s="139"/>
      <c r="AV806" s="139"/>
      <c r="AW806" s="139"/>
      <c r="AX806" s="139"/>
      <c r="AY806" s="139"/>
      <c r="AZ806" s="139"/>
      <c r="BA806" s="139"/>
      <c r="BB806" s="139"/>
    </row>
    <row r="807">
      <c r="A807" s="28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39"/>
      <c r="AD807" s="139"/>
      <c r="AE807" s="139"/>
      <c r="AF807" s="139"/>
      <c r="AG807" s="139"/>
      <c r="AH807" s="139"/>
      <c r="AI807" s="139"/>
      <c r="AJ807" s="139"/>
      <c r="AK807" s="139"/>
      <c r="AL807" s="139"/>
      <c r="AM807" s="139"/>
      <c r="AN807" s="139"/>
      <c r="AO807" s="139"/>
      <c r="AP807" s="139"/>
      <c r="AQ807" s="139"/>
      <c r="AR807" s="139"/>
      <c r="AS807" s="139"/>
      <c r="AT807" s="139"/>
      <c r="AU807" s="139"/>
      <c r="AV807" s="139"/>
      <c r="AW807" s="139"/>
      <c r="AX807" s="139"/>
      <c r="AY807" s="139"/>
      <c r="AZ807" s="139"/>
      <c r="BA807" s="139"/>
      <c r="BB807" s="139"/>
    </row>
    <row r="808">
      <c r="A808" s="28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  <c r="AC808" s="139"/>
      <c r="AD808" s="139"/>
      <c r="AE808" s="139"/>
      <c r="AF808" s="139"/>
      <c r="AG808" s="139"/>
      <c r="AH808" s="139"/>
      <c r="AI808" s="139"/>
      <c r="AJ808" s="139"/>
      <c r="AK808" s="139"/>
      <c r="AL808" s="139"/>
      <c r="AM808" s="139"/>
      <c r="AN808" s="139"/>
      <c r="AO808" s="139"/>
      <c r="AP808" s="139"/>
      <c r="AQ808" s="139"/>
      <c r="AR808" s="139"/>
      <c r="AS808" s="139"/>
      <c r="AT808" s="139"/>
      <c r="AU808" s="139"/>
      <c r="AV808" s="139"/>
      <c r="AW808" s="139"/>
      <c r="AX808" s="139"/>
      <c r="AY808" s="139"/>
      <c r="AZ808" s="139"/>
      <c r="BA808" s="139"/>
      <c r="BB808" s="139"/>
    </row>
    <row r="809">
      <c r="A809" s="28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39"/>
      <c r="AD809" s="139"/>
      <c r="AE809" s="139"/>
      <c r="AF809" s="139"/>
      <c r="AG809" s="139"/>
      <c r="AH809" s="139"/>
      <c r="AI809" s="139"/>
      <c r="AJ809" s="139"/>
      <c r="AK809" s="139"/>
      <c r="AL809" s="139"/>
      <c r="AM809" s="139"/>
      <c r="AN809" s="139"/>
      <c r="AO809" s="139"/>
      <c r="AP809" s="139"/>
      <c r="AQ809" s="139"/>
      <c r="AR809" s="139"/>
      <c r="AS809" s="139"/>
      <c r="AT809" s="139"/>
      <c r="AU809" s="139"/>
      <c r="AV809" s="139"/>
      <c r="AW809" s="139"/>
      <c r="AX809" s="139"/>
      <c r="AY809" s="139"/>
      <c r="AZ809" s="139"/>
      <c r="BA809" s="139"/>
      <c r="BB809" s="139"/>
    </row>
    <row r="810">
      <c r="A810" s="28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  <c r="AC810" s="139"/>
      <c r="AD810" s="139"/>
      <c r="AE810" s="139"/>
      <c r="AF810" s="139"/>
      <c r="AG810" s="139"/>
      <c r="AH810" s="139"/>
      <c r="AI810" s="139"/>
      <c r="AJ810" s="139"/>
      <c r="AK810" s="139"/>
      <c r="AL810" s="139"/>
      <c r="AM810" s="139"/>
      <c r="AN810" s="139"/>
      <c r="AO810" s="139"/>
      <c r="AP810" s="139"/>
      <c r="AQ810" s="139"/>
      <c r="AR810" s="139"/>
      <c r="AS810" s="139"/>
      <c r="AT810" s="139"/>
      <c r="AU810" s="139"/>
      <c r="AV810" s="139"/>
      <c r="AW810" s="139"/>
      <c r="AX810" s="139"/>
      <c r="AY810" s="139"/>
      <c r="AZ810" s="139"/>
      <c r="BA810" s="139"/>
      <c r="BB810" s="139"/>
    </row>
    <row r="811">
      <c r="A811" s="28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  <c r="AC811" s="139"/>
      <c r="AD811" s="139"/>
      <c r="AE811" s="139"/>
      <c r="AF811" s="139"/>
      <c r="AG811" s="139"/>
      <c r="AH811" s="139"/>
      <c r="AI811" s="139"/>
      <c r="AJ811" s="139"/>
      <c r="AK811" s="139"/>
      <c r="AL811" s="139"/>
      <c r="AM811" s="139"/>
      <c r="AN811" s="139"/>
      <c r="AO811" s="139"/>
      <c r="AP811" s="139"/>
      <c r="AQ811" s="139"/>
      <c r="AR811" s="139"/>
      <c r="AS811" s="139"/>
      <c r="AT811" s="139"/>
      <c r="AU811" s="139"/>
      <c r="AV811" s="139"/>
      <c r="AW811" s="139"/>
      <c r="AX811" s="139"/>
      <c r="AY811" s="139"/>
      <c r="AZ811" s="139"/>
      <c r="BA811" s="139"/>
      <c r="BB811" s="139"/>
    </row>
    <row r="812">
      <c r="A812" s="28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  <c r="AC812" s="139"/>
      <c r="AD812" s="139"/>
      <c r="AE812" s="139"/>
      <c r="AF812" s="139"/>
      <c r="AG812" s="139"/>
      <c r="AH812" s="139"/>
      <c r="AI812" s="139"/>
      <c r="AJ812" s="139"/>
      <c r="AK812" s="139"/>
      <c r="AL812" s="139"/>
      <c r="AM812" s="139"/>
      <c r="AN812" s="139"/>
      <c r="AO812" s="139"/>
      <c r="AP812" s="139"/>
      <c r="AQ812" s="139"/>
      <c r="AR812" s="139"/>
      <c r="AS812" s="139"/>
      <c r="AT812" s="139"/>
      <c r="AU812" s="139"/>
      <c r="AV812" s="139"/>
      <c r="AW812" s="139"/>
      <c r="AX812" s="139"/>
      <c r="AY812" s="139"/>
      <c r="AZ812" s="139"/>
      <c r="BA812" s="139"/>
      <c r="BB812" s="139"/>
    </row>
    <row r="813">
      <c r="A813" s="28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39"/>
      <c r="AD813" s="139"/>
      <c r="AE813" s="139"/>
      <c r="AF813" s="139"/>
      <c r="AG813" s="139"/>
      <c r="AH813" s="139"/>
      <c r="AI813" s="139"/>
      <c r="AJ813" s="139"/>
      <c r="AK813" s="139"/>
      <c r="AL813" s="139"/>
      <c r="AM813" s="139"/>
      <c r="AN813" s="139"/>
      <c r="AO813" s="139"/>
      <c r="AP813" s="139"/>
      <c r="AQ813" s="139"/>
      <c r="AR813" s="139"/>
      <c r="AS813" s="139"/>
      <c r="AT813" s="139"/>
      <c r="AU813" s="139"/>
      <c r="AV813" s="139"/>
      <c r="AW813" s="139"/>
      <c r="AX813" s="139"/>
      <c r="AY813" s="139"/>
      <c r="AZ813" s="139"/>
      <c r="BA813" s="139"/>
      <c r="BB813" s="139"/>
    </row>
    <row r="814">
      <c r="A814" s="28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  <c r="AC814" s="139"/>
      <c r="AD814" s="139"/>
      <c r="AE814" s="139"/>
      <c r="AF814" s="139"/>
      <c r="AG814" s="139"/>
      <c r="AH814" s="139"/>
      <c r="AI814" s="139"/>
      <c r="AJ814" s="139"/>
      <c r="AK814" s="139"/>
      <c r="AL814" s="139"/>
      <c r="AM814" s="139"/>
      <c r="AN814" s="139"/>
      <c r="AO814" s="139"/>
      <c r="AP814" s="139"/>
      <c r="AQ814" s="139"/>
      <c r="AR814" s="139"/>
      <c r="AS814" s="139"/>
      <c r="AT814" s="139"/>
      <c r="AU814" s="139"/>
      <c r="AV814" s="139"/>
      <c r="AW814" s="139"/>
      <c r="AX814" s="139"/>
      <c r="AY814" s="139"/>
      <c r="AZ814" s="139"/>
      <c r="BA814" s="139"/>
      <c r="BB814" s="139"/>
    </row>
    <row r="815">
      <c r="A815" s="28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  <c r="AK815" s="139"/>
      <c r="AL815" s="139"/>
      <c r="AM815" s="139"/>
      <c r="AN815" s="139"/>
      <c r="AO815" s="139"/>
      <c r="AP815" s="139"/>
      <c r="AQ815" s="139"/>
      <c r="AR815" s="139"/>
      <c r="AS815" s="139"/>
      <c r="AT815" s="139"/>
      <c r="AU815" s="139"/>
      <c r="AV815" s="139"/>
      <c r="AW815" s="139"/>
      <c r="AX815" s="139"/>
      <c r="AY815" s="139"/>
      <c r="AZ815" s="139"/>
      <c r="BA815" s="139"/>
      <c r="BB815" s="139"/>
    </row>
    <row r="816">
      <c r="A816" s="28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  <c r="AC816" s="139"/>
      <c r="AD816" s="139"/>
      <c r="AE816" s="139"/>
      <c r="AF816" s="139"/>
      <c r="AG816" s="139"/>
      <c r="AH816" s="139"/>
      <c r="AI816" s="139"/>
      <c r="AJ816" s="139"/>
      <c r="AK816" s="139"/>
      <c r="AL816" s="139"/>
      <c r="AM816" s="139"/>
      <c r="AN816" s="139"/>
      <c r="AO816" s="139"/>
      <c r="AP816" s="139"/>
      <c r="AQ816" s="139"/>
      <c r="AR816" s="139"/>
      <c r="AS816" s="139"/>
      <c r="AT816" s="139"/>
      <c r="AU816" s="139"/>
      <c r="AV816" s="139"/>
      <c r="AW816" s="139"/>
      <c r="AX816" s="139"/>
      <c r="AY816" s="139"/>
      <c r="AZ816" s="139"/>
      <c r="BA816" s="139"/>
      <c r="BB816" s="139"/>
    </row>
    <row r="817">
      <c r="A817" s="28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39"/>
      <c r="AD817" s="139"/>
      <c r="AE817" s="139"/>
      <c r="AF817" s="139"/>
      <c r="AG817" s="139"/>
      <c r="AH817" s="139"/>
      <c r="AI817" s="139"/>
      <c r="AJ817" s="139"/>
      <c r="AK817" s="139"/>
      <c r="AL817" s="139"/>
      <c r="AM817" s="139"/>
      <c r="AN817" s="139"/>
      <c r="AO817" s="139"/>
      <c r="AP817" s="139"/>
      <c r="AQ817" s="139"/>
      <c r="AR817" s="139"/>
      <c r="AS817" s="139"/>
      <c r="AT817" s="139"/>
      <c r="AU817" s="139"/>
      <c r="AV817" s="139"/>
      <c r="AW817" s="139"/>
      <c r="AX817" s="139"/>
      <c r="AY817" s="139"/>
      <c r="AZ817" s="139"/>
      <c r="BA817" s="139"/>
      <c r="BB817" s="139"/>
    </row>
    <row r="818">
      <c r="A818" s="28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  <c r="AC818" s="139"/>
      <c r="AD818" s="139"/>
      <c r="AE818" s="139"/>
      <c r="AF818" s="139"/>
      <c r="AG818" s="139"/>
      <c r="AH818" s="139"/>
      <c r="AI818" s="139"/>
      <c r="AJ818" s="139"/>
      <c r="AK818" s="139"/>
      <c r="AL818" s="139"/>
      <c r="AM818" s="139"/>
      <c r="AN818" s="139"/>
      <c r="AO818" s="139"/>
      <c r="AP818" s="139"/>
      <c r="AQ818" s="139"/>
      <c r="AR818" s="139"/>
      <c r="AS818" s="139"/>
      <c r="AT818" s="139"/>
      <c r="AU818" s="139"/>
      <c r="AV818" s="139"/>
      <c r="AW818" s="139"/>
      <c r="AX818" s="139"/>
      <c r="AY818" s="139"/>
      <c r="AZ818" s="139"/>
      <c r="BA818" s="139"/>
      <c r="BB818" s="139"/>
    </row>
    <row r="819">
      <c r="A819" s="28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39"/>
      <c r="AD819" s="139"/>
      <c r="AE819" s="139"/>
      <c r="AF819" s="139"/>
      <c r="AG819" s="139"/>
      <c r="AH819" s="139"/>
      <c r="AI819" s="139"/>
      <c r="AJ819" s="139"/>
      <c r="AK819" s="139"/>
      <c r="AL819" s="139"/>
      <c r="AM819" s="139"/>
      <c r="AN819" s="139"/>
      <c r="AO819" s="139"/>
      <c r="AP819" s="139"/>
      <c r="AQ819" s="139"/>
      <c r="AR819" s="139"/>
      <c r="AS819" s="139"/>
      <c r="AT819" s="139"/>
      <c r="AU819" s="139"/>
      <c r="AV819" s="139"/>
      <c r="AW819" s="139"/>
      <c r="AX819" s="139"/>
      <c r="AY819" s="139"/>
      <c r="AZ819" s="139"/>
      <c r="BA819" s="139"/>
      <c r="BB819" s="139"/>
    </row>
    <row r="820">
      <c r="A820" s="28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  <c r="AC820" s="139"/>
      <c r="AD820" s="139"/>
      <c r="AE820" s="139"/>
      <c r="AF820" s="139"/>
      <c r="AG820" s="139"/>
      <c r="AH820" s="139"/>
      <c r="AI820" s="139"/>
      <c r="AJ820" s="139"/>
      <c r="AK820" s="139"/>
      <c r="AL820" s="139"/>
      <c r="AM820" s="139"/>
      <c r="AN820" s="139"/>
      <c r="AO820" s="139"/>
      <c r="AP820" s="139"/>
      <c r="AQ820" s="139"/>
      <c r="AR820" s="139"/>
      <c r="AS820" s="139"/>
      <c r="AT820" s="139"/>
      <c r="AU820" s="139"/>
      <c r="AV820" s="139"/>
      <c r="AW820" s="139"/>
      <c r="AX820" s="139"/>
      <c r="AY820" s="139"/>
      <c r="AZ820" s="139"/>
      <c r="BA820" s="139"/>
      <c r="BB820" s="139"/>
    </row>
    <row r="821">
      <c r="A821" s="28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39"/>
      <c r="AD821" s="139"/>
      <c r="AE821" s="139"/>
      <c r="AF821" s="139"/>
      <c r="AG821" s="139"/>
      <c r="AH821" s="139"/>
      <c r="AI821" s="139"/>
      <c r="AJ821" s="139"/>
      <c r="AK821" s="139"/>
      <c r="AL821" s="139"/>
      <c r="AM821" s="139"/>
      <c r="AN821" s="139"/>
      <c r="AO821" s="139"/>
      <c r="AP821" s="139"/>
      <c r="AQ821" s="139"/>
      <c r="AR821" s="139"/>
      <c r="AS821" s="139"/>
      <c r="AT821" s="139"/>
      <c r="AU821" s="139"/>
      <c r="AV821" s="139"/>
      <c r="AW821" s="139"/>
      <c r="AX821" s="139"/>
      <c r="AY821" s="139"/>
      <c r="AZ821" s="139"/>
      <c r="BA821" s="139"/>
      <c r="BB821" s="139"/>
    </row>
    <row r="822">
      <c r="A822" s="28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  <c r="AC822" s="139"/>
      <c r="AD822" s="139"/>
      <c r="AE822" s="139"/>
      <c r="AF822" s="139"/>
      <c r="AG822" s="139"/>
      <c r="AH822" s="139"/>
      <c r="AI822" s="139"/>
      <c r="AJ822" s="139"/>
      <c r="AK822" s="139"/>
      <c r="AL822" s="139"/>
      <c r="AM822" s="139"/>
      <c r="AN822" s="139"/>
      <c r="AO822" s="139"/>
      <c r="AP822" s="139"/>
      <c r="AQ822" s="139"/>
      <c r="AR822" s="139"/>
      <c r="AS822" s="139"/>
      <c r="AT822" s="139"/>
      <c r="AU822" s="139"/>
      <c r="AV822" s="139"/>
      <c r="AW822" s="139"/>
      <c r="AX822" s="139"/>
      <c r="AY822" s="139"/>
      <c r="AZ822" s="139"/>
      <c r="BA822" s="139"/>
      <c r="BB822" s="139"/>
    </row>
    <row r="823">
      <c r="A823" s="28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39"/>
      <c r="AD823" s="139"/>
      <c r="AE823" s="139"/>
      <c r="AF823" s="139"/>
      <c r="AG823" s="139"/>
      <c r="AH823" s="139"/>
      <c r="AI823" s="139"/>
      <c r="AJ823" s="139"/>
      <c r="AK823" s="139"/>
      <c r="AL823" s="139"/>
      <c r="AM823" s="139"/>
      <c r="AN823" s="139"/>
      <c r="AO823" s="139"/>
      <c r="AP823" s="139"/>
      <c r="AQ823" s="139"/>
      <c r="AR823" s="139"/>
      <c r="AS823" s="139"/>
      <c r="AT823" s="139"/>
      <c r="AU823" s="139"/>
      <c r="AV823" s="139"/>
      <c r="AW823" s="139"/>
      <c r="AX823" s="139"/>
      <c r="AY823" s="139"/>
      <c r="AZ823" s="139"/>
      <c r="BA823" s="139"/>
      <c r="BB823" s="139"/>
    </row>
    <row r="824">
      <c r="A824" s="28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  <c r="AC824" s="139"/>
      <c r="AD824" s="139"/>
      <c r="AE824" s="139"/>
      <c r="AF824" s="139"/>
      <c r="AG824" s="139"/>
      <c r="AH824" s="139"/>
      <c r="AI824" s="139"/>
      <c r="AJ824" s="139"/>
      <c r="AK824" s="139"/>
      <c r="AL824" s="139"/>
      <c r="AM824" s="139"/>
      <c r="AN824" s="139"/>
      <c r="AO824" s="139"/>
      <c r="AP824" s="139"/>
      <c r="AQ824" s="139"/>
      <c r="AR824" s="139"/>
      <c r="AS824" s="139"/>
      <c r="AT824" s="139"/>
      <c r="AU824" s="139"/>
      <c r="AV824" s="139"/>
      <c r="AW824" s="139"/>
      <c r="AX824" s="139"/>
      <c r="AY824" s="139"/>
      <c r="AZ824" s="139"/>
      <c r="BA824" s="139"/>
      <c r="BB824" s="139"/>
    </row>
    <row r="825">
      <c r="A825" s="28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39"/>
      <c r="AF825" s="139"/>
      <c r="AG825" s="139"/>
      <c r="AH825" s="139"/>
      <c r="AI825" s="139"/>
      <c r="AJ825" s="139"/>
      <c r="AK825" s="139"/>
      <c r="AL825" s="139"/>
      <c r="AM825" s="139"/>
      <c r="AN825" s="139"/>
      <c r="AO825" s="139"/>
      <c r="AP825" s="139"/>
      <c r="AQ825" s="139"/>
      <c r="AR825" s="139"/>
      <c r="AS825" s="139"/>
      <c r="AT825" s="139"/>
      <c r="AU825" s="139"/>
      <c r="AV825" s="139"/>
      <c r="AW825" s="139"/>
      <c r="AX825" s="139"/>
      <c r="AY825" s="139"/>
      <c r="AZ825" s="139"/>
      <c r="BA825" s="139"/>
      <c r="BB825" s="139"/>
    </row>
    <row r="826">
      <c r="A826" s="28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  <c r="AC826" s="139"/>
      <c r="AD826" s="139"/>
      <c r="AE826" s="139"/>
      <c r="AF826" s="139"/>
      <c r="AG826" s="139"/>
      <c r="AH826" s="139"/>
      <c r="AI826" s="139"/>
      <c r="AJ826" s="139"/>
      <c r="AK826" s="139"/>
      <c r="AL826" s="139"/>
      <c r="AM826" s="139"/>
      <c r="AN826" s="139"/>
      <c r="AO826" s="139"/>
      <c r="AP826" s="139"/>
      <c r="AQ826" s="139"/>
      <c r="AR826" s="139"/>
      <c r="AS826" s="139"/>
      <c r="AT826" s="139"/>
      <c r="AU826" s="139"/>
      <c r="AV826" s="139"/>
      <c r="AW826" s="139"/>
      <c r="AX826" s="139"/>
      <c r="AY826" s="139"/>
      <c r="AZ826" s="139"/>
      <c r="BA826" s="139"/>
      <c r="BB826" s="139"/>
    </row>
    <row r="827">
      <c r="A827" s="28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9"/>
      <c r="AM827" s="139"/>
      <c r="AN827" s="139"/>
      <c r="AO827" s="139"/>
      <c r="AP827" s="139"/>
      <c r="AQ827" s="139"/>
      <c r="AR827" s="139"/>
      <c r="AS827" s="139"/>
      <c r="AT827" s="139"/>
      <c r="AU827" s="139"/>
      <c r="AV827" s="139"/>
      <c r="AW827" s="139"/>
      <c r="AX827" s="139"/>
      <c r="AY827" s="139"/>
      <c r="AZ827" s="139"/>
      <c r="BA827" s="139"/>
      <c r="BB827" s="139"/>
    </row>
    <row r="828">
      <c r="A828" s="28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  <c r="AC828" s="139"/>
      <c r="AD828" s="139"/>
      <c r="AE828" s="139"/>
      <c r="AF828" s="139"/>
      <c r="AG828" s="139"/>
      <c r="AH828" s="139"/>
      <c r="AI828" s="139"/>
      <c r="AJ828" s="139"/>
      <c r="AK828" s="139"/>
      <c r="AL828" s="139"/>
      <c r="AM828" s="139"/>
      <c r="AN828" s="139"/>
      <c r="AO828" s="139"/>
      <c r="AP828" s="139"/>
      <c r="AQ828" s="139"/>
      <c r="AR828" s="139"/>
      <c r="AS828" s="139"/>
      <c r="AT828" s="139"/>
      <c r="AU828" s="139"/>
      <c r="AV828" s="139"/>
      <c r="AW828" s="139"/>
      <c r="AX828" s="139"/>
      <c r="AY828" s="139"/>
      <c r="AZ828" s="139"/>
      <c r="BA828" s="139"/>
      <c r="BB828" s="139"/>
    </row>
    <row r="829">
      <c r="A829" s="28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39"/>
      <c r="AD829" s="139"/>
      <c r="AE829" s="139"/>
      <c r="AF829" s="139"/>
      <c r="AG829" s="139"/>
      <c r="AH829" s="139"/>
      <c r="AI829" s="139"/>
      <c r="AJ829" s="139"/>
      <c r="AK829" s="139"/>
      <c r="AL829" s="139"/>
      <c r="AM829" s="139"/>
      <c r="AN829" s="139"/>
      <c r="AO829" s="139"/>
      <c r="AP829" s="139"/>
      <c r="AQ829" s="139"/>
      <c r="AR829" s="139"/>
      <c r="AS829" s="139"/>
      <c r="AT829" s="139"/>
      <c r="AU829" s="139"/>
      <c r="AV829" s="139"/>
      <c r="AW829" s="139"/>
      <c r="AX829" s="139"/>
      <c r="AY829" s="139"/>
      <c r="AZ829" s="139"/>
      <c r="BA829" s="139"/>
      <c r="BB829" s="139"/>
    </row>
    <row r="830">
      <c r="A830" s="28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  <c r="AC830" s="139"/>
      <c r="AD830" s="139"/>
      <c r="AE830" s="139"/>
      <c r="AF830" s="139"/>
      <c r="AG830" s="139"/>
      <c r="AH830" s="139"/>
      <c r="AI830" s="139"/>
      <c r="AJ830" s="139"/>
      <c r="AK830" s="139"/>
      <c r="AL830" s="139"/>
      <c r="AM830" s="139"/>
      <c r="AN830" s="139"/>
      <c r="AO830" s="139"/>
      <c r="AP830" s="139"/>
      <c r="AQ830" s="139"/>
      <c r="AR830" s="139"/>
      <c r="AS830" s="139"/>
      <c r="AT830" s="139"/>
      <c r="AU830" s="139"/>
      <c r="AV830" s="139"/>
      <c r="AW830" s="139"/>
      <c r="AX830" s="139"/>
      <c r="AY830" s="139"/>
      <c r="AZ830" s="139"/>
      <c r="BA830" s="139"/>
      <c r="BB830" s="139"/>
    </row>
    <row r="831">
      <c r="A831" s="28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39"/>
      <c r="AD831" s="139"/>
      <c r="AE831" s="139"/>
      <c r="AF831" s="139"/>
      <c r="AG831" s="139"/>
      <c r="AH831" s="139"/>
      <c r="AI831" s="139"/>
      <c r="AJ831" s="139"/>
      <c r="AK831" s="139"/>
      <c r="AL831" s="139"/>
      <c r="AM831" s="139"/>
      <c r="AN831" s="139"/>
      <c r="AO831" s="139"/>
      <c r="AP831" s="139"/>
      <c r="AQ831" s="139"/>
      <c r="AR831" s="139"/>
      <c r="AS831" s="139"/>
      <c r="AT831" s="139"/>
      <c r="AU831" s="139"/>
      <c r="AV831" s="139"/>
      <c r="AW831" s="139"/>
      <c r="AX831" s="139"/>
      <c r="AY831" s="139"/>
      <c r="AZ831" s="139"/>
      <c r="BA831" s="139"/>
      <c r="BB831" s="139"/>
    </row>
    <row r="832">
      <c r="A832" s="28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  <c r="AC832" s="139"/>
      <c r="AD832" s="139"/>
      <c r="AE832" s="139"/>
      <c r="AF832" s="139"/>
      <c r="AG832" s="139"/>
      <c r="AH832" s="139"/>
      <c r="AI832" s="139"/>
      <c r="AJ832" s="139"/>
      <c r="AK832" s="139"/>
      <c r="AL832" s="139"/>
      <c r="AM832" s="139"/>
      <c r="AN832" s="139"/>
      <c r="AO832" s="139"/>
      <c r="AP832" s="139"/>
      <c r="AQ832" s="139"/>
      <c r="AR832" s="139"/>
      <c r="AS832" s="139"/>
      <c r="AT832" s="139"/>
      <c r="AU832" s="139"/>
      <c r="AV832" s="139"/>
      <c r="AW832" s="139"/>
      <c r="AX832" s="139"/>
      <c r="AY832" s="139"/>
      <c r="AZ832" s="139"/>
      <c r="BA832" s="139"/>
      <c r="BB832" s="139"/>
    </row>
    <row r="833">
      <c r="A833" s="28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39"/>
      <c r="AD833" s="139"/>
      <c r="AE833" s="139"/>
      <c r="AF833" s="139"/>
      <c r="AG833" s="139"/>
      <c r="AH833" s="139"/>
      <c r="AI833" s="139"/>
      <c r="AJ833" s="139"/>
      <c r="AK833" s="139"/>
      <c r="AL833" s="139"/>
      <c r="AM833" s="139"/>
      <c r="AN833" s="139"/>
      <c r="AO833" s="139"/>
      <c r="AP833" s="139"/>
      <c r="AQ833" s="139"/>
      <c r="AR833" s="139"/>
      <c r="AS833" s="139"/>
      <c r="AT833" s="139"/>
      <c r="AU833" s="139"/>
      <c r="AV833" s="139"/>
      <c r="AW833" s="139"/>
      <c r="AX833" s="139"/>
      <c r="AY833" s="139"/>
      <c r="AZ833" s="139"/>
      <c r="BA833" s="139"/>
      <c r="BB833" s="139"/>
    </row>
    <row r="834">
      <c r="A834" s="28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  <c r="AC834" s="139"/>
      <c r="AD834" s="139"/>
      <c r="AE834" s="139"/>
      <c r="AF834" s="139"/>
      <c r="AG834" s="139"/>
      <c r="AH834" s="139"/>
      <c r="AI834" s="139"/>
      <c r="AJ834" s="139"/>
      <c r="AK834" s="139"/>
      <c r="AL834" s="139"/>
      <c r="AM834" s="139"/>
      <c r="AN834" s="139"/>
      <c r="AO834" s="139"/>
      <c r="AP834" s="139"/>
      <c r="AQ834" s="139"/>
      <c r="AR834" s="139"/>
      <c r="AS834" s="139"/>
      <c r="AT834" s="139"/>
      <c r="AU834" s="139"/>
      <c r="AV834" s="139"/>
      <c r="AW834" s="139"/>
      <c r="AX834" s="139"/>
      <c r="AY834" s="139"/>
      <c r="AZ834" s="139"/>
      <c r="BA834" s="139"/>
      <c r="BB834" s="139"/>
    </row>
    <row r="835">
      <c r="A835" s="28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39"/>
      <c r="AD835" s="139"/>
      <c r="AE835" s="139"/>
      <c r="AF835" s="139"/>
      <c r="AG835" s="139"/>
      <c r="AH835" s="139"/>
      <c r="AI835" s="139"/>
      <c r="AJ835" s="139"/>
      <c r="AK835" s="139"/>
      <c r="AL835" s="139"/>
      <c r="AM835" s="139"/>
      <c r="AN835" s="139"/>
      <c r="AO835" s="139"/>
      <c r="AP835" s="139"/>
      <c r="AQ835" s="139"/>
      <c r="AR835" s="139"/>
      <c r="AS835" s="139"/>
      <c r="AT835" s="139"/>
      <c r="AU835" s="139"/>
      <c r="AV835" s="139"/>
      <c r="AW835" s="139"/>
      <c r="AX835" s="139"/>
      <c r="AY835" s="139"/>
      <c r="AZ835" s="139"/>
      <c r="BA835" s="139"/>
      <c r="BB835" s="139"/>
    </row>
    <row r="836">
      <c r="A836" s="28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  <c r="AC836" s="139"/>
      <c r="AD836" s="139"/>
      <c r="AE836" s="139"/>
      <c r="AF836" s="139"/>
      <c r="AG836" s="139"/>
      <c r="AH836" s="139"/>
      <c r="AI836" s="139"/>
      <c r="AJ836" s="139"/>
      <c r="AK836" s="139"/>
      <c r="AL836" s="139"/>
      <c r="AM836" s="139"/>
      <c r="AN836" s="139"/>
      <c r="AO836" s="139"/>
      <c r="AP836" s="139"/>
      <c r="AQ836" s="139"/>
      <c r="AR836" s="139"/>
      <c r="AS836" s="139"/>
      <c r="AT836" s="139"/>
      <c r="AU836" s="139"/>
      <c r="AV836" s="139"/>
      <c r="AW836" s="139"/>
      <c r="AX836" s="139"/>
      <c r="AY836" s="139"/>
      <c r="AZ836" s="139"/>
      <c r="BA836" s="139"/>
      <c r="BB836" s="139"/>
    </row>
    <row r="837">
      <c r="A837" s="28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39"/>
      <c r="AD837" s="139"/>
      <c r="AE837" s="139"/>
      <c r="AF837" s="139"/>
      <c r="AG837" s="139"/>
      <c r="AH837" s="139"/>
      <c r="AI837" s="139"/>
      <c r="AJ837" s="139"/>
      <c r="AK837" s="139"/>
      <c r="AL837" s="139"/>
      <c r="AM837" s="139"/>
      <c r="AN837" s="139"/>
      <c r="AO837" s="139"/>
      <c r="AP837" s="139"/>
      <c r="AQ837" s="139"/>
      <c r="AR837" s="139"/>
      <c r="AS837" s="139"/>
      <c r="AT837" s="139"/>
      <c r="AU837" s="139"/>
      <c r="AV837" s="139"/>
      <c r="AW837" s="139"/>
      <c r="AX837" s="139"/>
      <c r="AY837" s="139"/>
      <c r="AZ837" s="139"/>
      <c r="BA837" s="139"/>
      <c r="BB837" s="139"/>
    </row>
    <row r="838">
      <c r="A838" s="28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  <c r="AC838" s="139"/>
      <c r="AD838" s="139"/>
      <c r="AE838" s="139"/>
      <c r="AF838" s="139"/>
      <c r="AG838" s="139"/>
      <c r="AH838" s="139"/>
      <c r="AI838" s="139"/>
      <c r="AJ838" s="139"/>
      <c r="AK838" s="139"/>
      <c r="AL838" s="139"/>
      <c r="AM838" s="139"/>
      <c r="AN838" s="139"/>
      <c r="AO838" s="139"/>
      <c r="AP838" s="139"/>
      <c r="AQ838" s="139"/>
      <c r="AR838" s="139"/>
      <c r="AS838" s="139"/>
      <c r="AT838" s="139"/>
      <c r="AU838" s="139"/>
      <c r="AV838" s="139"/>
      <c r="AW838" s="139"/>
      <c r="AX838" s="139"/>
      <c r="AY838" s="139"/>
      <c r="AZ838" s="139"/>
      <c r="BA838" s="139"/>
      <c r="BB838" s="139"/>
    </row>
    <row r="839">
      <c r="A839" s="28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  <c r="AC839" s="139"/>
      <c r="AD839" s="139"/>
      <c r="AE839" s="139"/>
      <c r="AF839" s="139"/>
      <c r="AG839" s="139"/>
      <c r="AH839" s="139"/>
      <c r="AI839" s="139"/>
      <c r="AJ839" s="139"/>
      <c r="AK839" s="139"/>
      <c r="AL839" s="139"/>
      <c r="AM839" s="139"/>
      <c r="AN839" s="139"/>
      <c r="AO839" s="139"/>
      <c r="AP839" s="139"/>
      <c r="AQ839" s="139"/>
      <c r="AR839" s="139"/>
      <c r="AS839" s="139"/>
      <c r="AT839" s="139"/>
      <c r="AU839" s="139"/>
      <c r="AV839" s="139"/>
      <c r="AW839" s="139"/>
      <c r="AX839" s="139"/>
      <c r="AY839" s="139"/>
      <c r="AZ839" s="139"/>
      <c r="BA839" s="139"/>
      <c r="BB839" s="139"/>
    </row>
    <row r="840">
      <c r="A840" s="28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  <c r="AC840" s="139"/>
      <c r="AD840" s="139"/>
      <c r="AE840" s="139"/>
      <c r="AF840" s="139"/>
      <c r="AG840" s="139"/>
      <c r="AH840" s="139"/>
      <c r="AI840" s="139"/>
      <c r="AJ840" s="139"/>
      <c r="AK840" s="139"/>
      <c r="AL840" s="139"/>
      <c r="AM840" s="139"/>
      <c r="AN840" s="139"/>
      <c r="AO840" s="139"/>
      <c r="AP840" s="139"/>
      <c r="AQ840" s="139"/>
      <c r="AR840" s="139"/>
      <c r="AS840" s="139"/>
      <c r="AT840" s="139"/>
      <c r="AU840" s="139"/>
      <c r="AV840" s="139"/>
      <c r="AW840" s="139"/>
      <c r="AX840" s="139"/>
      <c r="AY840" s="139"/>
      <c r="AZ840" s="139"/>
      <c r="BA840" s="139"/>
      <c r="BB840" s="139"/>
    </row>
    <row r="841">
      <c r="A841" s="28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  <c r="AC841" s="139"/>
      <c r="AD841" s="139"/>
      <c r="AE841" s="139"/>
      <c r="AF841" s="139"/>
      <c r="AG841" s="139"/>
      <c r="AH841" s="139"/>
      <c r="AI841" s="139"/>
      <c r="AJ841" s="139"/>
      <c r="AK841" s="139"/>
      <c r="AL841" s="139"/>
      <c r="AM841" s="139"/>
      <c r="AN841" s="139"/>
      <c r="AO841" s="139"/>
      <c r="AP841" s="139"/>
      <c r="AQ841" s="139"/>
      <c r="AR841" s="139"/>
      <c r="AS841" s="139"/>
      <c r="AT841" s="139"/>
      <c r="AU841" s="139"/>
      <c r="AV841" s="139"/>
      <c r="AW841" s="139"/>
      <c r="AX841" s="139"/>
      <c r="AY841" s="139"/>
      <c r="AZ841" s="139"/>
      <c r="BA841" s="139"/>
      <c r="BB841" s="139"/>
    </row>
    <row r="842">
      <c r="A842" s="28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  <c r="AC842" s="139"/>
      <c r="AD842" s="139"/>
      <c r="AE842" s="139"/>
      <c r="AF842" s="139"/>
      <c r="AG842" s="139"/>
      <c r="AH842" s="139"/>
      <c r="AI842" s="139"/>
      <c r="AJ842" s="139"/>
      <c r="AK842" s="139"/>
      <c r="AL842" s="139"/>
      <c r="AM842" s="139"/>
      <c r="AN842" s="139"/>
      <c r="AO842" s="139"/>
      <c r="AP842" s="139"/>
      <c r="AQ842" s="139"/>
      <c r="AR842" s="139"/>
      <c r="AS842" s="139"/>
      <c r="AT842" s="139"/>
      <c r="AU842" s="139"/>
      <c r="AV842" s="139"/>
      <c r="AW842" s="139"/>
      <c r="AX842" s="139"/>
      <c r="AY842" s="139"/>
      <c r="AZ842" s="139"/>
      <c r="BA842" s="139"/>
      <c r="BB842" s="139"/>
    </row>
    <row r="843">
      <c r="A843" s="28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  <c r="AC843" s="139"/>
      <c r="AD843" s="139"/>
      <c r="AE843" s="139"/>
      <c r="AF843" s="139"/>
      <c r="AG843" s="139"/>
      <c r="AH843" s="139"/>
      <c r="AI843" s="139"/>
      <c r="AJ843" s="139"/>
      <c r="AK843" s="139"/>
      <c r="AL843" s="139"/>
      <c r="AM843" s="139"/>
      <c r="AN843" s="139"/>
      <c r="AO843" s="139"/>
      <c r="AP843" s="139"/>
      <c r="AQ843" s="139"/>
      <c r="AR843" s="139"/>
      <c r="AS843" s="139"/>
      <c r="AT843" s="139"/>
      <c r="AU843" s="139"/>
      <c r="AV843" s="139"/>
      <c r="AW843" s="139"/>
      <c r="AX843" s="139"/>
      <c r="AY843" s="139"/>
      <c r="AZ843" s="139"/>
      <c r="BA843" s="139"/>
      <c r="BB843" s="139"/>
    </row>
    <row r="844">
      <c r="A844" s="28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39"/>
      <c r="AD844" s="139"/>
      <c r="AE844" s="139"/>
      <c r="AF844" s="139"/>
      <c r="AG844" s="139"/>
      <c r="AH844" s="139"/>
      <c r="AI844" s="139"/>
      <c r="AJ844" s="139"/>
      <c r="AK844" s="139"/>
      <c r="AL844" s="139"/>
      <c r="AM844" s="139"/>
      <c r="AN844" s="139"/>
      <c r="AO844" s="139"/>
      <c r="AP844" s="139"/>
      <c r="AQ844" s="139"/>
      <c r="AR844" s="139"/>
      <c r="AS844" s="139"/>
      <c r="AT844" s="139"/>
      <c r="AU844" s="139"/>
      <c r="AV844" s="139"/>
      <c r="AW844" s="139"/>
      <c r="AX844" s="139"/>
      <c r="AY844" s="139"/>
      <c r="AZ844" s="139"/>
      <c r="BA844" s="139"/>
      <c r="BB844" s="139"/>
    </row>
    <row r="845">
      <c r="A845" s="28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  <c r="AC845" s="139"/>
      <c r="AD845" s="139"/>
      <c r="AE845" s="139"/>
      <c r="AF845" s="139"/>
      <c r="AG845" s="139"/>
      <c r="AH845" s="139"/>
      <c r="AI845" s="139"/>
      <c r="AJ845" s="139"/>
      <c r="AK845" s="139"/>
      <c r="AL845" s="139"/>
      <c r="AM845" s="139"/>
      <c r="AN845" s="139"/>
      <c r="AO845" s="139"/>
      <c r="AP845" s="139"/>
      <c r="AQ845" s="139"/>
      <c r="AR845" s="139"/>
      <c r="AS845" s="139"/>
      <c r="AT845" s="139"/>
      <c r="AU845" s="139"/>
      <c r="AV845" s="139"/>
      <c r="AW845" s="139"/>
      <c r="AX845" s="139"/>
      <c r="AY845" s="139"/>
      <c r="AZ845" s="139"/>
      <c r="BA845" s="139"/>
      <c r="BB845" s="139"/>
    </row>
    <row r="846">
      <c r="A846" s="28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  <c r="AK846" s="139"/>
      <c r="AL846" s="139"/>
      <c r="AM846" s="139"/>
      <c r="AN846" s="139"/>
      <c r="AO846" s="139"/>
      <c r="AP846" s="139"/>
      <c r="AQ846" s="139"/>
      <c r="AR846" s="139"/>
      <c r="AS846" s="139"/>
      <c r="AT846" s="139"/>
      <c r="AU846" s="139"/>
      <c r="AV846" s="139"/>
      <c r="AW846" s="139"/>
      <c r="AX846" s="139"/>
      <c r="AY846" s="139"/>
      <c r="AZ846" s="139"/>
      <c r="BA846" s="139"/>
      <c r="BB846" s="139"/>
    </row>
    <row r="847">
      <c r="A847" s="28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  <c r="AC847" s="139"/>
      <c r="AD847" s="139"/>
      <c r="AE847" s="139"/>
      <c r="AF847" s="139"/>
      <c r="AG847" s="139"/>
      <c r="AH847" s="139"/>
      <c r="AI847" s="139"/>
      <c r="AJ847" s="139"/>
      <c r="AK847" s="139"/>
      <c r="AL847" s="139"/>
      <c r="AM847" s="139"/>
      <c r="AN847" s="139"/>
      <c r="AO847" s="139"/>
      <c r="AP847" s="139"/>
      <c r="AQ847" s="139"/>
      <c r="AR847" s="139"/>
      <c r="AS847" s="139"/>
      <c r="AT847" s="139"/>
      <c r="AU847" s="139"/>
      <c r="AV847" s="139"/>
      <c r="AW847" s="139"/>
      <c r="AX847" s="139"/>
      <c r="AY847" s="139"/>
      <c r="AZ847" s="139"/>
      <c r="BA847" s="139"/>
      <c r="BB847" s="139"/>
    </row>
    <row r="848">
      <c r="A848" s="28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  <c r="AC848" s="139"/>
      <c r="AD848" s="139"/>
      <c r="AE848" s="139"/>
      <c r="AF848" s="139"/>
      <c r="AG848" s="139"/>
      <c r="AH848" s="139"/>
      <c r="AI848" s="139"/>
      <c r="AJ848" s="139"/>
      <c r="AK848" s="139"/>
      <c r="AL848" s="139"/>
      <c r="AM848" s="139"/>
      <c r="AN848" s="139"/>
      <c r="AO848" s="139"/>
      <c r="AP848" s="139"/>
      <c r="AQ848" s="139"/>
      <c r="AR848" s="139"/>
      <c r="AS848" s="139"/>
      <c r="AT848" s="139"/>
      <c r="AU848" s="139"/>
      <c r="AV848" s="139"/>
      <c r="AW848" s="139"/>
      <c r="AX848" s="139"/>
      <c r="AY848" s="139"/>
      <c r="AZ848" s="139"/>
      <c r="BA848" s="139"/>
      <c r="BB848" s="139"/>
    </row>
    <row r="849">
      <c r="A849" s="28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  <c r="AC849" s="139"/>
      <c r="AD849" s="139"/>
      <c r="AE849" s="139"/>
      <c r="AF849" s="139"/>
      <c r="AG849" s="139"/>
      <c r="AH849" s="139"/>
      <c r="AI849" s="139"/>
      <c r="AJ849" s="139"/>
      <c r="AK849" s="139"/>
      <c r="AL849" s="139"/>
      <c r="AM849" s="139"/>
      <c r="AN849" s="139"/>
      <c r="AO849" s="139"/>
      <c r="AP849" s="139"/>
      <c r="AQ849" s="139"/>
      <c r="AR849" s="139"/>
      <c r="AS849" s="139"/>
      <c r="AT849" s="139"/>
      <c r="AU849" s="139"/>
      <c r="AV849" s="139"/>
      <c r="AW849" s="139"/>
      <c r="AX849" s="139"/>
      <c r="AY849" s="139"/>
      <c r="AZ849" s="139"/>
      <c r="BA849" s="139"/>
      <c r="BB849" s="139"/>
    </row>
    <row r="850">
      <c r="A850" s="28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  <c r="AC850" s="139"/>
      <c r="AD850" s="139"/>
      <c r="AE850" s="139"/>
      <c r="AF850" s="139"/>
      <c r="AG850" s="139"/>
      <c r="AH850" s="139"/>
      <c r="AI850" s="139"/>
      <c r="AJ850" s="139"/>
      <c r="AK850" s="139"/>
      <c r="AL850" s="139"/>
      <c r="AM850" s="139"/>
      <c r="AN850" s="139"/>
      <c r="AO850" s="139"/>
      <c r="AP850" s="139"/>
      <c r="AQ850" s="139"/>
      <c r="AR850" s="139"/>
      <c r="AS850" s="139"/>
      <c r="AT850" s="139"/>
      <c r="AU850" s="139"/>
      <c r="AV850" s="139"/>
      <c r="AW850" s="139"/>
      <c r="AX850" s="139"/>
      <c r="AY850" s="139"/>
      <c r="AZ850" s="139"/>
      <c r="BA850" s="139"/>
      <c r="BB850" s="139"/>
    </row>
    <row r="851">
      <c r="A851" s="28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  <c r="AC851" s="139"/>
      <c r="AD851" s="139"/>
      <c r="AE851" s="139"/>
      <c r="AF851" s="139"/>
      <c r="AG851" s="139"/>
      <c r="AH851" s="139"/>
      <c r="AI851" s="139"/>
      <c r="AJ851" s="139"/>
      <c r="AK851" s="139"/>
      <c r="AL851" s="139"/>
      <c r="AM851" s="139"/>
      <c r="AN851" s="139"/>
      <c r="AO851" s="139"/>
      <c r="AP851" s="139"/>
      <c r="AQ851" s="139"/>
      <c r="AR851" s="139"/>
      <c r="AS851" s="139"/>
      <c r="AT851" s="139"/>
      <c r="AU851" s="139"/>
      <c r="AV851" s="139"/>
      <c r="AW851" s="139"/>
      <c r="AX851" s="139"/>
      <c r="AY851" s="139"/>
      <c r="AZ851" s="139"/>
      <c r="BA851" s="139"/>
      <c r="BB851" s="139"/>
    </row>
    <row r="852">
      <c r="A852" s="28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39"/>
      <c r="AD852" s="139"/>
      <c r="AE852" s="139"/>
      <c r="AF852" s="139"/>
      <c r="AG852" s="139"/>
      <c r="AH852" s="139"/>
      <c r="AI852" s="139"/>
      <c r="AJ852" s="139"/>
      <c r="AK852" s="139"/>
      <c r="AL852" s="139"/>
      <c r="AM852" s="139"/>
      <c r="AN852" s="139"/>
      <c r="AO852" s="139"/>
      <c r="AP852" s="139"/>
      <c r="AQ852" s="139"/>
      <c r="AR852" s="139"/>
      <c r="AS852" s="139"/>
      <c r="AT852" s="139"/>
      <c r="AU852" s="139"/>
      <c r="AV852" s="139"/>
      <c r="AW852" s="139"/>
      <c r="AX852" s="139"/>
      <c r="AY852" s="139"/>
      <c r="AZ852" s="139"/>
      <c r="BA852" s="139"/>
      <c r="BB852" s="139"/>
    </row>
    <row r="853">
      <c r="A853" s="28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  <c r="AC853" s="139"/>
      <c r="AD853" s="139"/>
      <c r="AE853" s="139"/>
      <c r="AF853" s="139"/>
      <c r="AG853" s="139"/>
      <c r="AH853" s="139"/>
      <c r="AI853" s="139"/>
      <c r="AJ853" s="139"/>
      <c r="AK853" s="139"/>
      <c r="AL853" s="139"/>
      <c r="AM853" s="139"/>
      <c r="AN853" s="139"/>
      <c r="AO853" s="139"/>
      <c r="AP853" s="139"/>
      <c r="AQ853" s="139"/>
      <c r="AR853" s="139"/>
      <c r="AS853" s="139"/>
      <c r="AT853" s="139"/>
      <c r="AU853" s="139"/>
      <c r="AV853" s="139"/>
      <c r="AW853" s="139"/>
      <c r="AX853" s="139"/>
      <c r="AY853" s="139"/>
      <c r="AZ853" s="139"/>
      <c r="BA853" s="139"/>
      <c r="BB853" s="139"/>
    </row>
    <row r="854">
      <c r="A854" s="28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39"/>
      <c r="AD854" s="139"/>
      <c r="AE854" s="139"/>
      <c r="AF854" s="139"/>
      <c r="AG854" s="139"/>
      <c r="AH854" s="139"/>
      <c r="AI854" s="139"/>
      <c r="AJ854" s="139"/>
      <c r="AK854" s="139"/>
      <c r="AL854" s="139"/>
      <c r="AM854" s="139"/>
      <c r="AN854" s="139"/>
      <c r="AO854" s="139"/>
      <c r="AP854" s="139"/>
      <c r="AQ854" s="139"/>
      <c r="AR854" s="139"/>
      <c r="AS854" s="139"/>
      <c r="AT854" s="139"/>
      <c r="AU854" s="139"/>
      <c r="AV854" s="139"/>
      <c r="AW854" s="139"/>
      <c r="AX854" s="139"/>
      <c r="AY854" s="139"/>
      <c r="AZ854" s="139"/>
      <c r="BA854" s="139"/>
      <c r="BB854" s="139"/>
    </row>
    <row r="855">
      <c r="A855" s="28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  <c r="AC855" s="139"/>
      <c r="AD855" s="139"/>
      <c r="AE855" s="139"/>
      <c r="AF855" s="139"/>
      <c r="AG855" s="139"/>
      <c r="AH855" s="139"/>
      <c r="AI855" s="139"/>
      <c r="AJ855" s="139"/>
      <c r="AK855" s="139"/>
      <c r="AL855" s="139"/>
      <c r="AM855" s="139"/>
      <c r="AN855" s="139"/>
      <c r="AO855" s="139"/>
      <c r="AP855" s="139"/>
      <c r="AQ855" s="139"/>
      <c r="AR855" s="139"/>
      <c r="AS855" s="139"/>
      <c r="AT855" s="139"/>
      <c r="AU855" s="139"/>
      <c r="AV855" s="139"/>
      <c r="AW855" s="139"/>
      <c r="AX855" s="139"/>
      <c r="AY855" s="139"/>
      <c r="AZ855" s="139"/>
      <c r="BA855" s="139"/>
      <c r="BB855" s="139"/>
    </row>
    <row r="856">
      <c r="A856" s="28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39"/>
      <c r="AD856" s="139"/>
      <c r="AE856" s="139"/>
      <c r="AF856" s="139"/>
      <c r="AG856" s="139"/>
      <c r="AH856" s="139"/>
      <c r="AI856" s="139"/>
      <c r="AJ856" s="139"/>
      <c r="AK856" s="139"/>
      <c r="AL856" s="139"/>
      <c r="AM856" s="139"/>
      <c r="AN856" s="139"/>
      <c r="AO856" s="139"/>
      <c r="AP856" s="139"/>
      <c r="AQ856" s="139"/>
      <c r="AR856" s="139"/>
      <c r="AS856" s="139"/>
      <c r="AT856" s="139"/>
      <c r="AU856" s="139"/>
      <c r="AV856" s="139"/>
      <c r="AW856" s="139"/>
      <c r="AX856" s="139"/>
      <c r="AY856" s="139"/>
      <c r="AZ856" s="139"/>
      <c r="BA856" s="139"/>
      <c r="BB856" s="139"/>
    </row>
    <row r="857">
      <c r="A857" s="28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  <c r="AC857" s="139"/>
      <c r="AD857" s="139"/>
      <c r="AE857" s="139"/>
      <c r="AF857" s="139"/>
      <c r="AG857" s="139"/>
      <c r="AH857" s="139"/>
      <c r="AI857" s="139"/>
      <c r="AJ857" s="139"/>
      <c r="AK857" s="139"/>
      <c r="AL857" s="139"/>
      <c r="AM857" s="139"/>
      <c r="AN857" s="139"/>
      <c r="AO857" s="139"/>
      <c r="AP857" s="139"/>
      <c r="AQ857" s="139"/>
      <c r="AR857" s="139"/>
      <c r="AS857" s="139"/>
      <c r="AT857" s="139"/>
      <c r="AU857" s="139"/>
      <c r="AV857" s="139"/>
      <c r="AW857" s="139"/>
      <c r="AX857" s="139"/>
      <c r="AY857" s="139"/>
      <c r="AZ857" s="139"/>
      <c r="BA857" s="139"/>
      <c r="BB857" s="139"/>
    </row>
    <row r="858">
      <c r="A858" s="28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39"/>
      <c r="AD858" s="139"/>
      <c r="AE858" s="139"/>
      <c r="AF858" s="139"/>
      <c r="AG858" s="139"/>
      <c r="AH858" s="139"/>
      <c r="AI858" s="139"/>
      <c r="AJ858" s="139"/>
      <c r="AK858" s="139"/>
      <c r="AL858" s="139"/>
      <c r="AM858" s="139"/>
      <c r="AN858" s="139"/>
      <c r="AO858" s="139"/>
      <c r="AP858" s="139"/>
      <c r="AQ858" s="139"/>
      <c r="AR858" s="139"/>
      <c r="AS858" s="139"/>
      <c r="AT858" s="139"/>
      <c r="AU858" s="139"/>
      <c r="AV858" s="139"/>
      <c r="AW858" s="139"/>
      <c r="AX858" s="139"/>
      <c r="AY858" s="139"/>
      <c r="AZ858" s="139"/>
      <c r="BA858" s="139"/>
      <c r="BB858" s="139"/>
    </row>
    <row r="859">
      <c r="A859" s="28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  <c r="AC859" s="139"/>
      <c r="AD859" s="139"/>
      <c r="AE859" s="139"/>
      <c r="AF859" s="139"/>
      <c r="AG859" s="139"/>
      <c r="AH859" s="139"/>
      <c r="AI859" s="139"/>
      <c r="AJ859" s="139"/>
      <c r="AK859" s="139"/>
      <c r="AL859" s="139"/>
      <c r="AM859" s="139"/>
      <c r="AN859" s="139"/>
      <c r="AO859" s="139"/>
      <c r="AP859" s="139"/>
      <c r="AQ859" s="139"/>
      <c r="AR859" s="139"/>
      <c r="AS859" s="139"/>
      <c r="AT859" s="139"/>
      <c r="AU859" s="139"/>
      <c r="AV859" s="139"/>
      <c r="AW859" s="139"/>
      <c r="AX859" s="139"/>
      <c r="AY859" s="139"/>
      <c r="AZ859" s="139"/>
      <c r="BA859" s="139"/>
      <c r="BB859" s="139"/>
    </row>
    <row r="860">
      <c r="A860" s="28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9"/>
      <c r="AM860" s="139"/>
      <c r="AN860" s="139"/>
      <c r="AO860" s="139"/>
      <c r="AP860" s="139"/>
      <c r="AQ860" s="139"/>
      <c r="AR860" s="139"/>
      <c r="AS860" s="139"/>
      <c r="AT860" s="139"/>
      <c r="AU860" s="139"/>
      <c r="AV860" s="139"/>
      <c r="AW860" s="139"/>
      <c r="AX860" s="139"/>
      <c r="AY860" s="139"/>
      <c r="AZ860" s="139"/>
      <c r="BA860" s="139"/>
      <c r="BB860" s="139"/>
    </row>
    <row r="861">
      <c r="A861" s="28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  <c r="AC861" s="139"/>
      <c r="AD861" s="139"/>
      <c r="AE861" s="139"/>
      <c r="AF861" s="139"/>
      <c r="AG861" s="139"/>
      <c r="AH861" s="139"/>
      <c r="AI861" s="139"/>
      <c r="AJ861" s="139"/>
      <c r="AK861" s="139"/>
      <c r="AL861" s="139"/>
      <c r="AM861" s="139"/>
      <c r="AN861" s="139"/>
      <c r="AO861" s="139"/>
      <c r="AP861" s="139"/>
      <c r="AQ861" s="139"/>
      <c r="AR861" s="139"/>
      <c r="AS861" s="139"/>
      <c r="AT861" s="139"/>
      <c r="AU861" s="139"/>
      <c r="AV861" s="139"/>
      <c r="AW861" s="139"/>
      <c r="AX861" s="139"/>
      <c r="AY861" s="139"/>
      <c r="AZ861" s="139"/>
      <c r="BA861" s="139"/>
      <c r="BB861" s="139"/>
    </row>
    <row r="862">
      <c r="A862" s="28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39"/>
      <c r="AD862" s="139"/>
      <c r="AE862" s="139"/>
      <c r="AF862" s="139"/>
      <c r="AG862" s="139"/>
      <c r="AH862" s="139"/>
      <c r="AI862" s="139"/>
      <c r="AJ862" s="139"/>
      <c r="AK862" s="139"/>
      <c r="AL862" s="139"/>
      <c r="AM862" s="139"/>
      <c r="AN862" s="139"/>
      <c r="AO862" s="139"/>
      <c r="AP862" s="139"/>
      <c r="AQ862" s="139"/>
      <c r="AR862" s="139"/>
      <c r="AS862" s="139"/>
      <c r="AT862" s="139"/>
      <c r="AU862" s="139"/>
      <c r="AV862" s="139"/>
      <c r="AW862" s="139"/>
      <c r="AX862" s="139"/>
      <c r="AY862" s="139"/>
      <c r="AZ862" s="139"/>
      <c r="BA862" s="139"/>
      <c r="BB862" s="139"/>
    </row>
    <row r="863">
      <c r="A863" s="28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  <c r="AC863" s="139"/>
      <c r="AD863" s="139"/>
      <c r="AE863" s="139"/>
      <c r="AF863" s="139"/>
      <c r="AG863" s="139"/>
      <c r="AH863" s="139"/>
      <c r="AI863" s="139"/>
      <c r="AJ863" s="139"/>
      <c r="AK863" s="139"/>
      <c r="AL863" s="139"/>
      <c r="AM863" s="139"/>
      <c r="AN863" s="139"/>
      <c r="AO863" s="139"/>
      <c r="AP863" s="139"/>
      <c r="AQ863" s="139"/>
      <c r="AR863" s="139"/>
      <c r="AS863" s="139"/>
      <c r="AT863" s="139"/>
      <c r="AU863" s="139"/>
      <c r="AV863" s="139"/>
      <c r="AW863" s="139"/>
      <c r="AX863" s="139"/>
      <c r="AY863" s="139"/>
      <c r="AZ863" s="139"/>
      <c r="BA863" s="139"/>
      <c r="BB863" s="139"/>
    </row>
    <row r="864">
      <c r="A864" s="28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39"/>
      <c r="AD864" s="139"/>
      <c r="AE864" s="139"/>
      <c r="AF864" s="139"/>
      <c r="AG864" s="139"/>
      <c r="AH864" s="139"/>
      <c r="AI864" s="139"/>
      <c r="AJ864" s="139"/>
      <c r="AK864" s="139"/>
      <c r="AL864" s="139"/>
      <c r="AM864" s="139"/>
      <c r="AN864" s="139"/>
      <c r="AO864" s="139"/>
      <c r="AP864" s="139"/>
      <c r="AQ864" s="139"/>
      <c r="AR864" s="139"/>
      <c r="AS864" s="139"/>
      <c r="AT864" s="139"/>
      <c r="AU864" s="139"/>
      <c r="AV864" s="139"/>
      <c r="AW864" s="139"/>
      <c r="AX864" s="139"/>
      <c r="AY864" s="139"/>
      <c r="AZ864" s="139"/>
      <c r="BA864" s="139"/>
      <c r="BB864" s="139"/>
    </row>
    <row r="865">
      <c r="A865" s="28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  <c r="AC865" s="139"/>
      <c r="AD865" s="139"/>
      <c r="AE865" s="139"/>
      <c r="AF865" s="139"/>
      <c r="AG865" s="139"/>
      <c r="AH865" s="139"/>
      <c r="AI865" s="139"/>
      <c r="AJ865" s="139"/>
      <c r="AK865" s="139"/>
      <c r="AL865" s="139"/>
      <c r="AM865" s="139"/>
      <c r="AN865" s="139"/>
      <c r="AO865" s="139"/>
      <c r="AP865" s="139"/>
      <c r="AQ865" s="139"/>
      <c r="AR865" s="139"/>
      <c r="AS865" s="139"/>
      <c r="AT865" s="139"/>
      <c r="AU865" s="139"/>
      <c r="AV865" s="139"/>
      <c r="AW865" s="139"/>
      <c r="AX865" s="139"/>
      <c r="AY865" s="139"/>
      <c r="AZ865" s="139"/>
      <c r="BA865" s="139"/>
      <c r="BB865" s="139"/>
    </row>
    <row r="866">
      <c r="A866" s="28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39"/>
      <c r="AD866" s="139"/>
      <c r="AE866" s="139"/>
      <c r="AF866" s="139"/>
      <c r="AG866" s="139"/>
      <c r="AH866" s="139"/>
      <c r="AI866" s="139"/>
      <c r="AJ866" s="139"/>
      <c r="AK866" s="139"/>
      <c r="AL866" s="139"/>
      <c r="AM866" s="139"/>
      <c r="AN866" s="139"/>
      <c r="AO866" s="139"/>
      <c r="AP866" s="139"/>
      <c r="AQ866" s="139"/>
      <c r="AR866" s="139"/>
      <c r="AS866" s="139"/>
      <c r="AT866" s="139"/>
      <c r="AU866" s="139"/>
      <c r="AV866" s="139"/>
      <c r="AW866" s="139"/>
      <c r="AX866" s="139"/>
      <c r="AY866" s="139"/>
      <c r="AZ866" s="139"/>
      <c r="BA866" s="139"/>
      <c r="BB866" s="139"/>
    </row>
    <row r="867">
      <c r="A867" s="28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  <c r="AC867" s="139"/>
      <c r="AD867" s="139"/>
      <c r="AE867" s="139"/>
      <c r="AF867" s="139"/>
      <c r="AG867" s="139"/>
      <c r="AH867" s="139"/>
      <c r="AI867" s="139"/>
      <c r="AJ867" s="139"/>
      <c r="AK867" s="139"/>
      <c r="AL867" s="139"/>
      <c r="AM867" s="139"/>
      <c r="AN867" s="139"/>
      <c r="AO867" s="139"/>
      <c r="AP867" s="139"/>
      <c r="AQ867" s="139"/>
      <c r="AR867" s="139"/>
      <c r="AS867" s="139"/>
      <c r="AT867" s="139"/>
      <c r="AU867" s="139"/>
      <c r="AV867" s="139"/>
      <c r="AW867" s="139"/>
      <c r="AX867" s="139"/>
      <c r="AY867" s="139"/>
      <c r="AZ867" s="139"/>
      <c r="BA867" s="139"/>
      <c r="BB867" s="139"/>
    </row>
    <row r="868">
      <c r="A868" s="28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39"/>
      <c r="AD868" s="139"/>
      <c r="AE868" s="139"/>
      <c r="AF868" s="139"/>
      <c r="AG868" s="139"/>
      <c r="AH868" s="139"/>
      <c r="AI868" s="139"/>
      <c r="AJ868" s="139"/>
      <c r="AK868" s="139"/>
      <c r="AL868" s="139"/>
      <c r="AM868" s="139"/>
      <c r="AN868" s="139"/>
      <c r="AO868" s="139"/>
      <c r="AP868" s="139"/>
      <c r="AQ868" s="139"/>
      <c r="AR868" s="139"/>
      <c r="AS868" s="139"/>
      <c r="AT868" s="139"/>
      <c r="AU868" s="139"/>
      <c r="AV868" s="139"/>
      <c r="AW868" s="139"/>
      <c r="AX868" s="139"/>
      <c r="AY868" s="139"/>
      <c r="AZ868" s="139"/>
      <c r="BA868" s="139"/>
      <c r="BB868" s="139"/>
    </row>
    <row r="869">
      <c r="A869" s="28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  <c r="AC869" s="139"/>
      <c r="AD869" s="139"/>
      <c r="AE869" s="139"/>
      <c r="AF869" s="139"/>
      <c r="AG869" s="139"/>
      <c r="AH869" s="139"/>
      <c r="AI869" s="139"/>
      <c r="AJ869" s="139"/>
      <c r="AK869" s="139"/>
      <c r="AL869" s="139"/>
      <c r="AM869" s="139"/>
      <c r="AN869" s="139"/>
      <c r="AO869" s="139"/>
      <c r="AP869" s="139"/>
      <c r="AQ869" s="139"/>
      <c r="AR869" s="139"/>
      <c r="AS869" s="139"/>
      <c r="AT869" s="139"/>
      <c r="AU869" s="139"/>
      <c r="AV869" s="139"/>
      <c r="AW869" s="139"/>
      <c r="AX869" s="139"/>
      <c r="AY869" s="139"/>
      <c r="AZ869" s="139"/>
      <c r="BA869" s="139"/>
      <c r="BB869" s="139"/>
    </row>
    <row r="870">
      <c r="A870" s="28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39"/>
      <c r="AD870" s="139"/>
      <c r="AE870" s="139"/>
      <c r="AF870" s="139"/>
      <c r="AG870" s="139"/>
      <c r="AH870" s="139"/>
      <c r="AI870" s="139"/>
      <c r="AJ870" s="139"/>
      <c r="AK870" s="139"/>
      <c r="AL870" s="139"/>
      <c r="AM870" s="139"/>
      <c r="AN870" s="139"/>
      <c r="AO870" s="139"/>
      <c r="AP870" s="139"/>
      <c r="AQ870" s="139"/>
      <c r="AR870" s="139"/>
      <c r="AS870" s="139"/>
      <c r="AT870" s="139"/>
      <c r="AU870" s="139"/>
      <c r="AV870" s="139"/>
      <c r="AW870" s="139"/>
      <c r="AX870" s="139"/>
      <c r="AY870" s="139"/>
      <c r="AZ870" s="139"/>
      <c r="BA870" s="139"/>
      <c r="BB870" s="139"/>
    </row>
    <row r="871">
      <c r="A871" s="28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  <c r="AC871" s="139"/>
      <c r="AD871" s="139"/>
      <c r="AE871" s="139"/>
      <c r="AF871" s="139"/>
      <c r="AG871" s="139"/>
      <c r="AH871" s="139"/>
      <c r="AI871" s="139"/>
      <c r="AJ871" s="139"/>
      <c r="AK871" s="139"/>
      <c r="AL871" s="139"/>
      <c r="AM871" s="139"/>
      <c r="AN871" s="139"/>
      <c r="AO871" s="139"/>
      <c r="AP871" s="139"/>
      <c r="AQ871" s="139"/>
      <c r="AR871" s="139"/>
      <c r="AS871" s="139"/>
      <c r="AT871" s="139"/>
      <c r="AU871" s="139"/>
      <c r="AV871" s="139"/>
      <c r="AW871" s="139"/>
      <c r="AX871" s="139"/>
      <c r="AY871" s="139"/>
      <c r="AZ871" s="139"/>
      <c r="BA871" s="139"/>
      <c r="BB871" s="139"/>
    </row>
    <row r="872">
      <c r="A872" s="28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39"/>
      <c r="AD872" s="139"/>
      <c r="AE872" s="139"/>
      <c r="AF872" s="139"/>
      <c r="AG872" s="139"/>
      <c r="AH872" s="139"/>
      <c r="AI872" s="139"/>
      <c r="AJ872" s="139"/>
      <c r="AK872" s="139"/>
      <c r="AL872" s="139"/>
      <c r="AM872" s="139"/>
      <c r="AN872" s="139"/>
      <c r="AO872" s="139"/>
      <c r="AP872" s="139"/>
      <c r="AQ872" s="139"/>
      <c r="AR872" s="139"/>
      <c r="AS872" s="139"/>
      <c r="AT872" s="139"/>
      <c r="AU872" s="139"/>
      <c r="AV872" s="139"/>
      <c r="AW872" s="139"/>
      <c r="AX872" s="139"/>
      <c r="AY872" s="139"/>
      <c r="AZ872" s="139"/>
      <c r="BA872" s="139"/>
      <c r="BB872" s="139"/>
    </row>
    <row r="873">
      <c r="A873" s="28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  <c r="AC873" s="139"/>
      <c r="AD873" s="139"/>
      <c r="AE873" s="139"/>
      <c r="AF873" s="139"/>
      <c r="AG873" s="139"/>
      <c r="AH873" s="139"/>
      <c r="AI873" s="139"/>
      <c r="AJ873" s="139"/>
      <c r="AK873" s="139"/>
      <c r="AL873" s="139"/>
      <c r="AM873" s="139"/>
      <c r="AN873" s="139"/>
      <c r="AO873" s="139"/>
      <c r="AP873" s="139"/>
      <c r="AQ873" s="139"/>
      <c r="AR873" s="139"/>
      <c r="AS873" s="139"/>
      <c r="AT873" s="139"/>
      <c r="AU873" s="139"/>
      <c r="AV873" s="139"/>
      <c r="AW873" s="139"/>
      <c r="AX873" s="139"/>
      <c r="AY873" s="139"/>
      <c r="AZ873" s="139"/>
      <c r="BA873" s="139"/>
      <c r="BB873" s="139"/>
    </row>
    <row r="874">
      <c r="A874" s="28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39"/>
      <c r="AD874" s="139"/>
      <c r="AE874" s="139"/>
      <c r="AF874" s="139"/>
      <c r="AG874" s="139"/>
      <c r="AH874" s="139"/>
      <c r="AI874" s="139"/>
      <c r="AJ874" s="139"/>
      <c r="AK874" s="139"/>
      <c r="AL874" s="139"/>
      <c r="AM874" s="139"/>
      <c r="AN874" s="139"/>
      <c r="AO874" s="139"/>
      <c r="AP874" s="139"/>
      <c r="AQ874" s="139"/>
      <c r="AR874" s="139"/>
      <c r="AS874" s="139"/>
      <c r="AT874" s="139"/>
      <c r="AU874" s="139"/>
      <c r="AV874" s="139"/>
      <c r="AW874" s="139"/>
      <c r="AX874" s="139"/>
      <c r="AY874" s="139"/>
      <c r="AZ874" s="139"/>
      <c r="BA874" s="139"/>
      <c r="BB874" s="139"/>
    </row>
    <row r="875">
      <c r="A875" s="28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  <c r="AC875" s="139"/>
      <c r="AD875" s="139"/>
      <c r="AE875" s="139"/>
      <c r="AF875" s="139"/>
      <c r="AG875" s="139"/>
      <c r="AH875" s="139"/>
      <c r="AI875" s="139"/>
      <c r="AJ875" s="139"/>
      <c r="AK875" s="139"/>
      <c r="AL875" s="139"/>
      <c r="AM875" s="139"/>
      <c r="AN875" s="139"/>
      <c r="AO875" s="139"/>
      <c r="AP875" s="139"/>
      <c r="AQ875" s="139"/>
      <c r="AR875" s="139"/>
      <c r="AS875" s="139"/>
      <c r="AT875" s="139"/>
      <c r="AU875" s="139"/>
      <c r="AV875" s="139"/>
      <c r="AW875" s="139"/>
      <c r="AX875" s="139"/>
      <c r="AY875" s="139"/>
      <c r="AZ875" s="139"/>
      <c r="BA875" s="139"/>
      <c r="BB875" s="139"/>
    </row>
    <row r="876">
      <c r="A876" s="28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  <c r="AC876" s="139"/>
      <c r="AD876" s="139"/>
      <c r="AE876" s="139"/>
      <c r="AF876" s="139"/>
      <c r="AG876" s="139"/>
      <c r="AH876" s="139"/>
      <c r="AI876" s="139"/>
      <c r="AJ876" s="139"/>
      <c r="AK876" s="139"/>
      <c r="AL876" s="139"/>
      <c r="AM876" s="139"/>
      <c r="AN876" s="139"/>
      <c r="AO876" s="139"/>
      <c r="AP876" s="139"/>
      <c r="AQ876" s="139"/>
      <c r="AR876" s="139"/>
      <c r="AS876" s="139"/>
      <c r="AT876" s="139"/>
      <c r="AU876" s="139"/>
      <c r="AV876" s="139"/>
      <c r="AW876" s="139"/>
      <c r="AX876" s="139"/>
      <c r="AY876" s="139"/>
      <c r="AZ876" s="139"/>
      <c r="BA876" s="139"/>
      <c r="BB876" s="139"/>
    </row>
    <row r="877">
      <c r="A877" s="28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  <c r="AC877" s="139"/>
      <c r="AD877" s="139"/>
      <c r="AE877" s="139"/>
      <c r="AF877" s="139"/>
      <c r="AG877" s="139"/>
      <c r="AH877" s="139"/>
      <c r="AI877" s="139"/>
      <c r="AJ877" s="139"/>
      <c r="AK877" s="139"/>
      <c r="AL877" s="139"/>
      <c r="AM877" s="139"/>
      <c r="AN877" s="139"/>
      <c r="AO877" s="139"/>
      <c r="AP877" s="139"/>
      <c r="AQ877" s="139"/>
      <c r="AR877" s="139"/>
      <c r="AS877" s="139"/>
      <c r="AT877" s="139"/>
      <c r="AU877" s="139"/>
      <c r="AV877" s="139"/>
      <c r="AW877" s="139"/>
      <c r="AX877" s="139"/>
      <c r="AY877" s="139"/>
      <c r="AZ877" s="139"/>
      <c r="BA877" s="139"/>
      <c r="BB877" s="139"/>
    </row>
    <row r="878">
      <c r="A878" s="28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  <c r="AC878" s="139"/>
      <c r="AD878" s="139"/>
      <c r="AE878" s="139"/>
      <c r="AF878" s="139"/>
      <c r="AG878" s="139"/>
      <c r="AH878" s="139"/>
      <c r="AI878" s="139"/>
      <c r="AJ878" s="139"/>
      <c r="AK878" s="139"/>
      <c r="AL878" s="139"/>
      <c r="AM878" s="139"/>
      <c r="AN878" s="139"/>
      <c r="AO878" s="139"/>
      <c r="AP878" s="139"/>
      <c r="AQ878" s="139"/>
      <c r="AR878" s="139"/>
      <c r="AS878" s="139"/>
      <c r="AT878" s="139"/>
      <c r="AU878" s="139"/>
      <c r="AV878" s="139"/>
      <c r="AW878" s="139"/>
      <c r="AX878" s="139"/>
      <c r="AY878" s="139"/>
      <c r="AZ878" s="139"/>
      <c r="BA878" s="139"/>
      <c r="BB878" s="139"/>
    </row>
    <row r="879">
      <c r="A879" s="28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39"/>
      <c r="AD879" s="139"/>
      <c r="AE879" s="139"/>
      <c r="AF879" s="139"/>
      <c r="AG879" s="139"/>
      <c r="AH879" s="139"/>
      <c r="AI879" s="139"/>
      <c r="AJ879" s="139"/>
      <c r="AK879" s="139"/>
      <c r="AL879" s="139"/>
      <c r="AM879" s="139"/>
      <c r="AN879" s="139"/>
      <c r="AO879" s="139"/>
      <c r="AP879" s="139"/>
      <c r="AQ879" s="139"/>
      <c r="AR879" s="139"/>
      <c r="AS879" s="139"/>
      <c r="AT879" s="139"/>
      <c r="AU879" s="139"/>
      <c r="AV879" s="139"/>
      <c r="AW879" s="139"/>
      <c r="AX879" s="139"/>
      <c r="AY879" s="139"/>
      <c r="AZ879" s="139"/>
      <c r="BA879" s="139"/>
      <c r="BB879" s="139"/>
    </row>
    <row r="880">
      <c r="A880" s="28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  <c r="AC880" s="139"/>
      <c r="AD880" s="139"/>
      <c r="AE880" s="139"/>
      <c r="AF880" s="139"/>
      <c r="AG880" s="139"/>
      <c r="AH880" s="139"/>
      <c r="AI880" s="139"/>
      <c r="AJ880" s="139"/>
      <c r="AK880" s="139"/>
      <c r="AL880" s="139"/>
      <c r="AM880" s="139"/>
      <c r="AN880" s="139"/>
      <c r="AO880" s="139"/>
      <c r="AP880" s="139"/>
      <c r="AQ880" s="139"/>
      <c r="AR880" s="139"/>
      <c r="AS880" s="139"/>
      <c r="AT880" s="139"/>
      <c r="AU880" s="139"/>
      <c r="AV880" s="139"/>
      <c r="AW880" s="139"/>
      <c r="AX880" s="139"/>
      <c r="AY880" s="139"/>
      <c r="AZ880" s="139"/>
      <c r="BA880" s="139"/>
      <c r="BB880" s="139"/>
    </row>
    <row r="881">
      <c r="A881" s="28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39"/>
      <c r="AD881" s="139"/>
      <c r="AE881" s="139"/>
      <c r="AF881" s="139"/>
      <c r="AG881" s="139"/>
      <c r="AH881" s="139"/>
      <c r="AI881" s="139"/>
      <c r="AJ881" s="139"/>
      <c r="AK881" s="139"/>
      <c r="AL881" s="139"/>
      <c r="AM881" s="139"/>
      <c r="AN881" s="139"/>
      <c r="AO881" s="139"/>
      <c r="AP881" s="139"/>
      <c r="AQ881" s="139"/>
      <c r="AR881" s="139"/>
      <c r="AS881" s="139"/>
      <c r="AT881" s="139"/>
      <c r="AU881" s="139"/>
      <c r="AV881" s="139"/>
      <c r="AW881" s="139"/>
      <c r="AX881" s="139"/>
      <c r="AY881" s="139"/>
      <c r="AZ881" s="139"/>
      <c r="BA881" s="139"/>
      <c r="BB881" s="139"/>
    </row>
    <row r="882">
      <c r="A882" s="28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  <c r="AC882" s="139"/>
      <c r="AD882" s="139"/>
      <c r="AE882" s="139"/>
      <c r="AF882" s="139"/>
      <c r="AG882" s="139"/>
      <c r="AH882" s="139"/>
      <c r="AI882" s="139"/>
      <c r="AJ882" s="139"/>
      <c r="AK882" s="139"/>
      <c r="AL882" s="139"/>
      <c r="AM882" s="139"/>
      <c r="AN882" s="139"/>
      <c r="AO882" s="139"/>
      <c r="AP882" s="139"/>
      <c r="AQ882" s="139"/>
      <c r="AR882" s="139"/>
      <c r="AS882" s="139"/>
      <c r="AT882" s="139"/>
      <c r="AU882" s="139"/>
      <c r="AV882" s="139"/>
      <c r="AW882" s="139"/>
      <c r="AX882" s="139"/>
      <c r="AY882" s="139"/>
      <c r="AZ882" s="139"/>
      <c r="BA882" s="139"/>
      <c r="BB882" s="139"/>
    </row>
    <row r="883">
      <c r="A883" s="28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39"/>
      <c r="AD883" s="139"/>
      <c r="AE883" s="139"/>
      <c r="AF883" s="139"/>
      <c r="AG883" s="139"/>
      <c r="AH883" s="139"/>
      <c r="AI883" s="139"/>
      <c r="AJ883" s="139"/>
      <c r="AK883" s="139"/>
      <c r="AL883" s="139"/>
      <c r="AM883" s="139"/>
      <c r="AN883" s="139"/>
      <c r="AO883" s="139"/>
      <c r="AP883" s="139"/>
      <c r="AQ883" s="139"/>
      <c r="AR883" s="139"/>
      <c r="AS883" s="139"/>
      <c r="AT883" s="139"/>
      <c r="AU883" s="139"/>
      <c r="AV883" s="139"/>
      <c r="AW883" s="139"/>
      <c r="AX883" s="139"/>
      <c r="AY883" s="139"/>
      <c r="AZ883" s="139"/>
      <c r="BA883" s="139"/>
      <c r="BB883" s="139"/>
    </row>
    <row r="884">
      <c r="A884" s="28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  <c r="AC884" s="139"/>
      <c r="AD884" s="139"/>
      <c r="AE884" s="139"/>
      <c r="AF884" s="139"/>
      <c r="AG884" s="139"/>
      <c r="AH884" s="139"/>
      <c r="AI884" s="139"/>
      <c r="AJ884" s="139"/>
      <c r="AK884" s="139"/>
      <c r="AL884" s="139"/>
      <c r="AM884" s="139"/>
      <c r="AN884" s="139"/>
      <c r="AO884" s="139"/>
      <c r="AP884" s="139"/>
      <c r="AQ884" s="139"/>
      <c r="AR884" s="139"/>
      <c r="AS884" s="139"/>
      <c r="AT884" s="139"/>
      <c r="AU884" s="139"/>
      <c r="AV884" s="139"/>
      <c r="AW884" s="139"/>
      <c r="AX884" s="139"/>
      <c r="AY884" s="139"/>
      <c r="AZ884" s="139"/>
      <c r="BA884" s="139"/>
      <c r="BB884" s="139"/>
    </row>
    <row r="885">
      <c r="A885" s="28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39"/>
      <c r="AD885" s="139"/>
      <c r="AE885" s="139"/>
      <c r="AF885" s="139"/>
      <c r="AG885" s="139"/>
      <c r="AH885" s="139"/>
      <c r="AI885" s="139"/>
      <c r="AJ885" s="139"/>
      <c r="AK885" s="139"/>
      <c r="AL885" s="139"/>
      <c r="AM885" s="139"/>
      <c r="AN885" s="139"/>
      <c r="AO885" s="139"/>
      <c r="AP885" s="139"/>
      <c r="AQ885" s="139"/>
      <c r="AR885" s="139"/>
      <c r="AS885" s="139"/>
      <c r="AT885" s="139"/>
      <c r="AU885" s="139"/>
      <c r="AV885" s="139"/>
      <c r="AW885" s="139"/>
      <c r="AX885" s="139"/>
      <c r="AY885" s="139"/>
      <c r="AZ885" s="139"/>
      <c r="BA885" s="139"/>
      <c r="BB885" s="139"/>
    </row>
    <row r="886">
      <c r="A886" s="28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  <c r="AC886" s="139"/>
      <c r="AD886" s="139"/>
      <c r="AE886" s="139"/>
      <c r="AF886" s="139"/>
      <c r="AG886" s="139"/>
      <c r="AH886" s="139"/>
      <c r="AI886" s="139"/>
      <c r="AJ886" s="139"/>
      <c r="AK886" s="139"/>
      <c r="AL886" s="139"/>
      <c r="AM886" s="139"/>
      <c r="AN886" s="139"/>
      <c r="AO886" s="139"/>
      <c r="AP886" s="139"/>
      <c r="AQ886" s="139"/>
      <c r="AR886" s="139"/>
      <c r="AS886" s="139"/>
      <c r="AT886" s="139"/>
      <c r="AU886" s="139"/>
      <c r="AV886" s="139"/>
      <c r="AW886" s="139"/>
      <c r="AX886" s="139"/>
      <c r="AY886" s="139"/>
      <c r="AZ886" s="139"/>
      <c r="BA886" s="139"/>
      <c r="BB886" s="139"/>
    </row>
    <row r="887">
      <c r="A887" s="28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39"/>
      <c r="AD887" s="139"/>
      <c r="AE887" s="139"/>
      <c r="AF887" s="139"/>
      <c r="AG887" s="139"/>
      <c r="AH887" s="139"/>
      <c r="AI887" s="139"/>
      <c r="AJ887" s="139"/>
      <c r="AK887" s="139"/>
      <c r="AL887" s="139"/>
      <c r="AM887" s="139"/>
      <c r="AN887" s="139"/>
      <c r="AO887" s="139"/>
      <c r="AP887" s="139"/>
      <c r="AQ887" s="139"/>
      <c r="AR887" s="139"/>
      <c r="AS887" s="139"/>
      <c r="AT887" s="139"/>
      <c r="AU887" s="139"/>
      <c r="AV887" s="139"/>
      <c r="AW887" s="139"/>
      <c r="AX887" s="139"/>
      <c r="AY887" s="139"/>
      <c r="AZ887" s="139"/>
      <c r="BA887" s="139"/>
      <c r="BB887" s="139"/>
    </row>
    <row r="888">
      <c r="A888" s="28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  <c r="AC888" s="139"/>
      <c r="AD888" s="139"/>
      <c r="AE888" s="139"/>
      <c r="AF888" s="139"/>
      <c r="AG888" s="139"/>
      <c r="AH888" s="139"/>
      <c r="AI888" s="139"/>
      <c r="AJ888" s="139"/>
      <c r="AK888" s="139"/>
      <c r="AL888" s="139"/>
      <c r="AM888" s="139"/>
      <c r="AN888" s="139"/>
      <c r="AO888" s="139"/>
      <c r="AP888" s="139"/>
      <c r="AQ888" s="139"/>
      <c r="AR888" s="139"/>
      <c r="AS888" s="139"/>
      <c r="AT888" s="139"/>
      <c r="AU888" s="139"/>
      <c r="AV888" s="139"/>
      <c r="AW888" s="139"/>
      <c r="AX888" s="139"/>
      <c r="AY888" s="139"/>
      <c r="AZ888" s="139"/>
      <c r="BA888" s="139"/>
      <c r="BB888" s="139"/>
    </row>
    <row r="889">
      <c r="A889" s="28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39"/>
      <c r="AD889" s="139"/>
      <c r="AE889" s="139"/>
      <c r="AF889" s="139"/>
      <c r="AG889" s="139"/>
      <c r="AH889" s="139"/>
      <c r="AI889" s="139"/>
      <c r="AJ889" s="139"/>
      <c r="AK889" s="139"/>
      <c r="AL889" s="139"/>
      <c r="AM889" s="139"/>
      <c r="AN889" s="139"/>
      <c r="AO889" s="139"/>
      <c r="AP889" s="139"/>
      <c r="AQ889" s="139"/>
      <c r="AR889" s="139"/>
      <c r="AS889" s="139"/>
      <c r="AT889" s="139"/>
      <c r="AU889" s="139"/>
      <c r="AV889" s="139"/>
      <c r="AW889" s="139"/>
      <c r="AX889" s="139"/>
      <c r="AY889" s="139"/>
      <c r="AZ889" s="139"/>
      <c r="BA889" s="139"/>
      <c r="BB889" s="139"/>
    </row>
    <row r="890">
      <c r="A890" s="28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  <c r="AC890" s="139"/>
      <c r="AD890" s="139"/>
      <c r="AE890" s="139"/>
      <c r="AF890" s="139"/>
      <c r="AG890" s="139"/>
      <c r="AH890" s="139"/>
      <c r="AI890" s="139"/>
      <c r="AJ890" s="139"/>
      <c r="AK890" s="139"/>
      <c r="AL890" s="139"/>
      <c r="AM890" s="139"/>
      <c r="AN890" s="139"/>
      <c r="AO890" s="139"/>
      <c r="AP890" s="139"/>
      <c r="AQ890" s="139"/>
      <c r="AR890" s="139"/>
      <c r="AS890" s="139"/>
      <c r="AT890" s="139"/>
      <c r="AU890" s="139"/>
      <c r="AV890" s="139"/>
      <c r="AW890" s="139"/>
      <c r="AX890" s="139"/>
      <c r="AY890" s="139"/>
      <c r="AZ890" s="139"/>
      <c r="BA890" s="139"/>
      <c r="BB890" s="139"/>
    </row>
    <row r="891">
      <c r="A891" s="28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39"/>
      <c r="AD891" s="139"/>
      <c r="AE891" s="139"/>
      <c r="AF891" s="139"/>
      <c r="AG891" s="139"/>
      <c r="AH891" s="139"/>
      <c r="AI891" s="139"/>
      <c r="AJ891" s="139"/>
      <c r="AK891" s="139"/>
      <c r="AL891" s="139"/>
      <c r="AM891" s="139"/>
      <c r="AN891" s="139"/>
      <c r="AO891" s="139"/>
      <c r="AP891" s="139"/>
      <c r="AQ891" s="139"/>
      <c r="AR891" s="139"/>
      <c r="AS891" s="139"/>
      <c r="AT891" s="139"/>
      <c r="AU891" s="139"/>
      <c r="AV891" s="139"/>
      <c r="AW891" s="139"/>
      <c r="AX891" s="139"/>
      <c r="AY891" s="139"/>
      <c r="AZ891" s="139"/>
      <c r="BA891" s="139"/>
      <c r="BB891" s="139"/>
    </row>
    <row r="892">
      <c r="A892" s="28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  <c r="AC892" s="139"/>
      <c r="AD892" s="139"/>
      <c r="AE892" s="139"/>
      <c r="AF892" s="139"/>
      <c r="AG892" s="139"/>
      <c r="AH892" s="139"/>
      <c r="AI892" s="139"/>
      <c r="AJ892" s="139"/>
      <c r="AK892" s="139"/>
      <c r="AL892" s="139"/>
      <c r="AM892" s="139"/>
      <c r="AN892" s="139"/>
      <c r="AO892" s="139"/>
      <c r="AP892" s="139"/>
      <c r="AQ892" s="139"/>
      <c r="AR892" s="139"/>
      <c r="AS892" s="139"/>
      <c r="AT892" s="139"/>
      <c r="AU892" s="139"/>
      <c r="AV892" s="139"/>
      <c r="AW892" s="139"/>
      <c r="AX892" s="139"/>
      <c r="AY892" s="139"/>
      <c r="AZ892" s="139"/>
      <c r="BA892" s="139"/>
      <c r="BB892" s="139"/>
    </row>
    <row r="893">
      <c r="A893" s="28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39"/>
      <c r="AD893" s="139"/>
      <c r="AE893" s="139"/>
      <c r="AF893" s="139"/>
      <c r="AG893" s="139"/>
      <c r="AH893" s="139"/>
      <c r="AI893" s="139"/>
      <c r="AJ893" s="139"/>
      <c r="AK893" s="139"/>
      <c r="AL893" s="139"/>
      <c r="AM893" s="139"/>
      <c r="AN893" s="139"/>
      <c r="AO893" s="139"/>
      <c r="AP893" s="139"/>
      <c r="AQ893" s="139"/>
      <c r="AR893" s="139"/>
      <c r="AS893" s="139"/>
      <c r="AT893" s="139"/>
      <c r="AU893" s="139"/>
      <c r="AV893" s="139"/>
      <c r="AW893" s="139"/>
      <c r="AX893" s="139"/>
      <c r="AY893" s="139"/>
      <c r="AZ893" s="139"/>
      <c r="BA893" s="139"/>
      <c r="BB893" s="139"/>
    </row>
    <row r="894">
      <c r="A894" s="28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  <c r="AC894" s="139"/>
      <c r="AD894" s="139"/>
      <c r="AE894" s="139"/>
      <c r="AF894" s="139"/>
      <c r="AG894" s="139"/>
      <c r="AH894" s="139"/>
      <c r="AI894" s="139"/>
      <c r="AJ894" s="139"/>
      <c r="AK894" s="139"/>
      <c r="AL894" s="139"/>
      <c r="AM894" s="139"/>
      <c r="AN894" s="139"/>
      <c r="AO894" s="139"/>
      <c r="AP894" s="139"/>
      <c r="AQ894" s="139"/>
      <c r="AR894" s="139"/>
      <c r="AS894" s="139"/>
      <c r="AT894" s="139"/>
      <c r="AU894" s="139"/>
      <c r="AV894" s="139"/>
      <c r="AW894" s="139"/>
      <c r="AX894" s="139"/>
      <c r="AY894" s="139"/>
      <c r="AZ894" s="139"/>
      <c r="BA894" s="139"/>
      <c r="BB894" s="139"/>
    </row>
    <row r="895">
      <c r="A895" s="28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39"/>
      <c r="AD895" s="139"/>
      <c r="AE895" s="139"/>
      <c r="AF895" s="139"/>
      <c r="AG895" s="139"/>
      <c r="AH895" s="139"/>
      <c r="AI895" s="139"/>
      <c r="AJ895" s="139"/>
      <c r="AK895" s="139"/>
      <c r="AL895" s="139"/>
      <c r="AM895" s="139"/>
      <c r="AN895" s="139"/>
      <c r="AO895" s="139"/>
      <c r="AP895" s="139"/>
      <c r="AQ895" s="139"/>
      <c r="AR895" s="139"/>
      <c r="AS895" s="139"/>
      <c r="AT895" s="139"/>
      <c r="AU895" s="139"/>
      <c r="AV895" s="139"/>
      <c r="AW895" s="139"/>
      <c r="AX895" s="139"/>
      <c r="AY895" s="139"/>
      <c r="AZ895" s="139"/>
      <c r="BA895" s="139"/>
      <c r="BB895" s="139"/>
    </row>
    <row r="896">
      <c r="A896" s="28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  <c r="AC896" s="139"/>
      <c r="AD896" s="139"/>
      <c r="AE896" s="139"/>
      <c r="AF896" s="139"/>
      <c r="AG896" s="139"/>
      <c r="AH896" s="139"/>
      <c r="AI896" s="139"/>
      <c r="AJ896" s="139"/>
      <c r="AK896" s="139"/>
      <c r="AL896" s="139"/>
      <c r="AM896" s="139"/>
      <c r="AN896" s="139"/>
      <c r="AO896" s="139"/>
      <c r="AP896" s="139"/>
      <c r="AQ896" s="139"/>
      <c r="AR896" s="139"/>
      <c r="AS896" s="139"/>
      <c r="AT896" s="139"/>
      <c r="AU896" s="139"/>
      <c r="AV896" s="139"/>
      <c r="AW896" s="139"/>
      <c r="AX896" s="139"/>
      <c r="AY896" s="139"/>
      <c r="AZ896" s="139"/>
      <c r="BA896" s="139"/>
      <c r="BB896" s="139"/>
    </row>
    <row r="897">
      <c r="A897" s="28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39"/>
      <c r="AD897" s="139"/>
      <c r="AE897" s="139"/>
      <c r="AF897" s="139"/>
      <c r="AG897" s="139"/>
      <c r="AH897" s="139"/>
      <c r="AI897" s="139"/>
      <c r="AJ897" s="139"/>
      <c r="AK897" s="139"/>
      <c r="AL897" s="139"/>
      <c r="AM897" s="139"/>
      <c r="AN897" s="139"/>
      <c r="AO897" s="139"/>
      <c r="AP897" s="139"/>
      <c r="AQ897" s="139"/>
      <c r="AR897" s="139"/>
      <c r="AS897" s="139"/>
      <c r="AT897" s="139"/>
      <c r="AU897" s="139"/>
      <c r="AV897" s="139"/>
      <c r="AW897" s="139"/>
      <c r="AX897" s="139"/>
      <c r="AY897" s="139"/>
      <c r="AZ897" s="139"/>
      <c r="BA897" s="139"/>
      <c r="BB897" s="139"/>
    </row>
    <row r="898">
      <c r="A898" s="28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  <c r="AC898" s="139"/>
      <c r="AD898" s="139"/>
      <c r="AE898" s="139"/>
      <c r="AF898" s="139"/>
      <c r="AG898" s="139"/>
      <c r="AH898" s="139"/>
      <c r="AI898" s="139"/>
      <c r="AJ898" s="139"/>
      <c r="AK898" s="139"/>
      <c r="AL898" s="139"/>
      <c r="AM898" s="139"/>
      <c r="AN898" s="139"/>
      <c r="AO898" s="139"/>
      <c r="AP898" s="139"/>
      <c r="AQ898" s="139"/>
      <c r="AR898" s="139"/>
      <c r="AS898" s="139"/>
      <c r="AT898" s="139"/>
      <c r="AU898" s="139"/>
      <c r="AV898" s="139"/>
      <c r="AW898" s="139"/>
      <c r="AX898" s="139"/>
      <c r="AY898" s="139"/>
      <c r="AZ898" s="139"/>
      <c r="BA898" s="139"/>
      <c r="BB898" s="139"/>
    </row>
    <row r="899">
      <c r="A899" s="28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39"/>
      <c r="AD899" s="139"/>
      <c r="AE899" s="139"/>
      <c r="AF899" s="139"/>
      <c r="AG899" s="139"/>
      <c r="AH899" s="139"/>
      <c r="AI899" s="139"/>
      <c r="AJ899" s="139"/>
      <c r="AK899" s="139"/>
      <c r="AL899" s="139"/>
      <c r="AM899" s="139"/>
      <c r="AN899" s="139"/>
      <c r="AO899" s="139"/>
      <c r="AP899" s="139"/>
      <c r="AQ899" s="139"/>
      <c r="AR899" s="139"/>
      <c r="AS899" s="139"/>
      <c r="AT899" s="139"/>
      <c r="AU899" s="139"/>
      <c r="AV899" s="139"/>
      <c r="AW899" s="139"/>
      <c r="AX899" s="139"/>
      <c r="AY899" s="139"/>
      <c r="AZ899" s="139"/>
      <c r="BA899" s="139"/>
      <c r="BB899" s="139"/>
    </row>
    <row r="900">
      <c r="A900" s="28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  <c r="AC900" s="139"/>
      <c r="AD900" s="139"/>
      <c r="AE900" s="139"/>
      <c r="AF900" s="139"/>
      <c r="AG900" s="139"/>
      <c r="AH900" s="139"/>
      <c r="AI900" s="139"/>
      <c r="AJ900" s="139"/>
      <c r="AK900" s="139"/>
      <c r="AL900" s="139"/>
      <c r="AM900" s="139"/>
      <c r="AN900" s="139"/>
      <c r="AO900" s="139"/>
      <c r="AP900" s="139"/>
      <c r="AQ900" s="139"/>
      <c r="AR900" s="139"/>
      <c r="AS900" s="139"/>
      <c r="AT900" s="139"/>
      <c r="AU900" s="139"/>
      <c r="AV900" s="139"/>
      <c r="AW900" s="139"/>
      <c r="AX900" s="139"/>
      <c r="AY900" s="139"/>
      <c r="AZ900" s="139"/>
      <c r="BA900" s="139"/>
      <c r="BB900" s="139"/>
    </row>
    <row r="901">
      <c r="A901" s="28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39"/>
      <c r="AD901" s="139"/>
      <c r="AE901" s="139"/>
      <c r="AF901" s="139"/>
      <c r="AG901" s="139"/>
      <c r="AH901" s="139"/>
      <c r="AI901" s="139"/>
      <c r="AJ901" s="139"/>
      <c r="AK901" s="139"/>
      <c r="AL901" s="139"/>
      <c r="AM901" s="139"/>
      <c r="AN901" s="139"/>
      <c r="AO901" s="139"/>
      <c r="AP901" s="139"/>
      <c r="AQ901" s="139"/>
      <c r="AR901" s="139"/>
      <c r="AS901" s="139"/>
      <c r="AT901" s="139"/>
      <c r="AU901" s="139"/>
      <c r="AV901" s="139"/>
      <c r="AW901" s="139"/>
      <c r="AX901" s="139"/>
      <c r="AY901" s="139"/>
      <c r="AZ901" s="139"/>
      <c r="BA901" s="139"/>
      <c r="BB901" s="139"/>
    </row>
    <row r="902">
      <c r="A902" s="28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  <c r="AC902" s="139"/>
      <c r="AD902" s="139"/>
      <c r="AE902" s="139"/>
      <c r="AF902" s="139"/>
      <c r="AG902" s="139"/>
      <c r="AH902" s="139"/>
      <c r="AI902" s="139"/>
      <c r="AJ902" s="139"/>
      <c r="AK902" s="139"/>
      <c r="AL902" s="139"/>
      <c r="AM902" s="139"/>
      <c r="AN902" s="139"/>
      <c r="AO902" s="139"/>
      <c r="AP902" s="139"/>
      <c r="AQ902" s="139"/>
      <c r="AR902" s="139"/>
      <c r="AS902" s="139"/>
      <c r="AT902" s="139"/>
      <c r="AU902" s="139"/>
      <c r="AV902" s="139"/>
      <c r="AW902" s="139"/>
      <c r="AX902" s="139"/>
      <c r="AY902" s="139"/>
      <c r="AZ902" s="139"/>
      <c r="BA902" s="139"/>
      <c r="BB902" s="139"/>
    </row>
    <row r="903">
      <c r="A903" s="28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39"/>
      <c r="AD903" s="139"/>
      <c r="AE903" s="139"/>
      <c r="AF903" s="139"/>
      <c r="AG903" s="139"/>
      <c r="AH903" s="139"/>
      <c r="AI903" s="139"/>
      <c r="AJ903" s="139"/>
      <c r="AK903" s="139"/>
      <c r="AL903" s="139"/>
      <c r="AM903" s="139"/>
      <c r="AN903" s="139"/>
      <c r="AO903" s="139"/>
      <c r="AP903" s="139"/>
      <c r="AQ903" s="139"/>
      <c r="AR903" s="139"/>
      <c r="AS903" s="139"/>
      <c r="AT903" s="139"/>
      <c r="AU903" s="139"/>
      <c r="AV903" s="139"/>
      <c r="AW903" s="139"/>
      <c r="AX903" s="139"/>
      <c r="AY903" s="139"/>
      <c r="AZ903" s="139"/>
      <c r="BA903" s="139"/>
      <c r="BB903" s="139"/>
    </row>
    <row r="904">
      <c r="A904" s="28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  <c r="AC904" s="139"/>
      <c r="AD904" s="139"/>
      <c r="AE904" s="139"/>
      <c r="AF904" s="139"/>
      <c r="AG904" s="139"/>
      <c r="AH904" s="139"/>
      <c r="AI904" s="139"/>
      <c r="AJ904" s="139"/>
      <c r="AK904" s="139"/>
      <c r="AL904" s="139"/>
      <c r="AM904" s="139"/>
      <c r="AN904" s="139"/>
      <c r="AO904" s="139"/>
      <c r="AP904" s="139"/>
      <c r="AQ904" s="139"/>
      <c r="AR904" s="139"/>
      <c r="AS904" s="139"/>
      <c r="AT904" s="139"/>
      <c r="AU904" s="139"/>
      <c r="AV904" s="139"/>
      <c r="AW904" s="139"/>
      <c r="AX904" s="139"/>
      <c r="AY904" s="139"/>
      <c r="AZ904" s="139"/>
      <c r="BA904" s="139"/>
      <c r="BB904" s="139"/>
    </row>
    <row r="905">
      <c r="A905" s="28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39"/>
      <c r="AD905" s="139"/>
      <c r="AE905" s="139"/>
      <c r="AF905" s="139"/>
      <c r="AG905" s="139"/>
      <c r="AH905" s="139"/>
      <c r="AI905" s="139"/>
      <c r="AJ905" s="139"/>
      <c r="AK905" s="139"/>
      <c r="AL905" s="139"/>
      <c r="AM905" s="139"/>
      <c r="AN905" s="139"/>
      <c r="AO905" s="139"/>
      <c r="AP905" s="139"/>
      <c r="AQ905" s="139"/>
      <c r="AR905" s="139"/>
      <c r="AS905" s="139"/>
      <c r="AT905" s="139"/>
      <c r="AU905" s="139"/>
      <c r="AV905" s="139"/>
      <c r="AW905" s="139"/>
      <c r="AX905" s="139"/>
      <c r="AY905" s="139"/>
      <c r="AZ905" s="139"/>
      <c r="BA905" s="139"/>
      <c r="BB905" s="139"/>
    </row>
    <row r="906">
      <c r="A906" s="28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  <c r="AC906" s="139"/>
      <c r="AD906" s="139"/>
      <c r="AE906" s="139"/>
      <c r="AF906" s="139"/>
      <c r="AG906" s="139"/>
      <c r="AH906" s="139"/>
      <c r="AI906" s="139"/>
      <c r="AJ906" s="139"/>
      <c r="AK906" s="139"/>
      <c r="AL906" s="139"/>
      <c r="AM906" s="139"/>
      <c r="AN906" s="139"/>
      <c r="AO906" s="139"/>
      <c r="AP906" s="139"/>
      <c r="AQ906" s="139"/>
      <c r="AR906" s="139"/>
      <c r="AS906" s="139"/>
      <c r="AT906" s="139"/>
      <c r="AU906" s="139"/>
      <c r="AV906" s="139"/>
      <c r="AW906" s="139"/>
      <c r="AX906" s="139"/>
      <c r="AY906" s="139"/>
      <c r="AZ906" s="139"/>
      <c r="BA906" s="139"/>
      <c r="BB906" s="139"/>
    </row>
    <row r="907">
      <c r="A907" s="28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  <c r="AC907" s="139"/>
      <c r="AD907" s="139"/>
      <c r="AE907" s="139"/>
      <c r="AF907" s="139"/>
      <c r="AG907" s="139"/>
      <c r="AH907" s="139"/>
      <c r="AI907" s="139"/>
      <c r="AJ907" s="139"/>
      <c r="AK907" s="139"/>
      <c r="AL907" s="139"/>
      <c r="AM907" s="139"/>
      <c r="AN907" s="139"/>
      <c r="AO907" s="139"/>
      <c r="AP907" s="139"/>
      <c r="AQ907" s="139"/>
      <c r="AR907" s="139"/>
      <c r="AS907" s="139"/>
      <c r="AT907" s="139"/>
      <c r="AU907" s="139"/>
      <c r="AV907" s="139"/>
      <c r="AW907" s="139"/>
      <c r="AX907" s="139"/>
      <c r="AY907" s="139"/>
      <c r="AZ907" s="139"/>
      <c r="BA907" s="139"/>
      <c r="BB907" s="139"/>
    </row>
    <row r="908">
      <c r="A908" s="28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  <c r="AC908" s="139"/>
      <c r="AD908" s="139"/>
      <c r="AE908" s="139"/>
      <c r="AF908" s="139"/>
      <c r="AG908" s="139"/>
      <c r="AH908" s="139"/>
      <c r="AI908" s="139"/>
      <c r="AJ908" s="139"/>
      <c r="AK908" s="139"/>
      <c r="AL908" s="139"/>
      <c r="AM908" s="139"/>
      <c r="AN908" s="139"/>
      <c r="AO908" s="139"/>
      <c r="AP908" s="139"/>
      <c r="AQ908" s="139"/>
      <c r="AR908" s="139"/>
      <c r="AS908" s="139"/>
      <c r="AT908" s="139"/>
      <c r="AU908" s="139"/>
      <c r="AV908" s="139"/>
      <c r="AW908" s="139"/>
      <c r="AX908" s="139"/>
      <c r="AY908" s="139"/>
      <c r="AZ908" s="139"/>
      <c r="BA908" s="139"/>
      <c r="BB908" s="139"/>
    </row>
    <row r="909">
      <c r="A909" s="28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  <c r="AC909" s="139"/>
      <c r="AD909" s="139"/>
      <c r="AE909" s="139"/>
      <c r="AF909" s="139"/>
      <c r="AG909" s="139"/>
      <c r="AH909" s="139"/>
      <c r="AI909" s="139"/>
      <c r="AJ909" s="139"/>
      <c r="AK909" s="139"/>
      <c r="AL909" s="139"/>
      <c r="AM909" s="139"/>
      <c r="AN909" s="139"/>
      <c r="AO909" s="139"/>
      <c r="AP909" s="139"/>
      <c r="AQ909" s="139"/>
      <c r="AR909" s="139"/>
      <c r="AS909" s="139"/>
      <c r="AT909" s="139"/>
      <c r="AU909" s="139"/>
      <c r="AV909" s="139"/>
      <c r="AW909" s="139"/>
      <c r="AX909" s="139"/>
      <c r="AY909" s="139"/>
      <c r="AZ909" s="139"/>
      <c r="BA909" s="139"/>
      <c r="BB909" s="139"/>
    </row>
    <row r="910">
      <c r="A910" s="28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  <c r="AC910" s="139"/>
      <c r="AD910" s="139"/>
      <c r="AE910" s="139"/>
      <c r="AF910" s="139"/>
      <c r="AG910" s="139"/>
      <c r="AH910" s="139"/>
      <c r="AI910" s="139"/>
      <c r="AJ910" s="139"/>
      <c r="AK910" s="139"/>
      <c r="AL910" s="139"/>
      <c r="AM910" s="139"/>
      <c r="AN910" s="139"/>
      <c r="AO910" s="139"/>
      <c r="AP910" s="139"/>
      <c r="AQ910" s="139"/>
      <c r="AR910" s="139"/>
      <c r="AS910" s="139"/>
      <c r="AT910" s="139"/>
      <c r="AU910" s="139"/>
      <c r="AV910" s="139"/>
      <c r="AW910" s="139"/>
      <c r="AX910" s="139"/>
      <c r="AY910" s="139"/>
      <c r="AZ910" s="139"/>
      <c r="BA910" s="139"/>
      <c r="BB910" s="139"/>
    </row>
    <row r="911">
      <c r="A911" s="28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  <c r="AC911" s="139"/>
      <c r="AD911" s="139"/>
      <c r="AE911" s="139"/>
      <c r="AF911" s="139"/>
      <c r="AG911" s="139"/>
      <c r="AH911" s="139"/>
      <c r="AI911" s="139"/>
      <c r="AJ911" s="139"/>
      <c r="AK911" s="139"/>
      <c r="AL911" s="139"/>
      <c r="AM911" s="139"/>
      <c r="AN911" s="139"/>
      <c r="AO911" s="139"/>
      <c r="AP911" s="139"/>
      <c r="AQ911" s="139"/>
      <c r="AR911" s="139"/>
      <c r="AS911" s="139"/>
      <c r="AT911" s="139"/>
      <c r="AU911" s="139"/>
      <c r="AV911" s="139"/>
      <c r="AW911" s="139"/>
      <c r="AX911" s="139"/>
      <c r="AY911" s="139"/>
      <c r="AZ911" s="139"/>
      <c r="BA911" s="139"/>
      <c r="BB911" s="139"/>
    </row>
    <row r="912">
      <c r="A912" s="28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  <c r="AC912" s="139"/>
      <c r="AD912" s="139"/>
      <c r="AE912" s="139"/>
      <c r="AF912" s="139"/>
      <c r="AG912" s="139"/>
      <c r="AH912" s="139"/>
      <c r="AI912" s="139"/>
      <c r="AJ912" s="139"/>
      <c r="AK912" s="139"/>
      <c r="AL912" s="139"/>
      <c r="AM912" s="139"/>
      <c r="AN912" s="139"/>
      <c r="AO912" s="139"/>
      <c r="AP912" s="139"/>
      <c r="AQ912" s="139"/>
      <c r="AR912" s="139"/>
      <c r="AS912" s="139"/>
      <c r="AT912" s="139"/>
      <c r="AU912" s="139"/>
      <c r="AV912" s="139"/>
      <c r="AW912" s="139"/>
      <c r="AX912" s="139"/>
      <c r="AY912" s="139"/>
      <c r="AZ912" s="139"/>
      <c r="BA912" s="139"/>
      <c r="BB912" s="139"/>
    </row>
    <row r="913">
      <c r="A913" s="28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  <c r="AC913" s="139"/>
      <c r="AD913" s="139"/>
      <c r="AE913" s="139"/>
      <c r="AF913" s="139"/>
      <c r="AG913" s="139"/>
      <c r="AH913" s="139"/>
      <c r="AI913" s="139"/>
      <c r="AJ913" s="139"/>
      <c r="AK913" s="139"/>
      <c r="AL913" s="139"/>
      <c r="AM913" s="139"/>
      <c r="AN913" s="139"/>
      <c r="AO913" s="139"/>
      <c r="AP913" s="139"/>
      <c r="AQ913" s="139"/>
      <c r="AR913" s="139"/>
      <c r="AS913" s="139"/>
      <c r="AT913" s="139"/>
      <c r="AU913" s="139"/>
      <c r="AV913" s="139"/>
      <c r="AW913" s="139"/>
      <c r="AX913" s="139"/>
      <c r="AY913" s="139"/>
      <c r="AZ913" s="139"/>
      <c r="BA913" s="139"/>
      <c r="BB913" s="139"/>
    </row>
    <row r="914">
      <c r="A914" s="28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  <c r="AC914" s="139"/>
      <c r="AD914" s="139"/>
      <c r="AE914" s="139"/>
      <c r="AF914" s="139"/>
      <c r="AG914" s="139"/>
      <c r="AH914" s="139"/>
      <c r="AI914" s="139"/>
      <c r="AJ914" s="139"/>
      <c r="AK914" s="139"/>
      <c r="AL914" s="139"/>
      <c r="AM914" s="139"/>
      <c r="AN914" s="139"/>
      <c r="AO914" s="139"/>
      <c r="AP914" s="139"/>
      <c r="AQ914" s="139"/>
      <c r="AR914" s="139"/>
      <c r="AS914" s="139"/>
      <c r="AT914" s="139"/>
      <c r="AU914" s="139"/>
      <c r="AV914" s="139"/>
      <c r="AW914" s="139"/>
      <c r="AX914" s="139"/>
      <c r="AY914" s="139"/>
      <c r="AZ914" s="139"/>
      <c r="BA914" s="139"/>
      <c r="BB914" s="139"/>
    </row>
    <row r="915">
      <c r="A915" s="28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  <c r="AC915" s="139"/>
      <c r="AD915" s="139"/>
      <c r="AE915" s="139"/>
      <c r="AF915" s="139"/>
      <c r="AG915" s="139"/>
      <c r="AH915" s="139"/>
      <c r="AI915" s="139"/>
      <c r="AJ915" s="139"/>
      <c r="AK915" s="139"/>
      <c r="AL915" s="139"/>
      <c r="AM915" s="139"/>
      <c r="AN915" s="139"/>
      <c r="AO915" s="139"/>
      <c r="AP915" s="139"/>
      <c r="AQ915" s="139"/>
      <c r="AR915" s="139"/>
      <c r="AS915" s="139"/>
      <c r="AT915" s="139"/>
      <c r="AU915" s="139"/>
      <c r="AV915" s="139"/>
      <c r="AW915" s="139"/>
      <c r="AX915" s="139"/>
      <c r="AY915" s="139"/>
      <c r="AZ915" s="139"/>
      <c r="BA915" s="139"/>
      <c r="BB915" s="139"/>
    </row>
    <row r="916">
      <c r="A916" s="28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  <c r="AC916" s="139"/>
      <c r="AD916" s="139"/>
      <c r="AE916" s="139"/>
      <c r="AF916" s="139"/>
      <c r="AG916" s="139"/>
      <c r="AH916" s="139"/>
      <c r="AI916" s="139"/>
      <c r="AJ916" s="139"/>
      <c r="AK916" s="139"/>
      <c r="AL916" s="139"/>
      <c r="AM916" s="139"/>
      <c r="AN916" s="139"/>
      <c r="AO916" s="139"/>
      <c r="AP916" s="139"/>
      <c r="AQ916" s="139"/>
      <c r="AR916" s="139"/>
      <c r="AS916" s="139"/>
      <c r="AT916" s="139"/>
      <c r="AU916" s="139"/>
      <c r="AV916" s="139"/>
      <c r="AW916" s="139"/>
      <c r="AX916" s="139"/>
      <c r="AY916" s="139"/>
      <c r="AZ916" s="139"/>
      <c r="BA916" s="139"/>
      <c r="BB916" s="139"/>
    </row>
    <row r="917">
      <c r="A917" s="28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  <c r="AC917" s="139"/>
      <c r="AD917" s="139"/>
      <c r="AE917" s="139"/>
      <c r="AF917" s="139"/>
      <c r="AG917" s="139"/>
      <c r="AH917" s="139"/>
      <c r="AI917" s="139"/>
      <c r="AJ917" s="139"/>
      <c r="AK917" s="139"/>
      <c r="AL917" s="139"/>
      <c r="AM917" s="139"/>
      <c r="AN917" s="139"/>
      <c r="AO917" s="139"/>
      <c r="AP917" s="139"/>
      <c r="AQ917" s="139"/>
      <c r="AR917" s="139"/>
      <c r="AS917" s="139"/>
      <c r="AT917" s="139"/>
      <c r="AU917" s="139"/>
      <c r="AV917" s="139"/>
      <c r="AW917" s="139"/>
      <c r="AX917" s="139"/>
      <c r="AY917" s="139"/>
      <c r="AZ917" s="139"/>
      <c r="BA917" s="139"/>
      <c r="BB917" s="139"/>
    </row>
    <row r="918">
      <c r="A918" s="28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  <c r="AC918" s="139"/>
      <c r="AD918" s="139"/>
      <c r="AE918" s="139"/>
      <c r="AF918" s="139"/>
      <c r="AG918" s="139"/>
      <c r="AH918" s="139"/>
      <c r="AI918" s="139"/>
      <c r="AJ918" s="139"/>
      <c r="AK918" s="139"/>
      <c r="AL918" s="139"/>
      <c r="AM918" s="139"/>
      <c r="AN918" s="139"/>
      <c r="AO918" s="139"/>
      <c r="AP918" s="139"/>
      <c r="AQ918" s="139"/>
      <c r="AR918" s="139"/>
      <c r="AS918" s="139"/>
      <c r="AT918" s="139"/>
      <c r="AU918" s="139"/>
      <c r="AV918" s="139"/>
      <c r="AW918" s="139"/>
      <c r="AX918" s="139"/>
      <c r="AY918" s="139"/>
      <c r="AZ918" s="139"/>
      <c r="BA918" s="139"/>
      <c r="BB918" s="139"/>
    </row>
    <row r="919">
      <c r="A919" s="28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  <c r="AC919" s="139"/>
      <c r="AD919" s="139"/>
      <c r="AE919" s="139"/>
      <c r="AF919" s="139"/>
      <c r="AG919" s="139"/>
      <c r="AH919" s="139"/>
      <c r="AI919" s="139"/>
      <c r="AJ919" s="139"/>
      <c r="AK919" s="139"/>
      <c r="AL919" s="139"/>
      <c r="AM919" s="139"/>
      <c r="AN919" s="139"/>
      <c r="AO919" s="139"/>
      <c r="AP919" s="139"/>
      <c r="AQ919" s="139"/>
      <c r="AR919" s="139"/>
      <c r="AS919" s="139"/>
      <c r="AT919" s="139"/>
      <c r="AU919" s="139"/>
      <c r="AV919" s="139"/>
      <c r="AW919" s="139"/>
      <c r="AX919" s="139"/>
      <c r="AY919" s="139"/>
      <c r="AZ919" s="139"/>
      <c r="BA919" s="139"/>
      <c r="BB919" s="139"/>
    </row>
    <row r="920">
      <c r="A920" s="28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  <c r="AC920" s="139"/>
      <c r="AD920" s="139"/>
      <c r="AE920" s="139"/>
      <c r="AF920" s="139"/>
      <c r="AG920" s="139"/>
      <c r="AH920" s="139"/>
      <c r="AI920" s="139"/>
      <c r="AJ920" s="139"/>
      <c r="AK920" s="139"/>
      <c r="AL920" s="139"/>
      <c r="AM920" s="139"/>
      <c r="AN920" s="139"/>
      <c r="AO920" s="139"/>
      <c r="AP920" s="139"/>
      <c r="AQ920" s="139"/>
      <c r="AR920" s="139"/>
      <c r="AS920" s="139"/>
      <c r="AT920" s="139"/>
      <c r="AU920" s="139"/>
      <c r="AV920" s="139"/>
      <c r="AW920" s="139"/>
      <c r="AX920" s="139"/>
      <c r="AY920" s="139"/>
      <c r="AZ920" s="139"/>
      <c r="BA920" s="139"/>
      <c r="BB920" s="139"/>
    </row>
    <row r="921">
      <c r="A921" s="28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  <c r="AC921" s="139"/>
      <c r="AD921" s="139"/>
      <c r="AE921" s="139"/>
      <c r="AF921" s="139"/>
      <c r="AG921" s="139"/>
      <c r="AH921" s="139"/>
      <c r="AI921" s="139"/>
      <c r="AJ921" s="139"/>
      <c r="AK921" s="139"/>
      <c r="AL921" s="139"/>
      <c r="AM921" s="139"/>
      <c r="AN921" s="139"/>
      <c r="AO921" s="139"/>
      <c r="AP921" s="139"/>
      <c r="AQ921" s="139"/>
      <c r="AR921" s="139"/>
      <c r="AS921" s="139"/>
      <c r="AT921" s="139"/>
      <c r="AU921" s="139"/>
      <c r="AV921" s="139"/>
      <c r="AW921" s="139"/>
      <c r="AX921" s="139"/>
      <c r="AY921" s="139"/>
      <c r="AZ921" s="139"/>
      <c r="BA921" s="139"/>
      <c r="BB921" s="139"/>
    </row>
    <row r="922">
      <c r="A922" s="28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  <c r="AC922" s="139"/>
      <c r="AD922" s="139"/>
      <c r="AE922" s="139"/>
      <c r="AF922" s="139"/>
      <c r="AG922" s="139"/>
      <c r="AH922" s="139"/>
      <c r="AI922" s="139"/>
      <c r="AJ922" s="139"/>
      <c r="AK922" s="139"/>
      <c r="AL922" s="139"/>
      <c r="AM922" s="139"/>
      <c r="AN922" s="139"/>
      <c r="AO922" s="139"/>
      <c r="AP922" s="139"/>
      <c r="AQ922" s="139"/>
      <c r="AR922" s="139"/>
      <c r="AS922" s="139"/>
      <c r="AT922" s="139"/>
      <c r="AU922" s="139"/>
      <c r="AV922" s="139"/>
      <c r="AW922" s="139"/>
      <c r="AX922" s="139"/>
      <c r="AY922" s="139"/>
      <c r="AZ922" s="139"/>
      <c r="BA922" s="139"/>
      <c r="BB922" s="139"/>
    </row>
    <row r="923">
      <c r="A923" s="28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  <c r="AC923" s="139"/>
      <c r="AD923" s="139"/>
      <c r="AE923" s="139"/>
      <c r="AF923" s="139"/>
      <c r="AG923" s="139"/>
      <c r="AH923" s="139"/>
      <c r="AI923" s="139"/>
      <c r="AJ923" s="139"/>
      <c r="AK923" s="139"/>
      <c r="AL923" s="139"/>
      <c r="AM923" s="139"/>
      <c r="AN923" s="139"/>
      <c r="AO923" s="139"/>
      <c r="AP923" s="139"/>
      <c r="AQ923" s="139"/>
      <c r="AR923" s="139"/>
      <c r="AS923" s="139"/>
      <c r="AT923" s="139"/>
      <c r="AU923" s="139"/>
      <c r="AV923" s="139"/>
      <c r="AW923" s="139"/>
      <c r="AX923" s="139"/>
      <c r="AY923" s="139"/>
      <c r="AZ923" s="139"/>
      <c r="BA923" s="139"/>
      <c r="BB923" s="139"/>
    </row>
    <row r="924">
      <c r="A924" s="28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  <c r="AC924" s="139"/>
      <c r="AD924" s="139"/>
      <c r="AE924" s="139"/>
      <c r="AF924" s="139"/>
      <c r="AG924" s="139"/>
      <c r="AH924" s="139"/>
      <c r="AI924" s="139"/>
      <c r="AJ924" s="139"/>
      <c r="AK924" s="139"/>
      <c r="AL924" s="139"/>
      <c r="AM924" s="139"/>
      <c r="AN924" s="139"/>
      <c r="AO924" s="139"/>
      <c r="AP924" s="139"/>
      <c r="AQ924" s="139"/>
      <c r="AR924" s="139"/>
      <c r="AS924" s="139"/>
      <c r="AT924" s="139"/>
      <c r="AU924" s="139"/>
      <c r="AV924" s="139"/>
      <c r="AW924" s="139"/>
      <c r="AX924" s="139"/>
      <c r="AY924" s="139"/>
      <c r="AZ924" s="139"/>
      <c r="BA924" s="139"/>
      <c r="BB924" s="139"/>
    </row>
    <row r="925">
      <c r="A925" s="28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  <c r="AC925" s="139"/>
      <c r="AD925" s="139"/>
      <c r="AE925" s="139"/>
      <c r="AF925" s="139"/>
      <c r="AG925" s="139"/>
      <c r="AH925" s="139"/>
      <c r="AI925" s="139"/>
      <c r="AJ925" s="139"/>
      <c r="AK925" s="139"/>
      <c r="AL925" s="139"/>
      <c r="AM925" s="139"/>
      <c r="AN925" s="139"/>
      <c r="AO925" s="139"/>
      <c r="AP925" s="139"/>
      <c r="AQ925" s="139"/>
      <c r="AR925" s="139"/>
      <c r="AS925" s="139"/>
      <c r="AT925" s="139"/>
      <c r="AU925" s="139"/>
      <c r="AV925" s="139"/>
      <c r="AW925" s="139"/>
      <c r="AX925" s="139"/>
      <c r="AY925" s="139"/>
      <c r="AZ925" s="139"/>
      <c r="BA925" s="139"/>
      <c r="BB925" s="139"/>
    </row>
    <row r="926">
      <c r="A926" s="28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  <c r="AC926" s="139"/>
      <c r="AD926" s="139"/>
      <c r="AE926" s="139"/>
      <c r="AF926" s="139"/>
      <c r="AG926" s="139"/>
      <c r="AH926" s="139"/>
      <c r="AI926" s="139"/>
      <c r="AJ926" s="139"/>
      <c r="AK926" s="139"/>
      <c r="AL926" s="139"/>
      <c r="AM926" s="139"/>
      <c r="AN926" s="139"/>
      <c r="AO926" s="139"/>
      <c r="AP926" s="139"/>
      <c r="AQ926" s="139"/>
      <c r="AR926" s="139"/>
      <c r="AS926" s="139"/>
      <c r="AT926" s="139"/>
      <c r="AU926" s="139"/>
      <c r="AV926" s="139"/>
      <c r="AW926" s="139"/>
      <c r="AX926" s="139"/>
      <c r="AY926" s="139"/>
      <c r="AZ926" s="139"/>
      <c r="BA926" s="139"/>
      <c r="BB926" s="139"/>
    </row>
    <row r="927">
      <c r="A927" s="28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  <c r="AC927" s="139"/>
      <c r="AD927" s="139"/>
      <c r="AE927" s="139"/>
      <c r="AF927" s="139"/>
      <c r="AG927" s="139"/>
      <c r="AH927" s="139"/>
      <c r="AI927" s="139"/>
      <c r="AJ927" s="139"/>
      <c r="AK927" s="139"/>
      <c r="AL927" s="139"/>
      <c r="AM927" s="139"/>
      <c r="AN927" s="139"/>
      <c r="AO927" s="139"/>
      <c r="AP927" s="139"/>
      <c r="AQ927" s="139"/>
      <c r="AR927" s="139"/>
      <c r="AS927" s="139"/>
      <c r="AT927" s="139"/>
      <c r="AU927" s="139"/>
      <c r="AV927" s="139"/>
      <c r="AW927" s="139"/>
      <c r="AX927" s="139"/>
      <c r="AY927" s="139"/>
      <c r="AZ927" s="139"/>
      <c r="BA927" s="139"/>
      <c r="BB927" s="139"/>
    </row>
    <row r="928">
      <c r="A928" s="28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  <c r="AC928" s="139"/>
      <c r="AD928" s="139"/>
      <c r="AE928" s="139"/>
      <c r="AF928" s="139"/>
      <c r="AG928" s="139"/>
      <c r="AH928" s="139"/>
      <c r="AI928" s="139"/>
      <c r="AJ928" s="139"/>
      <c r="AK928" s="139"/>
      <c r="AL928" s="139"/>
      <c r="AM928" s="139"/>
      <c r="AN928" s="139"/>
      <c r="AO928" s="139"/>
      <c r="AP928" s="139"/>
      <c r="AQ928" s="139"/>
      <c r="AR928" s="139"/>
      <c r="AS928" s="139"/>
      <c r="AT928" s="139"/>
      <c r="AU928" s="139"/>
      <c r="AV928" s="139"/>
      <c r="AW928" s="139"/>
      <c r="AX928" s="139"/>
      <c r="AY928" s="139"/>
      <c r="AZ928" s="139"/>
      <c r="BA928" s="139"/>
      <c r="BB928" s="139"/>
    </row>
    <row r="929">
      <c r="A929" s="28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  <c r="AC929" s="139"/>
      <c r="AD929" s="139"/>
      <c r="AE929" s="139"/>
      <c r="AF929" s="139"/>
      <c r="AG929" s="139"/>
      <c r="AH929" s="139"/>
      <c r="AI929" s="139"/>
      <c r="AJ929" s="139"/>
      <c r="AK929" s="139"/>
      <c r="AL929" s="139"/>
      <c r="AM929" s="139"/>
      <c r="AN929" s="139"/>
      <c r="AO929" s="139"/>
      <c r="AP929" s="139"/>
      <c r="AQ929" s="139"/>
      <c r="AR929" s="139"/>
      <c r="AS929" s="139"/>
      <c r="AT929" s="139"/>
      <c r="AU929" s="139"/>
      <c r="AV929" s="139"/>
      <c r="AW929" s="139"/>
      <c r="AX929" s="139"/>
      <c r="AY929" s="139"/>
      <c r="AZ929" s="139"/>
      <c r="BA929" s="139"/>
      <c r="BB929" s="139"/>
    </row>
    <row r="930">
      <c r="A930" s="28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  <c r="AC930" s="139"/>
      <c r="AD930" s="139"/>
      <c r="AE930" s="139"/>
      <c r="AF930" s="139"/>
      <c r="AG930" s="139"/>
      <c r="AH930" s="139"/>
      <c r="AI930" s="139"/>
      <c r="AJ930" s="139"/>
      <c r="AK930" s="139"/>
      <c r="AL930" s="139"/>
      <c r="AM930" s="139"/>
      <c r="AN930" s="139"/>
      <c r="AO930" s="139"/>
      <c r="AP930" s="139"/>
      <c r="AQ930" s="139"/>
      <c r="AR930" s="139"/>
      <c r="AS930" s="139"/>
      <c r="AT930" s="139"/>
      <c r="AU930" s="139"/>
      <c r="AV930" s="139"/>
      <c r="AW930" s="139"/>
      <c r="AX930" s="139"/>
      <c r="AY930" s="139"/>
      <c r="AZ930" s="139"/>
      <c r="BA930" s="139"/>
      <c r="BB930" s="139"/>
    </row>
    <row r="931">
      <c r="A931" s="28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  <c r="AC931" s="139"/>
      <c r="AD931" s="139"/>
      <c r="AE931" s="139"/>
      <c r="AF931" s="139"/>
      <c r="AG931" s="139"/>
      <c r="AH931" s="139"/>
      <c r="AI931" s="139"/>
      <c r="AJ931" s="139"/>
      <c r="AK931" s="139"/>
      <c r="AL931" s="139"/>
      <c r="AM931" s="139"/>
      <c r="AN931" s="139"/>
      <c r="AO931" s="139"/>
      <c r="AP931" s="139"/>
      <c r="AQ931" s="139"/>
      <c r="AR931" s="139"/>
      <c r="AS931" s="139"/>
      <c r="AT931" s="139"/>
      <c r="AU931" s="139"/>
      <c r="AV931" s="139"/>
      <c r="AW931" s="139"/>
      <c r="AX931" s="139"/>
      <c r="AY931" s="139"/>
      <c r="AZ931" s="139"/>
      <c r="BA931" s="139"/>
      <c r="BB931" s="139"/>
    </row>
    <row r="932">
      <c r="A932" s="28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  <c r="AC932" s="139"/>
      <c r="AD932" s="139"/>
      <c r="AE932" s="139"/>
      <c r="AF932" s="139"/>
      <c r="AG932" s="139"/>
      <c r="AH932" s="139"/>
      <c r="AI932" s="139"/>
      <c r="AJ932" s="139"/>
      <c r="AK932" s="139"/>
      <c r="AL932" s="139"/>
      <c r="AM932" s="139"/>
      <c r="AN932" s="139"/>
      <c r="AO932" s="139"/>
      <c r="AP932" s="139"/>
      <c r="AQ932" s="139"/>
      <c r="AR932" s="139"/>
      <c r="AS932" s="139"/>
      <c r="AT932" s="139"/>
      <c r="AU932" s="139"/>
      <c r="AV932" s="139"/>
      <c r="AW932" s="139"/>
      <c r="AX932" s="139"/>
      <c r="AY932" s="139"/>
      <c r="AZ932" s="139"/>
      <c r="BA932" s="139"/>
      <c r="BB932" s="139"/>
    </row>
    <row r="933">
      <c r="A933" s="28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  <c r="AC933" s="139"/>
      <c r="AD933" s="139"/>
      <c r="AE933" s="139"/>
      <c r="AF933" s="139"/>
      <c r="AG933" s="139"/>
      <c r="AH933" s="139"/>
      <c r="AI933" s="139"/>
      <c r="AJ933" s="139"/>
      <c r="AK933" s="139"/>
      <c r="AL933" s="139"/>
      <c r="AM933" s="139"/>
      <c r="AN933" s="139"/>
      <c r="AO933" s="139"/>
      <c r="AP933" s="139"/>
      <c r="AQ933" s="139"/>
      <c r="AR933" s="139"/>
      <c r="AS933" s="139"/>
      <c r="AT933" s="139"/>
      <c r="AU933" s="139"/>
      <c r="AV933" s="139"/>
      <c r="AW933" s="139"/>
      <c r="AX933" s="139"/>
      <c r="AY933" s="139"/>
      <c r="AZ933" s="139"/>
      <c r="BA933" s="139"/>
      <c r="BB933" s="139"/>
    </row>
    <row r="934">
      <c r="A934" s="28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  <c r="AC934" s="139"/>
      <c r="AD934" s="139"/>
      <c r="AE934" s="139"/>
      <c r="AF934" s="139"/>
      <c r="AG934" s="139"/>
      <c r="AH934" s="139"/>
      <c r="AI934" s="139"/>
      <c r="AJ934" s="139"/>
      <c r="AK934" s="139"/>
      <c r="AL934" s="139"/>
      <c r="AM934" s="139"/>
      <c r="AN934" s="139"/>
      <c r="AO934" s="139"/>
      <c r="AP934" s="139"/>
      <c r="AQ934" s="139"/>
      <c r="AR934" s="139"/>
      <c r="AS934" s="139"/>
      <c r="AT934" s="139"/>
      <c r="AU934" s="139"/>
      <c r="AV934" s="139"/>
      <c r="AW934" s="139"/>
      <c r="AX934" s="139"/>
      <c r="AY934" s="139"/>
      <c r="AZ934" s="139"/>
      <c r="BA934" s="139"/>
      <c r="BB934" s="139"/>
    </row>
    <row r="935">
      <c r="A935" s="28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  <c r="AC935" s="139"/>
      <c r="AD935" s="139"/>
      <c r="AE935" s="139"/>
      <c r="AF935" s="139"/>
      <c r="AG935" s="139"/>
      <c r="AH935" s="139"/>
      <c r="AI935" s="139"/>
      <c r="AJ935" s="139"/>
      <c r="AK935" s="139"/>
      <c r="AL935" s="139"/>
      <c r="AM935" s="139"/>
      <c r="AN935" s="139"/>
      <c r="AO935" s="139"/>
      <c r="AP935" s="139"/>
      <c r="AQ935" s="139"/>
      <c r="AR935" s="139"/>
      <c r="AS935" s="139"/>
      <c r="AT935" s="139"/>
      <c r="AU935" s="139"/>
      <c r="AV935" s="139"/>
      <c r="AW935" s="139"/>
      <c r="AX935" s="139"/>
      <c r="AY935" s="139"/>
      <c r="AZ935" s="139"/>
      <c r="BA935" s="139"/>
      <c r="BB935" s="139"/>
    </row>
    <row r="936">
      <c r="A936" s="28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  <c r="AC936" s="139"/>
      <c r="AD936" s="139"/>
      <c r="AE936" s="139"/>
      <c r="AF936" s="139"/>
      <c r="AG936" s="139"/>
      <c r="AH936" s="139"/>
      <c r="AI936" s="139"/>
      <c r="AJ936" s="139"/>
      <c r="AK936" s="139"/>
      <c r="AL936" s="139"/>
      <c r="AM936" s="139"/>
      <c r="AN936" s="139"/>
      <c r="AO936" s="139"/>
      <c r="AP936" s="139"/>
      <c r="AQ936" s="139"/>
      <c r="AR936" s="139"/>
      <c r="AS936" s="139"/>
      <c r="AT936" s="139"/>
      <c r="AU936" s="139"/>
      <c r="AV936" s="139"/>
      <c r="AW936" s="139"/>
      <c r="AX936" s="139"/>
      <c r="AY936" s="139"/>
      <c r="AZ936" s="139"/>
      <c r="BA936" s="139"/>
      <c r="BB936" s="139"/>
    </row>
    <row r="937">
      <c r="A937" s="28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  <c r="AC937" s="139"/>
      <c r="AD937" s="139"/>
      <c r="AE937" s="139"/>
      <c r="AF937" s="139"/>
      <c r="AG937" s="139"/>
      <c r="AH937" s="139"/>
      <c r="AI937" s="139"/>
      <c r="AJ937" s="139"/>
      <c r="AK937" s="139"/>
      <c r="AL937" s="139"/>
      <c r="AM937" s="139"/>
      <c r="AN937" s="139"/>
      <c r="AO937" s="139"/>
      <c r="AP937" s="139"/>
      <c r="AQ937" s="139"/>
      <c r="AR937" s="139"/>
      <c r="AS937" s="139"/>
      <c r="AT937" s="139"/>
      <c r="AU937" s="139"/>
      <c r="AV937" s="139"/>
      <c r="AW937" s="139"/>
      <c r="AX937" s="139"/>
      <c r="AY937" s="139"/>
      <c r="AZ937" s="139"/>
      <c r="BA937" s="139"/>
      <c r="BB937" s="139"/>
    </row>
    <row r="938">
      <c r="A938" s="28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  <c r="AC938" s="139"/>
      <c r="AD938" s="139"/>
      <c r="AE938" s="139"/>
      <c r="AF938" s="139"/>
      <c r="AG938" s="139"/>
      <c r="AH938" s="139"/>
      <c r="AI938" s="139"/>
      <c r="AJ938" s="139"/>
      <c r="AK938" s="139"/>
      <c r="AL938" s="139"/>
      <c r="AM938" s="139"/>
      <c r="AN938" s="139"/>
      <c r="AO938" s="139"/>
      <c r="AP938" s="139"/>
      <c r="AQ938" s="139"/>
      <c r="AR938" s="139"/>
      <c r="AS938" s="139"/>
      <c r="AT938" s="139"/>
      <c r="AU938" s="139"/>
      <c r="AV938" s="139"/>
      <c r="AW938" s="139"/>
      <c r="AX938" s="139"/>
      <c r="AY938" s="139"/>
      <c r="AZ938" s="139"/>
      <c r="BA938" s="139"/>
      <c r="BB938" s="139"/>
    </row>
    <row r="939">
      <c r="A939" s="28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  <c r="AC939" s="139"/>
      <c r="AD939" s="139"/>
      <c r="AE939" s="139"/>
      <c r="AF939" s="139"/>
      <c r="AG939" s="139"/>
      <c r="AH939" s="139"/>
      <c r="AI939" s="139"/>
      <c r="AJ939" s="139"/>
      <c r="AK939" s="139"/>
      <c r="AL939" s="139"/>
      <c r="AM939" s="139"/>
      <c r="AN939" s="139"/>
      <c r="AO939" s="139"/>
      <c r="AP939" s="139"/>
      <c r="AQ939" s="139"/>
      <c r="AR939" s="139"/>
      <c r="AS939" s="139"/>
      <c r="AT939" s="139"/>
      <c r="AU939" s="139"/>
      <c r="AV939" s="139"/>
      <c r="AW939" s="139"/>
      <c r="AX939" s="139"/>
      <c r="AY939" s="139"/>
      <c r="AZ939" s="139"/>
      <c r="BA939" s="139"/>
      <c r="BB939" s="139"/>
    </row>
    <row r="940">
      <c r="A940" s="28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  <c r="AC940" s="139"/>
      <c r="AD940" s="139"/>
      <c r="AE940" s="139"/>
      <c r="AF940" s="139"/>
      <c r="AG940" s="139"/>
      <c r="AH940" s="139"/>
      <c r="AI940" s="139"/>
      <c r="AJ940" s="139"/>
      <c r="AK940" s="139"/>
      <c r="AL940" s="139"/>
      <c r="AM940" s="139"/>
      <c r="AN940" s="139"/>
      <c r="AO940" s="139"/>
      <c r="AP940" s="139"/>
      <c r="AQ940" s="139"/>
      <c r="AR940" s="139"/>
      <c r="AS940" s="139"/>
      <c r="AT940" s="139"/>
      <c r="AU940" s="139"/>
      <c r="AV940" s="139"/>
      <c r="AW940" s="139"/>
      <c r="AX940" s="139"/>
      <c r="AY940" s="139"/>
      <c r="AZ940" s="139"/>
      <c r="BA940" s="139"/>
      <c r="BB940" s="139"/>
    </row>
    <row r="941">
      <c r="A941" s="28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  <c r="AC941" s="139"/>
      <c r="AD941" s="139"/>
      <c r="AE941" s="139"/>
      <c r="AF941" s="139"/>
      <c r="AG941" s="139"/>
      <c r="AH941" s="139"/>
      <c r="AI941" s="139"/>
      <c r="AJ941" s="139"/>
      <c r="AK941" s="139"/>
      <c r="AL941" s="139"/>
      <c r="AM941" s="139"/>
      <c r="AN941" s="139"/>
      <c r="AO941" s="139"/>
      <c r="AP941" s="139"/>
      <c r="AQ941" s="139"/>
      <c r="AR941" s="139"/>
      <c r="AS941" s="139"/>
      <c r="AT941" s="139"/>
      <c r="AU941" s="139"/>
      <c r="AV941" s="139"/>
      <c r="AW941" s="139"/>
      <c r="AX941" s="139"/>
      <c r="AY941" s="139"/>
      <c r="AZ941" s="139"/>
      <c r="BA941" s="139"/>
      <c r="BB941" s="139"/>
    </row>
    <row r="942">
      <c r="A942" s="28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  <c r="AC942" s="139"/>
      <c r="AD942" s="139"/>
      <c r="AE942" s="139"/>
      <c r="AF942" s="139"/>
      <c r="AG942" s="139"/>
      <c r="AH942" s="139"/>
      <c r="AI942" s="139"/>
      <c r="AJ942" s="139"/>
      <c r="AK942" s="139"/>
      <c r="AL942" s="139"/>
      <c r="AM942" s="139"/>
      <c r="AN942" s="139"/>
      <c r="AO942" s="139"/>
      <c r="AP942" s="139"/>
      <c r="AQ942" s="139"/>
      <c r="AR942" s="139"/>
      <c r="AS942" s="139"/>
      <c r="AT942" s="139"/>
      <c r="AU942" s="139"/>
      <c r="AV942" s="139"/>
      <c r="AW942" s="139"/>
      <c r="AX942" s="139"/>
      <c r="AY942" s="139"/>
      <c r="AZ942" s="139"/>
      <c r="BA942" s="139"/>
      <c r="BB942" s="139"/>
    </row>
    <row r="943">
      <c r="A943" s="28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  <c r="AC943" s="139"/>
      <c r="AD943" s="139"/>
      <c r="AE943" s="139"/>
      <c r="AF943" s="139"/>
      <c r="AG943" s="139"/>
      <c r="AH943" s="139"/>
      <c r="AI943" s="139"/>
      <c r="AJ943" s="139"/>
      <c r="AK943" s="139"/>
      <c r="AL943" s="139"/>
      <c r="AM943" s="139"/>
      <c r="AN943" s="139"/>
      <c r="AO943" s="139"/>
      <c r="AP943" s="139"/>
      <c r="AQ943" s="139"/>
      <c r="AR943" s="139"/>
      <c r="AS943" s="139"/>
      <c r="AT943" s="139"/>
      <c r="AU943" s="139"/>
      <c r="AV943" s="139"/>
      <c r="AW943" s="139"/>
      <c r="AX943" s="139"/>
      <c r="AY943" s="139"/>
      <c r="AZ943" s="139"/>
      <c r="BA943" s="139"/>
      <c r="BB943" s="139"/>
    </row>
    <row r="944">
      <c r="A944" s="28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  <c r="AC944" s="139"/>
      <c r="AD944" s="139"/>
      <c r="AE944" s="139"/>
      <c r="AF944" s="139"/>
      <c r="AG944" s="139"/>
      <c r="AH944" s="139"/>
      <c r="AI944" s="139"/>
      <c r="AJ944" s="139"/>
      <c r="AK944" s="139"/>
      <c r="AL944" s="139"/>
      <c r="AM944" s="139"/>
      <c r="AN944" s="139"/>
      <c r="AO944" s="139"/>
      <c r="AP944" s="139"/>
      <c r="AQ944" s="139"/>
      <c r="AR944" s="139"/>
      <c r="AS944" s="139"/>
      <c r="AT944" s="139"/>
      <c r="AU944" s="139"/>
      <c r="AV944" s="139"/>
      <c r="AW944" s="139"/>
      <c r="AX944" s="139"/>
      <c r="AY944" s="139"/>
      <c r="AZ944" s="139"/>
      <c r="BA944" s="139"/>
      <c r="BB944" s="139"/>
    </row>
    <row r="945">
      <c r="A945" s="28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  <c r="AC945" s="139"/>
      <c r="AD945" s="139"/>
      <c r="AE945" s="139"/>
      <c r="AF945" s="139"/>
      <c r="AG945" s="139"/>
      <c r="AH945" s="139"/>
      <c r="AI945" s="139"/>
      <c r="AJ945" s="139"/>
      <c r="AK945" s="139"/>
      <c r="AL945" s="139"/>
      <c r="AM945" s="139"/>
      <c r="AN945" s="139"/>
      <c r="AO945" s="139"/>
      <c r="AP945" s="139"/>
      <c r="AQ945" s="139"/>
      <c r="AR945" s="139"/>
      <c r="AS945" s="139"/>
      <c r="AT945" s="139"/>
      <c r="AU945" s="139"/>
      <c r="AV945" s="139"/>
      <c r="AW945" s="139"/>
      <c r="AX945" s="139"/>
      <c r="AY945" s="139"/>
      <c r="AZ945" s="139"/>
      <c r="BA945" s="139"/>
      <c r="BB945" s="139"/>
    </row>
    <row r="946">
      <c r="A946" s="28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  <c r="AC946" s="139"/>
      <c r="AD946" s="139"/>
      <c r="AE946" s="139"/>
      <c r="AF946" s="139"/>
      <c r="AG946" s="139"/>
      <c r="AH946" s="139"/>
      <c r="AI946" s="139"/>
      <c r="AJ946" s="139"/>
      <c r="AK946" s="139"/>
      <c r="AL946" s="139"/>
      <c r="AM946" s="139"/>
      <c r="AN946" s="139"/>
      <c r="AO946" s="139"/>
      <c r="AP946" s="139"/>
      <c r="AQ946" s="139"/>
      <c r="AR946" s="139"/>
      <c r="AS946" s="139"/>
      <c r="AT946" s="139"/>
      <c r="AU946" s="139"/>
      <c r="AV946" s="139"/>
      <c r="AW946" s="139"/>
      <c r="AX946" s="139"/>
      <c r="AY946" s="139"/>
      <c r="AZ946" s="139"/>
      <c r="BA946" s="139"/>
      <c r="BB946" s="139"/>
    </row>
    <row r="947">
      <c r="A947" s="28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  <c r="AC947" s="139"/>
      <c r="AD947" s="139"/>
      <c r="AE947" s="139"/>
      <c r="AF947" s="139"/>
      <c r="AG947" s="139"/>
      <c r="AH947" s="139"/>
      <c r="AI947" s="139"/>
      <c r="AJ947" s="139"/>
      <c r="AK947" s="139"/>
      <c r="AL947" s="139"/>
      <c r="AM947" s="139"/>
      <c r="AN947" s="139"/>
      <c r="AO947" s="139"/>
      <c r="AP947" s="139"/>
      <c r="AQ947" s="139"/>
      <c r="AR947" s="139"/>
      <c r="AS947" s="139"/>
      <c r="AT947" s="139"/>
      <c r="AU947" s="139"/>
      <c r="AV947" s="139"/>
      <c r="AW947" s="139"/>
      <c r="AX947" s="139"/>
      <c r="AY947" s="139"/>
      <c r="AZ947" s="139"/>
      <c r="BA947" s="139"/>
      <c r="BB947" s="139"/>
    </row>
    <row r="948">
      <c r="A948" s="28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  <c r="AC948" s="139"/>
      <c r="AD948" s="139"/>
      <c r="AE948" s="139"/>
      <c r="AF948" s="139"/>
      <c r="AG948" s="139"/>
      <c r="AH948" s="139"/>
      <c r="AI948" s="139"/>
      <c r="AJ948" s="139"/>
      <c r="AK948" s="139"/>
      <c r="AL948" s="139"/>
      <c r="AM948" s="139"/>
      <c r="AN948" s="139"/>
      <c r="AO948" s="139"/>
      <c r="AP948" s="139"/>
      <c r="AQ948" s="139"/>
      <c r="AR948" s="139"/>
      <c r="AS948" s="139"/>
      <c r="AT948" s="139"/>
      <c r="AU948" s="139"/>
      <c r="AV948" s="139"/>
      <c r="AW948" s="139"/>
      <c r="AX948" s="139"/>
      <c r="AY948" s="139"/>
      <c r="AZ948" s="139"/>
      <c r="BA948" s="139"/>
      <c r="BB948" s="139"/>
    </row>
    <row r="949">
      <c r="A949" s="28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  <c r="AC949" s="139"/>
      <c r="AD949" s="139"/>
      <c r="AE949" s="139"/>
      <c r="AF949" s="139"/>
      <c r="AG949" s="139"/>
      <c r="AH949" s="139"/>
      <c r="AI949" s="139"/>
      <c r="AJ949" s="139"/>
      <c r="AK949" s="139"/>
      <c r="AL949" s="139"/>
      <c r="AM949" s="139"/>
      <c r="AN949" s="139"/>
      <c r="AO949" s="139"/>
      <c r="AP949" s="139"/>
      <c r="AQ949" s="139"/>
      <c r="AR949" s="139"/>
      <c r="AS949" s="139"/>
      <c r="AT949" s="139"/>
      <c r="AU949" s="139"/>
      <c r="AV949" s="139"/>
      <c r="AW949" s="139"/>
      <c r="AX949" s="139"/>
      <c r="AY949" s="139"/>
      <c r="AZ949" s="139"/>
      <c r="BA949" s="139"/>
      <c r="BB949" s="139"/>
    </row>
    <row r="950">
      <c r="A950" s="28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  <c r="AC950" s="139"/>
      <c r="AD950" s="139"/>
      <c r="AE950" s="139"/>
      <c r="AF950" s="139"/>
      <c r="AG950" s="139"/>
      <c r="AH950" s="139"/>
      <c r="AI950" s="139"/>
      <c r="AJ950" s="139"/>
      <c r="AK950" s="139"/>
      <c r="AL950" s="139"/>
      <c r="AM950" s="139"/>
      <c r="AN950" s="139"/>
      <c r="AO950" s="139"/>
      <c r="AP950" s="139"/>
      <c r="AQ950" s="139"/>
      <c r="AR950" s="139"/>
      <c r="AS950" s="139"/>
      <c r="AT950" s="139"/>
      <c r="AU950" s="139"/>
      <c r="AV950" s="139"/>
      <c r="AW950" s="139"/>
      <c r="AX950" s="139"/>
      <c r="AY950" s="139"/>
      <c r="AZ950" s="139"/>
      <c r="BA950" s="139"/>
      <c r="BB950" s="139"/>
    </row>
    <row r="951">
      <c r="A951" s="28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  <c r="AC951" s="139"/>
      <c r="AD951" s="139"/>
      <c r="AE951" s="139"/>
      <c r="AF951" s="139"/>
      <c r="AG951" s="139"/>
      <c r="AH951" s="139"/>
      <c r="AI951" s="139"/>
      <c r="AJ951" s="139"/>
      <c r="AK951" s="139"/>
      <c r="AL951" s="139"/>
      <c r="AM951" s="139"/>
      <c r="AN951" s="139"/>
      <c r="AO951" s="139"/>
      <c r="AP951" s="139"/>
      <c r="AQ951" s="139"/>
      <c r="AR951" s="139"/>
      <c r="AS951" s="139"/>
      <c r="AT951" s="139"/>
      <c r="AU951" s="139"/>
      <c r="AV951" s="139"/>
      <c r="AW951" s="139"/>
      <c r="AX951" s="139"/>
      <c r="AY951" s="139"/>
      <c r="AZ951" s="139"/>
      <c r="BA951" s="139"/>
      <c r="BB951" s="139"/>
    </row>
    <row r="952">
      <c r="A952" s="28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  <c r="AC952" s="139"/>
      <c r="AD952" s="139"/>
      <c r="AE952" s="139"/>
      <c r="AF952" s="139"/>
      <c r="AG952" s="139"/>
      <c r="AH952" s="139"/>
      <c r="AI952" s="139"/>
      <c r="AJ952" s="139"/>
      <c r="AK952" s="139"/>
      <c r="AL952" s="139"/>
      <c r="AM952" s="139"/>
      <c r="AN952" s="139"/>
      <c r="AO952" s="139"/>
      <c r="AP952" s="139"/>
      <c r="AQ952" s="139"/>
      <c r="AR952" s="139"/>
      <c r="AS952" s="139"/>
      <c r="AT952" s="139"/>
      <c r="AU952" s="139"/>
      <c r="AV952" s="139"/>
      <c r="AW952" s="139"/>
      <c r="AX952" s="139"/>
      <c r="AY952" s="139"/>
      <c r="AZ952" s="139"/>
      <c r="BA952" s="139"/>
      <c r="BB952" s="139"/>
    </row>
    <row r="953">
      <c r="A953" s="28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  <c r="AC953" s="139"/>
      <c r="AD953" s="139"/>
      <c r="AE953" s="139"/>
      <c r="AF953" s="139"/>
      <c r="AG953" s="139"/>
      <c r="AH953" s="139"/>
      <c r="AI953" s="139"/>
      <c r="AJ953" s="139"/>
      <c r="AK953" s="139"/>
      <c r="AL953" s="139"/>
      <c r="AM953" s="139"/>
      <c r="AN953" s="139"/>
      <c r="AO953" s="139"/>
      <c r="AP953" s="139"/>
      <c r="AQ953" s="139"/>
      <c r="AR953" s="139"/>
      <c r="AS953" s="139"/>
      <c r="AT953" s="139"/>
      <c r="AU953" s="139"/>
      <c r="AV953" s="139"/>
      <c r="AW953" s="139"/>
      <c r="AX953" s="139"/>
      <c r="AY953" s="139"/>
      <c r="AZ953" s="139"/>
      <c r="BA953" s="139"/>
      <c r="BB953" s="139"/>
    </row>
    <row r="954">
      <c r="A954" s="28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  <c r="AC954" s="139"/>
      <c r="AD954" s="139"/>
      <c r="AE954" s="139"/>
      <c r="AF954" s="139"/>
      <c r="AG954" s="139"/>
      <c r="AH954" s="139"/>
      <c r="AI954" s="139"/>
      <c r="AJ954" s="139"/>
      <c r="AK954" s="139"/>
      <c r="AL954" s="139"/>
      <c r="AM954" s="139"/>
      <c r="AN954" s="139"/>
      <c r="AO954" s="139"/>
      <c r="AP954" s="139"/>
      <c r="AQ954" s="139"/>
      <c r="AR954" s="139"/>
      <c r="AS954" s="139"/>
      <c r="AT954" s="139"/>
      <c r="AU954" s="139"/>
      <c r="AV954" s="139"/>
      <c r="AW954" s="139"/>
      <c r="AX954" s="139"/>
      <c r="AY954" s="139"/>
      <c r="AZ954" s="139"/>
      <c r="BA954" s="139"/>
      <c r="BB954" s="139"/>
    </row>
    <row r="955">
      <c r="A955" s="28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  <c r="AC955" s="139"/>
      <c r="AD955" s="139"/>
      <c r="AE955" s="139"/>
      <c r="AF955" s="139"/>
      <c r="AG955" s="139"/>
      <c r="AH955" s="139"/>
      <c r="AI955" s="139"/>
      <c r="AJ955" s="139"/>
      <c r="AK955" s="139"/>
      <c r="AL955" s="139"/>
      <c r="AM955" s="139"/>
      <c r="AN955" s="139"/>
      <c r="AO955" s="139"/>
      <c r="AP955" s="139"/>
      <c r="AQ955" s="139"/>
      <c r="AR955" s="139"/>
      <c r="AS955" s="139"/>
      <c r="AT955" s="139"/>
      <c r="AU955" s="139"/>
      <c r="AV955" s="139"/>
      <c r="AW955" s="139"/>
      <c r="AX955" s="139"/>
      <c r="AY955" s="139"/>
      <c r="AZ955" s="139"/>
      <c r="BA955" s="139"/>
      <c r="BB955" s="139"/>
    </row>
    <row r="956">
      <c r="A956" s="28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  <c r="AC956" s="139"/>
      <c r="AD956" s="139"/>
      <c r="AE956" s="139"/>
      <c r="AF956" s="139"/>
      <c r="AG956" s="139"/>
      <c r="AH956" s="139"/>
      <c r="AI956" s="139"/>
      <c r="AJ956" s="139"/>
      <c r="AK956" s="139"/>
      <c r="AL956" s="139"/>
      <c r="AM956" s="139"/>
      <c r="AN956" s="139"/>
      <c r="AO956" s="139"/>
      <c r="AP956" s="139"/>
      <c r="AQ956" s="139"/>
      <c r="AR956" s="139"/>
      <c r="AS956" s="139"/>
      <c r="AT956" s="139"/>
      <c r="AU956" s="139"/>
      <c r="AV956" s="139"/>
      <c r="AW956" s="139"/>
      <c r="AX956" s="139"/>
      <c r="AY956" s="139"/>
      <c r="AZ956" s="139"/>
      <c r="BA956" s="139"/>
      <c r="BB956" s="139"/>
    </row>
    <row r="957">
      <c r="A957" s="28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  <c r="AB957" s="139"/>
      <c r="AC957" s="139"/>
      <c r="AD957" s="139"/>
      <c r="AE957" s="139"/>
      <c r="AF957" s="139"/>
      <c r="AG957" s="139"/>
      <c r="AH957" s="139"/>
      <c r="AI957" s="139"/>
      <c r="AJ957" s="139"/>
      <c r="AK957" s="139"/>
      <c r="AL957" s="139"/>
      <c r="AM957" s="139"/>
      <c r="AN957" s="139"/>
      <c r="AO957" s="139"/>
      <c r="AP957" s="139"/>
      <c r="AQ957" s="139"/>
      <c r="AR957" s="139"/>
      <c r="AS957" s="139"/>
      <c r="AT957" s="139"/>
      <c r="AU957" s="139"/>
      <c r="AV957" s="139"/>
      <c r="AW957" s="139"/>
      <c r="AX957" s="139"/>
      <c r="AY957" s="139"/>
      <c r="AZ957" s="139"/>
      <c r="BA957" s="139"/>
      <c r="BB957" s="139"/>
    </row>
    <row r="958">
      <c r="A958" s="28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  <c r="AB958" s="139"/>
      <c r="AC958" s="139"/>
      <c r="AD958" s="139"/>
      <c r="AE958" s="139"/>
      <c r="AF958" s="139"/>
      <c r="AG958" s="139"/>
      <c r="AH958" s="139"/>
      <c r="AI958" s="139"/>
      <c r="AJ958" s="139"/>
      <c r="AK958" s="139"/>
      <c r="AL958" s="139"/>
      <c r="AM958" s="139"/>
      <c r="AN958" s="139"/>
      <c r="AO958" s="139"/>
      <c r="AP958" s="139"/>
      <c r="AQ958" s="139"/>
      <c r="AR958" s="139"/>
      <c r="AS958" s="139"/>
      <c r="AT958" s="139"/>
      <c r="AU958" s="139"/>
      <c r="AV958" s="139"/>
      <c r="AW958" s="139"/>
      <c r="AX958" s="139"/>
      <c r="AY958" s="139"/>
      <c r="AZ958" s="139"/>
      <c r="BA958" s="139"/>
      <c r="BB958" s="139"/>
    </row>
    <row r="959">
      <c r="A959" s="28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  <c r="AB959" s="139"/>
      <c r="AC959" s="139"/>
      <c r="AD959" s="139"/>
      <c r="AE959" s="139"/>
      <c r="AF959" s="139"/>
      <c r="AG959" s="139"/>
      <c r="AH959" s="139"/>
      <c r="AI959" s="139"/>
      <c r="AJ959" s="139"/>
      <c r="AK959" s="139"/>
      <c r="AL959" s="139"/>
      <c r="AM959" s="139"/>
      <c r="AN959" s="139"/>
      <c r="AO959" s="139"/>
      <c r="AP959" s="139"/>
      <c r="AQ959" s="139"/>
      <c r="AR959" s="139"/>
      <c r="AS959" s="139"/>
      <c r="AT959" s="139"/>
      <c r="AU959" s="139"/>
      <c r="AV959" s="139"/>
      <c r="AW959" s="139"/>
      <c r="AX959" s="139"/>
      <c r="AY959" s="139"/>
      <c r="AZ959" s="139"/>
      <c r="BA959" s="139"/>
      <c r="BB959" s="139"/>
    </row>
    <row r="960">
      <c r="A960" s="28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  <c r="AB960" s="139"/>
      <c r="AC960" s="139"/>
      <c r="AD960" s="139"/>
      <c r="AE960" s="139"/>
      <c r="AF960" s="139"/>
      <c r="AG960" s="139"/>
      <c r="AH960" s="139"/>
      <c r="AI960" s="139"/>
      <c r="AJ960" s="139"/>
      <c r="AK960" s="139"/>
      <c r="AL960" s="139"/>
      <c r="AM960" s="139"/>
      <c r="AN960" s="139"/>
      <c r="AO960" s="139"/>
      <c r="AP960" s="139"/>
      <c r="AQ960" s="139"/>
      <c r="AR960" s="139"/>
      <c r="AS960" s="139"/>
      <c r="AT960" s="139"/>
      <c r="AU960" s="139"/>
      <c r="AV960" s="139"/>
      <c r="AW960" s="139"/>
      <c r="AX960" s="139"/>
      <c r="AY960" s="139"/>
      <c r="AZ960" s="139"/>
      <c r="BA960" s="139"/>
      <c r="BB960" s="139"/>
    </row>
    <row r="961">
      <c r="A961" s="28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  <c r="AB961" s="139"/>
      <c r="AC961" s="139"/>
      <c r="AD961" s="139"/>
      <c r="AE961" s="139"/>
      <c r="AF961" s="139"/>
      <c r="AG961" s="139"/>
      <c r="AH961" s="139"/>
      <c r="AI961" s="139"/>
      <c r="AJ961" s="139"/>
      <c r="AK961" s="139"/>
      <c r="AL961" s="139"/>
      <c r="AM961" s="139"/>
      <c r="AN961" s="139"/>
      <c r="AO961" s="139"/>
      <c r="AP961" s="139"/>
      <c r="AQ961" s="139"/>
      <c r="AR961" s="139"/>
      <c r="AS961" s="139"/>
      <c r="AT961" s="139"/>
      <c r="AU961" s="139"/>
      <c r="AV961" s="139"/>
      <c r="AW961" s="139"/>
      <c r="AX961" s="139"/>
      <c r="AY961" s="139"/>
      <c r="AZ961" s="139"/>
      <c r="BA961" s="139"/>
      <c r="BB961" s="139"/>
    </row>
    <row r="962">
      <c r="A962" s="28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39"/>
      <c r="AD962" s="139"/>
      <c r="AE962" s="139"/>
      <c r="AF962" s="139"/>
      <c r="AG962" s="139"/>
      <c r="AH962" s="139"/>
      <c r="AI962" s="139"/>
      <c r="AJ962" s="139"/>
      <c r="AK962" s="139"/>
      <c r="AL962" s="139"/>
      <c r="AM962" s="139"/>
      <c r="AN962" s="139"/>
      <c r="AO962" s="139"/>
      <c r="AP962" s="139"/>
      <c r="AQ962" s="139"/>
      <c r="AR962" s="139"/>
      <c r="AS962" s="139"/>
      <c r="AT962" s="139"/>
      <c r="AU962" s="139"/>
      <c r="AV962" s="139"/>
      <c r="AW962" s="139"/>
      <c r="AX962" s="139"/>
      <c r="AY962" s="139"/>
      <c r="AZ962" s="139"/>
      <c r="BA962" s="139"/>
      <c r="BB962" s="139"/>
    </row>
    <row r="963">
      <c r="A963" s="28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  <c r="AB963" s="139"/>
      <c r="AC963" s="139"/>
      <c r="AD963" s="139"/>
      <c r="AE963" s="139"/>
      <c r="AF963" s="139"/>
      <c r="AG963" s="139"/>
      <c r="AH963" s="139"/>
      <c r="AI963" s="139"/>
      <c r="AJ963" s="139"/>
      <c r="AK963" s="139"/>
      <c r="AL963" s="139"/>
      <c r="AM963" s="139"/>
      <c r="AN963" s="139"/>
      <c r="AO963" s="139"/>
      <c r="AP963" s="139"/>
      <c r="AQ963" s="139"/>
      <c r="AR963" s="139"/>
      <c r="AS963" s="139"/>
      <c r="AT963" s="139"/>
      <c r="AU963" s="139"/>
      <c r="AV963" s="139"/>
      <c r="AW963" s="139"/>
      <c r="AX963" s="139"/>
      <c r="AY963" s="139"/>
      <c r="AZ963" s="139"/>
      <c r="BA963" s="139"/>
      <c r="BB963" s="139"/>
    </row>
    <row r="964">
      <c r="A964" s="28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  <c r="AB964" s="139"/>
      <c r="AC964" s="139"/>
      <c r="AD964" s="139"/>
      <c r="AE964" s="139"/>
      <c r="AF964" s="139"/>
      <c r="AG964" s="139"/>
      <c r="AH964" s="139"/>
      <c r="AI964" s="139"/>
      <c r="AJ964" s="139"/>
      <c r="AK964" s="139"/>
      <c r="AL964" s="139"/>
      <c r="AM964" s="139"/>
      <c r="AN964" s="139"/>
      <c r="AO964" s="139"/>
      <c r="AP964" s="139"/>
      <c r="AQ964" s="139"/>
      <c r="AR964" s="139"/>
      <c r="AS964" s="139"/>
      <c r="AT964" s="139"/>
      <c r="AU964" s="139"/>
      <c r="AV964" s="139"/>
      <c r="AW964" s="139"/>
      <c r="AX964" s="139"/>
      <c r="AY964" s="139"/>
      <c r="AZ964" s="139"/>
      <c r="BA964" s="139"/>
      <c r="BB964" s="139"/>
    </row>
    <row r="965">
      <c r="A965" s="28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  <c r="AB965" s="139"/>
      <c r="AC965" s="139"/>
      <c r="AD965" s="139"/>
      <c r="AE965" s="139"/>
      <c r="AF965" s="139"/>
      <c r="AG965" s="139"/>
      <c r="AH965" s="139"/>
      <c r="AI965" s="139"/>
      <c r="AJ965" s="139"/>
      <c r="AK965" s="139"/>
      <c r="AL965" s="139"/>
      <c r="AM965" s="139"/>
      <c r="AN965" s="139"/>
      <c r="AO965" s="139"/>
      <c r="AP965" s="139"/>
      <c r="AQ965" s="139"/>
      <c r="AR965" s="139"/>
      <c r="AS965" s="139"/>
      <c r="AT965" s="139"/>
      <c r="AU965" s="139"/>
      <c r="AV965" s="139"/>
      <c r="AW965" s="139"/>
      <c r="AX965" s="139"/>
      <c r="AY965" s="139"/>
      <c r="AZ965" s="139"/>
      <c r="BA965" s="139"/>
      <c r="BB965" s="139"/>
    </row>
    <row r="966">
      <c r="A966" s="28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  <c r="AB966" s="139"/>
      <c r="AC966" s="139"/>
      <c r="AD966" s="139"/>
      <c r="AE966" s="139"/>
      <c r="AF966" s="139"/>
      <c r="AG966" s="139"/>
      <c r="AH966" s="139"/>
      <c r="AI966" s="139"/>
      <c r="AJ966" s="139"/>
      <c r="AK966" s="139"/>
      <c r="AL966" s="139"/>
      <c r="AM966" s="139"/>
      <c r="AN966" s="139"/>
      <c r="AO966" s="139"/>
      <c r="AP966" s="139"/>
      <c r="AQ966" s="139"/>
      <c r="AR966" s="139"/>
      <c r="AS966" s="139"/>
      <c r="AT966" s="139"/>
      <c r="AU966" s="139"/>
      <c r="AV966" s="139"/>
      <c r="AW966" s="139"/>
      <c r="AX966" s="139"/>
      <c r="AY966" s="139"/>
      <c r="AZ966" s="139"/>
      <c r="BA966" s="139"/>
      <c r="BB966" s="139"/>
    </row>
    <row r="967">
      <c r="A967" s="28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  <c r="AB967" s="139"/>
      <c r="AC967" s="139"/>
      <c r="AD967" s="139"/>
      <c r="AE967" s="139"/>
      <c r="AF967" s="139"/>
      <c r="AG967" s="139"/>
      <c r="AH967" s="139"/>
      <c r="AI967" s="139"/>
      <c r="AJ967" s="139"/>
      <c r="AK967" s="139"/>
      <c r="AL967" s="139"/>
      <c r="AM967" s="139"/>
      <c r="AN967" s="139"/>
      <c r="AO967" s="139"/>
      <c r="AP967" s="139"/>
      <c r="AQ967" s="139"/>
      <c r="AR967" s="139"/>
      <c r="AS967" s="139"/>
      <c r="AT967" s="139"/>
      <c r="AU967" s="139"/>
      <c r="AV967" s="139"/>
      <c r="AW967" s="139"/>
      <c r="AX967" s="139"/>
      <c r="AY967" s="139"/>
      <c r="AZ967" s="139"/>
      <c r="BA967" s="139"/>
      <c r="BB967" s="139"/>
    </row>
    <row r="968">
      <c r="A968" s="28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  <c r="AB968" s="139"/>
      <c r="AC968" s="139"/>
      <c r="AD968" s="139"/>
      <c r="AE968" s="139"/>
      <c r="AF968" s="139"/>
      <c r="AG968" s="139"/>
      <c r="AH968" s="139"/>
      <c r="AI968" s="139"/>
      <c r="AJ968" s="139"/>
      <c r="AK968" s="139"/>
      <c r="AL968" s="139"/>
      <c r="AM968" s="139"/>
      <c r="AN968" s="139"/>
      <c r="AO968" s="139"/>
      <c r="AP968" s="139"/>
      <c r="AQ968" s="139"/>
      <c r="AR968" s="139"/>
      <c r="AS968" s="139"/>
      <c r="AT968" s="139"/>
      <c r="AU968" s="139"/>
      <c r="AV968" s="139"/>
      <c r="AW968" s="139"/>
      <c r="AX968" s="139"/>
      <c r="AY968" s="139"/>
      <c r="AZ968" s="139"/>
      <c r="BA968" s="139"/>
      <c r="BB968" s="139"/>
    </row>
    <row r="969">
      <c r="A969" s="28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  <c r="AB969" s="139"/>
      <c r="AC969" s="139"/>
      <c r="AD969" s="139"/>
      <c r="AE969" s="139"/>
      <c r="AF969" s="139"/>
      <c r="AG969" s="139"/>
      <c r="AH969" s="139"/>
      <c r="AI969" s="139"/>
      <c r="AJ969" s="139"/>
      <c r="AK969" s="139"/>
      <c r="AL969" s="139"/>
      <c r="AM969" s="139"/>
      <c r="AN969" s="139"/>
      <c r="AO969" s="139"/>
      <c r="AP969" s="139"/>
      <c r="AQ969" s="139"/>
      <c r="AR969" s="139"/>
      <c r="AS969" s="139"/>
      <c r="AT969" s="139"/>
      <c r="AU969" s="139"/>
      <c r="AV969" s="139"/>
      <c r="AW969" s="139"/>
      <c r="AX969" s="139"/>
      <c r="AY969" s="139"/>
      <c r="AZ969" s="139"/>
      <c r="BA969" s="139"/>
      <c r="BB969" s="139"/>
    </row>
    <row r="970">
      <c r="A970" s="28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  <c r="AB970" s="139"/>
      <c r="AC970" s="139"/>
      <c r="AD970" s="139"/>
      <c r="AE970" s="139"/>
      <c r="AF970" s="139"/>
      <c r="AG970" s="139"/>
      <c r="AH970" s="139"/>
      <c r="AI970" s="139"/>
      <c r="AJ970" s="139"/>
      <c r="AK970" s="139"/>
      <c r="AL970" s="139"/>
      <c r="AM970" s="139"/>
      <c r="AN970" s="139"/>
      <c r="AO970" s="139"/>
      <c r="AP970" s="139"/>
      <c r="AQ970" s="139"/>
      <c r="AR970" s="139"/>
      <c r="AS970" s="139"/>
      <c r="AT970" s="139"/>
      <c r="AU970" s="139"/>
      <c r="AV970" s="139"/>
      <c r="AW970" s="139"/>
      <c r="AX970" s="139"/>
      <c r="AY970" s="139"/>
      <c r="AZ970" s="139"/>
      <c r="BA970" s="139"/>
      <c r="BB970" s="139"/>
    </row>
    <row r="971">
      <c r="A971" s="28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  <c r="AB971" s="139"/>
      <c r="AC971" s="139"/>
      <c r="AD971" s="139"/>
      <c r="AE971" s="139"/>
      <c r="AF971" s="139"/>
      <c r="AG971" s="139"/>
      <c r="AH971" s="139"/>
      <c r="AI971" s="139"/>
      <c r="AJ971" s="139"/>
      <c r="AK971" s="139"/>
      <c r="AL971" s="139"/>
      <c r="AM971" s="139"/>
      <c r="AN971" s="139"/>
      <c r="AO971" s="139"/>
      <c r="AP971" s="139"/>
      <c r="AQ971" s="139"/>
      <c r="AR971" s="139"/>
      <c r="AS971" s="139"/>
      <c r="AT971" s="139"/>
      <c r="AU971" s="139"/>
      <c r="AV971" s="139"/>
      <c r="AW971" s="139"/>
      <c r="AX971" s="139"/>
      <c r="AY971" s="139"/>
      <c r="AZ971" s="139"/>
      <c r="BA971" s="139"/>
      <c r="BB971" s="139"/>
    </row>
    <row r="972">
      <c r="A972" s="28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39"/>
      <c r="AD972" s="139"/>
      <c r="AE972" s="139"/>
      <c r="AF972" s="139"/>
      <c r="AG972" s="139"/>
      <c r="AH972" s="139"/>
      <c r="AI972" s="139"/>
      <c r="AJ972" s="139"/>
      <c r="AK972" s="139"/>
      <c r="AL972" s="139"/>
      <c r="AM972" s="139"/>
      <c r="AN972" s="139"/>
      <c r="AO972" s="139"/>
      <c r="AP972" s="139"/>
      <c r="AQ972" s="139"/>
      <c r="AR972" s="139"/>
      <c r="AS972" s="139"/>
      <c r="AT972" s="139"/>
      <c r="AU972" s="139"/>
      <c r="AV972" s="139"/>
      <c r="AW972" s="139"/>
      <c r="AX972" s="139"/>
      <c r="AY972" s="139"/>
      <c r="AZ972" s="139"/>
      <c r="BA972" s="139"/>
      <c r="BB972" s="139"/>
    </row>
    <row r="973">
      <c r="A973" s="28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  <c r="AB973" s="139"/>
      <c r="AC973" s="139"/>
      <c r="AD973" s="139"/>
      <c r="AE973" s="139"/>
      <c r="AF973" s="139"/>
      <c r="AG973" s="139"/>
      <c r="AH973" s="139"/>
      <c r="AI973" s="139"/>
      <c r="AJ973" s="139"/>
      <c r="AK973" s="139"/>
      <c r="AL973" s="139"/>
      <c r="AM973" s="139"/>
      <c r="AN973" s="139"/>
      <c r="AO973" s="139"/>
      <c r="AP973" s="139"/>
      <c r="AQ973" s="139"/>
      <c r="AR973" s="139"/>
      <c r="AS973" s="139"/>
      <c r="AT973" s="139"/>
      <c r="AU973" s="139"/>
      <c r="AV973" s="139"/>
      <c r="AW973" s="139"/>
      <c r="AX973" s="139"/>
      <c r="AY973" s="139"/>
      <c r="AZ973" s="139"/>
      <c r="BA973" s="139"/>
      <c r="BB973" s="139"/>
    </row>
    <row r="974">
      <c r="A974" s="28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  <c r="AA974" s="139"/>
      <c r="AB974" s="139"/>
      <c r="AC974" s="139"/>
      <c r="AD974" s="139"/>
      <c r="AE974" s="139"/>
      <c r="AF974" s="139"/>
      <c r="AG974" s="139"/>
      <c r="AH974" s="139"/>
      <c r="AI974" s="139"/>
      <c r="AJ974" s="139"/>
      <c r="AK974" s="139"/>
      <c r="AL974" s="139"/>
      <c r="AM974" s="139"/>
      <c r="AN974" s="139"/>
      <c r="AO974" s="139"/>
      <c r="AP974" s="139"/>
      <c r="AQ974" s="139"/>
      <c r="AR974" s="139"/>
      <c r="AS974" s="139"/>
      <c r="AT974" s="139"/>
      <c r="AU974" s="139"/>
      <c r="AV974" s="139"/>
      <c r="AW974" s="139"/>
      <c r="AX974" s="139"/>
      <c r="AY974" s="139"/>
      <c r="AZ974" s="139"/>
      <c r="BA974" s="139"/>
      <c r="BB974" s="139"/>
    </row>
    <row r="975">
      <c r="A975" s="28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  <c r="AA975" s="139"/>
      <c r="AB975" s="139"/>
      <c r="AC975" s="139"/>
      <c r="AD975" s="139"/>
      <c r="AE975" s="139"/>
      <c r="AF975" s="139"/>
      <c r="AG975" s="139"/>
      <c r="AH975" s="139"/>
      <c r="AI975" s="139"/>
      <c r="AJ975" s="139"/>
      <c r="AK975" s="139"/>
      <c r="AL975" s="139"/>
      <c r="AM975" s="139"/>
      <c r="AN975" s="139"/>
      <c r="AO975" s="139"/>
      <c r="AP975" s="139"/>
      <c r="AQ975" s="139"/>
      <c r="AR975" s="139"/>
      <c r="AS975" s="139"/>
      <c r="AT975" s="139"/>
      <c r="AU975" s="139"/>
      <c r="AV975" s="139"/>
      <c r="AW975" s="139"/>
      <c r="AX975" s="139"/>
      <c r="AY975" s="139"/>
      <c r="AZ975" s="139"/>
      <c r="BA975" s="139"/>
      <c r="BB975" s="139"/>
    </row>
    <row r="976">
      <c r="A976" s="28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  <c r="AA976" s="139"/>
      <c r="AB976" s="139"/>
      <c r="AC976" s="139"/>
      <c r="AD976" s="139"/>
      <c r="AE976" s="139"/>
      <c r="AF976" s="139"/>
      <c r="AG976" s="139"/>
      <c r="AH976" s="139"/>
      <c r="AI976" s="139"/>
      <c r="AJ976" s="139"/>
      <c r="AK976" s="139"/>
      <c r="AL976" s="139"/>
      <c r="AM976" s="139"/>
      <c r="AN976" s="139"/>
      <c r="AO976" s="139"/>
      <c r="AP976" s="139"/>
      <c r="AQ976" s="139"/>
      <c r="AR976" s="139"/>
      <c r="AS976" s="139"/>
      <c r="AT976" s="139"/>
      <c r="AU976" s="139"/>
      <c r="AV976" s="139"/>
      <c r="AW976" s="139"/>
      <c r="AX976" s="139"/>
      <c r="AY976" s="139"/>
      <c r="AZ976" s="139"/>
      <c r="BA976" s="139"/>
      <c r="BB976" s="139"/>
    </row>
    <row r="977">
      <c r="A977" s="28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  <c r="AA977" s="139"/>
      <c r="AB977" s="139"/>
      <c r="AC977" s="139"/>
      <c r="AD977" s="139"/>
      <c r="AE977" s="139"/>
      <c r="AF977" s="139"/>
      <c r="AG977" s="139"/>
      <c r="AH977" s="139"/>
      <c r="AI977" s="139"/>
      <c r="AJ977" s="139"/>
      <c r="AK977" s="139"/>
      <c r="AL977" s="139"/>
      <c r="AM977" s="139"/>
      <c r="AN977" s="139"/>
      <c r="AO977" s="139"/>
      <c r="AP977" s="139"/>
      <c r="AQ977" s="139"/>
      <c r="AR977" s="139"/>
      <c r="AS977" s="139"/>
      <c r="AT977" s="139"/>
      <c r="AU977" s="139"/>
      <c r="AV977" s="139"/>
      <c r="AW977" s="139"/>
      <c r="AX977" s="139"/>
      <c r="AY977" s="139"/>
      <c r="AZ977" s="139"/>
      <c r="BA977" s="139"/>
      <c r="BB977" s="139"/>
    </row>
    <row r="978">
      <c r="A978" s="28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  <c r="AA978" s="139"/>
      <c r="AB978" s="139"/>
      <c r="AC978" s="139"/>
      <c r="AD978" s="139"/>
      <c r="AE978" s="139"/>
      <c r="AF978" s="139"/>
      <c r="AG978" s="139"/>
      <c r="AH978" s="139"/>
      <c r="AI978" s="139"/>
      <c r="AJ978" s="139"/>
      <c r="AK978" s="139"/>
      <c r="AL978" s="139"/>
      <c r="AM978" s="139"/>
      <c r="AN978" s="139"/>
      <c r="AO978" s="139"/>
      <c r="AP978" s="139"/>
      <c r="AQ978" s="139"/>
      <c r="AR978" s="139"/>
      <c r="AS978" s="139"/>
      <c r="AT978" s="139"/>
      <c r="AU978" s="139"/>
      <c r="AV978" s="139"/>
      <c r="AW978" s="139"/>
      <c r="AX978" s="139"/>
      <c r="AY978" s="139"/>
      <c r="AZ978" s="139"/>
      <c r="BA978" s="139"/>
      <c r="BB978" s="139"/>
    </row>
    <row r="979">
      <c r="A979" s="28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  <c r="AA979" s="139"/>
      <c r="AB979" s="139"/>
      <c r="AC979" s="139"/>
      <c r="AD979" s="139"/>
      <c r="AE979" s="139"/>
      <c r="AF979" s="139"/>
      <c r="AG979" s="139"/>
      <c r="AH979" s="139"/>
      <c r="AI979" s="139"/>
      <c r="AJ979" s="139"/>
      <c r="AK979" s="139"/>
      <c r="AL979" s="139"/>
      <c r="AM979" s="139"/>
      <c r="AN979" s="139"/>
      <c r="AO979" s="139"/>
      <c r="AP979" s="139"/>
      <c r="AQ979" s="139"/>
      <c r="AR979" s="139"/>
      <c r="AS979" s="139"/>
      <c r="AT979" s="139"/>
      <c r="AU979" s="139"/>
      <c r="AV979" s="139"/>
      <c r="AW979" s="139"/>
      <c r="AX979" s="139"/>
      <c r="AY979" s="139"/>
      <c r="AZ979" s="139"/>
      <c r="BA979" s="139"/>
      <c r="BB979" s="139"/>
    </row>
    <row r="980">
      <c r="A980" s="28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  <c r="AA980" s="139"/>
      <c r="AB980" s="139"/>
      <c r="AC980" s="139"/>
      <c r="AD980" s="139"/>
      <c r="AE980" s="139"/>
      <c r="AF980" s="139"/>
      <c r="AG980" s="139"/>
      <c r="AH980" s="139"/>
      <c r="AI980" s="139"/>
      <c r="AJ980" s="139"/>
      <c r="AK980" s="139"/>
      <c r="AL980" s="139"/>
      <c r="AM980" s="139"/>
      <c r="AN980" s="139"/>
      <c r="AO980" s="139"/>
      <c r="AP980" s="139"/>
      <c r="AQ980" s="139"/>
      <c r="AR980" s="139"/>
      <c r="AS980" s="139"/>
      <c r="AT980" s="139"/>
      <c r="AU980" s="139"/>
      <c r="AV980" s="139"/>
      <c r="AW980" s="139"/>
      <c r="AX980" s="139"/>
      <c r="AY980" s="139"/>
      <c r="AZ980" s="139"/>
      <c r="BA980" s="139"/>
      <c r="BB980" s="139"/>
    </row>
    <row r="981">
      <c r="A981" s="28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  <c r="AA981" s="139"/>
      <c r="AB981" s="139"/>
      <c r="AC981" s="139"/>
      <c r="AD981" s="139"/>
      <c r="AE981" s="139"/>
      <c r="AF981" s="139"/>
      <c r="AG981" s="139"/>
      <c r="AH981" s="139"/>
      <c r="AI981" s="139"/>
      <c r="AJ981" s="139"/>
      <c r="AK981" s="139"/>
      <c r="AL981" s="139"/>
      <c r="AM981" s="139"/>
      <c r="AN981" s="139"/>
      <c r="AO981" s="139"/>
      <c r="AP981" s="139"/>
      <c r="AQ981" s="139"/>
      <c r="AR981" s="139"/>
      <c r="AS981" s="139"/>
      <c r="AT981" s="139"/>
      <c r="AU981" s="139"/>
      <c r="AV981" s="139"/>
      <c r="AW981" s="139"/>
      <c r="AX981" s="139"/>
      <c r="AY981" s="139"/>
      <c r="AZ981" s="139"/>
      <c r="BA981" s="139"/>
      <c r="BB981" s="139"/>
    </row>
    <row r="982">
      <c r="A982" s="28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  <c r="AA982" s="139"/>
      <c r="AB982" s="139"/>
      <c r="AC982" s="139"/>
      <c r="AD982" s="139"/>
      <c r="AE982" s="139"/>
      <c r="AF982" s="139"/>
      <c r="AG982" s="139"/>
      <c r="AH982" s="139"/>
      <c r="AI982" s="139"/>
      <c r="AJ982" s="139"/>
      <c r="AK982" s="139"/>
      <c r="AL982" s="139"/>
      <c r="AM982" s="139"/>
      <c r="AN982" s="139"/>
      <c r="AO982" s="139"/>
      <c r="AP982" s="139"/>
      <c r="AQ982" s="139"/>
      <c r="AR982" s="139"/>
      <c r="AS982" s="139"/>
      <c r="AT982" s="139"/>
      <c r="AU982" s="139"/>
      <c r="AV982" s="139"/>
      <c r="AW982" s="139"/>
      <c r="AX982" s="139"/>
      <c r="AY982" s="139"/>
      <c r="AZ982" s="139"/>
      <c r="BA982" s="139"/>
      <c r="BB982" s="139"/>
    </row>
    <row r="983">
      <c r="A983" s="28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  <c r="AA983" s="139"/>
      <c r="AB983" s="139"/>
      <c r="AC983" s="139"/>
      <c r="AD983" s="139"/>
      <c r="AE983" s="139"/>
      <c r="AF983" s="139"/>
      <c r="AG983" s="139"/>
      <c r="AH983" s="139"/>
      <c r="AI983" s="139"/>
      <c r="AJ983" s="139"/>
      <c r="AK983" s="139"/>
      <c r="AL983" s="139"/>
      <c r="AM983" s="139"/>
      <c r="AN983" s="139"/>
      <c r="AO983" s="139"/>
      <c r="AP983" s="139"/>
      <c r="AQ983" s="139"/>
      <c r="AR983" s="139"/>
      <c r="AS983" s="139"/>
      <c r="AT983" s="139"/>
      <c r="AU983" s="139"/>
      <c r="AV983" s="139"/>
      <c r="AW983" s="139"/>
      <c r="AX983" s="139"/>
      <c r="AY983" s="139"/>
      <c r="AZ983" s="139"/>
      <c r="BA983" s="139"/>
      <c r="BB983" s="139"/>
    </row>
    <row r="984">
      <c r="A984" s="28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  <c r="AA984" s="139"/>
      <c r="AB984" s="139"/>
      <c r="AC984" s="139"/>
      <c r="AD984" s="139"/>
      <c r="AE984" s="139"/>
      <c r="AF984" s="139"/>
      <c r="AG984" s="139"/>
      <c r="AH984" s="139"/>
      <c r="AI984" s="139"/>
      <c r="AJ984" s="139"/>
      <c r="AK984" s="139"/>
      <c r="AL984" s="139"/>
      <c r="AM984" s="139"/>
      <c r="AN984" s="139"/>
      <c r="AO984" s="139"/>
      <c r="AP984" s="139"/>
      <c r="AQ984" s="139"/>
      <c r="AR984" s="139"/>
      <c r="AS984" s="139"/>
      <c r="AT984" s="139"/>
      <c r="AU984" s="139"/>
      <c r="AV984" s="139"/>
      <c r="AW984" s="139"/>
      <c r="AX984" s="139"/>
      <c r="AY984" s="139"/>
      <c r="AZ984" s="139"/>
      <c r="BA984" s="139"/>
      <c r="BB984" s="139"/>
    </row>
    <row r="985">
      <c r="A985" s="28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  <c r="AA985" s="139"/>
      <c r="AB985" s="139"/>
      <c r="AC985" s="139"/>
      <c r="AD985" s="139"/>
      <c r="AE985" s="139"/>
      <c r="AF985" s="139"/>
      <c r="AG985" s="139"/>
      <c r="AH985" s="139"/>
      <c r="AI985" s="139"/>
      <c r="AJ985" s="139"/>
      <c r="AK985" s="139"/>
      <c r="AL985" s="139"/>
      <c r="AM985" s="139"/>
      <c r="AN985" s="139"/>
      <c r="AO985" s="139"/>
      <c r="AP985" s="139"/>
      <c r="AQ985" s="139"/>
      <c r="AR985" s="139"/>
      <c r="AS985" s="139"/>
      <c r="AT985" s="139"/>
      <c r="AU985" s="139"/>
      <c r="AV985" s="139"/>
      <c r="AW985" s="139"/>
      <c r="AX985" s="139"/>
      <c r="AY985" s="139"/>
      <c r="AZ985" s="139"/>
      <c r="BA985" s="139"/>
      <c r="BB985" s="139"/>
    </row>
    <row r="986">
      <c r="A986" s="28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  <c r="AA986" s="139"/>
      <c r="AB986" s="139"/>
      <c r="AC986" s="139"/>
      <c r="AD986" s="139"/>
      <c r="AE986" s="139"/>
      <c r="AF986" s="139"/>
      <c r="AG986" s="139"/>
      <c r="AH986" s="139"/>
      <c r="AI986" s="139"/>
      <c r="AJ986" s="139"/>
      <c r="AK986" s="139"/>
      <c r="AL986" s="139"/>
      <c r="AM986" s="139"/>
      <c r="AN986" s="139"/>
      <c r="AO986" s="139"/>
      <c r="AP986" s="139"/>
      <c r="AQ986" s="139"/>
      <c r="AR986" s="139"/>
      <c r="AS986" s="139"/>
      <c r="AT986" s="139"/>
      <c r="AU986" s="139"/>
      <c r="AV986" s="139"/>
      <c r="AW986" s="139"/>
      <c r="AX986" s="139"/>
      <c r="AY986" s="139"/>
      <c r="AZ986" s="139"/>
      <c r="BA986" s="139"/>
      <c r="BB986" s="139"/>
    </row>
    <row r="987">
      <c r="A987" s="28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  <c r="AA987" s="139"/>
      <c r="AB987" s="139"/>
      <c r="AC987" s="139"/>
      <c r="AD987" s="139"/>
      <c r="AE987" s="139"/>
      <c r="AF987" s="139"/>
      <c r="AG987" s="139"/>
      <c r="AH987" s="139"/>
      <c r="AI987" s="139"/>
      <c r="AJ987" s="139"/>
      <c r="AK987" s="139"/>
      <c r="AL987" s="139"/>
      <c r="AM987" s="139"/>
      <c r="AN987" s="139"/>
      <c r="AO987" s="139"/>
      <c r="AP987" s="139"/>
      <c r="AQ987" s="139"/>
      <c r="AR987" s="139"/>
      <c r="AS987" s="139"/>
      <c r="AT987" s="139"/>
      <c r="AU987" s="139"/>
      <c r="AV987" s="139"/>
      <c r="AW987" s="139"/>
      <c r="AX987" s="139"/>
      <c r="AY987" s="139"/>
      <c r="AZ987" s="139"/>
      <c r="BA987" s="139"/>
      <c r="BB987" s="139"/>
    </row>
    <row r="988">
      <c r="A988" s="28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  <c r="AA988" s="139"/>
      <c r="AB988" s="139"/>
      <c r="AC988" s="139"/>
      <c r="AD988" s="139"/>
      <c r="AE988" s="139"/>
      <c r="AF988" s="139"/>
      <c r="AG988" s="139"/>
      <c r="AH988" s="139"/>
      <c r="AI988" s="139"/>
      <c r="AJ988" s="139"/>
      <c r="AK988" s="139"/>
      <c r="AL988" s="139"/>
      <c r="AM988" s="139"/>
      <c r="AN988" s="139"/>
      <c r="AO988" s="139"/>
      <c r="AP988" s="139"/>
      <c r="AQ988" s="139"/>
      <c r="AR988" s="139"/>
      <c r="AS988" s="139"/>
      <c r="AT988" s="139"/>
      <c r="AU988" s="139"/>
      <c r="AV988" s="139"/>
      <c r="AW988" s="139"/>
      <c r="AX988" s="139"/>
      <c r="AY988" s="139"/>
      <c r="AZ988" s="139"/>
      <c r="BA988" s="139"/>
      <c r="BB988" s="139"/>
    </row>
    <row r="989">
      <c r="A989" s="28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  <c r="AA989" s="139"/>
      <c r="AB989" s="139"/>
      <c r="AC989" s="139"/>
      <c r="AD989" s="139"/>
      <c r="AE989" s="139"/>
      <c r="AF989" s="139"/>
      <c r="AG989" s="139"/>
      <c r="AH989" s="139"/>
      <c r="AI989" s="139"/>
      <c r="AJ989" s="139"/>
      <c r="AK989" s="139"/>
      <c r="AL989" s="139"/>
      <c r="AM989" s="139"/>
      <c r="AN989" s="139"/>
      <c r="AO989" s="139"/>
      <c r="AP989" s="139"/>
      <c r="AQ989" s="139"/>
      <c r="AR989" s="139"/>
      <c r="AS989" s="139"/>
      <c r="AT989" s="139"/>
      <c r="AU989" s="139"/>
      <c r="AV989" s="139"/>
      <c r="AW989" s="139"/>
      <c r="AX989" s="139"/>
      <c r="AY989" s="139"/>
      <c r="AZ989" s="139"/>
      <c r="BA989" s="139"/>
      <c r="BB989" s="139"/>
    </row>
    <row r="990">
      <c r="A990" s="28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  <c r="AA990" s="139"/>
      <c r="AB990" s="139"/>
      <c r="AC990" s="139"/>
      <c r="AD990" s="139"/>
      <c r="AE990" s="139"/>
      <c r="AF990" s="139"/>
      <c r="AG990" s="139"/>
      <c r="AH990" s="139"/>
      <c r="AI990" s="139"/>
      <c r="AJ990" s="139"/>
      <c r="AK990" s="139"/>
      <c r="AL990" s="139"/>
      <c r="AM990" s="139"/>
      <c r="AN990" s="139"/>
      <c r="AO990" s="139"/>
      <c r="AP990" s="139"/>
      <c r="AQ990" s="139"/>
      <c r="AR990" s="139"/>
      <c r="AS990" s="139"/>
      <c r="AT990" s="139"/>
      <c r="AU990" s="139"/>
      <c r="AV990" s="139"/>
      <c r="AW990" s="139"/>
      <c r="AX990" s="139"/>
      <c r="AY990" s="139"/>
      <c r="AZ990" s="139"/>
      <c r="BA990" s="139"/>
      <c r="BB990" s="139"/>
    </row>
    <row r="991">
      <c r="A991" s="28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  <c r="AA991" s="139"/>
      <c r="AB991" s="139"/>
      <c r="AC991" s="139"/>
      <c r="AD991" s="139"/>
      <c r="AE991" s="139"/>
      <c r="AF991" s="139"/>
      <c r="AG991" s="139"/>
      <c r="AH991" s="139"/>
      <c r="AI991" s="139"/>
      <c r="AJ991" s="139"/>
      <c r="AK991" s="139"/>
      <c r="AL991" s="139"/>
      <c r="AM991" s="139"/>
      <c r="AN991" s="139"/>
      <c r="AO991" s="139"/>
      <c r="AP991" s="139"/>
      <c r="AQ991" s="139"/>
      <c r="AR991" s="139"/>
      <c r="AS991" s="139"/>
      <c r="AT991" s="139"/>
      <c r="AU991" s="139"/>
      <c r="AV991" s="139"/>
      <c r="AW991" s="139"/>
      <c r="AX991" s="139"/>
      <c r="AY991" s="139"/>
      <c r="AZ991" s="139"/>
      <c r="BA991" s="139"/>
      <c r="BB991" s="139"/>
    </row>
    <row r="992">
      <c r="A992" s="28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  <c r="AA992" s="139"/>
      <c r="AB992" s="139"/>
      <c r="AC992" s="139"/>
      <c r="AD992" s="139"/>
      <c r="AE992" s="139"/>
      <c r="AF992" s="139"/>
      <c r="AG992" s="139"/>
      <c r="AH992" s="139"/>
      <c r="AI992" s="139"/>
      <c r="AJ992" s="139"/>
      <c r="AK992" s="139"/>
      <c r="AL992" s="139"/>
      <c r="AM992" s="139"/>
      <c r="AN992" s="139"/>
      <c r="AO992" s="139"/>
      <c r="AP992" s="139"/>
      <c r="AQ992" s="139"/>
      <c r="AR992" s="139"/>
      <c r="AS992" s="139"/>
      <c r="AT992" s="139"/>
      <c r="AU992" s="139"/>
      <c r="AV992" s="139"/>
      <c r="AW992" s="139"/>
      <c r="AX992" s="139"/>
      <c r="AY992" s="139"/>
      <c r="AZ992" s="139"/>
      <c r="BA992" s="139"/>
      <c r="BB992" s="139"/>
    </row>
  </sheetData>
  <mergeCells count="4">
    <mergeCell ref="B4:B7"/>
    <mergeCell ref="B8:B14"/>
    <mergeCell ref="B15:B22"/>
    <mergeCell ref="B23:B28"/>
  </mergeCells>
  <printOptions gridLines="1"/>
  <pageMargins bottom="0.75" footer="0.0" header="0.0" left="0.25" right="0.25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88"/>
    <col customWidth="1" min="2" max="2" width="14.38"/>
    <col customWidth="1" min="3" max="4" width="9.75"/>
    <col customWidth="1" min="5" max="5" width="73.5"/>
    <col customWidth="1" min="6" max="6" width="12.75"/>
    <col customWidth="1" min="7" max="7" width="14.0"/>
    <col customWidth="1" min="8" max="8" width="8.5"/>
    <col customWidth="1" hidden="1" min="9" max="9" width="2.75"/>
    <col customWidth="1" hidden="1" min="10" max="10" width="2.0"/>
    <col customWidth="1" hidden="1" min="11" max="11" width="9.5"/>
    <col customWidth="1" hidden="1" min="12" max="12" width="7.38"/>
    <col customWidth="1" hidden="1" min="13" max="13" width="2.0"/>
    <col customWidth="1" hidden="1" min="14" max="14" width="9.5"/>
    <col customWidth="1" hidden="1" min="15" max="15" width="7.38"/>
    <col customWidth="1" hidden="1" min="16" max="16" width="1.75"/>
    <col customWidth="1" hidden="1" min="17" max="17" width="2.38"/>
    <col customWidth="1" hidden="1" min="18" max="18" width="11.13"/>
    <col customWidth="1" min="19" max="19" width="15.0"/>
  </cols>
  <sheetData>
    <row r="1" ht="87.0" customHeight="1">
      <c r="A1" s="3"/>
      <c r="B1" s="124" t="s">
        <v>1003</v>
      </c>
      <c r="C1" s="125" t="s">
        <v>1005</v>
      </c>
      <c r="D1" s="11" t="s">
        <v>9</v>
      </c>
      <c r="E1" s="126" t="s">
        <v>11</v>
      </c>
      <c r="F1" s="38" t="str">
        <f t="array" ref="F1:H1">'ALL INDIA ACCESORIES'!D1:F1</f>
        <v>MRP as on 01st May, 2026</v>
      </c>
      <c r="G1" s="38" t="s">
        <v>19</v>
      </c>
      <c r="H1" s="38" t="s">
        <v>20</v>
      </c>
      <c r="I1" s="127"/>
      <c r="J1" s="128" t="s">
        <v>1009</v>
      </c>
      <c r="K1" s="129" t="s">
        <v>1010</v>
      </c>
      <c r="L1" s="130" t="s">
        <v>1012</v>
      </c>
      <c r="M1" s="128" t="s">
        <v>1013</v>
      </c>
      <c r="N1" s="129" t="s">
        <v>1010</v>
      </c>
      <c r="O1" s="130" t="s">
        <v>1012</v>
      </c>
      <c r="P1" s="131"/>
      <c r="Q1" s="130"/>
      <c r="R1" s="130"/>
      <c r="S1" s="130"/>
    </row>
    <row r="2">
      <c r="A2" s="3"/>
      <c r="B2" s="132" t="s">
        <v>1015</v>
      </c>
      <c r="C2" s="133"/>
      <c r="D2" s="133"/>
      <c r="E2" s="133"/>
      <c r="F2" s="133"/>
      <c r="G2" s="134"/>
      <c r="H2" s="135"/>
      <c r="I2" s="101"/>
      <c r="J2" s="136"/>
      <c r="K2" s="137"/>
      <c r="L2" s="137"/>
      <c r="M2" s="136"/>
      <c r="N2" s="137"/>
      <c r="O2" s="137"/>
      <c r="P2" s="138"/>
      <c r="Q2" s="137"/>
      <c r="R2" s="137"/>
      <c r="S2" s="137"/>
    </row>
    <row r="3">
      <c r="A3" s="139"/>
      <c r="B3" s="115">
        <v>1.0</v>
      </c>
      <c r="C3" s="140" t="s">
        <v>1017</v>
      </c>
      <c r="D3" s="141" t="s">
        <v>34</v>
      </c>
      <c r="E3" s="142" t="s">
        <v>36</v>
      </c>
      <c r="F3" s="39">
        <f t="array" ref="F3:G3">VLOOKUP(D3,MASTER!$C$2:$F37,{3,4},0)</f>
        <v>940</v>
      </c>
      <c r="G3" s="75">
        <v>1020.0</v>
      </c>
      <c r="H3" s="143">
        <f>IFERROR(DIVIDE(MINUS(G3,F3),F3),)</f>
        <v>0.08510638298</v>
      </c>
      <c r="I3" s="144"/>
      <c r="J3" s="136"/>
      <c r="K3" s="137"/>
      <c r="L3" s="137"/>
      <c r="M3" s="136"/>
      <c r="N3" s="137"/>
      <c r="O3" s="137"/>
      <c r="P3" s="138"/>
      <c r="Q3" s="137"/>
      <c r="R3" s="137"/>
      <c r="S3" s="137"/>
    </row>
    <row r="4">
      <c r="A4" s="139"/>
      <c r="B4" s="115">
        <v>2.0</v>
      </c>
      <c r="C4" s="145"/>
      <c r="D4" s="141" t="s">
        <v>82</v>
      </c>
      <c r="E4" s="142" t="s">
        <v>83</v>
      </c>
      <c r="F4" s="39">
        <f t="array" ref="F4:G4">VLOOKUP(D4,MASTER!$C$2:$F37,{3,4},0)</f>
        <v>980</v>
      </c>
      <c r="G4" s="75">
        <v>1060.0</v>
      </c>
      <c r="H4" s="143">
        <f>IFERROR(DIVIDE(MINUS(G4,F4),G4),)</f>
        <v>0.07547169811</v>
      </c>
      <c r="I4" s="55"/>
      <c r="J4" s="136"/>
      <c r="K4" s="137"/>
      <c r="L4" s="137"/>
      <c r="M4" s="136"/>
      <c r="N4" s="137"/>
      <c r="O4" s="137"/>
      <c r="P4" s="138"/>
      <c r="Q4" s="137"/>
      <c r="R4" s="137"/>
      <c r="S4" s="137"/>
    </row>
    <row r="5">
      <c r="A5" s="139"/>
      <c r="B5" s="132" t="s">
        <v>1019</v>
      </c>
      <c r="C5" s="133"/>
      <c r="D5" s="133"/>
      <c r="E5" s="133"/>
      <c r="F5" s="146"/>
      <c r="G5" s="146"/>
      <c r="H5" s="147"/>
      <c r="I5" s="148"/>
      <c r="J5" s="149"/>
      <c r="K5" s="150"/>
      <c r="L5" s="151"/>
      <c r="M5" s="149"/>
      <c r="N5" s="150"/>
      <c r="O5" s="151"/>
      <c r="P5" s="152"/>
      <c r="Q5" s="150"/>
      <c r="R5" s="150"/>
      <c r="S5" s="150"/>
    </row>
    <row r="6">
      <c r="A6" s="139"/>
      <c r="B6" s="115">
        <v>1.0</v>
      </c>
      <c r="C6" s="140">
        <v>7000.0</v>
      </c>
      <c r="D6" s="141" t="s">
        <v>90</v>
      </c>
      <c r="E6" s="142" t="s">
        <v>92</v>
      </c>
      <c r="F6" s="39">
        <f t="array" ref="F6:G6">VLOOKUP(D6,MASTER!$C$2:$F37,{3,4},0)</f>
        <v>1140</v>
      </c>
      <c r="G6" s="75">
        <v>1280.0</v>
      </c>
      <c r="H6" s="143">
        <f>IFERROR(DIVIDE(MINUS(G6,F6),F6),)</f>
        <v>0.1228070175</v>
      </c>
      <c r="I6" s="55"/>
      <c r="J6" s="136"/>
      <c r="K6" s="137"/>
      <c r="L6" s="137"/>
      <c r="M6" s="136"/>
      <c r="N6" s="137"/>
      <c r="O6" s="137"/>
      <c r="P6" s="138"/>
      <c r="Q6" s="137"/>
      <c r="R6" s="137"/>
      <c r="S6" s="137"/>
    </row>
    <row r="7">
      <c r="A7" s="139"/>
      <c r="B7" s="115">
        <v>2.0</v>
      </c>
      <c r="C7" s="145"/>
      <c r="D7" s="141" t="s">
        <v>107</v>
      </c>
      <c r="E7" s="142" t="s">
        <v>109</v>
      </c>
      <c r="F7" s="39">
        <f t="array" ref="F7:G7">VLOOKUP(D7,MASTER!$C$2:$F37,{3,4},0)</f>
        <v>1190</v>
      </c>
      <c r="G7" s="75">
        <v>1330.0</v>
      </c>
      <c r="H7" s="143">
        <f>IFERROR(DIVIDE(MINUS(G7,F7),G7),)</f>
        <v>0.1052631579</v>
      </c>
      <c r="I7" s="55"/>
      <c r="J7" s="136"/>
      <c r="K7" s="137"/>
      <c r="L7" s="137"/>
      <c r="M7" s="136"/>
      <c r="N7" s="137"/>
      <c r="O7" s="137"/>
      <c r="P7" s="138"/>
      <c r="Q7" s="137"/>
      <c r="R7" s="137"/>
      <c r="S7" s="137"/>
    </row>
    <row r="8">
      <c r="A8" s="139"/>
      <c r="B8" s="132" t="s">
        <v>1020</v>
      </c>
      <c r="C8" s="133"/>
      <c r="D8" s="133"/>
      <c r="E8" s="133"/>
      <c r="F8" s="146"/>
      <c r="G8" s="146"/>
      <c r="H8" s="147"/>
      <c r="I8" s="148"/>
      <c r="J8" s="149"/>
      <c r="K8" s="150"/>
      <c r="L8" s="151"/>
      <c r="M8" s="149"/>
      <c r="N8" s="150"/>
      <c r="O8" s="151"/>
      <c r="P8" s="152"/>
      <c r="Q8" s="150"/>
      <c r="R8" s="150"/>
      <c r="S8" s="150"/>
    </row>
    <row r="9">
      <c r="A9" s="139"/>
      <c r="B9" s="115">
        <v>1.0</v>
      </c>
      <c r="C9" s="140" t="s">
        <v>1021</v>
      </c>
      <c r="D9" s="141" t="s">
        <v>115</v>
      </c>
      <c r="E9" s="142" t="s">
        <v>92</v>
      </c>
      <c r="F9" s="39">
        <f t="array" ref="F9:G9">VLOOKUP(D9,MASTER!$C$2:$F37,{3,4},0)</f>
        <v>1320</v>
      </c>
      <c r="G9" s="75">
        <v>1460.0</v>
      </c>
      <c r="H9" s="143">
        <f>IFERROR(DIVIDE(MINUS(G9,F9),F9),)</f>
        <v>0.1060606061</v>
      </c>
      <c r="I9" s="55"/>
      <c r="J9" s="136"/>
      <c r="K9" s="137"/>
      <c r="L9" s="137"/>
      <c r="M9" s="136"/>
      <c r="N9" s="137"/>
      <c r="O9" s="137"/>
      <c r="P9" s="138"/>
      <c r="Q9" s="137"/>
      <c r="R9" s="137"/>
      <c r="S9" s="137"/>
    </row>
    <row r="10">
      <c r="A10" s="139"/>
      <c r="B10" s="115">
        <v>2.0</v>
      </c>
      <c r="C10" s="145"/>
      <c r="D10" s="141" t="s">
        <v>129</v>
      </c>
      <c r="E10" s="142" t="s">
        <v>109</v>
      </c>
      <c r="F10" s="39">
        <f t="array" ref="F10:G10">VLOOKUP(D10,MASTER!$C$2:$F37,{3,4},0)</f>
        <v>1380</v>
      </c>
      <c r="G10" s="75">
        <v>1520.0</v>
      </c>
      <c r="H10" s="143">
        <f>IFERROR(DIVIDE(MINUS(G10,F10),G10),)</f>
        <v>0.09210526316</v>
      </c>
      <c r="I10" s="55"/>
      <c r="J10" s="136"/>
      <c r="K10" s="137"/>
      <c r="L10" s="137"/>
      <c r="M10" s="136"/>
      <c r="N10" s="137"/>
      <c r="O10" s="137"/>
      <c r="P10" s="138"/>
      <c r="Q10" s="137"/>
      <c r="R10" s="137"/>
      <c r="S10" s="137"/>
    </row>
    <row r="11" ht="6.0" customHeight="1">
      <c r="A11" s="3"/>
      <c r="B11" s="90"/>
      <c r="C11" s="89"/>
      <c r="D11" s="89"/>
      <c r="E11" s="89"/>
      <c r="F11" s="90"/>
      <c r="G11" s="90"/>
      <c r="H11" s="153"/>
      <c r="I11" s="28"/>
      <c r="J11" s="136"/>
      <c r="K11" s="154"/>
      <c r="L11" s="154"/>
      <c r="M11" s="136"/>
      <c r="N11" s="154"/>
      <c r="O11" s="154"/>
      <c r="P11" s="138"/>
      <c r="Q11" s="154"/>
      <c r="R11" s="154"/>
      <c r="S11" s="154"/>
    </row>
    <row r="12">
      <c r="A12" s="3"/>
      <c r="B12" s="132" t="s">
        <v>1023</v>
      </c>
      <c r="C12" s="155"/>
      <c r="D12" s="155"/>
      <c r="E12" s="156"/>
      <c r="F12" s="90"/>
      <c r="G12" s="90"/>
      <c r="H12" s="153"/>
      <c r="I12" s="28"/>
      <c r="J12" s="136"/>
      <c r="K12" s="157" t="s">
        <v>1024</v>
      </c>
      <c r="L12" s="156"/>
      <c r="M12" s="136"/>
      <c r="N12" s="157" t="s">
        <v>1025</v>
      </c>
      <c r="O12" s="156"/>
      <c r="P12" s="138"/>
      <c r="Q12" s="154"/>
      <c r="R12" s="154"/>
      <c r="S12" s="154"/>
    </row>
    <row r="13">
      <c r="A13" s="3"/>
      <c r="B13" s="115">
        <v>1.0</v>
      </c>
      <c r="C13" s="158" t="s">
        <v>1026</v>
      </c>
      <c r="D13" s="159" t="s">
        <v>137</v>
      </c>
      <c r="E13" s="142" t="s">
        <v>138</v>
      </c>
      <c r="F13" s="39">
        <f t="array" ref="F13:G13">VLOOKUP(D13,MASTER!$C$2:$F37,{3,4},0)</f>
        <v>340</v>
      </c>
      <c r="G13" s="75">
        <v>370.0</v>
      </c>
      <c r="H13" s="143">
        <f t="shared" ref="H13:H37" si="1">IFERROR(DIVIDE(MINUS(G13,F13),F13),)</f>
        <v>0.08823529412</v>
      </c>
      <c r="I13" s="55"/>
      <c r="J13" s="160">
        <v>5218.0</v>
      </c>
      <c r="K13" s="119">
        <f>VLOOKUP(J13,MASTER!$C$2:$F37,4,0)</f>
        <v>1380</v>
      </c>
      <c r="L13" s="119">
        <f t="shared" ref="L13:L17" si="2">$G$3+$G13</f>
        <v>1390</v>
      </c>
      <c r="M13" s="160">
        <v>5220.0</v>
      </c>
      <c r="N13" s="119">
        <f>VLOOKUP(M13,MASTER!$C$2:$F37,4,0)</f>
        <v>1420</v>
      </c>
      <c r="O13" s="119">
        <f t="shared" ref="O13:O17" si="3">$G$4+$G13</f>
        <v>1430</v>
      </c>
      <c r="P13" s="138"/>
      <c r="Q13" s="137"/>
      <c r="R13" s="137"/>
      <c r="S13" s="137"/>
    </row>
    <row r="14">
      <c r="A14" s="3"/>
      <c r="B14" s="115">
        <v>2.0</v>
      </c>
      <c r="C14" s="158" t="s">
        <v>1029</v>
      </c>
      <c r="D14" s="159" t="s">
        <v>149</v>
      </c>
      <c r="E14" s="142" t="s">
        <v>138</v>
      </c>
      <c r="F14" s="39">
        <f t="array" ref="F14:G14">VLOOKUP(D14,MASTER!$C$2:$F37,{3,4},0)</f>
        <v>350</v>
      </c>
      <c r="G14" s="75">
        <v>390.0</v>
      </c>
      <c r="H14" s="143">
        <f t="shared" si="1"/>
        <v>0.1142857143</v>
      </c>
      <c r="I14" s="55"/>
      <c r="J14" s="160">
        <v>5318.0</v>
      </c>
      <c r="K14" s="119">
        <f>VLOOKUP(J14,MASTER!$C$2:$F37,4,0)</f>
        <v>1390</v>
      </c>
      <c r="L14" s="119">
        <f t="shared" si="2"/>
        <v>1410</v>
      </c>
      <c r="M14" s="160">
        <v>5320.0</v>
      </c>
      <c r="N14" s="119">
        <f>VLOOKUP(M14,MASTER!$C$2:$F37,4,0)</f>
        <v>1430</v>
      </c>
      <c r="O14" s="119">
        <f t="shared" si="3"/>
        <v>1450</v>
      </c>
      <c r="P14" s="138"/>
      <c r="Q14" s="137"/>
      <c r="R14" s="137"/>
      <c r="S14" s="137"/>
    </row>
    <row r="15">
      <c r="A15" s="3"/>
      <c r="B15" s="115">
        <v>3.0</v>
      </c>
      <c r="C15" s="158" t="s">
        <v>1030</v>
      </c>
      <c r="D15" s="159" t="s">
        <v>158</v>
      </c>
      <c r="E15" s="142" t="s">
        <v>138</v>
      </c>
      <c r="F15" s="39">
        <f t="array" ref="F15:G15">VLOOKUP(D15,MASTER!$C$2:$F37,{3,4},0)</f>
        <v>390</v>
      </c>
      <c r="G15" s="75">
        <v>410.0</v>
      </c>
      <c r="H15" s="143">
        <f t="shared" si="1"/>
        <v>0.05128205128</v>
      </c>
      <c r="I15" s="55"/>
      <c r="J15" s="160">
        <v>5418.0</v>
      </c>
      <c r="K15" s="119">
        <f>VLOOKUP(J15,MASTER!$C$2:$F37,4,0)</f>
        <v>1410</v>
      </c>
      <c r="L15" s="119">
        <f t="shared" si="2"/>
        <v>1430</v>
      </c>
      <c r="M15" s="160">
        <v>5420.0</v>
      </c>
      <c r="N15" s="119">
        <f>VLOOKUP(M15,MASTER!$C$2:$F37,4,0)</f>
        <v>1450</v>
      </c>
      <c r="O15" s="119">
        <f t="shared" si="3"/>
        <v>1470</v>
      </c>
      <c r="P15" s="138"/>
      <c r="Q15" s="137"/>
      <c r="R15" s="137"/>
      <c r="S15" s="137"/>
    </row>
    <row r="16">
      <c r="A16" s="3"/>
      <c r="B16" s="115">
        <v>4.0</v>
      </c>
      <c r="C16" s="158" t="s">
        <v>1033</v>
      </c>
      <c r="D16" s="159" t="s">
        <v>172</v>
      </c>
      <c r="E16" s="142" t="s">
        <v>138</v>
      </c>
      <c r="F16" s="39">
        <f t="array" ref="F16:G16">VLOOKUP(D16,MASTER!$C$2:$F37,{3,4},0)</f>
        <v>410</v>
      </c>
      <c r="G16" s="75">
        <v>470.0</v>
      </c>
      <c r="H16" s="143">
        <f t="shared" si="1"/>
        <v>0.1463414634</v>
      </c>
      <c r="I16" s="55"/>
      <c r="J16" s="160">
        <v>5518.0</v>
      </c>
      <c r="K16" s="119">
        <f>VLOOKUP(J16,MASTER!$C$2:$F37,4,0)</f>
        <v>1470</v>
      </c>
      <c r="L16" s="119">
        <f t="shared" si="2"/>
        <v>1490</v>
      </c>
      <c r="M16" s="160">
        <v>5520.0</v>
      </c>
      <c r="N16" s="119">
        <f>VLOOKUP(M16,MASTER!$C$2:$F37,4,0)</f>
        <v>1510</v>
      </c>
      <c r="O16" s="119">
        <f t="shared" si="3"/>
        <v>1530</v>
      </c>
      <c r="P16" s="138"/>
      <c r="Q16" s="137"/>
      <c r="R16" s="137"/>
      <c r="S16" s="137"/>
    </row>
    <row r="17">
      <c r="A17" s="3"/>
      <c r="B17" s="115">
        <v>5.0</v>
      </c>
      <c r="C17" s="158" t="s">
        <v>1035</v>
      </c>
      <c r="D17" s="159" t="s">
        <v>183</v>
      </c>
      <c r="E17" s="142" t="s">
        <v>138</v>
      </c>
      <c r="F17" s="39">
        <f t="array" ref="F17:G17">VLOOKUP(D17,MASTER!$C$2:$F37,{3,4},0)</f>
        <v>370</v>
      </c>
      <c r="G17" s="75">
        <v>410.0</v>
      </c>
      <c r="H17" s="143">
        <f t="shared" si="1"/>
        <v>0.1081081081</v>
      </c>
      <c r="I17" s="55"/>
      <c r="J17" s="160">
        <v>6018.0</v>
      </c>
      <c r="K17" s="119">
        <f>VLOOKUP(J17,MASTER!$C$2:$F37,4,0)</f>
        <v>1410</v>
      </c>
      <c r="L17" s="119">
        <f t="shared" si="2"/>
        <v>1430</v>
      </c>
      <c r="M17" s="160">
        <v>6020.0</v>
      </c>
      <c r="N17" s="119">
        <f>VLOOKUP(M17,MASTER!$C$2:$F37,4,0)</f>
        <v>1450</v>
      </c>
      <c r="O17" s="119">
        <f t="shared" si="3"/>
        <v>1470</v>
      </c>
      <c r="P17" s="138"/>
      <c r="Q17" s="137"/>
      <c r="R17" s="137"/>
      <c r="S17" s="137"/>
    </row>
    <row r="18">
      <c r="A18" s="3"/>
      <c r="B18" s="115">
        <v>6.0</v>
      </c>
      <c r="C18" s="158" t="s">
        <v>1038</v>
      </c>
      <c r="D18" s="159" t="s">
        <v>193</v>
      </c>
      <c r="E18" s="142" t="s">
        <v>138</v>
      </c>
      <c r="F18" s="39">
        <f t="array" ref="F18:G18">VLOOKUP(D18,MASTER!$C$2:$F37,{3,4},0)</f>
        <v>450</v>
      </c>
      <c r="G18" s="161" t="s">
        <v>202</v>
      </c>
      <c r="H18" s="143" t="str">
        <f t="shared" si="1"/>
        <v/>
      </c>
      <c r="I18" s="55"/>
      <c r="J18" s="160">
        <v>6118.0</v>
      </c>
      <c r="K18" s="119"/>
      <c r="L18" s="119"/>
      <c r="M18" s="160">
        <v>6120.0</v>
      </c>
      <c r="N18" s="119"/>
      <c r="O18" s="119"/>
      <c r="P18" s="138"/>
      <c r="Q18" s="137"/>
      <c r="R18" s="137"/>
      <c r="S18" s="137"/>
    </row>
    <row r="19">
      <c r="A19" s="3"/>
      <c r="B19" s="115">
        <v>7.0</v>
      </c>
      <c r="C19" s="158" t="s">
        <v>1040</v>
      </c>
      <c r="D19" s="159" t="s">
        <v>213</v>
      </c>
      <c r="E19" s="142" t="s">
        <v>138</v>
      </c>
      <c r="F19" s="39">
        <f t="array" ref="F19:G19">VLOOKUP(D19,MASTER!$C$2:$F37,{3,4},0)</f>
        <v>390</v>
      </c>
      <c r="G19" s="75">
        <v>430.0</v>
      </c>
      <c r="H19" s="143">
        <f t="shared" si="1"/>
        <v>0.1025641026</v>
      </c>
      <c r="I19" s="55"/>
      <c r="J19" s="160">
        <v>6218.0</v>
      </c>
      <c r="K19" s="119">
        <f>VLOOKUP(J19,MASTER!$C$2:$F37,4,0)</f>
        <v>1420</v>
      </c>
      <c r="L19" s="119">
        <f t="shared" ref="L19:L22" si="4">$G$3+$G19</f>
        <v>1450</v>
      </c>
      <c r="M19" s="160">
        <v>6220.0</v>
      </c>
      <c r="N19" s="119">
        <f>VLOOKUP(M19,MASTER!$C$2:$F37,4,0)</f>
        <v>1460</v>
      </c>
      <c r="O19" s="119">
        <f t="shared" ref="O19:O22" si="5">$G$4+$G19</f>
        <v>1490</v>
      </c>
      <c r="P19" s="138"/>
      <c r="Q19" s="137"/>
      <c r="R19" s="137"/>
      <c r="S19" s="137"/>
    </row>
    <row r="20">
      <c r="A20" s="3"/>
      <c r="B20" s="115">
        <v>8.0</v>
      </c>
      <c r="C20" s="158" t="s">
        <v>1042</v>
      </c>
      <c r="D20" s="159" t="s">
        <v>222</v>
      </c>
      <c r="E20" s="142" t="s">
        <v>138</v>
      </c>
      <c r="F20" s="39">
        <f t="array" ref="F20:G20">VLOOKUP(D20,MASTER!$C$2:$F37,{3,4},0)</f>
        <v>450</v>
      </c>
      <c r="G20" s="75">
        <v>480.0</v>
      </c>
      <c r="H20" s="143">
        <f t="shared" si="1"/>
        <v>0.06666666667</v>
      </c>
      <c r="I20" s="55"/>
      <c r="J20" s="160">
        <v>6618.0</v>
      </c>
      <c r="K20" s="119">
        <f>VLOOKUP(J20,MASTER!$C$2:$F37,4,0)</f>
        <v>1450</v>
      </c>
      <c r="L20" s="119">
        <f t="shared" si="4"/>
        <v>1500</v>
      </c>
      <c r="M20" s="160">
        <v>6620.0</v>
      </c>
      <c r="N20" s="119">
        <f>VLOOKUP(M20,MASTER!$C$2:$F37,4,0)</f>
        <v>1490</v>
      </c>
      <c r="O20" s="119">
        <f t="shared" si="5"/>
        <v>1540</v>
      </c>
      <c r="P20" s="138"/>
      <c r="Q20" s="137"/>
      <c r="R20" s="137"/>
      <c r="S20" s="137"/>
    </row>
    <row r="21">
      <c r="A21" s="3"/>
      <c r="B21" s="115">
        <v>9.0</v>
      </c>
      <c r="C21" s="158" t="s">
        <v>1045</v>
      </c>
      <c r="D21" s="159" t="s">
        <v>230</v>
      </c>
      <c r="E21" s="142" t="s">
        <v>138</v>
      </c>
      <c r="F21" s="39">
        <f t="array" ref="F21:G21">VLOOKUP(D21,MASTER!$C$2:$F37,{3,4},0)</f>
        <v>390</v>
      </c>
      <c r="G21" s="75">
        <v>410.0</v>
      </c>
      <c r="H21" s="143">
        <f t="shared" si="1"/>
        <v>0.05128205128</v>
      </c>
      <c r="I21" s="55"/>
      <c r="J21" s="160" t="s">
        <v>955</v>
      </c>
      <c r="K21" s="119">
        <f>VLOOKUP(J21,MASTER!$C$2:$F37,4,0)</f>
        <v>1390</v>
      </c>
      <c r="L21" s="119">
        <f t="shared" si="4"/>
        <v>1430</v>
      </c>
      <c r="M21" s="160" t="s">
        <v>958</v>
      </c>
      <c r="N21" s="119">
        <f>VLOOKUP(M21,MASTER!$C$2:$F37,4,0)</f>
        <v>1430</v>
      </c>
      <c r="O21" s="119">
        <f t="shared" si="5"/>
        <v>1470</v>
      </c>
      <c r="P21" s="138"/>
      <c r="Q21" s="137"/>
      <c r="R21" s="137"/>
      <c r="S21" s="137"/>
    </row>
    <row r="22">
      <c r="A22" s="3"/>
      <c r="B22" s="115">
        <v>10.0</v>
      </c>
      <c r="C22" s="158" t="s">
        <v>1047</v>
      </c>
      <c r="D22" s="159" t="s">
        <v>245</v>
      </c>
      <c r="E22" s="142" t="s">
        <v>138</v>
      </c>
      <c r="F22" s="39">
        <f t="array" ref="F22:G22">VLOOKUP(D22,MASTER!$C$2:$F37,{3,4},0)</f>
        <v>500</v>
      </c>
      <c r="G22" s="75">
        <v>480.0</v>
      </c>
      <c r="H22" s="143">
        <f t="shared" si="1"/>
        <v>-0.04</v>
      </c>
      <c r="I22" s="55"/>
      <c r="J22" s="160">
        <v>6818.0</v>
      </c>
      <c r="K22" s="119">
        <f>VLOOKUP(J22,MASTER!$C$2:$F37,4,0)</f>
        <v>1450</v>
      </c>
      <c r="L22" s="119">
        <f t="shared" si="4"/>
        <v>1500</v>
      </c>
      <c r="M22" s="160">
        <v>6820.0</v>
      </c>
      <c r="N22" s="119">
        <f>VLOOKUP(M22,MASTER!$C$2:$F37,4,0)</f>
        <v>1490</v>
      </c>
      <c r="O22" s="119">
        <f t="shared" si="5"/>
        <v>1540</v>
      </c>
      <c r="P22" s="138"/>
      <c r="Q22" s="137"/>
      <c r="R22" s="137"/>
      <c r="S22" s="137"/>
    </row>
    <row r="23">
      <c r="A23" s="3"/>
      <c r="B23" s="115">
        <v>11.0</v>
      </c>
      <c r="C23" s="158" t="s">
        <v>1048</v>
      </c>
      <c r="D23" s="159" t="s">
        <v>252</v>
      </c>
      <c r="E23" s="142" t="s">
        <v>138</v>
      </c>
      <c r="F23" s="39">
        <f t="array" ref="F23:G23">VLOOKUP(D23,MASTER!$C$2:$F37,{3,4},0)</f>
        <v>890</v>
      </c>
      <c r="G23" s="75">
        <v>940.0</v>
      </c>
      <c r="H23" s="143">
        <f t="shared" si="1"/>
        <v>0.05617977528</v>
      </c>
      <c r="I23" s="55"/>
      <c r="J23" s="160">
        <v>7118.0</v>
      </c>
      <c r="K23" s="119">
        <f>VLOOKUP(J23,MASTER!$C$2:$F37,4,0)</f>
        <v>2140</v>
      </c>
      <c r="L23" s="119">
        <f t="shared" ref="L23:L30" si="6">$G$6+$G23</f>
        <v>2220</v>
      </c>
      <c r="M23" s="160">
        <v>7120.0</v>
      </c>
      <c r="N23" s="119">
        <f>VLOOKUP(M23,MASTER!$C$2:$F37,4,0)</f>
        <v>2190</v>
      </c>
      <c r="O23" s="119">
        <f t="shared" ref="O23:O30" si="7">$G$7+$G23</f>
        <v>2270</v>
      </c>
      <c r="P23" s="138"/>
      <c r="Q23" s="137"/>
      <c r="R23" s="137"/>
      <c r="S23" s="137"/>
    </row>
    <row r="24">
      <c r="A24" s="3"/>
      <c r="B24" s="115">
        <v>12.0</v>
      </c>
      <c r="C24" s="158" t="s">
        <v>1051</v>
      </c>
      <c r="D24" s="159" t="s">
        <v>262</v>
      </c>
      <c r="E24" s="142" t="s">
        <v>138</v>
      </c>
      <c r="F24" s="39">
        <f t="array" ref="F24:G24">VLOOKUP(D24,MASTER!$C$2:$F37,{3,4},0)</f>
        <v>540</v>
      </c>
      <c r="G24" s="75">
        <v>570.0</v>
      </c>
      <c r="H24" s="143">
        <f t="shared" si="1"/>
        <v>0.05555555556</v>
      </c>
      <c r="I24" s="55"/>
      <c r="J24" s="160">
        <v>7218.0</v>
      </c>
      <c r="K24" s="119">
        <f>VLOOKUP(J24,MASTER!$C$2:$F37,4,0)</f>
        <v>1770</v>
      </c>
      <c r="L24" s="119">
        <f t="shared" si="6"/>
        <v>1850</v>
      </c>
      <c r="M24" s="160">
        <v>7220.0</v>
      </c>
      <c r="N24" s="119">
        <f>VLOOKUP(M24,MASTER!$C$2:$F37,4,0)</f>
        <v>1820</v>
      </c>
      <c r="O24" s="119">
        <f t="shared" si="7"/>
        <v>1900</v>
      </c>
      <c r="P24" s="138"/>
      <c r="Q24" s="137"/>
      <c r="R24" s="137"/>
      <c r="S24" s="137"/>
    </row>
    <row r="25">
      <c r="A25" s="3"/>
      <c r="B25" s="115">
        <v>13.0</v>
      </c>
      <c r="C25" s="158" t="s">
        <v>1052</v>
      </c>
      <c r="D25" s="159" t="s">
        <v>270</v>
      </c>
      <c r="E25" s="142" t="s">
        <v>138</v>
      </c>
      <c r="F25" s="39">
        <f t="array" ref="F25:G25">VLOOKUP(D25,MASTER!$C$2:$F37,{3,4},0)</f>
        <v>520</v>
      </c>
      <c r="G25" s="75">
        <v>580.0</v>
      </c>
      <c r="H25" s="143">
        <f t="shared" si="1"/>
        <v>0.1153846154</v>
      </c>
      <c r="I25" s="55"/>
      <c r="J25" s="160">
        <v>7318.0</v>
      </c>
      <c r="K25" s="119">
        <f>VLOOKUP(J25,MASTER!$C$2:$F37,4,0)</f>
        <v>1840</v>
      </c>
      <c r="L25" s="119">
        <f t="shared" si="6"/>
        <v>1860</v>
      </c>
      <c r="M25" s="160">
        <v>7320.0</v>
      </c>
      <c r="N25" s="119">
        <f>VLOOKUP(M25,MASTER!$C$2:$F37,4,0)</f>
        <v>1890</v>
      </c>
      <c r="O25" s="119">
        <f t="shared" si="7"/>
        <v>1910</v>
      </c>
      <c r="P25" s="138"/>
      <c r="Q25" s="137"/>
      <c r="R25" s="137"/>
      <c r="S25" s="137"/>
    </row>
    <row r="26">
      <c r="A26" s="3"/>
      <c r="B26" s="115">
        <v>14.0</v>
      </c>
      <c r="C26" s="158" t="s">
        <v>1053</v>
      </c>
      <c r="D26" s="159" t="s">
        <v>276</v>
      </c>
      <c r="E26" s="142" t="s">
        <v>138</v>
      </c>
      <c r="F26" s="39">
        <f t="array" ref="F26:G26">VLOOKUP(D26,MASTER!$C$2:$F37,{3,4},0)</f>
        <v>550</v>
      </c>
      <c r="G26" s="75">
        <v>550.0</v>
      </c>
      <c r="H26" s="143">
        <f t="shared" si="1"/>
        <v>0</v>
      </c>
      <c r="I26" s="55"/>
      <c r="J26" s="160">
        <v>7418.0</v>
      </c>
      <c r="K26" s="119">
        <f>VLOOKUP(J26,MASTER!$C$2:$F37,4,0)</f>
        <v>1780</v>
      </c>
      <c r="L26" s="119">
        <f t="shared" si="6"/>
        <v>1830</v>
      </c>
      <c r="M26" s="160">
        <v>7420.0</v>
      </c>
      <c r="N26" s="119">
        <f>VLOOKUP(M26,MASTER!$C$2:$F37,4,0)</f>
        <v>1830</v>
      </c>
      <c r="O26" s="119">
        <f t="shared" si="7"/>
        <v>1880</v>
      </c>
      <c r="P26" s="138"/>
      <c r="Q26" s="137"/>
      <c r="R26" s="137"/>
      <c r="S26" s="137"/>
    </row>
    <row r="27">
      <c r="A27" s="3"/>
      <c r="B27" s="115">
        <v>15.0</v>
      </c>
      <c r="C27" s="158" t="s">
        <v>1055</v>
      </c>
      <c r="D27" s="159" t="s">
        <v>277</v>
      </c>
      <c r="E27" s="142" t="s">
        <v>138</v>
      </c>
      <c r="F27" s="39">
        <f t="array" ref="F27:G27">VLOOKUP(D27,MASTER!$C$2:$F37,{3,4},0)</f>
        <v>450</v>
      </c>
      <c r="G27" s="75">
        <v>510.0</v>
      </c>
      <c r="H27" s="143">
        <f t="shared" si="1"/>
        <v>0.1333333333</v>
      </c>
      <c r="I27" s="55"/>
      <c r="J27" s="160">
        <v>7618.0</v>
      </c>
      <c r="K27" s="119">
        <f>VLOOKUP(J27,MASTER!$C$2:$F37,4,0)</f>
        <v>1740</v>
      </c>
      <c r="L27" s="119">
        <f t="shared" si="6"/>
        <v>1790</v>
      </c>
      <c r="M27" s="160">
        <v>7620.0</v>
      </c>
      <c r="N27" s="119">
        <f>VLOOKUP(M27,MASTER!$C$2:$F37,4,0)</f>
        <v>1790</v>
      </c>
      <c r="O27" s="119">
        <f t="shared" si="7"/>
        <v>1840</v>
      </c>
      <c r="P27" s="138"/>
      <c r="Q27" s="137"/>
      <c r="R27" s="137"/>
      <c r="S27" s="137"/>
    </row>
    <row r="28">
      <c r="A28" s="3"/>
      <c r="B28" s="115">
        <v>16.0</v>
      </c>
      <c r="C28" s="158" t="s">
        <v>1056</v>
      </c>
      <c r="D28" s="159" t="s">
        <v>280</v>
      </c>
      <c r="E28" s="142" t="s">
        <v>138</v>
      </c>
      <c r="F28" s="39">
        <f t="array" ref="F28:G28">VLOOKUP(D28,MASTER!$C$2:$F37,{3,4},0)</f>
        <v>580</v>
      </c>
      <c r="G28" s="75">
        <v>580.0</v>
      </c>
      <c r="H28" s="143">
        <f t="shared" si="1"/>
        <v>0</v>
      </c>
      <c r="I28" s="55"/>
      <c r="J28" s="160">
        <v>7718.0</v>
      </c>
      <c r="K28" s="119">
        <f>VLOOKUP(J28,MASTER!$C$2:$F37,4,0)</f>
        <v>1790</v>
      </c>
      <c r="L28" s="119">
        <f t="shared" si="6"/>
        <v>1860</v>
      </c>
      <c r="M28" s="160">
        <v>7720.0</v>
      </c>
      <c r="N28" s="119">
        <f>VLOOKUP(M28,MASTER!$C$2:$F37,4,0)</f>
        <v>1840</v>
      </c>
      <c r="O28" s="119">
        <f t="shared" si="7"/>
        <v>1910</v>
      </c>
      <c r="P28" s="138"/>
      <c r="Q28" s="137"/>
      <c r="R28" s="137"/>
      <c r="S28" s="137"/>
    </row>
    <row r="29">
      <c r="A29" s="3"/>
      <c r="B29" s="115">
        <v>17.0</v>
      </c>
      <c r="C29" s="158" t="s">
        <v>1057</v>
      </c>
      <c r="D29" s="159" t="s">
        <v>281</v>
      </c>
      <c r="E29" s="142" t="s">
        <v>138</v>
      </c>
      <c r="F29" s="39">
        <f t="array" ref="F29:G29">VLOOKUP(D29,MASTER!$C$2:$F37,{3,4},0)</f>
        <v>550</v>
      </c>
      <c r="G29" s="75">
        <v>550.0</v>
      </c>
      <c r="H29" s="143">
        <f t="shared" si="1"/>
        <v>0</v>
      </c>
      <c r="I29" s="55"/>
      <c r="J29" s="160">
        <v>7818.0</v>
      </c>
      <c r="K29" s="119">
        <f>VLOOKUP(J29,MASTER!$C$2:$F37,4,0)</f>
        <v>1790</v>
      </c>
      <c r="L29" s="119">
        <f t="shared" si="6"/>
        <v>1830</v>
      </c>
      <c r="M29" s="160">
        <v>7820.0</v>
      </c>
      <c r="N29" s="119">
        <f>VLOOKUP(M29,MASTER!$C$2:$F37,4,0)</f>
        <v>1840</v>
      </c>
      <c r="O29" s="119">
        <f t="shared" si="7"/>
        <v>1880</v>
      </c>
      <c r="P29" s="138"/>
      <c r="Q29" s="137"/>
      <c r="R29" s="137"/>
      <c r="S29" s="137"/>
    </row>
    <row r="30">
      <c r="A30" s="3"/>
      <c r="B30" s="115">
        <v>18.0</v>
      </c>
      <c r="C30" s="158" t="s">
        <v>1058</v>
      </c>
      <c r="D30" s="159" t="s">
        <v>284</v>
      </c>
      <c r="E30" s="142" t="s">
        <v>138</v>
      </c>
      <c r="F30" s="39">
        <f t="array" ref="F30:G30">VLOOKUP(D30,MASTER!$C$2:$F37,{3,4},0)</f>
        <v>640</v>
      </c>
      <c r="G30" s="75">
        <v>670.0</v>
      </c>
      <c r="H30" s="143">
        <f t="shared" si="1"/>
        <v>0.046875</v>
      </c>
      <c r="I30" s="55"/>
      <c r="J30" s="160" t="s">
        <v>1059</v>
      </c>
      <c r="K30" s="119">
        <f>VLOOKUP(J30,MASTER!$C$2:$F37,4,0)</f>
        <v>1920</v>
      </c>
      <c r="L30" s="119">
        <f t="shared" si="6"/>
        <v>1950</v>
      </c>
      <c r="M30" s="160" t="s">
        <v>1060</v>
      </c>
      <c r="N30" s="119">
        <f>VLOOKUP(M30,MASTER!$C$2:$F37,4,0)</f>
        <v>1970</v>
      </c>
      <c r="O30" s="119">
        <f t="shared" si="7"/>
        <v>2000</v>
      </c>
      <c r="P30" s="138"/>
      <c r="Q30" s="137"/>
      <c r="R30" s="137"/>
      <c r="S30" s="137"/>
    </row>
    <row r="31">
      <c r="A31" s="3"/>
      <c r="B31" s="115">
        <v>19.0</v>
      </c>
      <c r="C31" s="158" t="s">
        <v>1061</v>
      </c>
      <c r="D31" s="159" t="s">
        <v>285</v>
      </c>
      <c r="E31" s="142" t="s">
        <v>138</v>
      </c>
      <c r="F31" s="39">
        <f t="array" ref="F31:G31">VLOOKUP(D31,MASTER!$C$2:$F37,{3,4},0)</f>
        <v>790</v>
      </c>
      <c r="G31" s="75">
        <v>860.0</v>
      </c>
      <c r="H31" s="143">
        <f t="shared" si="1"/>
        <v>0.08860759494</v>
      </c>
      <c r="I31" s="55"/>
      <c r="J31" s="160">
        <v>8118.0</v>
      </c>
      <c r="K31" s="119">
        <f>VLOOKUP(J31,MASTER!$C$2:$F37,4,0)</f>
        <v>2190</v>
      </c>
      <c r="L31" s="119">
        <f t="shared" ref="L31:L32" si="8">$G$9+$G31</f>
        <v>2320</v>
      </c>
      <c r="M31" s="160">
        <v>8120.0</v>
      </c>
      <c r="N31" s="119">
        <f>VLOOKUP(M31,MASTER!$C$2:$F37,4,0)</f>
        <v>2250</v>
      </c>
      <c r="O31" s="119">
        <f t="shared" ref="O31:O32" si="9">$G$10+$G31</f>
        <v>2380</v>
      </c>
      <c r="P31" s="138"/>
      <c r="Q31" s="137"/>
      <c r="R31" s="137"/>
      <c r="S31" s="137"/>
    </row>
    <row r="32">
      <c r="A32" s="3"/>
      <c r="B32" s="115">
        <v>20.0</v>
      </c>
      <c r="C32" s="158" t="s">
        <v>1062</v>
      </c>
      <c r="D32" s="159" t="s">
        <v>286</v>
      </c>
      <c r="E32" s="142" t="s">
        <v>138</v>
      </c>
      <c r="F32" s="39">
        <f t="array" ref="F32:G32">VLOOKUP(D32,MASTER!$C$2:$F37,{3,4},0)</f>
        <v>750</v>
      </c>
      <c r="G32" s="75">
        <v>750.0</v>
      </c>
      <c r="H32" s="143">
        <f t="shared" si="1"/>
        <v>0</v>
      </c>
      <c r="I32" s="55"/>
      <c r="J32" s="160">
        <v>8318.0</v>
      </c>
      <c r="K32" s="119">
        <f>VLOOKUP(J32,MASTER!$C$2:$F37,4,0)</f>
        <v>2130</v>
      </c>
      <c r="L32" s="119">
        <f t="shared" si="8"/>
        <v>2210</v>
      </c>
      <c r="M32" s="160">
        <v>8320.0</v>
      </c>
      <c r="N32" s="119">
        <f>VLOOKUP(M32,MASTER!$C$2:$F37,4,0)</f>
        <v>2190</v>
      </c>
      <c r="O32" s="119">
        <f t="shared" si="9"/>
        <v>2270</v>
      </c>
      <c r="P32" s="138"/>
      <c r="Q32" s="137"/>
      <c r="R32" s="137"/>
      <c r="S32" s="137"/>
    </row>
    <row r="33">
      <c r="A33" s="3"/>
      <c r="B33" s="115">
        <v>21.0</v>
      </c>
      <c r="C33" s="158" t="s">
        <v>1064</v>
      </c>
      <c r="D33" s="159" t="s">
        <v>289</v>
      </c>
      <c r="E33" s="142" t="s">
        <v>138</v>
      </c>
      <c r="F33" s="39">
        <f t="array" ref="F33:G33">VLOOKUP(D33,MASTER!$C$2:$F37,{3,4},0)</f>
        <v>790</v>
      </c>
      <c r="G33" s="161" t="s">
        <v>202</v>
      </c>
      <c r="H33" s="143" t="str">
        <f t="shared" si="1"/>
        <v/>
      </c>
      <c r="I33" s="55"/>
      <c r="J33" s="160">
        <v>8518.0</v>
      </c>
      <c r="K33" s="119"/>
      <c r="L33" s="119"/>
      <c r="M33" s="160">
        <v>8520.0</v>
      </c>
      <c r="N33" s="119"/>
      <c r="O33" s="119"/>
      <c r="P33" s="138"/>
      <c r="Q33" s="137"/>
      <c r="R33" s="137"/>
      <c r="S33" s="137"/>
    </row>
    <row r="34">
      <c r="A34" s="3"/>
      <c r="B34" s="115">
        <v>22.0</v>
      </c>
      <c r="C34" s="158" t="s">
        <v>1066</v>
      </c>
      <c r="D34" s="159" t="s">
        <v>290</v>
      </c>
      <c r="E34" s="142" t="s">
        <v>138</v>
      </c>
      <c r="F34" s="39">
        <f t="array" ref="F34:G34">VLOOKUP(D34,MASTER!$C$2:$F37,{3,4},0)</f>
        <v>680</v>
      </c>
      <c r="G34" s="75">
        <v>720.0</v>
      </c>
      <c r="H34" s="143">
        <f t="shared" si="1"/>
        <v>0.05882352941</v>
      </c>
      <c r="I34" s="55"/>
      <c r="J34" s="160">
        <v>8718.0</v>
      </c>
      <c r="K34" s="119">
        <f>VLOOKUP(J34,MASTER!$C$2:$F37,4,0)</f>
        <v>2120</v>
      </c>
      <c r="L34" s="119">
        <f>$G$9+$G34</f>
        <v>2180</v>
      </c>
      <c r="M34" s="160">
        <v>8720.0</v>
      </c>
      <c r="N34" s="119">
        <f>VLOOKUP(M34,MASTER!$C$2:$F37,4,0)</f>
        <v>2180</v>
      </c>
      <c r="O34" s="119">
        <f>$G$10+$G34</f>
        <v>2240</v>
      </c>
      <c r="P34" s="138"/>
      <c r="Q34" s="137"/>
      <c r="R34" s="137"/>
      <c r="S34" s="137"/>
    </row>
    <row r="35">
      <c r="A35" s="3"/>
      <c r="B35" s="115">
        <v>23.0</v>
      </c>
      <c r="C35" s="158" t="s">
        <v>1068</v>
      </c>
      <c r="D35" s="159" t="s">
        <v>293</v>
      </c>
      <c r="E35" s="142" t="s">
        <v>138</v>
      </c>
      <c r="F35" s="39">
        <f t="array" ref="F35:G35">VLOOKUP(D35,MASTER!$C$2:$F37,{3,4},0)</f>
        <v>750</v>
      </c>
      <c r="G35" s="161" t="s">
        <v>202</v>
      </c>
      <c r="H35" s="143" t="str">
        <f t="shared" si="1"/>
        <v/>
      </c>
      <c r="I35" s="55"/>
      <c r="J35" s="160">
        <v>8918.0</v>
      </c>
      <c r="K35" s="119"/>
      <c r="L35" s="119"/>
      <c r="M35" s="160">
        <v>8920.0</v>
      </c>
      <c r="N35" s="119"/>
      <c r="O35" s="119"/>
      <c r="P35" s="138"/>
      <c r="Q35" s="137"/>
      <c r="R35" s="137"/>
      <c r="S35" s="137"/>
    </row>
    <row r="36">
      <c r="A36" s="3"/>
      <c r="B36" s="115">
        <v>24.0</v>
      </c>
      <c r="C36" s="158" t="s">
        <v>1069</v>
      </c>
      <c r="D36" s="159" t="s">
        <v>294</v>
      </c>
      <c r="E36" s="142" t="s">
        <v>138</v>
      </c>
      <c r="F36" s="39">
        <f t="array" ref="F36:G36">VLOOKUP(D36,MASTER!$C$2:$F37,{3,4},0)</f>
        <v>750</v>
      </c>
      <c r="G36" s="75">
        <v>790.0</v>
      </c>
      <c r="H36" s="143">
        <f t="shared" si="1"/>
        <v>0.05333333333</v>
      </c>
      <c r="I36" s="55"/>
      <c r="J36" s="160">
        <v>9018.0</v>
      </c>
      <c r="K36" s="119">
        <f>VLOOKUP(J36,MASTER!$C$2:$F37,4,0)</f>
        <v>2160</v>
      </c>
      <c r="L36" s="119">
        <f t="shared" ref="L36:L37" si="10">$G$9+$G36</f>
        <v>2250</v>
      </c>
      <c r="M36" s="160">
        <v>9020.0</v>
      </c>
      <c r="N36" s="119">
        <f>VLOOKUP(M36,MASTER!$C$2:$F37,4,0)</f>
        <v>2220</v>
      </c>
      <c r="O36" s="119">
        <f t="shared" ref="O36:O37" si="11">$G$10+$G36</f>
        <v>2310</v>
      </c>
      <c r="P36" s="138"/>
      <c r="Q36" s="137"/>
      <c r="R36" s="137"/>
      <c r="S36" s="137"/>
    </row>
    <row r="37">
      <c r="A37" s="3"/>
      <c r="B37" s="115">
        <v>25.0</v>
      </c>
      <c r="C37" s="158" t="s">
        <v>1071</v>
      </c>
      <c r="D37" s="159" t="s">
        <v>297</v>
      </c>
      <c r="E37" s="142" t="s">
        <v>138</v>
      </c>
      <c r="F37" s="39">
        <f t="array" ref="F37:G37">VLOOKUP(D37,MASTER!$C$2:$F37,{3,4},0)</f>
        <v>790</v>
      </c>
      <c r="G37" s="75">
        <v>790.0</v>
      </c>
      <c r="H37" s="143">
        <f t="shared" si="1"/>
        <v>0</v>
      </c>
      <c r="I37" s="55"/>
      <c r="J37" s="160">
        <v>9318.0</v>
      </c>
      <c r="K37" s="119">
        <f>VLOOKUP(J37,MASTER!$C$2:$F37,4,0)</f>
        <v>2130</v>
      </c>
      <c r="L37" s="119">
        <f t="shared" si="10"/>
        <v>2250</v>
      </c>
      <c r="M37" s="160">
        <v>9320.0</v>
      </c>
      <c r="N37" s="119">
        <f>VLOOKUP(M37,MASTER!$C$2:$F37,4,0)</f>
        <v>2190</v>
      </c>
      <c r="O37" s="119">
        <f t="shared" si="11"/>
        <v>2310</v>
      </c>
      <c r="P37" s="138"/>
      <c r="Q37" s="137"/>
      <c r="R37" s="137"/>
      <c r="S37" s="137"/>
    </row>
  </sheetData>
  <mergeCells count="6">
    <mergeCell ref="C3:C4"/>
    <mergeCell ref="C6:C7"/>
    <mergeCell ref="C9:C10"/>
    <mergeCell ref="B12:E12"/>
    <mergeCell ref="K12:L12"/>
    <mergeCell ref="N12:O12"/>
  </mergeCells>
  <conditionalFormatting sqref="L13:L37">
    <cfRule type="cellIs" dxfId="0" priority="1" operator="lessThan">
      <formula>K13</formula>
    </cfRule>
  </conditionalFormatting>
  <conditionalFormatting sqref="O13:O37">
    <cfRule type="cellIs" dxfId="1" priority="2" operator="lessThan">
      <formula>N13</formula>
    </cfRule>
  </conditionalFormatting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3.38"/>
    <col customWidth="1" min="3" max="3" width="80.38"/>
    <col customWidth="1" min="4" max="5" width="10.75"/>
    <col customWidth="1" min="6" max="6" width="8.88"/>
    <col customWidth="1" min="7" max="7" width="9.0"/>
    <col customWidth="1" min="8" max="8" width="11.5"/>
    <col customWidth="1" min="9" max="9" width="9.88"/>
    <col customWidth="1" min="10" max="10" width="7.13"/>
    <col customWidth="1" min="11" max="13" width="9.88"/>
  </cols>
  <sheetData>
    <row r="1" ht="62.25" customHeight="1">
      <c r="A1" s="101" t="s">
        <v>3</v>
      </c>
      <c r="B1" s="18" t="s">
        <v>1076</v>
      </c>
      <c r="C1" s="18" t="s">
        <v>1077</v>
      </c>
      <c r="D1" s="163" t="s">
        <v>1078</v>
      </c>
      <c r="E1" s="164" t="s">
        <v>1080</v>
      </c>
      <c r="F1" s="23" t="s">
        <v>20</v>
      </c>
      <c r="G1" s="101"/>
      <c r="H1" s="19" t="s">
        <v>1081</v>
      </c>
      <c r="I1" s="165" t="s">
        <v>20</v>
      </c>
      <c r="J1" s="43" t="s">
        <v>1082</v>
      </c>
      <c r="K1" s="166"/>
      <c r="L1" s="166"/>
      <c r="M1" s="166"/>
    </row>
    <row r="2">
      <c r="A2" s="115">
        <v>1.0</v>
      </c>
      <c r="B2" s="48" t="s">
        <v>1084</v>
      </c>
      <c r="C2" s="48" t="s">
        <v>1085</v>
      </c>
      <c r="D2" s="75">
        <v>6250.0</v>
      </c>
      <c r="E2" s="167">
        <v>6950.0</v>
      </c>
      <c r="F2" s="168">
        <f t="shared" ref="F2:F293" si="1">IFERROR(DIVIDE(MINUS(E2,D2),D2),)</f>
        <v>0.112</v>
      </c>
      <c r="G2" s="62">
        <f t="shared" ref="G2:G293" si="2">IFERROR(E2/J2,"")</f>
        <v>3.837658752</v>
      </c>
      <c r="H2" s="39">
        <v>7190.0</v>
      </c>
      <c r="I2" s="169">
        <f t="shared" ref="I2:I293" si="3">IFERROR(DIVIDE(MINUS(H2,D2),D2),)</f>
        <v>0.1504</v>
      </c>
      <c r="J2" s="170">
        <f>IFERROR(__xludf.DUMMYFUNCTION("IMPORTRANGE(""https://docs.google.com/spreadsheets/d/16dZRPaphajjlkf2Ja2gBBmS09q5U07RyP5f12wcn3RY/edit?gid=197523560#gid=197523560"",""Accessories!I2:I293"")"),1811.0)</f>
        <v>1811</v>
      </c>
      <c r="K2" s="137">
        <f t="shared" ref="K2:K293" si="4">IFERROR(H2/J2,"")</f>
        <v>3.97018222</v>
      </c>
      <c r="L2" s="137"/>
      <c r="M2" s="137"/>
    </row>
    <row r="3">
      <c r="A3" s="115">
        <v>2.0</v>
      </c>
      <c r="B3" s="48" t="s">
        <v>1088</v>
      </c>
      <c r="C3" s="48" t="s">
        <v>1089</v>
      </c>
      <c r="D3" s="75">
        <v>490.0</v>
      </c>
      <c r="E3" s="171">
        <v>560.0</v>
      </c>
      <c r="F3" s="168">
        <f t="shared" si="1"/>
        <v>0.1428571429</v>
      </c>
      <c r="G3" s="62">
        <f t="shared" si="2"/>
        <v>3.522012579</v>
      </c>
      <c r="H3" s="75">
        <v>580.0</v>
      </c>
      <c r="I3" s="169">
        <f t="shared" si="3"/>
        <v>0.1836734694</v>
      </c>
      <c r="J3" s="170">
        <f>IFERROR(__xludf.DUMMYFUNCTION("""COMPUTED_VALUE"""),159.0)</f>
        <v>159</v>
      </c>
      <c r="K3" s="137">
        <f t="shared" si="4"/>
        <v>3.647798742</v>
      </c>
      <c r="L3" s="137"/>
      <c r="M3" s="137"/>
    </row>
    <row r="4">
      <c r="A4" s="115">
        <v>3.0</v>
      </c>
      <c r="B4" s="48" t="s">
        <v>1091</v>
      </c>
      <c r="C4" s="48" t="s">
        <v>1092</v>
      </c>
      <c r="D4" s="75">
        <v>490.0</v>
      </c>
      <c r="E4" s="171">
        <v>560.0</v>
      </c>
      <c r="F4" s="168">
        <f t="shared" si="1"/>
        <v>0.1428571429</v>
      </c>
      <c r="G4" s="62">
        <f t="shared" si="2"/>
        <v>3.636363636</v>
      </c>
      <c r="H4" s="75">
        <v>580.0</v>
      </c>
      <c r="I4" s="169">
        <f t="shared" si="3"/>
        <v>0.1836734694</v>
      </c>
      <c r="J4" s="170">
        <f>IFERROR(__xludf.DUMMYFUNCTION("""COMPUTED_VALUE"""),154.0)</f>
        <v>154</v>
      </c>
      <c r="K4" s="137">
        <f t="shared" si="4"/>
        <v>3.766233766</v>
      </c>
      <c r="L4" s="137"/>
      <c r="M4" s="137"/>
    </row>
    <row r="5">
      <c r="A5" s="115">
        <v>4.0</v>
      </c>
      <c r="B5" s="48" t="s">
        <v>1093</v>
      </c>
      <c r="C5" s="48" t="s">
        <v>1094</v>
      </c>
      <c r="D5" s="75">
        <v>490.0</v>
      </c>
      <c r="E5" s="171">
        <v>560.0</v>
      </c>
      <c r="F5" s="168">
        <f t="shared" si="1"/>
        <v>0.1428571429</v>
      </c>
      <c r="G5" s="62">
        <f t="shared" si="2"/>
        <v>3.522012579</v>
      </c>
      <c r="H5" s="75">
        <v>580.0</v>
      </c>
      <c r="I5" s="169">
        <f t="shared" si="3"/>
        <v>0.1836734694</v>
      </c>
      <c r="J5" s="170">
        <f>IFERROR(__xludf.DUMMYFUNCTION("""COMPUTED_VALUE"""),159.0)</f>
        <v>159</v>
      </c>
      <c r="K5" s="137">
        <f t="shared" si="4"/>
        <v>3.647798742</v>
      </c>
      <c r="L5" s="137"/>
      <c r="M5" s="137"/>
    </row>
    <row r="6">
      <c r="A6" s="115">
        <v>5.0</v>
      </c>
      <c r="B6" s="48" t="s">
        <v>1096</v>
      </c>
      <c r="C6" s="48" t="s">
        <v>1097</v>
      </c>
      <c r="D6" s="75">
        <v>470.0</v>
      </c>
      <c r="E6" s="171">
        <v>540.0</v>
      </c>
      <c r="F6" s="168">
        <f t="shared" si="1"/>
        <v>0.1489361702</v>
      </c>
      <c r="G6" s="62">
        <f t="shared" si="2"/>
        <v>3.857142857</v>
      </c>
      <c r="H6" s="75">
        <v>580.0</v>
      </c>
      <c r="I6" s="169">
        <f t="shared" si="3"/>
        <v>0.2340425532</v>
      </c>
      <c r="J6" s="170">
        <f>IFERROR(__xludf.DUMMYFUNCTION("""COMPUTED_VALUE"""),140.0)</f>
        <v>140</v>
      </c>
      <c r="K6" s="137">
        <f t="shared" si="4"/>
        <v>4.142857143</v>
      </c>
      <c r="L6" s="137"/>
      <c r="M6" s="137"/>
    </row>
    <row r="7">
      <c r="A7" s="115">
        <v>6.0</v>
      </c>
      <c r="B7" s="48" t="s">
        <v>307</v>
      </c>
      <c r="C7" s="48" t="s">
        <v>308</v>
      </c>
      <c r="D7" s="75">
        <v>590.0</v>
      </c>
      <c r="E7" s="171">
        <v>670.0</v>
      </c>
      <c r="F7" s="168">
        <f t="shared" si="1"/>
        <v>0.1355932203</v>
      </c>
      <c r="G7" s="62">
        <f t="shared" si="2"/>
        <v>3.722222222</v>
      </c>
      <c r="H7" s="75">
        <v>690.0</v>
      </c>
      <c r="I7" s="169">
        <f t="shared" si="3"/>
        <v>0.1694915254</v>
      </c>
      <c r="J7" s="170">
        <f>IFERROR(__xludf.DUMMYFUNCTION("""COMPUTED_VALUE"""),180.0)</f>
        <v>180</v>
      </c>
      <c r="K7" s="137">
        <f t="shared" si="4"/>
        <v>3.833333333</v>
      </c>
      <c r="L7" s="137"/>
      <c r="M7" s="137"/>
    </row>
    <row r="8">
      <c r="A8" s="115">
        <v>7.0</v>
      </c>
      <c r="B8" s="48" t="s">
        <v>310</v>
      </c>
      <c r="C8" s="48" t="s">
        <v>312</v>
      </c>
      <c r="D8" s="75">
        <v>540.0</v>
      </c>
      <c r="E8" s="171">
        <v>620.0</v>
      </c>
      <c r="F8" s="168">
        <f t="shared" si="1"/>
        <v>0.1481481481</v>
      </c>
      <c r="G8" s="62">
        <f t="shared" si="2"/>
        <v>3.668639053</v>
      </c>
      <c r="H8" s="75">
        <v>640.0</v>
      </c>
      <c r="I8" s="169">
        <f t="shared" si="3"/>
        <v>0.1851851852</v>
      </c>
      <c r="J8" s="170">
        <f>IFERROR(__xludf.DUMMYFUNCTION("""COMPUTED_VALUE"""),169.0)</f>
        <v>169</v>
      </c>
      <c r="K8" s="137">
        <f t="shared" si="4"/>
        <v>3.786982249</v>
      </c>
      <c r="L8" s="137"/>
      <c r="M8" s="137"/>
    </row>
    <row r="9">
      <c r="A9" s="115">
        <v>8.0</v>
      </c>
      <c r="B9" s="48" t="s">
        <v>1098</v>
      </c>
      <c r="C9" s="48" t="s">
        <v>1099</v>
      </c>
      <c r="D9" s="75">
        <v>1990.0</v>
      </c>
      <c r="E9" s="171">
        <v>2290.0</v>
      </c>
      <c r="F9" s="168">
        <f t="shared" si="1"/>
        <v>0.1507537688</v>
      </c>
      <c r="G9" s="62">
        <f t="shared" si="2"/>
        <v>3.747954173</v>
      </c>
      <c r="H9" s="75">
        <v>2390.0</v>
      </c>
      <c r="I9" s="169">
        <f t="shared" si="3"/>
        <v>0.2010050251</v>
      </c>
      <c r="J9" s="170">
        <f>IFERROR(__xludf.DUMMYFUNCTION("""COMPUTED_VALUE"""),611.0)</f>
        <v>611</v>
      </c>
      <c r="K9" s="137">
        <f t="shared" si="4"/>
        <v>3.911620295</v>
      </c>
      <c r="L9" s="137"/>
      <c r="M9" s="137"/>
    </row>
    <row r="10">
      <c r="A10" s="115">
        <v>9.0</v>
      </c>
      <c r="B10" s="48" t="s">
        <v>1100</v>
      </c>
      <c r="C10" s="48" t="s">
        <v>1101</v>
      </c>
      <c r="D10" s="75">
        <v>790.0</v>
      </c>
      <c r="E10" s="171">
        <v>870.0</v>
      </c>
      <c r="F10" s="168">
        <f t="shared" si="1"/>
        <v>0.1012658228</v>
      </c>
      <c r="G10" s="62">
        <f t="shared" si="2"/>
        <v>3.866666667</v>
      </c>
      <c r="H10" s="75">
        <v>910.0</v>
      </c>
      <c r="I10" s="169">
        <f t="shared" si="3"/>
        <v>0.1518987342</v>
      </c>
      <c r="J10" s="170">
        <f>IFERROR(__xludf.DUMMYFUNCTION("""COMPUTED_VALUE"""),225.0)</f>
        <v>225</v>
      </c>
      <c r="K10" s="137">
        <f t="shared" si="4"/>
        <v>4.044444444</v>
      </c>
      <c r="L10" s="137"/>
      <c r="M10" s="137"/>
    </row>
    <row r="11">
      <c r="A11" s="115">
        <v>10.0</v>
      </c>
      <c r="B11" s="48" t="s">
        <v>1103</v>
      </c>
      <c r="C11" s="48" t="s">
        <v>1104</v>
      </c>
      <c r="D11" s="75">
        <v>1190.0</v>
      </c>
      <c r="E11" s="171">
        <v>1290.0</v>
      </c>
      <c r="F11" s="168">
        <f t="shared" si="1"/>
        <v>0.08403361345</v>
      </c>
      <c r="G11" s="62">
        <f t="shared" si="2"/>
        <v>3.862275449</v>
      </c>
      <c r="H11" s="75">
        <v>1340.0</v>
      </c>
      <c r="I11" s="169">
        <f t="shared" si="3"/>
        <v>0.1260504202</v>
      </c>
      <c r="J11" s="170">
        <f>IFERROR(__xludf.DUMMYFUNCTION("""COMPUTED_VALUE"""),334.0)</f>
        <v>334</v>
      </c>
      <c r="K11" s="137">
        <f t="shared" si="4"/>
        <v>4.011976048</v>
      </c>
      <c r="L11" s="137"/>
      <c r="M11" s="137"/>
    </row>
    <row r="12">
      <c r="A12" s="115">
        <v>11.0</v>
      </c>
      <c r="B12" s="48" t="s">
        <v>1105</v>
      </c>
      <c r="C12" s="48" t="s">
        <v>1106</v>
      </c>
      <c r="D12" s="75">
        <v>1570.0</v>
      </c>
      <c r="E12" s="171">
        <v>1740.0</v>
      </c>
      <c r="F12" s="168">
        <f t="shared" si="1"/>
        <v>0.1082802548</v>
      </c>
      <c r="G12" s="62">
        <f t="shared" si="2"/>
        <v>3.990825688</v>
      </c>
      <c r="H12" s="75">
        <v>1809.6</v>
      </c>
      <c r="I12" s="169">
        <f t="shared" si="3"/>
        <v>0.152611465</v>
      </c>
      <c r="J12" s="170">
        <f>IFERROR(__xludf.DUMMYFUNCTION("""COMPUTED_VALUE"""),436.0)</f>
        <v>436</v>
      </c>
      <c r="K12" s="137">
        <f t="shared" si="4"/>
        <v>4.150458716</v>
      </c>
      <c r="L12" s="137"/>
      <c r="M12" s="137"/>
    </row>
    <row r="13">
      <c r="A13" s="115">
        <v>12.0</v>
      </c>
      <c r="B13" s="48" t="s">
        <v>1107</v>
      </c>
      <c r="C13" s="48" t="s">
        <v>1109</v>
      </c>
      <c r="D13" s="75">
        <v>3990.0</v>
      </c>
      <c r="E13" s="171">
        <v>4480.0</v>
      </c>
      <c r="F13" s="168">
        <f t="shared" si="1"/>
        <v>0.1228070175</v>
      </c>
      <c r="G13" s="62">
        <f t="shared" si="2"/>
        <v>3.909249564</v>
      </c>
      <c r="H13" s="75">
        <v>4660.0</v>
      </c>
      <c r="I13" s="169">
        <f t="shared" si="3"/>
        <v>0.1679197995</v>
      </c>
      <c r="J13" s="170">
        <f>IFERROR(__xludf.DUMMYFUNCTION("""COMPUTED_VALUE"""),1146.0)</f>
        <v>1146</v>
      </c>
      <c r="K13" s="137">
        <f t="shared" si="4"/>
        <v>4.066317627</v>
      </c>
      <c r="L13" s="137"/>
      <c r="M13" s="137"/>
    </row>
    <row r="14">
      <c r="A14" s="115">
        <v>13.0</v>
      </c>
      <c r="B14" s="48" t="s">
        <v>1110</v>
      </c>
      <c r="C14" s="48" t="s">
        <v>1111</v>
      </c>
      <c r="D14" s="75">
        <v>690.0</v>
      </c>
      <c r="E14" s="171">
        <v>790.0</v>
      </c>
      <c r="F14" s="168">
        <f t="shared" si="1"/>
        <v>0.1449275362</v>
      </c>
      <c r="G14" s="62">
        <f t="shared" si="2"/>
        <v>3.41991342</v>
      </c>
      <c r="H14" s="75">
        <v>820.0</v>
      </c>
      <c r="I14" s="169">
        <f t="shared" si="3"/>
        <v>0.1884057971</v>
      </c>
      <c r="J14" s="170">
        <f>IFERROR(__xludf.DUMMYFUNCTION("""COMPUTED_VALUE"""),231.0)</f>
        <v>231</v>
      </c>
      <c r="K14" s="137">
        <f t="shared" si="4"/>
        <v>3.54978355</v>
      </c>
      <c r="L14" s="137"/>
      <c r="M14" s="137"/>
    </row>
    <row r="15">
      <c r="A15" s="115">
        <v>14.0</v>
      </c>
      <c r="B15" s="48" t="s">
        <v>313</v>
      </c>
      <c r="C15" s="48" t="s">
        <v>314</v>
      </c>
      <c r="D15" s="75">
        <v>1390.0</v>
      </c>
      <c r="E15" s="171">
        <v>1540.0</v>
      </c>
      <c r="F15" s="168">
        <f t="shared" si="1"/>
        <v>0.1079136691</v>
      </c>
      <c r="G15" s="62">
        <f t="shared" si="2"/>
        <v>3.746958637</v>
      </c>
      <c r="H15" s="75">
        <v>1590.0</v>
      </c>
      <c r="I15" s="169">
        <f t="shared" si="3"/>
        <v>0.1438848921</v>
      </c>
      <c r="J15" s="170">
        <f>IFERROR(__xludf.DUMMYFUNCTION("""COMPUTED_VALUE"""),411.0)</f>
        <v>411</v>
      </c>
      <c r="K15" s="137">
        <f t="shared" si="4"/>
        <v>3.868613139</v>
      </c>
      <c r="L15" s="137"/>
      <c r="M15" s="137"/>
    </row>
    <row r="16">
      <c r="A16" s="115">
        <v>15.0</v>
      </c>
      <c r="B16" s="48" t="s">
        <v>844</v>
      </c>
      <c r="C16" s="48" t="s">
        <v>845</v>
      </c>
      <c r="D16" s="75">
        <v>890.0</v>
      </c>
      <c r="E16" s="171">
        <v>980.0</v>
      </c>
      <c r="F16" s="168">
        <f t="shared" si="1"/>
        <v>0.1011235955</v>
      </c>
      <c r="G16" s="62">
        <f t="shared" si="2"/>
        <v>3.888888889</v>
      </c>
      <c r="H16" s="75">
        <v>1020.0</v>
      </c>
      <c r="I16" s="169">
        <f t="shared" si="3"/>
        <v>0.1460674157</v>
      </c>
      <c r="J16" s="170">
        <f>IFERROR(__xludf.DUMMYFUNCTION("""COMPUTED_VALUE"""),252.0)</f>
        <v>252</v>
      </c>
      <c r="K16" s="137">
        <f t="shared" si="4"/>
        <v>4.047619048</v>
      </c>
      <c r="L16" s="137"/>
      <c r="M16" s="137"/>
    </row>
    <row r="17">
      <c r="A17" s="115">
        <v>16.0</v>
      </c>
      <c r="B17" s="48" t="s">
        <v>847</v>
      </c>
      <c r="C17" s="48" t="s">
        <v>848</v>
      </c>
      <c r="D17" s="75">
        <v>890.0</v>
      </c>
      <c r="E17" s="171">
        <v>980.0</v>
      </c>
      <c r="F17" s="168">
        <f t="shared" si="1"/>
        <v>0.1011235955</v>
      </c>
      <c r="G17" s="62">
        <f t="shared" si="2"/>
        <v>3.967611336</v>
      </c>
      <c r="H17" s="75">
        <v>1020.0</v>
      </c>
      <c r="I17" s="169">
        <f t="shared" si="3"/>
        <v>0.1460674157</v>
      </c>
      <c r="J17" s="170">
        <f>IFERROR(__xludf.DUMMYFUNCTION("""COMPUTED_VALUE"""),247.0)</f>
        <v>247</v>
      </c>
      <c r="K17" s="137">
        <f t="shared" si="4"/>
        <v>4.129554656</v>
      </c>
      <c r="L17" s="137"/>
      <c r="M17" s="137"/>
    </row>
    <row r="18">
      <c r="A18" s="115">
        <v>17.0</v>
      </c>
      <c r="B18" s="48" t="s">
        <v>850</v>
      </c>
      <c r="C18" s="46" t="s">
        <v>851</v>
      </c>
      <c r="D18" s="75">
        <v>990.0</v>
      </c>
      <c r="E18" s="171">
        <v>1090.0</v>
      </c>
      <c r="F18" s="168">
        <f t="shared" si="1"/>
        <v>0.101010101</v>
      </c>
      <c r="G18" s="62">
        <f t="shared" si="2"/>
        <v>3.797909408</v>
      </c>
      <c r="H18" s="75">
        <v>1140.0</v>
      </c>
      <c r="I18" s="169">
        <f t="shared" si="3"/>
        <v>0.1515151515</v>
      </c>
      <c r="J18" s="170">
        <f>IFERROR(__xludf.DUMMYFUNCTION("""COMPUTED_VALUE"""),287.0)</f>
        <v>287</v>
      </c>
      <c r="K18" s="137">
        <f t="shared" si="4"/>
        <v>3.972125436</v>
      </c>
      <c r="L18" s="137"/>
      <c r="M18" s="137"/>
    </row>
    <row r="19">
      <c r="A19" s="115">
        <v>18.0</v>
      </c>
      <c r="B19" s="48" t="s">
        <v>852</v>
      </c>
      <c r="C19" s="46" t="s">
        <v>853</v>
      </c>
      <c r="D19" s="75">
        <v>990.0</v>
      </c>
      <c r="E19" s="171">
        <v>1090.0</v>
      </c>
      <c r="F19" s="168">
        <f t="shared" si="1"/>
        <v>0.101010101</v>
      </c>
      <c r="G19" s="62">
        <f t="shared" si="2"/>
        <v>3.865248227</v>
      </c>
      <c r="H19" s="75">
        <v>1140.0</v>
      </c>
      <c r="I19" s="169">
        <f t="shared" si="3"/>
        <v>0.1515151515</v>
      </c>
      <c r="J19" s="170">
        <f>IFERROR(__xludf.DUMMYFUNCTION("""COMPUTED_VALUE"""),282.0)</f>
        <v>282</v>
      </c>
      <c r="K19" s="137">
        <f t="shared" si="4"/>
        <v>4.042553191</v>
      </c>
      <c r="L19" s="137"/>
      <c r="M19" s="137"/>
    </row>
    <row r="20">
      <c r="A20" s="115">
        <v>19.0</v>
      </c>
      <c r="B20" s="48" t="s">
        <v>1113</v>
      </c>
      <c r="C20" s="46" t="s">
        <v>1114</v>
      </c>
      <c r="D20" s="75">
        <v>930.0</v>
      </c>
      <c r="E20" s="171">
        <v>1090.0</v>
      </c>
      <c r="F20" s="168">
        <f t="shared" si="1"/>
        <v>0.1720430108</v>
      </c>
      <c r="G20" s="62">
        <f t="shared" si="2"/>
        <v>3.333333333</v>
      </c>
      <c r="H20" s="75">
        <v>1140.0</v>
      </c>
      <c r="I20" s="169">
        <f t="shared" si="3"/>
        <v>0.2258064516</v>
      </c>
      <c r="J20" s="170">
        <f>IFERROR(__xludf.DUMMYFUNCTION("""COMPUTED_VALUE"""),327.0)</f>
        <v>327</v>
      </c>
      <c r="K20" s="137">
        <f t="shared" si="4"/>
        <v>3.486238532</v>
      </c>
      <c r="L20" s="137"/>
      <c r="M20" s="137"/>
    </row>
    <row r="21">
      <c r="A21" s="115">
        <v>20.0</v>
      </c>
      <c r="B21" s="48" t="s">
        <v>1115</v>
      </c>
      <c r="C21" s="46" t="s">
        <v>1116</v>
      </c>
      <c r="D21" s="75">
        <v>890.0</v>
      </c>
      <c r="E21" s="171">
        <v>990.0</v>
      </c>
      <c r="F21" s="168">
        <f t="shared" si="1"/>
        <v>0.1123595506</v>
      </c>
      <c r="G21" s="62">
        <f t="shared" si="2"/>
        <v>3.152866242</v>
      </c>
      <c r="H21" s="75">
        <v>1029.6</v>
      </c>
      <c r="I21" s="169">
        <f t="shared" si="3"/>
        <v>0.1568539326</v>
      </c>
      <c r="J21" s="170">
        <f>IFERROR(__xludf.DUMMYFUNCTION("""COMPUTED_VALUE"""),314.0)</f>
        <v>314</v>
      </c>
      <c r="K21" s="137">
        <f t="shared" si="4"/>
        <v>3.278980892</v>
      </c>
      <c r="L21" s="137"/>
      <c r="M21" s="137"/>
    </row>
    <row r="22">
      <c r="A22" s="115">
        <v>21.0</v>
      </c>
      <c r="B22" s="48" t="s">
        <v>317</v>
      </c>
      <c r="C22" s="46" t="s">
        <v>318</v>
      </c>
      <c r="D22" s="75">
        <v>790.0</v>
      </c>
      <c r="E22" s="171">
        <v>890.0</v>
      </c>
      <c r="F22" s="168">
        <f t="shared" si="1"/>
        <v>0.1265822785</v>
      </c>
      <c r="G22" s="62">
        <f t="shared" si="2"/>
        <v>3.296296296</v>
      </c>
      <c r="H22" s="75">
        <v>920.0</v>
      </c>
      <c r="I22" s="169">
        <f t="shared" si="3"/>
        <v>0.164556962</v>
      </c>
      <c r="J22" s="170">
        <f>IFERROR(__xludf.DUMMYFUNCTION("""COMPUTED_VALUE"""),270.0)</f>
        <v>270</v>
      </c>
      <c r="K22" s="137">
        <f t="shared" si="4"/>
        <v>3.407407407</v>
      </c>
      <c r="L22" s="137"/>
      <c r="M22" s="137"/>
    </row>
    <row r="23">
      <c r="A23" s="115">
        <v>22.0</v>
      </c>
      <c r="B23" s="48" t="s">
        <v>1117</v>
      </c>
      <c r="C23" s="46" t="s">
        <v>1118</v>
      </c>
      <c r="D23" s="75">
        <v>2490.0</v>
      </c>
      <c r="E23" s="171">
        <v>2780.0</v>
      </c>
      <c r="F23" s="168">
        <f t="shared" si="1"/>
        <v>0.1164658635</v>
      </c>
      <c r="G23" s="62">
        <f t="shared" si="2"/>
        <v>3.377885784</v>
      </c>
      <c r="H23" s="75">
        <v>2890.0</v>
      </c>
      <c r="I23" s="169">
        <f t="shared" si="3"/>
        <v>0.1606425703</v>
      </c>
      <c r="J23" s="170">
        <f>IFERROR(__xludf.DUMMYFUNCTION("""COMPUTED_VALUE"""),823.0)</f>
        <v>823</v>
      </c>
      <c r="K23" s="137">
        <f t="shared" si="4"/>
        <v>3.511543135</v>
      </c>
      <c r="L23" s="137"/>
      <c r="M23" s="137"/>
    </row>
    <row r="24">
      <c r="A24" s="115">
        <v>23.0</v>
      </c>
      <c r="B24" s="48" t="s">
        <v>1119</v>
      </c>
      <c r="C24" s="48" t="s">
        <v>1120</v>
      </c>
      <c r="D24" s="75">
        <v>1990.0</v>
      </c>
      <c r="E24" s="171">
        <v>2490.0</v>
      </c>
      <c r="F24" s="168">
        <f t="shared" si="1"/>
        <v>0.2512562814</v>
      </c>
      <c r="G24" s="62">
        <f t="shared" si="2"/>
        <v>3.180076628</v>
      </c>
      <c r="H24" s="75">
        <v>2589.6</v>
      </c>
      <c r="I24" s="169">
        <f t="shared" si="3"/>
        <v>0.3013065327</v>
      </c>
      <c r="J24" s="170">
        <f>IFERROR(__xludf.DUMMYFUNCTION("""COMPUTED_VALUE"""),783.0)</f>
        <v>783</v>
      </c>
      <c r="K24" s="137">
        <f t="shared" si="4"/>
        <v>3.307279693</v>
      </c>
      <c r="L24" s="137"/>
      <c r="M24" s="137"/>
    </row>
    <row r="25">
      <c r="A25" s="115">
        <v>24.0</v>
      </c>
      <c r="B25" s="48" t="s">
        <v>319</v>
      </c>
      <c r="C25" s="48" t="s">
        <v>320</v>
      </c>
      <c r="D25" s="75">
        <v>690.0</v>
      </c>
      <c r="E25" s="171">
        <v>890.0</v>
      </c>
      <c r="F25" s="168">
        <f t="shared" si="1"/>
        <v>0.2898550725</v>
      </c>
      <c r="G25" s="62">
        <f t="shared" si="2"/>
        <v>3.296296296</v>
      </c>
      <c r="H25" s="75">
        <v>920.0</v>
      </c>
      <c r="I25" s="169">
        <f t="shared" si="3"/>
        <v>0.3333333333</v>
      </c>
      <c r="J25" s="170">
        <f>IFERROR(__xludf.DUMMYFUNCTION("""COMPUTED_VALUE"""),270.0)</f>
        <v>270</v>
      </c>
      <c r="K25" s="137">
        <f t="shared" si="4"/>
        <v>3.407407407</v>
      </c>
      <c r="L25" s="137"/>
      <c r="M25" s="137"/>
    </row>
    <row r="26">
      <c r="A26" s="115">
        <v>25.0</v>
      </c>
      <c r="B26" s="48" t="s">
        <v>278</v>
      </c>
      <c r="C26" s="48" t="s">
        <v>279</v>
      </c>
      <c r="D26" s="75">
        <v>1380.0</v>
      </c>
      <c r="E26" s="167">
        <v>1540.0</v>
      </c>
      <c r="F26" s="168">
        <f t="shared" si="1"/>
        <v>0.115942029</v>
      </c>
      <c r="G26" s="62">
        <f t="shared" si="2"/>
        <v>4.583333333</v>
      </c>
      <c r="H26" s="75">
        <v>1640.0</v>
      </c>
      <c r="I26" s="169">
        <f t="shared" si="3"/>
        <v>0.1884057971</v>
      </c>
      <c r="J26" s="170">
        <f>IFERROR(__xludf.DUMMYFUNCTION("""COMPUTED_VALUE"""),336.0)</f>
        <v>336</v>
      </c>
      <c r="K26" s="137">
        <f t="shared" si="4"/>
        <v>4.880952381</v>
      </c>
      <c r="L26" s="137"/>
      <c r="M26" s="137"/>
    </row>
    <row r="27">
      <c r="A27" s="115">
        <v>26.0</v>
      </c>
      <c r="B27" s="48" t="s">
        <v>282</v>
      </c>
      <c r="C27" s="48" t="s">
        <v>283</v>
      </c>
      <c r="D27" s="75">
        <v>790.0</v>
      </c>
      <c r="E27" s="171">
        <v>870.0</v>
      </c>
      <c r="F27" s="168">
        <f t="shared" si="1"/>
        <v>0.1012658228</v>
      </c>
      <c r="G27" s="62">
        <f t="shared" si="2"/>
        <v>3.849557522</v>
      </c>
      <c r="H27" s="75">
        <v>910.0</v>
      </c>
      <c r="I27" s="169">
        <f t="shared" si="3"/>
        <v>0.1518987342</v>
      </c>
      <c r="J27" s="170">
        <f>IFERROR(__xludf.DUMMYFUNCTION("""COMPUTED_VALUE"""),226.0)</f>
        <v>226</v>
      </c>
      <c r="K27" s="137">
        <f t="shared" si="4"/>
        <v>4.026548673</v>
      </c>
      <c r="L27" s="137"/>
      <c r="M27" s="137"/>
    </row>
    <row r="28">
      <c r="A28" s="115">
        <v>27.0</v>
      </c>
      <c r="B28" s="48" t="s">
        <v>287</v>
      </c>
      <c r="C28" s="48" t="s">
        <v>288</v>
      </c>
      <c r="D28" s="75">
        <v>1480.0</v>
      </c>
      <c r="E28" s="171">
        <v>1680.0</v>
      </c>
      <c r="F28" s="168">
        <f t="shared" si="1"/>
        <v>0.1351351351</v>
      </c>
      <c r="G28" s="62">
        <f t="shared" si="2"/>
        <v>4.640883978</v>
      </c>
      <c r="H28" s="75">
        <v>1740.0</v>
      </c>
      <c r="I28" s="169">
        <f t="shared" si="3"/>
        <v>0.1756756757</v>
      </c>
      <c r="J28" s="170">
        <f>IFERROR(__xludf.DUMMYFUNCTION("""COMPUTED_VALUE"""),362.0)</f>
        <v>362</v>
      </c>
      <c r="K28" s="137">
        <f t="shared" si="4"/>
        <v>4.806629834</v>
      </c>
      <c r="L28" s="137"/>
      <c r="M28" s="137"/>
    </row>
    <row r="29">
      <c r="A29" s="115">
        <v>28.0</v>
      </c>
      <c r="B29" s="48" t="s">
        <v>291</v>
      </c>
      <c r="C29" s="48" t="s">
        <v>292</v>
      </c>
      <c r="D29" s="75">
        <v>890.0</v>
      </c>
      <c r="E29" s="171">
        <v>980.0</v>
      </c>
      <c r="F29" s="168">
        <f t="shared" si="1"/>
        <v>0.1011235955</v>
      </c>
      <c r="G29" s="62">
        <f t="shared" si="2"/>
        <v>3.888888889</v>
      </c>
      <c r="H29" s="75">
        <v>1020.0</v>
      </c>
      <c r="I29" s="169">
        <f t="shared" si="3"/>
        <v>0.1460674157</v>
      </c>
      <c r="J29" s="170">
        <f>IFERROR(__xludf.DUMMYFUNCTION("""COMPUTED_VALUE"""),252.0)</f>
        <v>252</v>
      </c>
      <c r="K29" s="137">
        <f t="shared" si="4"/>
        <v>4.047619048</v>
      </c>
      <c r="L29" s="137"/>
      <c r="M29" s="137"/>
    </row>
    <row r="30">
      <c r="A30" s="115">
        <v>29.0</v>
      </c>
      <c r="B30" s="48" t="s">
        <v>295</v>
      </c>
      <c r="C30" s="48" t="s">
        <v>296</v>
      </c>
      <c r="D30" s="75">
        <v>1790.0</v>
      </c>
      <c r="E30" s="171">
        <v>1790.0</v>
      </c>
      <c r="F30" s="168">
        <f t="shared" si="1"/>
        <v>0</v>
      </c>
      <c r="G30" s="62">
        <f t="shared" si="2"/>
        <v>4.040632054</v>
      </c>
      <c r="H30" s="75">
        <v>1860.0</v>
      </c>
      <c r="I30" s="169">
        <f t="shared" si="3"/>
        <v>0.03910614525</v>
      </c>
      <c r="J30" s="170">
        <f>IFERROR(__xludf.DUMMYFUNCTION("""COMPUTED_VALUE"""),443.0)</f>
        <v>443</v>
      </c>
      <c r="K30" s="137">
        <f t="shared" si="4"/>
        <v>4.198645598</v>
      </c>
      <c r="L30" s="137"/>
      <c r="M30" s="137"/>
    </row>
    <row r="31">
      <c r="A31" s="115">
        <v>30.0</v>
      </c>
      <c r="B31" s="48" t="s">
        <v>298</v>
      </c>
      <c r="C31" s="48" t="s">
        <v>299</v>
      </c>
      <c r="D31" s="75">
        <v>990.0</v>
      </c>
      <c r="E31" s="171">
        <v>1190.0</v>
      </c>
      <c r="F31" s="168">
        <f t="shared" si="1"/>
        <v>0.202020202</v>
      </c>
      <c r="G31" s="62">
        <f t="shared" si="2"/>
        <v>3.584337349</v>
      </c>
      <c r="H31" s="75">
        <v>1240.0</v>
      </c>
      <c r="I31" s="169">
        <f t="shared" si="3"/>
        <v>0.2525252525</v>
      </c>
      <c r="J31" s="170">
        <f>IFERROR(__xludf.DUMMYFUNCTION("""COMPUTED_VALUE"""),332.0)</f>
        <v>332</v>
      </c>
      <c r="K31" s="137">
        <f t="shared" si="4"/>
        <v>3.734939759</v>
      </c>
      <c r="L31" s="137"/>
      <c r="M31" s="137"/>
    </row>
    <row r="32">
      <c r="A32" s="115">
        <v>31.0</v>
      </c>
      <c r="B32" s="48" t="s">
        <v>301</v>
      </c>
      <c r="C32" s="48" t="s">
        <v>302</v>
      </c>
      <c r="D32" s="75">
        <v>2290.0</v>
      </c>
      <c r="E32" s="167">
        <v>2580.0</v>
      </c>
      <c r="F32" s="168">
        <f t="shared" si="1"/>
        <v>0.1266375546</v>
      </c>
      <c r="G32" s="62">
        <f t="shared" si="2"/>
        <v>3.644067797</v>
      </c>
      <c r="H32" s="75">
        <v>2990.0</v>
      </c>
      <c r="I32" s="169">
        <f t="shared" si="3"/>
        <v>0.3056768559</v>
      </c>
      <c r="J32" s="170">
        <f>IFERROR(__xludf.DUMMYFUNCTION("""COMPUTED_VALUE"""),708.0)</f>
        <v>708</v>
      </c>
      <c r="K32" s="137">
        <f t="shared" si="4"/>
        <v>4.223163842</v>
      </c>
      <c r="L32" s="137"/>
      <c r="M32" s="137"/>
    </row>
    <row r="33">
      <c r="A33" s="115">
        <v>32.0</v>
      </c>
      <c r="B33" s="48" t="s">
        <v>304</v>
      </c>
      <c r="C33" s="48" t="s">
        <v>305</v>
      </c>
      <c r="D33" s="75">
        <v>1890.0</v>
      </c>
      <c r="E33" s="171">
        <v>2080.0</v>
      </c>
      <c r="F33" s="168">
        <f t="shared" si="1"/>
        <v>0.1005291005</v>
      </c>
      <c r="G33" s="62">
        <f t="shared" si="2"/>
        <v>3.924528302</v>
      </c>
      <c r="H33" s="75">
        <v>2160.0</v>
      </c>
      <c r="I33" s="169">
        <f t="shared" si="3"/>
        <v>0.1428571429</v>
      </c>
      <c r="J33" s="170">
        <f>IFERROR(__xludf.DUMMYFUNCTION("""COMPUTED_VALUE"""),530.0)</f>
        <v>530</v>
      </c>
      <c r="K33" s="137">
        <f t="shared" si="4"/>
        <v>4.075471698</v>
      </c>
      <c r="L33" s="137"/>
      <c r="M33" s="137"/>
    </row>
    <row r="34">
      <c r="A34" s="115">
        <v>33.0</v>
      </c>
      <c r="B34" s="48" t="s">
        <v>323</v>
      </c>
      <c r="C34" s="48" t="s">
        <v>324</v>
      </c>
      <c r="D34" s="75">
        <v>1990.0</v>
      </c>
      <c r="E34" s="171">
        <v>2290.0</v>
      </c>
      <c r="F34" s="168">
        <f t="shared" si="1"/>
        <v>0.1507537688</v>
      </c>
      <c r="G34" s="62">
        <f t="shared" si="2"/>
        <v>4.010507881</v>
      </c>
      <c r="H34" s="75">
        <v>2380.0</v>
      </c>
      <c r="I34" s="169">
        <f t="shared" si="3"/>
        <v>0.1959798995</v>
      </c>
      <c r="J34" s="170">
        <f>IFERROR(__xludf.DUMMYFUNCTION("""COMPUTED_VALUE"""),571.0)</f>
        <v>571</v>
      </c>
      <c r="K34" s="137">
        <f t="shared" si="4"/>
        <v>4.168126095</v>
      </c>
      <c r="L34" s="137"/>
      <c r="M34" s="137"/>
    </row>
    <row r="35">
      <c r="A35" s="115">
        <v>34.0</v>
      </c>
      <c r="B35" s="48" t="s">
        <v>325</v>
      </c>
      <c r="C35" s="48" t="s">
        <v>326</v>
      </c>
      <c r="D35" s="75">
        <v>990.0</v>
      </c>
      <c r="E35" s="171">
        <v>1140.0</v>
      </c>
      <c r="F35" s="168">
        <f t="shared" si="1"/>
        <v>0.1515151515</v>
      </c>
      <c r="G35" s="62">
        <f t="shared" si="2"/>
        <v>3.8</v>
      </c>
      <c r="H35" s="75">
        <v>1190.0</v>
      </c>
      <c r="I35" s="169">
        <f t="shared" si="3"/>
        <v>0.202020202</v>
      </c>
      <c r="J35" s="170">
        <f>IFERROR(__xludf.DUMMYFUNCTION("""COMPUTED_VALUE"""),300.0)</f>
        <v>300</v>
      </c>
      <c r="K35" s="137">
        <f t="shared" si="4"/>
        <v>3.966666667</v>
      </c>
      <c r="L35" s="137"/>
      <c r="M35" s="137"/>
    </row>
    <row r="36">
      <c r="A36" s="115">
        <v>35.0</v>
      </c>
      <c r="B36" s="48" t="s">
        <v>327</v>
      </c>
      <c r="C36" s="48" t="s">
        <v>328</v>
      </c>
      <c r="D36" s="75">
        <v>790.0</v>
      </c>
      <c r="E36" s="171">
        <v>870.0</v>
      </c>
      <c r="F36" s="168">
        <f t="shared" si="1"/>
        <v>0.1012658228</v>
      </c>
      <c r="G36" s="62">
        <f t="shared" si="2"/>
        <v>3.766233766</v>
      </c>
      <c r="H36" s="75">
        <v>910.0</v>
      </c>
      <c r="I36" s="169">
        <f t="shared" si="3"/>
        <v>0.1518987342</v>
      </c>
      <c r="J36" s="170">
        <f>IFERROR(__xludf.DUMMYFUNCTION("""COMPUTED_VALUE"""),231.0)</f>
        <v>231</v>
      </c>
      <c r="K36" s="137">
        <f t="shared" si="4"/>
        <v>3.939393939</v>
      </c>
      <c r="L36" s="137"/>
      <c r="M36" s="137"/>
    </row>
    <row r="37">
      <c r="A37" s="115">
        <v>36.0</v>
      </c>
      <c r="B37" s="48" t="s">
        <v>331</v>
      </c>
      <c r="C37" s="48" t="s">
        <v>332</v>
      </c>
      <c r="D37" s="75">
        <v>1490.0</v>
      </c>
      <c r="E37" s="171">
        <v>1640.0</v>
      </c>
      <c r="F37" s="168">
        <f t="shared" si="1"/>
        <v>0.1006711409</v>
      </c>
      <c r="G37" s="62">
        <f t="shared" si="2"/>
        <v>3.867924528</v>
      </c>
      <c r="H37" s="75">
        <v>1690.0</v>
      </c>
      <c r="I37" s="169">
        <f t="shared" si="3"/>
        <v>0.1342281879</v>
      </c>
      <c r="J37" s="170">
        <f>IFERROR(__xludf.DUMMYFUNCTION("""COMPUTED_VALUE"""),424.0)</f>
        <v>424</v>
      </c>
      <c r="K37" s="137">
        <f t="shared" si="4"/>
        <v>3.985849057</v>
      </c>
      <c r="L37" s="137"/>
      <c r="M37" s="137"/>
    </row>
    <row r="38">
      <c r="A38" s="115">
        <v>37.0</v>
      </c>
      <c r="B38" s="48" t="s">
        <v>333</v>
      </c>
      <c r="C38" s="48" t="s">
        <v>334</v>
      </c>
      <c r="D38" s="75">
        <v>2490.0</v>
      </c>
      <c r="E38" s="171">
        <v>2860.0</v>
      </c>
      <c r="F38" s="168">
        <f t="shared" si="1"/>
        <v>0.1485943775</v>
      </c>
      <c r="G38" s="62">
        <f t="shared" si="2"/>
        <v>3.901773533</v>
      </c>
      <c r="H38" s="75">
        <v>2970.0</v>
      </c>
      <c r="I38" s="169">
        <f t="shared" si="3"/>
        <v>0.1927710843</v>
      </c>
      <c r="J38" s="170">
        <f>IFERROR(__xludf.DUMMYFUNCTION("""COMPUTED_VALUE"""),733.0)</f>
        <v>733</v>
      </c>
      <c r="K38" s="137">
        <f t="shared" si="4"/>
        <v>4.051841746</v>
      </c>
      <c r="L38" s="137"/>
      <c r="M38" s="137"/>
    </row>
    <row r="39">
      <c r="A39" s="115">
        <v>38.0</v>
      </c>
      <c r="B39" s="48" t="s">
        <v>335</v>
      </c>
      <c r="C39" s="48" t="s">
        <v>336</v>
      </c>
      <c r="D39" s="75">
        <v>1990.0</v>
      </c>
      <c r="E39" s="171">
        <v>2190.0</v>
      </c>
      <c r="F39" s="168">
        <f t="shared" si="1"/>
        <v>0.1005025126</v>
      </c>
      <c r="G39" s="62">
        <f t="shared" si="2"/>
        <v>3.945945946</v>
      </c>
      <c r="H39" s="75">
        <v>2280.0</v>
      </c>
      <c r="I39" s="169">
        <f t="shared" si="3"/>
        <v>0.1457286432</v>
      </c>
      <c r="J39" s="170">
        <f>IFERROR(__xludf.DUMMYFUNCTION("""COMPUTED_VALUE"""),555.0)</f>
        <v>555</v>
      </c>
      <c r="K39" s="137">
        <f t="shared" si="4"/>
        <v>4.108108108</v>
      </c>
      <c r="L39" s="137"/>
      <c r="M39" s="137"/>
    </row>
    <row r="40">
      <c r="A40" s="115">
        <v>39.0</v>
      </c>
      <c r="B40" s="48" t="s">
        <v>337</v>
      </c>
      <c r="C40" s="48" t="s">
        <v>338</v>
      </c>
      <c r="D40" s="75">
        <v>1650.0</v>
      </c>
      <c r="E40" s="171">
        <v>1790.0</v>
      </c>
      <c r="F40" s="168">
        <f t="shared" si="1"/>
        <v>0.08484848485</v>
      </c>
      <c r="G40" s="62">
        <f t="shared" si="2"/>
        <v>3.986636971</v>
      </c>
      <c r="H40" s="75">
        <v>1860.0</v>
      </c>
      <c r="I40" s="169">
        <f t="shared" si="3"/>
        <v>0.1272727273</v>
      </c>
      <c r="J40" s="170">
        <f>IFERROR(__xludf.DUMMYFUNCTION("""COMPUTED_VALUE"""),449.0)</f>
        <v>449</v>
      </c>
      <c r="K40" s="137">
        <f t="shared" si="4"/>
        <v>4.142538976</v>
      </c>
      <c r="L40" s="137"/>
      <c r="M40" s="137"/>
    </row>
    <row r="41">
      <c r="A41" s="115">
        <v>40.0</v>
      </c>
      <c r="B41" s="48" t="s">
        <v>339</v>
      </c>
      <c r="C41" s="48" t="s">
        <v>341</v>
      </c>
      <c r="D41" s="75">
        <v>2790.0</v>
      </c>
      <c r="E41" s="171">
        <v>3190.0</v>
      </c>
      <c r="F41" s="168">
        <f t="shared" si="1"/>
        <v>0.1433691756</v>
      </c>
      <c r="G41" s="62">
        <f t="shared" si="2"/>
        <v>4.208443272</v>
      </c>
      <c r="H41" s="75">
        <v>3320.0</v>
      </c>
      <c r="I41" s="169">
        <f t="shared" si="3"/>
        <v>0.1899641577</v>
      </c>
      <c r="J41" s="170">
        <f>IFERROR(__xludf.DUMMYFUNCTION("""COMPUTED_VALUE"""),758.0)</f>
        <v>758</v>
      </c>
      <c r="K41" s="137">
        <f t="shared" si="4"/>
        <v>4.37994723</v>
      </c>
      <c r="L41" s="137"/>
      <c r="M41" s="137"/>
    </row>
    <row r="42">
      <c r="A42" s="115">
        <v>41.0</v>
      </c>
      <c r="B42" s="48" t="s">
        <v>343</v>
      </c>
      <c r="C42" s="48" t="s">
        <v>344</v>
      </c>
      <c r="D42" s="75">
        <v>2120.0</v>
      </c>
      <c r="E42" s="171">
        <v>2380.0</v>
      </c>
      <c r="F42" s="168">
        <f t="shared" si="1"/>
        <v>0.1226415094</v>
      </c>
      <c r="G42" s="62">
        <f t="shared" si="2"/>
        <v>4.103448276</v>
      </c>
      <c r="H42" s="75">
        <v>2470.0</v>
      </c>
      <c r="I42" s="169">
        <f t="shared" si="3"/>
        <v>0.1650943396</v>
      </c>
      <c r="J42" s="170">
        <f>IFERROR(__xludf.DUMMYFUNCTION("""COMPUTED_VALUE"""),580.0)</f>
        <v>580</v>
      </c>
      <c r="K42" s="137">
        <f t="shared" si="4"/>
        <v>4.25862069</v>
      </c>
      <c r="L42" s="137"/>
      <c r="M42" s="137"/>
    </row>
    <row r="43">
      <c r="A43" s="115">
        <v>42.0</v>
      </c>
      <c r="B43" s="48" t="s">
        <v>329</v>
      </c>
      <c r="C43" s="48" t="s">
        <v>330</v>
      </c>
      <c r="D43" s="75">
        <v>590.0</v>
      </c>
      <c r="E43" s="167">
        <v>790.0</v>
      </c>
      <c r="F43" s="168">
        <f t="shared" si="1"/>
        <v>0.3389830508</v>
      </c>
      <c r="G43" s="62">
        <f t="shared" si="2"/>
        <v>3.0859375</v>
      </c>
      <c r="H43" s="75">
        <v>769.6</v>
      </c>
      <c r="I43" s="169">
        <f t="shared" si="3"/>
        <v>0.3044067797</v>
      </c>
      <c r="J43" s="170">
        <f>IFERROR(__xludf.DUMMYFUNCTION("""COMPUTED_VALUE"""),256.0)</f>
        <v>256</v>
      </c>
      <c r="K43" s="137">
        <f t="shared" si="4"/>
        <v>3.00625</v>
      </c>
      <c r="L43" s="137"/>
      <c r="M43" s="137"/>
    </row>
    <row r="44">
      <c r="A44" s="115">
        <v>43.0</v>
      </c>
      <c r="B44" s="48" t="s">
        <v>347</v>
      </c>
      <c r="C44" s="48" t="s">
        <v>348</v>
      </c>
      <c r="D44" s="75">
        <v>590.0</v>
      </c>
      <c r="E44" s="167">
        <v>790.0</v>
      </c>
      <c r="F44" s="168">
        <f t="shared" si="1"/>
        <v>0.3389830508</v>
      </c>
      <c r="G44" s="62">
        <f t="shared" si="2"/>
        <v>3.172690763</v>
      </c>
      <c r="H44" s="75">
        <v>769.6</v>
      </c>
      <c r="I44" s="169">
        <f t="shared" si="3"/>
        <v>0.3044067797</v>
      </c>
      <c r="J44" s="170">
        <f>IFERROR(__xludf.DUMMYFUNCTION("""COMPUTED_VALUE"""),249.0)</f>
        <v>249</v>
      </c>
      <c r="K44" s="137">
        <f t="shared" si="4"/>
        <v>3.090763052</v>
      </c>
      <c r="L44" s="137"/>
      <c r="M44" s="137"/>
    </row>
    <row r="45">
      <c r="A45" s="115">
        <v>44.0</v>
      </c>
      <c r="B45" s="48" t="s">
        <v>1123</v>
      </c>
      <c r="C45" s="48" t="s">
        <v>1124</v>
      </c>
      <c r="D45" s="75">
        <v>690.0</v>
      </c>
      <c r="E45" s="167">
        <v>840.0</v>
      </c>
      <c r="F45" s="168">
        <f t="shared" si="1"/>
        <v>0.2173913043</v>
      </c>
      <c r="G45" s="62">
        <f t="shared" si="2"/>
        <v>3.255813953</v>
      </c>
      <c r="H45" s="75">
        <v>810.0</v>
      </c>
      <c r="I45" s="169">
        <f t="shared" si="3"/>
        <v>0.1739130435</v>
      </c>
      <c r="J45" s="170">
        <f>IFERROR(__xludf.DUMMYFUNCTION("""COMPUTED_VALUE"""),258.0)</f>
        <v>258</v>
      </c>
      <c r="K45" s="137">
        <f t="shared" si="4"/>
        <v>3.139534884</v>
      </c>
      <c r="L45" s="137"/>
      <c r="M45" s="137"/>
    </row>
    <row r="46">
      <c r="A46" s="115">
        <v>45.0</v>
      </c>
      <c r="B46" s="48" t="s">
        <v>349</v>
      </c>
      <c r="C46" s="48" t="s">
        <v>350</v>
      </c>
      <c r="D46" s="75">
        <v>980.0</v>
      </c>
      <c r="E46" s="171">
        <v>1190.0</v>
      </c>
      <c r="F46" s="168">
        <f t="shared" si="1"/>
        <v>0.2142857143</v>
      </c>
      <c r="G46" s="62">
        <f t="shared" si="2"/>
        <v>3.469387755</v>
      </c>
      <c r="H46" s="75">
        <v>1240.0</v>
      </c>
      <c r="I46" s="169">
        <f t="shared" si="3"/>
        <v>0.2653061224</v>
      </c>
      <c r="J46" s="170">
        <f>IFERROR(__xludf.DUMMYFUNCTION("""COMPUTED_VALUE"""),343.0)</f>
        <v>343</v>
      </c>
      <c r="K46" s="137">
        <f t="shared" si="4"/>
        <v>3.61516035</v>
      </c>
      <c r="L46" s="137"/>
      <c r="M46" s="137"/>
    </row>
    <row r="47">
      <c r="A47" s="115">
        <v>46.0</v>
      </c>
      <c r="B47" s="48" t="s">
        <v>351</v>
      </c>
      <c r="C47" s="48" t="s">
        <v>350</v>
      </c>
      <c r="D47" s="75">
        <v>690.0</v>
      </c>
      <c r="E47" s="167">
        <v>860.0</v>
      </c>
      <c r="F47" s="168">
        <f t="shared" si="1"/>
        <v>0.2463768116</v>
      </c>
      <c r="G47" s="62">
        <f t="shared" si="2"/>
        <v>3.138686131</v>
      </c>
      <c r="H47" s="75">
        <v>850.0</v>
      </c>
      <c r="I47" s="169">
        <f t="shared" si="3"/>
        <v>0.231884058</v>
      </c>
      <c r="J47" s="170">
        <f>IFERROR(__xludf.DUMMYFUNCTION("""COMPUTED_VALUE"""),274.0)</f>
        <v>274</v>
      </c>
      <c r="K47" s="137">
        <f t="shared" si="4"/>
        <v>3.102189781</v>
      </c>
      <c r="L47" s="137"/>
      <c r="M47" s="137"/>
    </row>
    <row r="48">
      <c r="A48" s="115">
        <v>47.0</v>
      </c>
      <c r="B48" s="48" t="s">
        <v>1125</v>
      </c>
      <c r="C48" s="48" t="s">
        <v>1126</v>
      </c>
      <c r="D48" s="75">
        <v>1090.0</v>
      </c>
      <c r="E48" s="171">
        <v>1290.0</v>
      </c>
      <c r="F48" s="168">
        <f t="shared" si="1"/>
        <v>0.1834862385</v>
      </c>
      <c r="G48" s="62">
        <f t="shared" si="2"/>
        <v>3.385826772</v>
      </c>
      <c r="H48" s="75">
        <v>1340.0</v>
      </c>
      <c r="I48" s="169">
        <f t="shared" si="3"/>
        <v>0.2293577982</v>
      </c>
      <c r="J48" s="170">
        <f>IFERROR(__xludf.DUMMYFUNCTION("""COMPUTED_VALUE"""),381.0)</f>
        <v>381</v>
      </c>
      <c r="K48" s="137">
        <f t="shared" si="4"/>
        <v>3.517060367</v>
      </c>
      <c r="L48" s="137"/>
      <c r="M48" s="137"/>
    </row>
    <row r="49">
      <c r="A49" s="115">
        <v>48.0</v>
      </c>
      <c r="B49" s="48" t="s">
        <v>1127</v>
      </c>
      <c r="C49" s="48" t="s">
        <v>1128</v>
      </c>
      <c r="D49" s="75">
        <v>1260.0</v>
      </c>
      <c r="E49" s="171">
        <v>1380.0</v>
      </c>
      <c r="F49" s="168">
        <f t="shared" si="1"/>
        <v>0.09523809524</v>
      </c>
      <c r="G49" s="62">
        <f t="shared" si="2"/>
        <v>4.423076923</v>
      </c>
      <c r="H49" s="75">
        <v>1430.0</v>
      </c>
      <c r="I49" s="169">
        <f t="shared" si="3"/>
        <v>0.1349206349</v>
      </c>
      <c r="J49" s="170">
        <f>IFERROR(__xludf.DUMMYFUNCTION("""COMPUTED_VALUE"""),312.0)</f>
        <v>312</v>
      </c>
      <c r="K49" s="137">
        <f t="shared" si="4"/>
        <v>4.583333333</v>
      </c>
      <c r="L49" s="137"/>
      <c r="M49" s="137"/>
    </row>
    <row r="50">
      <c r="A50" s="115">
        <v>49.0</v>
      </c>
      <c r="B50" s="48" t="s">
        <v>352</v>
      </c>
      <c r="C50" s="48" t="s">
        <v>353</v>
      </c>
      <c r="D50" s="75">
        <v>890.0</v>
      </c>
      <c r="E50" s="171">
        <v>980.0</v>
      </c>
      <c r="F50" s="168">
        <f t="shared" si="1"/>
        <v>0.1011235955</v>
      </c>
      <c r="G50" s="62">
        <f t="shared" si="2"/>
        <v>3.783783784</v>
      </c>
      <c r="H50" s="75">
        <v>1020.0</v>
      </c>
      <c r="I50" s="169">
        <f t="shared" si="3"/>
        <v>0.1460674157</v>
      </c>
      <c r="J50" s="170">
        <f>IFERROR(__xludf.DUMMYFUNCTION("""COMPUTED_VALUE"""),259.0)</f>
        <v>259</v>
      </c>
      <c r="K50" s="137">
        <f t="shared" si="4"/>
        <v>3.938223938</v>
      </c>
      <c r="L50" s="137"/>
      <c r="M50" s="137"/>
    </row>
    <row r="51">
      <c r="A51" s="115">
        <v>50.0</v>
      </c>
      <c r="B51" s="48" t="s">
        <v>355</v>
      </c>
      <c r="C51" s="48" t="s">
        <v>356</v>
      </c>
      <c r="D51" s="75">
        <v>670.0</v>
      </c>
      <c r="E51" s="171">
        <v>740.0</v>
      </c>
      <c r="F51" s="168">
        <f t="shared" si="1"/>
        <v>0.1044776119</v>
      </c>
      <c r="G51" s="62">
        <f t="shared" si="2"/>
        <v>4.302325581</v>
      </c>
      <c r="H51" s="75">
        <v>769.6</v>
      </c>
      <c r="I51" s="169">
        <f t="shared" si="3"/>
        <v>0.1486567164</v>
      </c>
      <c r="J51" s="170">
        <f>IFERROR(__xludf.DUMMYFUNCTION("""COMPUTED_VALUE"""),172.0)</f>
        <v>172</v>
      </c>
      <c r="K51" s="137">
        <f t="shared" si="4"/>
        <v>4.474418605</v>
      </c>
      <c r="L51" s="137"/>
      <c r="M51" s="137"/>
    </row>
    <row r="52">
      <c r="A52" s="115">
        <v>51.0</v>
      </c>
      <c r="B52" s="48" t="s">
        <v>360</v>
      </c>
      <c r="C52" s="48" t="s">
        <v>361</v>
      </c>
      <c r="D52" s="75">
        <v>1490.0</v>
      </c>
      <c r="E52" s="171">
        <v>1640.0</v>
      </c>
      <c r="F52" s="168">
        <f t="shared" si="1"/>
        <v>0.1006711409</v>
      </c>
      <c r="G52" s="62">
        <f t="shared" si="2"/>
        <v>3.628318584</v>
      </c>
      <c r="H52" s="75">
        <v>1690.0</v>
      </c>
      <c r="I52" s="169">
        <f t="shared" si="3"/>
        <v>0.1342281879</v>
      </c>
      <c r="J52" s="170">
        <f>IFERROR(__xludf.DUMMYFUNCTION("""COMPUTED_VALUE"""),452.0)</f>
        <v>452</v>
      </c>
      <c r="K52" s="137">
        <f t="shared" si="4"/>
        <v>3.738938053</v>
      </c>
      <c r="L52" s="137"/>
      <c r="M52" s="137"/>
    </row>
    <row r="53">
      <c r="A53" s="115">
        <v>52.0</v>
      </c>
      <c r="B53" s="48" t="s">
        <v>363</v>
      </c>
      <c r="C53" s="48" t="s">
        <v>364</v>
      </c>
      <c r="D53" s="75">
        <v>2260.0</v>
      </c>
      <c r="E53" s="171">
        <v>2480.0</v>
      </c>
      <c r="F53" s="168">
        <f t="shared" si="1"/>
        <v>0.09734513274</v>
      </c>
      <c r="G53" s="62">
        <f t="shared" si="2"/>
        <v>4.168067227</v>
      </c>
      <c r="H53" s="75">
        <v>2580.0</v>
      </c>
      <c r="I53" s="169">
        <f t="shared" si="3"/>
        <v>0.1415929204</v>
      </c>
      <c r="J53" s="170">
        <f>IFERROR(__xludf.DUMMYFUNCTION("""COMPUTED_VALUE"""),595.0)</f>
        <v>595</v>
      </c>
      <c r="K53" s="137">
        <f t="shared" si="4"/>
        <v>4.336134454</v>
      </c>
      <c r="L53" s="137"/>
      <c r="M53" s="137"/>
    </row>
    <row r="54">
      <c r="A54" s="115">
        <v>53.0</v>
      </c>
      <c r="B54" s="48" t="s">
        <v>366</v>
      </c>
      <c r="C54" s="48" t="s">
        <v>367</v>
      </c>
      <c r="D54" s="75">
        <v>1490.0</v>
      </c>
      <c r="E54" s="171">
        <v>1640.0</v>
      </c>
      <c r="F54" s="168">
        <f t="shared" si="1"/>
        <v>0.1006711409</v>
      </c>
      <c r="G54" s="62">
        <f t="shared" si="2"/>
        <v>3.97094431</v>
      </c>
      <c r="H54" s="75">
        <v>1690.0</v>
      </c>
      <c r="I54" s="169">
        <f t="shared" si="3"/>
        <v>0.1342281879</v>
      </c>
      <c r="J54" s="170">
        <f>IFERROR(__xludf.DUMMYFUNCTION("""COMPUTED_VALUE"""),413.0)</f>
        <v>413</v>
      </c>
      <c r="K54" s="137">
        <f t="shared" si="4"/>
        <v>4.092009685</v>
      </c>
      <c r="L54" s="137"/>
      <c r="M54" s="137"/>
    </row>
    <row r="55">
      <c r="A55" s="115">
        <v>54.0</v>
      </c>
      <c r="B55" s="48" t="s">
        <v>369</v>
      </c>
      <c r="C55" s="48" t="s">
        <v>370</v>
      </c>
      <c r="D55" s="75">
        <v>1990.0</v>
      </c>
      <c r="E55" s="171">
        <v>2190.0</v>
      </c>
      <c r="F55" s="168">
        <f t="shared" si="1"/>
        <v>0.1005025126</v>
      </c>
      <c r="G55" s="62">
        <f t="shared" si="2"/>
        <v>4.063079777</v>
      </c>
      <c r="H55" s="75">
        <v>2280.0</v>
      </c>
      <c r="I55" s="169">
        <f t="shared" si="3"/>
        <v>0.1457286432</v>
      </c>
      <c r="J55" s="170">
        <f>IFERROR(__xludf.DUMMYFUNCTION("""COMPUTED_VALUE"""),539.0)</f>
        <v>539</v>
      </c>
      <c r="K55" s="137">
        <f t="shared" si="4"/>
        <v>4.230055659</v>
      </c>
      <c r="L55" s="137"/>
      <c r="M55" s="137"/>
    </row>
    <row r="56">
      <c r="A56" s="115">
        <v>55.0</v>
      </c>
      <c r="B56" s="48" t="s">
        <v>373</v>
      </c>
      <c r="C56" s="48" t="s">
        <v>374</v>
      </c>
      <c r="D56" s="75">
        <v>490.0</v>
      </c>
      <c r="E56" s="171">
        <v>540.0</v>
      </c>
      <c r="F56" s="168">
        <f t="shared" si="1"/>
        <v>0.1020408163</v>
      </c>
      <c r="G56" s="62">
        <f t="shared" si="2"/>
        <v>3.354037267</v>
      </c>
      <c r="H56" s="75">
        <v>560.0</v>
      </c>
      <c r="I56" s="169">
        <f t="shared" si="3"/>
        <v>0.1428571429</v>
      </c>
      <c r="J56" s="170">
        <f>IFERROR(__xludf.DUMMYFUNCTION("""COMPUTED_VALUE"""),161.0)</f>
        <v>161</v>
      </c>
      <c r="K56" s="137">
        <f t="shared" si="4"/>
        <v>3.47826087</v>
      </c>
      <c r="L56" s="137"/>
      <c r="M56" s="137"/>
    </row>
    <row r="57">
      <c r="A57" s="115">
        <v>56.0</v>
      </c>
      <c r="B57" s="48" t="s">
        <v>378</v>
      </c>
      <c r="C57" s="48" t="s">
        <v>379</v>
      </c>
      <c r="D57" s="75">
        <v>990.0</v>
      </c>
      <c r="E57" s="171">
        <v>1090.0</v>
      </c>
      <c r="F57" s="168">
        <f t="shared" si="1"/>
        <v>0.101010101</v>
      </c>
      <c r="G57" s="62">
        <f t="shared" si="2"/>
        <v>3.824561404</v>
      </c>
      <c r="H57" s="75">
        <v>1130.0</v>
      </c>
      <c r="I57" s="169">
        <f t="shared" si="3"/>
        <v>0.1414141414</v>
      </c>
      <c r="J57" s="170">
        <f>IFERROR(__xludf.DUMMYFUNCTION("""COMPUTED_VALUE"""),285.0)</f>
        <v>285</v>
      </c>
      <c r="K57" s="137">
        <f t="shared" si="4"/>
        <v>3.964912281</v>
      </c>
      <c r="L57" s="137"/>
      <c r="M57" s="137"/>
    </row>
    <row r="58">
      <c r="A58" s="115">
        <v>57.0</v>
      </c>
      <c r="B58" s="48" t="s">
        <v>383</v>
      </c>
      <c r="C58" s="48" t="s">
        <v>384</v>
      </c>
      <c r="D58" s="75">
        <v>1380.0</v>
      </c>
      <c r="E58" s="171">
        <v>1540.0</v>
      </c>
      <c r="F58" s="168">
        <f t="shared" si="1"/>
        <v>0.115942029</v>
      </c>
      <c r="G58" s="62">
        <f t="shared" si="2"/>
        <v>3.948717949</v>
      </c>
      <c r="H58" s="75">
        <v>1590.0</v>
      </c>
      <c r="I58" s="169">
        <f t="shared" si="3"/>
        <v>0.152173913</v>
      </c>
      <c r="J58" s="170">
        <f>IFERROR(__xludf.DUMMYFUNCTION("""COMPUTED_VALUE"""),390.0)</f>
        <v>390</v>
      </c>
      <c r="K58" s="137">
        <f t="shared" si="4"/>
        <v>4.076923077</v>
      </c>
      <c r="L58" s="137"/>
      <c r="M58" s="137"/>
    </row>
    <row r="59">
      <c r="A59" s="115">
        <v>58.0</v>
      </c>
      <c r="B59" s="48" t="s">
        <v>389</v>
      </c>
      <c r="C59" s="48" t="s">
        <v>390</v>
      </c>
      <c r="D59" s="75">
        <v>1750.0</v>
      </c>
      <c r="E59" s="171">
        <v>1940.0</v>
      </c>
      <c r="F59" s="168">
        <f t="shared" si="1"/>
        <v>0.1085714286</v>
      </c>
      <c r="G59" s="62">
        <f t="shared" si="2"/>
        <v>4.490740741</v>
      </c>
      <c r="H59" s="75">
        <v>1990.0</v>
      </c>
      <c r="I59" s="169">
        <f t="shared" si="3"/>
        <v>0.1371428571</v>
      </c>
      <c r="J59" s="170">
        <f>IFERROR(__xludf.DUMMYFUNCTION("""COMPUTED_VALUE"""),432.0)</f>
        <v>432</v>
      </c>
      <c r="K59" s="137">
        <f t="shared" si="4"/>
        <v>4.606481481</v>
      </c>
      <c r="L59" s="137"/>
      <c r="M59" s="137"/>
    </row>
    <row r="60">
      <c r="A60" s="115">
        <v>59.0</v>
      </c>
      <c r="B60" s="48" t="s">
        <v>394</v>
      </c>
      <c r="C60" s="48" t="s">
        <v>395</v>
      </c>
      <c r="D60" s="75">
        <v>4990.0</v>
      </c>
      <c r="E60" s="171">
        <v>5880.0</v>
      </c>
      <c r="F60" s="168">
        <f t="shared" si="1"/>
        <v>0.1783567134</v>
      </c>
      <c r="G60" s="62">
        <f t="shared" si="2"/>
        <v>4.212034384</v>
      </c>
      <c r="H60" s="75">
        <v>5990.0</v>
      </c>
      <c r="I60" s="169">
        <f t="shared" si="3"/>
        <v>0.2004008016</v>
      </c>
      <c r="J60" s="170">
        <f>IFERROR(__xludf.DUMMYFUNCTION("""COMPUTED_VALUE"""),1396.0)</f>
        <v>1396</v>
      </c>
      <c r="K60" s="137">
        <f t="shared" si="4"/>
        <v>4.290830946</v>
      </c>
      <c r="L60" s="137"/>
      <c r="M60" s="137"/>
    </row>
    <row r="61">
      <c r="A61" s="115">
        <v>60.0</v>
      </c>
      <c r="B61" s="48" t="s">
        <v>398</v>
      </c>
      <c r="C61" s="48" t="s">
        <v>399</v>
      </c>
      <c r="D61" s="75">
        <v>840.0</v>
      </c>
      <c r="E61" s="171">
        <v>940.0</v>
      </c>
      <c r="F61" s="168">
        <f t="shared" si="1"/>
        <v>0.119047619</v>
      </c>
      <c r="G61" s="62">
        <f t="shared" si="2"/>
        <v>3.821138211</v>
      </c>
      <c r="H61" s="75">
        <v>970.0</v>
      </c>
      <c r="I61" s="169">
        <f t="shared" si="3"/>
        <v>0.1547619048</v>
      </c>
      <c r="J61" s="170">
        <f>IFERROR(__xludf.DUMMYFUNCTION("""COMPUTED_VALUE"""),246.0)</f>
        <v>246</v>
      </c>
      <c r="K61" s="137">
        <f t="shared" si="4"/>
        <v>3.943089431</v>
      </c>
      <c r="L61" s="137"/>
      <c r="M61" s="137"/>
    </row>
    <row r="62">
      <c r="A62" s="115">
        <v>61.0</v>
      </c>
      <c r="B62" s="48" t="s">
        <v>402</v>
      </c>
      <c r="C62" s="48" t="s">
        <v>403</v>
      </c>
      <c r="D62" s="75">
        <v>670.0</v>
      </c>
      <c r="E62" s="171">
        <v>740.0</v>
      </c>
      <c r="F62" s="168">
        <f t="shared" si="1"/>
        <v>0.1044776119</v>
      </c>
      <c r="G62" s="62">
        <f t="shared" si="2"/>
        <v>4.252873563</v>
      </c>
      <c r="H62" s="75">
        <v>769.6</v>
      </c>
      <c r="I62" s="169">
        <f t="shared" si="3"/>
        <v>0.1486567164</v>
      </c>
      <c r="J62" s="170">
        <f>IFERROR(__xludf.DUMMYFUNCTION("""COMPUTED_VALUE"""),174.0)</f>
        <v>174</v>
      </c>
      <c r="K62" s="137">
        <f t="shared" si="4"/>
        <v>4.422988506</v>
      </c>
      <c r="L62" s="137"/>
      <c r="M62" s="137"/>
    </row>
    <row r="63">
      <c r="A63" s="115">
        <v>62.0</v>
      </c>
      <c r="B63" s="48" t="s">
        <v>404</v>
      </c>
      <c r="C63" s="48" t="s">
        <v>406</v>
      </c>
      <c r="D63" s="75">
        <v>39800.0</v>
      </c>
      <c r="E63" s="167">
        <v>44800.0</v>
      </c>
      <c r="F63" s="168">
        <f t="shared" si="1"/>
        <v>0.1256281407</v>
      </c>
      <c r="G63" s="62">
        <f t="shared" si="2"/>
        <v>3.895652174</v>
      </c>
      <c r="H63" s="75">
        <v>49900.0</v>
      </c>
      <c r="I63" s="169">
        <f t="shared" si="3"/>
        <v>0.2537688442</v>
      </c>
      <c r="J63" s="170">
        <f>IFERROR(__xludf.DUMMYFUNCTION("""COMPUTED_VALUE"""),11500.0)</f>
        <v>11500</v>
      </c>
      <c r="K63" s="137">
        <f t="shared" si="4"/>
        <v>4.339130435</v>
      </c>
      <c r="L63" s="137"/>
      <c r="M63" s="137"/>
    </row>
    <row r="64">
      <c r="A64" s="115">
        <v>63.0</v>
      </c>
      <c r="B64" s="48" t="s">
        <v>408</v>
      </c>
      <c r="C64" s="48" t="s">
        <v>409</v>
      </c>
      <c r="D64" s="75">
        <v>39800.0</v>
      </c>
      <c r="E64" s="167">
        <v>44800.0</v>
      </c>
      <c r="F64" s="168">
        <f t="shared" si="1"/>
        <v>0.1256281407</v>
      </c>
      <c r="G64" s="62">
        <f t="shared" si="2"/>
        <v>3.895652174</v>
      </c>
      <c r="H64" s="75">
        <v>49900.0</v>
      </c>
      <c r="I64" s="169">
        <f t="shared" si="3"/>
        <v>0.2537688442</v>
      </c>
      <c r="J64" s="170">
        <f>IFERROR(__xludf.DUMMYFUNCTION("""COMPUTED_VALUE"""),11500.0)</f>
        <v>11500</v>
      </c>
      <c r="K64" s="137">
        <f t="shared" si="4"/>
        <v>4.339130435</v>
      </c>
      <c r="L64" s="137"/>
      <c r="M64" s="137"/>
    </row>
    <row r="65">
      <c r="A65" s="115">
        <v>64.0</v>
      </c>
      <c r="B65" s="48" t="s">
        <v>411</v>
      </c>
      <c r="C65" s="48" t="s">
        <v>412</v>
      </c>
      <c r="D65" s="75">
        <v>39800.0</v>
      </c>
      <c r="E65" s="167">
        <v>44800.0</v>
      </c>
      <c r="F65" s="168">
        <f t="shared" si="1"/>
        <v>0.1256281407</v>
      </c>
      <c r="G65" s="62">
        <f t="shared" si="2"/>
        <v>3.895652174</v>
      </c>
      <c r="H65" s="75">
        <v>49900.0</v>
      </c>
      <c r="I65" s="169">
        <f t="shared" si="3"/>
        <v>0.2537688442</v>
      </c>
      <c r="J65" s="170">
        <f>IFERROR(__xludf.DUMMYFUNCTION("""COMPUTED_VALUE"""),11500.0)</f>
        <v>11500</v>
      </c>
      <c r="K65" s="137">
        <f t="shared" si="4"/>
        <v>4.339130435</v>
      </c>
      <c r="L65" s="137"/>
      <c r="M65" s="137"/>
    </row>
    <row r="66">
      <c r="A66" s="115">
        <v>65.0</v>
      </c>
      <c r="B66" s="48" t="s">
        <v>413</v>
      </c>
      <c r="C66" s="48" t="s">
        <v>414</v>
      </c>
      <c r="D66" s="75">
        <v>2880.0</v>
      </c>
      <c r="E66" s="167">
        <v>3180.0</v>
      </c>
      <c r="F66" s="168">
        <f t="shared" si="1"/>
        <v>0.1041666667</v>
      </c>
      <c r="G66" s="62">
        <f t="shared" si="2"/>
        <v>4.015151515</v>
      </c>
      <c r="H66" s="75">
        <v>3620.0</v>
      </c>
      <c r="I66" s="169">
        <f t="shared" si="3"/>
        <v>0.2569444444</v>
      </c>
      <c r="J66" s="170">
        <f>IFERROR(__xludf.DUMMYFUNCTION("""COMPUTED_VALUE"""),792.0)</f>
        <v>792</v>
      </c>
      <c r="K66" s="137">
        <f t="shared" si="4"/>
        <v>4.570707071</v>
      </c>
      <c r="L66" s="137"/>
      <c r="M66" s="137"/>
    </row>
    <row r="67">
      <c r="A67" s="115">
        <v>66.0</v>
      </c>
      <c r="B67" s="48" t="s">
        <v>416</v>
      </c>
      <c r="C67" s="48" t="s">
        <v>417</v>
      </c>
      <c r="D67" s="75">
        <v>2880.0</v>
      </c>
      <c r="E67" s="167">
        <v>3180.0</v>
      </c>
      <c r="F67" s="168">
        <f t="shared" si="1"/>
        <v>0.1041666667</v>
      </c>
      <c r="G67" s="62">
        <f t="shared" si="2"/>
        <v>4.015151515</v>
      </c>
      <c r="H67" s="75">
        <v>3620.0</v>
      </c>
      <c r="I67" s="169">
        <f t="shared" si="3"/>
        <v>0.2569444444</v>
      </c>
      <c r="J67" s="170">
        <f>IFERROR(__xludf.DUMMYFUNCTION("""COMPUTED_VALUE"""),792.0)</f>
        <v>792</v>
      </c>
      <c r="K67" s="137">
        <f t="shared" si="4"/>
        <v>4.570707071</v>
      </c>
      <c r="L67" s="137"/>
      <c r="M67" s="137"/>
    </row>
    <row r="68">
      <c r="A68" s="115">
        <v>67.0</v>
      </c>
      <c r="B68" s="48" t="s">
        <v>418</v>
      </c>
      <c r="C68" s="48" t="s">
        <v>419</v>
      </c>
      <c r="D68" s="75">
        <v>2880.0</v>
      </c>
      <c r="E68" s="167">
        <v>3180.0</v>
      </c>
      <c r="F68" s="168">
        <f t="shared" si="1"/>
        <v>0.1041666667</v>
      </c>
      <c r="G68" s="62">
        <f t="shared" si="2"/>
        <v>4.015151515</v>
      </c>
      <c r="H68" s="75">
        <v>3620.0</v>
      </c>
      <c r="I68" s="169">
        <f t="shared" si="3"/>
        <v>0.2569444444</v>
      </c>
      <c r="J68" s="170">
        <f>IFERROR(__xludf.DUMMYFUNCTION("""COMPUTED_VALUE"""),792.0)</f>
        <v>792</v>
      </c>
      <c r="K68" s="137">
        <f t="shared" si="4"/>
        <v>4.570707071</v>
      </c>
      <c r="L68" s="137"/>
      <c r="M68" s="137"/>
    </row>
    <row r="69">
      <c r="A69" s="115">
        <v>68.0</v>
      </c>
      <c r="B69" s="48" t="s">
        <v>420</v>
      </c>
      <c r="C69" s="48" t="s">
        <v>421</v>
      </c>
      <c r="D69" s="75">
        <v>5980.0</v>
      </c>
      <c r="E69" s="167">
        <v>6480.0</v>
      </c>
      <c r="F69" s="168">
        <f t="shared" si="1"/>
        <v>0.08361204013</v>
      </c>
      <c r="G69" s="62">
        <f t="shared" si="2"/>
        <v>3.820754717</v>
      </c>
      <c r="H69" s="75">
        <v>7260.0</v>
      </c>
      <c r="I69" s="169">
        <f t="shared" si="3"/>
        <v>0.2140468227</v>
      </c>
      <c r="J69" s="170">
        <f>IFERROR(__xludf.DUMMYFUNCTION("""COMPUTED_VALUE"""),1696.0)</f>
        <v>1696</v>
      </c>
      <c r="K69" s="137">
        <f t="shared" si="4"/>
        <v>4.280660377</v>
      </c>
      <c r="L69" s="137"/>
      <c r="M69" s="137"/>
    </row>
    <row r="70">
      <c r="A70" s="115">
        <v>69.0</v>
      </c>
      <c r="B70" s="48" t="s">
        <v>423</v>
      </c>
      <c r="C70" s="48" t="s">
        <v>424</v>
      </c>
      <c r="D70" s="75">
        <v>5980.0</v>
      </c>
      <c r="E70" s="167">
        <v>6480.0</v>
      </c>
      <c r="F70" s="168">
        <f t="shared" si="1"/>
        <v>0.08361204013</v>
      </c>
      <c r="G70" s="62">
        <f t="shared" si="2"/>
        <v>3.820754717</v>
      </c>
      <c r="H70" s="75">
        <v>7260.0</v>
      </c>
      <c r="I70" s="169">
        <f t="shared" si="3"/>
        <v>0.2140468227</v>
      </c>
      <c r="J70" s="170">
        <f>IFERROR(__xludf.DUMMYFUNCTION("""COMPUTED_VALUE"""),1696.0)</f>
        <v>1696</v>
      </c>
      <c r="K70" s="137">
        <f t="shared" si="4"/>
        <v>4.280660377</v>
      </c>
      <c r="L70" s="137"/>
      <c r="M70" s="137"/>
    </row>
    <row r="71">
      <c r="A71" s="115">
        <v>70.0</v>
      </c>
      <c r="B71" s="48" t="s">
        <v>425</v>
      </c>
      <c r="C71" s="48" t="s">
        <v>426</v>
      </c>
      <c r="D71" s="75">
        <v>5980.0</v>
      </c>
      <c r="E71" s="167">
        <v>6480.0</v>
      </c>
      <c r="F71" s="168">
        <f t="shared" si="1"/>
        <v>0.08361204013</v>
      </c>
      <c r="G71" s="62">
        <f t="shared" si="2"/>
        <v>3.820754717</v>
      </c>
      <c r="H71" s="75">
        <v>7260.0</v>
      </c>
      <c r="I71" s="169">
        <f t="shared" si="3"/>
        <v>0.2140468227</v>
      </c>
      <c r="J71" s="170">
        <f>IFERROR(__xludf.DUMMYFUNCTION("""COMPUTED_VALUE"""),1696.0)</f>
        <v>1696</v>
      </c>
      <c r="K71" s="137">
        <f t="shared" si="4"/>
        <v>4.280660377</v>
      </c>
      <c r="L71" s="137"/>
      <c r="M71" s="137"/>
    </row>
    <row r="72">
      <c r="A72" s="115">
        <v>71.0</v>
      </c>
      <c r="B72" s="48" t="s">
        <v>434</v>
      </c>
      <c r="C72" s="48" t="s">
        <v>435</v>
      </c>
      <c r="D72" s="75">
        <v>1790.0</v>
      </c>
      <c r="E72" s="171">
        <v>1970.0</v>
      </c>
      <c r="F72" s="168">
        <f t="shared" si="1"/>
        <v>0.1005586592</v>
      </c>
      <c r="G72" s="62">
        <f t="shared" si="2"/>
        <v>4.339207048</v>
      </c>
      <c r="H72" s="75">
        <v>2050.0</v>
      </c>
      <c r="I72" s="169">
        <f t="shared" si="3"/>
        <v>0.1452513966</v>
      </c>
      <c r="J72" s="170">
        <f>IFERROR(__xludf.DUMMYFUNCTION("""COMPUTED_VALUE"""),454.0)</f>
        <v>454</v>
      </c>
      <c r="K72" s="137">
        <f t="shared" si="4"/>
        <v>4.515418502</v>
      </c>
      <c r="L72" s="137"/>
      <c r="M72" s="137"/>
    </row>
    <row r="73">
      <c r="A73" s="115">
        <v>72.0</v>
      </c>
      <c r="B73" s="48" t="s">
        <v>438</v>
      </c>
      <c r="C73" s="48" t="s">
        <v>439</v>
      </c>
      <c r="D73" s="75">
        <v>18800.0</v>
      </c>
      <c r="E73" s="167">
        <v>22400.0</v>
      </c>
      <c r="F73" s="168">
        <f t="shared" si="1"/>
        <v>0.1914893617</v>
      </c>
      <c r="G73" s="62">
        <f t="shared" si="2"/>
        <v>3.600128576</v>
      </c>
      <c r="H73" s="75">
        <v>25370.0</v>
      </c>
      <c r="I73" s="169">
        <f t="shared" si="3"/>
        <v>0.3494680851</v>
      </c>
      <c r="J73" s="170">
        <f>IFERROR(__xludf.DUMMYFUNCTION("""COMPUTED_VALUE"""),6222.0)</f>
        <v>6222</v>
      </c>
      <c r="K73" s="137">
        <f t="shared" si="4"/>
        <v>4.077467052</v>
      </c>
      <c r="L73" s="137"/>
      <c r="M73" s="137"/>
    </row>
    <row r="74">
      <c r="A74" s="115">
        <v>73.0</v>
      </c>
      <c r="B74" s="48" t="s">
        <v>440</v>
      </c>
      <c r="C74" s="48" t="s">
        <v>441</v>
      </c>
      <c r="D74" s="75">
        <v>2440.0</v>
      </c>
      <c r="E74" s="171">
        <v>2680.0</v>
      </c>
      <c r="F74" s="168">
        <f t="shared" si="1"/>
        <v>0.09836065574</v>
      </c>
      <c r="G74" s="62">
        <f t="shared" si="2"/>
        <v>4.343598055</v>
      </c>
      <c r="H74" s="75">
        <v>2790.0</v>
      </c>
      <c r="I74" s="169">
        <f t="shared" si="3"/>
        <v>0.143442623</v>
      </c>
      <c r="J74" s="170">
        <f>IFERROR(__xludf.DUMMYFUNCTION("""COMPUTED_VALUE"""),617.0)</f>
        <v>617</v>
      </c>
      <c r="K74" s="137">
        <f t="shared" si="4"/>
        <v>4.521880065</v>
      </c>
      <c r="L74" s="137"/>
      <c r="M74" s="137"/>
    </row>
    <row r="75">
      <c r="A75" s="115">
        <v>74.0</v>
      </c>
      <c r="B75" s="48" t="s">
        <v>444</v>
      </c>
      <c r="C75" s="48" t="s">
        <v>445</v>
      </c>
      <c r="D75" s="75">
        <v>5490.0</v>
      </c>
      <c r="E75" s="167">
        <v>5890.0</v>
      </c>
      <c r="F75" s="168">
        <f t="shared" si="1"/>
        <v>0.07285974499</v>
      </c>
      <c r="G75" s="62">
        <f t="shared" si="2"/>
        <v>4.144968332</v>
      </c>
      <c r="H75" s="75">
        <v>6489.6</v>
      </c>
      <c r="I75" s="169">
        <f t="shared" si="3"/>
        <v>0.1820765027</v>
      </c>
      <c r="J75" s="170">
        <f>IFERROR(__xludf.DUMMYFUNCTION("""COMPUTED_VALUE"""),1421.0)</f>
        <v>1421</v>
      </c>
      <c r="K75" s="137">
        <f t="shared" si="4"/>
        <v>4.566924701</v>
      </c>
      <c r="L75" s="137"/>
      <c r="M75" s="137"/>
    </row>
    <row r="76">
      <c r="A76" s="115">
        <v>75.0</v>
      </c>
      <c r="B76" s="48" t="s">
        <v>449</v>
      </c>
      <c r="C76" s="48" t="s">
        <v>450</v>
      </c>
      <c r="D76" s="75">
        <v>11990.0</v>
      </c>
      <c r="E76" s="171">
        <v>13440.0</v>
      </c>
      <c r="F76" s="168">
        <f t="shared" si="1"/>
        <v>0.1209341118</v>
      </c>
      <c r="G76" s="62">
        <f t="shared" si="2"/>
        <v>3.816013629</v>
      </c>
      <c r="H76" s="75">
        <v>13980.0</v>
      </c>
      <c r="I76" s="169">
        <f t="shared" si="3"/>
        <v>0.165971643</v>
      </c>
      <c r="J76" s="170">
        <f>IFERROR(__xludf.DUMMYFUNCTION("""COMPUTED_VALUE"""),3522.0)</f>
        <v>3522</v>
      </c>
      <c r="K76" s="137">
        <f t="shared" si="4"/>
        <v>3.969335605</v>
      </c>
      <c r="L76" s="137"/>
      <c r="M76" s="137"/>
    </row>
    <row r="77">
      <c r="A77" s="115">
        <v>76.0</v>
      </c>
      <c r="B77" s="48" t="s">
        <v>436</v>
      </c>
      <c r="C77" s="48" t="s">
        <v>437</v>
      </c>
      <c r="D77" s="75">
        <v>980.0</v>
      </c>
      <c r="E77" s="171">
        <v>1090.0</v>
      </c>
      <c r="F77" s="168">
        <f t="shared" si="1"/>
        <v>0.112244898</v>
      </c>
      <c r="G77" s="62">
        <f t="shared" si="2"/>
        <v>4.844444444</v>
      </c>
      <c r="H77" s="75">
        <v>1130.0</v>
      </c>
      <c r="I77" s="169">
        <f t="shared" si="3"/>
        <v>0.1530612245</v>
      </c>
      <c r="J77" s="170">
        <f>IFERROR(__xludf.DUMMYFUNCTION("""COMPUTED_VALUE"""),225.0)</f>
        <v>225</v>
      </c>
      <c r="K77" s="137">
        <f t="shared" si="4"/>
        <v>5.022222222</v>
      </c>
      <c r="L77" s="137"/>
      <c r="M77" s="137"/>
    </row>
    <row r="78">
      <c r="A78" s="115">
        <v>77.0</v>
      </c>
      <c r="B78" s="48" t="s">
        <v>442</v>
      </c>
      <c r="C78" s="48" t="s">
        <v>443</v>
      </c>
      <c r="D78" s="75">
        <v>1280.0</v>
      </c>
      <c r="E78" s="171">
        <v>1390.0</v>
      </c>
      <c r="F78" s="168">
        <f t="shared" si="1"/>
        <v>0.0859375</v>
      </c>
      <c r="G78" s="62">
        <f t="shared" si="2"/>
        <v>4.224924012</v>
      </c>
      <c r="H78" s="75">
        <v>1390.0</v>
      </c>
      <c r="I78" s="169">
        <f t="shared" si="3"/>
        <v>0.0859375</v>
      </c>
      <c r="J78" s="170">
        <f>IFERROR(__xludf.DUMMYFUNCTION("""COMPUTED_VALUE"""),329.0)</f>
        <v>329</v>
      </c>
      <c r="K78" s="137">
        <f t="shared" si="4"/>
        <v>4.224924012</v>
      </c>
      <c r="L78" s="137"/>
      <c r="M78" s="137"/>
    </row>
    <row r="79">
      <c r="A79" s="115">
        <v>78.0</v>
      </c>
      <c r="B79" s="48" t="s">
        <v>446</v>
      </c>
      <c r="C79" s="48" t="s">
        <v>447</v>
      </c>
      <c r="D79" s="75">
        <v>1680.0</v>
      </c>
      <c r="E79" s="171">
        <v>1880.0</v>
      </c>
      <c r="F79" s="168">
        <f t="shared" si="1"/>
        <v>0.119047619</v>
      </c>
      <c r="G79" s="62">
        <f t="shared" si="2"/>
        <v>4.351851852</v>
      </c>
      <c r="H79" s="75">
        <v>1950.0</v>
      </c>
      <c r="I79" s="169">
        <f t="shared" si="3"/>
        <v>0.1607142857</v>
      </c>
      <c r="J79" s="170">
        <f>IFERROR(__xludf.DUMMYFUNCTION("""COMPUTED_VALUE"""),432.0)</f>
        <v>432</v>
      </c>
      <c r="K79" s="137">
        <f t="shared" si="4"/>
        <v>4.513888889</v>
      </c>
      <c r="L79" s="137"/>
      <c r="M79" s="137"/>
    </row>
    <row r="80">
      <c r="A80" s="115">
        <v>79.0</v>
      </c>
      <c r="B80" s="48" t="s">
        <v>533</v>
      </c>
      <c r="C80" s="48" t="s">
        <v>534</v>
      </c>
      <c r="D80" s="75">
        <v>2870.0</v>
      </c>
      <c r="E80" s="167">
        <v>3140.0</v>
      </c>
      <c r="F80" s="168">
        <f t="shared" si="1"/>
        <v>0.09407665505</v>
      </c>
      <c r="G80" s="62">
        <f t="shared" si="2"/>
        <v>3.989834816</v>
      </c>
      <c r="H80" s="75">
        <v>3369.6</v>
      </c>
      <c r="I80" s="169">
        <f t="shared" si="3"/>
        <v>0.1740766551</v>
      </c>
      <c r="J80" s="170">
        <f>IFERROR(__xludf.DUMMYFUNCTION("""COMPUTED_VALUE"""),787.0)</f>
        <v>787</v>
      </c>
      <c r="K80" s="137">
        <f t="shared" si="4"/>
        <v>4.281575604</v>
      </c>
      <c r="L80" s="137"/>
      <c r="M80" s="137"/>
    </row>
    <row r="81">
      <c r="A81" s="115">
        <v>80.0</v>
      </c>
      <c r="B81" s="48" t="s">
        <v>535</v>
      </c>
      <c r="C81" s="48" t="s">
        <v>536</v>
      </c>
      <c r="D81" s="75">
        <v>2870.0</v>
      </c>
      <c r="E81" s="167">
        <v>3140.0</v>
      </c>
      <c r="F81" s="168">
        <f t="shared" si="1"/>
        <v>0.09407665505</v>
      </c>
      <c r="G81" s="62">
        <f t="shared" si="2"/>
        <v>3.989834816</v>
      </c>
      <c r="H81" s="75">
        <v>3369.6</v>
      </c>
      <c r="I81" s="169">
        <f t="shared" si="3"/>
        <v>0.1740766551</v>
      </c>
      <c r="J81" s="170">
        <f>IFERROR(__xludf.DUMMYFUNCTION("""COMPUTED_VALUE"""),787.0)</f>
        <v>787</v>
      </c>
      <c r="K81" s="137">
        <f t="shared" si="4"/>
        <v>4.281575604</v>
      </c>
      <c r="L81" s="137"/>
      <c r="M81" s="137"/>
    </row>
    <row r="82">
      <c r="A82" s="115">
        <v>81.0</v>
      </c>
      <c r="B82" s="48" t="s">
        <v>531</v>
      </c>
      <c r="C82" s="48" t="s">
        <v>532</v>
      </c>
      <c r="D82" s="75">
        <v>2870.0</v>
      </c>
      <c r="E82" s="167">
        <v>3140.0</v>
      </c>
      <c r="F82" s="168">
        <f t="shared" si="1"/>
        <v>0.09407665505</v>
      </c>
      <c r="G82" s="62">
        <f t="shared" si="2"/>
        <v>3.989834816</v>
      </c>
      <c r="H82" s="75">
        <v>3369.6</v>
      </c>
      <c r="I82" s="169">
        <f t="shared" si="3"/>
        <v>0.1740766551</v>
      </c>
      <c r="J82" s="170">
        <f>IFERROR(__xludf.DUMMYFUNCTION("""COMPUTED_VALUE"""),787.0)</f>
        <v>787</v>
      </c>
      <c r="K82" s="137">
        <f t="shared" si="4"/>
        <v>4.281575604</v>
      </c>
      <c r="L82" s="137"/>
      <c r="M82" s="137"/>
    </row>
    <row r="83">
      <c r="A83" s="115">
        <v>82.0</v>
      </c>
      <c r="B83" s="48" t="s">
        <v>1131</v>
      </c>
      <c r="C83" s="48" t="s">
        <v>715</v>
      </c>
      <c r="D83" s="75">
        <v>1190.0</v>
      </c>
      <c r="E83" s="171">
        <v>1290.0</v>
      </c>
      <c r="F83" s="168">
        <f t="shared" si="1"/>
        <v>0.08403361345</v>
      </c>
      <c r="G83" s="62">
        <f t="shared" si="2"/>
        <v>3.368146214</v>
      </c>
      <c r="H83" s="75">
        <v>1340.0</v>
      </c>
      <c r="I83" s="169">
        <f t="shared" si="3"/>
        <v>0.1260504202</v>
      </c>
      <c r="J83" s="170">
        <f>IFERROR(__xludf.DUMMYFUNCTION("""COMPUTED_VALUE"""),383.0)</f>
        <v>383</v>
      </c>
      <c r="K83" s="137">
        <f t="shared" si="4"/>
        <v>3.498694517</v>
      </c>
      <c r="L83" s="137"/>
      <c r="M83" s="137"/>
    </row>
    <row r="84">
      <c r="A84" s="115">
        <v>83.0</v>
      </c>
      <c r="B84" s="48" t="s">
        <v>1132</v>
      </c>
      <c r="C84" s="48" t="s">
        <v>718</v>
      </c>
      <c r="D84" s="75">
        <v>1290.0</v>
      </c>
      <c r="E84" s="171">
        <v>1390.0</v>
      </c>
      <c r="F84" s="168">
        <f t="shared" si="1"/>
        <v>0.07751937984</v>
      </c>
      <c r="G84" s="62">
        <f t="shared" si="2"/>
        <v>3.365617433</v>
      </c>
      <c r="H84" s="75">
        <v>1440.0</v>
      </c>
      <c r="I84" s="169">
        <f t="shared" si="3"/>
        <v>0.1162790698</v>
      </c>
      <c r="J84" s="170">
        <f>IFERROR(__xludf.DUMMYFUNCTION("""COMPUTED_VALUE"""),413.0)</f>
        <v>413</v>
      </c>
      <c r="K84" s="137">
        <f t="shared" si="4"/>
        <v>3.486682809</v>
      </c>
      <c r="L84" s="137"/>
      <c r="M84" s="137"/>
    </row>
    <row r="85">
      <c r="A85" s="115">
        <v>84.0</v>
      </c>
      <c r="B85" s="48" t="s">
        <v>1133</v>
      </c>
      <c r="C85" s="48" t="s">
        <v>720</v>
      </c>
      <c r="D85" s="75">
        <v>4990.0</v>
      </c>
      <c r="E85" s="171">
        <v>5490.0</v>
      </c>
      <c r="F85" s="168">
        <f t="shared" si="1"/>
        <v>0.1002004008</v>
      </c>
      <c r="G85" s="62">
        <f t="shared" si="2"/>
        <v>3.650265957</v>
      </c>
      <c r="H85" s="75">
        <v>5709.6</v>
      </c>
      <c r="I85" s="169">
        <f t="shared" si="3"/>
        <v>0.1442084168</v>
      </c>
      <c r="J85" s="170">
        <f>IFERROR(__xludf.DUMMYFUNCTION("""COMPUTED_VALUE"""),1504.0)</f>
        <v>1504</v>
      </c>
      <c r="K85" s="137">
        <f t="shared" si="4"/>
        <v>3.796276596</v>
      </c>
      <c r="L85" s="137"/>
      <c r="M85" s="137"/>
    </row>
    <row r="86">
      <c r="A86" s="115">
        <v>85.0</v>
      </c>
      <c r="B86" s="48" t="s">
        <v>721</v>
      </c>
      <c r="C86" s="48" t="s">
        <v>722</v>
      </c>
      <c r="D86" s="75">
        <v>1590.0</v>
      </c>
      <c r="E86" s="171">
        <v>1770.0</v>
      </c>
      <c r="F86" s="168">
        <f t="shared" si="1"/>
        <v>0.1132075472</v>
      </c>
      <c r="G86" s="62">
        <f t="shared" si="2"/>
        <v>3.547094188</v>
      </c>
      <c r="H86" s="75">
        <v>1840.0</v>
      </c>
      <c r="I86" s="169">
        <f t="shared" si="3"/>
        <v>0.1572327044</v>
      </c>
      <c r="J86" s="170">
        <f>IFERROR(__xludf.DUMMYFUNCTION("""COMPUTED_VALUE"""),499.0)</f>
        <v>499</v>
      </c>
      <c r="K86" s="137">
        <f t="shared" si="4"/>
        <v>3.687374749</v>
      </c>
      <c r="L86" s="137"/>
      <c r="M86" s="137"/>
    </row>
    <row r="87">
      <c r="A87" s="115">
        <v>86.0</v>
      </c>
      <c r="B87" s="48" t="s">
        <v>724</v>
      </c>
      <c r="C87" s="48" t="s">
        <v>725</v>
      </c>
      <c r="D87" s="75">
        <v>1770.0</v>
      </c>
      <c r="E87" s="171">
        <v>1980.0</v>
      </c>
      <c r="F87" s="168">
        <f t="shared" si="1"/>
        <v>0.1186440678</v>
      </c>
      <c r="G87" s="62">
        <f t="shared" si="2"/>
        <v>3.606557377</v>
      </c>
      <c r="H87" s="75">
        <v>2060.0</v>
      </c>
      <c r="I87" s="169">
        <f t="shared" si="3"/>
        <v>0.1638418079</v>
      </c>
      <c r="J87" s="170">
        <f>IFERROR(__xludf.DUMMYFUNCTION("""COMPUTED_VALUE"""),549.0)</f>
        <v>549</v>
      </c>
      <c r="K87" s="137">
        <f t="shared" si="4"/>
        <v>3.752276867</v>
      </c>
      <c r="L87" s="137"/>
      <c r="M87" s="137"/>
    </row>
    <row r="88">
      <c r="A88" s="115">
        <v>87.0</v>
      </c>
      <c r="B88" s="48" t="s">
        <v>512</v>
      </c>
      <c r="C88" s="48" t="s">
        <v>513</v>
      </c>
      <c r="D88" s="75">
        <v>850.0</v>
      </c>
      <c r="E88" s="171">
        <v>980.0</v>
      </c>
      <c r="F88" s="168">
        <f t="shared" si="1"/>
        <v>0.1529411765</v>
      </c>
      <c r="G88" s="62">
        <f t="shared" si="2"/>
        <v>5.268817204</v>
      </c>
      <c r="H88" s="75">
        <v>1020.0</v>
      </c>
      <c r="I88" s="169">
        <f t="shared" si="3"/>
        <v>0.2</v>
      </c>
      <c r="J88" s="170">
        <f>IFERROR(__xludf.DUMMYFUNCTION("""COMPUTED_VALUE"""),186.0)</f>
        <v>186</v>
      </c>
      <c r="K88" s="137">
        <f t="shared" si="4"/>
        <v>5.483870968</v>
      </c>
      <c r="L88" s="137"/>
      <c r="M88" s="137"/>
    </row>
    <row r="89">
      <c r="A89" s="115">
        <v>88.0</v>
      </c>
      <c r="B89" s="48" t="s">
        <v>514</v>
      </c>
      <c r="C89" s="48" t="s">
        <v>515</v>
      </c>
      <c r="D89" s="75">
        <v>350.0</v>
      </c>
      <c r="E89" s="171">
        <v>385.00000000000006</v>
      </c>
      <c r="F89" s="168">
        <f t="shared" si="1"/>
        <v>0.1</v>
      </c>
      <c r="G89" s="62">
        <f t="shared" si="2"/>
        <v>5.065789474</v>
      </c>
      <c r="H89" s="75">
        <v>390.0</v>
      </c>
      <c r="I89" s="169">
        <f t="shared" si="3"/>
        <v>0.1142857143</v>
      </c>
      <c r="J89" s="170">
        <f>IFERROR(__xludf.DUMMYFUNCTION("""COMPUTED_VALUE"""),76.0)</f>
        <v>76</v>
      </c>
      <c r="K89" s="137">
        <f t="shared" si="4"/>
        <v>5.131578947</v>
      </c>
      <c r="L89" s="137"/>
      <c r="M89" s="137"/>
    </row>
    <row r="90">
      <c r="A90" s="115">
        <v>89.0</v>
      </c>
      <c r="B90" s="48" t="s">
        <v>1134</v>
      </c>
      <c r="C90" s="48" t="s">
        <v>1135</v>
      </c>
      <c r="D90" s="75">
        <v>540.0</v>
      </c>
      <c r="E90" s="171">
        <v>595.0</v>
      </c>
      <c r="F90" s="168">
        <f t="shared" si="1"/>
        <v>0.1018518519</v>
      </c>
      <c r="G90" s="62">
        <f t="shared" si="2"/>
        <v>4.075342466</v>
      </c>
      <c r="H90" s="75">
        <v>620.0</v>
      </c>
      <c r="I90" s="169">
        <f t="shared" si="3"/>
        <v>0.1481481481</v>
      </c>
      <c r="J90" s="170">
        <f>IFERROR(__xludf.DUMMYFUNCTION("""COMPUTED_VALUE"""),146.0)</f>
        <v>146</v>
      </c>
      <c r="K90" s="137">
        <f t="shared" si="4"/>
        <v>4.246575342</v>
      </c>
      <c r="L90" s="137"/>
      <c r="M90" s="137"/>
    </row>
    <row r="91">
      <c r="A91" s="115">
        <v>90.0</v>
      </c>
      <c r="B91" s="48" t="s">
        <v>516</v>
      </c>
      <c r="C91" s="48" t="s">
        <v>517</v>
      </c>
      <c r="D91" s="75">
        <v>1050.0</v>
      </c>
      <c r="E91" s="171">
        <v>1190.0</v>
      </c>
      <c r="F91" s="168">
        <f t="shared" si="1"/>
        <v>0.1333333333</v>
      </c>
      <c r="G91" s="62">
        <f t="shared" si="2"/>
        <v>4.87704918</v>
      </c>
      <c r="H91" s="75">
        <v>1240.0</v>
      </c>
      <c r="I91" s="169">
        <f t="shared" si="3"/>
        <v>0.180952381</v>
      </c>
      <c r="J91" s="170">
        <f>IFERROR(__xludf.DUMMYFUNCTION("""COMPUTED_VALUE"""),244.0)</f>
        <v>244</v>
      </c>
      <c r="K91" s="137">
        <f t="shared" si="4"/>
        <v>5.081967213</v>
      </c>
      <c r="L91" s="137"/>
      <c r="M91" s="137"/>
    </row>
    <row r="92">
      <c r="A92" s="115">
        <v>91.0</v>
      </c>
      <c r="B92" s="48" t="s">
        <v>518</v>
      </c>
      <c r="C92" s="48" t="s">
        <v>519</v>
      </c>
      <c r="D92" s="75">
        <v>390.0</v>
      </c>
      <c r="E92" s="171">
        <v>430.0</v>
      </c>
      <c r="F92" s="168">
        <f t="shared" si="1"/>
        <v>0.1025641026</v>
      </c>
      <c r="G92" s="62">
        <f t="shared" si="2"/>
        <v>3.805309735</v>
      </c>
      <c r="H92" s="75">
        <v>450.0</v>
      </c>
      <c r="I92" s="169">
        <f t="shared" si="3"/>
        <v>0.1538461538</v>
      </c>
      <c r="J92" s="170">
        <f>IFERROR(__xludf.DUMMYFUNCTION("""COMPUTED_VALUE"""),113.0)</f>
        <v>113</v>
      </c>
      <c r="K92" s="137">
        <f t="shared" si="4"/>
        <v>3.982300885</v>
      </c>
      <c r="L92" s="137"/>
      <c r="M92" s="137"/>
    </row>
    <row r="93">
      <c r="A93" s="115">
        <v>92.0</v>
      </c>
      <c r="B93" s="48" t="s">
        <v>1136</v>
      </c>
      <c r="C93" s="48" t="s">
        <v>1137</v>
      </c>
      <c r="D93" s="75">
        <v>540.0</v>
      </c>
      <c r="E93" s="171">
        <v>640.0</v>
      </c>
      <c r="F93" s="168">
        <f t="shared" si="1"/>
        <v>0.1851851852</v>
      </c>
      <c r="G93" s="62">
        <f t="shared" si="2"/>
        <v>3.333333333</v>
      </c>
      <c r="H93" s="75">
        <v>670.0</v>
      </c>
      <c r="I93" s="169">
        <f t="shared" si="3"/>
        <v>0.2407407407</v>
      </c>
      <c r="J93" s="170">
        <f>IFERROR(__xludf.DUMMYFUNCTION("""COMPUTED_VALUE"""),192.0)</f>
        <v>192</v>
      </c>
      <c r="K93" s="137">
        <f t="shared" si="4"/>
        <v>3.489583333</v>
      </c>
      <c r="L93" s="137"/>
      <c r="M93" s="137"/>
    </row>
    <row r="94">
      <c r="A94" s="115">
        <v>93.0</v>
      </c>
      <c r="B94" s="48" t="s">
        <v>521</v>
      </c>
      <c r="C94" s="48" t="s">
        <v>522</v>
      </c>
      <c r="D94" s="75">
        <v>1280.0</v>
      </c>
      <c r="E94" s="167">
        <v>1440.0</v>
      </c>
      <c r="F94" s="168">
        <f t="shared" si="1"/>
        <v>0.125</v>
      </c>
      <c r="G94" s="62">
        <f t="shared" si="2"/>
        <v>4.705882353</v>
      </c>
      <c r="H94" s="75">
        <v>1530.0</v>
      </c>
      <c r="I94" s="169">
        <f t="shared" si="3"/>
        <v>0.1953125</v>
      </c>
      <c r="J94" s="170">
        <f>IFERROR(__xludf.DUMMYFUNCTION("""COMPUTED_VALUE"""),306.0)</f>
        <v>306</v>
      </c>
      <c r="K94" s="137">
        <f t="shared" si="4"/>
        <v>5</v>
      </c>
      <c r="L94" s="137"/>
      <c r="M94" s="137"/>
    </row>
    <row r="95">
      <c r="A95" s="115">
        <v>94.0</v>
      </c>
      <c r="B95" s="48" t="s">
        <v>523</v>
      </c>
      <c r="C95" s="48" t="s">
        <v>524</v>
      </c>
      <c r="D95" s="75">
        <v>480.0</v>
      </c>
      <c r="E95" s="171">
        <v>530.0</v>
      </c>
      <c r="F95" s="168">
        <f t="shared" si="1"/>
        <v>0.1041666667</v>
      </c>
      <c r="G95" s="62">
        <f t="shared" si="2"/>
        <v>4.108527132</v>
      </c>
      <c r="H95" s="75">
        <v>550.0</v>
      </c>
      <c r="I95" s="169">
        <f t="shared" si="3"/>
        <v>0.1458333333</v>
      </c>
      <c r="J95" s="170">
        <f>IFERROR(__xludf.DUMMYFUNCTION("""COMPUTED_VALUE"""),129.0)</f>
        <v>129</v>
      </c>
      <c r="K95" s="137">
        <f t="shared" si="4"/>
        <v>4.263565891</v>
      </c>
      <c r="L95" s="137"/>
      <c r="M95" s="137"/>
    </row>
    <row r="96">
      <c r="A96" s="115">
        <v>95.0</v>
      </c>
      <c r="B96" s="48" t="s">
        <v>1138</v>
      </c>
      <c r="C96" s="48" t="s">
        <v>1139</v>
      </c>
      <c r="D96" s="75">
        <v>880.0</v>
      </c>
      <c r="E96" s="171">
        <v>970.0</v>
      </c>
      <c r="F96" s="168">
        <f t="shared" si="1"/>
        <v>0.1022727273</v>
      </c>
      <c r="G96" s="62">
        <f t="shared" si="2"/>
        <v>4.092827004</v>
      </c>
      <c r="H96" s="75">
        <v>1010.0</v>
      </c>
      <c r="I96" s="169">
        <f t="shared" si="3"/>
        <v>0.1477272727</v>
      </c>
      <c r="J96" s="170">
        <f>IFERROR(__xludf.DUMMYFUNCTION("""COMPUTED_VALUE"""),237.0)</f>
        <v>237</v>
      </c>
      <c r="K96" s="137">
        <f t="shared" si="4"/>
        <v>4.261603376</v>
      </c>
      <c r="L96" s="137"/>
      <c r="M96" s="137"/>
    </row>
    <row r="97">
      <c r="A97" s="115">
        <v>96.0</v>
      </c>
      <c r="B97" s="48" t="s">
        <v>525</v>
      </c>
      <c r="C97" s="48" t="s">
        <v>526</v>
      </c>
      <c r="D97" s="75">
        <v>640.0</v>
      </c>
      <c r="E97" s="167">
        <v>690.0</v>
      </c>
      <c r="F97" s="168">
        <f t="shared" si="1"/>
        <v>0.078125</v>
      </c>
      <c r="G97" s="62">
        <f t="shared" si="2"/>
        <v>4.825174825</v>
      </c>
      <c r="H97" s="75">
        <v>769.6</v>
      </c>
      <c r="I97" s="169">
        <f t="shared" si="3"/>
        <v>0.2025</v>
      </c>
      <c r="J97" s="170">
        <f>IFERROR(__xludf.DUMMYFUNCTION("""COMPUTED_VALUE"""),143.0)</f>
        <v>143</v>
      </c>
      <c r="K97" s="137">
        <f t="shared" si="4"/>
        <v>5.381818182</v>
      </c>
      <c r="L97" s="137"/>
      <c r="M97" s="137"/>
    </row>
    <row r="98">
      <c r="A98" s="115">
        <v>97.0</v>
      </c>
      <c r="B98" s="48" t="s">
        <v>527</v>
      </c>
      <c r="C98" s="48" t="s">
        <v>528</v>
      </c>
      <c r="D98" s="75">
        <v>490.0</v>
      </c>
      <c r="E98" s="171">
        <v>540.0</v>
      </c>
      <c r="F98" s="168">
        <f t="shared" si="1"/>
        <v>0.1020408163</v>
      </c>
      <c r="G98" s="62">
        <f t="shared" si="2"/>
        <v>3.648648649</v>
      </c>
      <c r="H98" s="75">
        <v>560.0</v>
      </c>
      <c r="I98" s="169">
        <f t="shared" si="3"/>
        <v>0.1428571429</v>
      </c>
      <c r="J98" s="170">
        <f>IFERROR(__xludf.DUMMYFUNCTION("""COMPUTED_VALUE"""),148.0)</f>
        <v>148</v>
      </c>
      <c r="K98" s="137">
        <f t="shared" si="4"/>
        <v>3.783783784</v>
      </c>
      <c r="L98" s="137"/>
      <c r="M98" s="137"/>
    </row>
    <row r="99">
      <c r="A99" s="115">
        <v>98.0</v>
      </c>
      <c r="B99" s="48" t="s">
        <v>529</v>
      </c>
      <c r="C99" s="48" t="s">
        <v>530</v>
      </c>
      <c r="D99" s="75">
        <v>760.0</v>
      </c>
      <c r="E99" s="171">
        <v>840.0</v>
      </c>
      <c r="F99" s="168">
        <f t="shared" si="1"/>
        <v>0.1052631579</v>
      </c>
      <c r="G99" s="62">
        <f t="shared" si="2"/>
        <v>3.620689655</v>
      </c>
      <c r="H99" s="75">
        <v>870.0</v>
      </c>
      <c r="I99" s="169">
        <f t="shared" si="3"/>
        <v>0.1447368421</v>
      </c>
      <c r="J99" s="170">
        <f>IFERROR(__xludf.DUMMYFUNCTION("""COMPUTED_VALUE"""),232.0)</f>
        <v>232</v>
      </c>
      <c r="K99" s="137">
        <f t="shared" si="4"/>
        <v>3.75</v>
      </c>
      <c r="L99" s="137"/>
      <c r="M99" s="137"/>
    </row>
    <row r="100">
      <c r="A100" s="115">
        <v>99.0</v>
      </c>
      <c r="B100" s="48" t="s">
        <v>644</v>
      </c>
      <c r="C100" s="48" t="s">
        <v>645</v>
      </c>
      <c r="D100" s="75">
        <v>84990.0</v>
      </c>
      <c r="E100" s="167">
        <v>89500.0</v>
      </c>
      <c r="F100" s="168">
        <f t="shared" si="1"/>
        <v>0.05306506648</v>
      </c>
      <c r="G100" s="62">
        <f t="shared" si="2"/>
        <v>3.983088563</v>
      </c>
      <c r="H100" s="75">
        <v>97240.0</v>
      </c>
      <c r="I100" s="169">
        <f t="shared" si="3"/>
        <v>0.1441346041</v>
      </c>
      <c r="J100" s="170">
        <f>IFERROR(__xludf.DUMMYFUNCTION("""COMPUTED_VALUE"""),22470.0)</f>
        <v>22470</v>
      </c>
      <c r="K100" s="137">
        <f t="shared" si="4"/>
        <v>4.327547842</v>
      </c>
      <c r="L100" s="137"/>
      <c r="M100" s="137"/>
    </row>
    <row r="101">
      <c r="A101" s="115">
        <v>100.0</v>
      </c>
      <c r="B101" s="48" t="s">
        <v>648</v>
      </c>
      <c r="C101" s="48" t="s">
        <v>645</v>
      </c>
      <c r="D101" s="75">
        <v>18990.0</v>
      </c>
      <c r="E101" s="167">
        <v>19800.0</v>
      </c>
      <c r="F101" s="168">
        <f t="shared" si="1"/>
        <v>0.04265402844</v>
      </c>
      <c r="G101" s="62">
        <f t="shared" si="2"/>
        <v>3.932472691</v>
      </c>
      <c r="H101" s="75">
        <v>21740.0</v>
      </c>
      <c r="I101" s="169">
        <f t="shared" si="3"/>
        <v>0.1448130595</v>
      </c>
      <c r="J101" s="170">
        <f>IFERROR(__xludf.DUMMYFUNCTION("""COMPUTED_VALUE"""),5035.0)</f>
        <v>5035</v>
      </c>
      <c r="K101" s="137">
        <f t="shared" si="4"/>
        <v>4.317775571</v>
      </c>
      <c r="L101" s="137"/>
      <c r="M101" s="137"/>
    </row>
    <row r="102">
      <c r="A102" s="115">
        <v>101.0</v>
      </c>
      <c r="B102" s="48" t="s">
        <v>649</v>
      </c>
      <c r="C102" s="48" t="s">
        <v>645</v>
      </c>
      <c r="D102" s="75">
        <v>12990.0</v>
      </c>
      <c r="E102" s="167">
        <v>13900.0</v>
      </c>
      <c r="F102" s="168">
        <f t="shared" si="1"/>
        <v>0.07005388761</v>
      </c>
      <c r="G102" s="62">
        <f t="shared" si="2"/>
        <v>3.956732138</v>
      </c>
      <c r="H102" s="75">
        <v>14870.0</v>
      </c>
      <c r="I102" s="169">
        <f t="shared" si="3"/>
        <v>0.1447267129</v>
      </c>
      <c r="J102" s="170">
        <f>IFERROR(__xludf.DUMMYFUNCTION("""COMPUTED_VALUE"""),3513.0)</f>
        <v>3513</v>
      </c>
      <c r="K102" s="137">
        <f t="shared" si="4"/>
        <v>4.232849416</v>
      </c>
      <c r="L102" s="137"/>
      <c r="M102" s="137"/>
    </row>
    <row r="103">
      <c r="A103" s="115">
        <v>102.0</v>
      </c>
      <c r="B103" s="48" t="s">
        <v>652</v>
      </c>
      <c r="C103" s="48" t="s">
        <v>645</v>
      </c>
      <c r="D103" s="75">
        <v>19990.0</v>
      </c>
      <c r="E103" s="167">
        <v>20900.0</v>
      </c>
      <c r="F103" s="168">
        <f t="shared" si="1"/>
        <v>0.04552276138</v>
      </c>
      <c r="G103" s="62">
        <f t="shared" si="2"/>
        <v>3.797238372</v>
      </c>
      <c r="H103" s="75">
        <v>22770.0</v>
      </c>
      <c r="I103" s="169">
        <f t="shared" si="3"/>
        <v>0.1390695348</v>
      </c>
      <c r="J103" s="170">
        <f>IFERROR(__xludf.DUMMYFUNCTION("""COMPUTED_VALUE"""),5504.0)</f>
        <v>5504</v>
      </c>
      <c r="K103" s="137">
        <f t="shared" si="4"/>
        <v>4.136991279</v>
      </c>
      <c r="L103" s="137"/>
      <c r="M103" s="137"/>
    </row>
    <row r="104">
      <c r="A104" s="115">
        <v>103.0</v>
      </c>
      <c r="B104" s="48" t="s">
        <v>655</v>
      </c>
      <c r="C104" s="48" t="s">
        <v>656</v>
      </c>
      <c r="D104" s="75">
        <v>3590.0</v>
      </c>
      <c r="E104" s="167">
        <v>3750.0</v>
      </c>
      <c r="F104" s="168">
        <f t="shared" si="1"/>
        <v>0.04456824513</v>
      </c>
      <c r="G104" s="62">
        <f t="shared" si="2"/>
        <v>4.040948276</v>
      </c>
      <c r="H104" s="75">
        <v>4090.0</v>
      </c>
      <c r="I104" s="169">
        <f t="shared" si="3"/>
        <v>0.139275766</v>
      </c>
      <c r="J104" s="170">
        <f>IFERROR(__xludf.DUMMYFUNCTION("""COMPUTED_VALUE"""),928.0)</f>
        <v>928</v>
      </c>
      <c r="K104" s="137">
        <f t="shared" si="4"/>
        <v>4.407327586</v>
      </c>
      <c r="L104" s="137"/>
      <c r="M104" s="137"/>
    </row>
    <row r="105">
      <c r="A105" s="115">
        <v>104.0</v>
      </c>
      <c r="B105" s="48" t="s">
        <v>658</v>
      </c>
      <c r="C105" s="48" t="s">
        <v>659</v>
      </c>
      <c r="D105" s="75">
        <v>3590.0</v>
      </c>
      <c r="E105" s="167">
        <v>3750.0</v>
      </c>
      <c r="F105" s="168">
        <f t="shared" si="1"/>
        <v>0.04456824513</v>
      </c>
      <c r="G105" s="62">
        <f t="shared" si="2"/>
        <v>3.943217666</v>
      </c>
      <c r="H105" s="75">
        <v>4090.0</v>
      </c>
      <c r="I105" s="169">
        <f t="shared" si="3"/>
        <v>0.139275766</v>
      </c>
      <c r="J105" s="170">
        <f>IFERROR(__xludf.DUMMYFUNCTION("""COMPUTED_VALUE"""),951.0)</f>
        <v>951</v>
      </c>
      <c r="K105" s="137">
        <f t="shared" si="4"/>
        <v>4.300736067</v>
      </c>
      <c r="L105" s="137"/>
      <c r="M105" s="137"/>
    </row>
    <row r="106">
      <c r="A106" s="115">
        <v>105.0</v>
      </c>
      <c r="B106" s="48" t="s">
        <v>653</v>
      </c>
      <c r="C106" s="48" t="s">
        <v>645</v>
      </c>
      <c r="D106" s="75">
        <v>20990.0</v>
      </c>
      <c r="E106" s="167">
        <v>22600.0</v>
      </c>
      <c r="F106" s="168">
        <f t="shared" si="1"/>
        <v>0.076703192</v>
      </c>
      <c r="G106" s="62">
        <f t="shared" si="2"/>
        <v>3.927702468</v>
      </c>
      <c r="H106" s="75">
        <v>25890.0</v>
      </c>
      <c r="I106" s="169">
        <f t="shared" si="3"/>
        <v>0.2334444974</v>
      </c>
      <c r="J106" s="170">
        <f>IFERROR(__xludf.DUMMYFUNCTION("""COMPUTED_VALUE"""),5754.0)</f>
        <v>5754</v>
      </c>
      <c r="K106" s="137">
        <f t="shared" si="4"/>
        <v>4.499478624</v>
      </c>
      <c r="L106" s="137"/>
      <c r="M106" s="137"/>
    </row>
    <row r="107">
      <c r="A107" s="115">
        <v>106.0</v>
      </c>
      <c r="B107" s="48" t="s">
        <v>668</v>
      </c>
      <c r="C107" s="48" t="s">
        <v>670</v>
      </c>
      <c r="D107" s="75">
        <v>7590.0</v>
      </c>
      <c r="E107" s="167">
        <v>9990.0</v>
      </c>
      <c r="F107" s="168">
        <f t="shared" si="1"/>
        <v>0.3162055336</v>
      </c>
      <c r="G107" s="62">
        <f t="shared" si="2"/>
        <v>3.411885246</v>
      </c>
      <c r="H107" s="75">
        <v>12930.0</v>
      </c>
      <c r="I107" s="169">
        <f t="shared" si="3"/>
        <v>0.7035573123</v>
      </c>
      <c r="J107" s="170">
        <f>IFERROR(__xludf.DUMMYFUNCTION("""COMPUTED_VALUE"""),2928.0)</f>
        <v>2928</v>
      </c>
      <c r="K107" s="137">
        <f t="shared" si="4"/>
        <v>4.415983607</v>
      </c>
      <c r="L107" s="137"/>
      <c r="M107" s="137"/>
    </row>
    <row r="108">
      <c r="A108" s="115">
        <v>107.0</v>
      </c>
      <c r="B108" s="48" t="s">
        <v>638</v>
      </c>
      <c r="C108" s="48" t="s">
        <v>639</v>
      </c>
      <c r="D108" s="75">
        <v>11500.0</v>
      </c>
      <c r="E108" s="167">
        <v>12200.0</v>
      </c>
      <c r="F108" s="168">
        <f t="shared" si="1"/>
        <v>0.06086956522</v>
      </c>
      <c r="G108" s="62">
        <f t="shared" si="2"/>
        <v>4.314002829</v>
      </c>
      <c r="H108" s="75">
        <v>13160.0</v>
      </c>
      <c r="I108" s="169">
        <f t="shared" si="3"/>
        <v>0.1443478261</v>
      </c>
      <c r="J108" s="170">
        <f>IFERROR(__xludf.DUMMYFUNCTION("""COMPUTED_VALUE"""),2828.0)</f>
        <v>2828</v>
      </c>
      <c r="K108" s="137">
        <f t="shared" si="4"/>
        <v>4.653465347</v>
      </c>
      <c r="L108" s="137"/>
      <c r="M108" s="137"/>
    </row>
    <row r="109">
      <c r="A109" s="115">
        <v>108.0</v>
      </c>
      <c r="B109" s="48" t="s">
        <v>641</v>
      </c>
      <c r="C109" s="48" t="s">
        <v>642</v>
      </c>
      <c r="D109" s="75">
        <v>5990.0</v>
      </c>
      <c r="E109" s="171">
        <v>7980.0</v>
      </c>
      <c r="F109" s="168">
        <f t="shared" si="1"/>
        <v>0.3322203673</v>
      </c>
      <c r="G109" s="62">
        <f t="shared" si="2"/>
        <v>3.195835002</v>
      </c>
      <c r="H109" s="75">
        <v>8390.0</v>
      </c>
      <c r="I109" s="169">
        <f t="shared" si="3"/>
        <v>0.4006677796</v>
      </c>
      <c r="J109" s="170">
        <f>IFERROR(__xludf.DUMMYFUNCTION("""COMPUTED_VALUE"""),2497.0)</f>
        <v>2497</v>
      </c>
      <c r="K109" s="137">
        <f t="shared" si="4"/>
        <v>3.360032038</v>
      </c>
      <c r="L109" s="137"/>
      <c r="M109" s="137"/>
    </row>
    <row r="110">
      <c r="A110" s="115">
        <v>109.0</v>
      </c>
      <c r="B110" s="48" t="s">
        <v>660</v>
      </c>
      <c r="C110" s="48" t="s">
        <v>661</v>
      </c>
      <c r="D110" s="75">
        <v>11900.0</v>
      </c>
      <c r="E110" s="171">
        <v>12990.0</v>
      </c>
      <c r="F110" s="168">
        <f t="shared" si="1"/>
        <v>0.09159663866</v>
      </c>
      <c r="G110" s="62">
        <f t="shared" si="2"/>
        <v>4.030406454</v>
      </c>
      <c r="H110" s="75">
        <v>13509.6</v>
      </c>
      <c r="I110" s="169">
        <f t="shared" si="3"/>
        <v>0.1352605042</v>
      </c>
      <c r="J110" s="170">
        <f>IFERROR(__xludf.DUMMYFUNCTION("""COMPUTED_VALUE"""),3223.0)</f>
        <v>3223</v>
      </c>
      <c r="K110" s="137">
        <f t="shared" si="4"/>
        <v>4.191622712</v>
      </c>
      <c r="L110" s="137"/>
      <c r="M110" s="137"/>
    </row>
    <row r="111">
      <c r="A111" s="115">
        <v>110.0</v>
      </c>
      <c r="B111" s="48" t="s">
        <v>666</v>
      </c>
      <c r="C111" s="48" t="s">
        <v>661</v>
      </c>
      <c r="D111" s="75">
        <v>11400.0</v>
      </c>
      <c r="E111" s="171">
        <v>12540.000000000002</v>
      </c>
      <c r="F111" s="168">
        <f t="shared" si="1"/>
        <v>0.1</v>
      </c>
      <c r="G111" s="62">
        <f t="shared" si="2"/>
        <v>4.15920398</v>
      </c>
      <c r="H111" s="75">
        <v>13040.0</v>
      </c>
      <c r="I111" s="169">
        <f t="shared" si="3"/>
        <v>0.1438596491</v>
      </c>
      <c r="J111" s="170">
        <f>IFERROR(__xludf.DUMMYFUNCTION("""COMPUTED_VALUE"""),3015.0)</f>
        <v>3015</v>
      </c>
      <c r="K111" s="137">
        <f t="shared" si="4"/>
        <v>4.325041459</v>
      </c>
      <c r="L111" s="137"/>
      <c r="M111" s="137"/>
    </row>
    <row r="112">
      <c r="A112" s="115">
        <v>111.0</v>
      </c>
      <c r="B112" s="48" t="s">
        <v>471</v>
      </c>
      <c r="C112" s="48" t="s">
        <v>472</v>
      </c>
      <c r="D112" s="75">
        <v>990.0</v>
      </c>
      <c r="E112" s="171">
        <v>1090.0</v>
      </c>
      <c r="F112" s="168">
        <f t="shared" si="1"/>
        <v>0.101010101</v>
      </c>
      <c r="G112" s="62">
        <f t="shared" si="2"/>
        <v>3.97810219</v>
      </c>
      <c r="H112" s="75">
        <v>1140.0</v>
      </c>
      <c r="I112" s="169">
        <f t="shared" si="3"/>
        <v>0.1515151515</v>
      </c>
      <c r="J112" s="170">
        <f>IFERROR(__xludf.DUMMYFUNCTION("""COMPUTED_VALUE"""),274.0)</f>
        <v>274</v>
      </c>
      <c r="K112" s="137">
        <f t="shared" si="4"/>
        <v>4.160583942</v>
      </c>
      <c r="L112" s="137"/>
      <c r="M112" s="137"/>
    </row>
    <row r="113">
      <c r="A113" s="115">
        <v>112.0</v>
      </c>
      <c r="B113" s="48" t="s">
        <v>474</v>
      </c>
      <c r="C113" s="48" t="s">
        <v>475</v>
      </c>
      <c r="D113" s="75">
        <v>1190.0</v>
      </c>
      <c r="E113" s="171">
        <v>1290.0</v>
      </c>
      <c r="F113" s="168">
        <f t="shared" si="1"/>
        <v>0.08403361345</v>
      </c>
      <c r="G113" s="62">
        <f t="shared" si="2"/>
        <v>4.108280255</v>
      </c>
      <c r="H113" s="75">
        <v>1340.0</v>
      </c>
      <c r="I113" s="169">
        <f t="shared" si="3"/>
        <v>0.1260504202</v>
      </c>
      <c r="J113" s="170">
        <f>IFERROR(__xludf.DUMMYFUNCTION("""COMPUTED_VALUE"""),314.0)</f>
        <v>314</v>
      </c>
      <c r="K113" s="137">
        <f t="shared" si="4"/>
        <v>4.267515924</v>
      </c>
      <c r="L113" s="137"/>
      <c r="M113" s="137"/>
    </row>
    <row r="114">
      <c r="A114" s="115">
        <v>113.0</v>
      </c>
      <c r="B114" s="48" t="s">
        <v>476</v>
      </c>
      <c r="C114" s="48" t="s">
        <v>477</v>
      </c>
      <c r="D114" s="75">
        <v>1190.0</v>
      </c>
      <c r="E114" s="171">
        <v>1290.0</v>
      </c>
      <c r="F114" s="168">
        <f t="shared" si="1"/>
        <v>0.08403361345</v>
      </c>
      <c r="G114" s="62">
        <f t="shared" si="2"/>
        <v>4.174757282</v>
      </c>
      <c r="H114" s="75">
        <v>1340.0</v>
      </c>
      <c r="I114" s="169">
        <f t="shared" si="3"/>
        <v>0.1260504202</v>
      </c>
      <c r="J114" s="170">
        <f>IFERROR(__xludf.DUMMYFUNCTION("""COMPUTED_VALUE"""),309.0)</f>
        <v>309</v>
      </c>
      <c r="K114" s="137">
        <f t="shared" si="4"/>
        <v>4.336569579</v>
      </c>
      <c r="L114" s="137"/>
      <c r="M114" s="137"/>
    </row>
    <row r="115">
      <c r="A115" s="115">
        <v>114.0</v>
      </c>
      <c r="B115" s="48" t="s">
        <v>479</v>
      </c>
      <c r="C115" s="48" t="s">
        <v>480</v>
      </c>
      <c r="D115" s="75">
        <v>1490.0</v>
      </c>
      <c r="E115" s="171">
        <v>1640.0</v>
      </c>
      <c r="F115" s="168">
        <f t="shared" si="1"/>
        <v>0.1006711409</v>
      </c>
      <c r="G115" s="62">
        <f t="shared" si="2"/>
        <v>4.194373402</v>
      </c>
      <c r="H115" s="75">
        <v>1690.0</v>
      </c>
      <c r="I115" s="169">
        <f t="shared" si="3"/>
        <v>0.1342281879</v>
      </c>
      <c r="J115" s="170">
        <f>IFERROR(__xludf.DUMMYFUNCTION("""COMPUTED_VALUE"""),391.0)</f>
        <v>391</v>
      </c>
      <c r="K115" s="137">
        <f t="shared" si="4"/>
        <v>4.322250639</v>
      </c>
      <c r="L115" s="137"/>
      <c r="M115" s="137"/>
    </row>
    <row r="116">
      <c r="A116" s="115">
        <v>115.0</v>
      </c>
      <c r="B116" s="48" t="s">
        <v>482</v>
      </c>
      <c r="C116" s="48" t="s">
        <v>483</v>
      </c>
      <c r="D116" s="75">
        <v>1190.0</v>
      </c>
      <c r="E116" s="171">
        <v>1290.0</v>
      </c>
      <c r="F116" s="168">
        <f t="shared" si="1"/>
        <v>0.08403361345</v>
      </c>
      <c r="G116" s="62">
        <f t="shared" si="2"/>
        <v>4.043887147</v>
      </c>
      <c r="H116" s="75">
        <v>1340.0</v>
      </c>
      <c r="I116" s="169">
        <f t="shared" si="3"/>
        <v>0.1260504202</v>
      </c>
      <c r="J116" s="170">
        <f>IFERROR(__xludf.DUMMYFUNCTION("""COMPUTED_VALUE"""),319.0)</f>
        <v>319</v>
      </c>
      <c r="K116" s="137">
        <f t="shared" si="4"/>
        <v>4.200626959</v>
      </c>
      <c r="L116" s="137"/>
      <c r="M116" s="137"/>
    </row>
    <row r="117">
      <c r="A117" s="115">
        <v>116.0</v>
      </c>
      <c r="B117" s="48" t="s">
        <v>486</v>
      </c>
      <c r="C117" s="48" t="s">
        <v>487</v>
      </c>
      <c r="D117" s="75">
        <v>1490.0</v>
      </c>
      <c r="E117" s="171">
        <v>1640.0</v>
      </c>
      <c r="F117" s="168">
        <f t="shared" si="1"/>
        <v>0.1006711409</v>
      </c>
      <c r="G117" s="62">
        <f t="shared" si="2"/>
        <v>4.162436548</v>
      </c>
      <c r="H117" s="75">
        <v>1690.0</v>
      </c>
      <c r="I117" s="169">
        <f t="shared" si="3"/>
        <v>0.1342281879</v>
      </c>
      <c r="J117" s="170">
        <f>IFERROR(__xludf.DUMMYFUNCTION("""COMPUTED_VALUE"""),394.0)</f>
        <v>394</v>
      </c>
      <c r="K117" s="137">
        <f t="shared" si="4"/>
        <v>4.289340102</v>
      </c>
      <c r="L117" s="137"/>
      <c r="M117" s="137"/>
    </row>
    <row r="118">
      <c r="A118" s="115">
        <v>117.0</v>
      </c>
      <c r="B118" s="48" t="s">
        <v>489</v>
      </c>
      <c r="C118" s="48" t="s">
        <v>490</v>
      </c>
      <c r="D118" s="75">
        <v>1490.0</v>
      </c>
      <c r="E118" s="171">
        <v>1640.0</v>
      </c>
      <c r="F118" s="168">
        <f t="shared" si="1"/>
        <v>0.1006711409</v>
      </c>
      <c r="G118" s="62">
        <f t="shared" si="2"/>
        <v>4.162436548</v>
      </c>
      <c r="H118" s="75">
        <v>1690.0</v>
      </c>
      <c r="I118" s="169">
        <f t="shared" si="3"/>
        <v>0.1342281879</v>
      </c>
      <c r="J118" s="170">
        <f>IFERROR(__xludf.DUMMYFUNCTION("""COMPUTED_VALUE"""),394.0)</f>
        <v>394</v>
      </c>
      <c r="K118" s="137">
        <f t="shared" si="4"/>
        <v>4.289340102</v>
      </c>
      <c r="L118" s="137"/>
      <c r="M118" s="137"/>
    </row>
    <row r="119">
      <c r="A119" s="115">
        <v>118.0</v>
      </c>
      <c r="B119" s="48" t="s">
        <v>492</v>
      </c>
      <c r="C119" s="48" t="s">
        <v>493</v>
      </c>
      <c r="D119" s="75">
        <v>1290.0</v>
      </c>
      <c r="E119" s="171">
        <v>1440.0</v>
      </c>
      <c r="F119" s="168">
        <f t="shared" si="1"/>
        <v>0.1162790698</v>
      </c>
      <c r="G119" s="62">
        <f t="shared" si="2"/>
        <v>4.04494382</v>
      </c>
      <c r="H119" s="75">
        <v>1490.0</v>
      </c>
      <c r="I119" s="169">
        <f t="shared" si="3"/>
        <v>0.1550387597</v>
      </c>
      <c r="J119" s="170">
        <f>IFERROR(__xludf.DUMMYFUNCTION("""COMPUTED_VALUE"""),356.0)</f>
        <v>356</v>
      </c>
      <c r="K119" s="137">
        <f t="shared" si="4"/>
        <v>4.185393258</v>
      </c>
      <c r="L119" s="137"/>
      <c r="M119" s="137"/>
    </row>
    <row r="120">
      <c r="A120" s="115">
        <v>119.0</v>
      </c>
      <c r="B120" s="48" t="s">
        <v>494</v>
      </c>
      <c r="C120" s="48" t="s">
        <v>495</v>
      </c>
      <c r="D120" s="75">
        <v>1290.0</v>
      </c>
      <c r="E120" s="171">
        <v>1480.0</v>
      </c>
      <c r="F120" s="168">
        <f t="shared" si="1"/>
        <v>0.1472868217</v>
      </c>
      <c r="G120" s="62">
        <f t="shared" si="2"/>
        <v>3.386727689</v>
      </c>
      <c r="H120" s="75">
        <v>1530.0</v>
      </c>
      <c r="I120" s="169">
        <f t="shared" si="3"/>
        <v>0.1860465116</v>
      </c>
      <c r="J120" s="170">
        <f>IFERROR(__xludf.DUMMYFUNCTION("""COMPUTED_VALUE"""),437.0)</f>
        <v>437</v>
      </c>
      <c r="K120" s="137">
        <f t="shared" si="4"/>
        <v>3.501144165</v>
      </c>
      <c r="L120" s="137"/>
      <c r="M120" s="137"/>
    </row>
    <row r="121">
      <c r="A121" s="115">
        <v>120.0</v>
      </c>
      <c r="B121" s="48" t="s">
        <v>451</v>
      </c>
      <c r="C121" s="48" t="s">
        <v>452</v>
      </c>
      <c r="D121" s="75">
        <v>1240.0</v>
      </c>
      <c r="E121" s="171">
        <v>1360.0</v>
      </c>
      <c r="F121" s="168">
        <f t="shared" si="1"/>
        <v>0.09677419355</v>
      </c>
      <c r="G121" s="62">
        <f t="shared" si="2"/>
        <v>4.473684211</v>
      </c>
      <c r="H121" s="75">
        <v>1390.0</v>
      </c>
      <c r="I121" s="169">
        <f t="shared" si="3"/>
        <v>0.1209677419</v>
      </c>
      <c r="J121" s="170">
        <f>IFERROR(__xludf.DUMMYFUNCTION("""COMPUTED_VALUE"""),304.0)</f>
        <v>304</v>
      </c>
      <c r="K121" s="137">
        <f t="shared" si="4"/>
        <v>4.572368421</v>
      </c>
      <c r="L121" s="137"/>
      <c r="M121" s="137"/>
    </row>
    <row r="122">
      <c r="A122" s="115">
        <v>121.0</v>
      </c>
      <c r="B122" s="48" t="s">
        <v>454</v>
      </c>
      <c r="C122" s="48" t="s">
        <v>452</v>
      </c>
      <c r="D122" s="75">
        <v>1130.0</v>
      </c>
      <c r="E122" s="171">
        <v>1240.0</v>
      </c>
      <c r="F122" s="168">
        <f t="shared" si="1"/>
        <v>0.09734513274</v>
      </c>
      <c r="G122" s="62">
        <f t="shared" si="2"/>
        <v>4.525547445</v>
      </c>
      <c r="H122" s="75">
        <v>1289.6</v>
      </c>
      <c r="I122" s="169">
        <f t="shared" si="3"/>
        <v>0.1412389381</v>
      </c>
      <c r="J122" s="170">
        <f>IFERROR(__xludf.DUMMYFUNCTION("""COMPUTED_VALUE"""),274.0)</f>
        <v>274</v>
      </c>
      <c r="K122" s="137">
        <f t="shared" si="4"/>
        <v>4.706569343</v>
      </c>
      <c r="L122" s="137"/>
      <c r="M122" s="137"/>
    </row>
    <row r="123">
      <c r="A123" s="115">
        <v>122.0</v>
      </c>
      <c r="B123" s="48" t="s">
        <v>455</v>
      </c>
      <c r="C123" s="48" t="s">
        <v>456</v>
      </c>
      <c r="D123" s="75">
        <v>1350.0</v>
      </c>
      <c r="E123" s="171">
        <v>1485.0000000000002</v>
      </c>
      <c r="F123" s="168">
        <f t="shared" si="1"/>
        <v>0.1</v>
      </c>
      <c r="G123" s="62">
        <f t="shared" si="2"/>
        <v>4.380530973</v>
      </c>
      <c r="H123" s="75">
        <v>1540.0</v>
      </c>
      <c r="I123" s="169">
        <f t="shared" si="3"/>
        <v>0.1407407407</v>
      </c>
      <c r="J123" s="170">
        <f>IFERROR(__xludf.DUMMYFUNCTION("""COMPUTED_VALUE"""),339.0)</f>
        <v>339</v>
      </c>
      <c r="K123" s="137">
        <f t="shared" si="4"/>
        <v>4.542772861</v>
      </c>
      <c r="L123" s="137"/>
      <c r="M123" s="137"/>
    </row>
    <row r="124">
      <c r="A124" s="115">
        <v>123.0</v>
      </c>
      <c r="B124" s="48" t="s">
        <v>457</v>
      </c>
      <c r="C124" s="48" t="s">
        <v>452</v>
      </c>
      <c r="D124" s="75">
        <v>1350.0</v>
      </c>
      <c r="E124" s="171">
        <v>1485.0000000000002</v>
      </c>
      <c r="F124" s="168">
        <f t="shared" si="1"/>
        <v>0.1</v>
      </c>
      <c r="G124" s="62">
        <f t="shared" si="2"/>
        <v>4.068493151</v>
      </c>
      <c r="H124" s="75">
        <v>1540.0</v>
      </c>
      <c r="I124" s="169">
        <f t="shared" si="3"/>
        <v>0.1407407407</v>
      </c>
      <c r="J124" s="170">
        <f>IFERROR(__xludf.DUMMYFUNCTION("""COMPUTED_VALUE"""),365.0)</f>
        <v>365</v>
      </c>
      <c r="K124" s="137">
        <f t="shared" si="4"/>
        <v>4.219178082</v>
      </c>
      <c r="L124" s="137"/>
      <c r="M124" s="137"/>
    </row>
    <row r="125">
      <c r="A125" s="115">
        <v>124.0</v>
      </c>
      <c r="B125" s="48" t="s">
        <v>458</v>
      </c>
      <c r="C125" s="48" t="s">
        <v>452</v>
      </c>
      <c r="D125" s="75">
        <v>1190.0</v>
      </c>
      <c r="E125" s="171">
        <v>1290.0</v>
      </c>
      <c r="F125" s="168">
        <f t="shared" si="1"/>
        <v>0.08403361345</v>
      </c>
      <c r="G125" s="62">
        <f t="shared" si="2"/>
        <v>4.46366782</v>
      </c>
      <c r="H125" s="75">
        <v>1340.0</v>
      </c>
      <c r="I125" s="169">
        <f t="shared" si="3"/>
        <v>0.1260504202</v>
      </c>
      <c r="J125" s="170">
        <f>IFERROR(__xludf.DUMMYFUNCTION("""COMPUTED_VALUE"""),289.0)</f>
        <v>289</v>
      </c>
      <c r="K125" s="137">
        <f t="shared" si="4"/>
        <v>4.636678201</v>
      </c>
      <c r="L125" s="137"/>
      <c r="M125" s="137"/>
    </row>
    <row r="126">
      <c r="A126" s="115">
        <v>125.0</v>
      </c>
      <c r="B126" s="48" t="s">
        <v>1141</v>
      </c>
      <c r="C126" s="48" t="s">
        <v>1142</v>
      </c>
      <c r="D126" s="75">
        <v>1330.0</v>
      </c>
      <c r="E126" s="171">
        <v>1460.0</v>
      </c>
      <c r="F126" s="168">
        <f t="shared" si="1"/>
        <v>0.0977443609</v>
      </c>
      <c r="G126" s="62">
        <f t="shared" si="2"/>
        <v>3.956639566</v>
      </c>
      <c r="H126" s="75">
        <v>1510.0</v>
      </c>
      <c r="I126" s="169">
        <f t="shared" si="3"/>
        <v>0.1353383459</v>
      </c>
      <c r="J126" s="170">
        <f>IFERROR(__xludf.DUMMYFUNCTION("""COMPUTED_VALUE"""),369.0)</f>
        <v>369</v>
      </c>
      <c r="K126" s="137">
        <f t="shared" si="4"/>
        <v>4.092140921</v>
      </c>
      <c r="L126" s="137"/>
      <c r="M126" s="137"/>
    </row>
    <row r="127">
      <c r="A127" s="115">
        <v>126.0</v>
      </c>
      <c r="B127" s="48" t="s">
        <v>1144</v>
      </c>
      <c r="C127" s="48" t="s">
        <v>1142</v>
      </c>
      <c r="D127" s="75">
        <v>1330.0</v>
      </c>
      <c r="E127" s="171">
        <v>1460.0</v>
      </c>
      <c r="F127" s="168">
        <f t="shared" si="1"/>
        <v>0.0977443609</v>
      </c>
      <c r="G127" s="62">
        <f t="shared" si="2"/>
        <v>4.50617284</v>
      </c>
      <c r="H127" s="75">
        <v>1510.0</v>
      </c>
      <c r="I127" s="169">
        <f t="shared" si="3"/>
        <v>0.1353383459</v>
      </c>
      <c r="J127" s="170">
        <f>IFERROR(__xludf.DUMMYFUNCTION("""COMPUTED_VALUE"""),324.0)</f>
        <v>324</v>
      </c>
      <c r="K127" s="137">
        <f t="shared" si="4"/>
        <v>4.660493827</v>
      </c>
      <c r="L127" s="137"/>
      <c r="M127" s="137"/>
    </row>
    <row r="128">
      <c r="A128" s="115">
        <v>127.0</v>
      </c>
      <c r="B128" s="48" t="s">
        <v>462</v>
      </c>
      <c r="C128" s="48" t="s">
        <v>463</v>
      </c>
      <c r="D128" s="75">
        <v>590.0</v>
      </c>
      <c r="E128" s="171">
        <v>645.0</v>
      </c>
      <c r="F128" s="168">
        <f t="shared" si="1"/>
        <v>0.09322033898</v>
      </c>
      <c r="G128" s="62">
        <f t="shared" si="2"/>
        <v>5.917431193</v>
      </c>
      <c r="H128" s="75">
        <v>670.0</v>
      </c>
      <c r="I128" s="169">
        <f t="shared" si="3"/>
        <v>0.1355932203</v>
      </c>
      <c r="J128" s="170">
        <f>IFERROR(__xludf.DUMMYFUNCTION("""COMPUTED_VALUE"""),109.0)</f>
        <v>109</v>
      </c>
      <c r="K128" s="137">
        <f t="shared" si="4"/>
        <v>6.146788991</v>
      </c>
      <c r="L128" s="137"/>
      <c r="M128" s="137"/>
    </row>
    <row r="129">
      <c r="A129" s="115">
        <v>128.0</v>
      </c>
      <c r="B129" s="48" t="s">
        <v>460</v>
      </c>
      <c r="C129" s="48" t="s">
        <v>461</v>
      </c>
      <c r="D129" s="75">
        <v>540.0</v>
      </c>
      <c r="E129" s="171">
        <v>540.0</v>
      </c>
      <c r="F129" s="168">
        <f t="shared" si="1"/>
        <v>0</v>
      </c>
      <c r="G129" s="62">
        <f t="shared" si="2"/>
        <v>4.864864865</v>
      </c>
      <c r="H129" s="75">
        <v>560.0</v>
      </c>
      <c r="I129" s="169">
        <f t="shared" si="3"/>
        <v>0.03703703704</v>
      </c>
      <c r="J129" s="170">
        <f>IFERROR(__xludf.DUMMYFUNCTION("""COMPUTED_VALUE"""),111.0)</f>
        <v>111</v>
      </c>
      <c r="K129" s="137">
        <f t="shared" si="4"/>
        <v>5.045045045</v>
      </c>
      <c r="L129" s="137"/>
      <c r="M129" s="137"/>
    </row>
    <row r="130">
      <c r="A130" s="115">
        <v>129.0</v>
      </c>
      <c r="B130" s="48" t="s">
        <v>465</v>
      </c>
      <c r="C130" s="48" t="s">
        <v>467</v>
      </c>
      <c r="D130" s="75">
        <v>360.0</v>
      </c>
      <c r="E130" s="171">
        <v>360.0</v>
      </c>
      <c r="F130" s="168">
        <f t="shared" si="1"/>
        <v>0</v>
      </c>
      <c r="G130" s="62">
        <f t="shared" si="2"/>
        <v>4.931506849</v>
      </c>
      <c r="H130" s="75">
        <v>370.0</v>
      </c>
      <c r="I130" s="169">
        <f t="shared" si="3"/>
        <v>0.02777777778</v>
      </c>
      <c r="J130" s="170">
        <f>IFERROR(__xludf.DUMMYFUNCTION("""COMPUTED_VALUE"""),73.0)</f>
        <v>73</v>
      </c>
      <c r="K130" s="137">
        <f t="shared" si="4"/>
        <v>5.068493151</v>
      </c>
      <c r="L130" s="137"/>
      <c r="M130" s="137"/>
    </row>
    <row r="131">
      <c r="A131" s="115">
        <v>130.0</v>
      </c>
      <c r="B131" s="48" t="s">
        <v>468</v>
      </c>
      <c r="C131" s="48" t="s">
        <v>469</v>
      </c>
      <c r="D131" s="75">
        <v>390.0</v>
      </c>
      <c r="E131" s="171">
        <v>410.0</v>
      </c>
      <c r="F131" s="168">
        <f t="shared" si="1"/>
        <v>0.05128205128</v>
      </c>
      <c r="G131" s="62">
        <f t="shared" si="2"/>
        <v>4.823529412</v>
      </c>
      <c r="H131" s="75">
        <v>430.0</v>
      </c>
      <c r="I131" s="169">
        <f t="shared" si="3"/>
        <v>0.1025641026</v>
      </c>
      <c r="J131" s="170">
        <f>IFERROR(__xludf.DUMMYFUNCTION("""COMPUTED_VALUE"""),85.0)</f>
        <v>85</v>
      </c>
      <c r="K131" s="137">
        <f t="shared" si="4"/>
        <v>5.058823529</v>
      </c>
      <c r="L131" s="137"/>
      <c r="M131" s="137"/>
    </row>
    <row r="132">
      <c r="A132" s="115">
        <v>131.0</v>
      </c>
      <c r="B132" s="48" t="s">
        <v>497</v>
      </c>
      <c r="C132" s="48" t="s">
        <v>498</v>
      </c>
      <c r="D132" s="75">
        <v>4190.0</v>
      </c>
      <c r="E132" s="171">
        <v>4990.0</v>
      </c>
      <c r="F132" s="168">
        <f t="shared" si="1"/>
        <v>0.1909307876</v>
      </c>
      <c r="G132" s="62">
        <f t="shared" si="2"/>
        <v>4.179229481</v>
      </c>
      <c r="H132" s="75">
        <v>5189.6</v>
      </c>
      <c r="I132" s="169">
        <f t="shared" si="3"/>
        <v>0.2385680191</v>
      </c>
      <c r="J132" s="170">
        <f>IFERROR(__xludf.DUMMYFUNCTION("""COMPUTED_VALUE"""),1194.0)</f>
        <v>1194</v>
      </c>
      <c r="K132" s="137">
        <f t="shared" si="4"/>
        <v>4.34639866</v>
      </c>
      <c r="L132" s="137"/>
      <c r="M132" s="137"/>
    </row>
    <row r="133">
      <c r="A133" s="115">
        <v>132.0</v>
      </c>
      <c r="B133" s="48" t="s">
        <v>500</v>
      </c>
      <c r="C133" s="48" t="s">
        <v>501</v>
      </c>
      <c r="D133" s="75">
        <v>4190.0</v>
      </c>
      <c r="E133" s="171">
        <v>4990.0</v>
      </c>
      <c r="F133" s="168">
        <f t="shared" si="1"/>
        <v>0.1909307876</v>
      </c>
      <c r="G133" s="62">
        <f t="shared" si="2"/>
        <v>4.179229481</v>
      </c>
      <c r="H133" s="75">
        <v>5189.6</v>
      </c>
      <c r="I133" s="169">
        <f t="shared" si="3"/>
        <v>0.2385680191</v>
      </c>
      <c r="J133" s="170">
        <f>IFERROR(__xludf.DUMMYFUNCTION("""COMPUTED_VALUE"""),1194.0)</f>
        <v>1194</v>
      </c>
      <c r="K133" s="137">
        <f t="shared" si="4"/>
        <v>4.34639866</v>
      </c>
      <c r="L133" s="137"/>
      <c r="M133" s="137"/>
    </row>
    <row r="134">
      <c r="A134" s="115">
        <v>133.0</v>
      </c>
      <c r="B134" s="48" t="s">
        <v>502</v>
      </c>
      <c r="C134" s="48" t="s">
        <v>503</v>
      </c>
      <c r="D134" s="75">
        <v>4190.0</v>
      </c>
      <c r="E134" s="171">
        <v>4990.0</v>
      </c>
      <c r="F134" s="168">
        <f t="shared" si="1"/>
        <v>0.1909307876</v>
      </c>
      <c r="G134" s="62">
        <f t="shared" si="2"/>
        <v>4.179229481</v>
      </c>
      <c r="H134" s="75">
        <v>5189.6</v>
      </c>
      <c r="I134" s="169">
        <f t="shared" si="3"/>
        <v>0.2385680191</v>
      </c>
      <c r="J134" s="170">
        <f>IFERROR(__xludf.DUMMYFUNCTION("""COMPUTED_VALUE"""),1194.0)</f>
        <v>1194</v>
      </c>
      <c r="K134" s="137">
        <f t="shared" si="4"/>
        <v>4.34639866</v>
      </c>
      <c r="L134" s="137"/>
      <c r="M134" s="137"/>
    </row>
    <row r="135">
      <c r="A135" s="115">
        <v>134.0</v>
      </c>
      <c r="B135" s="48" t="s">
        <v>505</v>
      </c>
      <c r="C135" s="48" t="s">
        <v>506</v>
      </c>
      <c r="D135" s="75">
        <v>2550.0</v>
      </c>
      <c r="E135" s="171">
        <v>2780.0</v>
      </c>
      <c r="F135" s="168">
        <f t="shared" si="1"/>
        <v>0.09019607843</v>
      </c>
      <c r="G135" s="62">
        <f t="shared" si="2"/>
        <v>3.662714097</v>
      </c>
      <c r="H135" s="75">
        <v>2890.0</v>
      </c>
      <c r="I135" s="169">
        <f t="shared" si="3"/>
        <v>0.1333333333</v>
      </c>
      <c r="J135" s="170">
        <f>IFERROR(__xludf.DUMMYFUNCTION("""COMPUTED_VALUE"""),759.0)</f>
        <v>759</v>
      </c>
      <c r="K135" s="137">
        <f t="shared" si="4"/>
        <v>3.807641634</v>
      </c>
      <c r="L135" s="137"/>
      <c r="M135" s="137"/>
    </row>
    <row r="136">
      <c r="A136" s="115">
        <v>135.0</v>
      </c>
      <c r="B136" s="48" t="s">
        <v>507</v>
      </c>
      <c r="C136" s="48" t="s">
        <v>508</v>
      </c>
      <c r="D136" s="75">
        <v>2550.0</v>
      </c>
      <c r="E136" s="171">
        <v>2780.0</v>
      </c>
      <c r="F136" s="168">
        <f t="shared" si="1"/>
        <v>0.09019607843</v>
      </c>
      <c r="G136" s="62">
        <f t="shared" si="2"/>
        <v>3.662714097</v>
      </c>
      <c r="H136" s="75">
        <v>2890.0</v>
      </c>
      <c r="I136" s="169">
        <f t="shared" si="3"/>
        <v>0.1333333333</v>
      </c>
      <c r="J136" s="170">
        <f>IFERROR(__xludf.DUMMYFUNCTION("""COMPUTED_VALUE"""),759.0)</f>
        <v>759</v>
      </c>
      <c r="K136" s="137">
        <f t="shared" si="4"/>
        <v>3.807641634</v>
      </c>
      <c r="L136" s="137"/>
      <c r="M136" s="137"/>
    </row>
    <row r="137">
      <c r="A137" s="115">
        <v>136.0</v>
      </c>
      <c r="B137" s="48" t="s">
        <v>509</v>
      </c>
      <c r="C137" s="48" t="s">
        <v>510</v>
      </c>
      <c r="D137" s="75">
        <v>2550.0</v>
      </c>
      <c r="E137" s="171">
        <v>2780.0</v>
      </c>
      <c r="F137" s="168">
        <f t="shared" si="1"/>
        <v>0.09019607843</v>
      </c>
      <c r="G137" s="62">
        <f t="shared" si="2"/>
        <v>3.662714097</v>
      </c>
      <c r="H137" s="75">
        <v>2890.0</v>
      </c>
      <c r="I137" s="169">
        <f t="shared" si="3"/>
        <v>0.1333333333</v>
      </c>
      <c r="J137" s="170">
        <f>IFERROR(__xludf.DUMMYFUNCTION("""COMPUTED_VALUE"""),759.0)</f>
        <v>759</v>
      </c>
      <c r="K137" s="137">
        <f t="shared" si="4"/>
        <v>3.807641634</v>
      </c>
      <c r="L137" s="137"/>
      <c r="M137" s="137"/>
    </row>
    <row r="138">
      <c r="A138" s="115">
        <v>137.0</v>
      </c>
      <c r="B138" s="48" t="s">
        <v>1148</v>
      </c>
      <c r="C138" s="48" t="s">
        <v>1149</v>
      </c>
      <c r="D138" s="75">
        <v>1590.0</v>
      </c>
      <c r="E138" s="171">
        <v>1840.0</v>
      </c>
      <c r="F138" s="168">
        <f t="shared" si="1"/>
        <v>0.1572327044</v>
      </c>
      <c r="G138" s="62">
        <f t="shared" si="2"/>
        <v>3.439252336</v>
      </c>
      <c r="H138" s="75">
        <v>1910.0</v>
      </c>
      <c r="I138" s="169">
        <f t="shared" si="3"/>
        <v>0.2012578616</v>
      </c>
      <c r="J138" s="170">
        <f>IFERROR(__xludf.DUMMYFUNCTION("""COMPUTED_VALUE"""),535.0)</f>
        <v>535</v>
      </c>
      <c r="K138" s="137">
        <f t="shared" si="4"/>
        <v>3.570093458</v>
      </c>
      <c r="L138" s="137"/>
      <c r="M138" s="137"/>
    </row>
    <row r="139">
      <c r="A139" s="115">
        <v>138.0</v>
      </c>
      <c r="B139" s="48" t="s">
        <v>762</v>
      </c>
      <c r="C139" s="48" t="s">
        <v>763</v>
      </c>
      <c r="D139" s="75">
        <v>1490.0</v>
      </c>
      <c r="E139" s="167">
        <v>1490.0</v>
      </c>
      <c r="F139" s="168">
        <f t="shared" si="1"/>
        <v>0</v>
      </c>
      <c r="G139" s="62">
        <f t="shared" si="2"/>
        <v>2.092696629</v>
      </c>
      <c r="H139" s="75">
        <v>1690.0</v>
      </c>
      <c r="I139" s="169">
        <f t="shared" si="3"/>
        <v>0.1342281879</v>
      </c>
      <c r="J139" s="170">
        <f>IFERROR(__xludf.DUMMYFUNCTION("""COMPUTED_VALUE"""),712.0)</f>
        <v>712</v>
      </c>
      <c r="K139" s="137">
        <f t="shared" si="4"/>
        <v>2.373595506</v>
      </c>
      <c r="L139" s="137"/>
      <c r="M139" s="137"/>
    </row>
    <row r="140">
      <c r="A140" s="115">
        <v>139.0</v>
      </c>
      <c r="B140" s="48" t="s">
        <v>764</v>
      </c>
      <c r="C140" s="48" t="s">
        <v>765</v>
      </c>
      <c r="D140" s="75">
        <v>2590.0</v>
      </c>
      <c r="E140" s="171">
        <v>2880.0</v>
      </c>
      <c r="F140" s="168">
        <f t="shared" si="1"/>
        <v>0.111969112</v>
      </c>
      <c r="G140" s="62">
        <f t="shared" si="2"/>
        <v>4.04494382</v>
      </c>
      <c r="H140" s="75">
        <v>2990.0</v>
      </c>
      <c r="I140" s="169">
        <f t="shared" si="3"/>
        <v>0.1544401544</v>
      </c>
      <c r="J140" s="170">
        <f>IFERROR(__xludf.DUMMYFUNCTION("""COMPUTED_VALUE"""),712.0)</f>
        <v>712</v>
      </c>
      <c r="K140" s="137">
        <f t="shared" si="4"/>
        <v>4.199438202</v>
      </c>
      <c r="L140" s="137"/>
      <c r="M140" s="137"/>
    </row>
    <row r="141">
      <c r="A141" s="115">
        <v>140.0</v>
      </c>
      <c r="B141" s="48" t="s">
        <v>767</v>
      </c>
      <c r="C141" s="48" t="s">
        <v>769</v>
      </c>
      <c r="D141" s="75">
        <v>2590.0</v>
      </c>
      <c r="E141" s="171">
        <v>2880.0</v>
      </c>
      <c r="F141" s="168">
        <f t="shared" si="1"/>
        <v>0.111969112</v>
      </c>
      <c r="G141" s="62">
        <f t="shared" si="2"/>
        <v>4.04494382</v>
      </c>
      <c r="H141" s="75">
        <v>2990.0</v>
      </c>
      <c r="I141" s="169">
        <f t="shared" si="3"/>
        <v>0.1544401544</v>
      </c>
      <c r="J141" s="170">
        <f>IFERROR(__xludf.DUMMYFUNCTION("""COMPUTED_VALUE"""),712.0)</f>
        <v>712</v>
      </c>
      <c r="K141" s="137">
        <f t="shared" si="4"/>
        <v>4.199438202</v>
      </c>
      <c r="L141" s="137"/>
      <c r="M141" s="137"/>
    </row>
    <row r="142">
      <c r="A142" s="115">
        <v>141.0</v>
      </c>
      <c r="B142" s="48" t="s">
        <v>772</v>
      </c>
      <c r="C142" s="48" t="s">
        <v>773</v>
      </c>
      <c r="D142" s="75">
        <v>2590.0</v>
      </c>
      <c r="E142" s="171">
        <v>2880.0</v>
      </c>
      <c r="F142" s="168">
        <f t="shared" si="1"/>
        <v>0.111969112</v>
      </c>
      <c r="G142" s="62">
        <f t="shared" si="2"/>
        <v>4.04494382</v>
      </c>
      <c r="H142" s="75">
        <v>2990.0</v>
      </c>
      <c r="I142" s="169">
        <f t="shared" si="3"/>
        <v>0.1544401544</v>
      </c>
      <c r="J142" s="170">
        <f>IFERROR(__xludf.DUMMYFUNCTION("""COMPUTED_VALUE"""),712.0)</f>
        <v>712</v>
      </c>
      <c r="K142" s="137">
        <f t="shared" si="4"/>
        <v>4.199438202</v>
      </c>
      <c r="L142" s="137"/>
      <c r="M142" s="137"/>
    </row>
    <row r="143">
      <c r="A143" s="115">
        <v>142.0</v>
      </c>
      <c r="B143" s="48" t="s">
        <v>774</v>
      </c>
      <c r="C143" s="48" t="s">
        <v>775</v>
      </c>
      <c r="D143" s="75">
        <v>1590.0</v>
      </c>
      <c r="E143" s="171">
        <v>1740.0</v>
      </c>
      <c r="F143" s="168">
        <f t="shared" si="1"/>
        <v>0.09433962264</v>
      </c>
      <c r="G143" s="62">
        <f t="shared" si="2"/>
        <v>4.519480519</v>
      </c>
      <c r="H143" s="75">
        <v>1809.6</v>
      </c>
      <c r="I143" s="169">
        <f t="shared" si="3"/>
        <v>0.1381132075</v>
      </c>
      <c r="J143" s="170">
        <f>IFERROR(__xludf.DUMMYFUNCTION("""COMPUTED_VALUE"""),385.0)</f>
        <v>385</v>
      </c>
      <c r="K143" s="137">
        <f t="shared" si="4"/>
        <v>4.70025974</v>
      </c>
      <c r="L143" s="137"/>
      <c r="M143" s="137"/>
    </row>
    <row r="144">
      <c r="A144" s="115">
        <v>143.0</v>
      </c>
      <c r="B144" s="48" t="s">
        <v>778</v>
      </c>
      <c r="C144" s="48" t="s">
        <v>779</v>
      </c>
      <c r="D144" s="75">
        <v>2990.0</v>
      </c>
      <c r="E144" s="171">
        <v>3440.0</v>
      </c>
      <c r="F144" s="168">
        <f t="shared" si="1"/>
        <v>0.1505016722</v>
      </c>
      <c r="G144" s="62">
        <f t="shared" si="2"/>
        <v>4.289276808</v>
      </c>
      <c r="H144" s="75">
        <v>3580.0</v>
      </c>
      <c r="I144" s="169">
        <f t="shared" si="3"/>
        <v>0.1973244147</v>
      </c>
      <c r="J144" s="170">
        <f>IFERROR(__xludf.DUMMYFUNCTION("""COMPUTED_VALUE"""),802.0)</f>
        <v>802</v>
      </c>
      <c r="K144" s="137">
        <f t="shared" si="4"/>
        <v>4.463840399</v>
      </c>
      <c r="L144" s="137"/>
      <c r="M144" s="137"/>
    </row>
    <row r="145">
      <c r="A145" s="115">
        <v>144.0</v>
      </c>
      <c r="B145" s="48" t="s">
        <v>780</v>
      </c>
      <c r="C145" s="48" t="s">
        <v>781</v>
      </c>
      <c r="D145" s="75">
        <v>2990.0</v>
      </c>
      <c r="E145" s="171">
        <v>3440.0</v>
      </c>
      <c r="F145" s="168">
        <f t="shared" si="1"/>
        <v>0.1505016722</v>
      </c>
      <c r="G145" s="62">
        <f t="shared" si="2"/>
        <v>4.289276808</v>
      </c>
      <c r="H145" s="75">
        <v>3580.0</v>
      </c>
      <c r="I145" s="169">
        <f t="shared" si="3"/>
        <v>0.1973244147</v>
      </c>
      <c r="J145" s="170">
        <f>IFERROR(__xludf.DUMMYFUNCTION("""COMPUTED_VALUE"""),802.0)</f>
        <v>802</v>
      </c>
      <c r="K145" s="137">
        <f t="shared" si="4"/>
        <v>4.463840399</v>
      </c>
      <c r="L145" s="137"/>
      <c r="M145" s="137"/>
    </row>
    <row r="146">
      <c r="A146" s="115">
        <v>145.0</v>
      </c>
      <c r="B146" s="48" t="s">
        <v>783</v>
      </c>
      <c r="C146" s="48" t="s">
        <v>784</v>
      </c>
      <c r="D146" s="75">
        <v>2990.0</v>
      </c>
      <c r="E146" s="171">
        <v>3440.0</v>
      </c>
      <c r="F146" s="168">
        <f t="shared" si="1"/>
        <v>0.1505016722</v>
      </c>
      <c r="G146" s="62">
        <f t="shared" si="2"/>
        <v>4.289276808</v>
      </c>
      <c r="H146" s="75">
        <v>3580.0</v>
      </c>
      <c r="I146" s="169">
        <f t="shared" si="3"/>
        <v>0.1973244147</v>
      </c>
      <c r="J146" s="170">
        <f>IFERROR(__xludf.DUMMYFUNCTION("""COMPUTED_VALUE"""),802.0)</f>
        <v>802</v>
      </c>
      <c r="K146" s="137">
        <f t="shared" si="4"/>
        <v>4.463840399</v>
      </c>
      <c r="L146" s="137"/>
      <c r="M146" s="137"/>
    </row>
    <row r="147">
      <c r="A147" s="115">
        <v>146.0</v>
      </c>
      <c r="B147" s="48" t="s">
        <v>785</v>
      </c>
      <c r="C147" s="48" t="s">
        <v>786</v>
      </c>
      <c r="D147" s="75">
        <v>780.0</v>
      </c>
      <c r="E147" s="167">
        <v>780.0</v>
      </c>
      <c r="F147" s="168">
        <f t="shared" si="1"/>
        <v>0</v>
      </c>
      <c r="G147" s="62">
        <f t="shared" si="2"/>
        <v>3.611111111</v>
      </c>
      <c r="H147" s="75">
        <v>890.0</v>
      </c>
      <c r="I147" s="169">
        <f t="shared" si="3"/>
        <v>0.141025641</v>
      </c>
      <c r="J147" s="170">
        <f>IFERROR(__xludf.DUMMYFUNCTION("""COMPUTED_VALUE"""),216.0)</f>
        <v>216</v>
      </c>
      <c r="K147" s="137">
        <f t="shared" si="4"/>
        <v>4.12037037</v>
      </c>
      <c r="L147" s="137"/>
      <c r="M147" s="137"/>
    </row>
    <row r="148">
      <c r="A148" s="115">
        <v>147.0</v>
      </c>
      <c r="B148" s="48" t="s">
        <v>788</v>
      </c>
      <c r="C148" s="48" t="s">
        <v>789</v>
      </c>
      <c r="D148" s="75">
        <v>1990.0</v>
      </c>
      <c r="E148" s="167">
        <v>2180.0</v>
      </c>
      <c r="F148" s="168">
        <f t="shared" si="1"/>
        <v>0.09547738693</v>
      </c>
      <c r="G148" s="62">
        <f t="shared" si="2"/>
        <v>3.765112263</v>
      </c>
      <c r="H148" s="75">
        <v>2370.0</v>
      </c>
      <c r="I148" s="169">
        <f t="shared" si="3"/>
        <v>0.1909547739</v>
      </c>
      <c r="J148" s="170">
        <f>IFERROR(__xludf.DUMMYFUNCTION("""COMPUTED_VALUE"""),579.0)</f>
        <v>579</v>
      </c>
      <c r="K148" s="137">
        <f t="shared" si="4"/>
        <v>4.093264249</v>
      </c>
      <c r="L148" s="137"/>
      <c r="M148" s="137"/>
    </row>
    <row r="149">
      <c r="A149" s="115">
        <v>148.0</v>
      </c>
      <c r="B149" s="48" t="s">
        <v>790</v>
      </c>
      <c r="C149" s="48" t="s">
        <v>789</v>
      </c>
      <c r="D149" s="75">
        <v>1590.0</v>
      </c>
      <c r="E149" s="167">
        <v>1760.0</v>
      </c>
      <c r="F149" s="168">
        <f t="shared" si="1"/>
        <v>0.106918239</v>
      </c>
      <c r="G149" s="62">
        <f t="shared" si="2"/>
        <v>3.817787419</v>
      </c>
      <c r="H149" s="75">
        <v>1910.0</v>
      </c>
      <c r="I149" s="169">
        <f t="shared" si="3"/>
        <v>0.2012578616</v>
      </c>
      <c r="J149" s="170">
        <f>IFERROR(__xludf.DUMMYFUNCTION("""COMPUTED_VALUE"""),461.0)</f>
        <v>461</v>
      </c>
      <c r="K149" s="137">
        <f t="shared" si="4"/>
        <v>4.143167028</v>
      </c>
      <c r="L149" s="137"/>
      <c r="M149" s="137"/>
    </row>
    <row r="150">
      <c r="A150" s="115">
        <v>149.0</v>
      </c>
      <c r="B150" s="48" t="s">
        <v>791</v>
      </c>
      <c r="C150" s="48" t="s">
        <v>786</v>
      </c>
      <c r="D150" s="75">
        <v>990.0</v>
      </c>
      <c r="E150" s="171">
        <v>990.0</v>
      </c>
      <c r="F150" s="168">
        <f t="shared" si="1"/>
        <v>0</v>
      </c>
      <c r="G150" s="62">
        <f t="shared" si="2"/>
        <v>3.991935484</v>
      </c>
      <c r="H150" s="75">
        <v>1130.0</v>
      </c>
      <c r="I150" s="169">
        <f t="shared" si="3"/>
        <v>0.1414141414</v>
      </c>
      <c r="J150" s="170">
        <f>IFERROR(__xludf.DUMMYFUNCTION("""COMPUTED_VALUE"""),248.0)</f>
        <v>248</v>
      </c>
      <c r="K150" s="137">
        <f t="shared" si="4"/>
        <v>4.556451613</v>
      </c>
      <c r="L150" s="137"/>
      <c r="M150" s="137"/>
    </row>
    <row r="151">
      <c r="A151" s="115">
        <v>150.0</v>
      </c>
      <c r="B151" s="48" t="s">
        <v>794</v>
      </c>
      <c r="C151" s="48" t="s">
        <v>786</v>
      </c>
      <c r="D151" s="75">
        <v>940.0</v>
      </c>
      <c r="E151" s="171">
        <v>940.0</v>
      </c>
      <c r="F151" s="168">
        <f t="shared" si="1"/>
        <v>0</v>
      </c>
      <c r="G151" s="62">
        <f t="shared" si="2"/>
        <v>3.983050847</v>
      </c>
      <c r="H151" s="75">
        <v>1090.0</v>
      </c>
      <c r="I151" s="169">
        <f t="shared" si="3"/>
        <v>0.1595744681</v>
      </c>
      <c r="J151" s="170">
        <f>IFERROR(__xludf.DUMMYFUNCTION("""COMPUTED_VALUE"""),236.0)</f>
        <v>236</v>
      </c>
      <c r="K151" s="137">
        <f t="shared" si="4"/>
        <v>4.618644068</v>
      </c>
      <c r="L151" s="137"/>
      <c r="M151" s="137"/>
    </row>
    <row r="152">
      <c r="A152" s="115">
        <v>151.0</v>
      </c>
      <c r="B152" s="48" t="s">
        <v>793</v>
      </c>
      <c r="C152" s="48" t="s">
        <v>786</v>
      </c>
      <c r="D152" s="75">
        <v>940.0</v>
      </c>
      <c r="E152" s="171">
        <v>940.0</v>
      </c>
      <c r="F152" s="168">
        <f t="shared" si="1"/>
        <v>0</v>
      </c>
      <c r="G152" s="62">
        <f t="shared" si="2"/>
        <v>3.983050847</v>
      </c>
      <c r="H152" s="75">
        <v>1090.0</v>
      </c>
      <c r="I152" s="169">
        <f t="shared" si="3"/>
        <v>0.1595744681</v>
      </c>
      <c r="J152" s="170">
        <f>IFERROR(__xludf.DUMMYFUNCTION("""COMPUTED_VALUE"""),236.0)</f>
        <v>236</v>
      </c>
      <c r="K152" s="137">
        <f t="shared" si="4"/>
        <v>4.618644068</v>
      </c>
      <c r="L152" s="137"/>
      <c r="M152" s="137"/>
    </row>
    <row r="153">
      <c r="A153" s="115">
        <v>152.0</v>
      </c>
      <c r="B153" s="48" t="s">
        <v>795</v>
      </c>
      <c r="C153" s="48" t="s">
        <v>796</v>
      </c>
      <c r="D153" s="75">
        <v>1060.0</v>
      </c>
      <c r="E153" s="171">
        <v>1060.0</v>
      </c>
      <c r="F153" s="168">
        <f t="shared" si="1"/>
        <v>0</v>
      </c>
      <c r="G153" s="62">
        <f t="shared" si="2"/>
        <v>3.925925926</v>
      </c>
      <c r="H153" s="75">
        <v>1230.0</v>
      </c>
      <c r="I153" s="169">
        <f t="shared" si="3"/>
        <v>0.1603773585</v>
      </c>
      <c r="J153" s="170">
        <f>IFERROR(__xludf.DUMMYFUNCTION("""COMPUTED_VALUE"""),270.0)</f>
        <v>270</v>
      </c>
      <c r="K153" s="137">
        <f t="shared" si="4"/>
        <v>4.555555556</v>
      </c>
      <c r="L153" s="137"/>
      <c r="M153" s="137"/>
    </row>
    <row r="154">
      <c r="A154" s="115">
        <v>153.0</v>
      </c>
      <c r="B154" s="48" t="s">
        <v>797</v>
      </c>
      <c r="C154" s="48" t="s">
        <v>789</v>
      </c>
      <c r="D154" s="75">
        <v>1240.0</v>
      </c>
      <c r="E154" s="167">
        <v>1390.0</v>
      </c>
      <c r="F154" s="168">
        <f t="shared" si="1"/>
        <v>0.1209677419</v>
      </c>
      <c r="G154" s="62">
        <f t="shared" si="2"/>
        <v>4.076246334</v>
      </c>
      <c r="H154" s="75">
        <v>1490.0</v>
      </c>
      <c r="I154" s="169">
        <f t="shared" si="3"/>
        <v>0.2016129032</v>
      </c>
      <c r="J154" s="170">
        <f>IFERROR(__xludf.DUMMYFUNCTION("""COMPUTED_VALUE"""),341.0)</f>
        <v>341</v>
      </c>
      <c r="K154" s="137">
        <f t="shared" si="4"/>
        <v>4.369501466</v>
      </c>
      <c r="L154" s="137"/>
      <c r="M154" s="137"/>
    </row>
    <row r="155">
      <c r="A155" s="115">
        <v>154.0</v>
      </c>
      <c r="B155" s="48" t="s">
        <v>798</v>
      </c>
      <c r="C155" s="48" t="s">
        <v>789</v>
      </c>
      <c r="D155" s="75">
        <v>1380.0</v>
      </c>
      <c r="E155" s="167">
        <v>1480.0</v>
      </c>
      <c r="F155" s="168">
        <f t="shared" si="1"/>
        <v>0.07246376812</v>
      </c>
      <c r="G155" s="62">
        <f t="shared" si="2"/>
        <v>3.775510204</v>
      </c>
      <c r="H155" s="75">
        <v>1640.0</v>
      </c>
      <c r="I155" s="169">
        <f t="shared" si="3"/>
        <v>0.1884057971</v>
      </c>
      <c r="J155" s="170">
        <f>IFERROR(__xludf.DUMMYFUNCTION("""COMPUTED_VALUE"""),392.0)</f>
        <v>392</v>
      </c>
      <c r="K155" s="137">
        <f t="shared" si="4"/>
        <v>4.183673469</v>
      </c>
      <c r="L155" s="137"/>
      <c r="M155" s="137"/>
    </row>
    <row r="156">
      <c r="A156" s="115">
        <v>155.0</v>
      </c>
      <c r="B156" s="48" t="s">
        <v>799</v>
      </c>
      <c r="C156" s="48" t="s">
        <v>800</v>
      </c>
      <c r="D156" s="75">
        <v>1190.0</v>
      </c>
      <c r="E156" s="167">
        <v>1190.0</v>
      </c>
      <c r="F156" s="168">
        <f t="shared" si="1"/>
        <v>0</v>
      </c>
      <c r="G156" s="62">
        <f t="shared" si="2"/>
        <v>3.4</v>
      </c>
      <c r="H156" s="75">
        <v>1340.0</v>
      </c>
      <c r="I156" s="169">
        <f t="shared" si="3"/>
        <v>0.1260504202</v>
      </c>
      <c r="J156" s="170">
        <f>IFERROR(__xludf.DUMMYFUNCTION("""COMPUTED_VALUE"""),350.0)</f>
        <v>350</v>
      </c>
      <c r="K156" s="137">
        <f t="shared" si="4"/>
        <v>3.828571429</v>
      </c>
      <c r="L156" s="137"/>
      <c r="M156" s="137"/>
    </row>
    <row r="157">
      <c r="A157" s="115">
        <v>156.0</v>
      </c>
      <c r="B157" s="173" t="s">
        <v>801</v>
      </c>
      <c r="C157" s="48" t="s">
        <v>802</v>
      </c>
      <c r="D157" s="75">
        <v>690.0</v>
      </c>
      <c r="E157" s="167">
        <v>690.0</v>
      </c>
      <c r="F157" s="168">
        <f t="shared" si="1"/>
        <v>0</v>
      </c>
      <c r="G157" s="62">
        <f t="shared" si="2"/>
        <v>3.575129534</v>
      </c>
      <c r="H157" s="75">
        <v>790.4</v>
      </c>
      <c r="I157" s="169">
        <f t="shared" si="3"/>
        <v>0.1455072464</v>
      </c>
      <c r="J157" s="170">
        <f>IFERROR(__xludf.DUMMYFUNCTION("""COMPUTED_VALUE"""),193.0)</f>
        <v>193</v>
      </c>
      <c r="K157" s="137">
        <f t="shared" si="4"/>
        <v>4.095336788</v>
      </c>
      <c r="L157" s="137"/>
      <c r="M157" s="137"/>
    </row>
    <row r="158">
      <c r="A158" s="115">
        <v>157.0</v>
      </c>
      <c r="B158" s="173" t="s">
        <v>804</v>
      </c>
      <c r="C158" s="48" t="s">
        <v>805</v>
      </c>
      <c r="D158" s="75">
        <v>740.0</v>
      </c>
      <c r="E158" s="167">
        <v>740.0</v>
      </c>
      <c r="F158" s="168">
        <f t="shared" si="1"/>
        <v>0</v>
      </c>
      <c r="G158" s="62">
        <f t="shared" si="2"/>
        <v>3.62745098</v>
      </c>
      <c r="H158" s="75">
        <v>870.0</v>
      </c>
      <c r="I158" s="169">
        <f t="shared" si="3"/>
        <v>0.1756756757</v>
      </c>
      <c r="J158" s="170">
        <f>IFERROR(__xludf.DUMMYFUNCTION("""COMPUTED_VALUE"""),204.0)</f>
        <v>204</v>
      </c>
      <c r="K158" s="137">
        <f t="shared" si="4"/>
        <v>4.264705882</v>
      </c>
      <c r="L158" s="137"/>
      <c r="M158" s="137"/>
    </row>
    <row r="159">
      <c r="A159" s="115">
        <v>158.0</v>
      </c>
      <c r="B159" s="173" t="s">
        <v>806</v>
      </c>
      <c r="C159" s="48" t="s">
        <v>807</v>
      </c>
      <c r="D159" s="75">
        <v>340.0</v>
      </c>
      <c r="E159" s="171">
        <v>370.0</v>
      </c>
      <c r="F159" s="168">
        <f t="shared" si="1"/>
        <v>0.08823529412</v>
      </c>
      <c r="G159" s="62">
        <f t="shared" si="2"/>
        <v>3.854166667</v>
      </c>
      <c r="H159" s="75">
        <v>380.0</v>
      </c>
      <c r="I159" s="169">
        <f t="shared" si="3"/>
        <v>0.1176470588</v>
      </c>
      <c r="J159" s="170">
        <f>IFERROR(__xludf.DUMMYFUNCTION("""COMPUTED_VALUE"""),96.0)</f>
        <v>96</v>
      </c>
      <c r="K159" s="137">
        <f t="shared" si="4"/>
        <v>3.958333333</v>
      </c>
      <c r="L159" s="137"/>
      <c r="M159" s="137"/>
    </row>
    <row r="160">
      <c r="A160" s="115">
        <v>159.0</v>
      </c>
      <c r="B160" s="173" t="s">
        <v>1157</v>
      </c>
      <c r="C160" s="48" t="s">
        <v>802</v>
      </c>
      <c r="D160" s="75">
        <v>690.0</v>
      </c>
      <c r="E160" s="167">
        <v>690.0</v>
      </c>
      <c r="F160" s="168">
        <f t="shared" si="1"/>
        <v>0</v>
      </c>
      <c r="G160" s="62">
        <f t="shared" si="2"/>
        <v>3.631578947</v>
      </c>
      <c r="H160" s="75">
        <v>790.4</v>
      </c>
      <c r="I160" s="169">
        <f t="shared" si="3"/>
        <v>0.1455072464</v>
      </c>
      <c r="J160" s="170">
        <f>IFERROR(__xludf.DUMMYFUNCTION("""COMPUTED_VALUE"""),190.0)</f>
        <v>190</v>
      </c>
      <c r="K160" s="137">
        <f t="shared" si="4"/>
        <v>4.16</v>
      </c>
      <c r="L160" s="137"/>
      <c r="M160" s="137"/>
    </row>
    <row r="161">
      <c r="A161" s="115">
        <v>160.0</v>
      </c>
      <c r="B161" s="173" t="s">
        <v>1158</v>
      </c>
      <c r="C161" s="48" t="s">
        <v>805</v>
      </c>
      <c r="D161" s="75">
        <v>740.0</v>
      </c>
      <c r="E161" s="167">
        <v>740.0</v>
      </c>
      <c r="F161" s="168">
        <f t="shared" si="1"/>
        <v>0</v>
      </c>
      <c r="G161" s="62">
        <f t="shared" si="2"/>
        <v>3.68159204</v>
      </c>
      <c r="H161" s="75">
        <v>870.0</v>
      </c>
      <c r="I161" s="169">
        <f t="shared" si="3"/>
        <v>0.1756756757</v>
      </c>
      <c r="J161" s="170">
        <f>IFERROR(__xludf.DUMMYFUNCTION("""COMPUTED_VALUE"""),201.0)</f>
        <v>201</v>
      </c>
      <c r="K161" s="137">
        <f t="shared" si="4"/>
        <v>4.328358209</v>
      </c>
      <c r="L161" s="137"/>
      <c r="M161" s="137"/>
    </row>
    <row r="162">
      <c r="A162" s="115">
        <v>161.0</v>
      </c>
      <c r="B162" s="173" t="s">
        <v>1159</v>
      </c>
      <c r="C162" s="48" t="s">
        <v>807</v>
      </c>
      <c r="D162" s="75">
        <v>340.0</v>
      </c>
      <c r="E162" s="171">
        <v>370.0</v>
      </c>
      <c r="F162" s="168">
        <f t="shared" si="1"/>
        <v>0.08823529412</v>
      </c>
      <c r="G162" s="62">
        <f t="shared" si="2"/>
        <v>3.978494624</v>
      </c>
      <c r="H162" s="75">
        <v>390.0</v>
      </c>
      <c r="I162" s="169">
        <f t="shared" si="3"/>
        <v>0.1470588235</v>
      </c>
      <c r="J162" s="170">
        <f>IFERROR(__xludf.DUMMYFUNCTION("""COMPUTED_VALUE"""),93.0)</f>
        <v>93</v>
      </c>
      <c r="K162" s="137">
        <f t="shared" si="4"/>
        <v>4.193548387</v>
      </c>
      <c r="L162" s="137"/>
      <c r="M162" s="137"/>
    </row>
    <row r="163">
      <c r="A163" s="115">
        <v>162.0</v>
      </c>
      <c r="B163" s="48" t="s">
        <v>835</v>
      </c>
      <c r="C163" s="48" t="s">
        <v>836</v>
      </c>
      <c r="D163" s="75">
        <v>990.0</v>
      </c>
      <c r="E163" s="171">
        <v>990.0</v>
      </c>
      <c r="F163" s="168">
        <f t="shared" si="1"/>
        <v>0</v>
      </c>
      <c r="G163" s="62">
        <f t="shared" si="2"/>
        <v>3.707865169</v>
      </c>
      <c r="H163" s="75">
        <v>1130.0</v>
      </c>
      <c r="I163" s="169">
        <f t="shared" si="3"/>
        <v>0.1414141414</v>
      </c>
      <c r="J163" s="170">
        <f>IFERROR(__xludf.DUMMYFUNCTION("""COMPUTED_VALUE"""),267.0)</f>
        <v>267</v>
      </c>
      <c r="K163" s="137">
        <f t="shared" si="4"/>
        <v>4.232209738</v>
      </c>
      <c r="L163" s="137"/>
      <c r="M163" s="137"/>
    </row>
    <row r="164">
      <c r="A164" s="115">
        <v>163.0</v>
      </c>
      <c r="B164" s="48" t="s">
        <v>839</v>
      </c>
      <c r="C164" s="48" t="s">
        <v>1160</v>
      </c>
      <c r="D164" s="75">
        <v>940.0</v>
      </c>
      <c r="E164" s="171">
        <v>940.0</v>
      </c>
      <c r="F164" s="168">
        <f t="shared" si="1"/>
        <v>0</v>
      </c>
      <c r="G164" s="62">
        <f t="shared" si="2"/>
        <v>3.71541502</v>
      </c>
      <c r="H164" s="75">
        <v>1090.0</v>
      </c>
      <c r="I164" s="169">
        <f t="shared" si="3"/>
        <v>0.1595744681</v>
      </c>
      <c r="J164" s="170">
        <f>IFERROR(__xludf.DUMMYFUNCTION("""COMPUTED_VALUE"""),253.0)</f>
        <v>253</v>
      </c>
      <c r="K164" s="137">
        <f t="shared" si="4"/>
        <v>4.308300395</v>
      </c>
      <c r="L164" s="137"/>
      <c r="M164" s="137"/>
    </row>
    <row r="165">
      <c r="A165" s="115">
        <v>164.0</v>
      </c>
      <c r="B165" s="48" t="s">
        <v>841</v>
      </c>
      <c r="C165" s="48" t="s">
        <v>842</v>
      </c>
      <c r="D165" s="75">
        <v>840.0</v>
      </c>
      <c r="E165" s="171">
        <v>840.0</v>
      </c>
      <c r="F165" s="168">
        <f t="shared" si="1"/>
        <v>0</v>
      </c>
      <c r="G165" s="62">
        <f t="shared" si="2"/>
        <v>3.652173913</v>
      </c>
      <c r="H165" s="75">
        <v>960.0</v>
      </c>
      <c r="I165" s="169">
        <f t="shared" si="3"/>
        <v>0.1428571429</v>
      </c>
      <c r="J165" s="170">
        <f>IFERROR(__xludf.DUMMYFUNCTION("""COMPUTED_VALUE"""),230.0)</f>
        <v>230</v>
      </c>
      <c r="K165" s="137">
        <f t="shared" si="4"/>
        <v>4.173913043</v>
      </c>
      <c r="L165" s="137"/>
      <c r="M165" s="137"/>
    </row>
    <row r="166">
      <c r="A166" s="115">
        <v>165.0</v>
      </c>
      <c r="B166" s="48" t="s">
        <v>1162</v>
      </c>
      <c r="C166" s="48" t="s">
        <v>1163</v>
      </c>
      <c r="D166" s="75">
        <v>930.0</v>
      </c>
      <c r="E166" s="167">
        <v>1080.0</v>
      </c>
      <c r="F166" s="168">
        <f t="shared" si="1"/>
        <v>0.1612903226</v>
      </c>
      <c r="G166" s="62">
        <f t="shared" si="2"/>
        <v>3.302752294</v>
      </c>
      <c r="H166" s="75">
        <v>1070.0</v>
      </c>
      <c r="I166" s="169">
        <f t="shared" si="3"/>
        <v>0.1505376344</v>
      </c>
      <c r="J166" s="170">
        <f>IFERROR(__xludf.DUMMYFUNCTION("""COMPUTED_VALUE"""),327.0)</f>
        <v>327</v>
      </c>
      <c r="K166" s="137">
        <f t="shared" si="4"/>
        <v>3.272171254</v>
      </c>
      <c r="L166" s="137"/>
      <c r="M166" s="137"/>
    </row>
    <row r="167">
      <c r="A167" s="115">
        <v>166.0</v>
      </c>
      <c r="B167" s="48" t="s">
        <v>537</v>
      </c>
      <c r="C167" s="48" t="s">
        <v>538</v>
      </c>
      <c r="D167" s="75">
        <v>460.0</v>
      </c>
      <c r="E167" s="171">
        <v>530.0</v>
      </c>
      <c r="F167" s="168">
        <f t="shared" si="1"/>
        <v>0.152173913</v>
      </c>
      <c r="G167" s="62">
        <f t="shared" si="2"/>
        <v>3.512492544</v>
      </c>
      <c r="H167" s="75">
        <v>550.0</v>
      </c>
      <c r="I167" s="169">
        <f t="shared" si="3"/>
        <v>0.1956521739</v>
      </c>
      <c r="J167" s="170">
        <f>IFERROR(__xludf.DUMMYFUNCTION("""COMPUTED_VALUE"""),150.89)</f>
        <v>150.89</v>
      </c>
      <c r="K167" s="137">
        <f t="shared" si="4"/>
        <v>3.645039433</v>
      </c>
      <c r="L167" s="137"/>
      <c r="M167" s="137"/>
    </row>
    <row r="168">
      <c r="A168" s="115">
        <v>167.0</v>
      </c>
      <c r="B168" s="48" t="s">
        <v>539</v>
      </c>
      <c r="C168" s="48" t="s">
        <v>540</v>
      </c>
      <c r="D168" s="75">
        <v>260.0</v>
      </c>
      <c r="E168" s="171">
        <v>285.0</v>
      </c>
      <c r="F168" s="168">
        <f t="shared" si="1"/>
        <v>0.09615384615</v>
      </c>
      <c r="G168" s="62">
        <f t="shared" si="2"/>
        <v>4.523809524</v>
      </c>
      <c r="H168" s="75">
        <v>290.0</v>
      </c>
      <c r="I168" s="169">
        <f t="shared" si="3"/>
        <v>0.1153846154</v>
      </c>
      <c r="J168" s="170">
        <f>IFERROR(__xludf.DUMMYFUNCTION("""COMPUTED_VALUE"""),63.0)</f>
        <v>63</v>
      </c>
      <c r="K168" s="137">
        <f t="shared" si="4"/>
        <v>4.603174603</v>
      </c>
      <c r="L168" s="137"/>
      <c r="M168" s="137"/>
    </row>
    <row r="169">
      <c r="A169" s="115">
        <v>168.0</v>
      </c>
      <c r="B169" s="48" t="s">
        <v>542</v>
      </c>
      <c r="C169" s="48" t="s">
        <v>543</v>
      </c>
      <c r="D169" s="75">
        <v>460.0</v>
      </c>
      <c r="E169" s="171">
        <v>530.0</v>
      </c>
      <c r="F169" s="168">
        <f t="shared" si="1"/>
        <v>0.152173913</v>
      </c>
      <c r="G169" s="62">
        <f t="shared" si="2"/>
        <v>3.339634531</v>
      </c>
      <c r="H169" s="75">
        <v>550.0</v>
      </c>
      <c r="I169" s="169">
        <f t="shared" si="3"/>
        <v>0.1956521739</v>
      </c>
      <c r="J169" s="170">
        <f>IFERROR(__xludf.DUMMYFUNCTION("""COMPUTED_VALUE"""),158.7)</f>
        <v>158.7</v>
      </c>
      <c r="K169" s="137">
        <f t="shared" si="4"/>
        <v>3.465658475</v>
      </c>
      <c r="L169" s="137"/>
      <c r="M169" s="137"/>
    </row>
    <row r="170">
      <c r="A170" s="115">
        <v>169.0</v>
      </c>
      <c r="B170" s="48" t="s">
        <v>544</v>
      </c>
      <c r="C170" s="48" t="s">
        <v>545</v>
      </c>
      <c r="D170" s="75">
        <v>260.0</v>
      </c>
      <c r="E170" s="171">
        <v>285.0</v>
      </c>
      <c r="F170" s="168">
        <f t="shared" si="1"/>
        <v>0.09615384615</v>
      </c>
      <c r="G170" s="62">
        <f t="shared" si="2"/>
        <v>4.672131148</v>
      </c>
      <c r="H170" s="75">
        <v>290.0</v>
      </c>
      <c r="I170" s="169">
        <f t="shared" si="3"/>
        <v>0.1153846154</v>
      </c>
      <c r="J170" s="170">
        <f>IFERROR(__xludf.DUMMYFUNCTION("""COMPUTED_VALUE"""),61.0)</f>
        <v>61</v>
      </c>
      <c r="K170" s="137">
        <f t="shared" si="4"/>
        <v>4.754098361</v>
      </c>
      <c r="L170" s="137"/>
      <c r="M170" s="137"/>
    </row>
    <row r="171">
      <c r="A171" s="115">
        <v>170.0</v>
      </c>
      <c r="B171" s="48" t="s">
        <v>547</v>
      </c>
      <c r="C171" s="48" t="s">
        <v>548</v>
      </c>
      <c r="D171" s="75">
        <v>1160.0</v>
      </c>
      <c r="E171" s="171">
        <v>1340.0</v>
      </c>
      <c r="F171" s="168">
        <f t="shared" si="1"/>
        <v>0.1551724138</v>
      </c>
      <c r="G171" s="62">
        <f t="shared" si="2"/>
        <v>4.511784512</v>
      </c>
      <c r="H171" s="75">
        <v>1390.0</v>
      </c>
      <c r="I171" s="169">
        <f t="shared" si="3"/>
        <v>0.1982758621</v>
      </c>
      <c r="J171" s="170">
        <f>IFERROR(__xludf.DUMMYFUNCTION("""COMPUTED_VALUE"""),297.0)</f>
        <v>297</v>
      </c>
      <c r="K171" s="137">
        <f t="shared" si="4"/>
        <v>4.68013468</v>
      </c>
      <c r="L171" s="137"/>
      <c r="M171" s="137"/>
    </row>
    <row r="172">
      <c r="A172" s="115">
        <v>171.0</v>
      </c>
      <c r="B172" s="48" t="s">
        <v>550</v>
      </c>
      <c r="C172" s="48" t="s">
        <v>551</v>
      </c>
      <c r="D172" s="75">
        <v>1490.0</v>
      </c>
      <c r="E172" s="171">
        <v>1690.0</v>
      </c>
      <c r="F172" s="168">
        <f t="shared" si="1"/>
        <v>0.1342281879</v>
      </c>
      <c r="G172" s="62">
        <f t="shared" si="2"/>
        <v>4.322250639</v>
      </c>
      <c r="H172" s="75">
        <v>1760.0</v>
      </c>
      <c r="I172" s="169">
        <f t="shared" si="3"/>
        <v>0.1812080537</v>
      </c>
      <c r="J172" s="170">
        <f>IFERROR(__xludf.DUMMYFUNCTION("""COMPUTED_VALUE"""),391.0)</f>
        <v>391</v>
      </c>
      <c r="K172" s="137">
        <f t="shared" si="4"/>
        <v>4.501278772</v>
      </c>
      <c r="L172" s="137"/>
      <c r="M172" s="137"/>
    </row>
    <row r="173">
      <c r="A173" s="115">
        <v>172.0</v>
      </c>
      <c r="B173" s="48" t="s">
        <v>553</v>
      </c>
      <c r="C173" s="48" t="s">
        <v>554</v>
      </c>
      <c r="D173" s="75">
        <v>1580.0</v>
      </c>
      <c r="E173" s="167">
        <v>1980.0</v>
      </c>
      <c r="F173" s="168">
        <f t="shared" si="1"/>
        <v>0.253164557</v>
      </c>
      <c r="G173" s="62">
        <f t="shared" si="2"/>
        <v>3.157894737</v>
      </c>
      <c r="H173" s="75">
        <v>1860.0</v>
      </c>
      <c r="I173" s="169">
        <f t="shared" si="3"/>
        <v>0.1772151899</v>
      </c>
      <c r="J173" s="170">
        <f>IFERROR(__xludf.DUMMYFUNCTION("""COMPUTED_VALUE"""),627.0)</f>
        <v>627</v>
      </c>
      <c r="K173" s="137">
        <f t="shared" si="4"/>
        <v>2.966507177</v>
      </c>
      <c r="L173" s="137"/>
      <c r="M173" s="137"/>
    </row>
    <row r="174">
      <c r="A174" s="115">
        <v>173.0</v>
      </c>
      <c r="B174" s="48" t="s">
        <v>567</v>
      </c>
      <c r="C174" s="48" t="s">
        <v>568</v>
      </c>
      <c r="D174" s="75">
        <v>540.0</v>
      </c>
      <c r="E174" s="171">
        <v>620.0</v>
      </c>
      <c r="F174" s="168">
        <f t="shared" si="1"/>
        <v>0.1481481481</v>
      </c>
      <c r="G174" s="62">
        <f t="shared" si="2"/>
        <v>3.735839961</v>
      </c>
      <c r="H174" s="75">
        <v>640.0</v>
      </c>
      <c r="I174" s="169">
        <f t="shared" si="3"/>
        <v>0.1851851852</v>
      </c>
      <c r="J174" s="170">
        <f>IFERROR(__xludf.DUMMYFUNCTION("""COMPUTED_VALUE"""),165.96)</f>
        <v>165.96</v>
      </c>
      <c r="K174" s="137">
        <f t="shared" si="4"/>
        <v>3.856350928</v>
      </c>
      <c r="L174" s="137"/>
      <c r="M174" s="137"/>
    </row>
    <row r="175">
      <c r="A175" s="115">
        <v>174.0</v>
      </c>
      <c r="B175" s="48" t="s">
        <v>559</v>
      </c>
      <c r="C175" s="48" t="s">
        <v>560</v>
      </c>
      <c r="D175" s="75">
        <v>540.0</v>
      </c>
      <c r="E175" s="171">
        <v>620.0</v>
      </c>
      <c r="F175" s="168">
        <f t="shared" si="1"/>
        <v>0.1481481481</v>
      </c>
      <c r="G175" s="62">
        <f t="shared" si="2"/>
        <v>3.735839961</v>
      </c>
      <c r="H175" s="75">
        <v>640.0</v>
      </c>
      <c r="I175" s="169">
        <f t="shared" si="3"/>
        <v>0.1851851852</v>
      </c>
      <c r="J175" s="170">
        <f>IFERROR(__xludf.DUMMYFUNCTION("""COMPUTED_VALUE"""),165.96)</f>
        <v>165.96</v>
      </c>
      <c r="K175" s="137">
        <f t="shared" si="4"/>
        <v>3.856350928</v>
      </c>
      <c r="L175" s="137"/>
      <c r="M175" s="137"/>
    </row>
    <row r="176">
      <c r="A176" s="115">
        <v>175.0</v>
      </c>
      <c r="B176" s="48" t="s">
        <v>562</v>
      </c>
      <c r="C176" s="48" t="s">
        <v>563</v>
      </c>
      <c r="D176" s="75">
        <v>660.0</v>
      </c>
      <c r="E176" s="171">
        <v>1280.0</v>
      </c>
      <c r="F176" s="168">
        <f t="shared" si="1"/>
        <v>0.9393939394</v>
      </c>
      <c r="G176" s="62">
        <f t="shared" si="2"/>
        <v>4.196721311</v>
      </c>
      <c r="H176" s="75">
        <v>1330.0</v>
      </c>
      <c r="I176" s="169">
        <f t="shared" si="3"/>
        <v>1.015151515</v>
      </c>
      <c r="J176" s="170">
        <f>IFERROR(__xludf.DUMMYFUNCTION("""COMPUTED_VALUE"""),305.0)</f>
        <v>305</v>
      </c>
      <c r="K176" s="137">
        <f t="shared" si="4"/>
        <v>4.360655738</v>
      </c>
      <c r="L176" s="137"/>
      <c r="M176" s="137"/>
    </row>
    <row r="177">
      <c r="A177" s="115">
        <v>176.0</v>
      </c>
      <c r="B177" s="48" t="s">
        <v>565</v>
      </c>
      <c r="C177" s="48" t="s">
        <v>566</v>
      </c>
      <c r="D177" s="75">
        <v>980.0</v>
      </c>
      <c r="E177" s="171">
        <v>1250.0</v>
      </c>
      <c r="F177" s="168">
        <f t="shared" si="1"/>
        <v>0.2755102041</v>
      </c>
      <c r="G177" s="62">
        <f t="shared" si="2"/>
        <v>4.15282392</v>
      </c>
      <c r="H177" s="75">
        <v>1290.0</v>
      </c>
      <c r="I177" s="169">
        <f t="shared" si="3"/>
        <v>0.3163265306</v>
      </c>
      <c r="J177" s="170">
        <f>IFERROR(__xludf.DUMMYFUNCTION("""COMPUTED_VALUE"""),301.0)</f>
        <v>301</v>
      </c>
      <c r="K177" s="137">
        <f t="shared" si="4"/>
        <v>4.285714286</v>
      </c>
      <c r="L177" s="137"/>
      <c r="M177" s="137"/>
    </row>
    <row r="178">
      <c r="A178" s="115">
        <v>177.0</v>
      </c>
      <c r="B178" s="48" t="s">
        <v>576</v>
      </c>
      <c r="C178" s="48" t="s">
        <v>577</v>
      </c>
      <c r="D178" s="75">
        <v>690.0</v>
      </c>
      <c r="E178" s="167">
        <v>530.0</v>
      </c>
      <c r="F178" s="168">
        <f t="shared" si="1"/>
        <v>-0.231884058</v>
      </c>
      <c r="G178" s="62">
        <f t="shared" si="2"/>
        <v>4.24</v>
      </c>
      <c r="H178" s="75">
        <v>710.0</v>
      </c>
      <c r="I178" s="169">
        <f t="shared" si="3"/>
        <v>0.02898550725</v>
      </c>
      <c r="J178" s="170">
        <f>IFERROR(__xludf.DUMMYFUNCTION("""COMPUTED_VALUE"""),125.0)</f>
        <v>125</v>
      </c>
      <c r="K178" s="137">
        <f t="shared" si="4"/>
        <v>5.68</v>
      </c>
      <c r="L178" s="137"/>
      <c r="M178" s="137"/>
    </row>
    <row r="179">
      <c r="A179" s="115">
        <v>178.0</v>
      </c>
      <c r="B179" s="48" t="s">
        <v>570</v>
      </c>
      <c r="C179" s="48" t="s">
        <v>571</v>
      </c>
      <c r="D179" s="75">
        <v>640.0</v>
      </c>
      <c r="E179" s="167">
        <v>530.0</v>
      </c>
      <c r="F179" s="168">
        <f t="shared" si="1"/>
        <v>-0.171875</v>
      </c>
      <c r="G179" s="62">
        <f t="shared" si="2"/>
        <v>4.24</v>
      </c>
      <c r="H179" s="75">
        <v>670.0</v>
      </c>
      <c r="I179" s="169">
        <f t="shared" si="3"/>
        <v>0.046875</v>
      </c>
      <c r="J179" s="170">
        <f>IFERROR(__xludf.DUMMYFUNCTION("""COMPUTED_VALUE"""),125.0)</f>
        <v>125</v>
      </c>
      <c r="K179" s="137">
        <f t="shared" si="4"/>
        <v>5.36</v>
      </c>
      <c r="L179" s="137"/>
      <c r="M179" s="137"/>
    </row>
    <row r="180">
      <c r="A180" s="115">
        <v>179.0</v>
      </c>
      <c r="B180" s="48" t="s">
        <v>579</v>
      </c>
      <c r="C180" s="48" t="s">
        <v>574</v>
      </c>
      <c r="D180" s="75">
        <v>840.0</v>
      </c>
      <c r="E180" s="167">
        <v>570.0</v>
      </c>
      <c r="F180" s="168">
        <f t="shared" si="1"/>
        <v>-0.3214285714</v>
      </c>
      <c r="G180" s="62">
        <f t="shared" si="2"/>
        <v>4.130434783</v>
      </c>
      <c r="H180" s="75">
        <v>830.0</v>
      </c>
      <c r="I180" s="169">
        <f t="shared" si="3"/>
        <v>-0.0119047619</v>
      </c>
      <c r="J180" s="170">
        <f>IFERROR(__xludf.DUMMYFUNCTION("""COMPUTED_VALUE"""),138.0)</f>
        <v>138</v>
      </c>
      <c r="K180" s="137">
        <f t="shared" si="4"/>
        <v>6.014492754</v>
      </c>
      <c r="L180" s="137"/>
      <c r="M180" s="137"/>
    </row>
    <row r="181">
      <c r="A181" s="115">
        <v>180.0</v>
      </c>
      <c r="B181" s="48" t="s">
        <v>573</v>
      </c>
      <c r="C181" s="48" t="s">
        <v>574</v>
      </c>
      <c r="D181" s="75">
        <v>840.0</v>
      </c>
      <c r="E181" s="167">
        <v>570.0</v>
      </c>
      <c r="F181" s="168">
        <f t="shared" si="1"/>
        <v>-0.3214285714</v>
      </c>
      <c r="G181" s="62">
        <f t="shared" si="2"/>
        <v>4.130434783</v>
      </c>
      <c r="H181" s="75">
        <v>830.0</v>
      </c>
      <c r="I181" s="169">
        <f t="shared" si="3"/>
        <v>-0.0119047619</v>
      </c>
      <c r="J181" s="170">
        <f>IFERROR(__xludf.DUMMYFUNCTION("""COMPUTED_VALUE"""),138.0)</f>
        <v>138</v>
      </c>
      <c r="K181" s="137">
        <f t="shared" si="4"/>
        <v>6.014492754</v>
      </c>
      <c r="L181" s="137"/>
      <c r="M181" s="137"/>
    </row>
    <row r="182">
      <c r="A182" s="115">
        <v>181.0</v>
      </c>
      <c r="B182" s="48" t="s">
        <v>580</v>
      </c>
      <c r="C182" s="48" t="s">
        <v>581</v>
      </c>
      <c r="D182" s="75">
        <v>240.0</v>
      </c>
      <c r="E182" s="171">
        <v>320.0</v>
      </c>
      <c r="F182" s="168">
        <f t="shared" si="1"/>
        <v>0.3333333333</v>
      </c>
      <c r="G182" s="62">
        <f t="shared" si="2"/>
        <v>3.232323232</v>
      </c>
      <c r="H182" s="75">
        <v>330.0</v>
      </c>
      <c r="I182" s="169">
        <f t="shared" si="3"/>
        <v>0.375</v>
      </c>
      <c r="J182" s="170">
        <f>IFERROR(__xludf.DUMMYFUNCTION("""COMPUTED_VALUE"""),99.0)</f>
        <v>99</v>
      </c>
      <c r="K182" s="137">
        <f t="shared" si="4"/>
        <v>3.333333333</v>
      </c>
      <c r="L182" s="137"/>
      <c r="M182" s="137"/>
    </row>
    <row r="183">
      <c r="A183" s="115">
        <v>182.0</v>
      </c>
      <c r="B183" s="48" t="s">
        <v>583</v>
      </c>
      <c r="C183" s="48" t="s">
        <v>584</v>
      </c>
      <c r="D183" s="75">
        <v>240.0</v>
      </c>
      <c r="E183" s="171">
        <v>320.0</v>
      </c>
      <c r="F183" s="168">
        <f t="shared" si="1"/>
        <v>0.3333333333</v>
      </c>
      <c r="G183" s="62">
        <f t="shared" si="2"/>
        <v>3.137254902</v>
      </c>
      <c r="H183" s="75">
        <v>330.0</v>
      </c>
      <c r="I183" s="169">
        <f t="shared" si="3"/>
        <v>0.375</v>
      </c>
      <c r="J183" s="170">
        <f>IFERROR(__xludf.DUMMYFUNCTION("""COMPUTED_VALUE"""),102.0)</f>
        <v>102</v>
      </c>
      <c r="K183" s="137">
        <f t="shared" si="4"/>
        <v>3.235294118</v>
      </c>
      <c r="L183" s="137"/>
      <c r="M183" s="137"/>
    </row>
    <row r="184">
      <c r="A184" s="115">
        <v>183.0</v>
      </c>
      <c r="B184" s="48" t="s">
        <v>586</v>
      </c>
      <c r="C184" s="48" t="s">
        <v>587</v>
      </c>
      <c r="D184" s="75">
        <v>240.0</v>
      </c>
      <c r="E184" s="171">
        <v>320.0</v>
      </c>
      <c r="F184" s="168">
        <f t="shared" si="1"/>
        <v>0.3333333333</v>
      </c>
      <c r="G184" s="62">
        <f t="shared" si="2"/>
        <v>3.137254902</v>
      </c>
      <c r="H184" s="75">
        <v>330.0</v>
      </c>
      <c r="I184" s="169">
        <f t="shared" si="3"/>
        <v>0.375</v>
      </c>
      <c r="J184" s="170">
        <f>IFERROR(__xludf.DUMMYFUNCTION("""COMPUTED_VALUE"""),102.0)</f>
        <v>102</v>
      </c>
      <c r="K184" s="137">
        <f t="shared" si="4"/>
        <v>3.235294118</v>
      </c>
      <c r="L184" s="137"/>
      <c r="M184" s="137"/>
    </row>
    <row r="185">
      <c r="A185" s="115">
        <v>184.0</v>
      </c>
      <c r="B185" s="48" t="s">
        <v>726</v>
      </c>
      <c r="C185" s="48" t="s">
        <v>727</v>
      </c>
      <c r="D185" s="75">
        <v>132.0</v>
      </c>
      <c r="E185" s="171">
        <v>168.0</v>
      </c>
      <c r="F185" s="168">
        <f t="shared" si="1"/>
        <v>0.2727272727</v>
      </c>
      <c r="G185" s="62">
        <f t="shared" si="2"/>
        <v>3.276131045</v>
      </c>
      <c r="H185" s="75">
        <v>174.0</v>
      </c>
      <c r="I185" s="169">
        <f t="shared" si="3"/>
        <v>0.3181818182</v>
      </c>
      <c r="J185" s="170">
        <f>IFERROR(__xludf.DUMMYFUNCTION("""COMPUTED_VALUE"""),51.28)</f>
        <v>51.28</v>
      </c>
      <c r="K185" s="137">
        <f t="shared" si="4"/>
        <v>3.393135725</v>
      </c>
      <c r="L185" s="137"/>
      <c r="M185" s="137"/>
    </row>
    <row r="186">
      <c r="A186" s="115">
        <v>185.0</v>
      </c>
      <c r="B186" s="48" t="s">
        <v>728</v>
      </c>
      <c r="C186" s="48" t="s">
        <v>729</v>
      </c>
      <c r="D186" s="75">
        <v>84.0</v>
      </c>
      <c r="E186" s="171">
        <v>104.0</v>
      </c>
      <c r="F186" s="168">
        <f t="shared" si="1"/>
        <v>0.2380952381</v>
      </c>
      <c r="G186" s="62">
        <f t="shared" si="2"/>
        <v>3.276622558</v>
      </c>
      <c r="H186" s="75">
        <v>108.16</v>
      </c>
      <c r="I186" s="169">
        <f t="shared" si="3"/>
        <v>0.2876190476</v>
      </c>
      <c r="J186" s="170">
        <f>IFERROR(__xludf.DUMMYFUNCTION("""COMPUTED_VALUE"""),31.74)</f>
        <v>31.74</v>
      </c>
      <c r="K186" s="137">
        <f t="shared" si="4"/>
        <v>3.407687461</v>
      </c>
      <c r="L186" s="137"/>
      <c r="M186" s="137"/>
    </row>
    <row r="187">
      <c r="A187" s="115">
        <v>186.0</v>
      </c>
      <c r="B187" s="48" t="s">
        <v>730</v>
      </c>
      <c r="C187" s="48" t="s">
        <v>731</v>
      </c>
      <c r="D187" s="75">
        <v>128.0</v>
      </c>
      <c r="E187" s="171">
        <v>158.0</v>
      </c>
      <c r="F187" s="168">
        <f t="shared" si="1"/>
        <v>0.234375</v>
      </c>
      <c r="G187" s="62">
        <f t="shared" si="2"/>
        <v>3.34674857</v>
      </c>
      <c r="H187" s="75">
        <v>164.32</v>
      </c>
      <c r="I187" s="169">
        <f t="shared" si="3"/>
        <v>0.28375</v>
      </c>
      <c r="J187" s="170">
        <f>IFERROR(__xludf.DUMMYFUNCTION("""COMPUTED_VALUE"""),47.21)</f>
        <v>47.21</v>
      </c>
      <c r="K187" s="137">
        <f t="shared" si="4"/>
        <v>3.480618513</v>
      </c>
      <c r="L187" s="137"/>
      <c r="M187" s="137"/>
    </row>
    <row r="188">
      <c r="A188" s="115">
        <v>187.0</v>
      </c>
      <c r="B188" s="48" t="s">
        <v>732</v>
      </c>
      <c r="C188" s="48" t="s">
        <v>733</v>
      </c>
      <c r="D188" s="75">
        <v>172.0</v>
      </c>
      <c r="E188" s="171">
        <v>208.0</v>
      </c>
      <c r="F188" s="168">
        <f t="shared" si="1"/>
        <v>0.2093023256</v>
      </c>
      <c r="G188" s="62">
        <f t="shared" si="2"/>
        <v>3.309466985</v>
      </c>
      <c r="H188" s="75">
        <v>216.32</v>
      </c>
      <c r="I188" s="169">
        <f t="shared" si="3"/>
        <v>0.2576744186</v>
      </c>
      <c r="J188" s="170">
        <f>IFERROR(__xludf.DUMMYFUNCTION("""COMPUTED_VALUE"""),62.85)</f>
        <v>62.85</v>
      </c>
      <c r="K188" s="137">
        <f t="shared" si="4"/>
        <v>3.441845664</v>
      </c>
      <c r="L188" s="137"/>
      <c r="M188" s="137"/>
    </row>
    <row r="189">
      <c r="A189" s="115">
        <v>188.0</v>
      </c>
      <c r="B189" s="48" t="s">
        <v>734</v>
      </c>
      <c r="C189" s="48" t="s">
        <v>735</v>
      </c>
      <c r="D189" s="75">
        <v>220.0</v>
      </c>
      <c r="E189" s="171">
        <v>254.0</v>
      </c>
      <c r="F189" s="168">
        <f t="shared" si="1"/>
        <v>0.1545454545</v>
      </c>
      <c r="G189" s="62">
        <f t="shared" si="2"/>
        <v>3.461905411</v>
      </c>
      <c r="H189" s="75">
        <v>264.16</v>
      </c>
      <c r="I189" s="169">
        <f t="shared" si="3"/>
        <v>0.2007272727</v>
      </c>
      <c r="J189" s="170">
        <f>IFERROR(__xludf.DUMMYFUNCTION("""COMPUTED_VALUE"""),73.37)</f>
        <v>73.37</v>
      </c>
      <c r="K189" s="137">
        <f t="shared" si="4"/>
        <v>3.600381627</v>
      </c>
      <c r="L189" s="137"/>
      <c r="M189" s="137"/>
    </row>
    <row r="190">
      <c r="A190" s="115">
        <v>189.0</v>
      </c>
      <c r="B190" s="48" t="s">
        <v>736</v>
      </c>
      <c r="C190" s="48" t="s">
        <v>737</v>
      </c>
      <c r="D190" s="75">
        <v>260.0</v>
      </c>
      <c r="E190" s="171">
        <v>316.0</v>
      </c>
      <c r="F190" s="168">
        <f t="shared" si="1"/>
        <v>0.2153846154</v>
      </c>
      <c r="G190" s="62">
        <f t="shared" si="2"/>
        <v>3.344977241</v>
      </c>
      <c r="H190" s="75">
        <v>328.0</v>
      </c>
      <c r="I190" s="169">
        <f t="shared" si="3"/>
        <v>0.2615384615</v>
      </c>
      <c r="J190" s="170">
        <f>IFERROR(__xludf.DUMMYFUNCTION("""COMPUTED_VALUE"""),94.47)</f>
        <v>94.47</v>
      </c>
      <c r="K190" s="137">
        <f t="shared" si="4"/>
        <v>3.472001694</v>
      </c>
      <c r="L190" s="137"/>
      <c r="M190" s="137"/>
    </row>
    <row r="191">
      <c r="A191" s="115">
        <v>190.0</v>
      </c>
      <c r="B191" s="48" t="s">
        <v>739</v>
      </c>
      <c r="C191" s="48" t="s">
        <v>740</v>
      </c>
      <c r="D191" s="75">
        <v>240.0</v>
      </c>
      <c r="E191" s="167">
        <v>240.0</v>
      </c>
      <c r="F191" s="168">
        <f t="shared" si="1"/>
        <v>0</v>
      </c>
      <c r="G191" s="62">
        <f t="shared" si="2"/>
        <v>4.363636364</v>
      </c>
      <c r="H191" s="75">
        <v>290.0</v>
      </c>
      <c r="I191" s="169">
        <f t="shared" si="3"/>
        <v>0.2083333333</v>
      </c>
      <c r="J191" s="170">
        <f>IFERROR(__xludf.DUMMYFUNCTION("""COMPUTED_VALUE"""),55.0)</f>
        <v>55</v>
      </c>
      <c r="K191" s="137">
        <f t="shared" si="4"/>
        <v>5.272727273</v>
      </c>
      <c r="L191" s="137"/>
      <c r="M191" s="137"/>
    </row>
    <row r="192">
      <c r="A192" s="115">
        <v>191.0</v>
      </c>
      <c r="B192" s="48" t="s">
        <v>741</v>
      </c>
      <c r="C192" s="48" t="s">
        <v>742</v>
      </c>
      <c r="D192" s="75">
        <v>480.0</v>
      </c>
      <c r="E192" s="167">
        <v>480.0</v>
      </c>
      <c r="F192" s="168">
        <f t="shared" si="1"/>
        <v>0</v>
      </c>
      <c r="G192" s="62">
        <f t="shared" si="2"/>
        <v>5.454545455</v>
      </c>
      <c r="H192" s="75">
        <v>530.4</v>
      </c>
      <c r="I192" s="169">
        <f t="shared" si="3"/>
        <v>0.105</v>
      </c>
      <c r="J192" s="170">
        <f>IFERROR(__xludf.DUMMYFUNCTION("""COMPUTED_VALUE"""),88.0)</f>
        <v>88</v>
      </c>
      <c r="K192" s="137">
        <f t="shared" si="4"/>
        <v>6.027272727</v>
      </c>
      <c r="L192" s="137"/>
      <c r="M192" s="137"/>
    </row>
    <row r="193">
      <c r="A193" s="115">
        <v>192.0</v>
      </c>
      <c r="B193" s="48" t="s">
        <v>744</v>
      </c>
      <c r="C193" s="48" t="s">
        <v>745</v>
      </c>
      <c r="D193" s="75">
        <v>180.0</v>
      </c>
      <c r="E193" s="167">
        <v>196.0</v>
      </c>
      <c r="F193" s="168">
        <f t="shared" si="1"/>
        <v>0.08888888889</v>
      </c>
      <c r="G193" s="62">
        <f t="shared" si="2"/>
        <v>4.170212766</v>
      </c>
      <c r="H193" s="75">
        <v>220.0</v>
      </c>
      <c r="I193" s="169">
        <f t="shared" si="3"/>
        <v>0.2222222222</v>
      </c>
      <c r="J193" s="170">
        <f>IFERROR(__xludf.DUMMYFUNCTION("""COMPUTED_VALUE"""),47.0)</f>
        <v>47</v>
      </c>
      <c r="K193" s="137">
        <f t="shared" si="4"/>
        <v>4.680851064</v>
      </c>
      <c r="L193" s="137"/>
      <c r="M193" s="137"/>
    </row>
    <row r="194">
      <c r="A194" s="115">
        <v>193.0</v>
      </c>
      <c r="B194" s="48" t="s">
        <v>746</v>
      </c>
      <c r="C194" s="48" t="s">
        <v>747</v>
      </c>
      <c r="D194" s="75">
        <v>198.0</v>
      </c>
      <c r="E194" s="167">
        <v>216.0</v>
      </c>
      <c r="F194" s="168">
        <f t="shared" si="1"/>
        <v>0.09090909091</v>
      </c>
      <c r="G194" s="62">
        <f t="shared" si="2"/>
        <v>4.235294118</v>
      </c>
      <c r="H194" s="75">
        <v>240.0</v>
      </c>
      <c r="I194" s="169">
        <f t="shared" si="3"/>
        <v>0.2121212121</v>
      </c>
      <c r="J194" s="170">
        <f>IFERROR(__xludf.DUMMYFUNCTION("""COMPUTED_VALUE"""),51.0)</f>
        <v>51</v>
      </c>
      <c r="K194" s="137">
        <f t="shared" si="4"/>
        <v>4.705882353</v>
      </c>
      <c r="L194" s="137"/>
      <c r="M194" s="137"/>
    </row>
    <row r="195">
      <c r="A195" s="115">
        <v>194.0</v>
      </c>
      <c r="B195" s="48" t="s">
        <v>750</v>
      </c>
      <c r="C195" s="48" t="s">
        <v>751</v>
      </c>
      <c r="D195" s="75">
        <v>220.0</v>
      </c>
      <c r="E195" s="167">
        <v>236.0</v>
      </c>
      <c r="F195" s="168">
        <f t="shared" si="1"/>
        <v>0.07272727273</v>
      </c>
      <c r="G195" s="62">
        <f t="shared" si="2"/>
        <v>4.214285714</v>
      </c>
      <c r="H195" s="75">
        <v>270.4</v>
      </c>
      <c r="I195" s="169">
        <f t="shared" si="3"/>
        <v>0.2290909091</v>
      </c>
      <c r="J195" s="170">
        <f>IFERROR(__xludf.DUMMYFUNCTION("""COMPUTED_VALUE"""),56.0)</f>
        <v>56</v>
      </c>
      <c r="K195" s="137">
        <f t="shared" si="4"/>
        <v>4.828571429</v>
      </c>
      <c r="L195" s="137"/>
      <c r="M195" s="137"/>
    </row>
    <row r="196">
      <c r="A196" s="115">
        <v>195.0</v>
      </c>
      <c r="B196" s="48" t="s">
        <v>753</v>
      </c>
      <c r="C196" s="48" t="s">
        <v>754</v>
      </c>
      <c r="D196" s="75">
        <v>240.0</v>
      </c>
      <c r="E196" s="167">
        <v>256.0</v>
      </c>
      <c r="F196" s="168">
        <f t="shared" si="1"/>
        <v>0.06666666667</v>
      </c>
      <c r="G196" s="62">
        <f t="shared" si="2"/>
        <v>4.266666667</v>
      </c>
      <c r="H196" s="75">
        <v>290.0</v>
      </c>
      <c r="I196" s="169">
        <f t="shared" si="3"/>
        <v>0.2083333333</v>
      </c>
      <c r="J196" s="170">
        <f>IFERROR(__xludf.DUMMYFUNCTION("""COMPUTED_VALUE"""),60.0)</f>
        <v>60</v>
      </c>
      <c r="K196" s="137">
        <f t="shared" si="4"/>
        <v>4.833333333</v>
      </c>
      <c r="L196" s="137"/>
      <c r="M196" s="137"/>
    </row>
    <row r="197">
      <c r="A197" s="115">
        <v>196.0</v>
      </c>
      <c r="B197" s="48" t="s">
        <v>1167</v>
      </c>
      <c r="C197" s="48" t="s">
        <v>1168</v>
      </c>
      <c r="D197" s="75">
        <v>980.0</v>
      </c>
      <c r="E197" s="167">
        <v>1180.0</v>
      </c>
      <c r="F197" s="168">
        <f t="shared" si="1"/>
        <v>0.2040816327</v>
      </c>
      <c r="G197" s="62">
        <f t="shared" si="2"/>
        <v>3.664596273</v>
      </c>
      <c r="H197" s="75">
        <v>1430.0</v>
      </c>
      <c r="I197" s="169">
        <f t="shared" si="3"/>
        <v>0.4591836735</v>
      </c>
      <c r="J197" s="170">
        <f>IFERROR(__xludf.DUMMYFUNCTION("""COMPUTED_VALUE"""),322.0)</f>
        <v>322</v>
      </c>
      <c r="K197" s="137">
        <f t="shared" si="4"/>
        <v>4.440993789</v>
      </c>
      <c r="L197" s="137"/>
      <c r="M197" s="137"/>
    </row>
    <row r="198">
      <c r="A198" s="115">
        <v>197.0</v>
      </c>
      <c r="B198" s="48" t="s">
        <v>756</v>
      </c>
      <c r="C198" s="48" t="s">
        <v>757</v>
      </c>
      <c r="D198" s="75">
        <v>640.0</v>
      </c>
      <c r="E198" s="167">
        <v>620.0</v>
      </c>
      <c r="F198" s="168">
        <f t="shared" si="1"/>
        <v>-0.03125</v>
      </c>
      <c r="G198" s="62">
        <f t="shared" si="2"/>
        <v>4.525547445</v>
      </c>
      <c r="H198" s="75">
        <v>720.0</v>
      </c>
      <c r="I198" s="169">
        <f t="shared" si="3"/>
        <v>0.125</v>
      </c>
      <c r="J198" s="170">
        <f>IFERROR(__xludf.DUMMYFUNCTION("""COMPUTED_VALUE"""),137.0)</f>
        <v>137</v>
      </c>
      <c r="K198" s="137">
        <f t="shared" si="4"/>
        <v>5.255474453</v>
      </c>
      <c r="L198" s="137"/>
      <c r="M198" s="137"/>
    </row>
    <row r="199">
      <c r="A199" s="115">
        <v>198.0</v>
      </c>
      <c r="B199" s="48" t="s">
        <v>759</v>
      </c>
      <c r="C199" s="48" t="s">
        <v>760</v>
      </c>
      <c r="D199" s="75">
        <v>640.0</v>
      </c>
      <c r="E199" s="167">
        <v>620.0</v>
      </c>
      <c r="F199" s="168">
        <f t="shared" si="1"/>
        <v>-0.03125</v>
      </c>
      <c r="G199" s="62">
        <f t="shared" si="2"/>
        <v>4.696969697</v>
      </c>
      <c r="H199" s="75">
        <v>720.0</v>
      </c>
      <c r="I199" s="169">
        <f t="shared" si="3"/>
        <v>0.125</v>
      </c>
      <c r="J199" s="170">
        <f>IFERROR(__xludf.DUMMYFUNCTION("""COMPUTED_VALUE"""),132.0)</f>
        <v>132</v>
      </c>
      <c r="K199" s="137">
        <f t="shared" si="4"/>
        <v>5.454545455</v>
      </c>
      <c r="L199" s="137"/>
      <c r="M199" s="137"/>
    </row>
    <row r="200">
      <c r="A200" s="115">
        <v>199.0</v>
      </c>
      <c r="B200" s="48" t="s">
        <v>608</v>
      </c>
      <c r="C200" s="48" t="s">
        <v>609</v>
      </c>
      <c r="D200" s="75">
        <v>1590.0</v>
      </c>
      <c r="E200" s="167">
        <v>2390.0</v>
      </c>
      <c r="F200" s="168">
        <f t="shared" si="1"/>
        <v>0.5031446541</v>
      </c>
      <c r="G200" s="62">
        <f t="shared" si="2"/>
        <v>3.153908075</v>
      </c>
      <c r="H200" s="75">
        <v>2690.0</v>
      </c>
      <c r="I200" s="169">
        <f t="shared" si="3"/>
        <v>0.6918238994</v>
      </c>
      <c r="J200" s="170">
        <f>IFERROR(__xludf.DUMMYFUNCTION("""COMPUTED_VALUE"""),757.79)</f>
        <v>757.79</v>
      </c>
      <c r="K200" s="137">
        <f t="shared" si="4"/>
        <v>3.549796118</v>
      </c>
      <c r="L200" s="137"/>
      <c r="M200" s="137"/>
    </row>
    <row r="201">
      <c r="A201" s="115">
        <v>200.0</v>
      </c>
      <c r="B201" s="48" t="s">
        <v>610</v>
      </c>
      <c r="C201" s="48" t="s">
        <v>611</v>
      </c>
      <c r="D201" s="75">
        <v>1340.0</v>
      </c>
      <c r="E201" s="167">
        <v>2290.0</v>
      </c>
      <c r="F201" s="168">
        <f t="shared" si="1"/>
        <v>0.7089552239</v>
      </c>
      <c r="G201" s="62">
        <f t="shared" si="2"/>
        <v>2.9408743</v>
      </c>
      <c r="H201" s="75">
        <v>2890.0</v>
      </c>
      <c r="I201" s="169">
        <f t="shared" si="3"/>
        <v>1.156716418</v>
      </c>
      <c r="J201" s="170">
        <f>IFERROR(__xludf.DUMMYFUNCTION("""COMPUTED_VALUE"""),778.68)</f>
        <v>778.68</v>
      </c>
      <c r="K201" s="137">
        <f t="shared" si="4"/>
        <v>3.711409051</v>
      </c>
      <c r="L201" s="137"/>
      <c r="M201" s="137"/>
    </row>
    <row r="202">
      <c r="A202" s="115">
        <v>201.0</v>
      </c>
      <c r="B202" s="48" t="s">
        <v>612</v>
      </c>
      <c r="C202" s="48" t="s">
        <v>609</v>
      </c>
      <c r="D202" s="75">
        <v>1190.0</v>
      </c>
      <c r="E202" s="167">
        <v>1990.0</v>
      </c>
      <c r="F202" s="168">
        <f t="shared" si="1"/>
        <v>0.6722689076</v>
      </c>
      <c r="G202" s="62">
        <f t="shared" si="2"/>
        <v>3.611287542</v>
      </c>
      <c r="H202" s="75">
        <v>2370.0</v>
      </c>
      <c r="I202" s="169">
        <f t="shared" si="3"/>
        <v>0.9915966387</v>
      </c>
      <c r="J202" s="170">
        <f>IFERROR(__xludf.DUMMYFUNCTION("""COMPUTED_VALUE"""),551.05)</f>
        <v>551.05</v>
      </c>
      <c r="K202" s="137">
        <f t="shared" si="4"/>
        <v>4.300880138</v>
      </c>
      <c r="L202" s="137"/>
      <c r="M202" s="137"/>
    </row>
    <row r="203">
      <c r="A203" s="115">
        <v>202.0</v>
      </c>
      <c r="B203" s="48" t="s">
        <v>613</v>
      </c>
      <c r="C203" s="48" t="s">
        <v>611</v>
      </c>
      <c r="D203" s="75">
        <v>1790.0</v>
      </c>
      <c r="E203" s="167">
        <v>2190.0</v>
      </c>
      <c r="F203" s="168">
        <f t="shared" si="1"/>
        <v>0.2234636872</v>
      </c>
      <c r="G203" s="62">
        <f t="shared" si="2"/>
        <v>3.11965812</v>
      </c>
      <c r="H203" s="75">
        <v>2990.0</v>
      </c>
      <c r="I203" s="169">
        <f t="shared" si="3"/>
        <v>0.6703910615</v>
      </c>
      <c r="J203" s="170">
        <f>IFERROR(__xludf.DUMMYFUNCTION("""COMPUTED_VALUE"""),702.0)</f>
        <v>702</v>
      </c>
      <c r="K203" s="137">
        <f t="shared" si="4"/>
        <v>4.259259259</v>
      </c>
      <c r="L203" s="137"/>
      <c r="M203" s="137"/>
    </row>
    <row r="204">
      <c r="A204" s="115">
        <v>203.0</v>
      </c>
      <c r="B204" s="48" t="s">
        <v>617</v>
      </c>
      <c r="C204" s="48" t="s">
        <v>618</v>
      </c>
      <c r="D204" s="75">
        <v>730.0</v>
      </c>
      <c r="E204" s="167">
        <v>840.0</v>
      </c>
      <c r="F204" s="168">
        <f t="shared" si="1"/>
        <v>0.1506849315</v>
      </c>
      <c r="G204" s="62">
        <f t="shared" si="2"/>
        <v>4.285714286</v>
      </c>
      <c r="H204" s="75">
        <v>930.0</v>
      </c>
      <c r="I204" s="169">
        <f t="shared" si="3"/>
        <v>0.2739726027</v>
      </c>
      <c r="J204" s="170">
        <f>IFERROR(__xludf.DUMMYFUNCTION("""COMPUTED_VALUE"""),196.0)</f>
        <v>196</v>
      </c>
      <c r="K204" s="137">
        <f t="shared" si="4"/>
        <v>4.744897959</v>
      </c>
      <c r="L204" s="137"/>
      <c r="M204" s="137"/>
    </row>
    <row r="205">
      <c r="A205" s="115">
        <v>204.0</v>
      </c>
      <c r="B205" s="48" t="s">
        <v>854</v>
      </c>
      <c r="C205" s="48" t="s">
        <v>855</v>
      </c>
      <c r="D205" s="75">
        <v>45.0</v>
      </c>
      <c r="E205" s="167">
        <v>54.0</v>
      </c>
      <c r="F205" s="168">
        <f t="shared" si="1"/>
        <v>0.2</v>
      </c>
      <c r="G205" s="62">
        <f t="shared" si="2"/>
        <v>3.6</v>
      </c>
      <c r="H205" s="75">
        <v>62.4</v>
      </c>
      <c r="I205" s="169">
        <f t="shared" si="3"/>
        <v>0.3866666667</v>
      </c>
      <c r="J205" s="170">
        <f>IFERROR(__xludf.DUMMYFUNCTION("""COMPUTED_VALUE"""),15.0)</f>
        <v>15</v>
      </c>
      <c r="K205" s="137">
        <f t="shared" si="4"/>
        <v>4.16</v>
      </c>
      <c r="L205" s="137"/>
      <c r="M205" s="137"/>
    </row>
    <row r="206">
      <c r="A206" s="115">
        <v>205.0</v>
      </c>
      <c r="B206" s="48" t="s">
        <v>857</v>
      </c>
      <c r="C206" s="48" t="s">
        <v>858</v>
      </c>
      <c r="D206" s="75">
        <v>45.0</v>
      </c>
      <c r="E206" s="167">
        <v>54.0</v>
      </c>
      <c r="F206" s="168">
        <f t="shared" si="1"/>
        <v>0.2</v>
      </c>
      <c r="G206" s="62">
        <f t="shared" si="2"/>
        <v>3.6</v>
      </c>
      <c r="H206" s="75">
        <v>62.4</v>
      </c>
      <c r="I206" s="169">
        <f t="shared" si="3"/>
        <v>0.3866666667</v>
      </c>
      <c r="J206" s="170">
        <f>IFERROR(__xludf.DUMMYFUNCTION("""COMPUTED_VALUE"""),15.0)</f>
        <v>15</v>
      </c>
      <c r="K206" s="137">
        <f t="shared" si="4"/>
        <v>4.16</v>
      </c>
      <c r="L206" s="137"/>
      <c r="M206" s="137"/>
    </row>
    <row r="207">
      <c r="A207" s="115">
        <v>206.0</v>
      </c>
      <c r="B207" s="48" t="s">
        <v>862</v>
      </c>
      <c r="C207" s="48" t="s">
        <v>863</v>
      </c>
      <c r="D207" s="75">
        <v>680.0</v>
      </c>
      <c r="E207" s="171">
        <v>760.0</v>
      </c>
      <c r="F207" s="168">
        <f t="shared" si="1"/>
        <v>0.1176470588</v>
      </c>
      <c r="G207" s="62">
        <f t="shared" si="2"/>
        <v>3.781094527</v>
      </c>
      <c r="H207" s="75">
        <v>790.4</v>
      </c>
      <c r="I207" s="169">
        <f t="shared" si="3"/>
        <v>0.1623529412</v>
      </c>
      <c r="J207" s="170">
        <f>IFERROR(__xludf.DUMMYFUNCTION("""COMPUTED_VALUE"""),201.0)</f>
        <v>201</v>
      </c>
      <c r="K207" s="137">
        <f t="shared" si="4"/>
        <v>3.932338308</v>
      </c>
      <c r="L207" s="137"/>
      <c r="M207" s="137"/>
    </row>
    <row r="208">
      <c r="A208" s="115">
        <v>207.0</v>
      </c>
      <c r="B208" s="48" t="s">
        <v>864</v>
      </c>
      <c r="C208" s="48" t="s">
        <v>865</v>
      </c>
      <c r="D208" s="75">
        <v>300.0</v>
      </c>
      <c r="E208" s="171">
        <v>360.0</v>
      </c>
      <c r="F208" s="168">
        <f t="shared" si="1"/>
        <v>0.2</v>
      </c>
      <c r="G208" s="62">
        <f t="shared" si="2"/>
        <v>4.090909091</v>
      </c>
      <c r="H208" s="75">
        <v>370.0</v>
      </c>
      <c r="I208" s="169">
        <f t="shared" si="3"/>
        <v>0.2333333333</v>
      </c>
      <c r="J208" s="170">
        <f>IFERROR(__xludf.DUMMYFUNCTION("""COMPUTED_VALUE"""),88.0)</f>
        <v>88</v>
      </c>
      <c r="K208" s="137">
        <f t="shared" si="4"/>
        <v>4.204545455</v>
      </c>
      <c r="L208" s="137"/>
      <c r="M208" s="137"/>
    </row>
    <row r="209">
      <c r="A209" s="115">
        <v>208.0</v>
      </c>
      <c r="B209" s="48" t="s">
        <v>867</v>
      </c>
      <c r="C209" s="48" t="s">
        <v>868</v>
      </c>
      <c r="D209" s="75">
        <v>2650.0</v>
      </c>
      <c r="E209" s="171">
        <v>3080.0</v>
      </c>
      <c r="F209" s="168">
        <f t="shared" si="1"/>
        <v>0.1622641509</v>
      </c>
      <c r="G209" s="62">
        <f t="shared" si="2"/>
        <v>3.156384505</v>
      </c>
      <c r="H209" s="75">
        <v>3190.0</v>
      </c>
      <c r="I209" s="169">
        <f t="shared" si="3"/>
        <v>0.2037735849</v>
      </c>
      <c r="J209" s="170">
        <f>IFERROR(__xludf.DUMMYFUNCTION("""COMPUTED_VALUE"""),975.8)</f>
        <v>975.8</v>
      </c>
      <c r="K209" s="137">
        <f t="shared" si="4"/>
        <v>3.269112523</v>
      </c>
      <c r="L209" s="137"/>
      <c r="M209" s="137"/>
    </row>
    <row r="210">
      <c r="A210" s="115">
        <v>209.0</v>
      </c>
      <c r="B210" s="48" t="s">
        <v>869</v>
      </c>
      <c r="C210" s="48" t="s">
        <v>870</v>
      </c>
      <c r="D210" s="75">
        <v>2770.0</v>
      </c>
      <c r="E210" s="171">
        <v>3180.0</v>
      </c>
      <c r="F210" s="168">
        <f t="shared" si="1"/>
        <v>0.1480144404</v>
      </c>
      <c r="G210" s="62">
        <f t="shared" si="2"/>
        <v>3.271705917</v>
      </c>
      <c r="H210" s="75">
        <v>3290.0</v>
      </c>
      <c r="I210" s="169">
        <f t="shared" si="3"/>
        <v>0.1877256318</v>
      </c>
      <c r="J210" s="170">
        <f>IFERROR(__xludf.DUMMYFUNCTION("""COMPUTED_VALUE"""),971.97)</f>
        <v>971.97</v>
      </c>
      <c r="K210" s="137">
        <f t="shared" si="4"/>
        <v>3.384878134</v>
      </c>
      <c r="L210" s="137"/>
      <c r="M210" s="137"/>
    </row>
    <row r="211">
      <c r="A211" s="115">
        <v>210.0</v>
      </c>
      <c r="B211" s="48" t="s">
        <v>871</v>
      </c>
      <c r="C211" s="48" t="s">
        <v>872</v>
      </c>
      <c r="D211" s="75">
        <v>3190.0</v>
      </c>
      <c r="E211" s="171">
        <v>3660.0</v>
      </c>
      <c r="F211" s="168">
        <f t="shared" si="1"/>
        <v>0.1473354232</v>
      </c>
      <c r="G211" s="62">
        <f t="shared" si="2"/>
        <v>3.33573336</v>
      </c>
      <c r="H211" s="75">
        <v>3790.0</v>
      </c>
      <c r="I211" s="169">
        <f t="shared" si="3"/>
        <v>0.1880877743</v>
      </c>
      <c r="J211" s="170">
        <f>IFERROR(__xludf.DUMMYFUNCTION("""COMPUTED_VALUE"""),1097.21)</f>
        <v>1097.21</v>
      </c>
      <c r="K211" s="137">
        <f t="shared" si="4"/>
        <v>3.454215693</v>
      </c>
      <c r="L211" s="137"/>
      <c r="M211" s="137"/>
    </row>
    <row r="212">
      <c r="A212" s="115">
        <v>211.0</v>
      </c>
      <c r="B212" s="48" t="s">
        <v>873</v>
      </c>
      <c r="C212" s="48" t="s">
        <v>874</v>
      </c>
      <c r="D212" s="75">
        <v>3190.0</v>
      </c>
      <c r="E212" s="171">
        <v>3660.0</v>
      </c>
      <c r="F212" s="168">
        <f t="shared" si="1"/>
        <v>0.1473354232</v>
      </c>
      <c r="G212" s="62">
        <f t="shared" si="2"/>
        <v>3.318674344</v>
      </c>
      <c r="H212" s="75">
        <v>3790.0</v>
      </c>
      <c r="I212" s="169">
        <f t="shared" si="3"/>
        <v>0.1880877743</v>
      </c>
      <c r="J212" s="170">
        <f>IFERROR(__xludf.DUMMYFUNCTION("""COMPUTED_VALUE"""),1102.85)</f>
        <v>1102.85</v>
      </c>
      <c r="K212" s="137">
        <f t="shared" si="4"/>
        <v>3.436550755</v>
      </c>
      <c r="L212" s="137"/>
      <c r="M212" s="137"/>
    </row>
    <row r="213">
      <c r="A213" s="115">
        <v>212.0</v>
      </c>
      <c r="B213" s="48" t="s">
        <v>875</v>
      </c>
      <c r="C213" s="48" t="s">
        <v>876</v>
      </c>
      <c r="D213" s="75">
        <v>3850.0</v>
      </c>
      <c r="E213" s="167">
        <v>4680.0</v>
      </c>
      <c r="F213" s="168">
        <f t="shared" si="1"/>
        <v>0.2155844156</v>
      </c>
      <c r="G213" s="62">
        <f t="shared" si="2"/>
        <v>3.08621622</v>
      </c>
      <c r="H213" s="75">
        <v>4660.0</v>
      </c>
      <c r="I213" s="169">
        <f t="shared" si="3"/>
        <v>0.2103896104</v>
      </c>
      <c r="J213" s="170">
        <f>IFERROR(__xludf.DUMMYFUNCTION("""COMPUTED_VALUE"""),1516.42)</f>
        <v>1516.42</v>
      </c>
      <c r="K213" s="137">
        <f t="shared" si="4"/>
        <v>3.073027262</v>
      </c>
      <c r="L213" s="137"/>
      <c r="M213" s="137"/>
    </row>
    <row r="214">
      <c r="A214" s="115">
        <v>213.0</v>
      </c>
      <c r="B214" s="48" t="s">
        <v>877</v>
      </c>
      <c r="C214" s="48" t="s">
        <v>878</v>
      </c>
      <c r="D214" s="75">
        <v>3950.0</v>
      </c>
      <c r="E214" s="167">
        <v>4680.0</v>
      </c>
      <c r="F214" s="168">
        <f t="shared" si="1"/>
        <v>0.1848101266</v>
      </c>
      <c r="G214" s="62">
        <f t="shared" si="2"/>
        <v>2.949016049</v>
      </c>
      <c r="H214" s="75">
        <v>4660.0</v>
      </c>
      <c r="I214" s="169">
        <f t="shared" si="3"/>
        <v>0.1797468354</v>
      </c>
      <c r="J214" s="170">
        <f>IFERROR(__xludf.DUMMYFUNCTION("""COMPUTED_VALUE"""),1586.97)</f>
        <v>1586.97</v>
      </c>
      <c r="K214" s="137">
        <f t="shared" si="4"/>
        <v>2.936413417</v>
      </c>
      <c r="L214" s="137"/>
      <c r="M214" s="137"/>
    </row>
    <row r="215" ht="15.0" customHeight="1">
      <c r="A215" s="115">
        <v>214.0</v>
      </c>
      <c r="B215" s="48" t="s">
        <v>879</v>
      </c>
      <c r="C215" s="48" t="s">
        <v>880</v>
      </c>
      <c r="D215" s="75">
        <v>3950.0</v>
      </c>
      <c r="E215" s="167">
        <v>4680.0</v>
      </c>
      <c r="F215" s="168">
        <f t="shared" si="1"/>
        <v>0.1848101266</v>
      </c>
      <c r="G215" s="62">
        <f t="shared" si="2"/>
        <v>2.99713735</v>
      </c>
      <c r="H215" s="75">
        <v>4660.0</v>
      </c>
      <c r="I215" s="169">
        <f t="shared" si="3"/>
        <v>0.1797468354</v>
      </c>
      <c r="J215" s="170">
        <f>IFERROR(__xludf.DUMMYFUNCTION("""COMPUTED_VALUE"""),1561.49)</f>
        <v>1561.49</v>
      </c>
      <c r="K215" s="137">
        <f t="shared" si="4"/>
        <v>2.98432907</v>
      </c>
      <c r="L215" s="137"/>
      <c r="M215" s="137"/>
    </row>
    <row r="216">
      <c r="A216" s="115">
        <v>215.0</v>
      </c>
      <c r="B216" s="48" t="s">
        <v>881</v>
      </c>
      <c r="C216" s="48" t="s">
        <v>882</v>
      </c>
      <c r="D216" s="75">
        <v>1390.0</v>
      </c>
      <c r="E216" s="167">
        <v>1480.0</v>
      </c>
      <c r="F216" s="168">
        <f t="shared" si="1"/>
        <v>0.06474820144</v>
      </c>
      <c r="G216" s="62">
        <f t="shared" si="2"/>
        <v>3.87434555</v>
      </c>
      <c r="H216" s="75">
        <v>1750.0</v>
      </c>
      <c r="I216" s="169">
        <f t="shared" si="3"/>
        <v>0.2589928058</v>
      </c>
      <c r="J216" s="170">
        <f>IFERROR(__xludf.DUMMYFUNCTION("""COMPUTED_VALUE"""),382.0)</f>
        <v>382</v>
      </c>
      <c r="K216" s="137">
        <f t="shared" si="4"/>
        <v>4.581151832</v>
      </c>
      <c r="L216" s="137"/>
      <c r="M216" s="137"/>
    </row>
    <row r="217">
      <c r="A217" s="115">
        <v>216.0</v>
      </c>
      <c r="B217" s="48" t="s">
        <v>885</v>
      </c>
      <c r="C217" s="48" t="s">
        <v>886</v>
      </c>
      <c r="D217" s="75">
        <v>1390.0</v>
      </c>
      <c r="E217" s="167">
        <v>1480.0</v>
      </c>
      <c r="F217" s="168">
        <f t="shared" si="1"/>
        <v>0.06474820144</v>
      </c>
      <c r="G217" s="62">
        <f t="shared" si="2"/>
        <v>3.756345178</v>
      </c>
      <c r="H217" s="75">
        <v>1750.0</v>
      </c>
      <c r="I217" s="169">
        <f t="shared" si="3"/>
        <v>0.2589928058</v>
      </c>
      <c r="J217" s="170">
        <f>IFERROR(__xludf.DUMMYFUNCTION("""COMPUTED_VALUE"""),394.0)</f>
        <v>394</v>
      </c>
      <c r="K217" s="137">
        <f t="shared" si="4"/>
        <v>4.441624365</v>
      </c>
      <c r="L217" s="137"/>
      <c r="M217" s="137"/>
    </row>
    <row r="218">
      <c r="A218" s="115">
        <v>217.0</v>
      </c>
      <c r="B218" s="48" t="s">
        <v>888</v>
      </c>
      <c r="C218" s="48" t="s">
        <v>889</v>
      </c>
      <c r="D218" s="75">
        <v>1390.0</v>
      </c>
      <c r="E218" s="167">
        <v>1480.0</v>
      </c>
      <c r="F218" s="168">
        <f t="shared" si="1"/>
        <v>0.06474820144</v>
      </c>
      <c r="G218" s="62">
        <f t="shared" si="2"/>
        <v>3.709273183</v>
      </c>
      <c r="H218" s="75">
        <v>1750.0</v>
      </c>
      <c r="I218" s="169">
        <f t="shared" si="3"/>
        <v>0.2589928058</v>
      </c>
      <c r="J218" s="170">
        <f>IFERROR(__xludf.DUMMYFUNCTION("""COMPUTED_VALUE"""),399.0)</f>
        <v>399</v>
      </c>
      <c r="K218" s="137">
        <f t="shared" si="4"/>
        <v>4.385964912</v>
      </c>
      <c r="L218" s="137"/>
      <c r="M218" s="137"/>
    </row>
    <row r="219">
      <c r="A219" s="115">
        <v>218.0</v>
      </c>
      <c r="B219" s="48" t="s">
        <v>890</v>
      </c>
      <c r="C219" s="48" t="s">
        <v>891</v>
      </c>
      <c r="D219" s="75">
        <v>1340.0</v>
      </c>
      <c r="E219" s="167">
        <v>1440.0</v>
      </c>
      <c r="F219" s="168">
        <f t="shared" si="1"/>
        <v>0.07462686567</v>
      </c>
      <c r="G219" s="62">
        <f t="shared" si="2"/>
        <v>3.85026738</v>
      </c>
      <c r="H219" s="75">
        <v>1640.0</v>
      </c>
      <c r="I219" s="169">
        <f t="shared" si="3"/>
        <v>0.223880597</v>
      </c>
      <c r="J219" s="170">
        <f>IFERROR(__xludf.DUMMYFUNCTION("""COMPUTED_VALUE"""),374.0)</f>
        <v>374</v>
      </c>
      <c r="K219" s="137">
        <f t="shared" si="4"/>
        <v>4.385026738</v>
      </c>
      <c r="L219" s="137"/>
      <c r="M219" s="137"/>
    </row>
    <row r="220">
      <c r="A220" s="115">
        <v>219.0</v>
      </c>
      <c r="B220" s="48" t="s">
        <v>892</v>
      </c>
      <c r="C220" s="48" t="s">
        <v>893</v>
      </c>
      <c r="D220" s="75">
        <v>890.0</v>
      </c>
      <c r="E220" s="171">
        <v>970.0</v>
      </c>
      <c r="F220" s="168">
        <f t="shared" si="1"/>
        <v>0.08988764045</v>
      </c>
      <c r="G220" s="62">
        <f t="shared" si="2"/>
        <v>3.745173745</v>
      </c>
      <c r="H220" s="75">
        <v>990.0</v>
      </c>
      <c r="I220" s="169">
        <f t="shared" si="3"/>
        <v>0.1123595506</v>
      </c>
      <c r="J220" s="170">
        <f>IFERROR(__xludf.DUMMYFUNCTION("""COMPUTED_VALUE"""),259.0)</f>
        <v>259</v>
      </c>
      <c r="K220" s="137">
        <f t="shared" si="4"/>
        <v>3.822393822</v>
      </c>
      <c r="L220" s="137"/>
      <c r="M220" s="137"/>
    </row>
    <row r="221">
      <c r="A221" s="115">
        <v>220.0</v>
      </c>
      <c r="B221" s="48" t="s">
        <v>895</v>
      </c>
      <c r="C221" s="48" t="s">
        <v>896</v>
      </c>
      <c r="D221" s="75">
        <v>970.0</v>
      </c>
      <c r="E221" s="171">
        <v>1060.0</v>
      </c>
      <c r="F221" s="168">
        <f t="shared" si="1"/>
        <v>0.09278350515</v>
      </c>
      <c r="G221" s="62">
        <f t="shared" si="2"/>
        <v>3.84057971</v>
      </c>
      <c r="H221" s="75">
        <v>1090.0</v>
      </c>
      <c r="I221" s="169">
        <f t="shared" si="3"/>
        <v>0.1237113402</v>
      </c>
      <c r="J221" s="170">
        <f>IFERROR(__xludf.DUMMYFUNCTION("""COMPUTED_VALUE"""),276.0)</f>
        <v>276</v>
      </c>
      <c r="K221" s="137">
        <f t="shared" si="4"/>
        <v>3.949275362</v>
      </c>
      <c r="L221" s="137"/>
      <c r="M221" s="137"/>
    </row>
    <row r="222">
      <c r="A222" s="115">
        <v>221.0</v>
      </c>
      <c r="B222" s="48" t="s">
        <v>898</v>
      </c>
      <c r="C222" s="48" t="s">
        <v>899</v>
      </c>
      <c r="D222" s="75">
        <v>1290.0</v>
      </c>
      <c r="E222" s="167">
        <v>1140.0</v>
      </c>
      <c r="F222" s="168">
        <f t="shared" si="1"/>
        <v>-0.1162790698</v>
      </c>
      <c r="G222" s="62">
        <f t="shared" si="2"/>
        <v>4.523809524</v>
      </c>
      <c r="H222" s="75">
        <v>1340.0</v>
      </c>
      <c r="I222" s="169">
        <f t="shared" si="3"/>
        <v>0.03875968992</v>
      </c>
      <c r="J222" s="170">
        <f>IFERROR(__xludf.DUMMYFUNCTION("""COMPUTED_VALUE"""),252.0)</f>
        <v>252</v>
      </c>
      <c r="K222" s="137">
        <f t="shared" si="4"/>
        <v>5.317460317</v>
      </c>
      <c r="L222" s="137"/>
      <c r="M222" s="137"/>
    </row>
    <row r="223">
      <c r="A223" s="115">
        <v>222.0</v>
      </c>
      <c r="B223" s="48" t="s">
        <v>901</v>
      </c>
      <c r="C223" s="48" t="s">
        <v>902</v>
      </c>
      <c r="D223" s="75">
        <v>860.0</v>
      </c>
      <c r="E223" s="171">
        <v>940.0</v>
      </c>
      <c r="F223" s="168">
        <f t="shared" si="1"/>
        <v>0.09302325581</v>
      </c>
      <c r="G223" s="62">
        <f t="shared" si="2"/>
        <v>3.933054393</v>
      </c>
      <c r="H223" s="75">
        <v>970.0</v>
      </c>
      <c r="I223" s="169">
        <f t="shared" si="3"/>
        <v>0.1279069767</v>
      </c>
      <c r="J223" s="170">
        <f>IFERROR(__xludf.DUMMYFUNCTION("""COMPUTED_VALUE"""),239.0)</f>
        <v>239</v>
      </c>
      <c r="K223" s="137">
        <f t="shared" si="4"/>
        <v>4.058577406</v>
      </c>
      <c r="L223" s="137"/>
      <c r="M223" s="137"/>
    </row>
    <row r="224">
      <c r="A224" s="115">
        <v>223.0</v>
      </c>
      <c r="B224" s="48" t="s">
        <v>904</v>
      </c>
      <c r="C224" s="48" t="s">
        <v>905</v>
      </c>
      <c r="D224" s="75">
        <v>34.0</v>
      </c>
      <c r="E224" s="171">
        <v>34.0</v>
      </c>
      <c r="F224" s="168">
        <f t="shared" si="1"/>
        <v>0</v>
      </c>
      <c r="G224" s="62">
        <f t="shared" si="2"/>
        <v>4.25</v>
      </c>
      <c r="H224" s="75">
        <v>34.0</v>
      </c>
      <c r="I224" s="169">
        <f t="shared" si="3"/>
        <v>0</v>
      </c>
      <c r="J224" s="170">
        <f>IFERROR(__xludf.DUMMYFUNCTION("""COMPUTED_VALUE"""),8.0)</f>
        <v>8</v>
      </c>
      <c r="K224" s="137">
        <f t="shared" si="4"/>
        <v>4.25</v>
      </c>
      <c r="L224" s="137"/>
      <c r="M224" s="137"/>
    </row>
    <row r="225">
      <c r="A225" s="115">
        <v>224.0</v>
      </c>
      <c r="B225" s="48" t="s">
        <v>907</v>
      </c>
      <c r="C225" s="48" t="s">
        <v>908</v>
      </c>
      <c r="D225" s="75">
        <v>38.0</v>
      </c>
      <c r="E225" s="171">
        <v>38.0</v>
      </c>
      <c r="F225" s="168">
        <f t="shared" si="1"/>
        <v>0</v>
      </c>
      <c r="G225" s="62">
        <f t="shared" si="2"/>
        <v>3.166666667</v>
      </c>
      <c r="H225" s="75">
        <v>38.0</v>
      </c>
      <c r="I225" s="169">
        <f t="shared" si="3"/>
        <v>0</v>
      </c>
      <c r="J225" s="170">
        <f>IFERROR(__xludf.DUMMYFUNCTION("""COMPUTED_VALUE"""),12.0)</f>
        <v>12</v>
      </c>
      <c r="K225" s="137">
        <f t="shared" si="4"/>
        <v>3.166666667</v>
      </c>
      <c r="L225" s="137"/>
      <c r="M225" s="137"/>
    </row>
    <row r="226">
      <c r="A226" s="115">
        <v>225.0</v>
      </c>
      <c r="B226" s="48" t="s">
        <v>910</v>
      </c>
      <c r="C226" s="48" t="s">
        <v>905</v>
      </c>
      <c r="D226" s="75">
        <v>26.0</v>
      </c>
      <c r="E226" s="171">
        <v>26.0</v>
      </c>
      <c r="F226" s="168">
        <f t="shared" si="1"/>
        <v>0</v>
      </c>
      <c r="G226" s="62">
        <f t="shared" si="2"/>
        <v>4.333333333</v>
      </c>
      <c r="H226" s="75">
        <v>26.0</v>
      </c>
      <c r="I226" s="169">
        <f t="shared" si="3"/>
        <v>0</v>
      </c>
      <c r="J226" s="170">
        <f>IFERROR(__xludf.DUMMYFUNCTION("""COMPUTED_VALUE"""),6.0)</f>
        <v>6</v>
      </c>
      <c r="K226" s="137">
        <f t="shared" si="4"/>
        <v>4.333333333</v>
      </c>
      <c r="L226" s="137"/>
      <c r="M226" s="137"/>
    </row>
    <row r="227">
      <c r="A227" s="115">
        <v>226.0</v>
      </c>
      <c r="B227" s="48" t="s">
        <v>859</v>
      </c>
      <c r="C227" s="48" t="s">
        <v>860</v>
      </c>
      <c r="D227" s="75">
        <v>890.0</v>
      </c>
      <c r="E227" s="171">
        <v>890.0</v>
      </c>
      <c r="F227" s="168">
        <f t="shared" si="1"/>
        <v>0</v>
      </c>
      <c r="G227" s="62">
        <f t="shared" si="2"/>
        <v>3.384030418</v>
      </c>
      <c r="H227" s="75">
        <v>930.0</v>
      </c>
      <c r="I227" s="169">
        <f t="shared" si="3"/>
        <v>0.04494382022</v>
      </c>
      <c r="J227" s="170">
        <f>IFERROR(__xludf.DUMMYFUNCTION("""COMPUTED_VALUE"""),263.0)</f>
        <v>263</v>
      </c>
      <c r="K227" s="137">
        <f t="shared" si="4"/>
        <v>3.536121673</v>
      </c>
      <c r="L227" s="137"/>
      <c r="M227" s="137"/>
    </row>
    <row r="228">
      <c r="A228" s="115">
        <v>227.0</v>
      </c>
      <c r="B228" s="48" t="s">
        <v>274</v>
      </c>
      <c r="C228" s="48" t="s">
        <v>275</v>
      </c>
      <c r="D228" s="75">
        <v>3190.0</v>
      </c>
      <c r="E228" s="171">
        <v>3660.0</v>
      </c>
      <c r="F228" s="168">
        <f t="shared" si="1"/>
        <v>0.1473354232</v>
      </c>
      <c r="G228" s="62">
        <f t="shared" si="2"/>
        <v>4.265734266</v>
      </c>
      <c r="H228" s="75">
        <v>3790.0</v>
      </c>
      <c r="I228" s="169">
        <f t="shared" si="3"/>
        <v>0.1880877743</v>
      </c>
      <c r="J228" s="170">
        <f>IFERROR(__xludf.DUMMYFUNCTION("""COMPUTED_VALUE"""),858.0)</f>
        <v>858</v>
      </c>
      <c r="K228" s="137">
        <f t="shared" si="4"/>
        <v>4.417249417</v>
      </c>
      <c r="L228" s="137"/>
      <c r="M228" s="137"/>
    </row>
    <row r="229">
      <c r="A229" s="115">
        <v>228.0</v>
      </c>
      <c r="B229" s="48" t="s">
        <v>427</v>
      </c>
      <c r="C229" s="48" t="s">
        <v>428</v>
      </c>
      <c r="D229" s="75">
        <v>6790.0</v>
      </c>
      <c r="E229" s="171">
        <v>8440.0</v>
      </c>
      <c r="F229" s="168">
        <f t="shared" si="1"/>
        <v>0.2430044183</v>
      </c>
      <c r="G229" s="62">
        <f t="shared" si="2"/>
        <v>3.491932147</v>
      </c>
      <c r="H229" s="75">
        <v>8780.0</v>
      </c>
      <c r="I229" s="169">
        <f t="shared" si="3"/>
        <v>0.293078056</v>
      </c>
      <c r="J229" s="170">
        <f>IFERROR(__xludf.DUMMYFUNCTION("""COMPUTED_VALUE"""),2417.0)</f>
        <v>2417</v>
      </c>
      <c r="K229" s="137">
        <f t="shared" si="4"/>
        <v>3.6326024</v>
      </c>
      <c r="L229" s="137"/>
      <c r="M229" s="137"/>
    </row>
    <row r="230">
      <c r="A230" s="115">
        <v>229.0</v>
      </c>
      <c r="B230" s="48" t="s">
        <v>430</v>
      </c>
      <c r="C230" s="48" t="s">
        <v>431</v>
      </c>
      <c r="D230" s="75">
        <v>6790.0</v>
      </c>
      <c r="E230" s="171">
        <v>8440.0</v>
      </c>
      <c r="F230" s="168">
        <f t="shared" si="1"/>
        <v>0.2430044183</v>
      </c>
      <c r="G230" s="62">
        <f t="shared" si="2"/>
        <v>3.491932147</v>
      </c>
      <c r="H230" s="75">
        <v>8780.0</v>
      </c>
      <c r="I230" s="169">
        <f t="shared" si="3"/>
        <v>0.293078056</v>
      </c>
      <c r="J230" s="170">
        <f>IFERROR(__xludf.DUMMYFUNCTION("""COMPUTED_VALUE"""),2417.0)</f>
        <v>2417</v>
      </c>
      <c r="K230" s="137">
        <f t="shared" si="4"/>
        <v>3.6326024</v>
      </c>
      <c r="L230" s="137"/>
      <c r="M230" s="137"/>
    </row>
    <row r="231">
      <c r="A231" s="115">
        <v>230.0</v>
      </c>
      <c r="B231" s="48" t="s">
        <v>432</v>
      </c>
      <c r="C231" s="48" t="s">
        <v>433</v>
      </c>
      <c r="D231" s="75">
        <v>6790.0</v>
      </c>
      <c r="E231" s="171">
        <v>8440.0</v>
      </c>
      <c r="F231" s="168">
        <f t="shared" si="1"/>
        <v>0.2430044183</v>
      </c>
      <c r="G231" s="62">
        <f t="shared" si="2"/>
        <v>3.491932147</v>
      </c>
      <c r="H231" s="75">
        <v>8780.0</v>
      </c>
      <c r="I231" s="169">
        <f t="shared" si="3"/>
        <v>0.293078056</v>
      </c>
      <c r="J231" s="170">
        <f>IFERROR(__xludf.DUMMYFUNCTION("""COMPUTED_VALUE"""),2417.0)</f>
        <v>2417</v>
      </c>
      <c r="K231" s="137">
        <f t="shared" si="4"/>
        <v>3.6326024</v>
      </c>
      <c r="L231" s="137"/>
      <c r="M231" s="137"/>
    </row>
    <row r="232">
      <c r="A232" s="115">
        <v>231.0</v>
      </c>
      <c r="B232" s="48" t="s">
        <v>188</v>
      </c>
      <c r="C232" s="48" t="s">
        <v>189</v>
      </c>
      <c r="D232" s="75">
        <v>2190.0</v>
      </c>
      <c r="E232" s="171">
        <v>2390.0</v>
      </c>
      <c r="F232" s="168">
        <f t="shared" si="1"/>
        <v>0.09132420091</v>
      </c>
      <c r="G232" s="62">
        <f t="shared" si="2"/>
        <v>3.956953642</v>
      </c>
      <c r="H232" s="75">
        <v>2490.0</v>
      </c>
      <c r="I232" s="169">
        <f t="shared" si="3"/>
        <v>0.1369863014</v>
      </c>
      <c r="J232" s="170">
        <f>IFERROR(__xludf.DUMMYFUNCTION("""COMPUTED_VALUE"""),604.0)</f>
        <v>604</v>
      </c>
      <c r="K232" s="137">
        <f t="shared" si="4"/>
        <v>4.122516556</v>
      </c>
      <c r="L232" s="137"/>
      <c r="M232" s="137"/>
    </row>
    <row r="233">
      <c r="A233" s="115">
        <v>232.0</v>
      </c>
      <c r="B233" s="48" t="s">
        <v>207</v>
      </c>
      <c r="C233" s="48" t="s">
        <v>208</v>
      </c>
      <c r="D233" s="75">
        <v>2190.0</v>
      </c>
      <c r="E233" s="171">
        <v>2390.0</v>
      </c>
      <c r="F233" s="168">
        <f t="shared" si="1"/>
        <v>0.09132420091</v>
      </c>
      <c r="G233" s="62">
        <f t="shared" si="2"/>
        <v>4.09948542</v>
      </c>
      <c r="H233" s="75">
        <v>2490.0</v>
      </c>
      <c r="I233" s="169">
        <f t="shared" si="3"/>
        <v>0.1369863014</v>
      </c>
      <c r="J233" s="170">
        <f>IFERROR(__xludf.DUMMYFUNCTION("""COMPUTED_VALUE"""),583.0)</f>
        <v>583</v>
      </c>
      <c r="K233" s="137">
        <f t="shared" si="4"/>
        <v>4.271012007</v>
      </c>
      <c r="L233" s="137"/>
      <c r="M233" s="137"/>
    </row>
    <row r="234">
      <c r="A234" s="115">
        <v>233.0</v>
      </c>
      <c r="B234" s="48" t="s">
        <v>232</v>
      </c>
      <c r="C234" s="48" t="s">
        <v>233</v>
      </c>
      <c r="D234" s="75">
        <v>6490.0</v>
      </c>
      <c r="E234" s="167">
        <v>5980.0</v>
      </c>
      <c r="F234" s="168">
        <f t="shared" si="1"/>
        <v>-0.07858243451</v>
      </c>
      <c r="G234" s="62">
        <f t="shared" si="2"/>
        <v>3.48281887</v>
      </c>
      <c r="H234" s="75">
        <v>5490.0</v>
      </c>
      <c r="I234" s="169">
        <f t="shared" si="3"/>
        <v>-0.1540832049</v>
      </c>
      <c r="J234" s="170">
        <f>IFERROR(__xludf.DUMMYFUNCTION("""COMPUTED_VALUE"""),1717.0)</f>
        <v>1717</v>
      </c>
      <c r="K234" s="137">
        <f t="shared" si="4"/>
        <v>3.197437391</v>
      </c>
      <c r="L234" s="137"/>
      <c r="M234" s="137"/>
    </row>
    <row r="235">
      <c r="A235" s="115">
        <v>234.0</v>
      </c>
      <c r="B235" s="48" t="s">
        <v>254</v>
      </c>
      <c r="C235" s="48" t="s">
        <v>255</v>
      </c>
      <c r="D235" s="75">
        <v>6890.0</v>
      </c>
      <c r="E235" s="167">
        <v>5980.0</v>
      </c>
      <c r="F235" s="168">
        <f t="shared" si="1"/>
        <v>-0.1320754717</v>
      </c>
      <c r="G235" s="62">
        <f t="shared" si="2"/>
        <v>3.291139241</v>
      </c>
      <c r="H235" s="75">
        <v>5690.0</v>
      </c>
      <c r="I235" s="169">
        <f t="shared" si="3"/>
        <v>-0.1741654572</v>
      </c>
      <c r="J235" s="170">
        <f>IFERROR(__xludf.DUMMYFUNCTION("""COMPUTED_VALUE"""),1817.0)</f>
        <v>1817</v>
      </c>
      <c r="K235" s="137">
        <f t="shared" si="4"/>
        <v>3.131535498</v>
      </c>
      <c r="L235" s="137"/>
      <c r="M235" s="137"/>
    </row>
    <row r="236">
      <c r="A236" s="115">
        <v>235.0</v>
      </c>
      <c r="B236" s="48" t="s">
        <v>912</v>
      </c>
      <c r="C236" s="48" t="s">
        <v>913</v>
      </c>
      <c r="D236" s="75">
        <v>1190.0</v>
      </c>
      <c r="E236" s="171">
        <v>1370.0</v>
      </c>
      <c r="F236" s="168">
        <f t="shared" si="1"/>
        <v>0.1512605042</v>
      </c>
      <c r="G236" s="62">
        <f t="shared" si="2"/>
        <v>3.682795699</v>
      </c>
      <c r="H236" s="75">
        <v>1420.0</v>
      </c>
      <c r="I236" s="169">
        <f t="shared" si="3"/>
        <v>0.1932773109</v>
      </c>
      <c r="J236" s="170">
        <f>IFERROR(__xludf.DUMMYFUNCTION("""COMPUTED_VALUE"""),372.0)</f>
        <v>372</v>
      </c>
      <c r="K236" s="137">
        <f t="shared" si="4"/>
        <v>3.817204301</v>
      </c>
      <c r="L236" s="137"/>
      <c r="M236" s="137"/>
    </row>
    <row r="237">
      <c r="A237" s="115">
        <v>236.0</v>
      </c>
      <c r="B237" s="48" t="s">
        <v>914</v>
      </c>
      <c r="C237" s="48" t="s">
        <v>915</v>
      </c>
      <c r="D237" s="75">
        <v>840.0</v>
      </c>
      <c r="E237" s="171">
        <v>960.0</v>
      </c>
      <c r="F237" s="168">
        <f t="shared" si="1"/>
        <v>0.1428571429</v>
      </c>
      <c r="G237" s="62">
        <f t="shared" si="2"/>
        <v>4.173913043</v>
      </c>
      <c r="H237" s="75">
        <v>990.0</v>
      </c>
      <c r="I237" s="169">
        <f t="shared" si="3"/>
        <v>0.1785714286</v>
      </c>
      <c r="J237" s="170">
        <f>IFERROR(__xludf.DUMMYFUNCTION("""COMPUTED_VALUE"""),230.0)</f>
        <v>230</v>
      </c>
      <c r="K237" s="137">
        <f t="shared" si="4"/>
        <v>4.304347826</v>
      </c>
      <c r="L237" s="137"/>
      <c r="M237" s="137"/>
    </row>
    <row r="238">
      <c r="A238" s="115">
        <v>237.0</v>
      </c>
      <c r="B238" s="48" t="s">
        <v>917</v>
      </c>
      <c r="C238" s="48" t="s">
        <v>918</v>
      </c>
      <c r="D238" s="75">
        <v>3440.0</v>
      </c>
      <c r="E238" s="171">
        <v>3950.0</v>
      </c>
      <c r="F238" s="168">
        <f t="shared" si="1"/>
        <v>0.148255814</v>
      </c>
      <c r="G238" s="62">
        <f t="shared" si="2"/>
        <v>4.22459893</v>
      </c>
      <c r="H238" s="75">
        <v>4090.0</v>
      </c>
      <c r="I238" s="169">
        <f t="shared" si="3"/>
        <v>0.1889534884</v>
      </c>
      <c r="J238" s="170">
        <f>IFERROR(__xludf.DUMMYFUNCTION("""COMPUTED_VALUE"""),935.0)</f>
        <v>935</v>
      </c>
      <c r="K238" s="137">
        <f t="shared" si="4"/>
        <v>4.374331551</v>
      </c>
      <c r="L238" s="137"/>
      <c r="M238" s="137"/>
    </row>
    <row r="239">
      <c r="A239" s="115">
        <v>238.0</v>
      </c>
      <c r="B239" s="48" t="s">
        <v>920</v>
      </c>
      <c r="C239" s="18" t="s">
        <v>921</v>
      </c>
      <c r="D239" s="75">
        <v>590.0</v>
      </c>
      <c r="E239" s="171">
        <v>680.0</v>
      </c>
      <c r="F239" s="168">
        <f t="shared" si="1"/>
        <v>0.1525423729</v>
      </c>
      <c r="G239" s="62">
        <f t="shared" si="2"/>
        <v>3.695652174</v>
      </c>
      <c r="H239" s="75">
        <v>710.0</v>
      </c>
      <c r="I239" s="169">
        <f t="shared" si="3"/>
        <v>0.2033898305</v>
      </c>
      <c r="J239" s="170">
        <f>IFERROR(__xludf.DUMMYFUNCTION("""COMPUTED_VALUE"""),184.0)</f>
        <v>184</v>
      </c>
      <c r="K239" s="137">
        <f t="shared" si="4"/>
        <v>3.858695652</v>
      </c>
      <c r="L239" s="137"/>
      <c r="M239" s="137"/>
    </row>
    <row r="240">
      <c r="A240" s="115">
        <v>239.0</v>
      </c>
      <c r="B240" s="48" t="s">
        <v>923</v>
      </c>
      <c r="C240" s="18" t="s">
        <v>924</v>
      </c>
      <c r="D240" s="75">
        <v>790.0</v>
      </c>
      <c r="E240" s="171">
        <v>890.0</v>
      </c>
      <c r="F240" s="168">
        <f t="shared" si="1"/>
        <v>0.1265822785</v>
      </c>
      <c r="G240" s="62">
        <f t="shared" si="2"/>
        <v>3.66255144</v>
      </c>
      <c r="H240" s="75">
        <v>930.0</v>
      </c>
      <c r="I240" s="169">
        <f t="shared" si="3"/>
        <v>0.1772151899</v>
      </c>
      <c r="J240" s="170">
        <f>IFERROR(__xludf.DUMMYFUNCTION("""COMPUTED_VALUE"""),243.0)</f>
        <v>243</v>
      </c>
      <c r="K240" s="137">
        <f t="shared" si="4"/>
        <v>3.827160494</v>
      </c>
      <c r="L240" s="137"/>
      <c r="M240" s="137"/>
    </row>
    <row r="241">
      <c r="A241" s="115">
        <v>240.0</v>
      </c>
      <c r="B241" s="18" t="s">
        <v>925</v>
      </c>
      <c r="C241" s="18" t="s">
        <v>926</v>
      </c>
      <c r="D241" s="75">
        <v>430.0</v>
      </c>
      <c r="E241" s="171">
        <v>494.49999999999994</v>
      </c>
      <c r="F241" s="168">
        <f t="shared" si="1"/>
        <v>0.15</v>
      </c>
      <c r="G241" s="62">
        <f t="shared" si="2"/>
        <v>4.3</v>
      </c>
      <c r="H241" s="75">
        <v>510.0</v>
      </c>
      <c r="I241" s="169">
        <f t="shared" si="3"/>
        <v>0.1860465116</v>
      </c>
      <c r="J241" s="170">
        <f>IFERROR(__xludf.DUMMYFUNCTION("""COMPUTED_VALUE"""),115.0)</f>
        <v>115</v>
      </c>
      <c r="K241" s="137">
        <f t="shared" si="4"/>
        <v>4.434782609</v>
      </c>
      <c r="L241" s="137"/>
      <c r="M241" s="137"/>
    </row>
    <row r="242">
      <c r="A242" s="115">
        <v>241.0</v>
      </c>
      <c r="B242" s="18" t="s">
        <v>927</v>
      </c>
      <c r="C242" s="18" t="s">
        <v>928</v>
      </c>
      <c r="D242" s="75">
        <v>740.0</v>
      </c>
      <c r="E242" s="171">
        <v>840.0</v>
      </c>
      <c r="F242" s="168">
        <f t="shared" si="1"/>
        <v>0.1351351351</v>
      </c>
      <c r="G242" s="62">
        <f t="shared" si="2"/>
        <v>3.668122271</v>
      </c>
      <c r="H242" s="75">
        <v>870.0</v>
      </c>
      <c r="I242" s="169">
        <f t="shared" si="3"/>
        <v>0.1756756757</v>
      </c>
      <c r="J242" s="170">
        <f>IFERROR(__xludf.DUMMYFUNCTION("""COMPUTED_VALUE"""),229.0)</f>
        <v>229</v>
      </c>
      <c r="K242" s="137">
        <f t="shared" si="4"/>
        <v>3.799126638</v>
      </c>
      <c r="L242" s="137"/>
      <c r="M242" s="137"/>
    </row>
    <row r="243">
      <c r="A243" s="115">
        <v>242.0</v>
      </c>
      <c r="B243" s="48" t="s">
        <v>931</v>
      </c>
      <c r="C243" s="18" t="s">
        <v>913</v>
      </c>
      <c r="D243" s="75">
        <v>1690.0</v>
      </c>
      <c r="E243" s="167">
        <v>1860.0</v>
      </c>
      <c r="F243" s="168">
        <f t="shared" si="1"/>
        <v>0.100591716</v>
      </c>
      <c r="G243" s="62">
        <f t="shared" si="2"/>
        <v>4.23690205</v>
      </c>
      <c r="H243" s="75">
        <v>2030.0</v>
      </c>
      <c r="I243" s="169">
        <f t="shared" si="3"/>
        <v>0.201183432</v>
      </c>
      <c r="J243" s="170">
        <f>IFERROR(__xludf.DUMMYFUNCTION("""COMPUTED_VALUE"""),439.0)</f>
        <v>439</v>
      </c>
      <c r="K243" s="137">
        <f t="shared" si="4"/>
        <v>4.624145786</v>
      </c>
      <c r="L243" s="137"/>
      <c r="M243" s="137"/>
    </row>
    <row r="244">
      <c r="A244" s="115">
        <v>243.0</v>
      </c>
      <c r="B244" s="48" t="s">
        <v>933</v>
      </c>
      <c r="C244" s="18" t="s">
        <v>915</v>
      </c>
      <c r="D244" s="75">
        <v>940.0</v>
      </c>
      <c r="E244" s="167">
        <v>1060.0</v>
      </c>
      <c r="F244" s="168">
        <f t="shared" si="1"/>
        <v>0.1276595745</v>
      </c>
      <c r="G244" s="62">
        <f t="shared" si="2"/>
        <v>4.291497976</v>
      </c>
      <c r="H244" s="75">
        <v>1120.0</v>
      </c>
      <c r="I244" s="169">
        <f t="shared" si="3"/>
        <v>0.1914893617</v>
      </c>
      <c r="J244" s="170">
        <f>IFERROR(__xludf.DUMMYFUNCTION("""COMPUTED_VALUE"""),247.0)</f>
        <v>247</v>
      </c>
      <c r="K244" s="137">
        <f t="shared" si="4"/>
        <v>4.534412955</v>
      </c>
      <c r="L244" s="137"/>
      <c r="M244" s="137"/>
    </row>
    <row r="245">
      <c r="A245" s="115">
        <v>244.0</v>
      </c>
      <c r="B245" s="48" t="s">
        <v>936</v>
      </c>
      <c r="C245" s="18" t="s">
        <v>918</v>
      </c>
      <c r="D245" s="75">
        <v>4750.0</v>
      </c>
      <c r="E245" s="171">
        <v>5460.0</v>
      </c>
      <c r="F245" s="168">
        <f t="shared" si="1"/>
        <v>0.1494736842</v>
      </c>
      <c r="G245" s="62">
        <f t="shared" si="2"/>
        <v>4.249027237</v>
      </c>
      <c r="H245" s="75">
        <v>5680.0</v>
      </c>
      <c r="I245" s="169">
        <f t="shared" si="3"/>
        <v>0.1957894737</v>
      </c>
      <c r="J245" s="170">
        <f>IFERROR(__xludf.DUMMYFUNCTION("""COMPUTED_VALUE"""),1285.0)</f>
        <v>1285</v>
      </c>
      <c r="K245" s="137">
        <f t="shared" si="4"/>
        <v>4.420233463</v>
      </c>
      <c r="L245" s="137"/>
      <c r="M245" s="137"/>
    </row>
    <row r="246">
      <c r="A246" s="115">
        <v>245.0</v>
      </c>
      <c r="B246" s="48" t="s">
        <v>938</v>
      </c>
      <c r="C246" s="18" t="s">
        <v>921</v>
      </c>
      <c r="D246" s="75">
        <v>740.0</v>
      </c>
      <c r="E246" s="167">
        <v>790.0</v>
      </c>
      <c r="F246" s="168">
        <f t="shared" si="1"/>
        <v>0.06756756757</v>
      </c>
      <c r="G246" s="62">
        <f t="shared" si="2"/>
        <v>4.072164948</v>
      </c>
      <c r="H246" s="75">
        <v>890.0</v>
      </c>
      <c r="I246" s="169">
        <f t="shared" si="3"/>
        <v>0.2027027027</v>
      </c>
      <c r="J246" s="170">
        <f>IFERROR(__xludf.DUMMYFUNCTION("""COMPUTED_VALUE"""),194.0)</f>
        <v>194</v>
      </c>
      <c r="K246" s="137">
        <f t="shared" si="4"/>
        <v>4.587628866</v>
      </c>
      <c r="L246" s="137"/>
      <c r="M246" s="137"/>
    </row>
    <row r="247">
      <c r="A247" s="115">
        <v>246.0</v>
      </c>
      <c r="B247" s="48" t="s">
        <v>940</v>
      </c>
      <c r="C247" s="18" t="s">
        <v>924</v>
      </c>
      <c r="D247" s="75">
        <v>880.0</v>
      </c>
      <c r="E247" s="171">
        <v>990.0</v>
      </c>
      <c r="F247" s="168">
        <f t="shared" si="1"/>
        <v>0.125</v>
      </c>
      <c r="G247" s="62">
        <f t="shared" si="2"/>
        <v>3.96</v>
      </c>
      <c r="H247" s="75">
        <v>1029.6</v>
      </c>
      <c r="I247" s="169">
        <f t="shared" si="3"/>
        <v>0.17</v>
      </c>
      <c r="J247" s="170">
        <f>IFERROR(__xludf.DUMMYFUNCTION("""COMPUTED_VALUE"""),250.0)</f>
        <v>250</v>
      </c>
      <c r="K247" s="137">
        <f t="shared" si="4"/>
        <v>4.1184</v>
      </c>
      <c r="L247" s="137"/>
      <c r="M247" s="137"/>
    </row>
    <row r="248">
      <c r="A248" s="115">
        <v>247.0</v>
      </c>
      <c r="B248" s="48" t="s">
        <v>942</v>
      </c>
      <c r="C248" s="18" t="s">
        <v>926</v>
      </c>
      <c r="D248" s="75">
        <v>590.0</v>
      </c>
      <c r="E248" s="171">
        <v>670.0</v>
      </c>
      <c r="F248" s="168">
        <f t="shared" si="1"/>
        <v>0.1355932203</v>
      </c>
      <c r="G248" s="62">
        <f t="shared" si="2"/>
        <v>4.496644295</v>
      </c>
      <c r="H248" s="75">
        <v>690.0</v>
      </c>
      <c r="I248" s="169">
        <f t="shared" si="3"/>
        <v>0.1694915254</v>
      </c>
      <c r="J248" s="170">
        <f>IFERROR(__xludf.DUMMYFUNCTION("""COMPUTED_VALUE"""),149.0)</f>
        <v>149</v>
      </c>
      <c r="K248" s="137">
        <f t="shared" si="4"/>
        <v>4.630872483</v>
      </c>
      <c r="L248" s="137"/>
      <c r="M248" s="137"/>
    </row>
    <row r="249">
      <c r="A249" s="115">
        <v>248.0</v>
      </c>
      <c r="B249" s="48" t="s">
        <v>1170</v>
      </c>
      <c r="C249" s="18" t="s">
        <v>913</v>
      </c>
      <c r="D249" s="75">
        <v>1990.0</v>
      </c>
      <c r="E249" s="171">
        <v>2280.0</v>
      </c>
      <c r="F249" s="168">
        <f t="shared" si="1"/>
        <v>0.1457286432</v>
      </c>
      <c r="G249" s="62">
        <f t="shared" si="2"/>
        <v>3.937823834</v>
      </c>
      <c r="H249" s="75">
        <v>2370.0</v>
      </c>
      <c r="I249" s="169">
        <f t="shared" si="3"/>
        <v>0.1909547739</v>
      </c>
      <c r="J249" s="170">
        <f>IFERROR(__xludf.DUMMYFUNCTION("""COMPUTED_VALUE"""),579.0)</f>
        <v>579</v>
      </c>
      <c r="K249" s="137">
        <f t="shared" si="4"/>
        <v>4.093264249</v>
      </c>
      <c r="L249" s="137"/>
      <c r="M249" s="137"/>
    </row>
    <row r="250">
      <c r="A250" s="115">
        <v>249.0</v>
      </c>
      <c r="B250" s="48" t="s">
        <v>1171</v>
      </c>
      <c r="C250" s="18" t="s">
        <v>915</v>
      </c>
      <c r="D250" s="75">
        <v>1190.0</v>
      </c>
      <c r="E250" s="167">
        <v>1340.0</v>
      </c>
      <c r="F250" s="168">
        <f t="shared" si="1"/>
        <v>0.1260504202</v>
      </c>
      <c r="G250" s="62">
        <f t="shared" si="2"/>
        <v>4.161490683</v>
      </c>
      <c r="H250" s="75">
        <v>1420.0</v>
      </c>
      <c r="I250" s="169">
        <f t="shared" si="3"/>
        <v>0.1932773109</v>
      </c>
      <c r="J250" s="170">
        <f>IFERROR(__xludf.DUMMYFUNCTION("""COMPUTED_VALUE"""),322.0)</f>
        <v>322</v>
      </c>
      <c r="K250" s="137">
        <f t="shared" si="4"/>
        <v>4.409937888</v>
      </c>
      <c r="L250" s="137"/>
      <c r="M250" s="137"/>
    </row>
    <row r="251">
      <c r="A251" s="115">
        <v>250.0</v>
      </c>
      <c r="B251" s="48" t="s">
        <v>1172</v>
      </c>
      <c r="C251" s="18" t="s">
        <v>918</v>
      </c>
      <c r="D251" s="75">
        <v>4750.0</v>
      </c>
      <c r="E251" s="171">
        <v>5460.0</v>
      </c>
      <c r="F251" s="168">
        <f t="shared" si="1"/>
        <v>0.1494736842</v>
      </c>
      <c r="G251" s="62">
        <f t="shared" si="2"/>
        <v>4.249027237</v>
      </c>
      <c r="H251" s="75">
        <v>5680.0</v>
      </c>
      <c r="I251" s="169">
        <f t="shared" si="3"/>
        <v>0.1957894737</v>
      </c>
      <c r="J251" s="170">
        <f>IFERROR(__xludf.DUMMYFUNCTION("""COMPUTED_VALUE"""),1285.0)</f>
        <v>1285</v>
      </c>
      <c r="K251" s="137">
        <f t="shared" si="4"/>
        <v>4.420233463</v>
      </c>
      <c r="L251" s="137"/>
      <c r="M251" s="137"/>
    </row>
    <row r="252">
      <c r="A252" s="115">
        <v>251.0</v>
      </c>
      <c r="B252" s="48" t="s">
        <v>1173</v>
      </c>
      <c r="C252" s="18" t="s">
        <v>1174</v>
      </c>
      <c r="D252" s="75">
        <v>1550.0</v>
      </c>
      <c r="E252" s="171">
        <v>1780.0</v>
      </c>
      <c r="F252" s="168">
        <f t="shared" si="1"/>
        <v>0.1483870968</v>
      </c>
      <c r="G252" s="62">
        <f t="shared" si="2"/>
        <v>4.009009009</v>
      </c>
      <c r="H252" s="75">
        <v>1850.0</v>
      </c>
      <c r="I252" s="169">
        <f t="shared" si="3"/>
        <v>0.1935483871</v>
      </c>
      <c r="J252" s="170">
        <f>IFERROR(__xludf.DUMMYFUNCTION("""COMPUTED_VALUE"""),444.0)</f>
        <v>444</v>
      </c>
      <c r="K252" s="137">
        <f t="shared" si="4"/>
        <v>4.166666667</v>
      </c>
      <c r="L252" s="137"/>
      <c r="M252" s="137"/>
    </row>
    <row r="253">
      <c r="A253" s="115">
        <v>252.0</v>
      </c>
      <c r="B253" s="48" t="s">
        <v>1175</v>
      </c>
      <c r="C253" s="18" t="s">
        <v>1176</v>
      </c>
      <c r="D253" s="75">
        <v>1290.0</v>
      </c>
      <c r="E253" s="171">
        <v>1480.0</v>
      </c>
      <c r="F253" s="168">
        <f t="shared" si="1"/>
        <v>0.1472868217</v>
      </c>
      <c r="G253" s="62">
        <f t="shared" si="2"/>
        <v>3.844155844</v>
      </c>
      <c r="H253" s="75">
        <v>1540.0</v>
      </c>
      <c r="I253" s="169">
        <f t="shared" si="3"/>
        <v>0.1937984496</v>
      </c>
      <c r="J253" s="170">
        <f>IFERROR(__xludf.DUMMYFUNCTION("""COMPUTED_VALUE"""),385.0)</f>
        <v>385</v>
      </c>
      <c r="K253" s="137">
        <f t="shared" si="4"/>
        <v>4</v>
      </c>
      <c r="L253" s="137"/>
      <c r="M253" s="137"/>
    </row>
    <row r="254">
      <c r="A254" s="115">
        <v>253.0</v>
      </c>
      <c r="B254" s="48" t="s">
        <v>1177</v>
      </c>
      <c r="C254" s="18" t="s">
        <v>1178</v>
      </c>
      <c r="D254" s="75">
        <v>1490.0</v>
      </c>
      <c r="E254" s="167">
        <v>1280.0</v>
      </c>
      <c r="F254" s="168">
        <f t="shared" si="1"/>
        <v>-0.1409395973</v>
      </c>
      <c r="G254" s="62">
        <f t="shared" si="2"/>
        <v>4.338983051</v>
      </c>
      <c r="H254" s="75">
        <v>1760.0</v>
      </c>
      <c r="I254" s="169">
        <f t="shared" si="3"/>
        <v>0.1812080537</v>
      </c>
      <c r="J254" s="170">
        <f>IFERROR(__xludf.DUMMYFUNCTION("""COMPUTED_VALUE"""),295.0)</f>
        <v>295</v>
      </c>
      <c r="K254" s="137">
        <f t="shared" si="4"/>
        <v>5.966101695</v>
      </c>
      <c r="L254" s="137"/>
      <c r="M254" s="137"/>
    </row>
    <row r="255">
      <c r="A255" s="115">
        <v>254.0</v>
      </c>
      <c r="B255" s="48" t="s">
        <v>1179</v>
      </c>
      <c r="C255" s="18" t="s">
        <v>1180</v>
      </c>
      <c r="D255" s="75">
        <v>1290.0</v>
      </c>
      <c r="E255" s="171">
        <v>1480.0</v>
      </c>
      <c r="F255" s="168">
        <f t="shared" si="1"/>
        <v>0.1472868217</v>
      </c>
      <c r="G255" s="62">
        <f t="shared" si="2"/>
        <v>4.169014085</v>
      </c>
      <c r="H255" s="75">
        <v>1540.0</v>
      </c>
      <c r="I255" s="169">
        <f t="shared" si="3"/>
        <v>0.1937984496</v>
      </c>
      <c r="J255" s="170">
        <f>IFERROR(__xludf.DUMMYFUNCTION("""COMPUTED_VALUE"""),355.0)</f>
        <v>355</v>
      </c>
      <c r="K255" s="137">
        <f t="shared" si="4"/>
        <v>4.338028169</v>
      </c>
      <c r="L255" s="137"/>
      <c r="M255" s="137"/>
    </row>
    <row r="256">
      <c r="A256" s="115">
        <v>255.0</v>
      </c>
      <c r="B256" s="48" t="s">
        <v>1181</v>
      </c>
      <c r="C256" s="18" t="s">
        <v>926</v>
      </c>
      <c r="D256" s="75">
        <v>860.0</v>
      </c>
      <c r="E256" s="167">
        <v>970.0</v>
      </c>
      <c r="F256" s="168">
        <f t="shared" si="1"/>
        <v>0.1279069767</v>
      </c>
      <c r="G256" s="62">
        <f t="shared" si="2"/>
        <v>4.254385965</v>
      </c>
      <c r="H256" s="75">
        <v>1029.6</v>
      </c>
      <c r="I256" s="169">
        <f t="shared" si="3"/>
        <v>0.1972093023</v>
      </c>
      <c r="J256" s="170">
        <f>IFERROR(__xludf.DUMMYFUNCTION("""COMPUTED_VALUE"""),228.0)</f>
        <v>228</v>
      </c>
      <c r="K256" s="137">
        <f t="shared" si="4"/>
        <v>4.515789474</v>
      </c>
      <c r="L256" s="137"/>
      <c r="M256" s="137"/>
    </row>
    <row r="257">
      <c r="A257" s="115">
        <v>256.0</v>
      </c>
      <c r="B257" s="48" t="s">
        <v>1182</v>
      </c>
      <c r="C257" s="18" t="s">
        <v>928</v>
      </c>
      <c r="D257" s="75">
        <v>1220.0</v>
      </c>
      <c r="E257" s="167">
        <v>1340.0</v>
      </c>
      <c r="F257" s="168">
        <f t="shared" si="1"/>
        <v>0.09836065574</v>
      </c>
      <c r="G257" s="62">
        <f t="shared" si="2"/>
        <v>4.174454829</v>
      </c>
      <c r="H257" s="75">
        <v>1450.0</v>
      </c>
      <c r="I257" s="169">
        <f t="shared" si="3"/>
        <v>0.1885245902</v>
      </c>
      <c r="J257" s="170">
        <f>IFERROR(__xludf.DUMMYFUNCTION("""COMPUTED_VALUE"""),321.0)</f>
        <v>321</v>
      </c>
      <c r="K257" s="137">
        <f t="shared" si="4"/>
        <v>4.517133956</v>
      </c>
      <c r="L257" s="137"/>
      <c r="M257" s="137"/>
    </row>
    <row r="258">
      <c r="A258" s="115">
        <v>257.0</v>
      </c>
      <c r="B258" s="48" t="s">
        <v>945</v>
      </c>
      <c r="C258" s="18" t="s">
        <v>946</v>
      </c>
      <c r="D258" s="75">
        <v>990.0</v>
      </c>
      <c r="E258" s="171">
        <v>1080.0</v>
      </c>
      <c r="F258" s="168">
        <f t="shared" si="1"/>
        <v>0.09090909091</v>
      </c>
      <c r="G258" s="62">
        <f t="shared" si="2"/>
        <v>4.716157205</v>
      </c>
      <c r="H258" s="75">
        <v>1120.0</v>
      </c>
      <c r="I258" s="169">
        <f t="shared" si="3"/>
        <v>0.1313131313</v>
      </c>
      <c r="J258" s="170">
        <f>IFERROR(__xludf.DUMMYFUNCTION("""COMPUTED_VALUE"""),229.0)</f>
        <v>229</v>
      </c>
      <c r="K258" s="137">
        <f t="shared" si="4"/>
        <v>4.890829694</v>
      </c>
      <c r="L258" s="137"/>
      <c r="M258" s="137"/>
    </row>
    <row r="259">
      <c r="A259" s="115">
        <v>258.0</v>
      </c>
      <c r="B259" s="18" t="s">
        <v>948</v>
      </c>
      <c r="C259" s="18" t="s">
        <v>949</v>
      </c>
      <c r="D259" s="75">
        <v>690.0</v>
      </c>
      <c r="E259" s="171">
        <v>760.0</v>
      </c>
      <c r="F259" s="168">
        <f t="shared" si="1"/>
        <v>0.1014492754</v>
      </c>
      <c r="G259" s="62">
        <f t="shared" si="2"/>
        <v>5.846153846</v>
      </c>
      <c r="H259" s="75">
        <v>790.4</v>
      </c>
      <c r="I259" s="169">
        <f t="shared" si="3"/>
        <v>0.1455072464</v>
      </c>
      <c r="J259" s="170">
        <f>IFERROR(__xludf.DUMMYFUNCTION("""COMPUTED_VALUE"""),130.0)</f>
        <v>130</v>
      </c>
      <c r="K259" s="137">
        <f t="shared" si="4"/>
        <v>6.08</v>
      </c>
      <c r="L259" s="137"/>
      <c r="M259" s="137"/>
    </row>
    <row r="260">
      <c r="A260" s="115">
        <v>259.0</v>
      </c>
      <c r="B260" s="48" t="s">
        <v>952</v>
      </c>
      <c r="C260" s="48" t="s">
        <v>953</v>
      </c>
      <c r="D260" s="75">
        <v>3240.0</v>
      </c>
      <c r="E260" s="171">
        <v>3480.0</v>
      </c>
      <c r="F260" s="168">
        <f t="shared" si="1"/>
        <v>0.07407407407</v>
      </c>
      <c r="G260" s="62">
        <f t="shared" si="2"/>
        <v>3.362318841</v>
      </c>
      <c r="H260" s="75">
        <v>3620.0</v>
      </c>
      <c r="I260" s="169">
        <f t="shared" si="3"/>
        <v>0.1172839506</v>
      </c>
      <c r="J260" s="170">
        <f>IFERROR(__xludf.DUMMYFUNCTION("""COMPUTED_VALUE"""),1035.0)</f>
        <v>1035</v>
      </c>
      <c r="K260" s="137">
        <f t="shared" si="4"/>
        <v>3.497584541</v>
      </c>
      <c r="L260" s="137"/>
      <c r="M260" s="137"/>
    </row>
    <row r="261">
      <c r="A261" s="115">
        <v>260.0</v>
      </c>
      <c r="B261" s="48" t="s">
        <v>956</v>
      </c>
      <c r="C261" s="48" t="s">
        <v>957</v>
      </c>
      <c r="D261" s="75">
        <v>590.0</v>
      </c>
      <c r="E261" s="171">
        <v>640.0</v>
      </c>
      <c r="F261" s="168">
        <f t="shared" si="1"/>
        <v>0.08474576271</v>
      </c>
      <c r="G261" s="62">
        <f t="shared" si="2"/>
        <v>4.050632911</v>
      </c>
      <c r="H261" s="75">
        <v>670.0</v>
      </c>
      <c r="I261" s="169">
        <f t="shared" si="3"/>
        <v>0.1355932203</v>
      </c>
      <c r="J261" s="170">
        <f>IFERROR(__xludf.DUMMYFUNCTION("""COMPUTED_VALUE"""),158.0)</f>
        <v>158</v>
      </c>
      <c r="K261" s="137">
        <f t="shared" si="4"/>
        <v>4.240506329</v>
      </c>
      <c r="L261" s="137"/>
      <c r="M261" s="137"/>
    </row>
    <row r="262">
      <c r="A262" s="115">
        <v>261.0</v>
      </c>
      <c r="B262" s="48" t="s">
        <v>960</v>
      </c>
      <c r="C262" s="48" t="s">
        <v>961</v>
      </c>
      <c r="D262" s="75">
        <v>690.0</v>
      </c>
      <c r="E262" s="171">
        <v>760.0</v>
      </c>
      <c r="F262" s="168">
        <f t="shared" si="1"/>
        <v>0.1014492754</v>
      </c>
      <c r="G262" s="62">
        <f t="shared" si="2"/>
        <v>3.937823834</v>
      </c>
      <c r="H262" s="75">
        <v>790.4</v>
      </c>
      <c r="I262" s="169">
        <f t="shared" si="3"/>
        <v>0.1455072464</v>
      </c>
      <c r="J262" s="170">
        <f>IFERROR(__xludf.DUMMYFUNCTION("""COMPUTED_VALUE"""),193.0)</f>
        <v>193</v>
      </c>
      <c r="K262" s="137">
        <f t="shared" si="4"/>
        <v>4.095336788</v>
      </c>
      <c r="L262" s="137"/>
      <c r="M262" s="137"/>
    </row>
    <row r="263">
      <c r="A263" s="115">
        <v>262.0</v>
      </c>
      <c r="B263" s="48" t="s">
        <v>963</v>
      </c>
      <c r="C263" s="48" t="s">
        <v>964</v>
      </c>
      <c r="D263" s="75">
        <v>440.0</v>
      </c>
      <c r="E263" s="171">
        <v>480.0</v>
      </c>
      <c r="F263" s="168">
        <f t="shared" si="1"/>
        <v>0.09090909091</v>
      </c>
      <c r="G263" s="62">
        <f t="shared" si="2"/>
        <v>5.647058824</v>
      </c>
      <c r="H263" s="75">
        <v>490.0</v>
      </c>
      <c r="I263" s="169">
        <f t="shared" si="3"/>
        <v>0.1136363636</v>
      </c>
      <c r="J263" s="170">
        <f>IFERROR(__xludf.DUMMYFUNCTION("""COMPUTED_VALUE"""),85.0)</f>
        <v>85</v>
      </c>
      <c r="K263" s="137">
        <f t="shared" si="4"/>
        <v>5.764705882</v>
      </c>
      <c r="L263" s="137"/>
      <c r="M263" s="137"/>
    </row>
    <row r="264">
      <c r="A264" s="115">
        <v>263.0</v>
      </c>
      <c r="B264" s="48" t="s">
        <v>966</v>
      </c>
      <c r="C264" s="48" t="s">
        <v>967</v>
      </c>
      <c r="D264" s="75">
        <v>810.0</v>
      </c>
      <c r="E264" s="171">
        <v>940.0</v>
      </c>
      <c r="F264" s="168">
        <f t="shared" si="1"/>
        <v>0.1604938272</v>
      </c>
      <c r="G264" s="62">
        <f t="shared" si="2"/>
        <v>3.092105263</v>
      </c>
      <c r="H264" s="75">
        <v>980.0</v>
      </c>
      <c r="I264" s="169">
        <f t="shared" si="3"/>
        <v>0.2098765432</v>
      </c>
      <c r="J264" s="170">
        <f>IFERROR(__xludf.DUMMYFUNCTION("""COMPUTED_VALUE"""),304.0)</f>
        <v>304</v>
      </c>
      <c r="K264" s="137">
        <f t="shared" si="4"/>
        <v>3.223684211</v>
      </c>
      <c r="L264" s="137"/>
      <c r="M264" s="137"/>
    </row>
    <row r="265">
      <c r="A265" s="115">
        <v>264.0</v>
      </c>
      <c r="B265" s="48" t="s">
        <v>969</v>
      </c>
      <c r="C265" s="48" t="s">
        <v>970</v>
      </c>
      <c r="D265" s="75">
        <v>1160.0</v>
      </c>
      <c r="E265" s="171">
        <v>1270.0</v>
      </c>
      <c r="F265" s="168">
        <f t="shared" si="1"/>
        <v>0.09482758621</v>
      </c>
      <c r="G265" s="62" t="str">
        <f t="shared" si="2"/>
        <v/>
      </c>
      <c r="H265" s="75">
        <v>1320.0</v>
      </c>
      <c r="I265" s="169">
        <f t="shared" si="3"/>
        <v>0.1379310345</v>
      </c>
      <c r="J265" s="170">
        <f>IFERROR(__xludf.DUMMYFUNCTION("""COMPUTED_VALUE"""),0.0)</f>
        <v>0</v>
      </c>
      <c r="K265" s="137" t="str">
        <f t="shared" si="4"/>
        <v/>
      </c>
      <c r="L265" s="137"/>
      <c r="M265" s="137"/>
    </row>
    <row r="266">
      <c r="A266" s="115">
        <v>265.0</v>
      </c>
      <c r="B266" s="48" t="s">
        <v>972</v>
      </c>
      <c r="C266" s="48" t="s">
        <v>973</v>
      </c>
      <c r="D266" s="75">
        <v>810.0</v>
      </c>
      <c r="E266" s="171">
        <v>890.0</v>
      </c>
      <c r="F266" s="168">
        <f t="shared" si="1"/>
        <v>0.0987654321</v>
      </c>
      <c r="G266" s="62" t="str">
        <f t="shared" si="2"/>
        <v/>
      </c>
      <c r="H266" s="75">
        <v>930.0</v>
      </c>
      <c r="I266" s="169">
        <f t="shared" si="3"/>
        <v>0.1481481481</v>
      </c>
      <c r="J266" s="170">
        <f>IFERROR(__xludf.DUMMYFUNCTION("""COMPUTED_VALUE"""),0.0)</f>
        <v>0</v>
      </c>
      <c r="K266" s="137" t="str">
        <f t="shared" si="4"/>
        <v/>
      </c>
      <c r="L266" s="137"/>
      <c r="M266" s="137"/>
    </row>
    <row r="267">
      <c r="A267" s="115">
        <v>266.0</v>
      </c>
      <c r="B267" s="48" t="s">
        <v>975</v>
      </c>
      <c r="C267" s="48" t="s">
        <v>976</v>
      </c>
      <c r="D267" s="75">
        <v>810.0</v>
      </c>
      <c r="E267" s="171">
        <v>890.0</v>
      </c>
      <c r="F267" s="168">
        <f t="shared" si="1"/>
        <v>0.0987654321</v>
      </c>
      <c r="G267" s="62" t="str">
        <f t="shared" si="2"/>
        <v/>
      </c>
      <c r="H267" s="75">
        <v>930.0</v>
      </c>
      <c r="I267" s="169">
        <f t="shared" si="3"/>
        <v>0.1481481481</v>
      </c>
      <c r="J267" s="170">
        <f>IFERROR(__xludf.DUMMYFUNCTION("""COMPUTED_VALUE"""),0.0)</f>
        <v>0</v>
      </c>
      <c r="K267" s="137" t="str">
        <f t="shared" si="4"/>
        <v/>
      </c>
      <c r="L267" s="137"/>
      <c r="M267" s="137"/>
    </row>
    <row r="268">
      <c r="A268" s="115">
        <v>267.0</v>
      </c>
      <c r="B268" s="48" t="s">
        <v>979</v>
      </c>
      <c r="C268" s="48" t="s">
        <v>980</v>
      </c>
      <c r="D268" s="75">
        <v>810.0</v>
      </c>
      <c r="E268" s="171">
        <v>890.0</v>
      </c>
      <c r="F268" s="168">
        <f t="shared" si="1"/>
        <v>0.0987654321</v>
      </c>
      <c r="G268" s="62" t="str">
        <f t="shared" si="2"/>
        <v/>
      </c>
      <c r="H268" s="75">
        <v>930.0</v>
      </c>
      <c r="I268" s="169">
        <f t="shared" si="3"/>
        <v>0.1481481481</v>
      </c>
      <c r="J268" s="170">
        <f>IFERROR(__xludf.DUMMYFUNCTION("""COMPUTED_VALUE"""),0.0)</f>
        <v>0</v>
      </c>
      <c r="K268" s="137" t="str">
        <f t="shared" si="4"/>
        <v/>
      </c>
      <c r="L268" s="137"/>
      <c r="M268" s="137"/>
    </row>
    <row r="269">
      <c r="A269" s="115">
        <v>268.0</v>
      </c>
      <c r="B269" s="48" t="s">
        <v>982</v>
      </c>
      <c r="C269" s="48" t="s">
        <v>983</v>
      </c>
      <c r="D269" s="75">
        <v>580.0</v>
      </c>
      <c r="E269" s="171">
        <v>640.0</v>
      </c>
      <c r="F269" s="168">
        <f t="shared" si="1"/>
        <v>0.1034482759</v>
      </c>
      <c r="G269" s="62" t="str">
        <f t="shared" si="2"/>
        <v/>
      </c>
      <c r="H269" s="75">
        <v>670.0</v>
      </c>
      <c r="I269" s="169">
        <f t="shared" si="3"/>
        <v>0.1551724138</v>
      </c>
      <c r="J269" s="170">
        <f>IFERROR(__xludf.DUMMYFUNCTION("""COMPUTED_VALUE"""),0.0)</f>
        <v>0</v>
      </c>
      <c r="K269" s="137" t="str">
        <f t="shared" si="4"/>
        <v/>
      </c>
      <c r="L269" s="137"/>
      <c r="M269" s="137"/>
    </row>
    <row r="270">
      <c r="A270" s="115">
        <v>269.0</v>
      </c>
      <c r="B270" s="48" t="s">
        <v>985</v>
      </c>
      <c r="C270" s="48" t="s">
        <v>946</v>
      </c>
      <c r="D270" s="75">
        <v>1280.0</v>
      </c>
      <c r="E270" s="171">
        <v>1390.0</v>
      </c>
      <c r="F270" s="168">
        <f t="shared" si="1"/>
        <v>0.0859375</v>
      </c>
      <c r="G270" s="62">
        <f t="shared" si="2"/>
        <v>3.726541555</v>
      </c>
      <c r="H270" s="75">
        <v>1450.0</v>
      </c>
      <c r="I270" s="169">
        <f t="shared" si="3"/>
        <v>0.1328125</v>
      </c>
      <c r="J270" s="170">
        <f>IFERROR(__xludf.DUMMYFUNCTION("""COMPUTED_VALUE"""),373.0)</f>
        <v>373</v>
      </c>
      <c r="K270" s="137">
        <f t="shared" si="4"/>
        <v>3.887399464</v>
      </c>
      <c r="L270" s="137"/>
      <c r="M270" s="137"/>
    </row>
    <row r="271">
      <c r="A271" s="115">
        <v>270.0</v>
      </c>
      <c r="B271" s="48" t="s">
        <v>987</v>
      </c>
      <c r="C271" s="48" t="s">
        <v>949</v>
      </c>
      <c r="D271" s="75">
        <v>790.0</v>
      </c>
      <c r="E271" s="171">
        <v>870.0</v>
      </c>
      <c r="F271" s="168">
        <f t="shared" si="1"/>
        <v>0.1012658228</v>
      </c>
      <c r="G271" s="62">
        <f t="shared" si="2"/>
        <v>4.084507042</v>
      </c>
      <c r="H271" s="75">
        <v>890.0</v>
      </c>
      <c r="I271" s="169">
        <f t="shared" si="3"/>
        <v>0.1265822785</v>
      </c>
      <c r="J271" s="170">
        <f>IFERROR(__xludf.DUMMYFUNCTION("""COMPUTED_VALUE"""),213.0)</f>
        <v>213</v>
      </c>
      <c r="K271" s="137">
        <f t="shared" si="4"/>
        <v>4.178403756</v>
      </c>
      <c r="L271" s="137"/>
      <c r="M271" s="137"/>
    </row>
    <row r="272">
      <c r="A272" s="115">
        <v>271.0</v>
      </c>
      <c r="B272" s="48" t="s">
        <v>989</v>
      </c>
      <c r="C272" s="48" t="s">
        <v>957</v>
      </c>
      <c r="D272" s="75">
        <v>620.0</v>
      </c>
      <c r="E272" s="171">
        <v>680.0</v>
      </c>
      <c r="F272" s="168">
        <f t="shared" si="1"/>
        <v>0.09677419355</v>
      </c>
      <c r="G272" s="62">
        <f t="shared" si="2"/>
        <v>3.756906077</v>
      </c>
      <c r="H272" s="75">
        <v>690.0</v>
      </c>
      <c r="I272" s="169">
        <f t="shared" si="3"/>
        <v>0.1129032258</v>
      </c>
      <c r="J272" s="170">
        <f>IFERROR(__xludf.DUMMYFUNCTION("""COMPUTED_VALUE"""),181.0)</f>
        <v>181</v>
      </c>
      <c r="K272" s="137">
        <f t="shared" si="4"/>
        <v>3.812154696</v>
      </c>
      <c r="L272" s="137"/>
      <c r="M272" s="137"/>
    </row>
    <row r="273">
      <c r="A273" s="115">
        <v>272.0</v>
      </c>
      <c r="B273" s="48" t="s">
        <v>991</v>
      </c>
      <c r="C273" s="48" t="s">
        <v>961</v>
      </c>
      <c r="D273" s="75">
        <v>770.0</v>
      </c>
      <c r="E273" s="171">
        <v>840.0</v>
      </c>
      <c r="F273" s="168">
        <f t="shared" si="1"/>
        <v>0.09090909091</v>
      </c>
      <c r="G273" s="62">
        <f t="shared" si="2"/>
        <v>3.766816143</v>
      </c>
      <c r="H273" s="75">
        <v>870.0</v>
      </c>
      <c r="I273" s="169">
        <f t="shared" si="3"/>
        <v>0.1298701299</v>
      </c>
      <c r="J273" s="170">
        <f>IFERROR(__xludf.DUMMYFUNCTION("""COMPUTED_VALUE"""),223.0)</f>
        <v>223</v>
      </c>
      <c r="K273" s="137">
        <f t="shared" si="4"/>
        <v>3.901345291</v>
      </c>
      <c r="L273" s="137"/>
      <c r="M273" s="137"/>
    </row>
    <row r="274">
      <c r="A274" s="115">
        <v>273.0</v>
      </c>
      <c r="B274" s="48" t="s">
        <v>993</v>
      </c>
      <c r="C274" s="48" t="s">
        <v>964</v>
      </c>
      <c r="D274" s="75">
        <v>360.0</v>
      </c>
      <c r="E274" s="171">
        <v>396.00000000000006</v>
      </c>
      <c r="F274" s="168">
        <f t="shared" si="1"/>
        <v>0.1</v>
      </c>
      <c r="G274" s="62">
        <f t="shared" si="2"/>
        <v>3.384615385</v>
      </c>
      <c r="H274" s="75">
        <v>410.0</v>
      </c>
      <c r="I274" s="169">
        <f t="shared" si="3"/>
        <v>0.1388888889</v>
      </c>
      <c r="J274" s="170">
        <f>IFERROR(__xludf.DUMMYFUNCTION("""COMPUTED_VALUE"""),117.0)</f>
        <v>117</v>
      </c>
      <c r="K274" s="137">
        <f t="shared" si="4"/>
        <v>3.504273504</v>
      </c>
      <c r="L274" s="137"/>
      <c r="M274" s="137"/>
    </row>
    <row r="275">
      <c r="A275" s="115">
        <v>274.0</v>
      </c>
      <c r="B275" s="48" t="s">
        <v>995</v>
      </c>
      <c r="C275" s="48" t="s">
        <v>967</v>
      </c>
      <c r="D275" s="75">
        <v>1160.0</v>
      </c>
      <c r="E275" s="171">
        <v>1276.0</v>
      </c>
      <c r="F275" s="168">
        <f t="shared" si="1"/>
        <v>0.1</v>
      </c>
      <c r="G275" s="62">
        <f t="shared" si="2"/>
        <v>4.102893891</v>
      </c>
      <c r="H275" s="75">
        <v>1330.0</v>
      </c>
      <c r="I275" s="169">
        <f t="shared" si="3"/>
        <v>0.1465517241</v>
      </c>
      <c r="J275" s="170">
        <f>IFERROR(__xludf.DUMMYFUNCTION("""COMPUTED_VALUE"""),311.0)</f>
        <v>311</v>
      </c>
      <c r="K275" s="137">
        <f t="shared" si="4"/>
        <v>4.276527331</v>
      </c>
      <c r="L275" s="137"/>
      <c r="M275" s="137"/>
    </row>
    <row r="276">
      <c r="A276" s="115">
        <v>275.0</v>
      </c>
      <c r="B276" s="48" t="s">
        <v>997</v>
      </c>
      <c r="C276" s="48" t="s">
        <v>998</v>
      </c>
      <c r="D276" s="75">
        <v>2340.0</v>
      </c>
      <c r="E276" s="171">
        <v>2574.0</v>
      </c>
      <c r="F276" s="168">
        <f t="shared" si="1"/>
        <v>0.1</v>
      </c>
      <c r="G276" s="62">
        <f t="shared" si="2"/>
        <v>3.779735683</v>
      </c>
      <c r="H276" s="75">
        <v>2680.0</v>
      </c>
      <c r="I276" s="169">
        <f t="shared" si="3"/>
        <v>0.1452991453</v>
      </c>
      <c r="J276" s="170">
        <f>IFERROR(__xludf.DUMMYFUNCTION("""COMPUTED_VALUE"""),681.0)</f>
        <v>681</v>
      </c>
      <c r="K276" s="137">
        <f t="shared" si="4"/>
        <v>3.935389134</v>
      </c>
      <c r="L276" s="137"/>
      <c r="M276" s="137"/>
    </row>
    <row r="277">
      <c r="A277" s="115">
        <v>276.0</v>
      </c>
      <c r="B277" s="48" t="s">
        <v>1185</v>
      </c>
      <c r="C277" s="48" t="s">
        <v>1186</v>
      </c>
      <c r="D277" s="75">
        <v>7990.0</v>
      </c>
      <c r="E277" s="171">
        <v>8780.0</v>
      </c>
      <c r="F277" s="168">
        <f t="shared" si="1"/>
        <v>0.09887359199</v>
      </c>
      <c r="G277" s="62">
        <f t="shared" si="2"/>
        <v>3.990909091</v>
      </c>
      <c r="H277" s="75">
        <v>9130.0</v>
      </c>
      <c r="I277" s="169">
        <f t="shared" si="3"/>
        <v>0.1426783479</v>
      </c>
      <c r="J277" s="170">
        <f>IFERROR(__xludf.DUMMYFUNCTION("""COMPUTED_VALUE"""),2200.0)</f>
        <v>2200</v>
      </c>
      <c r="K277" s="137">
        <f t="shared" si="4"/>
        <v>4.15</v>
      </c>
      <c r="L277" s="137"/>
      <c r="M277" s="137"/>
    </row>
    <row r="278">
      <c r="A278" s="115">
        <v>277.0</v>
      </c>
      <c r="B278" s="48" t="s">
        <v>1187</v>
      </c>
      <c r="C278" s="48" t="s">
        <v>1188</v>
      </c>
      <c r="D278" s="75">
        <v>14900.0</v>
      </c>
      <c r="E278" s="171">
        <v>16900.0</v>
      </c>
      <c r="F278" s="168">
        <f t="shared" si="1"/>
        <v>0.1342281879</v>
      </c>
      <c r="G278" s="62">
        <f t="shared" si="2"/>
        <v>3.840909091</v>
      </c>
      <c r="H278" s="75">
        <v>17580.0</v>
      </c>
      <c r="I278" s="169">
        <f t="shared" si="3"/>
        <v>0.1798657718</v>
      </c>
      <c r="J278" s="170">
        <f>IFERROR(__xludf.DUMMYFUNCTION("""COMPUTED_VALUE"""),4400.0)</f>
        <v>4400</v>
      </c>
      <c r="K278" s="137">
        <f t="shared" si="4"/>
        <v>3.995454545</v>
      </c>
      <c r="L278" s="137"/>
      <c r="M278" s="137"/>
    </row>
    <row r="279">
      <c r="A279" s="115">
        <v>278.0</v>
      </c>
      <c r="B279" s="48" t="s">
        <v>621</v>
      </c>
      <c r="C279" s="48" t="s">
        <v>622</v>
      </c>
      <c r="D279" s="75">
        <v>2690.0</v>
      </c>
      <c r="E279" s="171">
        <v>2990.0</v>
      </c>
      <c r="F279" s="168">
        <f t="shared" si="1"/>
        <v>0.1115241636</v>
      </c>
      <c r="G279" s="62">
        <f t="shared" si="2"/>
        <v>4.199438202</v>
      </c>
      <c r="H279" s="75">
        <v>3109.6</v>
      </c>
      <c r="I279" s="169">
        <f t="shared" si="3"/>
        <v>0.1559851301</v>
      </c>
      <c r="J279" s="170">
        <f>IFERROR(__xludf.DUMMYFUNCTION("""COMPUTED_VALUE"""),712.0)</f>
        <v>712</v>
      </c>
      <c r="K279" s="137">
        <f t="shared" si="4"/>
        <v>4.36741573</v>
      </c>
      <c r="L279" s="137"/>
      <c r="M279" s="137"/>
    </row>
    <row r="280">
      <c r="A280" s="115">
        <v>279.0</v>
      </c>
      <c r="B280" s="48" t="s">
        <v>626</v>
      </c>
      <c r="C280" s="48" t="s">
        <v>627</v>
      </c>
      <c r="D280" s="75">
        <v>1990.0</v>
      </c>
      <c r="E280" s="171">
        <v>2290.0</v>
      </c>
      <c r="F280" s="168">
        <f t="shared" si="1"/>
        <v>0.1507537688</v>
      </c>
      <c r="G280" s="62">
        <f t="shared" si="2"/>
        <v>4.156079855</v>
      </c>
      <c r="H280" s="75">
        <v>2380.0</v>
      </c>
      <c r="I280" s="169">
        <f t="shared" si="3"/>
        <v>0.1959798995</v>
      </c>
      <c r="J280" s="170">
        <f>IFERROR(__xludf.DUMMYFUNCTION("""COMPUTED_VALUE"""),551.0)</f>
        <v>551</v>
      </c>
      <c r="K280" s="137">
        <f t="shared" si="4"/>
        <v>4.319419238</v>
      </c>
      <c r="L280" s="137"/>
      <c r="M280" s="137"/>
    </row>
    <row r="281">
      <c r="A281" s="115">
        <v>280.0</v>
      </c>
      <c r="B281" s="48" t="s">
        <v>632</v>
      </c>
      <c r="C281" s="48" t="s">
        <v>633</v>
      </c>
      <c r="D281" s="75">
        <v>1890.0</v>
      </c>
      <c r="E281" s="171">
        <v>2170.0</v>
      </c>
      <c r="F281" s="168">
        <f t="shared" si="1"/>
        <v>0.1481481481</v>
      </c>
      <c r="G281" s="62">
        <f t="shared" si="2"/>
        <v>3.93115942</v>
      </c>
      <c r="H281" s="75">
        <v>2260.0</v>
      </c>
      <c r="I281" s="169">
        <f t="shared" si="3"/>
        <v>0.1957671958</v>
      </c>
      <c r="J281" s="170">
        <f>IFERROR(__xludf.DUMMYFUNCTION("""COMPUTED_VALUE"""),552.0)</f>
        <v>552</v>
      </c>
      <c r="K281" s="137">
        <f t="shared" si="4"/>
        <v>4.094202899</v>
      </c>
      <c r="L281" s="137"/>
      <c r="M281" s="137"/>
    </row>
    <row r="282">
      <c r="A282" s="115">
        <v>281.0</v>
      </c>
      <c r="B282" s="48" t="s">
        <v>619</v>
      </c>
      <c r="C282" s="48" t="s">
        <v>620</v>
      </c>
      <c r="D282" s="75">
        <v>740.0</v>
      </c>
      <c r="E282" s="167">
        <v>870.0</v>
      </c>
      <c r="F282" s="168">
        <f t="shared" si="1"/>
        <v>0.1756756757</v>
      </c>
      <c r="G282" s="62">
        <f t="shared" si="2"/>
        <v>3.151488807</v>
      </c>
      <c r="H282" s="75">
        <v>930.0</v>
      </c>
      <c r="I282" s="169">
        <f t="shared" si="3"/>
        <v>0.2567567568</v>
      </c>
      <c r="J282" s="170">
        <f>IFERROR(__xludf.DUMMYFUNCTION("""COMPUTED_VALUE"""),276.06)</f>
        <v>276.06</v>
      </c>
      <c r="K282" s="137">
        <f t="shared" si="4"/>
        <v>3.368832862</v>
      </c>
      <c r="L282" s="137"/>
      <c r="M282" s="137"/>
    </row>
    <row r="283">
      <c r="A283" s="115">
        <v>282.0</v>
      </c>
      <c r="B283" s="48" t="s">
        <v>588</v>
      </c>
      <c r="C283" s="48" t="s">
        <v>589</v>
      </c>
      <c r="D283" s="75">
        <v>540.0</v>
      </c>
      <c r="E283" s="171">
        <v>690.0</v>
      </c>
      <c r="F283" s="168">
        <f t="shared" si="1"/>
        <v>0.2777777778</v>
      </c>
      <c r="G283" s="62">
        <f t="shared" si="2"/>
        <v>3.073633569</v>
      </c>
      <c r="H283" s="75">
        <v>720.0</v>
      </c>
      <c r="I283" s="169">
        <f t="shared" si="3"/>
        <v>0.3333333333</v>
      </c>
      <c r="J283" s="170">
        <f>IFERROR(__xludf.DUMMYFUNCTION("""COMPUTED_VALUE"""),224.49)</f>
        <v>224.49</v>
      </c>
      <c r="K283" s="137">
        <f t="shared" si="4"/>
        <v>3.207269812</v>
      </c>
      <c r="L283" s="137"/>
      <c r="M283" s="137"/>
    </row>
    <row r="284">
      <c r="A284" s="115">
        <v>283.0</v>
      </c>
      <c r="B284" s="48" t="s">
        <v>591</v>
      </c>
      <c r="C284" s="48" t="s">
        <v>592</v>
      </c>
      <c r="D284" s="75">
        <v>540.0</v>
      </c>
      <c r="E284" s="171">
        <v>690.0</v>
      </c>
      <c r="F284" s="168">
        <f t="shared" si="1"/>
        <v>0.2777777778</v>
      </c>
      <c r="G284" s="62">
        <f t="shared" si="2"/>
        <v>3.406734472</v>
      </c>
      <c r="H284" s="75">
        <v>720.0</v>
      </c>
      <c r="I284" s="169">
        <f t="shared" si="3"/>
        <v>0.3333333333</v>
      </c>
      <c r="J284" s="170">
        <f>IFERROR(__xludf.DUMMYFUNCTION("""COMPUTED_VALUE"""),202.54)</f>
        <v>202.54</v>
      </c>
      <c r="K284" s="137">
        <f t="shared" si="4"/>
        <v>3.554853362</v>
      </c>
      <c r="L284" s="137"/>
      <c r="M284" s="137"/>
    </row>
    <row r="285">
      <c r="A285" s="115">
        <v>284.0</v>
      </c>
      <c r="B285" s="48" t="s">
        <v>593</v>
      </c>
      <c r="C285" s="48" t="s">
        <v>594</v>
      </c>
      <c r="D285" s="75">
        <v>590.0</v>
      </c>
      <c r="E285" s="171">
        <v>670.0</v>
      </c>
      <c r="F285" s="168">
        <f t="shared" si="1"/>
        <v>0.1355932203</v>
      </c>
      <c r="G285" s="62">
        <f t="shared" si="2"/>
        <v>3.080034938</v>
      </c>
      <c r="H285" s="75">
        <v>690.0</v>
      </c>
      <c r="I285" s="169">
        <f t="shared" si="3"/>
        <v>0.1694915254</v>
      </c>
      <c r="J285" s="170">
        <f>IFERROR(__xludf.DUMMYFUNCTION("""COMPUTED_VALUE"""),217.53)</f>
        <v>217.53</v>
      </c>
      <c r="K285" s="137">
        <f t="shared" si="4"/>
        <v>3.171976279</v>
      </c>
      <c r="L285" s="137"/>
      <c r="M285" s="137"/>
    </row>
    <row r="286">
      <c r="A286" s="115">
        <v>285.0</v>
      </c>
      <c r="B286" s="48" t="s">
        <v>596</v>
      </c>
      <c r="C286" s="48" t="s">
        <v>597</v>
      </c>
      <c r="D286" s="75">
        <v>640.0</v>
      </c>
      <c r="E286" s="171">
        <v>990.0</v>
      </c>
      <c r="F286" s="168">
        <f t="shared" si="1"/>
        <v>0.546875</v>
      </c>
      <c r="G286" s="62">
        <f t="shared" si="2"/>
        <v>3.101406598</v>
      </c>
      <c r="H286" s="75">
        <v>1029.6</v>
      </c>
      <c r="I286" s="169">
        <f t="shared" si="3"/>
        <v>0.60875</v>
      </c>
      <c r="J286" s="170">
        <f>IFERROR(__xludf.DUMMYFUNCTION("""COMPUTED_VALUE"""),319.21)</f>
        <v>319.21</v>
      </c>
      <c r="K286" s="137">
        <f t="shared" si="4"/>
        <v>3.225462861</v>
      </c>
      <c r="L286" s="137"/>
      <c r="M286" s="137"/>
    </row>
    <row r="287">
      <c r="A287" s="115">
        <v>286.0</v>
      </c>
      <c r="B287" s="48" t="s">
        <v>598</v>
      </c>
      <c r="C287" s="48" t="s">
        <v>599</v>
      </c>
      <c r="D287" s="75">
        <v>490.0</v>
      </c>
      <c r="E287" s="171">
        <v>590.0</v>
      </c>
      <c r="F287" s="168">
        <f t="shared" si="1"/>
        <v>0.2040816327</v>
      </c>
      <c r="G287" s="62">
        <f t="shared" si="2"/>
        <v>3.543330731</v>
      </c>
      <c r="H287" s="75">
        <v>610.0</v>
      </c>
      <c r="I287" s="169">
        <f t="shared" si="3"/>
        <v>0.2448979592</v>
      </c>
      <c r="J287" s="170">
        <f>IFERROR(__xludf.DUMMYFUNCTION("""COMPUTED_VALUE"""),166.51)</f>
        <v>166.51</v>
      </c>
      <c r="K287" s="137">
        <f t="shared" si="4"/>
        <v>3.663443637</v>
      </c>
      <c r="L287" s="137"/>
      <c r="M287" s="137"/>
    </row>
    <row r="288">
      <c r="A288" s="115">
        <v>287.0</v>
      </c>
      <c r="B288" s="48" t="s">
        <v>600</v>
      </c>
      <c r="C288" s="48" t="s">
        <v>599</v>
      </c>
      <c r="D288" s="75">
        <v>580.0</v>
      </c>
      <c r="E288" s="171">
        <v>670.0</v>
      </c>
      <c r="F288" s="168">
        <f t="shared" si="1"/>
        <v>0.1551724138</v>
      </c>
      <c r="G288" s="62">
        <f t="shared" si="2"/>
        <v>3.648442605</v>
      </c>
      <c r="H288" s="75">
        <v>690.0</v>
      </c>
      <c r="I288" s="169">
        <f t="shared" si="3"/>
        <v>0.1896551724</v>
      </c>
      <c r="J288" s="170">
        <f>IFERROR(__xludf.DUMMYFUNCTION("""COMPUTED_VALUE"""),183.64)</f>
        <v>183.64</v>
      </c>
      <c r="K288" s="137">
        <f t="shared" si="4"/>
        <v>3.75735134</v>
      </c>
      <c r="L288" s="137"/>
      <c r="M288" s="137"/>
    </row>
    <row r="289">
      <c r="A289" s="115">
        <v>288.0</v>
      </c>
      <c r="B289" s="48" t="s">
        <v>58</v>
      </c>
      <c r="C289" s="48" t="s">
        <v>61</v>
      </c>
      <c r="D289" s="75">
        <v>39900.0</v>
      </c>
      <c r="E289" s="167">
        <v>44800.0</v>
      </c>
      <c r="F289" s="168">
        <f t="shared" si="1"/>
        <v>0.1228070175</v>
      </c>
      <c r="G289" s="62">
        <f t="shared" si="2"/>
        <v>3.895652174</v>
      </c>
      <c r="H289" s="75">
        <v>50860.0</v>
      </c>
      <c r="I289" s="169">
        <f t="shared" si="3"/>
        <v>0.2746867168</v>
      </c>
      <c r="J289" s="170">
        <f>IFERROR(__xludf.DUMMYFUNCTION("""COMPUTED_VALUE"""),11500.0)</f>
        <v>11500</v>
      </c>
      <c r="K289" s="137">
        <f t="shared" si="4"/>
        <v>4.422608696</v>
      </c>
      <c r="L289" s="137"/>
      <c r="M289" s="137"/>
    </row>
    <row r="290">
      <c r="A290" s="115">
        <v>289.0</v>
      </c>
      <c r="B290" s="48" t="s">
        <v>99</v>
      </c>
      <c r="C290" s="48" t="s">
        <v>102</v>
      </c>
      <c r="D290" s="75">
        <v>49900.0</v>
      </c>
      <c r="E290" s="167">
        <v>54800.0</v>
      </c>
      <c r="F290" s="168">
        <f t="shared" si="1"/>
        <v>0.09819639279</v>
      </c>
      <c r="G290" s="62">
        <f t="shared" si="2"/>
        <v>3.914285714</v>
      </c>
      <c r="H290" s="75">
        <v>61260.0</v>
      </c>
      <c r="I290" s="169">
        <f t="shared" si="3"/>
        <v>0.2276553106</v>
      </c>
      <c r="J290" s="170">
        <f>IFERROR(__xludf.DUMMYFUNCTION("""COMPUTED_VALUE"""),14000.0)</f>
        <v>14000</v>
      </c>
      <c r="K290" s="137">
        <f t="shared" si="4"/>
        <v>4.375714286</v>
      </c>
      <c r="L290" s="137"/>
      <c r="M290" s="137"/>
    </row>
    <row r="291">
      <c r="A291" s="115">
        <v>290.0</v>
      </c>
      <c r="B291" s="48" t="s">
        <v>126</v>
      </c>
      <c r="C291" s="48" t="s">
        <v>128</v>
      </c>
      <c r="D291" s="75">
        <v>55900.0</v>
      </c>
      <c r="E291" s="167">
        <v>59800.0</v>
      </c>
      <c r="F291" s="168">
        <f t="shared" si="1"/>
        <v>0.06976744186</v>
      </c>
      <c r="G291" s="62">
        <f t="shared" si="2"/>
        <v>3.7375</v>
      </c>
      <c r="H291" s="75">
        <v>67490.0</v>
      </c>
      <c r="I291" s="169">
        <f t="shared" si="3"/>
        <v>0.2073345259</v>
      </c>
      <c r="J291" s="170">
        <f>IFERROR(__xludf.DUMMYFUNCTION("""COMPUTED_VALUE"""),16000.0)</f>
        <v>16000</v>
      </c>
      <c r="K291" s="137">
        <f t="shared" si="4"/>
        <v>4.218125</v>
      </c>
      <c r="L291" s="137"/>
      <c r="M291" s="137"/>
    </row>
    <row r="292">
      <c r="A292" s="115">
        <v>291.0</v>
      </c>
      <c r="B292" s="48" t="s">
        <v>143</v>
      </c>
      <c r="C292" s="48" t="s">
        <v>145</v>
      </c>
      <c r="D292" s="75">
        <v>64900.0</v>
      </c>
      <c r="E292" s="167">
        <v>69800.0</v>
      </c>
      <c r="F292" s="168">
        <f t="shared" si="1"/>
        <v>0.07550077042</v>
      </c>
      <c r="G292" s="62">
        <f t="shared" si="2"/>
        <v>3.877777778</v>
      </c>
      <c r="H292" s="75">
        <v>77890.0</v>
      </c>
      <c r="I292" s="169">
        <f t="shared" si="3"/>
        <v>0.2001540832</v>
      </c>
      <c r="J292" s="170">
        <f>IFERROR(__xludf.DUMMYFUNCTION("""COMPUTED_VALUE"""),18000.0)</f>
        <v>18000</v>
      </c>
      <c r="K292" s="137">
        <f t="shared" si="4"/>
        <v>4.327222222</v>
      </c>
      <c r="L292" s="137"/>
      <c r="M292" s="137"/>
    </row>
    <row r="293">
      <c r="A293" s="115">
        <v>292.0</v>
      </c>
      <c r="B293" s="48" t="s">
        <v>166</v>
      </c>
      <c r="C293" s="48" t="s">
        <v>168</v>
      </c>
      <c r="D293" s="75">
        <v>54900.0</v>
      </c>
      <c r="E293" s="171">
        <v>59900.0</v>
      </c>
      <c r="F293" s="168">
        <f t="shared" si="1"/>
        <v>0.09107468124</v>
      </c>
      <c r="G293" s="62">
        <f t="shared" si="2"/>
        <v>3.74375</v>
      </c>
      <c r="H293" s="75">
        <v>62290.0</v>
      </c>
      <c r="I293" s="169">
        <f t="shared" si="3"/>
        <v>0.1346083789</v>
      </c>
      <c r="J293" s="170">
        <f>IFERROR(__xludf.DUMMYFUNCTION("""COMPUTED_VALUE"""),16000.0)</f>
        <v>16000</v>
      </c>
      <c r="K293" s="137">
        <f t="shared" si="4"/>
        <v>3.893125</v>
      </c>
      <c r="L293" s="137"/>
      <c r="M293" s="137"/>
    </row>
    <row r="294">
      <c r="A294" s="28"/>
      <c r="B294" s="122"/>
      <c r="C294" s="122"/>
      <c r="D294" s="28"/>
      <c r="E294" s="174"/>
      <c r="F294" s="28"/>
      <c r="G294" s="28"/>
      <c r="H294" s="28"/>
      <c r="I294" s="28"/>
      <c r="J294" s="28"/>
      <c r="K294" s="175"/>
      <c r="L294" s="175"/>
      <c r="M294" s="175"/>
    </row>
    <row r="295">
      <c r="A295" s="28"/>
      <c r="B295" s="122"/>
      <c r="C295" s="122"/>
      <c r="D295" s="28"/>
      <c r="E295" s="174"/>
      <c r="F295" s="28"/>
      <c r="G295" s="28"/>
      <c r="H295" s="28"/>
      <c r="I295" s="28"/>
      <c r="J295" s="28"/>
      <c r="K295" s="175"/>
      <c r="L295" s="175"/>
      <c r="M295" s="175"/>
    </row>
    <row r="296">
      <c r="A296" s="28"/>
      <c r="B296" s="122"/>
      <c r="C296" s="122"/>
      <c r="D296" s="28"/>
      <c r="E296" s="174"/>
      <c r="F296" s="28"/>
      <c r="G296" s="28"/>
      <c r="H296" s="28"/>
      <c r="I296" s="28"/>
      <c r="J296" s="28"/>
      <c r="K296" s="175"/>
      <c r="L296" s="175"/>
      <c r="M296" s="175"/>
    </row>
    <row r="297">
      <c r="A297" s="28"/>
      <c r="B297" s="122"/>
      <c r="C297" s="122"/>
      <c r="D297" s="28"/>
      <c r="E297" s="174"/>
      <c r="F297" s="28"/>
      <c r="G297" s="28"/>
      <c r="H297" s="28"/>
      <c r="I297" s="28"/>
      <c r="J297" s="28"/>
      <c r="K297" s="175"/>
      <c r="L297" s="175"/>
      <c r="M297" s="175"/>
    </row>
    <row r="298">
      <c r="A298" s="28"/>
      <c r="B298" s="122"/>
      <c r="C298" s="122"/>
      <c r="D298" s="28"/>
      <c r="E298" s="174"/>
      <c r="F298" s="28"/>
      <c r="G298" s="28"/>
      <c r="H298" s="28"/>
      <c r="I298" s="28"/>
      <c r="J298" s="28"/>
      <c r="K298" s="175"/>
      <c r="L298" s="175"/>
      <c r="M298" s="175"/>
    </row>
    <row r="299">
      <c r="A299" s="28"/>
      <c r="B299" s="122"/>
      <c r="C299" s="122"/>
      <c r="D299" s="28"/>
      <c r="E299" s="174"/>
      <c r="F299" s="28"/>
      <c r="G299" s="28"/>
      <c r="H299" s="28"/>
      <c r="I299" s="28"/>
      <c r="J299" s="28"/>
      <c r="K299" s="175"/>
      <c r="L299" s="175"/>
      <c r="M299" s="175"/>
    </row>
    <row r="300">
      <c r="A300" s="28"/>
      <c r="B300" s="122"/>
      <c r="C300" s="122"/>
      <c r="D300" s="28"/>
      <c r="E300" s="174"/>
      <c r="F300" s="28"/>
      <c r="G300" s="28"/>
      <c r="H300" s="28"/>
      <c r="I300" s="28"/>
      <c r="J300" s="28"/>
      <c r="K300" s="175"/>
      <c r="L300" s="175"/>
      <c r="M300" s="175"/>
    </row>
    <row r="301">
      <c r="A301" s="28"/>
      <c r="B301" s="122"/>
      <c r="C301" s="122"/>
      <c r="D301" s="28"/>
      <c r="E301" s="174"/>
      <c r="F301" s="28"/>
      <c r="G301" s="28"/>
      <c r="H301" s="28"/>
      <c r="I301" s="28"/>
      <c r="J301" s="28"/>
      <c r="K301" s="175"/>
      <c r="L301" s="175"/>
      <c r="M301" s="175"/>
    </row>
    <row r="302">
      <c r="A302" s="28"/>
      <c r="B302" s="122"/>
      <c r="C302" s="122"/>
      <c r="D302" s="28"/>
      <c r="E302" s="174"/>
      <c r="F302" s="28"/>
      <c r="G302" s="28"/>
      <c r="H302" s="28"/>
      <c r="I302" s="28"/>
      <c r="J302" s="28"/>
      <c r="K302" s="175"/>
      <c r="L302" s="175"/>
      <c r="M302" s="175"/>
    </row>
    <row r="303">
      <c r="A303" s="28"/>
      <c r="B303" s="122"/>
      <c r="C303" s="122"/>
      <c r="D303" s="28"/>
      <c r="E303" s="174"/>
      <c r="F303" s="28"/>
      <c r="G303" s="28"/>
      <c r="H303" s="28"/>
      <c r="I303" s="28"/>
      <c r="J303" s="28"/>
      <c r="K303" s="175"/>
      <c r="L303" s="175"/>
      <c r="M303" s="175"/>
    </row>
    <row r="304">
      <c r="A304" s="28"/>
      <c r="B304" s="122"/>
      <c r="C304" s="122"/>
      <c r="D304" s="28"/>
      <c r="E304" s="174"/>
      <c r="F304" s="28"/>
      <c r="G304" s="28"/>
      <c r="H304" s="28"/>
      <c r="I304" s="28"/>
      <c r="J304" s="28"/>
      <c r="K304" s="175"/>
      <c r="L304" s="175"/>
      <c r="M304" s="175"/>
    </row>
    <row r="305">
      <c r="A305" s="28"/>
      <c r="B305" s="122"/>
      <c r="C305" s="122"/>
      <c r="D305" s="28"/>
      <c r="E305" s="174"/>
      <c r="F305" s="28"/>
      <c r="G305" s="28"/>
      <c r="H305" s="28"/>
      <c r="I305" s="28"/>
      <c r="J305" s="28"/>
      <c r="K305" s="175"/>
      <c r="L305" s="175"/>
      <c r="M305" s="175"/>
    </row>
    <row r="306">
      <c r="A306" s="28"/>
      <c r="B306" s="122"/>
      <c r="C306" s="122"/>
      <c r="D306" s="28"/>
      <c r="E306" s="174"/>
      <c r="F306" s="28"/>
      <c r="G306" s="28"/>
      <c r="H306" s="28"/>
      <c r="I306" s="28"/>
      <c r="J306" s="28"/>
      <c r="K306" s="175"/>
      <c r="L306" s="175"/>
      <c r="M306" s="175"/>
    </row>
    <row r="307">
      <c r="A307" s="28"/>
      <c r="B307" s="122"/>
      <c r="C307" s="122"/>
      <c r="D307" s="28"/>
      <c r="E307" s="174"/>
      <c r="F307" s="28"/>
      <c r="G307" s="28"/>
      <c r="H307" s="28"/>
      <c r="I307" s="28"/>
      <c r="J307" s="28"/>
      <c r="K307" s="175"/>
      <c r="L307" s="175"/>
      <c r="M307" s="175"/>
    </row>
    <row r="308">
      <c r="A308" s="28"/>
      <c r="B308" s="122"/>
      <c r="C308" s="122"/>
      <c r="D308" s="28"/>
      <c r="E308" s="174"/>
      <c r="F308" s="28"/>
      <c r="G308" s="28"/>
      <c r="H308" s="28"/>
      <c r="I308" s="28"/>
      <c r="J308" s="28"/>
      <c r="K308" s="175"/>
      <c r="L308" s="175"/>
      <c r="M308" s="175"/>
    </row>
    <row r="309">
      <c r="A309" s="28"/>
      <c r="B309" s="122"/>
      <c r="C309" s="122"/>
      <c r="D309" s="28"/>
      <c r="E309" s="174"/>
      <c r="F309" s="28"/>
      <c r="G309" s="28"/>
      <c r="H309" s="28"/>
      <c r="I309" s="28"/>
      <c r="J309" s="28"/>
      <c r="K309" s="175"/>
      <c r="L309" s="175"/>
      <c r="M309" s="175"/>
    </row>
    <row r="310">
      <c r="A310" s="28"/>
      <c r="B310" s="122"/>
      <c r="C310" s="122"/>
      <c r="D310" s="28"/>
      <c r="E310" s="174"/>
      <c r="F310" s="28"/>
      <c r="G310" s="28"/>
      <c r="H310" s="28"/>
      <c r="I310" s="28"/>
      <c r="J310" s="28"/>
      <c r="K310" s="175"/>
      <c r="L310" s="175"/>
      <c r="M310" s="175"/>
    </row>
    <row r="311">
      <c r="A311" s="28"/>
      <c r="B311" s="122"/>
      <c r="C311" s="122"/>
      <c r="D311" s="28"/>
      <c r="E311" s="174"/>
      <c r="F311" s="28"/>
      <c r="G311" s="28"/>
      <c r="H311" s="28"/>
      <c r="I311" s="28"/>
      <c r="J311" s="28"/>
      <c r="K311" s="175"/>
      <c r="L311" s="175"/>
      <c r="M311" s="175"/>
    </row>
    <row r="312">
      <c r="A312" s="28"/>
      <c r="B312" s="122"/>
      <c r="C312" s="122"/>
      <c r="D312" s="28"/>
      <c r="E312" s="174"/>
      <c r="F312" s="28"/>
      <c r="G312" s="28"/>
      <c r="H312" s="28"/>
      <c r="I312" s="28"/>
      <c r="J312" s="28"/>
      <c r="K312" s="175"/>
      <c r="L312" s="175"/>
      <c r="M312" s="175"/>
    </row>
    <row r="313">
      <c r="A313" s="28"/>
      <c r="B313" s="122"/>
      <c r="C313" s="122"/>
      <c r="D313" s="28"/>
      <c r="E313" s="174"/>
      <c r="F313" s="28"/>
      <c r="G313" s="28"/>
      <c r="H313" s="28"/>
      <c r="I313" s="28"/>
      <c r="J313" s="28"/>
      <c r="K313" s="175"/>
      <c r="L313" s="175"/>
      <c r="M313" s="175"/>
    </row>
    <row r="314">
      <c r="A314" s="28"/>
      <c r="B314" s="122"/>
      <c r="C314" s="122"/>
      <c r="D314" s="28"/>
      <c r="E314" s="174"/>
      <c r="F314" s="28"/>
      <c r="G314" s="28"/>
      <c r="H314" s="28"/>
      <c r="I314" s="28"/>
      <c r="J314" s="28"/>
      <c r="K314" s="175"/>
      <c r="L314" s="175"/>
      <c r="M314" s="175"/>
    </row>
    <row r="315">
      <c r="A315" s="28"/>
      <c r="B315" s="122"/>
      <c r="C315" s="122"/>
      <c r="D315" s="28"/>
      <c r="E315" s="174"/>
      <c r="F315" s="28"/>
      <c r="G315" s="28"/>
      <c r="H315" s="28"/>
      <c r="I315" s="28"/>
      <c r="J315" s="28"/>
      <c r="K315" s="175"/>
      <c r="L315" s="175"/>
      <c r="M315" s="175"/>
    </row>
    <row r="316">
      <c r="A316" s="28"/>
      <c r="B316" s="122"/>
      <c r="C316" s="122"/>
      <c r="D316" s="28"/>
      <c r="E316" s="174"/>
      <c r="F316" s="28"/>
      <c r="G316" s="28"/>
      <c r="H316" s="28"/>
      <c r="I316" s="28"/>
      <c r="J316" s="28"/>
      <c r="K316" s="175"/>
      <c r="L316" s="175"/>
      <c r="M316" s="175"/>
    </row>
    <row r="317">
      <c r="A317" s="28"/>
      <c r="B317" s="122"/>
      <c r="C317" s="122"/>
      <c r="D317" s="28"/>
      <c r="E317" s="174"/>
      <c r="F317" s="28"/>
      <c r="G317" s="28"/>
      <c r="H317" s="28"/>
      <c r="I317" s="28"/>
      <c r="J317" s="28"/>
      <c r="K317" s="175"/>
      <c r="L317" s="175"/>
      <c r="M317" s="175"/>
    </row>
    <row r="318">
      <c r="A318" s="28"/>
      <c r="B318" s="122"/>
      <c r="C318" s="122"/>
      <c r="D318" s="28"/>
      <c r="E318" s="174"/>
      <c r="F318" s="28"/>
      <c r="G318" s="28"/>
      <c r="H318" s="28"/>
      <c r="I318" s="28"/>
      <c r="J318" s="28"/>
      <c r="K318" s="175"/>
      <c r="L318" s="175"/>
      <c r="M318" s="175"/>
    </row>
    <row r="319">
      <c r="A319" s="28"/>
      <c r="B319" s="122"/>
      <c r="C319" s="122"/>
      <c r="D319" s="28"/>
      <c r="E319" s="174"/>
      <c r="F319" s="28"/>
      <c r="G319" s="28"/>
      <c r="H319" s="28"/>
      <c r="I319" s="28"/>
      <c r="J319" s="28"/>
      <c r="K319" s="175"/>
      <c r="L319" s="175"/>
      <c r="M319" s="175"/>
    </row>
    <row r="320">
      <c r="A320" s="28"/>
      <c r="B320" s="122"/>
      <c r="C320" s="122"/>
      <c r="D320" s="28"/>
      <c r="E320" s="174"/>
      <c r="F320" s="28"/>
      <c r="G320" s="28"/>
      <c r="H320" s="28"/>
      <c r="I320" s="28"/>
      <c r="J320" s="28"/>
      <c r="K320" s="175"/>
      <c r="L320" s="175"/>
      <c r="M320" s="175"/>
    </row>
    <row r="321">
      <c r="A321" s="28"/>
      <c r="B321" s="122"/>
      <c r="C321" s="122"/>
      <c r="D321" s="28"/>
      <c r="E321" s="174"/>
      <c r="F321" s="28"/>
      <c r="G321" s="28"/>
      <c r="H321" s="28"/>
      <c r="I321" s="28"/>
      <c r="J321" s="28"/>
      <c r="K321" s="175"/>
      <c r="L321" s="175"/>
      <c r="M321" s="175"/>
    </row>
    <row r="322">
      <c r="A322" s="28"/>
      <c r="B322" s="122"/>
      <c r="C322" s="122"/>
      <c r="D322" s="28"/>
      <c r="E322" s="174"/>
      <c r="F322" s="28"/>
      <c r="G322" s="28"/>
      <c r="H322" s="28"/>
      <c r="I322" s="28"/>
      <c r="J322" s="28"/>
      <c r="K322" s="175"/>
      <c r="L322" s="175"/>
      <c r="M322" s="175"/>
    </row>
    <row r="323">
      <c r="A323" s="28"/>
      <c r="B323" s="122"/>
      <c r="C323" s="122"/>
      <c r="D323" s="28"/>
      <c r="E323" s="174"/>
      <c r="F323" s="28"/>
      <c r="G323" s="28"/>
      <c r="H323" s="28"/>
      <c r="I323" s="28"/>
      <c r="J323" s="28"/>
      <c r="K323" s="175"/>
      <c r="L323" s="175"/>
      <c r="M323" s="175"/>
    </row>
    <row r="324">
      <c r="A324" s="28"/>
      <c r="B324" s="122"/>
      <c r="C324" s="122"/>
      <c r="D324" s="28"/>
      <c r="E324" s="174"/>
      <c r="F324" s="28"/>
      <c r="G324" s="28"/>
      <c r="H324" s="28"/>
      <c r="I324" s="28"/>
      <c r="J324" s="28"/>
      <c r="K324" s="175"/>
      <c r="L324" s="175"/>
      <c r="M324" s="175"/>
    </row>
    <row r="325">
      <c r="A325" s="28"/>
      <c r="B325" s="122"/>
      <c r="C325" s="122"/>
      <c r="D325" s="28"/>
      <c r="E325" s="174"/>
      <c r="F325" s="28"/>
      <c r="G325" s="28"/>
      <c r="H325" s="28"/>
      <c r="I325" s="28"/>
      <c r="J325" s="28"/>
      <c r="K325" s="175"/>
      <c r="L325" s="175"/>
      <c r="M325" s="175"/>
    </row>
    <row r="326">
      <c r="A326" s="28"/>
      <c r="B326" s="122"/>
      <c r="C326" s="122"/>
      <c r="D326" s="28"/>
      <c r="E326" s="174"/>
      <c r="F326" s="28"/>
      <c r="G326" s="28"/>
      <c r="H326" s="28"/>
      <c r="I326" s="28"/>
      <c r="J326" s="28"/>
      <c r="K326" s="175"/>
      <c r="L326" s="175"/>
      <c r="M326" s="175"/>
    </row>
    <row r="327">
      <c r="A327" s="28"/>
      <c r="B327" s="122"/>
      <c r="C327" s="122"/>
      <c r="D327" s="28"/>
      <c r="E327" s="174"/>
      <c r="F327" s="28"/>
      <c r="G327" s="28"/>
      <c r="H327" s="28"/>
      <c r="I327" s="28"/>
      <c r="J327" s="28"/>
      <c r="K327" s="175"/>
      <c r="L327" s="175"/>
      <c r="M327" s="175"/>
    </row>
    <row r="328">
      <c r="A328" s="28"/>
      <c r="B328" s="122"/>
      <c r="C328" s="122"/>
      <c r="D328" s="28"/>
      <c r="E328" s="174"/>
      <c r="F328" s="28"/>
      <c r="G328" s="28"/>
      <c r="H328" s="28"/>
      <c r="I328" s="28"/>
      <c r="J328" s="28"/>
      <c r="K328" s="175"/>
      <c r="L328" s="175"/>
      <c r="M328" s="175"/>
    </row>
    <row r="329">
      <c r="A329" s="28"/>
      <c r="B329" s="122"/>
      <c r="C329" s="122"/>
      <c r="D329" s="28"/>
      <c r="E329" s="174"/>
      <c r="F329" s="28"/>
      <c r="G329" s="28"/>
      <c r="H329" s="28"/>
      <c r="I329" s="28"/>
      <c r="J329" s="28"/>
      <c r="K329" s="175"/>
      <c r="L329" s="175"/>
      <c r="M329" s="175"/>
    </row>
    <row r="330">
      <c r="A330" s="28"/>
      <c r="B330" s="122"/>
      <c r="C330" s="122"/>
      <c r="D330" s="28"/>
      <c r="E330" s="174"/>
      <c r="F330" s="28"/>
      <c r="G330" s="28"/>
      <c r="H330" s="28"/>
      <c r="I330" s="28"/>
      <c r="J330" s="28"/>
      <c r="K330" s="175"/>
      <c r="L330" s="175"/>
      <c r="M330" s="175"/>
    </row>
    <row r="331">
      <c r="A331" s="28"/>
      <c r="B331" s="122"/>
      <c r="C331" s="122"/>
      <c r="D331" s="28"/>
      <c r="E331" s="174"/>
      <c r="F331" s="28"/>
      <c r="G331" s="28"/>
      <c r="H331" s="28"/>
      <c r="I331" s="28"/>
      <c r="J331" s="28"/>
      <c r="K331" s="175"/>
      <c r="L331" s="175"/>
      <c r="M331" s="175"/>
    </row>
    <row r="332">
      <c r="A332" s="28"/>
      <c r="B332" s="122"/>
      <c r="C332" s="122"/>
      <c r="D332" s="28"/>
      <c r="E332" s="174"/>
      <c r="F332" s="28"/>
      <c r="G332" s="28"/>
      <c r="H332" s="28"/>
      <c r="I332" s="28"/>
      <c r="J332" s="28"/>
      <c r="K332" s="175"/>
      <c r="L332" s="175"/>
      <c r="M332" s="175"/>
    </row>
    <row r="333">
      <c r="A333" s="28"/>
      <c r="B333" s="122"/>
      <c r="C333" s="122"/>
      <c r="D333" s="28"/>
      <c r="E333" s="174"/>
      <c r="F333" s="28"/>
      <c r="G333" s="28"/>
      <c r="H333" s="28"/>
      <c r="I333" s="28"/>
      <c r="J333" s="28"/>
      <c r="K333" s="175"/>
      <c r="L333" s="175"/>
      <c r="M333" s="175"/>
    </row>
    <row r="334">
      <c r="A334" s="28"/>
      <c r="B334" s="122"/>
      <c r="C334" s="122"/>
      <c r="D334" s="28"/>
      <c r="E334" s="174"/>
      <c r="F334" s="28"/>
      <c r="G334" s="28"/>
      <c r="H334" s="28"/>
      <c r="I334" s="28"/>
      <c r="J334" s="28"/>
      <c r="K334" s="175"/>
      <c r="L334" s="175"/>
      <c r="M334" s="175"/>
    </row>
    <row r="335">
      <c r="A335" s="28"/>
      <c r="B335" s="122"/>
      <c r="C335" s="122"/>
      <c r="D335" s="28"/>
      <c r="E335" s="174"/>
      <c r="F335" s="28"/>
      <c r="G335" s="28"/>
      <c r="H335" s="28"/>
      <c r="I335" s="28"/>
      <c r="J335" s="28"/>
      <c r="K335" s="175"/>
      <c r="L335" s="175"/>
      <c r="M335" s="175"/>
    </row>
    <row r="336">
      <c r="A336" s="28"/>
      <c r="B336" s="122"/>
      <c r="C336" s="122"/>
      <c r="D336" s="28"/>
      <c r="E336" s="174"/>
      <c r="F336" s="28"/>
      <c r="G336" s="28"/>
      <c r="H336" s="28"/>
      <c r="I336" s="28"/>
      <c r="J336" s="28"/>
      <c r="K336" s="175"/>
      <c r="L336" s="175"/>
      <c r="M336" s="175"/>
    </row>
    <row r="337">
      <c r="A337" s="28"/>
      <c r="B337" s="122"/>
      <c r="C337" s="122"/>
      <c r="D337" s="28"/>
      <c r="E337" s="174"/>
      <c r="F337" s="28"/>
      <c r="G337" s="28"/>
      <c r="H337" s="28"/>
      <c r="I337" s="28"/>
      <c r="J337" s="28"/>
      <c r="K337" s="175"/>
      <c r="L337" s="175"/>
      <c r="M337" s="175"/>
    </row>
    <row r="338">
      <c r="A338" s="28"/>
      <c r="B338" s="122"/>
      <c r="C338" s="122"/>
      <c r="D338" s="28"/>
      <c r="E338" s="174"/>
      <c r="F338" s="28"/>
      <c r="G338" s="28"/>
      <c r="H338" s="28"/>
      <c r="I338" s="28"/>
      <c r="J338" s="28"/>
      <c r="K338" s="175"/>
      <c r="L338" s="175"/>
      <c r="M338" s="175"/>
    </row>
    <row r="339">
      <c r="A339" s="28"/>
      <c r="B339" s="122"/>
      <c r="C339" s="122"/>
      <c r="D339" s="28"/>
      <c r="E339" s="174"/>
      <c r="F339" s="28"/>
      <c r="G339" s="28"/>
      <c r="H339" s="28"/>
      <c r="I339" s="28"/>
      <c r="J339" s="28"/>
      <c r="K339" s="175"/>
      <c r="L339" s="175"/>
      <c r="M339" s="175"/>
    </row>
    <row r="340">
      <c r="A340" s="28"/>
      <c r="B340" s="122"/>
      <c r="C340" s="122"/>
      <c r="D340" s="28"/>
      <c r="E340" s="174"/>
      <c r="F340" s="28"/>
      <c r="G340" s="28"/>
      <c r="H340" s="28"/>
      <c r="I340" s="28"/>
      <c r="J340" s="28"/>
      <c r="K340" s="175"/>
      <c r="L340" s="175"/>
      <c r="M340" s="175"/>
    </row>
    <row r="341">
      <c r="A341" s="28"/>
      <c r="B341" s="122"/>
      <c r="C341" s="122"/>
      <c r="D341" s="28"/>
      <c r="E341" s="174"/>
      <c r="F341" s="28"/>
      <c r="G341" s="28"/>
      <c r="H341" s="28"/>
      <c r="I341" s="28"/>
      <c r="J341" s="28"/>
      <c r="K341" s="175"/>
      <c r="L341" s="175"/>
      <c r="M341" s="175"/>
    </row>
    <row r="342">
      <c r="A342" s="28"/>
      <c r="B342" s="122"/>
      <c r="C342" s="122"/>
      <c r="D342" s="28"/>
      <c r="E342" s="174"/>
      <c r="F342" s="28"/>
      <c r="G342" s="28"/>
      <c r="H342" s="28"/>
      <c r="I342" s="28"/>
      <c r="J342" s="28"/>
      <c r="K342" s="175"/>
      <c r="L342" s="175"/>
      <c r="M342" s="175"/>
    </row>
    <row r="343">
      <c r="A343" s="28"/>
      <c r="B343" s="122"/>
      <c r="C343" s="122"/>
      <c r="D343" s="28"/>
      <c r="E343" s="174"/>
      <c r="F343" s="28"/>
      <c r="G343" s="28"/>
      <c r="H343" s="28"/>
      <c r="I343" s="28"/>
      <c r="J343" s="28"/>
      <c r="K343" s="175"/>
      <c r="L343" s="175"/>
      <c r="M343" s="175"/>
    </row>
    <row r="344">
      <c r="A344" s="28"/>
      <c r="B344" s="122"/>
      <c r="C344" s="122"/>
      <c r="D344" s="28"/>
      <c r="E344" s="174"/>
      <c r="F344" s="28"/>
      <c r="G344" s="28"/>
      <c r="H344" s="28"/>
      <c r="I344" s="28"/>
      <c r="J344" s="28"/>
      <c r="K344" s="175"/>
      <c r="L344" s="175"/>
      <c r="M344" s="175"/>
    </row>
    <row r="345">
      <c r="A345" s="28"/>
      <c r="B345" s="122"/>
      <c r="C345" s="122"/>
      <c r="D345" s="28"/>
      <c r="E345" s="174"/>
      <c r="F345" s="28"/>
      <c r="G345" s="28"/>
      <c r="H345" s="28"/>
      <c r="I345" s="28"/>
      <c r="J345" s="28"/>
      <c r="K345" s="175"/>
      <c r="L345" s="175"/>
      <c r="M345" s="175"/>
    </row>
    <row r="346">
      <c r="A346" s="28"/>
      <c r="B346" s="122"/>
      <c r="C346" s="122"/>
      <c r="D346" s="28"/>
      <c r="E346" s="174"/>
      <c r="F346" s="28"/>
      <c r="G346" s="28"/>
      <c r="H346" s="28"/>
      <c r="I346" s="28"/>
      <c r="J346" s="28"/>
      <c r="K346" s="175"/>
      <c r="L346" s="175"/>
      <c r="M346" s="175"/>
    </row>
    <row r="347">
      <c r="A347" s="28"/>
      <c r="B347" s="122"/>
      <c r="C347" s="122"/>
      <c r="D347" s="28"/>
      <c r="E347" s="174"/>
      <c r="F347" s="28"/>
      <c r="G347" s="28"/>
      <c r="H347" s="28"/>
      <c r="I347" s="28"/>
      <c r="J347" s="28"/>
      <c r="K347" s="175"/>
      <c r="L347" s="175"/>
      <c r="M347" s="175"/>
    </row>
    <row r="348">
      <c r="A348" s="28"/>
      <c r="B348" s="122"/>
      <c r="C348" s="122"/>
      <c r="D348" s="28"/>
      <c r="E348" s="174"/>
      <c r="F348" s="28"/>
      <c r="G348" s="28"/>
      <c r="H348" s="28"/>
      <c r="I348" s="28"/>
      <c r="J348" s="28"/>
      <c r="K348" s="175"/>
      <c r="L348" s="175"/>
      <c r="M348" s="175"/>
    </row>
    <row r="349">
      <c r="A349" s="28"/>
      <c r="B349" s="122"/>
      <c r="C349" s="122"/>
      <c r="D349" s="28"/>
      <c r="E349" s="174"/>
      <c r="F349" s="28"/>
      <c r="G349" s="28"/>
      <c r="H349" s="28"/>
      <c r="I349" s="28"/>
      <c r="J349" s="28"/>
      <c r="K349" s="175"/>
      <c r="L349" s="175"/>
      <c r="M349" s="175"/>
    </row>
    <row r="350">
      <c r="A350" s="28"/>
      <c r="B350" s="122"/>
      <c r="C350" s="122"/>
      <c r="D350" s="28"/>
      <c r="E350" s="174"/>
      <c r="F350" s="28"/>
      <c r="G350" s="28"/>
      <c r="H350" s="28"/>
      <c r="I350" s="28"/>
      <c r="J350" s="28"/>
      <c r="K350" s="175"/>
      <c r="L350" s="175"/>
      <c r="M350" s="175"/>
    </row>
    <row r="351">
      <c r="A351" s="28"/>
      <c r="B351" s="122"/>
      <c r="C351" s="122"/>
      <c r="D351" s="28"/>
      <c r="E351" s="174"/>
      <c r="F351" s="28"/>
      <c r="G351" s="28"/>
      <c r="H351" s="28"/>
      <c r="I351" s="28"/>
      <c r="J351" s="28"/>
      <c r="K351" s="175"/>
      <c r="L351" s="175"/>
      <c r="M351" s="175"/>
    </row>
    <row r="352">
      <c r="A352" s="28"/>
      <c r="B352" s="122"/>
      <c r="C352" s="122"/>
      <c r="D352" s="28"/>
      <c r="E352" s="174"/>
      <c r="F352" s="28"/>
      <c r="G352" s="28"/>
      <c r="H352" s="28"/>
      <c r="I352" s="28"/>
      <c r="J352" s="28"/>
      <c r="K352" s="175"/>
      <c r="L352" s="175"/>
      <c r="M352" s="175"/>
    </row>
    <row r="353">
      <c r="A353" s="28"/>
      <c r="B353" s="122"/>
      <c r="C353" s="122"/>
      <c r="D353" s="28"/>
      <c r="E353" s="174"/>
      <c r="F353" s="28"/>
      <c r="G353" s="28"/>
      <c r="H353" s="28"/>
      <c r="I353" s="28"/>
      <c r="J353" s="28"/>
      <c r="K353" s="175"/>
      <c r="L353" s="175"/>
      <c r="M353" s="175"/>
    </row>
    <row r="354">
      <c r="A354" s="28"/>
      <c r="B354" s="122"/>
      <c r="C354" s="122"/>
      <c r="D354" s="28"/>
      <c r="E354" s="174"/>
      <c r="F354" s="28"/>
      <c r="G354" s="28"/>
      <c r="H354" s="28"/>
      <c r="I354" s="28"/>
      <c r="J354" s="28"/>
      <c r="K354" s="175"/>
      <c r="L354" s="175"/>
      <c r="M354" s="175"/>
    </row>
    <row r="355">
      <c r="A355" s="28"/>
      <c r="B355" s="122"/>
      <c r="C355" s="122"/>
      <c r="D355" s="28"/>
      <c r="E355" s="174"/>
      <c r="F355" s="28"/>
      <c r="G355" s="28"/>
      <c r="H355" s="28"/>
      <c r="I355" s="28"/>
      <c r="J355" s="28"/>
      <c r="K355" s="175"/>
      <c r="L355" s="175"/>
      <c r="M355" s="175"/>
    </row>
    <row r="356">
      <c r="A356" s="28"/>
      <c r="B356" s="122"/>
      <c r="C356" s="122"/>
      <c r="D356" s="28"/>
      <c r="E356" s="174"/>
      <c r="F356" s="28"/>
      <c r="G356" s="28"/>
      <c r="H356" s="28"/>
      <c r="I356" s="28"/>
      <c r="J356" s="28"/>
      <c r="K356" s="175"/>
      <c r="L356" s="175"/>
      <c r="M356" s="175"/>
    </row>
    <row r="357">
      <c r="A357" s="28"/>
      <c r="B357" s="122"/>
      <c r="C357" s="122"/>
      <c r="D357" s="28"/>
      <c r="E357" s="174"/>
      <c r="F357" s="28"/>
      <c r="G357" s="28"/>
      <c r="H357" s="28"/>
      <c r="I357" s="28"/>
      <c r="J357" s="28"/>
      <c r="K357" s="175"/>
      <c r="L357" s="175"/>
      <c r="M357" s="175"/>
    </row>
    <row r="358">
      <c r="A358" s="28"/>
      <c r="B358" s="122"/>
      <c r="C358" s="122"/>
      <c r="D358" s="28"/>
      <c r="E358" s="174"/>
      <c r="F358" s="28"/>
      <c r="G358" s="28"/>
      <c r="H358" s="28"/>
      <c r="I358" s="28"/>
      <c r="J358" s="28"/>
      <c r="K358" s="175"/>
      <c r="L358" s="175"/>
      <c r="M358" s="175"/>
    </row>
    <row r="359">
      <c r="A359" s="28"/>
      <c r="B359" s="122"/>
      <c r="C359" s="122"/>
      <c r="D359" s="28"/>
      <c r="E359" s="174"/>
      <c r="F359" s="28"/>
      <c r="G359" s="28"/>
      <c r="H359" s="28"/>
      <c r="I359" s="28"/>
      <c r="J359" s="28"/>
      <c r="K359" s="175"/>
      <c r="L359" s="175"/>
      <c r="M359" s="175"/>
    </row>
    <row r="360">
      <c r="A360" s="28"/>
      <c r="B360" s="122"/>
      <c r="C360" s="122"/>
      <c r="D360" s="28"/>
      <c r="E360" s="174"/>
      <c r="F360" s="28"/>
      <c r="G360" s="28"/>
      <c r="H360" s="28"/>
      <c r="I360" s="28"/>
      <c r="J360" s="28"/>
      <c r="K360" s="175"/>
      <c r="L360" s="175"/>
      <c r="M360" s="175"/>
    </row>
    <row r="361">
      <c r="A361" s="28"/>
      <c r="B361" s="122"/>
      <c r="C361" s="122"/>
      <c r="D361" s="28"/>
      <c r="E361" s="174"/>
      <c r="F361" s="28"/>
      <c r="G361" s="28"/>
      <c r="H361" s="28"/>
      <c r="I361" s="28"/>
      <c r="J361" s="28"/>
      <c r="K361" s="175"/>
      <c r="L361" s="175"/>
      <c r="M361" s="175"/>
    </row>
    <row r="362">
      <c r="A362" s="28"/>
      <c r="B362" s="122"/>
      <c r="C362" s="122"/>
      <c r="D362" s="28"/>
      <c r="E362" s="174"/>
      <c r="F362" s="28"/>
      <c r="G362" s="28"/>
      <c r="H362" s="28"/>
      <c r="I362" s="28"/>
      <c r="J362" s="28"/>
      <c r="K362" s="175"/>
      <c r="L362" s="175"/>
      <c r="M362" s="175"/>
    </row>
    <row r="363">
      <c r="A363" s="28"/>
      <c r="B363" s="122"/>
      <c r="C363" s="122"/>
      <c r="D363" s="28"/>
      <c r="E363" s="174"/>
      <c r="F363" s="28"/>
      <c r="G363" s="28"/>
      <c r="H363" s="28"/>
      <c r="I363" s="28"/>
      <c r="J363" s="28"/>
      <c r="K363" s="175"/>
      <c r="L363" s="175"/>
      <c r="M363" s="175"/>
    </row>
    <row r="364">
      <c r="A364" s="28"/>
      <c r="B364" s="122"/>
      <c r="C364" s="122"/>
      <c r="D364" s="28"/>
      <c r="E364" s="174"/>
      <c r="F364" s="28"/>
      <c r="G364" s="28"/>
      <c r="H364" s="28"/>
      <c r="I364" s="28"/>
      <c r="J364" s="28"/>
      <c r="K364" s="175"/>
      <c r="L364" s="175"/>
      <c r="M364" s="175"/>
    </row>
    <row r="365">
      <c r="A365" s="28"/>
      <c r="B365" s="122"/>
      <c r="C365" s="122"/>
      <c r="D365" s="28"/>
      <c r="E365" s="174"/>
      <c r="F365" s="28"/>
      <c r="G365" s="28"/>
      <c r="H365" s="28"/>
      <c r="I365" s="28"/>
      <c r="J365" s="28"/>
      <c r="K365" s="175"/>
      <c r="L365" s="175"/>
      <c r="M365" s="175"/>
    </row>
    <row r="366">
      <c r="A366" s="28"/>
      <c r="B366" s="122"/>
      <c r="C366" s="122"/>
      <c r="D366" s="28"/>
      <c r="E366" s="174"/>
      <c r="F366" s="28"/>
      <c r="G366" s="28"/>
      <c r="H366" s="28"/>
      <c r="I366" s="28"/>
      <c r="J366" s="28"/>
      <c r="K366" s="175"/>
      <c r="L366" s="175"/>
      <c r="M366" s="175"/>
    </row>
    <row r="367">
      <c r="A367" s="28"/>
      <c r="B367" s="122"/>
      <c r="C367" s="122"/>
      <c r="D367" s="28"/>
      <c r="E367" s="174"/>
      <c r="F367" s="28"/>
      <c r="G367" s="28"/>
      <c r="H367" s="28"/>
      <c r="I367" s="28"/>
      <c r="J367" s="28"/>
      <c r="K367" s="175"/>
      <c r="L367" s="175"/>
      <c r="M367" s="175"/>
    </row>
    <row r="368">
      <c r="A368" s="28"/>
      <c r="B368" s="122"/>
      <c r="C368" s="122"/>
      <c r="D368" s="28"/>
      <c r="E368" s="174"/>
      <c r="F368" s="28"/>
      <c r="G368" s="28"/>
      <c r="H368" s="28"/>
      <c r="I368" s="28"/>
      <c r="J368" s="28"/>
      <c r="K368" s="175"/>
      <c r="L368" s="175"/>
      <c r="M368" s="175"/>
    </row>
    <row r="369">
      <c r="A369" s="28"/>
      <c r="B369" s="122"/>
      <c r="C369" s="122"/>
      <c r="D369" s="28"/>
      <c r="E369" s="174"/>
      <c r="F369" s="28"/>
      <c r="G369" s="28"/>
      <c r="H369" s="28"/>
      <c r="I369" s="28"/>
      <c r="J369" s="28"/>
      <c r="K369" s="175"/>
      <c r="L369" s="175"/>
      <c r="M369" s="175"/>
    </row>
    <row r="370">
      <c r="A370" s="28"/>
      <c r="B370" s="122"/>
      <c r="C370" s="122"/>
      <c r="D370" s="28"/>
      <c r="E370" s="174"/>
      <c r="F370" s="28"/>
      <c r="G370" s="28"/>
      <c r="H370" s="28"/>
      <c r="I370" s="28"/>
      <c r="J370" s="28"/>
      <c r="K370" s="175"/>
      <c r="L370" s="175"/>
      <c r="M370" s="175"/>
    </row>
    <row r="371">
      <c r="A371" s="28"/>
      <c r="B371" s="122"/>
      <c r="C371" s="122"/>
      <c r="D371" s="28"/>
      <c r="E371" s="174"/>
      <c r="F371" s="28"/>
      <c r="G371" s="28"/>
      <c r="H371" s="28"/>
      <c r="I371" s="28"/>
      <c r="J371" s="28"/>
      <c r="K371" s="175"/>
      <c r="L371" s="175"/>
      <c r="M371" s="175"/>
    </row>
    <row r="372">
      <c r="A372" s="28"/>
      <c r="B372" s="122"/>
      <c r="C372" s="122"/>
      <c r="D372" s="28"/>
      <c r="E372" s="174"/>
      <c r="F372" s="28"/>
      <c r="G372" s="28"/>
      <c r="H372" s="28"/>
      <c r="I372" s="28"/>
      <c r="J372" s="28"/>
      <c r="K372" s="175"/>
      <c r="L372" s="175"/>
      <c r="M372" s="175"/>
    </row>
    <row r="373">
      <c r="A373" s="28"/>
      <c r="B373" s="122"/>
      <c r="C373" s="122"/>
      <c r="D373" s="28"/>
      <c r="E373" s="174"/>
      <c r="F373" s="28"/>
      <c r="G373" s="28"/>
      <c r="H373" s="28"/>
      <c r="I373" s="28"/>
      <c r="J373" s="28"/>
      <c r="K373" s="175"/>
      <c r="L373" s="175"/>
      <c r="M373" s="175"/>
    </row>
    <row r="374">
      <c r="A374" s="28"/>
      <c r="B374" s="122"/>
      <c r="C374" s="122"/>
      <c r="D374" s="28"/>
      <c r="E374" s="174"/>
      <c r="F374" s="28"/>
      <c r="G374" s="28"/>
      <c r="H374" s="28"/>
      <c r="I374" s="28"/>
      <c r="J374" s="28"/>
      <c r="K374" s="175"/>
      <c r="L374" s="175"/>
      <c r="M374" s="175"/>
    </row>
    <row r="375">
      <c r="A375" s="28"/>
      <c r="B375" s="122"/>
      <c r="C375" s="122"/>
      <c r="D375" s="28"/>
      <c r="E375" s="174"/>
      <c r="F375" s="28"/>
      <c r="G375" s="28"/>
      <c r="H375" s="28"/>
      <c r="I375" s="28"/>
      <c r="J375" s="28"/>
      <c r="K375" s="175"/>
      <c r="L375" s="175"/>
      <c r="M375" s="175"/>
    </row>
    <row r="376">
      <c r="A376" s="28"/>
      <c r="B376" s="122"/>
      <c r="C376" s="122"/>
      <c r="D376" s="28"/>
      <c r="E376" s="174"/>
      <c r="F376" s="28"/>
      <c r="G376" s="28"/>
      <c r="H376" s="28"/>
      <c r="I376" s="28"/>
      <c r="J376" s="28"/>
      <c r="K376" s="175"/>
      <c r="L376" s="175"/>
      <c r="M376" s="175"/>
    </row>
    <row r="377">
      <c r="A377" s="28"/>
      <c r="B377" s="122"/>
      <c r="C377" s="122"/>
      <c r="D377" s="28"/>
      <c r="E377" s="174"/>
      <c r="F377" s="28"/>
      <c r="G377" s="28"/>
      <c r="H377" s="28"/>
      <c r="I377" s="28"/>
      <c r="J377" s="28"/>
      <c r="K377" s="175"/>
      <c r="L377" s="175"/>
      <c r="M377" s="175"/>
    </row>
    <row r="378">
      <c r="A378" s="28"/>
      <c r="B378" s="122"/>
      <c r="C378" s="122"/>
      <c r="D378" s="28"/>
      <c r="E378" s="174"/>
      <c r="F378" s="28"/>
      <c r="G378" s="28"/>
      <c r="H378" s="28"/>
      <c r="I378" s="28"/>
      <c r="J378" s="28"/>
      <c r="K378" s="175"/>
      <c r="L378" s="175"/>
      <c r="M378" s="175"/>
    </row>
    <row r="379">
      <c r="A379" s="28"/>
      <c r="B379" s="122"/>
      <c r="C379" s="122"/>
      <c r="D379" s="28"/>
      <c r="E379" s="174"/>
      <c r="F379" s="28"/>
      <c r="G379" s="28"/>
      <c r="H379" s="28"/>
      <c r="I379" s="28"/>
      <c r="J379" s="28"/>
      <c r="K379" s="175"/>
      <c r="L379" s="175"/>
      <c r="M379" s="175"/>
    </row>
    <row r="380">
      <c r="A380" s="28"/>
      <c r="B380" s="122"/>
      <c r="C380" s="122"/>
      <c r="D380" s="28"/>
      <c r="E380" s="174"/>
      <c r="F380" s="28"/>
      <c r="G380" s="28"/>
      <c r="H380" s="28"/>
      <c r="I380" s="28"/>
      <c r="J380" s="28"/>
      <c r="K380" s="175"/>
      <c r="L380" s="175"/>
      <c r="M380" s="175"/>
    </row>
    <row r="381">
      <c r="A381" s="28"/>
      <c r="B381" s="122"/>
      <c r="C381" s="122"/>
      <c r="D381" s="28"/>
      <c r="E381" s="174"/>
      <c r="F381" s="28"/>
      <c r="G381" s="28"/>
      <c r="H381" s="28"/>
      <c r="I381" s="28"/>
      <c r="J381" s="28"/>
      <c r="K381" s="175"/>
      <c r="L381" s="175"/>
      <c r="M381" s="175"/>
    </row>
    <row r="382">
      <c r="A382" s="28"/>
      <c r="B382" s="122"/>
      <c r="C382" s="122"/>
      <c r="D382" s="28"/>
      <c r="E382" s="174"/>
      <c r="F382" s="28"/>
      <c r="G382" s="28"/>
      <c r="H382" s="28"/>
      <c r="I382" s="28"/>
      <c r="J382" s="28"/>
      <c r="K382" s="175"/>
      <c r="L382" s="175"/>
      <c r="M382" s="175"/>
    </row>
    <row r="383">
      <c r="A383" s="28"/>
      <c r="B383" s="122"/>
      <c r="C383" s="122"/>
      <c r="D383" s="28"/>
      <c r="E383" s="174"/>
      <c r="F383" s="28"/>
      <c r="G383" s="28"/>
      <c r="H383" s="28"/>
      <c r="I383" s="28"/>
      <c r="J383" s="28"/>
      <c r="K383" s="175"/>
      <c r="L383" s="175"/>
      <c r="M383" s="175"/>
    </row>
    <row r="384">
      <c r="A384" s="28"/>
      <c r="B384" s="122"/>
      <c r="C384" s="122"/>
      <c r="D384" s="28"/>
      <c r="E384" s="174"/>
      <c r="F384" s="28"/>
      <c r="G384" s="28"/>
      <c r="H384" s="28"/>
      <c r="I384" s="28"/>
      <c r="J384" s="28"/>
      <c r="K384" s="175"/>
      <c r="L384" s="175"/>
      <c r="M384" s="175"/>
    </row>
    <row r="385">
      <c r="A385" s="28"/>
      <c r="B385" s="122"/>
      <c r="C385" s="122"/>
      <c r="D385" s="28"/>
      <c r="E385" s="174"/>
      <c r="F385" s="28"/>
      <c r="G385" s="28"/>
      <c r="H385" s="28"/>
      <c r="I385" s="28"/>
      <c r="J385" s="28"/>
      <c r="K385" s="175"/>
      <c r="L385" s="175"/>
      <c r="M385" s="175"/>
    </row>
    <row r="386">
      <c r="A386" s="28"/>
      <c r="B386" s="122"/>
      <c r="C386" s="122"/>
      <c r="D386" s="28"/>
      <c r="E386" s="174"/>
      <c r="F386" s="28"/>
      <c r="G386" s="28"/>
      <c r="H386" s="28"/>
      <c r="I386" s="28"/>
      <c r="J386" s="28"/>
      <c r="K386" s="175"/>
      <c r="L386" s="175"/>
      <c r="M386" s="175"/>
    </row>
    <row r="387">
      <c r="A387" s="28"/>
      <c r="B387" s="122"/>
      <c r="C387" s="122"/>
      <c r="D387" s="28"/>
      <c r="E387" s="174"/>
      <c r="F387" s="28"/>
      <c r="G387" s="28"/>
      <c r="H387" s="28"/>
      <c r="I387" s="28"/>
      <c r="J387" s="28"/>
      <c r="K387" s="175"/>
      <c r="L387" s="175"/>
      <c r="M387" s="175"/>
    </row>
    <row r="388">
      <c r="A388" s="28"/>
      <c r="B388" s="122"/>
      <c r="C388" s="122"/>
      <c r="D388" s="28"/>
      <c r="E388" s="174"/>
      <c r="F388" s="28"/>
      <c r="G388" s="28"/>
      <c r="H388" s="28"/>
      <c r="I388" s="28"/>
      <c r="J388" s="28"/>
      <c r="K388" s="175"/>
      <c r="L388" s="175"/>
      <c r="M388" s="175"/>
    </row>
    <row r="389">
      <c r="A389" s="28"/>
      <c r="B389" s="122"/>
      <c r="C389" s="122"/>
      <c r="D389" s="28"/>
      <c r="E389" s="174"/>
      <c r="F389" s="28"/>
      <c r="G389" s="28"/>
      <c r="H389" s="28"/>
      <c r="I389" s="28"/>
      <c r="J389" s="28"/>
      <c r="K389" s="175"/>
      <c r="L389" s="175"/>
      <c r="M389" s="175"/>
    </row>
    <row r="390">
      <c r="A390" s="28"/>
      <c r="B390" s="122"/>
      <c r="C390" s="122"/>
      <c r="D390" s="28"/>
      <c r="E390" s="174"/>
      <c r="F390" s="28"/>
      <c r="G390" s="28"/>
      <c r="H390" s="28"/>
      <c r="I390" s="28"/>
      <c r="J390" s="28"/>
      <c r="K390" s="175"/>
      <c r="L390" s="175"/>
      <c r="M390" s="175"/>
    </row>
    <row r="391">
      <c r="A391" s="28"/>
      <c r="B391" s="122"/>
      <c r="C391" s="122"/>
      <c r="D391" s="28"/>
      <c r="E391" s="174"/>
      <c r="F391" s="28"/>
      <c r="G391" s="28"/>
      <c r="H391" s="28"/>
      <c r="I391" s="28"/>
      <c r="J391" s="28"/>
      <c r="K391" s="175"/>
      <c r="L391" s="175"/>
      <c r="M391" s="175"/>
    </row>
    <row r="392">
      <c r="A392" s="28"/>
      <c r="B392" s="122"/>
      <c r="C392" s="122"/>
      <c r="D392" s="28"/>
      <c r="E392" s="174"/>
      <c r="F392" s="28"/>
      <c r="G392" s="28"/>
      <c r="H392" s="28"/>
      <c r="I392" s="28"/>
      <c r="J392" s="28"/>
      <c r="K392" s="175"/>
      <c r="L392" s="175"/>
      <c r="M392" s="175"/>
    </row>
    <row r="393">
      <c r="A393" s="28"/>
      <c r="B393" s="122"/>
      <c r="C393" s="122"/>
      <c r="D393" s="28"/>
      <c r="E393" s="174"/>
      <c r="F393" s="28"/>
      <c r="G393" s="28"/>
      <c r="H393" s="28"/>
      <c r="I393" s="28"/>
      <c r="J393" s="28"/>
      <c r="K393" s="175"/>
      <c r="L393" s="175"/>
      <c r="M393" s="175"/>
    </row>
    <row r="394">
      <c r="A394" s="28"/>
      <c r="B394" s="122"/>
      <c r="C394" s="122"/>
      <c r="D394" s="28"/>
      <c r="E394" s="174"/>
      <c r="F394" s="28"/>
      <c r="G394" s="28"/>
      <c r="H394" s="28"/>
      <c r="I394" s="28"/>
      <c r="J394" s="28"/>
      <c r="K394" s="175"/>
      <c r="L394" s="175"/>
      <c r="M394" s="175"/>
    </row>
    <row r="395">
      <c r="A395" s="28"/>
      <c r="B395" s="122"/>
      <c r="C395" s="122"/>
      <c r="D395" s="28"/>
      <c r="E395" s="174"/>
      <c r="F395" s="28"/>
      <c r="G395" s="28"/>
      <c r="H395" s="28"/>
      <c r="I395" s="28"/>
      <c r="J395" s="28"/>
      <c r="K395" s="175"/>
      <c r="L395" s="175"/>
      <c r="M395" s="175"/>
    </row>
    <row r="396">
      <c r="A396" s="28"/>
      <c r="B396" s="122"/>
      <c r="C396" s="122"/>
      <c r="D396" s="28"/>
      <c r="E396" s="174"/>
      <c r="F396" s="28"/>
      <c r="G396" s="28"/>
      <c r="H396" s="28"/>
      <c r="I396" s="28"/>
      <c r="J396" s="28"/>
      <c r="K396" s="175"/>
      <c r="L396" s="175"/>
      <c r="M396" s="175"/>
    </row>
    <row r="397">
      <c r="A397" s="28"/>
      <c r="B397" s="122"/>
      <c r="C397" s="122"/>
      <c r="D397" s="28"/>
      <c r="E397" s="174"/>
      <c r="F397" s="28"/>
      <c r="G397" s="28"/>
      <c r="H397" s="28"/>
      <c r="I397" s="28"/>
      <c r="J397" s="28"/>
      <c r="K397" s="175"/>
      <c r="L397" s="175"/>
      <c r="M397" s="175"/>
    </row>
    <row r="398">
      <c r="A398" s="28"/>
      <c r="B398" s="122"/>
      <c r="C398" s="122"/>
      <c r="D398" s="28"/>
      <c r="E398" s="174"/>
      <c r="F398" s="28"/>
      <c r="G398" s="28"/>
      <c r="H398" s="28"/>
      <c r="I398" s="28"/>
      <c r="J398" s="28"/>
      <c r="K398" s="175"/>
      <c r="L398" s="175"/>
      <c r="M398" s="175"/>
    </row>
    <row r="399">
      <c r="A399" s="28"/>
      <c r="B399" s="122"/>
      <c r="C399" s="122"/>
      <c r="D399" s="28"/>
      <c r="E399" s="174"/>
      <c r="F399" s="28"/>
      <c r="G399" s="28"/>
      <c r="H399" s="28"/>
      <c r="I399" s="28"/>
      <c r="J399" s="28"/>
      <c r="K399" s="175"/>
      <c r="L399" s="175"/>
      <c r="M399" s="175"/>
    </row>
    <row r="400">
      <c r="A400" s="28"/>
      <c r="B400" s="122"/>
      <c r="C400" s="122"/>
      <c r="D400" s="28"/>
      <c r="E400" s="174"/>
      <c r="F400" s="28"/>
      <c r="G400" s="28"/>
      <c r="H400" s="28"/>
      <c r="I400" s="28"/>
      <c r="J400" s="28"/>
      <c r="K400" s="175"/>
      <c r="L400" s="175"/>
      <c r="M400" s="175"/>
    </row>
    <row r="401">
      <c r="A401" s="28"/>
      <c r="B401" s="122"/>
      <c r="C401" s="122"/>
      <c r="D401" s="28"/>
      <c r="E401" s="174"/>
      <c r="F401" s="28"/>
      <c r="G401" s="28"/>
      <c r="H401" s="28"/>
      <c r="I401" s="28"/>
      <c r="J401" s="28"/>
      <c r="K401" s="175"/>
      <c r="L401" s="175"/>
      <c r="M401" s="175"/>
    </row>
    <row r="402">
      <c r="A402" s="28"/>
      <c r="B402" s="122"/>
      <c r="C402" s="122"/>
      <c r="D402" s="28"/>
      <c r="E402" s="174"/>
      <c r="F402" s="28"/>
      <c r="G402" s="28"/>
      <c r="H402" s="28"/>
      <c r="I402" s="28"/>
      <c r="J402" s="28"/>
      <c r="K402" s="175"/>
      <c r="L402" s="175"/>
      <c r="M402" s="175"/>
    </row>
    <row r="403">
      <c r="A403" s="28"/>
      <c r="B403" s="122"/>
      <c r="C403" s="122"/>
      <c r="D403" s="28"/>
      <c r="E403" s="174"/>
      <c r="F403" s="28"/>
      <c r="G403" s="28"/>
      <c r="H403" s="28"/>
      <c r="I403" s="28"/>
      <c r="J403" s="28"/>
      <c r="K403" s="175"/>
      <c r="L403" s="175"/>
      <c r="M403" s="175"/>
    </row>
    <row r="404">
      <c r="A404" s="28"/>
      <c r="B404" s="122"/>
      <c r="C404" s="122"/>
      <c r="D404" s="28"/>
      <c r="E404" s="174"/>
      <c r="F404" s="28"/>
      <c r="G404" s="28"/>
      <c r="H404" s="28"/>
      <c r="I404" s="28"/>
      <c r="J404" s="28"/>
      <c r="K404" s="175"/>
      <c r="L404" s="175"/>
      <c r="M404" s="175"/>
    </row>
    <row r="405">
      <c r="A405" s="28"/>
      <c r="B405" s="122"/>
      <c r="C405" s="122"/>
      <c r="D405" s="28"/>
      <c r="E405" s="174"/>
      <c r="F405" s="28"/>
      <c r="G405" s="28"/>
      <c r="H405" s="28"/>
      <c r="I405" s="28"/>
      <c r="J405" s="28"/>
      <c r="K405" s="175"/>
      <c r="L405" s="175"/>
      <c r="M405" s="175"/>
    </row>
    <row r="406">
      <c r="A406" s="28"/>
      <c r="B406" s="122"/>
      <c r="C406" s="122"/>
      <c r="D406" s="28"/>
      <c r="E406" s="174"/>
      <c r="F406" s="28"/>
      <c r="G406" s="28"/>
      <c r="H406" s="28"/>
      <c r="I406" s="28"/>
      <c r="J406" s="28"/>
      <c r="K406" s="175"/>
      <c r="L406" s="175"/>
      <c r="M406" s="175"/>
    </row>
    <row r="407">
      <c r="A407" s="28"/>
      <c r="B407" s="122"/>
      <c r="C407" s="122"/>
      <c r="D407" s="28"/>
      <c r="E407" s="174"/>
      <c r="F407" s="28"/>
      <c r="G407" s="28"/>
      <c r="H407" s="28"/>
      <c r="I407" s="28"/>
      <c r="J407" s="28"/>
      <c r="K407" s="175"/>
      <c r="L407" s="175"/>
      <c r="M407" s="175"/>
    </row>
    <row r="408">
      <c r="A408" s="28"/>
      <c r="B408" s="122"/>
      <c r="C408" s="122"/>
      <c r="D408" s="28"/>
      <c r="E408" s="174"/>
      <c r="F408" s="28"/>
      <c r="G408" s="28"/>
      <c r="H408" s="28"/>
      <c r="I408" s="28"/>
      <c r="J408" s="28"/>
      <c r="K408" s="175"/>
      <c r="L408" s="175"/>
      <c r="M408" s="175"/>
    </row>
    <row r="409">
      <c r="A409" s="28"/>
      <c r="B409" s="122"/>
      <c r="C409" s="122"/>
      <c r="D409" s="28"/>
      <c r="E409" s="174"/>
      <c r="F409" s="28"/>
      <c r="G409" s="28"/>
      <c r="H409" s="28"/>
      <c r="I409" s="28"/>
      <c r="J409" s="28"/>
      <c r="K409" s="175"/>
      <c r="L409" s="175"/>
      <c r="M409" s="175"/>
    </row>
    <row r="410">
      <c r="A410" s="28"/>
      <c r="B410" s="122"/>
      <c r="C410" s="122"/>
      <c r="D410" s="28"/>
      <c r="E410" s="174"/>
      <c r="F410" s="28"/>
      <c r="G410" s="28"/>
      <c r="H410" s="28"/>
      <c r="I410" s="28"/>
      <c r="J410" s="28"/>
      <c r="K410" s="175"/>
      <c r="L410" s="175"/>
      <c r="M410" s="175"/>
    </row>
    <row r="411">
      <c r="A411" s="28"/>
      <c r="B411" s="122"/>
      <c r="C411" s="122"/>
      <c r="D411" s="28"/>
      <c r="E411" s="174"/>
      <c r="F411" s="28"/>
      <c r="G411" s="28"/>
      <c r="H411" s="28"/>
      <c r="I411" s="28"/>
      <c r="J411" s="28"/>
      <c r="K411" s="175"/>
      <c r="L411" s="175"/>
      <c r="M411" s="175"/>
    </row>
    <row r="412">
      <c r="A412" s="28"/>
      <c r="B412" s="122"/>
      <c r="C412" s="122"/>
      <c r="D412" s="28"/>
      <c r="E412" s="174"/>
      <c r="F412" s="28"/>
      <c r="G412" s="28"/>
      <c r="H412" s="28"/>
      <c r="I412" s="28"/>
      <c r="J412" s="28"/>
      <c r="K412" s="175"/>
      <c r="L412" s="175"/>
      <c r="M412" s="175"/>
    </row>
    <row r="413">
      <c r="A413" s="28"/>
      <c r="B413" s="122"/>
      <c r="C413" s="122"/>
      <c r="D413" s="28"/>
      <c r="E413" s="174"/>
      <c r="F413" s="28"/>
      <c r="G413" s="28"/>
      <c r="H413" s="28"/>
      <c r="I413" s="28"/>
      <c r="J413" s="28"/>
      <c r="K413" s="175"/>
      <c r="L413" s="175"/>
      <c r="M413" s="175"/>
    </row>
    <row r="414">
      <c r="A414" s="28"/>
      <c r="B414" s="122"/>
      <c r="C414" s="122"/>
      <c r="D414" s="28"/>
      <c r="E414" s="174"/>
      <c r="F414" s="28"/>
      <c r="G414" s="28"/>
      <c r="H414" s="28"/>
      <c r="I414" s="28"/>
      <c r="J414" s="28"/>
      <c r="K414" s="175"/>
      <c r="L414" s="175"/>
      <c r="M414" s="175"/>
    </row>
    <row r="415">
      <c r="A415" s="28"/>
      <c r="B415" s="122"/>
      <c r="C415" s="122"/>
      <c r="D415" s="28"/>
      <c r="E415" s="174"/>
      <c r="F415" s="28"/>
      <c r="G415" s="28"/>
      <c r="H415" s="28"/>
      <c r="I415" s="28"/>
      <c r="J415" s="28"/>
      <c r="K415" s="175"/>
      <c r="L415" s="175"/>
      <c r="M415" s="175"/>
    </row>
    <row r="416">
      <c r="A416" s="28"/>
      <c r="B416" s="122"/>
      <c r="C416" s="122"/>
      <c r="D416" s="28"/>
      <c r="E416" s="174"/>
      <c r="F416" s="28"/>
      <c r="G416" s="28"/>
      <c r="H416" s="28"/>
      <c r="I416" s="28"/>
      <c r="J416" s="28"/>
      <c r="K416" s="175"/>
      <c r="L416" s="175"/>
      <c r="M416" s="175"/>
    </row>
    <row r="417">
      <c r="A417" s="28"/>
      <c r="B417" s="122"/>
      <c r="C417" s="122"/>
      <c r="D417" s="28"/>
      <c r="E417" s="174"/>
      <c r="F417" s="28"/>
      <c r="G417" s="28"/>
      <c r="H417" s="28"/>
      <c r="I417" s="28"/>
      <c r="J417" s="28"/>
      <c r="K417" s="175"/>
      <c r="L417" s="175"/>
      <c r="M417" s="175"/>
    </row>
    <row r="418">
      <c r="A418" s="28"/>
      <c r="B418" s="122"/>
      <c r="C418" s="122"/>
      <c r="D418" s="28"/>
      <c r="E418" s="174"/>
      <c r="F418" s="28"/>
      <c r="G418" s="28"/>
      <c r="H418" s="28"/>
      <c r="I418" s="28"/>
      <c r="J418" s="28"/>
      <c r="K418" s="175"/>
      <c r="L418" s="175"/>
      <c r="M418" s="175"/>
    </row>
    <row r="419">
      <c r="A419" s="28"/>
      <c r="B419" s="122"/>
      <c r="C419" s="122"/>
      <c r="D419" s="28"/>
      <c r="E419" s="174"/>
      <c r="F419" s="28"/>
      <c r="G419" s="28"/>
      <c r="H419" s="28"/>
      <c r="I419" s="28"/>
      <c r="J419" s="28"/>
      <c r="K419" s="175"/>
      <c r="L419" s="175"/>
      <c r="M419" s="175"/>
    </row>
    <row r="420">
      <c r="A420" s="28"/>
      <c r="B420" s="122"/>
      <c r="C420" s="122"/>
      <c r="D420" s="28"/>
      <c r="E420" s="174"/>
      <c r="F420" s="28"/>
      <c r="G420" s="28"/>
      <c r="H420" s="28"/>
      <c r="I420" s="28"/>
      <c r="J420" s="28"/>
      <c r="K420" s="175"/>
      <c r="L420" s="175"/>
      <c r="M420" s="175"/>
    </row>
    <row r="421">
      <c r="A421" s="28"/>
      <c r="B421" s="122"/>
      <c r="C421" s="122"/>
      <c r="D421" s="28"/>
      <c r="E421" s="174"/>
      <c r="F421" s="28"/>
      <c r="G421" s="28"/>
      <c r="H421" s="28"/>
      <c r="I421" s="28"/>
      <c r="J421" s="28"/>
      <c r="K421" s="175"/>
      <c r="L421" s="175"/>
      <c r="M421" s="175"/>
    </row>
    <row r="422">
      <c r="A422" s="28"/>
      <c r="B422" s="122"/>
      <c r="C422" s="122"/>
      <c r="D422" s="28"/>
      <c r="E422" s="174"/>
      <c r="F422" s="28"/>
      <c r="G422" s="28"/>
      <c r="H422" s="28"/>
      <c r="I422" s="28"/>
      <c r="J422" s="28"/>
      <c r="K422" s="175"/>
      <c r="L422" s="175"/>
      <c r="M422" s="175"/>
    </row>
    <row r="423">
      <c r="A423" s="28"/>
      <c r="B423" s="122"/>
      <c r="C423" s="122"/>
      <c r="D423" s="28"/>
      <c r="E423" s="174"/>
      <c r="F423" s="28"/>
      <c r="G423" s="28"/>
      <c r="H423" s="28"/>
      <c r="I423" s="28"/>
      <c r="J423" s="28"/>
      <c r="K423" s="175"/>
      <c r="L423" s="175"/>
      <c r="M423" s="175"/>
    </row>
    <row r="424">
      <c r="A424" s="28"/>
      <c r="B424" s="122"/>
      <c r="C424" s="122"/>
      <c r="D424" s="28"/>
      <c r="E424" s="174"/>
      <c r="F424" s="28"/>
      <c r="G424" s="28"/>
      <c r="H424" s="28"/>
      <c r="I424" s="28"/>
      <c r="J424" s="28"/>
      <c r="K424" s="175"/>
      <c r="L424" s="175"/>
      <c r="M424" s="175"/>
    </row>
    <row r="425">
      <c r="A425" s="28"/>
      <c r="B425" s="122"/>
      <c r="C425" s="122"/>
      <c r="D425" s="28"/>
      <c r="E425" s="174"/>
      <c r="F425" s="28"/>
      <c r="G425" s="28"/>
      <c r="H425" s="28"/>
      <c r="I425" s="28"/>
      <c r="J425" s="28"/>
      <c r="K425" s="175"/>
      <c r="L425" s="175"/>
      <c r="M425" s="175"/>
    </row>
    <row r="426">
      <c r="A426" s="28"/>
      <c r="B426" s="122"/>
      <c r="C426" s="122"/>
      <c r="D426" s="28"/>
      <c r="E426" s="174"/>
      <c r="F426" s="28"/>
      <c r="G426" s="28"/>
      <c r="H426" s="28"/>
      <c r="I426" s="28"/>
      <c r="J426" s="28"/>
      <c r="K426" s="175"/>
      <c r="L426" s="175"/>
      <c r="M426" s="175"/>
    </row>
    <row r="427">
      <c r="A427" s="28"/>
      <c r="B427" s="122"/>
      <c r="C427" s="122"/>
      <c r="D427" s="28"/>
      <c r="E427" s="174"/>
      <c r="F427" s="28"/>
      <c r="G427" s="28"/>
      <c r="H427" s="28"/>
      <c r="I427" s="28"/>
      <c r="J427" s="28"/>
      <c r="K427" s="175"/>
      <c r="L427" s="175"/>
      <c r="M427" s="175"/>
    </row>
    <row r="428">
      <c r="A428" s="28"/>
      <c r="B428" s="122"/>
      <c r="C428" s="122"/>
      <c r="D428" s="28"/>
      <c r="E428" s="174"/>
      <c r="F428" s="28"/>
      <c r="G428" s="28"/>
      <c r="H428" s="28"/>
      <c r="I428" s="28"/>
      <c r="J428" s="28"/>
      <c r="K428" s="175"/>
      <c r="L428" s="175"/>
      <c r="M428" s="175"/>
    </row>
    <row r="429">
      <c r="A429" s="28"/>
      <c r="B429" s="122"/>
      <c r="C429" s="122"/>
      <c r="D429" s="28"/>
      <c r="E429" s="174"/>
      <c r="F429" s="28"/>
      <c r="G429" s="28"/>
      <c r="H429" s="28"/>
      <c r="I429" s="28"/>
      <c r="J429" s="28"/>
      <c r="K429" s="175"/>
      <c r="L429" s="175"/>
      <c r="M429" s="175"/>
    </row>
    <row r="430">
      <c r="A430" s="28"/>
      <c r="B430" s="122"/>
      <c r="C430" s="122"/>
      <c r="D430" s="28"/>
      <c r="E430" s="174"/>
      <c r="F430" s="28"/>
      <c r="G430" s="28"/>
      <c r="H430" s="28"/>
      <c r="I430" s="28"/>
      <c r="J430" s="28"/>
      <c r="K430" s="175"/>
      <c r="L430" s="175"/>
      <c r="M430" s="175"/>
    </row>
    <row r="431">
      <c r="A431" s="28"/>
      <c r="B431" s="122"/>
      <c r="C431" s="122"/>
      <c r="D431" s="28"/>
      <c r="E431" s="174"/>
      <c r="F431" s="28"/>
      <c r="G431" s="28"/>
      <c r="H431" s="28"/>
      <c r="I431" s="28"/>
      <c r="J431" s="28"/>
      <c r="K431" s="175"/>
      <c r="L431" s="175"/>
      <c r="M431" s="175"/>
    </row>
    <row r="432">
      <c r="A432" s="28"/>
      <c r="B432" s="122"/>
      <c r="C432" s="122"/>
      <c r="D432" s="28"/>
      <c r="E432" s="174"/>
      <c r="F432" s="28"/>
      <c r="G432" s="28"/>
      <c r="H432" s="28"/>
      <c r="I432" s="28"/>
      <c r="J432" s="28"/>
      <c r="K432" s="175"/>
      <c r="L432" s="175"/>
      <c r="M432" s="175"/>
    </row>
    <row r="433">
      <c r="A433" s="28"/>
      <c r="B433" s="122"/>
      <c r="C433" s="122"/>
      <c r="D433" s="28"/>
      <c r="E433" s="174"/>
      <c r="F433" s="28"/>
      <c r="G433" s="28"/>
      <c r="H433" s="28"/>
      <c r="I433" s="28"/>
      <c r="J433" s="28"/>
      <c r="K433" s="175"/>
      <c r="L433" s="175"/>
      <c r="M433" s="175"/>
    </row>
    <row r="434">
      <c r="A434" s="28"/>
      <c r="B434" s="122"/>
      <c r="C434" s="122"/>
      <c r="D434" s="28"/>
      <c r="E434" s="174"/>
      <c r="F434" s="28"/>
      <c r="G434" s="28"/>
      <c r="H434" s="28"/>
      <c r="I434" s="28"/>
      <c r="J434" s="28"/>
      <c r="K434" s="175"/>
      <c r="L434" s="175"/>
      <c r="M434" s="175"/>
    </row>
    <row r="435">
      <c r="A435" s="28"/>
      <c r="B435" s="122"/>
      <c r="C435" s="122"/>
      <c r="D435" s="28"/>
      <c r="E435" s="174"/>
      <c r="F435" s="28"/>
      <c r="G435" s="28"/>
      <c r="H435" s="28"/>
      <c r="I435" s="28"/>
      <c r="J435" s="28"/>
      <c r="K435" s="175"/>
      <c r="L435" s="175"/>
      <c r="M435" s="175"/>
    </row>
    <row r="436">
      <c r="A436" s="28"/>
      <c r="B436" s="122"/>
      <c r="C436" s="122"/>
      <c r="D436" s="28"/>
      <c r="E436" s="174"/>
      <c r="F436" s="28"/>
      <c r="G436" s="28"/>
      <c r="H436" s="28"/>
      <c r="I436" s="28"/>
      <c r="J436" s="28"/>
      <c r="K436" s="175"/>
      <c r="L436" s="175"/>
      <c r="M436" s="175"/>
    </row>
    <row r="437">
      <c r="A437" s="28"/>
      <c r="B437" s="122"/>
      <c r="C437" s="122"/>
      <c r="D437" s="28"/>
      <c r="E437" s="174"/>
      <c r="F437" s="28"/>
      <c r="G437" s="28"/>
      <c r="H437" s="28"/>
      <c r="I437" s="28"/>
      <c r="J437" s="28"/>
      <c r="K437" s="175"/>
      <c r="L437" s="175"/>
      <c r="M437" s="175"/>
    </row>
    <row r="438">
      <c r="A438" s="28"/>
      <c r="B438" s="122"/>
      <c r="C438" s="122"/>
      <c r="D438" s="28"/>
      <c r="E438" s="174"/>
      <c r="F438" s="28"/>
      <c r="G438" s="28"/>
      <c r="H438" s="28"/>
      <c r="I438" s="28"/>
      <c r="J438" s="28"/>
      <c r="K438" s="175"/>
      <c r="L438" s="175"/>
      <c r="M438" s="175"/>
    </row>
    <row r="439">
      <c r="A439" s="28"/>
      <c r="B439" s="122"/>
      <c r="C439" s="122"/>
      <c r="D439" s="28"/>
      <c r="E439" s="174"/>
      <c r="F439" s="28"/>
      <c r="G439" s="28"/>
      <c r="H439" s="28"/>
      <c r="I439" s="28"/>
      <c r="J439" s="28"/>
      <c r="K439" s="175"/>
      <c r="L439" s="175"/>
      <c r="M439" s="175"/>
    </row>
    <row r="440">
      <c r="A440" s="28"/>
      <c r="B440" s="122"/>
      <c r="C440" s="122"/>
      <c r="D440" s="28"/>
      <c r="E440" s="174"/>
      <c r="F440" s="28"/>
      <c r="G440" s="28"/>
      <c r="H440" s="28"/>
      <c r="I440" s="28"/>
      <c r="J440" s="28"/>
      <c r="K440" s="175"/>
      <c r="L440" s="175"/>
      <c r="M440" s="175"/>
    </row>
    <row r="441">
      <c r="A441" s="28"/>
      <c r="B441" s="122"/>
      <c r="C441" s="122"/>
      <c r="D441" s="28"/>
      <c r="E441" s="174"/>
      <c r="F441" s="28"/>
      <c r="G441" s="28"/>
      <c r="H441" s="28"/>
      <c r="I441" s="28"/>
      <c r="J441" s="28"/>
      <c r="K441" s="175"/>
      <c r="L441" s="175"/>
      <c r="M441" s="175"/>
    </row>
    <row r="442">
      <c r="A442" s="28"/>
      <c r="B442" s="122"/>
      <c r="C442" s="122"/>
      <c r="D442" s="28"/>
      <c r="E442" s="174"/>
      <c r="F442" s="28"/>
      <c r="G442" s="28"/>
      <c r="H442" s="28"/>
      <c r="I442" s="28"/>
      <c r="J442" s="28"/>
      <c r="K442" s="175"/>
      <c r="L442" s="175"/>
      <c r="M442" s="175"/>
    </row>
    <row r="443">
      <c r="A443" s="28"/>
      <c r="B443" s="122"/>
      <c r="C443" s="122"/>
      <c r="D443" s="28"/>
      <c r="E443" s="174"/>
      <c r="F443" s="28"/>
      <c r="G443" s="28"/>
      <c r="H443" s="28"/>
      <c r="I443" s="28"/>
      <c r="J443" s="28"/>
      <c r="K443" s="175"/>
      <c r="L443" s="175"/>
      <c r="M443" s="175"/>
    </row>
    <row r="444">
      <c r="A444" s="28"/>
      <c r="B444" s="122"/>
      <c r="C444" s="122"/>
      <c r="D444" s="28"/>
      <c r="E444" s="174"/>
      <c r="F444" s="28"/>
      <c r="G444" s="28"/>
      <c r="H444" s="28"/>
      <c r="I444" s="28"/>
      <c r="J444" s="28"/>
      <c r="K444" s="175"/>
      <c r="L444" s="175"/>
      <c r="M444" s="175"/>
    </row>
    <row r="445">
      <c r="A445" s="28"/>
      <c r="B445" s="122"/>
      <c r="C445" s="122"/>
      <c r="D445" s="28"/>
      <c r="E445" s="174"/>
      <c r="F445" s="28"/>
      <c r="G445" s="28"/>
      <c r="H445" s="28"/>
      <c r="I445" s="28"/>
      <c r="J445" s="28"/>
      <c r="K445" s="175"/>
      <c r="L445" s="175"/>
      <c r="M445" s="175"/>
    </row>
    <row r="446">
      <c r="A446" s="28"/>
      <c r="B446" s="122"/>
      <c r="C446" s="122"/>
      <c r="D446" s="28"/>
      <c r="E446" s="174"/>
      <c r="F446" s="28"/>
      <c r="G446" s="28"/>
      <c r="H446" s="28"/>
      <c r="I446" s="28"/>
      <c r="J446" s="28"/>
      <c r="K446" s="175"/>
      <c r="L446" s="175"/>
      <c r="M446" s="175"/>
    </row>
    <row r="447">
      <c r="A447" s="28"/>
      <c r="B447" s="122"/>
      <c r="C447" s="122"/>
      <c r="D447" s="28"/>
      <c r="E447" s="174"/>
      <c r="F447" s="28"/>
      <c r="G447" s="28"/>
      <c r="H447" s="28"/>
      <c r="I447" s="28"/>
      <c r="J447" s="28"/>
      <c r="K447" s="175"/>
      <c r="L447" s="175"/>
      <c r="M447" s="175"/>
    </row>
    <row r="448">
      <c r="A448" s="28"/>
      <c r="B448" s="122"/>
      <c r="C448" s="122"/>
      <c r="D448" s="28"/>
      <c r="E448" s="174"/>
      <c r="F448" s="28"/>
      <c r="G448" s="28"/>
      <c r="H448" s="28"/>
      <c r="I448" s="28"/>
      <c r="J448" s="28"/>
      <c r="K448" s="175"/>
      <c r="L448" s="175"/>
      <c r="M448" s="175"/>
    </row>
    <row r="449">
      <c r="A449" s="28"/>
      <c r="B449" s="122"/>
      <c r="C449" s="122"/>
      <c r="D449" s="28"/>
      <c r="E449" s="174"/>
      <c r="F449" s="28"/>
      <c r="G449" s="28"/>
      <c r="H449" s="28"/>
      <c r="I449" s="28"/>
      <c r="J449" s="28"/>
      <c r="K449" s="175"/>
      <c r="L449" s="175"/>
      <c r="M449" s="175"/>
    </row>
    <row r="450">
      <c r="A450" s="28"/>
      <c r="B450" s="122"/>
      <c r="C450" s="122"/>
      <c r="D450" s="28"/>
      <c r="E450" s="174"/>
      <c r="F450" s="28"/>
      <c r="G450" s="28"/>
      <c r="H450" s="28"/>
      <c r="I450" s="28"/>
      <c r="J450" s="28"/>
      <c r="K450" s="175"/>
      <c r="L450" s="175"/>
      <c r="M450" s="175"/>
    </row>
    <row r="451">
      <c r="A451" s="28"/>
      <c r="B451" s="122"/>
      <c r="C451" s="122"/>
      <c r="D451" s="28"/>
      <c r="E451" s="174"/>
      <c r="F451" s="28"/>
      <c r="G451" s="28"/>
      <c r="H451" s="28"/>
      <c r="I451" s="28"/>
      <c r="J451" s="28"/>
      <c r="K451" s="175"/>
      <c r="L451" s="175"/>
      <c r="M451" s="175"/>
    </row>
    <row r="452">
      <c r="A452" s="28"/>
      <c r="B452" s="122"/>
      <c r="C452" s="122"/>
      <c r="D452" s="28"/>
      <c r="E452" s="174"/>
      <c r="F452" s="28"/>
      <c r="G452" s="28"/>
      <c r="H452" s="28"/>
      <c r="I452" s="28"/>
      <c r="J452" s="28"/>
      <c r="K452" s="175"/>
      <c r="L452" s="175"/>
      <c r="M452" s="175"/>
    </row>
    <row r="453">
      <c r="A453" s="28"/>
      <c r="B453" s="122"/>
      <c r="C453" s="122"/>
      <c r="D453" s="28"/>
      <c r="E453" s="174"/>
      <c r="F453" s="28"/>
      <c r="G453" s="28"/>
      <c r="H453" s="28"/>
      <c r="I453" s="28"/>
      <c r="J453" s="28"/>
      <c r="K453" s="175"/>
      <c r="L453" s="175"/>
      <c r="M453" s="175"/>
    </row>
    <row r="454">
      <c r="A454" s="28"/>
      <c r="B454" s="122"/>
      <c r="C454" s="122"/>
      <c r="D454" s="28"/>
      <c r="E454" s="174"/>
      <c r="F454" s="28"/>
      <c r="G454" s="28"/>
      <c r="H454" s="28"/>
      <c r="I454" s="28"/>
      <c r="J454" s="28"/>
      <c r="K454" s="175"/>
      <c r="L454" s="175"/>
      <c r="M454" s="175"/>
    </row>
    <row r="455">
      <c r="A455" s="28"/>
      <c r="B455" s="122"/>
      <c r="C455" s="122"/>
      <c r="D455" s="28"/>
      <c r="E455" s="174"/>
      <c r="F455" s="28"/>
      <c r="G455" s="28"/>
      <c r="H455" s="28"/>
      <c r="I455" s="28"/>
      <c r="J455" s="28"/>
      <c r="K455" s="175"/>
      <c r="L455" s="175"/>
      <c r="M455" s="175"/>
    </row>
    <row r="456">
      <c r="A456" s="28"/>
      <c r="B456" s="122"/>
      <c r="C456" s="122"/>
      <c r="D456" s="28"/>
      <c r="E456" s="174"/>
      <c r="F456" s="28"/>
      <c r="G456" s="28"/>
      <c r="H456" s="28"/>
      <c r="I456" s="28"/>
      <c r="J456" s="28"/>
      <c r="K456" s="175"/>
      <c r="L456" s="175"/>
      <c r="M456" s="175"/>
    </row>
    <row r="457">
      <c r="A457" s="28"/>
      <c r="B457" s="122"/>
      <c r="C457" s="122"/>
      <c r="D457" s="28"/>
      <c r="E457" s="174"/>
      <c r="F457" s="28"/>
      <c r="G457" s="28"/>
      <c r="H457" s="28"/>
      <c r="I457" s="28"/>
      <c r="J457" s="28"/>
      <c r="K457" s="175"/>
      <c r="L457" s="175"/>
      <c r="M457" s="175"/>
    </row>
    <row r="458">
      <c r="A458" s="28"/>
      <c r="B458" s="122"/>
      <c r="C458" s="122"/>
      <c r="D458" s="28"/>
      <c r="E458" s="174"/>
      <c r="F458" s="28"/>
      <c r="G458" s="28"/>
      <c r="H458" s="28"/>
      <c r="I458" s="28"/>
      <c r="J458" s="28"/>
      <c r="K458" s="175"/>
      <c r="L458" s="175"/>
      <c r="M458" s="175"/>
    </row>
    <row r="459">
      <c r="A459" s="28"/>
      <c r="B459" s="122"/>
      <c r="C459" s="122"/>
      <c r="D459" s="28"/>
      <c r="E459" s="174"/>
      <c r="F459" s="28"/>
      <c r="G459" s="28"/>
      <c r="H459" s="28"/>
      <c r="I459" s="28"/>
      <c r="J459" s="28"/>
      <c r="K459" s="175"/>
      <c r="L459" s="175"/>
      <c r="M459" s="175"/>
    </row>
    <row r="460">
      <c r="A460" s="28"/>
      <c r="B460" s="122"/>
      <c r="C460" s="122"/>
      <c r="D460" s="28"/>
      <c r="E460" s="174"/>
      <c r="F460" s="28"/>
      <c r="G460" s="28"/>
      <c r="H460" s="28"/>
      <c r="I460" s="28"/>
      <c r="J460" s="28"/>
      <c r="K460" s="175"/>
      <c r="L460" s="175"/>
      <c r="M460" s="175"/>
    </row>
    <row r="461">
      <c r="A461" s="28"/>
      <c r="B461" s="122"/>
      <c r="C461" s="122"/>
      <c r="D461" s="28"/>
      <c r="E461" s="174"/>
      <c r="F461" s="28"/>
      <c r="G461" s="28"/>
      <c r="H461" s="28"/>
      <c r="I461" s="28"/>
      <c r="J461" s="28"/>
      <c r="K461" s="175"/>
      <c r="L461" s="175"/>
      <c r="M461" s="175"/>
    </row>
    <row r="462">
      <c r="A462" s="28"/>
      <c r="B462" s="122"/>
      <c r="C462" s="122"/>
      <c r="D462" s="28"/>
      <c r="E462" s="174"/>
      <c r="F462" s="28"/>
      <c r="G462" s="28"/>
      <c r="H462" s="28"/>
      <c r="I462" s="28"/>
      <c r="J462" s="28"/>
      <c r="K462" s="175"/>
      <c r="L462" s="175"/>
      <c r="M462" s="175"/>
    </row>
    <row r="463">
      <c r="A463" s="28"/>
      <c r="B463" s="122"/>
      <c r="C463" s="122"/>
      <c r="D463" s="28"/>
      <c r="E463" s="174"/>
      <c r="F463" s="28"/>
      <c r="G463" s="28"/>
      <c r="H463" s="28"/>
      <c r="I463" s="28"/>
      <c r="J463" s="28"/>
      <c r="K463" s="175"/>
      <c r="L463" s="175"/>
      <c r="M463" s="175"/>
    </row>
    <row r="464">
      <c r="A464" s="28"/>
      <c r="B464" s="122"/>
      <c r="C464" s="122"/>
      <c r="D464" s="28"/>
      <c r="E464" s="174"/>
      <c r="F464" s="28"/>
      <c r="G464" s="28"/>
      <c r="H464" s="28"/>
      <c r="I464" s="28"/>
      <c r="J464" s="28"/>
      <c r="K464" s="175"/>
      <c r="L464" s="175"/>
      <c r="M464" s="175"/>
    </row>
    <row r="465">
      <c r="A465" s="28"/>
      <c r="B465" s="122"/>
      <c r="C465" s="122"/>
      <c r="D465" s="28"/>
      <c r="E465" s="174"/>
      <c r="F465" s="28"/>
      <c r="G465" s="28"/>
      <c r="H465" s="28"/>
      <c r="I465" s="28"/>
      <c r="J465" s="28"/>
      <c r="K465" s="175"/>
      <c r="L465" s="175"/>
      <c r="M465" s="175"/>
    </row>
    <row r="466">
      <c r="A466" s="28"/>
      <c r="B466" s="122"/>
      <c r="C466" s="122"/>
      <c r="D466" s="28"/>
      <c r="E466" s="174"/>
      <c r="F466" s="28"/>
      <c r="G466" s="28"/>
      <c r="H466" s="28"/>
      <c r="I466" s="28"/>
      <c r="J466" s="28"/>
      <c r="K466" s="175"/>
      <c r="L466" s="175"/>
      <c r="M466" s="175"/>
    </row>
    <row r="467">
      <c r="A467" s="28"/>
      <c r="B467" s="122"/>
      <c r="C467" s="122"/>
      <c r="D467" s="28"/>
      <c r="E467" s="174"/>
      <c r="F467" s="28"/>
      <c r="G467" s="28"/>
      <c r="H467" s="28"/>
      <c r="I467" s="28"/>
      <c r="J467" s="28"/>
      <c r="K467" s="175"/>
      <c r="L467" s="175"/>
      <c r="M467" s="175"/>
    </row>
    <row r="468">
      <c r="A468" s="28"/>
      <c r="B468" s="122"/>
      <c r="C468" s="122"/>
      <c r="D468" s="28"/>
      <c r="E468" s="174"/>
      <c r="F468" s="28"/>
      <c r="G468" s="28"/>
      <c r="H468" s="28"/>
      <c r="I468" s="28"/>
      <c r="J468" s="28"/>
      <c r="K468" s="175"/>
      <c r="L468" s="175"/>
      <c r="M468" s="175"/>
    </row>
    <row r="469">
      <c r="A469" s="28"/>
      <c r="B469" s="122"/>
      <c r="C469" s="122"/>
      <c r="D469" s="28"/>
      <c r="E469" s="174"/>
      <c r="F469" s="28"/>
      <c r="G469" s="28"/>
      <c r="H469" s="28"/>
      <c r="I469" s="28"/>
      <c r="J469" s="28"/>
      <c r="K469" s="175"/>
      <c r="L469" s="175"/>
      <c r="M469" s="175"/>
    </row>
    <row r="470">
      <c r="A470" s="28"/>
      <c r="B470" s="122"/>
      <c r="C470" s="122"/>
      <c r="D470" s="28"/>
      <c r="E470" s="174"/>
      <c r="F470" s="28"/>
      <c r="G470" s="28"/>
      <c r="H470" s="28"/>
      <c r="I470" s="28"/>
      <c r="J470" s="28"/>
      <c r="K470" s="175"/>
      <c r="L470" s="175"/>
      <c r="M470" s="175"/>
    </row>
    <row r="471">
      <c r="A471" s="28"/>
      <c r="B471" s="122"/>
      <c r="C471" s="122"/>
      <c r="D471" s="28"/>
      <c r="E471" s="174"/>
      <c r="F471" s="28"/>
      <c r="G471" s="28"/>
      <c r="H471" s="28"/>
      <c r="I471" s="28"/>
      <c r="J471" s="28"/>
      <c r="K471" s="175"/>
      <c r="L471" s="175"/>
      <c r="M471" s="175"/>
    </row>
    <row r="472">
      <c r="A472" s="28"/>
      <c r="B472" s="122"/>
      <c r="C472" s="122"/>
      <c r="D472" s="28"/>
      <c r="E472" s="174"/>
      <c r="F472" s="28"/>
      <c r="G472" s="28"/>
      <c r="H472" s="28"/>
      <c r="I472" s="28"/>
      <c r="J472" s="28"/>
      <c r="K472" s="175"/>
      <c r="L472" s="175"/>
      <c r="M472" s="175"/>
    </row>
    <row r="473">
      <c r="A473" s="28"/>
      <c r="B473" s="122"/>
      <c r="C473" s="122"/>
      <c r="D473" s="28"/>
      <c r="E473" s="174"/>
      <c r="F473" s="28"/>
      <c r="G473" s="28"/>
      <c r="H473" s="28"/>
      <c r="I473" s="28"/>
      <c r="J473" s="28"/>
      <c r="K473" s="175"/>
      <c r="L473" s="175"/>
      <c r="M473" s="175"/>
    </row>
    <row r="474">
      <c r="A474" s="28"/>
      <c r="B474" s="122"/>
      <c r="C474" s="122"/>
      <c r="D474" s="28"/>
      <c r="E474" s="174"/>
      <c r="F474" s="28"/>
      <c r="G474" s="28"/>
      <c r="H474" s="28"/>
      <c r="I474" s="28"/>
      <c r="J474" s="28"/>
      <c r="K474" s="175"/>
      <c r="L474" s="175"/>
      <c r="M474" s="175"/>
    </row>
    <row r="475">
      <c r="A475" s="28"/>
      <c r="B475" s="122"/>
      <c r="C475" s="122"/>
      <c r="D475" s="28"/>
      <c r="E475" s="174"/>
      <c r="F475" s="28"/>
      <c r="G475" s="28"/>
      <c r="H475" s="28"/>
      <c r="I475" s="28"/>
      <c r="J475" s="28"/>
      <c r="K475" s="175"/>
      <c r="L475" s="175"/>
      <c r="M475" s="175"/>
    </row>
    <row r="476">
      <c r="A476" s="28"/>
      <c r="B476" s="122"/>
      <c r="C476" s="122"/>
      <c r="D476" s="28"/>
      <c r="E476" s="174"/>
      <c r="F476" s="28"/>
      <c r="G476" s="28"/>
      <c r="H476" s="28"/>
      <c r="I476" s="28"/>
      <c r="J476" s="28"/>
      <c r="K476" s="175"/>
      <c r="L476" s="175"/>
      <c r="M476" s="175"/>
    </row>
    <row r="477">
      <c r="A477" s="28"/>
      <c r="B477" s="122"/>
      <c r="C477" s="122"/>
      <c r="D477" s="28"/>
      <c r="E477" s="174"/>
      <c r="F477" s="28"/>
      <c r="G477" s="28"/>
      <c r="H477" s="28"/>
      <c r="I477" s="28"/>
      <c r="J477" s="28"/>
      <c r="K477" s="175"/>
      <c r="L477" s="175"/>
      <c r="M477" s="175"/>
    </row>
    <row r="478">
      <c r="A478" s="28"/>
      <c r="B478" s="122"/>
      <c r="C478" s="122"/>
      <c r="D478" s="28"/>
      <c r="E478" s="174"/>
      <c r="F478" s="28"/>
      <c r="G478" s="28"/>
      <c r="H478" s="28"/>
      <c r="I478" s="28"/>
      <c r="J478" s="28"/>
      <c r="K478" s="175"/>
      <c r="L478" s="175"/>
      <c r="M478" s="175"/>
    </row>
    <row r="479">
      <c r="A479" s="28"/>
      <c r="B479" s="122"/>
      <c r="C479" s="122"/>
      <c r="D479" s="28"/>
      <c r="E479" s="174"/>
      <c r="F479" s="28"/>
      <c r="G479" s="28"/>
      <c r="H479" s="28"/>
      <c r="I479" s="28"/>
      <c r="J479" s="28"/>
      <c r="K479" s="175"/>
      <c r="L479" s="175"/>
      <c r="M479" s="175"/>
    </row>
    <row r="480">
      <c r="A480" s="28"/>
      <c r="B480" s="122"/>
      <c r="C480" s="122"/>
      <c r="D480" s="28"/>
      <c r="E480" s="174"/>
      <c r="F480" s="28"/>
      <c r="G480" s="28"/>
      <c r="H480" s="28"/>
      <c r="I480" s="28"/>
      <c r="J480" s="28"/>
      <c r="K480" s="175"/>
      <c r="L480" s="175"/>
      <c r="M480" s="175"/>
    </row>
    <row r="481">
      <c r="A481" s="28"/>
      <c r="B481" s="122"/>
      <c r="C481" s="122"/>
      <c r="D481" s="28"/>
      <c r="E481" s="174"/>
      <c r="F481" s="28"/>
      <c r="G481" s="28"/>
      <c r="H481" s="28"/>
      <c r="I481" s="28"/>
      <c r="J481" s="28"/>
      <c r="K481" s="175"/>
      <c r="L481" s="175"/>
      <c r="M481" s="175"/>
    </row>
    <row r="482">
      <c r="A482" s="28"/>
      <c r="B482" s="122"/>
      <c r="C482" s="122"/>
      <c r="D482" s="28"/>
      <c r="E482" s="174"/>
      <c r="F482" s="28"/>
      <c r="G482" s="28"/>
      <c r="H482" s="28"/>
      <c r="I482" s="28"/>
      <c r="J482" s="28"/>
      <c r="K482" s="175"/>
      <c r="L482" s="175"/>
      <c r="M482" s="175"/>
    </row>
    <row r="483">
      <c r="A483" s="28"/>
      <c r="B483" s="122"/>
      <c r="C483" s="122"/>
      <c r="D483" s="28"/>
      <c r="E483" s="174"/>
      <c r="F483" s="28"/>
      <c r="G483" s="28"/>
      <c r="H483" s="28"/>
      <c r="I483" s="28"/>
      <c r="J483" s="28"/>
      <c r="K483" s="175"/>
      <c r="L483" s="175"/>
      <c r="M483" s="175"/>
    </row>
    <row r="484">
      <c r="A484" s="28"/>
      <c r="B484" s="122"/>
      <c r="C484" s="122"/>
      <c r="D484" s="28"/>
      <c r="E484" s="174"/>
      <c r="F484" s="28"/>
      <c r="G484" s="28"/>
      <c r="H484" s="28"/>
      <c r="I484" s="28"/>
      <c r="J484" s="28"/>
      <c r="K484" s="175"/>
      <c r="L484" s="175"/>
      <c r="M484" s="175"/>
    </row>
    <row r="485">
      <c r="A485" s="28"/>
      <c r="B485" s="122"/>
      <c r="C485" s="122"/>
      <c r="D485" s="28"/>
      <c r="E485" s="174"/>
      <c r="F485" s="28"/>
      <c r="G485" s="28"/>
      <c r="H485" s="28"/>
      <c r="I485" s="28"/>
      <c r="J485" s="28"/>
      <c r="K485" s="175"/>
      <c r="L485" s="175"/>
      <c r="M485" s="175"/>
    </row>
    <row r="486">
      <c r="A486" s="28"/>
      <c r="B486" s="122"/>
      <c r="C486" s="122"/>
      <c r="D486" s="28"/>
      <c r="E486" s="174"/>
      <c r="F486" s="28"/>
      <c r="G486" s="28"/>
      <c r="H486" s="28"/>
      <c r="I486" s="28"/>
      <c r="J486" s="28"/>
      <c r="K486" s="175"/>
      <c r="L486" s="175"/>
      <c r="M486" s="175"/>
    </row>
    <row r="487">
      <c r="A487" s="28"/>
      <c r="B487" s="122"/>
      <c r="C487" s="122"/>
      <c r="D487" s="28"/>
      <c r="E487" s="174"/>
      <c r="F487" s="28"/>
      <c r="G487" s="28"/>
      <c r="H487" s="28"/>
      <c r="I487" s="28"/>
      <c r="J487" s="28"/>
      <c r="K487" s="175"/>
      <c r="L487" s="175"/>
      <c r="M487" s="175"/>
    </row>
    <row r="488">
      <c r="A488" s="28"/>
      <c r="B488" s="122"/>
      <c r="C488" s="122"/>
      <c r="D488" s="28"/>
      <c r="E488" s="174"/>
      <c r="F488" s="28"/>
      <c r="G488" s="28"/>
      <c r="H488" s="28"/>
      <c r="I488" s="28"/>
      <c r="J488" s="28"/>
      <c r="K488" s="175"/>
      <c r="L488" s="175"/>
      <c r="M488" s="175"/>
    </row>
    <row r="489">
      <c r="A489" s="28"/>
      <c r="B489" s="122"/>
      <c r="C489" s="122"/>
      <c r="D489" s="28"/>
      <c r="E489" s="174"/>
      <c r="F489" s="28"/>
      <c r="G489" s="28"/>
      <c r="H489" s="28"/>
      <c r="I489" s="28"/>
      <c r="J489" s="28"/>
      <c r="K489" s="175"/>
      <c r="L489" s="175"/>
      <c r="M489" s="175"/>
    </row>
    <row r="490">
      <c r="A490" s="28"/>
      <c r="B490" s="122"/>
      <c r="C490" s="122"/>
      <c r="D490" s="28"/>
      <c r="E490" s="174"/>
      <c r="F490" s="28"/>
      <c r="G490" s="28"/>
      <c r="H490" s="28"/>
      <c r="I490" s="28"/>
      <c r="J490" s="28"/>
      <c r="K490" s="175"/>
      <c r="L490" s="175"/>
      <c r="M490" s="175"/>
    </row>
    <row r="491">
      <c r="A491" s="28"/>
      <c r="B491" s="122"/>
      <c r="C491" s="122"/>
      <c r="D491" s="28"/>
      <c r="E491" s="174"/>
      <c r="F491" s="28"/>
      <c r="G491" s="28"/>
      <c r="H491" s="28"/>
      <c r="I491" s="28"/>
      <c r="J491" s="28"/>
      <c r="K491" s="175"/>
      <c r="L491" s="175"/>
      <c r="M491" s="175"/>
    </row>
    <row r="492">
      <c r="A492" s="28"/>
      <c r="B492" s="122"/>
      <c r="C492" s="122"/>
      <c r="D492" s="28"/>
      <c r="E492" s="174"/>
      <c r="F492" s="28"/>
      <c r="G492" s="28"/>
      <c r="H492" s="28"/>
      <c r="I492" s="28"/>
      <c r="J492" s="28"/>
      <c r="K492" s="175"/>
      <c r="L492" s="175"/>
      <c r="M492" s="175"/>
    </row>
    <row r="493">
      <c r="A493" s="28"/>
      <c r="B493" s="122"/>
      <c r="C493" s="122"/>
      <c r="D493" s="28"/>
      <c r="E493" s="174"/>
      <c r="F493" s="28"/>
      <c r="G493" s="28"/>
      <c r="H493" s="28"/>
      <c r="I493" s="28"/>
      <c r="J493" s="28"/>
      <c r="K493" s="175"/>
      <c r="L493" s="175"/>
      <c r="M493" s="175"/>
    </row>
    <row r="494">
      <c r="A494" s="28"/>
      <c r="B494" s="122"/>
      <c r="C494" s="122"/>
      <c r="D494" s="28"/>
      <c r="E494" s="174"/>
      <c r="F494" s="28"/>
      <c r="G494" s="28"/>
      <c r="H494" s="28"/>
      <c r="I494" s="28"/>
      <c r="J494" s="28"/>
      <c r="K494" s="175"/>
      <c r="L494" s="175"/>
      <c r="M494" s="175"/>
    </row>
    <row r="495">
      <c r="A495" s="28"/>
      <c r="B495" s="122"/>
      <c r="C495" s="122"/>
      <c r="D495" s="28"/>
      <c r="E495" s="174"/>
      <c r="F495" s="28"/>
      <c r="G495" s="28"/>
      <c r="H495" s="28"/>
      <c r="I495" s="28"/>
      <c r="J495" s="28"/>
      <c r="K495" s="175"/>
      <c r="L495" s="175"/>
      <c r="M495" s="175"/>
    </row>
    <row r="496">
      <c r="A496" s="28"/>
      <c r="B496" s="122"/>
      <c r="C496" s="122"/>
      <c r="D496" s="28"/>
      <c r="E496" s="174"/>
      <c r="F496" s="28"/>
      <c r="G496" s="28"/>
      <c r="H496" s="28"/>
      <c r="I496" s="28"/>
      <c r="J496" s="28"/>
      <c r="K496" s="175"/>
      <c r="L496" s="175"/>
      <c r="M496" s="175"/>
    </row>
    <row r="497">
      <c r="A497" s="28"/>
      <c r="B497" s="122"/>
      <c r="C497" s="122"/>
      <c r="D497" s="28"/>
      <c r="E497" s="174"/>
      <c r="F497" s="28"/>
      <c r="G497" s="28"/>
      <c r="H497" s="28"/>
      <c r="I497" s="28"/>
      <c r="J497" s="28"/>
      <c r="K497" s="175"/>
      <c r="L497" s="175"/>
      <c r="M497" s="175"/>
    </row>
    <row r="498">
      <c r="A498" s="28"/>
      <c r="B498" s="122"/>
      <c r="C498" s="122"/>
      <c r="D498" s="28"/>
      <c r="E498" s="174"/>
      <c r="F498" s="28"/>
      <c r="G498" s="28"/>
      <c r="H498" s="28"/>
      <c r="I498" s="28"/>
      <c r="J498" s="28"/>
      <c r="K498" s="175"/>
      <c r="L498" s="175"/>
      <c r="M498" s="175"/>
    </row>
    <row r="499">
      <c r="A499" s="28"/>
      <c r="B499" s="122"/>
      <c r="C499" s="122"/>
      <c r="D499" s="28"/>
      <c r="E499" s="174"/>
      <c r="F499" s="28"/>
      <c r="G499" s="28"/>
      <c r="H499" s="28"/>
      <c r="I499" s="28"/>
      <c r="J499" s="28"/>
      <c r="K499" s="175"/>
      <c r="L499" s="175"/>
      <c r="M499" s="175"/>
    </row>
    <row r="500">
      <c r="A500" s="28"/>
      <c r="B500" s="122"/>
      <c r="C500" s="122"/>
      <c r="D500" s="28"/>
      <c r="E500" s="174"/>
      <c r="F500" s="28"/>
      <c r="G500" s="28"/>
      <c r="H500" s="28"/>
      <c r="I500" s="28"/>
      <c r="J500" s="28"/>
      <c r="K500" s="175"/>
      <c r="L500" s="175"/>
      <c r="M500" s="175"/>
    </row>
    <row r="501">
      <c r="A501" s="28"/>
      <c r="B501" s="122"/>
      <c r="C501" s="122"/>
      <c r="D501" s="28"/>
      <c r="E501" s="174"/>
      <c r="F501" s="28"/>
      <c r="G501" s="28"/>
      <c r="H501" s="28"/>
      <c r="I501" s="28"/>
      <c r="J501" s="28"/>
      <c r="K501" s="175"/>
      <c r="L501" s="175"/>
      <c r="M501" s="175"/>
    </row>
    <row r="502">
      <c r="A502" s="28"/>
      <c r="B502" s="122"/>
      <c r="C502" s="122"/>
      <c r="D502" s="28"/>
      <c r="E502" s="174"/>
      <c r="F502" s="28"/>
      <c r="G502" s="28"/>
      <c r="H502" s="28"/>
      <c r="I502" s="28"/>
      <c r="J502" s="28"/>
      <c r="K502" s="175"/>
      <c r="L502" s="175"/>
      <c r="M502" s="175"/>
    </row>
    <row r="503">
      <c r="A503" s="28"/>
      <c r="B503" s="122"/>
      <c r="C503" s="122"/>
      <c r="D503" s="28"/>
      <c r="E503" s="174"/>
      <c r="F503" s="28"/>
      <c r="G503" s="28"/>
      <c r="H503" s="28"/>
      <c r="I503" s="28"/>
      <c r="J503" s="28"/>
      <c r="K503" s="175"/>
      <c r="L503" s="175"/>
      <c r="M503" s="175"/>
    </row>
    <row r="504">
      <c r="A504" s="28"/>
      <c r="B504" s="122"/>
      <c r="C504" s="122"/>
      <c r="D504" s="28"/>
      <c r="E504" s="174"/>
      <c r="F504" s="28"/>
      <c r="G504" s="28"/>
      <c r="H504" s="28"/>
      <c r="I504" s="28"/>
      <c r="J504" s="28"/>
      <c r="K504" s="175"/>
      <c r="L504" s="175"/>
      <c r="M504" s="175"/>
    </row>
    <row r="505">
      <c r="A505" s="28"/>
      <c r="B505" s="122"/>
      <c r="C505" s="122"/>
      <c r="D505" s="28"/>
      <c r="E505" s="174"/>
      <c r="F505" s="28"/>
      <c r="G505" s="28"/>
      <c r="H505" s="28"/>
      <c r="I505" s="28"/>
      <c r="J505" s="28"/>
      <c r="K505" s="175"/>
      <c r="L505" s="175"/>
      <c r="M505" s="175"/>
    </row>
    <row r="506">
      <c r="A506" s="28"/>
      <c r="B506" s="122"/>
      <c r="C506" s="122"/>
      <c r="D506" s="28"/>
      <c r="E506" s="174"/>
      <c r="F506" s="28"/>
      <c r="G506" s="28"/>
      <c r="H506" s="28"/>
      <c r="I506" s="28"/>
      <c r="J506" s="28"/>
      <c r="K506" s="175"/>
      <c r="L506" s="175"/>
      <c r="M506" s="175"/>
    </row>
    <row r="507">
      <c r="A507" s="28"/>
      <c r="B507" s="122"/>
      <c r="C507" s="122"/>
      <c r="D507" s="28"/>
      <c r="E507" s="174"/>
      <c r="F507" s="28"/>
      <c r="G507" s="28"/>
      <c r="H507" s="28"/>
      <c r="I507" s="28"/>
      <c r="J507" s="28"/>
      <c r="K507" s="175"/>
      <c r="L507" s="175"/>
      <c r="M507" s="175"/>
    </row>
    <row r="508">
      <c r="A508" s="28"/>
      <c r="B508" s="122"/>
      <c r="C508" s="122"/>
      <c r="D508" s="28"/>
      <c r="E508" s="174"/>
      <c r="F508" s="28"/>
      <c r="G508" s="28"/>
      <c r="H508" s="28"/>
      <c r="I508" s="28"/>
      <c r="J508" s="28"/>
      <c r="K508" s="175"/>
      <c r="L508" s="175"/>
      <c r="M508" s="175"/>
    </row>
    <row r="509">
      <c r="A509" s="28"/>
      <c r="B509" s="122"/>
      <c r="C509" s="122"/>
      <c r="D509" s="28"/>
      <c r="E509" s="174"/>
      <c r="F509" s="28"/>
      <c r="G509" s="28"/>
      <c r="H509" s="28"/>
      <c r="I509" s="28"/>
      <c r="J509" s="28"/>
      <c r="K509" s="175"/>
      <c r="L509" s="175"/>
      <c r="M509" s="175"/>
    </row>
    <row r="510">
      <c r="A510" s="28"/>
      <c r="B510" s="122"/>
      <c r="C510" s="122"/>
      <c r="D510" s="28"/>
      <c r="E510" s="174"/>
      <c r="F510" s="28"/>
      <c r="G510" s="28"/>
      <c r="H510" s="28"/>
      <c r="I510" s="28"/>
      <c r="J510" s="28"/>
      <c r="K510" s="175"/>
      <c r="L510" s="175"/>
      <c r="M510" s="175"/>
    </row>
    <row r="511">
      <c r="A511" s="28"/>
      <c r="B511" s="122"/>
      <c r="C511" s="122"/>
      <c r="D511" s="28"/>
      <c r="E511" s="174"/>
      <c r="F511" s="28"/>
      <c r="G511" s="28"/>
      <c r="H511" s="28"/>
      <c r="I511" s="28"/>
      <c r="J511" s="28"/>
      <c r="K511" s="175"/>
      <c r="L511" s="175"/>
      <c r="M511" s="175"/>
    </row>
    <row r="512">
      <c r="A512" s="28"/>
      <c r="B512" s="122"/>
      <c r="C512" s="122"/>
      <c r="D512" s="28"/>
      <c r="E512" s="174"/>
      <c r="F512" s="28"/>
      <c r="G512" s="28"/>
      <c r="H512" s="28"/>
      <c r="I512" s="28"/>
      <c r="J512" s="28"/>
      <c r="K512" s="175"/>
      <c r="L512" s="175"/>
      <c r="M512" s="175"/>
    </row>
    <row r="513">
      <c r="A513" s="28"/>
      <c r="B513" s="122"/>
      <c r="C513" s="122"/>
      <c r="D513" s="28"/>
      <c r="E513" s="174"/>
      <c r="F513" s="28"/>
      <c r="G513" s="28"/>
      <c r="H513" s="28"/>
      <c r="I513" s="28"/>
      <c r="J513" s="28"/>
      <c r="K513" s="175"/>
      <c r="L513" s="175"/>
      <c r="M513" s="175"/>
    </row>
    <row r="514">
      <c r="A514" s="28"/>
      <c r="B514" s="122"/>
      <c r="C514" s="122"/>
      <c r="D514" s="28"/>
      <c r="E514" s="174"/>
      <c r="F514" s="28"/>
      <c r="G514" s="28"/>
      <c r="H514" s="28"/>
      <c r="I514" s="28"/>
      <c r="J514" s="28"/>
      <c r="K514" s="175"/>
      <c r="L514" s="175"/>
      <c r="M514" s="175"/>
    </row>
    <row r="515">
      <c r="A515" s="28"/>
      <c r="B515" s="122"/>
      <c r="C515" s="122"/>
      <c r="D515" s="28"/>
      <c r="E515" s="174"/>
      <c r="F515" s="28"/>
      <c r="G515" s="28"/>
      <c r="H515" s="28"/>
      <c r="I515" s="28"/>
      <c r="J515" s="28"/>
      <c r="K515" s="175"/>
      <c r="L515" s="175"/>
      <c r="M515" s="175"/>
    </row>
    <row r="516">
      <c r="A516" s="28"/>
      <c r="B516" s="122"/>
      <c r="C516" s="122"/>
      <c r="D516" s="28"/>
      <c r="E516" s="174"/>
      <c r="F516" s="28"/>
      <c r="G516" s="28"/>
      <c r="H516" s="28"/>
      <c r="I516" s="28"/>
      <c r="J516" s="28"/>
      <c r="K516" s="175"/>
      <c r="L516" s="175"/>
      <c r="M516" s="175"/>
    </row>
    <row r="517">
      <c r="A517" s="28"/>
      <c r="B517" s="122"/>
      <c r="C517" s="122"/>
      <c r="D517" s="28"/>
      <c r="E517" s="174"/>
      <c r="F517" s="28"/>
      <c r="G517" s="28"/>
      <c r="H517" s="28"/>
      <c r="I517" s="28"/>
      <c r="J517" s="28"/>
      <c r="K517" s="175"/>
      <c r="L517" s="175"/>
      <c r="M517" s="175"/>
    </row>
    <row r="518">
      <c r="A518" s="28"/>
      <c r="B518" s="122"/>
      <c r="C518" s="122"/>
      <c r="D518" s="28"/>
      <c r="E518" s="174"/>
      <c r="F518" s="28"/>
      <c r="G518" s="28"/>
      <c r="H518" s="28"/>
      <c r="I518" s="28"/>
      <c r="J518" s="28"/>
      <c r="K518" s="175"/>
      <c r="L518" s="175"/>
      <c r="M518" s="175"/>
    </row>
    <row r="519">
      <c r="A519" s="28"/>
      <c r="B519" s="122"/>
      <c r="C519" s="122"/>
      <c r="D519" s="28"/>
      <c r="E519" s="174"/>
      <c r="F519" s="28"/>
      <c r="G519" s="28"/>
      <c r="H519" s="28"/>
      <c r="I519" s="28"/>
      <c r="J519" s="28"/>
      <c r="K519" s="175"/>
      <c r="L519" s="175"/>
      <c r="M519" s="175"/>
    </row>
    <row r="520">
      <c r="A520" s="28"/>
      <c r="B520" s="122"/>
      <c r="C520" s="122"/>
      <c r="D520" s="28"/>
      <c r="E520" s="174"/>
      <c r="F520" s="28"/>
      <c r="G520" s="28"/>
      <c r="H520" s="28"/>
      <c r="I520" s="28"/>
      <c r="J520" s="28"/>
      <c r="K520" s="175"/>
      <c r="L520" s="175"/>
      <c r="M520" s="175"/>
    </row>
    <row r="521">
      <c r="A521" s="28"/>
      <c r="B521" s="122"/>
      <c r="C521" s="122"/>
      <c r="D521" s="28"/>
      <c r="E521" s="174"/>
      <c r="F521" s="28"/>
      <c r="G521" s="28"/>
      <c r="H521" s="28"/>
      <c r="I521" s="28"/>
      <c r="J521" s="28"/>
      <c r="K521" s="175"/>
      <c r="L521" s="175"/>
      <c r="M521" s="175"/>
    </row>
    <row r="522">
      <c r="A522" s="28"/>
      <c r="B522" s="122"/>
      <c r="C522" s="122"/>
      <c r="D522" s="28"/>
      <c r="E522" s="174"/>
      <c r="F522" s="28"/>
      <c r="G522" s="28"/>
      <c r="H522" s="28"/>
      <c r="I522" s="28"/>
      <c r="J522" s="28"/>
      <c r="K522" s="175"/>
      <c r="L522" s="175"/>
      <c r="M522" s="175"/>
    </row>
    <row r="523">
      <c r="A523" s="28"/>
      <c r="B523" s="122"/>
      <c r="C523" s="122"/>
      <c r="D523" s="28"/>
      <c r="E523" s="174"/>
      <c r="F523" s="28"/>
      <c r="G523" s="28"/>
      <c r="H523" s="28"/>
      <c r="I523" s="28"/>
      <c r="J523" s="28"/>
      <c r="K523" s="175"/>
      <c r="L523" s="175"/>
      <c r="M523" s="175"/>
    </row>
    <row r="524">
      <c r="A524" s="28"/>
      <c r="B524" s="122"/>
      <c r="C524" s="122"/>
      <c r="D524" s="28"/>
      <c r="E524" s="174"/>
      <c r="F524" s="28"/>
      <c r="G524" s="28"/>
      <c r="H524" s="28"/>
      <c r="I524" s="28"/>
      <c r="J524" s="28"/>
      <c r="K524" s="175"/>
      <c r="L524" s="175"/>
      <c r="M524" s="175"/>
    </row>
    <row r="525">
      <c r="A525" s="28"/>
      <c r="B525" s="122"/>
      <c r="C525" s="122"/>
      <c r="D525" s="28"/>
      <c r="E525" s="174"/>
      <c r="F525" s="28"/>
      <c r="G525" s="28"/>
      <c r="H525" s="28"/>
      <c r="I525" s="28"/>
      <c r="J525" s="28"/>
      <c r="K525" s="175"/>
      <c r="L525" s="175"/>
      <c r="M525" s="175"/>
    </row>
    <row r="526">
      <c r="A526" s="28"/>
      <c r="B526" s="122"/>
      <c r="C526" s="122"/>
      <c r="D526" s="28"/>
      <c r="E526" s="174"/>
      <c r="F526" s="28"/>
      <c r="G526" s="28"/>
      <c r="H526" s="28"/>
      <c r="I526" s="28"/>
      <c r="J526" s="28"/>
      <c r="K526" s="175"/>
      <c r="L526" s="175"/>
      <c r="M526" s="175"/>
    </row>
    <row r="527">
      <c r="A527" s="28"/>
      <c r="B527" s="122"/>
      <c r="C527" s="122"/>
      <c r="D527" s="28"/>
      <c r="E527" s="174"/>
      <c r="F527" s="28"/>
      <c r="G527" s="28"/>
      <c r="H527" s="28"/>
      <c r="I527" s="28"/>
      <c r="J527" s="28"/>
      <c r="K527" s="175"/>
      <c r="L527" s="175"/>
      <c r="M527" s="175"/>
    </row>
    <row r="528">
      <c r="A528" s="28"/>
      <c r="B528" s="122"/>
      <c r="C528" s="122"/>
      <c r="D528" s="28"/>
      <c r="E528" s="174"/>
      <c r="F528" s="28"/>
      <c r="G528" s="28"/>
      <c r="H528" s="28"/>
      <c r="I528" s="28"/>
      <c r="J528" s="28"/>
      <c r="K528" s="175"/>
      <c r="L528" s="175"/>
      <c r="M528" s="175"/>
    </row>
    <row r="529">
      <c r="A529" s="28"/>
      <c r="B529" s="122"/>
      <c r="C529" s="122"/>
      <c r="D529" s="28"/>
      <c r="E529" s="174"/>
      <c r="F529" s="28"/>
      <c r="G529" s="28"/>
      <c r="H529" s="28"/>
      <c r="I529" s="28"/>
      <c r="J529" s="28"/>
      <c r="K529" s="175"/>
      <c r="L529" s="175"/>
      <c r="M529" s="175"/>
    </row>
    <row r="530">
      <c r="A530" s="28"/>
      <c r="B530" s="122"/>
      <c r="C530" s="122"/>
      <c r="D530" s="28"/>
      <c r="E530" s="174"/>
      <c r="F530" s="28"/>
      <c r="G530" s="28"/>
      <c r="H530" s="28"/>
      <c r="I530" s="28"/>
      <c r="J530" s="28"/>
      <c r="K530" s="175"/>
      <c r="L530" s="175"/>
      <c r="M530" s="175"/>
    </row>
    <row r="531">
      <c r="A531" s="28"/>
      <c r="B531" s="122"/>
      <c r="C531" s="122"/>
      <c r="D531" s="28"/>
      <c r="E531" s="174"/>
      <c r="F531" s="28"/>
      <c r="G531" s="28"/>
      <c r="H531" s="28"/>
      <c r="I531" s="28"/>
      <c r="J531" s="28"/>
      <c r="K531" s="175"/>
      <c r="L531" s="175"/>
      <c r="M531" s="175"/>
    </row>
    <row r="532">
      <c r="A532" s="28"/>
      <c r="B532" s="122"/>
      <c r="C532" s="122"/>
      <c r="D532" s="28"/>
      <c r="E532" s="174"/>
      <c r="F532" s="28"/>
      <c r="G532" s="28"/>
      <c r="H532" s="28"/>
      <c r="I532" s="28"/>
      <c r="J532" s="28"/>
      <c r="K532" s="175"/>
      <c r="L532" s="175"/>
      <c r="M532" s="175"/>
    </row>
    <row r="533">
      <c r="A533" s="28"/>
      <c r="B533" s="122"/>
      <c r="C533" s="122"/>
      <c r="D533" s="28"/>
      <c r="E533" s="174"/>
      <c r="F533" s="28"/>
      <c r="G533" s="28"/>
      <c r="H533" s="28"/>
      <c r="I533" s="28"/>
      <c r="J533" s="28"/>
      <c r="K533" s="175"/>
      <c r="L533" s="175"/>
      <c r="M533" s="175"/>
    </row>
    <row r="534">
      <c r="A534" s="28"/>
      <c r="B534" s="122"/>
      <c r="C534" s="122"/>
      <c r="D534" s="28"/>
      <c r="E534" s="174"/>
      <c r="F534" s="28"/>
      <c r="G534" s="28"/>
      <c r="H534" s="28"/>
      <c r="I534" s="28"/>
      <c r="J534" s="28"/>
      <c r="K534" s="175"/>
      <c r="L534" s="175"/>
      <c r="M534" s="175"/>
    </row>
    <row r="535">
      <c r="A535" s="28"/>
      <c r="B535" s="122"/>
      <c r="C535" s="122"/>
      <c r="D535" s="28"/>
      <c r="E535" s="174"/>
      <c r="F535" s="28"/>
      <c r="G535" s="28"/>
      <c r="H535" s="28"/>
      <c r="I535" s="28"/>
      <c r="J535" s="28"/>
      <c r="K535" s="175"/>
      <c r="L535" s="175"/>
      <c r="M535" s="175"/>
    </row>
    <row r="536">
      <c r="A536" s="28"/>
      <c r="B536" s="122"/>
      <c r="C536" s="122"/>
      <c r="D536" s="28"/>
      <c r="E536" s="174"/>
      <c r="F536" s="28"/>
      <c r="G536" s="28"/>
      <c r="H536" s="28"/>
      <c r="I536" s="28"/>
      <c r="J536" s="28"/>
      <c r="K536" s="175"/>
      <c r="L536" s="175"/>
      <c r="M536" s="175"/>
    </row>
    <row r="537">
      <c r="A537" s="28"/>
      <c r="B537" s="122"/>
      <c r="C537" s="122"/>
      <c r="D537" s="28"/>
      <c r="E537" s="174"/>
      <c r="F537" s="28"/>
      <c r="G537" s="28"/>
      <c r="H537" s="28"/>
      <c r="I537" s="28"/>
      <c r="J537" s="28"/>
      <c r="K537" s="175"/>
      <c r="L537" s="175"/>
      <c r="M537" s="175"/>
    </row>
    <row r="538">
      <c r="A538" s="28"/>
      <c r="B538" s="122"/>
      <c r="C538" s="122"/>
      <c r="D538" s="28"/>
      <c r="E538" s="174"/>
      <c r="F538" s="28"/>
      <c r="G538" s="28"/>
      <c r="H538" s="28"/>
      <c r="I538" s="28"/>
      <c r="J538" s="28"/>
      <c r="K538" s="175"/>
      <c r="L538" s="175"/>
      <c r="M538" s="175"/>
    </row>
    <row r="539">
      <c r="A539" s="28"/>
      <c r="B539" s="122"/>
      <c r="C539" s="122"/>
      <c r="D539" s="28"/>
      <c r="E539" s="174"/>
      <c r="F539" s="28"/>
      <c r="G539" s="28"/>
      <c r="H539" s="28"/>
      <c r="I539" s="28"/>
      <c r="J539" s="28"/>
      <c r="K539" s="175"/>
      <c r="L539" s="175"/>
      <c r="M539" s="175"/>
    </row>
    <row r="540">
      <c r="A540" s="28"/>
      <c r="B540" s="122"/>
      <c r="C540" s="122"/>
      <c r="D540" s="28"/>
      <c r="E540" s="174"/>
      <c r="F540" s="28"/>
      <c r="G540" s="28"/>
      <c r="H540" s="28"/>
      <c r="I540" s="28"/>
      <c r="J540" s="28"/>
      <c r="K540" s="175"/>
      <c r="L540" s="175"/>
      <c r="M540" s="175"/>
    </row>
    <row r="541">
      <c r="A541" s="28"/>
      <c r="B541" s="122"/>
      <c r="C541" s="122"/>
      <c r="D541" s="28"/>
      <c r="E541" s="174"/>
      <c r="F541" s="28"/>
      <c r="G541" s="28"/>
      <c r="H541" s="28"/>
      <c r="I541" s="28"/>
      <c r="J541" s="28"/>
      <c r="K541" s="175"/>
      <c r="L541" s="175"/>
      <c r="M541" s="175"/>
    </row>
    <row r="542">
      <c r="A542" s="28"/>
      <c r="B542" s="122"/>
      <c r="C542" s="122"/>
      <c r="D542" s="28"/>
      <c r="E542" s="174"/>
      <c r="F542" s="28"/>
      <c r="G542" s="28"/>
      <c r="H542" s="28"/>
      <c r="I542" s="28"/>
      <c r="J542" s="28"/>
      <c r="K542" s="175"/>
      <c r="L542" s="175"/>
      <c r="M542" s="175"/>
    </row>
    <row r="543">
      <c r="A543" s="28"/>
      <c r="B543" s="122"/>
      <c r="C543" s="122"/>
      <c r="D543" s="28"/>
      <c r="E543" s="174"/>
      <c r="F543" s="28"/>
      <c r="G543" s="28"/>
      <c r="H543" s="28"/>
      <c r="I543" s="28"/>
      <c r="J543" s="28"/>
      <c r="K543" s="175"/>
      <c r="L543" s="175"/>
      <c r="M543" s="175"/>
    </row>
    <row r="544">
      <c r="A544" s="28"/>
      <c r="B544" s="122"/>
      <c r="C544" s="122"/>
      <c r="D544" s="28"/>
      <c r="E544" s="174"/>
      <c r="F544" s="28"/>
      <c r="G544" s="28"/>
      <c r="H544" s="28"/>
      <c r="I544" s="28"/>
      <c r="J544" s="28"/>
      <c r="K544" s="175"/>
      <c r="L544" s="175"/>
      <c r="M544" s="175"/>
    </row>
    <row r="545">
      <c r="A545" s="28"/>
      <c r="B545" s="122"/>
      <c r="C545" s="122"/>
      <c r="D545" s="28"/>
      <c r="E545" s="174"/>
      <c r="F545" s="28"/>
      <c r="G545" s="28"/>
      <c r="H545" s="28"/>
      <c r="I545" s="28"/>
      <c r="J545" s="28"/>
      <c r="K545" s="175"/>
      <c r="L545" s="175"/>
      <c r="M545" s="175"/>
    </row>
    <row r="546">
      <c r="A546" s="28"/>
      <c r="B546" s="122"/>
      <c r="C546" s="122"/>
      <c r="D546" s="28"/>
      <c r="E546" s="174"/>
      <c r="F546" s="28"/>
      <c r="G546" s="28"/>
      <c r="H546" s="28"/>
      <c r="I546" s="28"/>
      <c r="J546" s="28"/>
      <c r="K546" s="175"/>
      <c r="L546" s="175"/>
      <c r="M546" s="175"/>
    </row>
    <row r="547">
      <c r="A547" s="28"/>
      <c r="B547" s="122"/>
      <c r="C547" s="122"/>
      <c r="D547" s="28"/>
      <c r="E547" s="174"/>
      <c r="F547" s="28"/>
      <c r="G547" s="28"/>
      <c r="H547" s="28"/>
      <c r="I547" s="28"/>
      <c r="J547" s="28"/>
      <c r="K547" s="175"/>
      <c r="L547" s="175"/>
      <c r="M547" s="175"/>
    </row>
    <row r="548">
      <c r="A548" s="28"/>
      <c r="B548" s="122"/>
      <c r="C548" s="122"/>
      <c r="D548" s="28"/>
      <c r="E548" s="174"/>
      <c r="F548" s="28"/>
      <c r="G548" s="28"/>
      <c r="H548" s="28"/>
      <c r="I548" s="28"/>
      <c r="J548" s="28"/>
      <c r="K548" s="175"/>
      <c r="L548" s="175"/>
      <c r="M548" s="175"/>
    </row>
    <row r="549">
      <c r="A549" s="28"/>
      <c r="B549" s="122"/>
      <c r="C549" s="122"/>
      <c r="D549" s="28"/>
      <c r="E549" s="174"/>
      <c r="F549" s="28"/>
      <c r="G549" s="28"/>
      <c r="H549" s="28"/>
      <c r="I549" s="28"/>
      <c r="J549" s="28"/>
      <c r="K549" s="175"/>
      <c r="L549" s="175"/>
      <c r="M549" s="175"/>
    </row>
    <row r="550">
      <c r="A550" s="28"/>
      <c r="B550" s="122"/>
      <c r="C550" s="122"/>
      <c r="D550" s="28"/>
      <c r="E550" s="174"/>
      <c r="F550" s="28"/>
      <c r="G550" s="28"/>
      <c r="H550" s="28"/>
      <c r="I550" s="28"/>
      <c r="J550" s="28"/>
      <c r="K550" s="175"/>
      <c r="L550" s="175"/>
      <c r="M550" s="175"/>
    </row>
    <row r="551">
      <c r="A551" s="28"/>
      <c r="B551" s="122"/>
      <c r="C551" s="122"/>
      <c r="D551" s="28"/>
      <c r="E551" s="174"/>
      <c r="F551" s="28"/>
      <c r="G551" s="28"/>
      <c r="H551" s="28"/>
      <c r="I551" s="28"/>
      <c r="J551" s="28"/>
      <c r="K551" s="175"/>
      <c r="L551" s="175"/>
      <c r="M551" s="175"/>
    </row>
    <row r="552">
      <c r="A552" s="28"/>
      <c r="B552" s="122"/>
      <c r="C552" s="122"/>
      <c r="D552" s="28"/>
      <c r="E552" s="174"/>
      <c r="F552" s="28"/>
      <c r="G552" s="28"/>
      <c r="H552" s="28"/>
      <c r="I552" s="28"/>
      <c r="J552" s="28"/>
      <c r="K552" s="175"/>
      <c r="L552" s="175"/>
      <c r="M552" s="175"/>
    </row>
    <row r="553">
      <c r="A553" s="28"/>
      <c r="B553" s="122"/>
      <c r="C553" s="122"/>
      <c r="D553" s="28"/>
      <c r="E553" s="174"/>
      <c r="F553" s="28"/>
      <c r="G553" s="28"/>
      <c r="H553" s="28"/>
      <c r="I553" s="28"/>
      <c r="J553" s="28"/>
      <c r="K553" s="175"/>
      <c r="L553" s="175"/>
      <c r="M553" s="175"/>
    </row>
    <row r="554">
      <c r="A554" s="28"/>
      <c r="B554" s="122"/>
      <c r="C554" s="122"/>
      <c r="D554" s="28"/>
      <c r="E554" s="174"/>
      <c r="F554" s="28"/>
      <c r="G554" s="28"/>
      <c r="H554" s="28"/>
      <c r="I554" s="28"/>
      <c r="J554" s="28"/>
      <c r="K554" s="175"/>
      <c r="L554" s="175"/>
      <c r="M554" s="175"/>
    </row>
    <row r="555">
      <c r="A555" s="28"/>
      <c r="B555" s="122"/>
      <c r="C555" s="122"/>
      <c r="D555" s="28"/>
      <c r="E555" s="174"/>
      <c r="F555" s="28"/>
      <c r="G555" s="28"/>
      <c r="H555" s="28"/>
      <c r="I555" s="28"/>
      <c r="J555" s="28"/>
      <c r="K555" s="175"/>
      <c r="L555" s="175"/>
      <c r="M555" s="175"/>
    </row>
    <row r="556">
      <c r="A556" s="28"/>
      <c r="B556" s="122"/>
      <c r="C556" s="122"/>
      <c r="D556" s="28"/>
      <c r="E556" s="174"/>
      <c r="F556" s="28"/>
      <c r="G556" s="28"/>
      <c r="H556" s="28"/>
      <c r="I556" s="28"/>
      <c r="J556" s="28"/>
      <c r="K556" s="175"/>
      <c r="L556" s="175"/>
      <c r="M556" s="175"/>
    </row>
    <row r="557">
      <c r="A557" s="28"/>
      <c r="B557" s="122"/>
      <c r="C557" s="122"/>
      <c r="D557" s="28"/>
      <c r="E557" s="174"/>
      <c r="F557" s="28"/>
      <c r="G557" s="28"/>
      <c r="H557" s="28"/>
      <c r="I557" s="28"/>
      <c r="J557" s="28"/>
      <c r="K557" s="175"/>
      <c r="L557" s="175"/>
      <c r="M557" s="175"/>
    </row>
    <row r="558">
      <c r="A558" s="28"/>
      <c r="B558" s="122"/>
      <c r="C558" s="122"/>
      <c r="D558" s="28"/>
      <c r="E558" s="174"/>
      <c r="F558" s="28"/>
      <c r="G558" s="28"/>
      <c r="H558" s="28"/>
      <c r="I558" s="28"/>
      <c r="J558" s="28"/>
      <c r="K558" s="175"/>
      <c r="L558" s="175"/>
      <c r="M558" s="175"/>
    </row>
    <row r="559">
      <c r="A559" s="28"/>
      <c r="B559" s="122"/>
      <c r="C559" s="122"/>
      <c r="D559" s="28"/>
      <c r="E559" s="174"/>
      <c r="F559" s="28"/>
      <c r="G559" s="28"/>
      <c r="H559" s="28"/>
      <c r="I559" s="28"/>
      <c r="J559" s="28"/>
      <c r="K559" s="175"/>
      <c r="L559" s="175"/>
      <c r="M559" s="175"/>
    </row>
    <row r="560">
      <c r="A560" s="28"/>
      <c r="B560" s="122"/>
      <c r="C560" s="122"/>
      <c r="D560" s="28"/>
      <c r="E560" s="174"/>
      <c r="F560" s="28"/>
      <c r="G560" s="28"/>
      <c r="H560" s="28"/>
      <c r="I560" s="28"/>
      <c r="J560" s="28"/>
      <c r="K560" s="175"/>
      <c r="L560" s="175"/>
      <c r="M560" s="175"/>
    </row>
    <row r="561">
      <c r="A561" s="28"/>
      <c r="B561" s="122"/>
      <c r="C561" s="122"/>
      <c r="D561" s="28"/>
      <c r="E561" s="174"/>
      <c r="F561" s="28"/>
      <c r="G561" s="28"/>
      <c r="H561" s="28"/>
      <c r="I561" s="28"/>
      <c r="J561" s="28"/>
      <c r="K561" s="175"/>
      <c r="L561" s="175"/>
      <c r="M561" s="175"/>
    </row>
    <row r="562">
      <c r="A562" s="28"/>
      <c r="B562" s="122"/>
      <c r="C562" s="122"/>
      <c r="D562" s="28"/>
      <c r="E562" s="174"/>
      <c r="F562" s="28"/>
      <c r="G562" s="28"/>
      <c r="H562" s="28"/>
      <c r="I562" s="28"/>
      <c r="J562" s="28"/>
      <c r="K562" s="175"/>
      <c r="L562" s="175"/>
      <c r="M562" s="175"/>
    </row>
    <row r="563">
      <c r="A563" s="28"/>
      <c r="B563" s="122"/>
      <c r="C563" s="122"/>
      <c r="D563" s="28"/>
      <c r="E563" s="174"/>
      <c r="F563" s="28"/>
      <c r="G563" s="28"/>
      <c r="H563" s="28"/>
      <c r="I563" s="28"/>
      <c r="J563" s="28"/>
      <c r="K563" s="175"/>
      <c r="L563" s="175"/>
      <c r="M563" s="175"/>
    </row>
    <row r="564">
      <c r="A564" s="28"/>
      <c r="B564" s="122"/>
      <c r="C564" s="122"/>
      <c r="D564" s="28"/>
      <c r="E564" s="174"/>
      <c r="F564" s="28"/>
      <c r="G564" s="28"/>
      <c r="H564" s="28"/>
      <c r="I564" s="28"/>
      <c r="J564" s="28"/>
      <c r="K564" s="175"/>
      <c r="L564" s="175"/>
      <c r="M564" s="175"/>
    </row>
    <row r="565">
      <c r="A565" s="28"/>
      <c r="B565" s="122"/>
      <c r="C565" s="122"/>
      <c r="D565" s="28"/>
      <c r="E565" s="174"/>
      <c r="F565" s="28"/>
      <c r="G565" s="28"/>
      <c r="H565" s="28"/>
      <c r="I565" s="28"/>
      <c r="J565" s="28"/>
      <c r="K565" s="175"/>
      <c r="L565" s="175"/>
      <c r="M565" s="175"/>
    </row>
    <row r="566">
      <c r="A566" s="28"/>
      <c r="B566" s="122"/>
      <c r="C566" s="122"/>
      <c r="D566" s="28"/>
      <c r="E566" s="174"/>
      <c r="F566" s="28"/>
      <c r="G566" s="28"/>
      <c r="H566" s="28"/>
      <c r="I566" s="28"/>
      <c r="J566" s="28"/>
      <c r="K566" s="175"/>
      <c r="L566" s="175"/>
      <c r="M566" s="175"/>
    </row>
    <row r="567">
      <c r="A567" s="28"/>
      <c r="B567" s="122"/>
      <c r="C567" s="122"/>
      <c r="D567" s="28"/>
      <c r="E567" s="174"/>
      <c r="F567" s="28"/>
      <c r="G567" s="28"/>
      <c r="H567" s="28"/>
      <c r="I567" s="28"/>
      <c r="J567" s="28"/>
      <c r="K567" s="175"/>
      <c r="L567" s="175"/>
      <c r="M567" s="175"/>
    </row>
    <row r="568">
      <c r="A568" s="28"/>
      <c r="B568" s="122"/>
      <c r="C568" s="122"/>
      <c r="D568" s="28"/>
      <c r="E568" s="174"/>
      <c r="F568" s="28"/>
      <c r="G568" s="28"/>
      <c r="H568" s="28"/>
      <c r="I568" s="28"/>
      <c r="J568" s="28"/>
      <c r="K568" s="175"/>
      <c r="L568" s="175"/>
      <c r="M568" s="175"/>
    </row>
    <row r="569">
      <c r="A569" s="28"/>
      <c r="B569" s="122"/>
      <c r="C569" s="122"/>
      <c r="D569" s="28"/>
      <c r="E569" s="174"/>
      <c r="F569" s="28"/>
      <c r="G569" s="28"/>
      <c r="H569" s="28"/>
      <c r="I569" s="28"/>
      <c r="J569" s="28"/>
      <c r="K569" s="175"/>
      <c r="L569" s="175"/>
      <c r="M569" s="175"/>
    </row>
    <row r="570">
      <c r="A570" s="28"/>
      <c r="B570" s="122"/>
      <c r="C570" s="122"/>
      <c r="D570" s="28"/>
      <c r="E570" s="174"/>
      <c r="F570" s="28"/>
      <c r="G570" s="28"/>
      <c r="H570" s="28"/>
      <c r="I570" s="28"/>
      <c r="J570" s="28"/>
      <c r="K570" s="175"/>
      <c r="L570" s="175"/>
      <c r="M570" s="175"/>
    </row>
    <row r="571">
      <c r="A571" s="28"/>
      <c r="B571" s="122"/>
      <c r="C571" s="122"/>
      <c r="D571" s="28"/>
      <c r="E571" s="174"/>
      <c r="F571" s="28"/>
      <c r="G571" s="28"/>
      <c r="H571" s="28"/>
      <c r="I571" s="28"/>
      <c r="J571" s="28"/>
      <c r="K571" s="175"/>
      <c r="L571" s="175"/>
      <c r="M571" s="175"/>
    </row>
    <row r="572">
      <c r="A572" s="28"/>
      <c r="B572" s="122"/>
      <c r="C572" s="122"/>
      <c r="D572" s="28"/>
      <c r="E572" s="174"/>
      <c r="F572" s="28"/>
      <c r="G572" s="28"/>
      <c r="H572" s="28"/>
      <c r="I572" s="28"/>
      <c r="J572" s="28"/>
      <c r="K572" s="175"/>
      <c r="L572" s="175"/>
      <c r="M572" s="175"/>
    </row>
    <row r="573">
      <c r="A573" s="28"/>
      <c r="B573" s="122"/>
      <c r="C573" s="122"/>
      <c r="D573" s="28"/>
      <c r="E573" s="174"/>
      <c r="F573" s="28"/>
      <c r="G573" s="28"/>
      <c r="H573" s="28"/>
      <c r="I573" s="28"/>
      <c r="J573" s="28"/>
      <c r="K573" s="175"/>
      <c r="L573" s="175"/>
      <c r="M573" s="175"/>
    </row>
    <row r="574">
      <c r="A574" s="28"/>
      <c r="B574" s="122"/>
      <c r="C574" s="122"/>
      <c r="D574" s="28"/>
      <c r="E574" s="174"/>
      <c r="F574" s="28"/>
      <c r="G574" s="28"/>
      <c r="H574" s="28"/>
      <c r="I574" s="28"/>
      <c r="J574" s="28"/>
      <c r="K574" s="175"/>
      <c r="L574" s="175"/>
      <c r="M574" s="175"/>
    </row>
    <row r="575">
      <c r="A575" s="28"/>
      <c r="B575" s="122"/>
      <c r="C575" s="122"/>
      <c r="D575" s="28"/>
      <c r="E575" s="174"/>
      <c r="F575" s="28"/>
      <c r="G575" s="28"/>
      <c r="H575" s="28"/>
      <c r="I575" s="28"/>
      <c r="J575" s="28"/>
      <c r="K575" s="175"/>
      <c r="L575" s="175"/>
      <c r="M575" s="175"/>
    </row>
    <row r="576">
      <c r="A576" s="28"/>
      <c r="B576" s="122"/>
      <c r="C576" s="122"/>
      <c r="D576" s="28"/>
      <c r="E576" s="174"/>
      <c r="F576" s="28"/>
      <c r="G576" s="28"/>
      <c r="H576" s="28"/>
      <c r="I576" s="28"/>
      <c r="J576" s="28"/>
      <c r="K576" s="175"/>
      <c r="L576" s="175"/>
      <c r="M576" s="175"/>
    </row>
    <row r="577">
      <c r="A577" s="28"/>
      <c r="B577" s="122"/>
      <c r="C577" s="122"/>
      <c r="D577" s="28"/>
      <c r="E577" s="174"/>
      <c r="F577" s="28"/>
      <c r="G577" s="28"/>
      <c r="H577" s="28"/>
      <c r="I577" s="28"/>
      <c r="J577" s="28"/>
      <c r="K577" s="175"/>
      <c r="L577" s="175"/>
      <c r="M577" s="175"/>
    </row>
    <row r="578">
      <c r="A578" s="28"/>
      <c r="B578" s="122"/>
      <c r="C578" s="122"/>
      <c r="D578" s="28"/>
      <c r="E578" s="174"/>
      <c r="F578" s="28"/>
      <c r="G578" s="28"/>
      <c r="H578" s="28"/>
      <c r="I578" s="28"/>
      <c r="J578" s="28"/>
      <c r="K578" s="175"/>
      <c r="L578" s="175"/>
      <c r="M578" s="175"/>
    </row>
    <row r="579">
      <c r="A579" s="28"/>
      <c r="B579" s="122"/>
      <c r="C579" s="122"/>
      <c r="D579" s="28"/>
      <c r="E579" s="174"/>
      <c r="F579" s="28"/>
      <c r="G579" s="28"/>
      <c r="H579" s="28"/>
      <c r="I579" s="28"/>
      <c r="J579" s="28"/>
      <c r="K579" s="175"/>
      <c r="L579" s="175"/>
      <c r="M579" s="175"/>
    </row>
    <row r="580">
      <c r="A580" s="28"/>
      <c r="B580" s="122"/>
      <c r="C580" s="122"/>
      <c r="D580" s="28"/>
      <c r="E580" s="174"/>
      <c r="F580" s="28"/>
      <c r="G580" s="28"/>
      <c r="H580" s="28"/>
      <c r="I580" s="28"/>
      <c r="J580" s="28"/>
      <c r="K580" s="175"/>
      <c r="L580" s="175"/>
      <c r="M580" s="175"/>
    </row>
    <row r="581">
      <c r="A581" s="28"/>
      <c r="B581" s="122"/>
      <c r="C581" s="122"/>
      <c r="D581" s="28"/>
      <c r="E581" s="174"/>
      <c r="F581" s="28"/>
      <c r="G581" s="28"/>
      <c r="H581" s="28"/>
      <c r="I581" s="28"/>
      <c r="J581" s="28"/>
      <c r="K581" s="175"/>
      <c r="L581" s="175"/>
      <c r="M581" s="175"/>
    </row>
    <row r="582">
      <c r="A582" s="28"/>
      <c r="B582" s="122"/>
      <c r="C582" s="122"/>
      <c r="D582" s="28"/>
      <c r="E582" s="174"/>
      <c r="F582" s="28"/>
      <c r="G582" s="28"/>
      <c r="H582" s="28"/>
      <c r="I582" s="28"/>
      <c r="J582" s="28"/>
      <c r="K582" s="175"/>
      <c r="L582" s="175"/>
      <c r="M582" s="175"/>
    </row>
    <row r="583">
      <c r="A583" s="28"/>
      <c r="B583" s="122"/>
      <c r="C583" s="122"/>
      <c r="D583" s="28"/>
      <c r="E583" s="174"/>
      <c r="F583" s="28"/>
      <c r="G583" s="28"/>
      <c r="H583" s="28"/>
      <c r="I583" s="28"/>
      <c r="J583" s="28"/>
      <c r="K583" s="175"/>
      <c r="L583" s="175"/>
      <c r="M583" s="175"/>
    </row>
    <row r="584">
      <c r="A584" s="28"/>
      <c r="B584" s="122"/>
      <c r="C584" s="122"/>
      <c r="D584" s="28"/>
      <c r="E584" s="174"/>
      <c r="F584" s="28"/>
      <c r="G584" s="28"/>
      <c r="H584" s="28"/>
      <c r="I584" s="28"/>
      <c r="J584" s="28"/>
      <c r="K584" s="175"/>
      <c r="L584" s="175"/>
      <c r="M584" s="175"/>
    </row>
    <row r="585">
      <c r="A585" s="28"/>
      <c r="B585" s="122"/>
      <c r="C585" s="122"/>
      <c r="D585" s="28"/>
      <c r="E585" s="174"/>
      <c r="F585" s="28"/>
      <c r="G585" s="28"/>
      <c r="H585" s="28"/>
      <c r="I585" s="28"/>
      <c r="J585" s="28"/>
      <c r="K585" s="175"/>
      <c r="L585" s="175"/>
      <c r="M585" s="175"/>
    </row>
    <row r="586">
      <c r="A586" s="28"/>
      <c r="B586" s="122"/>
      <c r="C586" s="122"/>
      <c r="D586" s="28"/>
      <c r="E586" s="174"/>
      <c r="F586" s="28"/>
      <c r="G586" s="28"/>
      <c r="H586" s="28"/>
      <c r="I586" s="28"/>
      <c r="J586" s="28"/>
      <c r="K586" s="175"/>
      <c r="L586" s="175"/>
      <c r="M586" s="175"/>
    </row>
    <row r="587">
      <c r="A587" s="28"/>
      <c r="B587" s="122"/>
      <c r="C587" s="122"/>
      <c r="D587" s="28"/>
      <c r="E587" s="174"/>
      <c r="F587" s="28"/>
      <c r="G587" s="28"/>
      <c r="H587" s="28"/>
      <c r="I587" s="28"/>
      <c r="J587" s="28"/>
      <c r="K587" s="175"/>
      <c r="L587" s="175"/>
      <c r="M587" s="175"/>
    </row>
    <row r="588">
      <c r="A588" s="28"/>
      <c r="B588" s="122"/>
      <c r="C588" s="122"/>
      <c r="D588" s="28"/>
      <c r="E588" s="174"/>
      <c r="F588" s="28"/>
      <c r="G588" s="28"/>
      <c r="H588" s="28"/>
      <c r="I588" s="28"/>
      <c r="J588" s="28"/>
      <c r="K588" s="175"/>
      <c r="L588" s="175"/>
      <c r="M588" s="175"/>
    </row>
    <row r="589">
      <c r="A589" s="28"/>
      <c r="B589" s="122"/>
      <c r="C589" s="122"/>
      <c r="D589" s="28"/>
      <c r="E589" s="174"/>
      <c r="F589" s="28"/>
      <c r="G589" s="28"/>
      <c r="H589" s="28"/>
      <c r="I589" s="28"/>
      <c r="J589" s="28"/>
      <c r="K589" s="175"/>
      <c r="L589" s="175"/>
      <c r="M589" s="175"/>
    </row>
    <row r="590">
      <c r="A590" s="28"/>
      <c r="B590" s="122"/>
      <c r="C590" s="122"/>
      <c r="D590" s="28"/>
      <c r="E590" s="174"/>
      <c r="F590" s="28"/>
      <c r="G590" s="28"/>
      <c r="H590" s="28"/>
      <c r="I590" s="28"/>
      <c r="J590" s="28"/>
      <c r="K590" s="175"/>
      <c r="L590" s="175"/>
      <c r="M590" s="175"/>
    </row>
    <row r="591">
      <c r="A591" s="28"/>
      <c r="B591" s="122"/>
      <c r="C591" s="122"/>
      <c r="D591" s="28"/>
      <c r="E591" s="174"/>
      <c r="F591" s="28"/>
      <c r="G591" s="28"/>
      <c r="H591" s="28"/>
      <c r="I591" s="28"/>
      <c r="J591" s="28"/>
      <c r="K591" s="175"/>
      <c r="L591" s="175"/>
      <c r="M591" s="175"/>
    </row>
    <row r="592">
      <c r="A592" s="28"/>
      <c r="B592" s="122"/>
      <c r="C592" s="122"/>
      <c r="D592" s="28"/>
      <c r="E592" s="174"/>
      <c r="F592" s="28"/>
      <c r="G592" s="28"/>
      <c r="H592" s="28"/>
      <c r="I592" s="28"/>
      <c r="J592" s="28"/>
      <c r="K592" s="175"/>
      <c r="L592" s="175"/>
      <c r="M592" s="175"/>
    </row>
    <row r="593">
      <c r="A593" s="28"/>
      <c r="B593" s="122"/>
      <c r="C593" s="122"/>
      <c r="D593" s="28"/>
      <c r="E593" s="174"/>
      <c r="F593" s="28"/>
      <c r="G593" s="28"/>
      <c r="H593" s="28"/>
      <c r="I593" s="28"/>
      <c r="J593" s="28"/>
      <c r="K593" s="175"/>
      <c r="L593" s="175"/>
      <c r="M593" s="175"/>
    </row>
    <row r="594">
      <c r="A594" s="28"/>
      <c r="B594" s="122"/>
      <c r="C594" s="122"/>
      <c r="D594" s="28"/>
      <c r="E594" s="174"/>
      <c r="F594" s="28"/>
      <c r="G594" s="28"/>
      <c r="H594" s="28"/>
      <c r="I594" s="28"/>
      <c r="J594" s="28"/>
      <c r="K594" s="175"/>
      <c r="L594" s="175"/>
      <c r="M594" s="175"/>
    </row>
    <row r="595">
      <c r="A595" s="28"/>
      <c r="B595" s="122"/>
      <c r="C595" s="122"/>
      <c r="D595" s="28"/>
      <c r="E595" s="174"/>
      <c r="F595" s="28"/>
      <c r="G595" s="28"/>
      <c r="H595" s="28"/>
      <c r="I595" s="28"/>
      <c r="J595" s="28"/>
      <c r="K595" s="175"/>
      <c r="L595" s="175"/>
      <c r="M595" s="175"/>
    </row>
    <row r="596">
      <c r="A596" s="28"/>
      <c r="B596" s="122"/>
      <c r="C596" s="122"/>
      <c r="D596" s="28"/>
      <c r="E596" s="174"/>
      <c r="F596" s="28"/>
      <c r="G596" s="28"/>
      <c r="H596" s="28"/>
      <c r="I596" s="28"/>
      <c r="J596" s="28"/>
      <c r="K596" s="175"/>
      <c r="L596" s="175"/>
      <c r="M596" s="175"/>
    </row>
    <row r="597">
      <c r="A597" s="28"/>
      <c r="B597" s="122"/>
      <c r="C597" s="122"/>
      <c r="D597" s="28"/>
      <c r="E597" s="174"/>
      <c r="F597" s="28"/>
      <c r="G597" s="28"/>
      <c r="H597" s="28"/>
      <c r="I597" s="28"/>
      <c r="J597" s="28"/>
      <c r="K597" s="175"/>
      <c r="L597" s="175"/>
      <c r="M597" s="175"/>
    </row>
    <row r="598">
      <c r="A598" s="28"/>
      <c r="B598" s="122"/>
      <c r="C598" s="122"/>
      <c r="D598" s="28"/>
      <c r="E598" s="174"/>
      <c r="F598" s="28"/>
      <c r="G598" s="28"/>
      <c r="H598" s="28"/>
      <c r="I598" s="28"/>
      <c r="J598" s="28"/>
      <c r="K598" s="175"/>
      <c r="L598" s="175"/>
      <c r="M598" s="175"/>
    </row>
    <row r="599">
      <c r="A599" s="28"/>
      <c r="B599" s="122"/>
      <c r="C599" s="122"/>
      <c r="D599" s="28"/>
      <c r="E599" s="174"/>
      <c r="F599" s="28"/>
      <c r="G599" s="28"/>
      <c r="H599" s="28"/>
      <c r="I599" s="28"/>
      <c r="J599" s="28"/>
      <c r="K599" s="175"/>
      <c r="L599" s="175"/>
      <c r="M599" s="175"/>
    </row>
    <row r="600">
      <c r="A600" s="28"/>
      <c r="B600" s="122"/>
      <c r="C600" s="122"/>
      <c r="D600" s="28"/>
      <c r="E600" s="174"/>
      <c r="F600" s="28"/>
      <c r="G600" s="28"/>
      <c r="H600" s="28"/>
      <c r="I600" s="28"/>
      <c r="J600" s="28"/>
      <c r="K600" s="175"/>
      <c r="L600" s="175"/>
      <c r="M600" s="175"/>
    </row>
    <row r="601">
      <c r="A601" s="28"/>
      <c r="B601" s="122"/>
      <c r="C601" s="122"/>
      <c r="D601" s="28"/>
      <c r="E601" s="174"/>
      <c r="F601" s="28"/>
      <c r="G601" s="28"/>
      <c r="H601" s="28"/>
      <c r="I601" s="28"/>
      <c r="J601" s="28"/>
      <c r="K601" s="175"/>
      <c r="L601" s="175"/>
      <c r="M601" s="175"/>
    </row>
    <row r="602">
      <c r="A602" s="28"/>
      <c r="B602" s="122"/>
      <c r="C602" s="122"/>
      <c r="D602" s="28"/>
      <c r="E602" s="174"/>
      <c r="F602" s="28"/>
      <c r="G602" s="28"/>
      <c r="H602" s="28"/>
      <c r="I602" s="28"/>
      <c r="J602" s="28"/>
      <c r="K602" s="175"/>
      <c r="L602" s="175"/>
      <c r="M602" s="175"/>
    </row>
    <row r="603">
      <c r="A603" s="28"/>
      <c r="B603" s="122"/>
      <c r="C603" s="122"/>
      <c r="D603" s="28"/>
      <c r="E603" s="174"/>
      <c r="F603" s="28"/>
      <c r="G603" s="28"/>
      <c r="H603" s="28"/>
      <c r="I603" s="28"/>
      <c r="J603" s="28"/>
      <c r="K603" s="175"/>
      <c r="L603" s="175"/>
      <c r="M603" s="175"/>
    </row>
    <row r="604">
      <c r="A604" s="28"/>
      <c r="B604" s="122"/>
      <c r="C604" s="122"/>
      <c r="D604" s="28"/>
      <c r="E604" s="174"/>
      <c r="F604" s="28"/>
      <c r="G604" s="28"/>
      <c r="H604" s="28"/>
      <c r="I604" s="28"/>
      <c r="J604" s="28"/>
      <c r="K604" s="175"/>
      <c r="L604" s="175"/>
      <c r="M604" s="175"/>
    </row>
    <row r="605">
      <c r="A605" s="28"/>
      <c r="B605" s="122"/>
      <c r="C605" s="122"/>
      <c r="D605" s="28"/>
      <c r="E605" s="174"/>
      <c r="F605" s="28"/>
      <c r="G605" s="28"/>
      <c r="H605" s="28"/>
      <c r="I605" s="28"/>
      <c r="J605" s="28"/>
      <c r="K605" s="175"/>
      <c r="L605" s="175"/>
      <c r="M605" s="175"/>
    </row>
    <row r="606">
      <c r="A606" s="28"/>
      <c r="B606" s="122"/>
      <c r="C606" s="122"/>
      <c r="D606" s="28"/>
      <c r="E606" s="174"/>
      <c r="F606" s="28"/>
      <c r="G606" s="28"/>
      <c r="H606" s="28"/>
      <c r="I606" s="28"/>
      <c r="J606" s="28"/>
      <c r="K606" s="175"/>
      <c r="L606" s="175"/>
      <c r="M606" s="175"/>
    </row>
    <row r="607">
      <c r="A607" s="28"/>
      <c r="B607" s="122"/>
      <c r="C607" s="122"/>
      <c r="D607" s="28"/>
      <c r="E607" s="174"/>
      <c r="F607" s="28"/>
      <c r="G607" s="28"/>
      <c r="H607" s="28"/>
      <c r="I607" s="28"/>
      <c r="J607" s="28"/>
      <c r="K607" s="175"/>
      <c r="L607" s="175"/>
      <c r="M607" s="175"/>
    </row>
    <row r="608">
      <c r="A608" s="28"/>
      <c r="B608" s="122"/>
      <c r="C608" s="122"/>
      <c r="D608" s="28"/>
      <c r="E608" s="174"/>
      <c r="F608" s="28"/>
      <c r="G608" s="28"/>
      <c r="H608" s="28"/>
      <c r="I608" s="28"/>
      <c r="J608" s="28"/>
      <c r="K608" s="175"/>
      <c r="L608" s="175"/>
      <c r="M608" s="175"/>
    </row>
    <row r="609">
      <c r="A609" s="28"/>
      <c r="B609" s="122"/>
      <c r="C609" s="122"/>
      <c r="D609" s="28"/>
      <c r="E609" s="174"/>
      <c r="F609" s="28"/>
      <c r="G609" s="28"/>
      <c r="H609" s="28"/>
      <c r="I609" s="28"/>
      <c r="J609" s="28"/>
      <c r="K609" s="175"/>
      <c r="L609" s="175"/>
      <c r="M609" s="175"/>
    </row>
    <row r="610">
      <c r="A610" s="28"/>
      <c r="B610" s="122"/>
      <c r="C610" s="122"/>
      <c r="D610" s="28"/>
      <c r="E610" s="174"/>
      <c r="F610" s="28"/>
      <c r="G610" s="28"/>
      <c r="H610" s="28"/>
      <c r="I610" s="28"/>
      <c r="J610" s="28"/>
      <c r="K610" s="175"/>
      <c r="L610" s="175"/>
      <c r="M610" s="175"/>
    </row>
    <row r="611">
      <c r="A611" s="28"/>
      <c r="B611" s="122"/>
      <c r="C611" s="122"/>
      <c r="D611" s="28"/>
      <c r="E611" s="174"/>
      <c r="F611" s="28"/>
      <c r="G611" s="28"/>
      <c r="H611" s="28"/>
      <c r="I611" s="28"/>
      <c r="J611" s="28"/>
      <c r="K611" s="175"/>
      <c r="L611" s="175"/>
      <c r="M611" s="175"/>
    </row>
    <row r="612">
      <c r="A612" s="28"/>
      <c r="B612" s="122"/>
      <c r="C612" s="122"/>
      <c r="D612" s="28"/>
      <c r="E612" s="174"/>
      <c r="F612" s="28"/>
      <c r="G612" s="28"/>
      <c r="H612" s="28"/>
      <c r="I612" s="28"/>
      <c r="J612" s="28"/>
      <c r="K612" s="175"/>
      <c r="L612" s="175"/>
      <c r="M612" s="175"/>
    </row>
    <row r="613">
      <c r="A613" s="28"/>
      <c r="B613" s="122"/>
      <c r="C613" s="122"/>
      <c r="D613" s="28"/>
      <c r="E613" s="174"/>
      <c r="F613" s="28"/>
      <c r="G613" s="28"/>
      <c r="H613" s="28"/>
      <c r="I613" s="28"/>
      <c r="J613" s="28"/>
      <c r="K613" s="175"/>
      <c r="L613" s="175"/>
      <c r="M613" s="175"/>
    </row>
    <row r="614">
      <c r="A614" s="28"/>
      <c r="B614" s="122"/>
      <c r="C614" s="122"/>
      <c r="D614" s="28"/>
      <c r="E614" s="174"/>
      <c r="F614" s="28"/>
      <c r="G614" s="28"/>
      <c r="H614" s="28"/>
      <c r="I614" s="28"/>
      <c r="J614" s="28"/>
      <c r="K614" s="175"/>
      <c r="L614" s="175"/>
      <c r="M614" s="175"/>
    </row>
    <row r="615">
      <c r="A615" s="28"/>
      <c r="B615" s="122"/>
      <c r="C615" s="122"/>
      <c r="D615" s="28"/>
      <c r="E615" s="174"/>
      <c r="F615" s="28"/>
      <c r="G615" s="28"/>
      <c r="H615" s="28"/>
      <c r="I615" s="28"/>
      <c r="J615" s="28"/>
      <c r="K615" s="175"/>
      <c r="L615" s="175"/>
      <c r="M615" s="175"/>
    </row>
    <row r="616">
      <c r="A616" s="28"/>
      <c r="B616" s="122"/>
      <c r="C616" s="122"/>
      <c r="D616" s="28"/>
      <c r="E616" s="174"/>
      <c r="F616" s="28"/>
      <c r="G616" s="28"/>
      <c r="H616" s="28"/>
      <c r="I616" s="28"/>
      <c r="J616" s="28"/>
      <c r="K616" s="175"/>
      <c r="L616" s="175"/>
      <c r="M616" s="175"/>
    </row>
    <row r="617">
      <c r="A617" s="28"/>
      <c r="B617" s="122"/>
      <c r="C617" s="122"/>
      <c r="D617" s="28"/>
      <c r="E617" s="174"/>
      <c r="F617" s="28"/>
      <c r="G617" s="28"/>
      <c r="H617" s="28"/>
      <c r="I617" s="28"/>
      <c r="J617" s="28"/>
      <c r="K617" s="175"/>
      <c r="L617" s="175"/>
      <c r="M617" s="175"/>
    </row>
    <row r="618">
      <c r="A618" s="28"/>
      <c r="B618" s="122"/>
      <c r="C618" s="122"/>
      <c r="D618" s="28"/>
      <c r="E618" s="174"/>
      <c r="F618" s="28"/>
      <c r="G618" s="28"/>
      <c r="H618" s="28"/>
      <c r="I618" s="28"/>
      <c r="J618" s="28"/>
      <c r="K618" s="175"/>
      <c r="L618" s="175"/>
      <c r="M618" s="175"/>
    </row>
    <row r="619">
      <c r="A619" s="28"/>
      <c r="B619" s="122"/>
      <c r="C619" s="122"/>
      <c r="D619" s="28"/>
      <c r="E619" s="174"/>
      <c r="F619" s="28"/>
      <c r="G619" s="28"/>
      <c r="H619" s="28"/>
      <c r="I619" s="28"/>
      <c r="J619" s="28"/>
      <c r="K619" s="175"/>
      <c r="L619" s="175"/>
      <c r="M619" s="175"/>
    </row>
    <row r="620">
      <c r="A620" s="28"/>
      <c r="B620" s="122"/>
      <c r="C620" s="122"/>
      <c r="D620" s="28"/>
      <c r="E620" s="174"/>
      <c r="F620" s="28"/>
      <c r="G620" s="28"/>
      <c r="H620" s="28"/>
      <c r="I620" s="28"/>
      <c r="J620" s="28"/>
      <c r="K620" s="175"/>
      <c r="L620" s="175"/>
      <c r="M620" s="175"/>
    </row>
    <row r="621">
      <c r="A621" s="28"/>
      <c r="B621" s="122"/>
      <c r="C621" s="122"/>
      <c r="D621" s="28"/>
      <c r="E621" s="174"/>
      <c r="F621" s="28"/>
      <c r="G621" s="28"/>
      <c r="H621" s="28"/>
      <c r="I621" s="28"/>
      <c r="J621" s="28"/>
      <c r="K621" s="175"/>
      <c r="L621" s="175"/>
      <c r="M621" s="175"/>
    </row>
    <row r="622">
      <c r="A622" s="28"/>
      <c r="B622" s="122"/>
      <c r="C622" s="122"/>
      <c r="D622" s="28"/>
      <c r="E622" s="174"/>
      <c r="F622" s="28"/>
      <c r="G622" s="28"/>
      <c r="H622" s="28"/>
      <c r="I622" s="28"/>
      <c r="J622" s="28"/>
      <c r="K622" s="175"/>
      <c r="L622" s="175"/>
      <c r="M622" s="175"/>
    </row>
    <row r="623">
      <c r="A623" s="28"/>
      <c r="B623" s="122"/>
      <c r="C623" s="122"/>
      <c r="D623" s="28"/>
      <c r="E623" s="174"/>
      <c r="F623" s="28"/>
      <c r="G623" s="28"/>
      <c r="H623" s="28"/>
      <c r="I623" s="28"/>
      <c r="J623" s="28"/>
      <c r="K623" s="175"/>
      <c r="L623" s="175"/>
      <c r="M623" s="175"/>
    </row>
    <row r="624">
      <c r="A624" s="28"/>
      <c r="B624" s="122"/>
      <c r="C624" s="122"/>
      <c r="D624" s="28"/>
      <c r="E624" s="174"/>
      <c r="F624" s="28"/>
      <c r="G624" s="28"/>
      <c r="H624" s="28"/>
      <c r="I624" s="28"/>
      <c r="J624" s="28"/>
      <c r="K624" s="175"/>
      <c r="L624" s="175"/>
      <c r="M624" s="175"/>
    </row>
    <row r="625">
      <c r="A625" s="28"/>
      <c r="B625" s="122"/>
      <c r="C625" s="122"/>
      <c r="D625" s="28"/>
      <c r="E625" s="174"/>
      <c r="F625" s="28"/>
      <c r="G625" s="28"/>
      <c r="H625" s="28"/>
      <c r="I625" s="28"/>
      <c r="J625" s="28"/>
      <c r="K625" s="175"/>
      <c r="L625" s="175"/>
      <c r="M625" s="175"/>
    </row>
    <row r="626">
      <c r="A626" s="28"/>
      <c r="B626" s="122"/>
      <c r="C626" s="122"/>
      <c r="D626" s="28"/>
      <c r="E626" s="174"/>
      <c r="F626" s="28"/>
      <c r="G626" s="28"/>
      <c r="H626" s="28"/>
      <c r="I626" s="28"/>
      <c r="J626" s="28"/>
      <c r="K626" s="175"/>
      <c r="L626" s="175"/>
      <c r="M626" s="175"/>
    </row>
    <row r="627">
      <c r="A627" s="28"/>
      <c r="B627" s="122"/>
      <c r="C627" s="122"/>
      <c r="D627" s="28"/>
      <c r="E627" s="174"/>
      <c r="F627" s="28"/>
      <c r="G627" s="28"/>
      <c r="H627" s="28"/>
      <c r="I627" s="28"/>
      <c r="J627" s="28"/>
      <c r="K627" s="175"/>
      <c r="L627" s="175"/>
      <c r="M627" s="175"/>
    </row>
    <row r="628">
      <c r="A628" s="28"/>
      <c r="B628" s="122"/>
      <c r="C628" s="122"/>
      <c r="D628" s="28"/>
      <c r="E628" s="174"/>
      <c r="F628" s="28"/>
      <c r="G628" s="28"/>
      <c r="H628" s="28"/>
      <c r="I628" s="28"/>
      <c r="J628" s="28"/>
      <c r="K628" s="175"/>
      <c r="L628" s="175"/>
      <c r="M628" s="175"/>
    </row>
    <row r="629">
      <c r="A629" s="28"/>
      <c r="B629" s="122"/>
      <c r="C629" s="122"/>
      <c r="D629" s="28"/>
      <c r="E629" s="174"/>
      <c r="F629" s="28"/>
      <c r="G629" s="28"/>
      <c r="H629" s="28"/>
      <c r="I629" s="28"/>
      <c r="J629" s="28"/>
      <c r="K629" s="175"/>
      <c r="L629" s="175"/>
      <c r="M629" s="175"/>
    </row>
    <row r="630">
      <c r="A630" s="28"/>
      <c r="B630" s="122"/>
      <c r="C630" s="122"/>
      <c r="D630" s="28"/>
      <c r="E630" s="174"/>
      <c r="F630" s="28"/>
      <c r="G630" s="28"/>
      <c r="H630" s="28"/>
      <c r="I630" s="28"/>
      <c r="J630" s="28"/>
      <c r="K630" s="175"/>
      <c r="L630" s="175"/>
      <c r="M630" s="175"/>
    </row>
    <row r="631">
      <c r="A631" s="28"/>
      <c r="B631" s="122"/>
      <c r="C631" s="122"/>
      <c r="D631" s="28"/>
      <c r="E631" s="174"/>
      <c r="F631" s="28"/>
      <c r="G631" s="28"/>
      <c r="H631" s="28"/>
      <c r="I631" s="28"/>
      <c r="J631" s="28"/>
      <c r="K631" s="175"/>
      <c r="L631" s="175"/>
      <c r="M631" s="175"/>
    </row>
    <row r="632">
      <c r="A632" s="28"/>
      <c r="B632" s="122"/>
      <c r="C632" s="122"/>
      <c r="D632" s="28"/>
      <c r="E632" s="174"/>
      <c r="F632" s="28"/>
      <c r="G632" s="28"/>
      <c r="H632" s="28"/>
      <c r="I632" s="28"/>
      <c r="J632" s="28"/>
      <c r="K632" s="175"/>
      <c r="L632" s="175"/>
      <c r="M632" s="175"/>
    </row>
    <row r="633">
      <c r="A633" s="28"/>
      <c r="B633" s="122"/>
      <c r="C633" s="122"/>
      <c r="D633" s="28"/>
      <c r="E633" s="174"/>
      <c r="F633" s="28"/>
      <c r="G633" s="28"/>
      <c r="H633" s="28"/>
      <c r="I633" s="28"/>
      <c r="J633" s="28"/>
      <c r="K633" s="175"/>
      <c r="L633" s="175"/>
      <c r="M633" s="175"/>
    </row>
    <row r="634">
      <c r="A634" s="28"/>
      <c r="B634" s="122"/>
      <c r="C634" s="122"/>
      <c r="D634" s="28"/>
      <c r="E634" s="174"/>
      <c r="F634" s="28"/>
      <c r="G634" s="28"/>
      <c r="H634" s="28"/>
      <c r="I634" s="28"/>
      <c r="J634" s="28"/>
      <c r="K634" s="175"/>
      <c r="L634" s="175"/>
      <c r="M634" s="175"/>
    </row>
    <row r="635">
      <c r="A635" s="28"/>
      <c r="B635" s="122"/>
      <c r="C635" s="122"/>
      <c r="D635" s="28"/>
      <c r="E635" s="174"/>
      <c r="F635" s="28"/>
      <c r="G635" s="28"/>
      <c r="H635" s="28"/>
      <c r="I635" s="28"/>
      <c r="J635" s="28"/>
      <c r="K635" s="175"/>
      <c r="L635" s="175"/>
      <c r="M635" s="175"/>
    </row>
    <row r="636">
      <c r="A636" s="28"/>
      <c r="B636" s="122"/>
      <c r="C636" s="122"/>
      <c r="D636" s="28"/>
      <c r="E636" s="174"/>
      <c r="F636" s="28"/>
      <c r="G636" s="28"/>
      <c r="H636" s="28"/>
      <c r="I636" s="28"/>
      <c r="J636" s="28"/>
      <c r="K636" s="175"/>
      <c r="L636" s="175"/>
      <c r="M636" s="175"/>
    </row>
    <row r="637">
      <c r="A637" s="28"/>
      <c r="B637" s="122"/>
      <c r="C637" s="122"/>
      <c r="D637" s="28"/>
      <c r="E637" s="174"/>
      <c r="F637" s="28"/>
      <c r="G637" s="28"/>
      <c r="H637" s="28"/>
      <c r="I637" s="28"/>
      <c r="J637" s="28"/>
      <c r="K637" s="175"/>
      <c r="L637" s="175"/>
      <c r="M637" s="175"/>
    </row>
    <row r="638">
      <c r="A638" s="28"/>
      <c r="B638" s="122"/>
      <c r="C638" s="122"/>
      <c r="D638" s="28"/>
      <c r="E638" s="174"/>
      <c r="F638" s="28"/>
      <c r="G638" s="28"/>
      <c r="H638" s="28"/>
      <c r="I638" s="28"/>
      <c r="J638" s="28"/>
      <c r="K638" s="175"/>
      <c r="L638" s="175"/>
      <c r="M638" s="175"/>
    </row>
    <row r="639">
      <c r="A639" s="28"/>
      <c r="B639" s="122"/>
      <c r="C639" s="122"/>
      <c r="D639" s="28"/>
      <c r="E639" s="174"/>
      <c r="F639" s="28"/>
      <c r="G639" s="28"/>
      <c r="H639" s="28"/>
      <c r="I639" s="28"/>
      <c r="J639" s="28"/>
      <c r="K639" s="175"/>
      <c r="L639" s="175"/>
      <c r="M639" s="175"/>
    </row>
    <row r="640">
      <c r="A640" s="28"/>
      <c r="B640" s="122"/>
      <c r="C640" s="122"/>
      <c r="D640" s="28"/>
      <c r="E640" s="174"/>
      <c r="F640" s="28"/>
      <c r="G640" s="28"/>
      <c r="H640" s="28"/>
      <c r="I640" s="28"/>
      <c r="J640" s="28"/>
      <c r="K640" s="175"/>
      <c r="L640" s="175"/>
      <c r="M640" s="175"/>
    </row>
    <row r="641">
      <c r="A641" s="28"/>
      <c r="B641" s="122"/>
      <c r="C641" s="122"/>
      <c r="D641" s="28"/>
      <c r="E641" s="174"/>
      <c r="F641" s="28"/>
      <c r="G641" s="28"/>
      <c r="H641" s="28"/>
      <c r="I641" s="28"/>
      <c r="J641" s="28"/>
      <c r="K641" s="175"/>
      <c r="L641" s="175"/>
      <c r="M641" s="175"/>
    </row>
    <row r="642">
      <c r="A642" s="28"/>
      <c r="B642" s="122"/>
      <c r="C642" s="122"/>
      <c r="D642" s="28"/>
      <c r="E642" s="174"/>
      <c r="F642" s="28"/>
      <c r="G642" s="28"/>
      <c r="H642" s="28"/>
      <c r="I642" s="28"/>
      <c r="J642" s="28"/>
      <c r="K642" s="175"/>
      <c r="L642" s="175"/>
      <c r="M642" s="175"/>
    </row>
    <row r="643">
      <c r="A643" s="28"/>
      <c r="B643" s="122"/>
      <c r="C643" s="122"/>
      <c r="D643" s="28"/>
      <c r="E643" s="174"/>
      <c r="F643" s="28"/>
      <c r="G643" s="28"/>
      <c r="H643" s="28"/>
      <c r="I643" s="28"/>
      <c r="J643" s="28"/>
      <c r="K643" s="175"/>
      <c r="L643" s="175"/>
      <c r="M643" s="175"/>
    </row>
    <row r="644">
      <c r="A644" s="28"/>
      <c r="B644" s="122"/>
      <c r="C644" s="122"/>
      <c r="D644" s="28"/>
      <c r="E644" s="174"/>
      <c r="F644" s="28"/>
      <c r="G644" s="28"/>
      <c r="H644" s="28"/>
      <c r="I644" s="28"/>
      <c r="J644" s="28"/>
      <c r="K644" s="175"/>
      <c r="L644" s="175"/>
      <c r="M644" s="175"/>
    </row>
    <row r="645">
      <c r="A645" s="28"/>
      <c r="B645" s="122"/>
      <c r="C645" s="122"/>
      <c r="D645" s="28"/>
      <c r="E645" s="174"/>
      <c r="F645" s="28"/>
      <c r="G645" s="28"/>
      <c r="H645" s="28"/>
      <c r="I645" s="28"/>
      <c r="J645" s="28"/>
      <c r="K645" s="175"/>
      <c r="L645" s="175"/>
      <c r="M645" s="175"/>
    </row>
    <row r="646">
      <c r="A646" s="28"/>
      <c r="B646" s="122"/>
      <c r="C646" s="122"/>
      <c r="D646" s="28"/>
      <c r="E646" s="174"/>
      <c r="F646" s="28"/>
      <c r="G646" s="28"/>
      <c r="H646" s="28"/>
      <c r="I646" s="28"/>
      <c r="J646" s="28"/>
      <c r="K646" s="175"/>
      <c r="L646" s="175"/>
      <c r="M646" s="175"/>
    </row>
    <row r="647">
      <c r="A647" s="28"/>
      <c r="B647" s="122"/>
      <c r="C647" s="122"/>
      <c r="D647" s="28"/>
      <c r="E647" s="174"/>
      <c r="F647" s="28"/>
      <c r="G647" s="28"/>
      <c r="H647" s="28"/>
      <c r="I647" s="28"/>
      <c r="J647" s="28"/>
      <c r="K647" s="175"/>
      <c r="L647" s="175"/>
      <c r="M647" s="175"/>
    </row>
    <row r="648">
      <c r="A648" s="28"/>
      <c r="B648" s="122"/>
      <c r="C648" s="122"/>
      <c r="D648" s="28"/>
      <c r="E648" s="174"/>
      <c r="F648" s="28"/>
      <c r="G648" s="28"/>
      <c r="H648" s="28"/>
      <c r="I648" s="28"/>
      <c r="J648" s="28"/>
      <c r="K648" s="175"/>
      <c r="L648" s="175"/>
      <c r="M648" s="175"/>
    </row>
    <row r="649">
      <c r="A649" s="28"/>
      <c r="B649" s="122"/>
      <c r="C649" s="122"/>
      <c r="D649" s="28"/>
      <c r="E649" s="174"/>
      <c r="F649" s="28"/>
      <c r="G649" s="28"/>
      <c r="H649" s="28"/>
      <c r="I649" s="28"/>
      <c r="J649" s="28"/>
      <c r="K649" s="175"/>
      <c r="L649" s="175"/>
      <c r="M649" s="175"/>
    </row>
    <row r="650">
      <c r="A650" s="28"/>
      <c r="B650" s="122"/>
      <c r="C650" s="122"/>
      <c r="D650" s="28"/>
      <c r="E650" s="174"/>
      <c r="F650" s="28"/>
      <c r="G650" s="28"/>
      <c r="H650" s="28"/>
      <c r="I650" s="28"/>
      <c r="J650" s="28"/>
      <c r="K650" s="175"/>
      <c r="L650" s="175"/>
      <c r="M650" s="175"/>
    </row>
    <row r="651">
      <c r="A651" s="28"/>
      <c r="B651" s="122"/>
      <c r="C651" s="122"/>
      <c r="D651" s="28"/>
      <c r="E651" s="174"/>
      <c r="F651" s="28"/>
      <c r="G651" s="28"/>
      <c r="H651" s="28"/>
      <c r="I651" s="28"/>
      <c r="J651" s="28"/>
      <c r="K651" s="175"/>
      <c r="L651" s="175"/>
      <c r="M651" s="175"/>
    </row>
    <row r="652">
      <c r="A652" s="28"/>
      <c r="B652" s="122"/>
      <c r="C652" s="122"/>
      <c r="D652" s="28"/>
      <c r="E652" s="174"/>
      <c r="F652" s="28"/>
      <c r="G652" s="28"/>
      <c r="H652" s="28"/>
      <c r="I652" s="28"/>
      <c r="J652" s="28"/>
      <c r="K652" s="175"/>
      <c r="L652" s="175"/>
      <c r="M652" s="175"/>
    </row>
    <row r="653">
      <c r="A653" s="28"/>
      <c r="B653" s="122"/>
      <c r="C653" s="122"/>
      <c r="D653" s="28"/>
      <c r="E653" s="174"/>
      <c r="F653" s="28"/>
      <c r="G653" s="28"/>
      <c r="H653" s="28"/>
      <c r="I653" s="28"/>
      <c r="J653" s="28"/>
      <c r="K653" s="175"/>
      <c r="L653" s="175"/>
      <c r="M653" s="175"/>
    </row>
    <row r="654">
      <c r="A654" s="28"/>
      <c r="B654" s="122"/>
      <c r="C654" s="122"/>
      <c r="D654" s="28"/>
      <c r="E654" s="174"/>
      <c r="F654" s="28"/>
      <c r="G654" s="28"/>
      <c r="H654" s="28"/>
      <c r="I654" s="28"/>
      <c r="J654" s="28"/>
      <c r="K654" s="175"/>
      <c r="L654" s="175"/>
      <c r="M654" s="175"/>
    </row>
    <row r="655">
      <c r="A655" s="28"/>
      <c r="B655" s="122"/>
      <c r="C655" s="122"/>
      <c r="D655" s="28"/>
      <c r="E655" s="174"/>
      <c r="F655" s="28"/>
      <c r="G655" s="28"/>
      <c r="H655" s="28"/>
      <c r="I655" s="28"/>
      <c r="J655" s="28"/>
      <c r="K655" s="175"/>
      <c r="L655" s="175"/>
      <c r="M655" s="175"/>
    </row>
    <row r="656">
      <c r="A656" s="28"/>
      <c r="B656" s="122"/>
      <c r="C656" s="122"/>
      <c r="D656" s="28"/>
      <c r="E656" s="174"/>
      <c r="F656" s="28"/>
      <c r="G656" s="28"/>
      <c r="H656" s="28"/>
      <c r="I656" s="28"/>
      <c r="J656" s="28"/>
      <c r="K656" s="175"/>
      <c r="L656" s="175"/>
      <c r="M656" s="175"/>
    </row>
    <row r="657">
      <c r="A657" s="28"/>
      <c r="B657" s="122"/>
      <c r="C657" s="122"/>
      <c r="D657" s="28"/>
      <c r="E657" s="174"/>
      <c r="F657" s="28"/>
      <c r="G657" s="28"/>
      <c r="H657" s="28"/>
      <c r="I657" s="28"/>
      <c r="J657" s="28"/>
      <c r="K657" s="175"/>
      <c r="L657" s="175"/>
      <c r="M657" s="175"/>
    </row>
    <row r="658">
      <c r="A658" s="28"/>
      <c r="B658" s="122"/>
      <c r="C658" s="122"/>
      <c r="D658" s="28"/>
      <c r="E658" s="174"/>
      <c r="F658" s="28"/>
      <c r="G658" s="28"/>
      <c r="H658" s="28"/>
      <c r="I658" s="28"/>
      <c r="J658" s="28"/>
      <c r="K658" s="175"/>
      <c r="L658" s="175"/>
      <c r="M658" s="175"/>
    </row>
    <row r="659">
      <c r="A659" s="28"/>
      <c r="B659" s="122"/>
      <c r="C659" s="122"/>
      <c r="D659" s="28"/>
      <c r="E659" s="174"/>
      <c r="F659" s="28"/>
      <c r="G659" s="28"/>
      <c r="H659" s="28"/>
      <c r="I659" s="28"/>
      <c r="J659" s="28"/>
      <c r="K659" s="175"/>
      <c r="L659" s="175"/>
      <c r="M659" s="175"/>
    </row>
    <row r="660">
      <c r="A660" s="28"/>
      <c r="B660" s="122"/>
      <c r="C660" s="122"/>
      <c r="D660" s="28"/>
      <c r="E660" s="174"/>
      <c r="F660" s="28"/>
      <c r="G660" s="28"/>
      <c r="H660" s="28"/>
      <c r="I660" s="28"/>
      <c r="J660" s="28"/>
      <c r="K660" s="175"/>
      <c r="L660" s="175"/>
      <c r="M660" s="175"/>
    </row>
    <row r="661">
      <c r="A661" s="28"/>
      <c r="B661" s="122"/>
      <c r="C661" s="122"/>
      <c r="D661" s="28"/>
      <c r="E661" s="174"/>
      <c r="F661" s="28"/>
      <c r="G661" s="28"/>
      <c r="H661" s="28"/>
      <c r="I661" s="28"/>
      <c r="J661" s="28"/>
      <c r="K661" s="175"/>
      <c r="L661" s="175"/>
      <c r="M661" s="175"/>
    </row>
    <row r="662">
      <c r="A662" s="28"/>
      <c r="B662" s="122"/>
      <c r="C662" s="122"/>
      <c r="D662" s="28"/>
      <c r="E662" s="174"/>
      <c r="F662" s="28"/>
      <c r="G662" s="28"/>
      <c r="H662" s="28"/>
      <c r="I662" s="28"/>
      <c r="J662" s="28"/>
      <c r="K662" s="175"/>
      <c r="L662" s="175"/>
      <c r="M662" s="175"/>
    </row>
    <row r="663">
      <c r="A663" s="28"/>
      <c r="B663" s="122"/>
      <c r="C663" s="122"/>
      <c r="D663" s="28"/>
      <c r="E663" s="174"/>
      <c r="F663" s="28"/>
      <c r="G663" s="28"/>
      <c r="H663" s="28"/>
      <c r="I663" s="28"/>
      <c r="J663" s="28"/>
      <c r="K663" s="175"/>
      <c r="L663" s="175"/>
      <c r="M663" s="175"/>
    </row>
    <row r="664">
      <c r="A664" s="28"/>
      <c r="B664" s="122"/>
      <c r="C664" s="122"/>
      <c r="D664" s="28"/>
      <c r="E664" s="174"/>
      <c r="F664" s="28"/>
      <c r="G664" s="28"/>
      <c r="H664" s="28"/>
      <c r="I664" s="28"/>
      <c r="J664" s="28"/>
      <c r="K664" s="175"/>
      <c r="L664" s="175"/>
      <c r="M664" s="175"/>
    </row>
    <row r="665">
      <c r="A665" s="28"/>
      <c r="B665" s="122"/>
      <c r="C665" s="122"/>
      <c r="D665" s="28"/>
      <c r="E665" s="174"/>
      <c r="F665" s="28"/>
      <c r="G665" s="28"/>
      <c r="H665" s="28"/>
      <c r="I665" s="28"/>
      <c r="J665" s="28"/>
      <c r="K665" s="175"/>
      <c r="L665" s="175"/>
      <c r="M665" s="175"/>
    </row>
    <row r="666">
      <c r="A666" s="28"/>
      <c r="B666" s="122"/>
      <c r="C666" s="122"/>
      <c r="D666" s="28"/>
      <c r="E666" s="174"/>
      <c r="F666" s="28"/>
      <c r="G666" s="28"/>
      <c r="H666" s="28"/>
      <c r="I666" s="28"/>
      <c r="J666" s="28"/>
      <c r="K666" s="175"/>
      <c r="L666" s="175"/>
      <c r="M666" s="175"/>
    </row>
    <row r="667">
      <c r="A667" s="28"/>
      <c r="B667" s="122"/>
      <c r="C667" s="122"/>
      <c r="D667" s="28"/>
      <c r="E667" s="174"/>
      <c r="F667" s="28"/>
      <c r="G667" s="28"/>
      <c r="H667" s="28"/>
      <c r="I667" s="28"/>
      <c r="J667" s="28"/>
      <c r="K667" s="175"/>
      <c r="L667" s="175"/>
      <c r="M667" s="175"/>
    </row>
    <row r="668">
      <c r="A668" s="28"/>
      <c r="B668" s="122"/>
      <c r="C668" s="122"/>
      <c r="D668" s="28"/>
      <c r="E668" s="174"/>
      <c r="F668" s="28"/>
      <c r="G668" s="28"/>
      <c r="H668" s="28"/>
      <c r="I668" s="28"/>
      <c r="J668" s="28"/>
      <c r="K668" s="175"/>
      <c r="L668" s="175"/>
      <c r="M668" s="175"/>
    </row>
    <row r="669">
      <c r="A669" s="28"/>
      <c r="B669" s="122"/>
      <c r="C669" s="122"/>
      <c r="D669" s="28"/>
      <c r="E669" s="174"/>
      <c r="F669" s="28"/>
      <c r="G669" s="28"/>
      <c r="H669" s="28"/>
      <c r="I669" s="28"/>
      <c r="J669" s="28"/>
      <c r="K669" s="175"/>
      <c r="L669" s="175"/>
      <c r="M669" s="175"/>
    </row>
    <row r="670">
      <c r="A670" s="28"/>
      <c r="B670" s="122"/>
      <c r="C670" s="122"/>
      <c r="D670" s="28"/>
      <c r="E670" s="174"/>
      <c r="F670" s="28"/>
      <c r="G670" s="28"/>
      <c r="H670" s="28"/>
      <c r="I670" s="28"/>
      <c r="J670" s="28"/>
      <c r="K670" s="175"/>
      <c r="L670" s="175"/>
      <c r="M670" s="175"/>
    </row>
    <row r="671">
      <c r="A671" s="28"/>
      <c r="B671" s="122"/>
      <c r="C671" s="122"/>
      <c r="D671" s="28"/>
      <c r="E671" s="174"/>
      <c r="F671" s="28"/>
      <c r="G671" s="28"/>
      <c r="H671" s="28"/>
      <c r="I671" s="28"/>
      <c r="J671" s="28"/>
      <c r="K671" s="175"/>
      <c r="L671" s="175"/>
      <c r="M671" s="175"/>
    </row>
    <row r="672">
      <c r="A672" s="28"/>
      <c r="B672" s="122"/>
      <c r="C672" s="122"/>
      <c r="D672" s="28"/>
      <c r="E672" s="174"/>
      <c r="F672" s="28"/>
      <c r="G672" s="28"/>
      <c r="H672" s="28"/>
      <c r="I672" s="28"/>
      <c r="J672" s="28"/>
      <c r="K672" s="175"/>
      <c r="L672" s="175"/>
      <c r="M672" s="175"/>
    </row>
    <row r="673">
      <c r="A673" s="28"/>
      <c r="B673" s="122"/>
      <c r="C673" s="122"/>
      <c r="D673" s="28"/>
      <c r="E673" s="174"/>
      <c r="F673" s="28"/>
      <c r="G673" s="28"/>
      <c r="H673" s="28"/>
      <c r="I673" s="28"/>
      <c r="J673" s="28"/>
      <c r="K673" s="175"/>
      <c r="L673" s="175"/>
      <c r="M673" s="175"/>
    </row>
    <row r="674">
      <c r="A674" s="28"/>
      <c r="B674" s="122"/>
      <c r="C674" s="122"/>
      <c r="D674" s="28"/>
      <c r="E674" s="174"/>
      <c r="F674" s="28"/>
      <c r="G674" s="28"/>
      <c r="H674" s="28"/>
      <c r="I674" s="28"/>
      <c r="J674" s="28"/>
      <c r="K674" s="175"/>
      <c r="L674" s="175"/>
      <c r="M674" s="175"/>
    </row>
    <row r="675">
      <c r="A675" s="28"/>
      <c r="B675" s="122"/>
      <c r="C675" s="122"/>
      <c r="D675" s="28"/>
      <c r="E675" s="174"/>
      <c r="F675" s="28"/>
      <c r="G675" s="28"/>
      <c r="H675" s="28"/>
      <c r="I675" s="28"/>
      <c r="J675" s="28"/>
      <c r="K675" s="175"/>
      <c r="L675" s="175"/>
      <c r="M675" s="175"/>
    </row>
    <row r="676">
      <c r="A676" s="28"/>
      <c r="B676" s="122"/>
      <c r="C676" s="122"/>
      <c r="D676" s="28"/>
      <c r="E676" s="174"/>
      <c r="F676" s="28"/>
      <c r="G676" s="28"/>
      <c r="H676" s="28"/>
      <c r="I676" s="28"/>
      <c r="J676" s="28"/>
      <c r="K676" s="175"/>
      <c r="L676" s="175"/>
      <c r="M676" s="175"/>
    </row>
    <row r="677">
      <c r="A677" s="28"/>
      <c r="B677" s="122"/>
      <c r="C677" s="122"/>
      <c r="D677" s="28"/>
      <c r="E677" s="174"/>
      <c r="F677" s="28"/>
      <c r="G677" s="28"/>
      <c r="H677" s="28"/>
      <c r="I677" s="28"/>
      <c r="J677" s="28"/>
      <c r="K677" s="175"/>
      <c r="L677" s="175"/>
      <c r="M677" s="175"/>
    </row>
    <row r="678">
      <c r="A678" s="28"/>
      <c r="B678" s="122"/>
      <c r="C678" s="122"/>
      <c r="D678" s="28"/>
      <c r="E678" s="174"/>
      <c r="F678" s="28"/>
      <c r="G678" s="28"/>
      <c r="H678" s="28"/>
      <c r="I678" s="28"/>
      <c r="J678" s="28"/>
      <c r="K678" s="175"/>
      <c r="L678" s="175"/>
      <c r="M678" s="175"/>
    </row>
    <row r="679">
      <c r="A679" s="28"/>
      <c r="B679" s="122"/>
      <c r="C679" s="122"/>
      <c r="D679" s="28"/>
      <c r="E679" s="174"/>
      <c r="F679" s="28"/>
      <c r="G679" s="28"/>
      <c r="H679" s="28"/>
      <c r="I679" s="28"/>
      <c r="J679" s="28"/>
      <c r="K679" s="175"/>
      <c r="L679" s="175"/>
      <c r="M679" s="175"/>
    </row>
    <row r="680">
      <c r="A680" s="28"/>
      <c r="B680" s="122"/>
      <c r="C680" s="122"/>
      <c r="D680" s="28"/>
      <c r="E680" s="174"/>
      <c r="F680" s="28"/>
      <c r="G680" s="28"/>
      <c r="H680" s="28"/>
      <c r="I680" s="28"/>
      <c r="J680" s="28"/>
      <c r="K680" s="175"/>
      <c r="L680" s="175"/>
      <c r="M680" s="175"/>
    </row>
    <row r="681">
      <c r="A681" s="28"/>
      <c r="B681" s="122"/>
      <c r="C681" s="122"/>
      <c r="D681" s="28"/>
      <c r="E681" s="174"/>
      <c r="F681" s="28"/>
      <c r="G681" s="28"/>
      <c r="H681" s="28"/>
      <c r="I681" s="28"/>
      <c r="J681" s="28"/>
      <c r="K681" s="175"/>
      <c r="L681" s="175"/>
      <c r="M681" s="175"/>
    </row>
    <row r="682">
      <c r="A682" s="28"/>
      <c r="B682" s="122"/>
      <c r="C682" s="122"/>
      <c r="D682" s="28"/>
      <c r="E682" s="174"/>
      <c r="F682" s="28"/>
      <c r="G682" s="28"/>
      <c r="H682" s="28"/>
      <c r="I682" s="28"/>
      <c r="J682" s="28"/>
      <c r="K682" s="175"/>
      <c r="L682" s="175"/>
      <c r="M682" s="175"/>
    </row>
    <row r="683">
      <c r="A683" s="28"/>
      <c r="B683" s="122"/>
      <c r="C683" s="122"/>
      <c r="D683" s="28"/>
      <c r="E683" s="174"/>
      <c r="F683" s="28"/>
      <c r="G683" s="28"/>
      <c r="H683" s="28"/>
      <c r="I683" s="28"/>
      <c r="J683" s="28"/>
      <c r="K683" s="175"/>
      <c r="L683" s="175"/>
      <c r="M683" s="175"/>
    </row>
    <row r="684">
      <c r="A684" s="28"/>
      <c r="B684" s="122"/>
      <c r="C684" s="122"/>
      <c r="D684" s="28"/>
      <c r="E684" s="174"/>
      <c r="F684" s="28"/>
      <c r="G684" s="28"/>
      <c r="H684" s="28"/>
      <c r="I684" s="28"/>
      <c r="J684" s="28"/>
      <c r="K684" s="175"/>
      <c r="L684" s="175"/>
      <c r="M684" s="175"/>
    </row>
    <row r="685">
      <c r="A685" s="28"/>
      <c r="B685" s="122"/>
      <c r="C685" s="122"/>
      <c r="D685" s="28"/>
      <c r="E685" s="174"/>
      <c r="F685" s="28"/>
      <c r="G685" s="28"/>
      <c r="H685" s="28"/>
      <c r="I685" s="28"/>
      <c r="J685" s="28"/>
      <c r="K685" s="175"/>
      <c r="L685" s="175"/>
      <c r="M685" s="175"/>
    </row>
    <row r="686">
      <c r="A686" s="28"/>
      <c r="B686" s="122"/>
      <c r="C686" s="122"/>
      <c r="D686" s="28"/>
      <c r="E686" s="174"/>
      <c r="F686" s="28"/>
      <c r="G686" s="28"/>
      <c r="H686" s="28"/>
      <c r="I686" s="28"/>
      <c r="J686" s="28"/>
      <c r="K686" s="175"/>
      <c r="L686" s="175"/>
      <c r="M686" s="175"/>
    </row>
    <row r="687">
      <c r="A687" s="28"/>
      <c r="B687" s="122"/>
      <c r="C687" s="122"/>
      <c r="D687" s="28"/>
      <c r="E687" s="174"/>
      <c r="F687" s="28"/>
      <c r="G687" s="28"/>
      <c r="H687" s="28"/>
      <c r="I687" s="28"/>
      <c r="J687" s="28"/>
      <c r="K687" s="175"/>
      <c r="L687" s="175"/>
      <c r="M687" s="175"/>
    </row>
    <row r="688">
      <c r="A688" s="28"/>
      <c r="B688" s="122"/>
      <c r="C688" s="122"/>
      <c r="D688" s="28"/>
      <c r="E688" s="174"/>
      <c r="F688" s="28"/>
      <c r="G688" s="28"/>
      <c r="H688" s="28"/>
      <c r="I688" s="28"/>
      <c r="J688" s="28"/>
      <c r="K688" s="175"/>
      <c r="L688" s="175"/>
      <c r="M688" s="175"/>
    </row>
    <row r="689">
      <c r="A689" s="28"/>
      <c r="B689" s="122"/>
      <c r="C689" s="122"/>
      <c r="D689" s="28"/>
      <c r="E689" s="174"/>
      <c r="F689" s="28"/>
      <c r="G689" s="28"/>
      <c r="H689" s="28"/>
      <c r="I689" s="28"/>
      <c r="J689" s="28"/>
      <c r="K689" s="175"/>
      <c r="L689" s="175"/>
      <c r="M689" s="175"/>
    </row>
    <row r="690">
      <c r="A690" s="28"/>
      <c r="B690" s="122"/>
      <c r="C690" s="122"/>
      <c r="D690" s="28"/>
      <c r="E690" s="174"/>
      <c r="F690" s="28"/>
      <c r="G690" s="28"/>
      <c r="H690" s="28"/>
      <c r="I690" s="28"/>
      <c r="J690" s="28"/>
      <c r="K690" s="175"/>
      <c r="L690" s="175"/>
      <c r="M690" s="175"/>
    </row>
    <row r="691">
      <c r="A691" s="28"/>
      <c r="B691" s="122"/>
      <c r="C691" s="122"/>
      <c r="D691" s="28"/>
      <c r="E691" s="174"/>
      <c r="F691" s="28"/>
      <c r="G691" s="28"/>
      <c r="H691" s="28"/>
      <c r="I691" s="28"/>
      <c r="J691" s="28"/>
      <c r="K691" s="175"/>
      <c r="L691" s="175"/>
      <c r="M691" s="175"/>
    </row>
    <row r="692">
      <c r="A692" s="28"/>
      <c r="B692" s="122"/>
      <c r="C692" s="122"/>
      <c r="D692" s="28"/>
      <c r="E692" s="174"/>
      <c r="F692" s="28"/>
      <c r="G692" s="28"/>
      <c r="H692" s="28"/>
      <c r="I692" s="28"/>
      <c r="J692" s="28"/>
      <c r="K692" s="175"/>
      <c r="L692" s="175"/>
      <c r="M692" s="175"/>
    </row>
    <row r="693">
      <c r="A693" s="28"/>
      <c r="B693" s="122"/>
      <c r="C693" s="122"/>
      <c r="D693" s="28"/>
      <c r="E693" s="174"/>
      <c r="F693" s="28"/>
      <c r="G693" s="28"/>
      <c r="H693" s="28"/>
      <c r="I693" s="28"/>
      <c r="J693" s="28"/>
      <c r="K693" s="175"/>
      <c r="L693" s="175"/>
      <c r="M693" s="175"/>
    </row>
    <row r="694">
      <c r="A694" s="28"/>
      <c r="B694" s="122"/>
      <c r="C694" s="122"/>
      <c r="D694" s="28"/>
      <c r="E694" s="174"/>
      <c r="F694" s="28"/>
      <c r="G694" s="28"/>
      <c r="H694" s="28"/>
      <c r="I694" s="28"/>
      <c r="J694" s="28"/>
      <c r="K694" s="175"/>
      <c r="L694" s="175"/>
      <c r="M694" s="175"/>
    </row>
    <row r="695">
      <c r="A695" s="28"/>
      <c r="B695" s="122"/>
      <c r="C695" s="122"/>
      <c r="D695" s="28"/>
      <c r="E695" s="174"/>
      <c r="F695" s="28"/>
      <c r="G695" s="28"/>
      <c r="H695" s="28"/>
      <c r="I695" s="28"/>
      <c r="J695" s="28"/>
      <c r="K695" s="175"/>
      <c r="L695" s="175"/>
      <c r="M695" s="175"/>
    </row>
    <row r="696">
      <c r="A696" s="28"/>
      <c r="B696" s="122"/>
      <c r="C696" s="122"/>
      <c r="D696" s="28"/>
      <c r="E696" s="174"/>
      <c r="F696" s="28"/>
      <c r="G696" s="28"/>
      <c r="H696" s="28"/>
      <c r="I696" s="28"/>
      <c r="J696" s="28"/>
      <c r="K696" s="175"/>
      <c r="L696" s="175"/>
      <c r="M696" s="175"/>
    </row>
    <row r="697">
      <c r="A697" s="28"/>
      <c r="B697" s="122"/>
      <c r="C697" s="122"/>
      <c r="D697" s="28"/>
      <c r="E697" s="174"/>
      <c r="F697" s="28"/>
      <c r="G697" s="28"/>
      <c r="H697" s="28"/>
      <c r="I697" s="28"/>
      <c r="J697" s="28"/>
      <c r="K697" s="175"/>
      <c r="L697" s="175"/>
      <c r="M697" s="175"/>
    </row>
    <row r="698">
      <c r="A698" s="28"/>
      <c r="B698" s="122"/>
      <c r="C698" s="122"/>
      <c r="D698" s="28"/>
      <c r="E698" s="174"/>
      <c r="F698" s="28"/>
      <c r="G698" s="28"/>
      <c r="H698" s="28"/>
      <c r="I698" s="28"/>
      <c r="J698" s="28"/>
      <c r="K698" s="175"/>
      <c r="L698" s="175"/>
      <c r="M698" s="175"/>
    </row>
    <row r="699">
      <c r="A699" s="28"/>
      <c r="B699" s="122"/>
      <c r="C699" s="122"/>
      <c r="D699" s="28"/>
      <c r="E699" s="174"/>
      <c r="F699" s="28"/>
      <c r="G699" s="28"/>
      <c r="H699" s="28"/>
      <c r="I699" s="28"/>
      <c r="J699" s="28"/>
      <c r="K699" s="175"/>
      <c r="L699" s="175"/>
      <c r="M699" s="175"/>
    </row>
    <row r="700">
      <c r="A700" s="28"/>
      <c r="B700" s="122"/>
      <c r="C700" s="122"/>
      <c r="D700" s="28"/>
      <c r="E700" s="174"/>
      <c r="F700" s="28"/>
      <c r="G700" s="28"/>
      <c r="H700" s="28"/>
      <c r="I700" s="28"/>
      <c r="J700" s="28"/>
      <c r="K700" s="175"/>
      <c r="L700" s="175"/>
      <c r="M700" s="175"/>
    </row>
    <row r="701">
      <c r="A701" s="28"/>
      <c r="B701" s="122"/>
      <c r="C701" s="122"/>
      <c r="D701" s="28"/>
      <c r="E701" s="174"/>
      <c r="F701" s="28"/>
      <c r="G701" s="28"/>
      <c r="H701" s="28"/>
      <c r="I701" s="28"/>
      <c r="J701" s="28"/>
      <c r="K701" s="175"/>
      <c r="L701" s="175"/>
      <c r="M701" s="175"/>
    </row>
    <row r="702">
      <c r="A702" s="28"/>
      <c r="B702" s="122"/>
      <c r="C702" s="122"/>
      <c r="D702" s="28"/>
      <c r="E702" s="174"/>
      <c r="F702" s="28"/>
      <c r="G702" s="28"/>
      <c r="H702" s="28"/>
      <c r="I702" s="28"/>
      <c r="J702" s="28"/>
      <c r="K702" s="175"/>
      <c r="L702" s="175"/>
      <c r="M702" s="175"/>
    </row>
    <row r="703">
      <c r="A703" s="28"/>
      <c r="B703" s="122"/>
      <c r="C703" s="122"/>
      <c r="D703" s="28"/>
      <c r="E703" s="174"/>
      <c r="F703" s="28"/>
      <c r="G703" s="28"/>
      <c r="H703" s="28"/>
      <c r="I703" s="28"/>
      <c r="J703" s="28"/>
      <c r="K703" s="175"/>
      <c r="L703" s="175"/>
      <c r="M703" s="175"/>
    </row>
    <row r="704">
      <c r="A704" s="28"/>
      <c r="B704" s="122"/>
      <c r="C704" s="122"/>
      <c r="D704" s="28"/>
      <c r="E704" s="174"/>
      <c r="F704" s="28"/>
      <c r="G704" s="28"/>
      <c r="H704" s="28"/>
      <c r="I704" s="28"/>
      <c r="J704" s="28"/>
      <c r="K704" s="175"/>
      <c r="L704" s="175"/>
      <c r="M704" s="175"/>
    </row>
    <row r="705">
      <c r="A705" s="28"/>
      <c r="B705" s="122"/>
      <c r="C705" s="122"/>
      <c r="D705" s="28"/>
      <c r="E705" s="174"/>
      <c r="F705" s="28"/>
      <c r="G705" s="28"/>
      <c r="H705" s="28"/>
      <c r="I705" s="28"/>
      <c r="J705" s="28"/>
      <c r="K705" s="175"/>
      <c r="L705" s="175"/>
      <c r="M705" s="175"/>
    </row>
    <row r="706">
      <c r="A706" s="28"/>
      <c r="B706" s="122"/>
      <c r="C706" s="122"/>
      <c r="D706" s="28"/>
      <c r="E706" s="174"/>
      <c r="F706" s="28"/>
      <c r="G706" s="28"/>
      <c r="H706" s="28"/>
      <c r="I706" s="28"/>
      <c r="J706" s="28"/>
      <c r="K706" s="175"/>
      <c r="L706" s="175"/>
      <c r="M706" s="175"/>
    </row>
    <row r="707">
      <c r="A707" s="28"/>
      <c r="B707" s="122"/>
      <c r="C707" s="122"/>
      <c r="D707" s="28"/>
      <c r="E707" s="174"/>
      <c r="F707" s="28"/>
      <c r="G707" s="28"/>
      <c r="H707" s="28"/>
      <c r="I707" s="28"/>
      <c r="J707" s="28"/>
      <c r="K707" s="175"/>
      <c r="L707" s="175"/>
      <c r="M707" s="175"/>
    </row>
    <row r="708">
      <c r="A708" s="28"/>
      <c r="B708" s="122"/>
      <c r="C708" s="122"/>
      <c r="D708" s="28"/>
      <c r="E708" s="174"/>
      <c r="F708" s="28"/>
      <c r="G708" s="28"/>
      <c r="H708" s="28"/>
      <c r="I708" s="28"/>
      <c r="J708" s="28"/>
      <c r="K708" s="175"/>
      <c r="L708" s="175"/>
      <c r="M708" s="175"/>
    </row>
    <row r="709">
      <c r="A709" s="28"/>
      <c r="B709" s="122"/>
      <c r="C709" s="122"/>
      <c r="D709" s="28"/>
      <c r="E709" s="174"/>
      <c r="F709" s="28"/>
      <c r="G709" s="28"/>
      <c r="H709" s="28"/>
      <c r="I709" s="28"/>
      <c r="J709" s="28"/>
      <c r="K709" s="175"/>
      <c r="L709" s="175"/>
      <c r="M709" s="175"/>
    </row>
    <row r="710">
      <c r="A710" s="28"/>
      <c r="B710" s="122"/>
      <c r="C710" s="122"/>
      <c r="D710" s="28"/>
      <c r="E710" s="174"/>
      <c r="F710" s="28"/>
      <c r="G710" s="28"/>
      <c r="H710" s="28"/>
      <c r="I710" s="28"/>
      <c r="J710" s="28"/>
      <c r="K710" s="175"/>
      <c r="L710" s="175"/>
      <c r="M710" s="175"/>
    </row>
    <row r="711">
      <c r="A711" s="28"/>
      <c r="B711" s="122"/>
      <c r="C711" s="122"/>
      <c r="D711" s="28"/>
      <c r="E711" s="174"/>
      <c r="F711" s="28"/>
      <c r="G711" s="28"/>
      <c r="H711" s="28"/>
      <c r="I711" s="28"/>
      <c r="J711" s="28"/>
      <c r="K711" s="175"/>
      <c r="L711" s="175"/>
      <c r="M711" s="175"/>
    </row>
    <row r="712">
      <c r="A712" s="28"/>
      <c r="B712" s="122"/>
      <c r="C712" s="122"/>
      <c r="D712" s="28"/>
      <c r="E712" s="174"/>
      <c r="F712" s="28"/>
      <c r="G712" s="28"/>
      <c r="H712" s="28"/>
      <c r="I712" s="28"/>
      <c r="J712" s="28"/>
      <c r="K712" s="175"/>
      <c r="L712" s="175"/>
      <c r="M712" s="175"/>
    </row>
    <row r="713">
      <c r="A713" s="28"/>
      <c r="B713" s="122"/>
      <c r="C713" s="122"/>
      <c r="D713" s="28"/>
      <c r="E713" s="174"/>
      <c r="F713" s="28"/>
      <c r="G713" s="28"/>
      <c r="H713" s="28"/>
      <c r="I713" s="28"/>
      <c r="J713" s="28"/>
      <c r="K713" s="175"/>
      <c r="L713" s="175"/>
      <c r="M713" s="175"/>
    </row>
    <row r="714">
      <c r="A714" s="28"/>
      <c r="B714" s="122"/>
      <c r="C714" s="122"/>
      <c r="D714" s="28"/>
      <c r="E714" s="174"/>
      <c r="F714" s="28"/>
      <c r="G714" s="28"/>
      <c r="H714" s="28"/>
      <c r="I714" s="28"/>
      <c r="J714" s="28"/>
      <c r="K714" s="175"/>
      <c r="L714" s="175"/>
      <c r="M714" s="175"/>
    </row>
    <row r="715">
      <c r="A715" s="28"/>
      <c r="B715" s="122"/>
      <c r="C715" s="122"/>
      <c r="D715" s="28"/>
      <c r="E715" s="174"/>
      <c r="F715" s="28"/>
      <c r="G715" s="28"/>
      <c r="H715" s="28"/>
      <c r="I715" s="28"/>
      <c r="J715" s="28"/>
      <c r="K715" s="175"/>
      <c r="L715" s="175"/>
      <c r="M715" s="175"/>
    </row>
    <row r="716">
      <c r="A716" s="28"/>
      <c r="B716" s="122"/>
      <c r="C716" s="122"/>
      <c r="D716" s="28"/>
      <c r="E716" s="174"/>
      <c r="F716" s="28"/>
      <c r="G716" s="28"/>
      <c r="H716" s="28"/>
      <c r="I716" s="28"/>
      <c r="J716" s="28"/>
      <c r="K716" s="175"/>
      <c r="L716" s="175"/>
      <c r="M716" s="175"/>
    </row>
    <row r="717">
      <c r="A717" s="28"/>
      <c r="B717" s="122"/>
      <c r="C717" s="122"/>
      <c r="D717" s="28"/>
      <c r="E717" s="174"/>
      <c r="F717" s="28"/>
      <c r="G717" s="28"/>
      <c r="H717" s="28"/>
      <c r="I717" s="28"/>
      <c r="J717" s="28"/>
      <c r="K717" s="175"/>
      <c r="L717" s="175"/>
      <c r="M717" s="175"/>
    </row>
    <row r="718">
      <c r="A718" s="28"/>
      <c r="B718" s="122"/>
      <c r="C718" s="122"/>
      <c r="D718" s="28"/>
      <c r="E718" s="174"/>
      <c r="F718" s="28"/>
      <c r="G718" s="28"/>
      <c r="H718" s="28"/>
      <c r="I718" s="28"/>
      <c r="J718" s="28"/>
      <c r="K718" s="175"/>
      <c r="L718" s="175"/>
      <c r="M718" s="175"/>
    </row>
    <row r="719">
      <c r="A719" s="28"/>
      <c r="B719" s="122"/>
      <c r="C719" s="122"/>
      <c r="D719" s="28"/>
      <c r="E719" s="174"/>
      <c r="F719" s="28"/>
      <c r="G719" s="28"/>
      <c r="H719" s="28"/>
      <c r="I719" s="28"/>
      <c r="J719" s="28"/>
      <c r="K719" s="175"/>
      <c r="L719" s="175"/>
      <c r="M719" s="175"/>
    </row>
    <row r="720">
      <c r="A720" s="28"/>
      <c r="B720" s="122"/>
      <c r="C720" s="122"/>
      <c r="D720" s="28"/>
      <c r="E720" s="174"/>
      <c r="F720" s="28"/>
      <c r="G720" s="28"/>
      <c r="H720" s="28"/>
      <c r="I720" s="28"/>
      <c r="J720" s="28"/>
      <c r="K720" s="175"/>
      <c r="L720" s="175"/>
      <c r="M720" s="175"/>
    </row>
    <row r="721">
      <c r="A721" s="28"/>
      <c r="B721" s="122"/>
      <c r="C721" s="122"/>
      <c r="D721" s="28"/>
      <c r="E721" s="174"/>
      <c r="F721" s="28"/>
      <c r="G721" s="28"/>
      <c r="H721" s="28"/>
      <c r="I721" s="28"/>
      <c r="J721" s="28"/>
      <c r="K721" s="175"/>
      <c r="L721" s="175"/>
      <c r="M721" s="175"/>
    </row>
    <row r="722">
      <c r="A722" s="28"/>
      <c r="B722" s="122"/>
      <c r="C722" s="122"/>
      <c r="D722" s="28"/>
      <c r="E722" s="174"/>
      <c r="F722" s="28"/>
      <c r="G722" s="28"/>
      <c r="H722" s="28"/>
      <c r="I722" s="28"/>
      <c r="J722" s="28"/>
      <c r="K722" s="175"/>
      <c r="L722" s="175"/>
      <c r="M722" s="175"/>
    </row>
    <row r="723">
      <c r="A723" s="28"/>
      <c r="B723" s="122"/>
      <c r="C723" s="122"/>
      <c r="D723" s="28"/>
      <c r="E723" s="174"/>
      <c r="F723" s="28"/>
      <c r="G723" s="28"/>
      <c r="H723" s="28"/>
      <c r="I723" s="28"/>
      <c r="J723" s="28"/>
      <c r="K723" s="175"/>
      <c r="L723" s="175"/>
      <c r="M723" s="175"/>
    </row>
    <row r="724">
      <c r="A724" s="28"/>
      <c r="B724" s="122"/>
      <c r="C724" s="122"/>
      <c r="D724" s="28"/>
      <c r="E724" s="174"/>
      <c r="F724" s="28"/>
      <c r="G724" s="28"/>
      <c r="H724" s="28"/>
      <c r="I724" s="28"/>
      <c r="J724" s="28"/>
      <c r="K724" s="175"/>
      <c r="L724" s="175"/>
      <c r="M724" s="175"/>
    </row>
    <row r="725">
      <c r="A725" s="28"/>
      <c r="B725" s="122"/>
      <c r="C725" s="122"/>
      <c r="D725" s="28"/>
      <c r="E725" s="174"/>
      <c r="F725" s="28"/>
      <c r="G725" s="28"/>
      <c r="H725" s="28"/>
      <c r="I725" s="28"/>
      <c r="J725" s="28"/>
      <c r="K725" s="175"/>
      <c r="L725" s="175"/>
      <c r="M725" s="175"/>
    </row>
    <row r="726">
      <c r="A726" s="28"/>
      <c r="B726" s="122"/>
      <c r="C726" s="122"/>
      <c r="D726" s="28"/>
      <c r="E726" s="174"/>
      <c r="F726" s="28"/>
      <c r="G726" s="28"/>
      <c r="H726" s="28"/>
      <c r="I726" s="28"/>
      <c r="J726" s="28"/>
      <c r="K726" s="175"/>
      <c r="L726" s="175"/>
      <c r="M726" s="175"/>
    </row>
    <row r="727">
      <c r="A727" s="28"/>
      <c r="B727" s="122"/>
      <c r="C727" s="122"/>
      <c r="D727" s="28"/>
      <c r="E727" s="174"/>
      <c r="F727" s="28"/>
      <c r="G727" s="28"/>
      <c r="H727" s="28"/>
      <c r="I727" s="28"/>
      <c r="J727" s="28"/>
      <c r="K727" s="175"/>
      <c r="L727" s="175"/>
      <c r="M727" s="175"/>
    </row>
    <row r="728">
      <c r="A728" s="28"/>
      <c r="B728" s="122"/>
      <c r="C728" s="122"/>
      <c r="D728" s="28"/>
      <c r="E728" s="174"/>
      <c r="F728" s="28"/>
      <c r="G728" s="28"/>
      <c r="H728" s="28"/>
      <c r="I728" s="28"/>
      <c r="J728" s="28"/>
      <c r="K728" s="175"/>
      <c r="L728" s="175"/>
      <c r="M728" s="175"/>
    </row>
    <row r="729">
      <c r="A729" s="28"/>
      <c r="B729" s="122"/>
      <c r="C729" s="122"/>
      <c r="D729" s="28"/>
      <c r="E729" s="174"/>
      <c r="F729" s="28"/>
      <c r="G729" s="28"/>
      <c r="H729" s="28"/>
      <c r="I729" s="28"/>
      <c r="J729" s="28"/>
      <c r="K729" s="175"/>
      <c r="L729" s="175"/>
      <c r="M729" s="175"/>
    </row>
    <row r="730">
      <c r="A730" s="28"/>
      <c r="B730" s="122"/>
      <c r="C730" s="122"/>
      <c r="D730" s="28"/>
      <c r="E730" s="174"/>
      <c r="F730" s="28"/>
      <c r="G730" s="28"/>
      <c r="H730" s="28"/>
      <c r="I730" s="28"/>
      <c r="J730" s="28"/>
      <c r="K730" s="175"/>
      <c r="L730" s="175"/>
      <c r="M730" s="175"/>
    </row>
    <row r="731">
      <c r="A731" s="28"/>
      <c r="B731" s="122"/>
      <c r="C731" s="122"/>
      <c r="D731" s="28"/>
      <c r="E731" s="174"/>
      <c r="F731" s="28"/>
      <c r="G731" s="28"/>
      <c r="H731" s="28"/>
      <c r="I731" s="28"/>
      <c r="J731" s="28"/>
      <c r="K731" s="175"/>
      <c r="L731" s="175"/>
      <c r="M731" s="175"/>
    </row>
    <row r="732">
      <c r="A732" s="28"/>
      <c r="B732" s="122"/>
      <c r="C732" s="122"/>
      <c r="D732" s="28"/>
      <c r="E732" s="174"/>
      <c r="F732" s="28"/>
      <c r="G732" s="28"/>
      <c r="H732" s="28"/>
      <c r="I732" s="28"/>
      <c r="J732" s="28"/>
      <c r="K732" s="175"/>
      <c r="L732" s="175"/>
      <c r="M732" s="175"/>
    </row>
    <row r="733">
      <c r="A733" s="28"/>
      <c r="B733" s="122"/>
      <c r="C733" s="122"/>
      <c r="D733" s="28"/>
      <c r="E733" s="174"/>
      <c r="F733" s="28"/>
      <c r="G733" s="28"/>
      <c r="H733" s="28"/>
      <c r="I733" s="28"/>
      <c r="J733" s="28"/>
      <c r="K733" s="175"/>
      <c r="L733" s="175"/>
      <c r="M733" s="175"/>
    </row>
    <row r="734">
      <c r="A734" s="28"/>
      <c r="B734" s="122"/>
      <c r="C734" s="122"/>
      <c r="D734" s="28"/>
      <c r="E734" s="174"/>
      <c r="F734" s="28"/>
      <c r="G734" s="28"/>
      <c r="H734" s="28"/>
      <c r="I734" s="28"/>
      <c r="J734" s="28"/>
      <c r="K734" s="175"/>
      <c r="L734" s="175"/>
      <c r="M734" s="175"/>
    </row>
    <row r="735">
      <c r="A735" s="28"/>
      <c r="B735" s="122"/>
      <c r="C735" s="122"/>
      <c r="D735" s="28"/>
      <c r="E735" s="174"/>
      <c r="F735" s="28"/>
      <c r="G735" s="28"/>
      <c r="H735" s="28"/>
      <c r="I735" s="28"/>
      <c r="J735" s="28"/>
      <c r="K735" s="175"/>
      <c r="L735" s="175"/>
      <c r="M735" s="175"/>
    </row>
    <row r="736">
      <c r="A736" s="28"/>
      <c r="B736" s="122"/>
      <c r="C736" s="122"/>
      <c r="D736" s="28"/>
      <c r="E736" s="174"/>
      <c r="F736" s="28"/>
      <c r="G736" s="28"/>
      <c r="H736" s="28"/>
      <c r="I736" s="28"/>
      <c r="J736" s="28"/>
      <c r="K736" s="175"/>
      <c r="L736" s="175"/>
      <c r="M736" s="175"/>
    </row>
    <row r="737">
      <c r="A737" s="28"/>
      <c r="B737" s="122"/>
      <c r="C737" s="122"/>
      <c r="D737" s="28"/>
      <c r="E737" s="174"/>
      <c r="F737" s="28"/>
      <c r="G737" s="28"/>
      <c r="H737" s="28"/>
      <c r="I737" s="28"/>
      <c r="J737" s="28"/>
      <c r="K737" s="175"/>
      <c r="L737" s="175"/>
      <c r="M737" s="175"/>
    </row>
    <row r="738">
      <c r="A738" s="28"/>
      <c r="B738" s="122"/>
      <c r="C738" s="122"/>
      <c r="D738" s="28"/>
      <c r="E738" s="174"/>
      <c r="F738" s="28"/>
      <c r="G738" s="28"/>
      <c r="H738" s="28"/>
      <c r="I738" s="28"/>
      <c r="J738" s="28"/>
      <c r="K738" s="175"/>
      <c r="L738" s="175"/>
      <c r="M738" s="175"/>
    </row>
    <row r="739">
      <c r="A739" s="28"/>
      <c r="B739" s="122"/>
      <c r="C739" s="122"/>
      <c r="D739" s="28"/>
      <c r="E739" s="174"/>
      <c r="F739" s="28"/>
      <c r="G739" s="28"/>
      <c r="H739" s="28"/>
      <c r="I739" s="28"/>
      <c r="J739" s="28"/>
      <c r="K739" s="175"/>
      <c r="L739" s="175"/>
      <c r="M739" s="175"/>
    </row>
    <row r="740">
      <c r="A740" s="28"/>
      <c r="B740" s="122"/>
      <c r="C740" s="122"/>
      <c r="D740" s="28"/>
      <c r="E740" s="174"/>
      <c r="F740" s="28"/>
      <c r="G740" s="28"/>
      <c r="H740" s="28"/>
      <c r="I740" s="28"/>
      <c r="J740" s="28"/>
      <c r="K740" s="175"/>
      <c r="L740" s="175"/>
      <c r="M740" s="175"/>
    </row>
    <row r="741">
      <c r="A741" s="28"/>
      <c r="B741" s="122"/>
      <c r="C741" s="122"/>
      <c r="D741" s="28"/>
      <c r="E741" s="174"/>
      <c r="F741" s="28"/>
      <c r="G741" s="28"/>
      <c r="H741" s="28"/>
      <c r="I741" s="28"/>
      <c r="J741" s="28"/>
      <c r="K741" s="175"/>
      <c r="L741" s="175"/>
      <c r="M741" s="175"/>
    </row>
    <row r="742">
      <c r="A742" s="28"/>
      <c r="B742" s="122"/>
      <c r="C742" s="122"/>
      <c r="D742" s="28"/>
      <c r="E742" s="174"/>
      <c r="F742" s="28"/>
      <c r="G742" s="28"/>
      <c r="H742" s="28"/>
      <c r="I742" s="28"/>
      <c r="J742" s="28"/>
      <c r="K742" s="175"/>
      <c r="L742" s="175"/>
      <c r="M742" s="175"/>
    </row>
    <row r="743">
      <c r="A743" s="28"/>
      <c r="B743" s="122"/>
      <c r="C743" s="122"/>
      <c r="D743" s="28"/>
      <c r="E743" s="174"/>
      <c r="F743" s="28"/>
      <c r="G743" s="28"/>
      <c r="H743" s="28"/>
      <c r="I743" s="28"/>
      <c r="J743" s="28"/>
      <c r="K743" s="175"/>
      <c r="L743" s="175"/>
      <c r="M743" s="175"/>
    </row>
    <row r="744">
      <c r="A744" s="28"/>
      <c r="B744" s="122"/>
      <c r="C744" s="122"/>
      <c r="D744" s="28"/>
      <c r="E744" s="174"/>
      <c r="F744" s="28"/>
      <c r="G744" s="28"/>
      <c r="H744" s="28"/>
      <c r="I744" s="28"/>
      <c r="J744" s="28"/>
      <c r="K744" s="175"/>
      <c r="L744" s="175"/>
      <c r="M744" s="175"/>
    </row>
    <row r="745">
      <c r="A745" s="28"/>
      <c r="B745" s="122"/>
      <c r="C745" s="122"/>
      <c r="D745" s="28"/>
      <c r="E745" s="174"/>
      <c r="F745" s="28"/>
      <c r="G745" s="28"/>
      <c r="H745" s="28"/>
      <c r="I745" s="28"/>
      <c r="J745" s="28"/>
      <c r="K745" s="175"/>
      <c r="L745" s="175"/>
      <c r="M745" s="175"/>
    </row>
    <row r="746">
      <c r="A746" s="28"/>
      <c r="B746" s="122"/>
      <c r="C746" s="122"/>
      <c r="D746" s="28"/>
      <c r="E746" s="174"/>
      <c r="F746" s="28"/>
      <c r="G746" s="28"/>
      <c r="H746" s="28"/>
      <c r="I746" s="28"/>
      <c r="J746" s="28"/>
      <c r="K746" s="175"/>
      <c r="L746" s="175"/>
      <c r="M746" s="175"/>
    </row>
    <row r="747">
      <c r="A747" s="28"/>
      <c r="B747" s="122"/>
      <c r="C747" s="122"/>
      <c r="D747" s="28"/>
      <c r="E747" s="174"/>
      <c r="F747" s="28"/>
      <c r="G747" s="28"/>
      <c r="H747" s="28"/>
      <c r="I747" s="28"/>
      <c r="J747" s="28"/>
      <c r="K747" s="175"/>
      <c r="L747" s="175"/>
      <c r="M747" s="175"/>
    </row>
    <row r="748">
      <c r="A748" s="28"/>
      <c r="B748" s="122"/>
      <c r="C748" s="122"/>
      <c r="D748" s="28"/>
      <c r="E748" s="174"/>
      <c r="F748" s="28"/>
      <c r="G748" s="28"/>
      <c r="H748" s="28"/>
      <c r="I748" s="28"/>
      <c r="J748" s="28"/>
      <c r="K748" s="175"/>
      <c r="L748" s="175"/>
      <c r="M748" s="175"/>
    </row>
    <row r="749">
      <c r="A749" s="28"/>
      <c r="B749" s="122"/>
      <c r="C749" s="122"/>
      <c r="D749" s="28"/>
      <c r="E749" s="174"/>
      <c r="F749" s="28"/>
      <c r="G749" s="28"/>
      <c r="H749" s="28"/>
      <c r="I749" s="28"/>
      <c r="J749" s="28"/>
      <c r="K749" s="175"/>
      <c r="L749" s="175"/>
      <c r="M749" s="175"/>
    </row>
    <row r="750">
      <c r="A750" s="28"/>
      <c r="B750" s="122"/>
      <c r="C750" s="122"/>
      <c r="D750" s="28"/>
      <c r="E750" s="174"/>
      <c r="F750" s="28"/>
      <c r="G750" s="28"/>
      <c r="H750" s="28"/>
      <c r="I750" s="28"/>
      <c r="J750" s="28"/>
      <c r="K750" s="175"/>
      <c r="L750" s="175"/>
      <c r="M750" s="175"/>
    </row>
    <row r="751">
      <c r="A751" s="28"/>
      <c r="B751" s="122"/>
      <c r="C751" s="122"/>
      <c r="D751" s="28"/>
      <c r="E751" s="174"/>
      <c r="F751" s="28"/>
      <c r="G751" s="28"/>
      <c r="H751" s="28"/>
      <c r="I751" s="28"/>
      <c r="J751" s="28"/>
      <c r="K751" s="175"/>
      <c r="L751" s="175"/>
      <c r="M751" s="175"/>
    </row>
    <row r="752">
      <c r="A752" s="28"/>
      <c r="B752" s="122"/>
      <c r="C752" s="122"/>
      <c r="D752" s="28"/>
      <c r="E752" s="174"/>
      <c r="F752" s="28"/>
      <c r="G752" s="28"/>
      <c r="H752" s="28"/>
      <c r="I752" s="28"/>
      <c r="J752" s="28"/>
      <c r="K752" s="175"/>
      <c r="L752" s="175"/>
      <c r="M752" s="175"/>
    </row>
    <row r="753">
      <c r="A753" s="28"/>
      <c r="B753" s="122"/>
      <c r="C753" s="122"/>
      <c r="D753" s="28"/>
      <c r="E753" s="174"/>
      <c r="F753" s="28"/>
      <c r="G753" s="28"/>
      <c r="H753" s="28"/>
      <c r="I753" s="28"/>
      <c r="J753" s="28"/>
      <c r="K753" s="175"/>
      <c r="L753" s="175"/>
      <c r="M753" s="175"/>
    </row>
    <row r="754">
      <c r="A754" s="28"/>
      <c r="B754" s="122"/>
      <c r="C754" s="122"/>
      <c r="D754" s="28"/>
      <c r="E754" s="174"/>
      <c r="F754" s="28"/>
      <c r="G754" s="28"/>
      <c r="H754" s="28"/>
      <c r="I754" s="28"/>
      <c r="J754" s="28"/>
      <c r="K754" s="175"/>
      <c r="L754" s="175"/>
      <c r="M754" s="175"/>
    </row>
    <row r="755">
      <c r="A755" s="28"/>
      <c r="B755" s="122"/>
      <c r="C755" s="122"/>
      <c r="D755" s="28"/>
      <c r="E755" s="174"/>
      <c r="F755" s="28"/>
      <c r="G755" s="28"/>
      <c r="H755" s="28"/>
      <c r="I755" s="28"/>
      <c r="J755" s="28"/>
      <c r="K755" s="175"/>
      <c r="L755" s="175"/>
      <c r="M755" s="175"/>
    </row>
    <row r="756">
      <c r="A756" s="28"/>
      <c r="B756" s="122"/>
      <c r="C756" s="122"/>
      <c r="D756" s="28"/>
      <c r="E756" s="174"/>
      <c r="F756" s="28"/>
      <c r="G756" s="28"/>
      <c r="H756" s="28"/>
      <c r="I756" s="28"/>
      <c r="J756" s="28"/>
      <c r="K756" s="175"/>
      <c r="L756" s="175"/>
      <c r="M756" s="175"/>
    </row>
    <row r="757">
      <c r="A757" s="28"/>
      <c r="B757" s="122"/>
      <c r="C757" s="122"/>
      <c r="D757" s="28"/>
      <c r="E757" s="174"/>
      <c r="F757" s="28"/>
      <c r="G757" s="28"/>
      <c r="H757" s="28"/>
      <c r="I757" s="28"/>
      <c r="J757" s="28"/>
      <c r="K757" s="175"/>
      <c r="L757" s="175"/>
      <c r="M757" s="175"/>
    </row>
    <row r="758">
      <c r="A758" s="28"/>
      <c r="B758" s="122"/>
      <c r="C758" s="122"/>
      <c r="D758" s="28"/>
      <c r="E758" s="174"/>
      <c r="F758" s="28"/>
      <c r="G758" s="28"/>
      <c r="H758" s="28"/>
      <c r="I758" s="28"/>
      <c r="J758" s="28"/>
      <c r="K758" s="175"/>
      <c r="L758" s="175"/>
      <c r="M758" s="175"/>
    </row>
    <row r="759">
      <c r="A759" s="28"/>
      <c r="B759" s="122"/>
      <c r="C759" s="122"/>
      <c r="D759" s="28"/>
      <c r="E759" s="174"/>
      <c r="F759" s="28"/>
      <c r="G759" s="28"/>
      <c r="H759" s="28"/>
      <c r="I759" s="28"/>
      <c r="J759" s="28"/>
      <c r="K759" s="175"/>
      <c r="L759" s="175"/>
      <c r="M759" s="175"/>
    </row>
    <row r="760">
      <c r="A760" s="28"/>
      <c r="B760" s="122"/>
      <c r="C760" s="122"/>
      <c r="D760" s="28"/>
      <c r="E760" s="174"/>
      <c r="F760" s="28"/>
      <c r="G760" s="28"/>
      <c r="H760" s="28"/>
      <c r="I760" s="28"/>
      <c r="J760" s="28"/>
      <c r="K760" s="175"/>
      <c r="L760" s="175"/>
      <c r="M760" s="175"/>
    </row>
    <row r="761">
      <c r="A761" s="28"/>
      <c r="B761" s="122"/>
      <c r="C761" s="122"/>
      <c r="D761" s="28"/>
      <c r="E761" s="174"/>
      <c r="F761" s="28"/>
      <c r="G761" s="28"/>
      <c r="H761" s="28"/>
      <c r="I761" s="28"/>
      <c r="J761" s="28"/>
      <c r="K761" s="175"/>
      <c r="L761" s="175"/>
      <c r="M761" s="175"/>
    </row>
    <row r="762">
      <c r="A762" s="28"/>
      <c r="B762" s="122"/>
      <c r="C762" s="122"/>
      <c r="D762" s="28"/>
      <c r="E762" s="174"/>
      <c r="F762" s="28"/>
      <c r="G762" s="28"/>
      <c r="H762" s="28"/>
      <c r="I762" s="28"/>
      <c r="J762" s="28"/>
      <c r="K762" s="175"/>
      <c r="L762" s="175"/>
      <c r="M762" s="175"/>
    </row>
    <row r="763">
      <c r="A763" s="28"/>
      <c r="B763" s="122"/>
      <c r="C763" s="122"/>
      <c r="D763" s="28"/>
      <c r="E763" s="174"/>
      <c r="F763" s="28"/>
      <c r="G763" s="28"/>
      <c r="H763" s="28"/>
      <c r="I763" s="28"/>
      <c r="J763" s="28"/>
      <c r="K763" s="175"/>
      <c r="L763" s="175"/>
      <c r="M763" s="175"/>
    </row>
    <row r="764">
      <c r="A764" s="28"/>
      <c r="B764" s="122"/>
      <c r="C764" s="122"/>
      <c r="D764" s="28"/>
      <c r="E764" s="174"/>
      <c r="F764" s="28"/>
      <c r="G764" s="28"/>
      <c r="H764" s="28"/>
      <c r="I764" s="28"/>
      <c r="J764" s="28"/>
      <c r="K764" s="175"/>
      <c r="L764" s="175"/>
      <c r="M764" s="175"/>
    </row>
    <row r="765">
      <c r="A765" s="28"/>
      <c r="B765" s="122"/>
      <c r="C765" s="122"/>
      <c r="D765" s="28"/>
      <c r="E765" s="174"/>
      <c r="F765" s="28"/>
      <c r="G765" s="28"/>
      <c r="H765" s="28"/>
      <c r="I765" s="28"/>
      <c r="J765" s="28"/>
      <c r="K765" s="175"/>
      <c r="L765" s="175"/>
      <c r="M765" s="175"/>
    </row>
    <row r="766">
      <c r="A766" s="28"/>
      <c r="B766" s="122"/>
      <c r="C766" s="122"/>
      <c r="D766" s="28"/>
      <c r="E766" s="174"/>
      <c r="F766" s="28"/>
      <c r="G766" s="28"/>
      <c r="H766" s="28"/>
      <c r="I766" s="28"/>
      <c r="J766" s="28"/>
      <c r="K766" s="175"/>
      <c r="L766" s="175"/>
      <c r="M766" s="175"/>
    </row>
    <row r="767">
      <c r="A767" s="28"/>
      <c r="B767" s="122"/>
      <c r="C767" s="122"/>
      <c r="D767" s="28"/>
      <c r="E767" s="174"/>
      <c r="F767" s="28"/>
      <c r="G767" s="28"/>
      <c r="H767" s="28"/>
      <c r="I767" s="28"/>
      <c r="J767" s="28"/>
      <c r="K767" s="175"/>
      <c r="L767" s="175"/>
      <c r="M767" s="175"/>
    </row>
    <row r="768">
      <c r="A768" s="28"/>
      <c r="B768" s="122"/>
      <c r="C768" s="122"/>
      <c r="D768" s="28"/>
      <c r="E768" s="174"/>
      <c r="F768" s="28"/>
      <c r="G768" s="28"/>
      <c r="H768" s="28"/>
      <c r="I768" s="28"/>
      <c r="J768" s="28"/>
      <c r="K768" s="175"/>
      <c r="L768" s="175"/>
      <c r="M768" s="175"/>
    </row>
    <row r="769">
      <c r="A769" s="28"/>
      <c r="B769" s="122"/>
      <c r="C769" s="122"/>
      <c r="D769" s="28"/>
      <c r="E769" s="174"/>
      <c r="F769" s="28"/>
      <c r="G769" s="28"/>
      <c r="H769" s="28"/>
      <c r="I769" s="28"/>
      <c r="J769" s="28"/>
      <c r="K769" s="175"/>
      <c r="L769" s="175"/>
      <c r="M769" s="175"/>
    </row>
    <row r="770">
      <c r="A770" s="28"/>
      <c r="B770" s="122"/>
      <c r="C770" s="122"/>
      <c r="D770" s="28"/>
      <c r="E770" s="174"/>
      <c r="F770" s="28"/>
      <c r="G770" s="28"/>
      <c r="H770" s="28"/>
      <c r="I770" s="28"/>
      <c r="J770" s="28"/>
      <c r="K770" s="175"/>
      <c r="L770" s="175"/>
      <c r="M770" s="175"/>
    </row>
    <row r="771">
      <c r="A771" s="28"/>
      <c r="B771" s="122"/>
      <c r="C771" s="122"/>
      <c r="D771" s="28"/>
      <c r="E771" s="174"/>
      <c r="F771" s="28"/>
      <c r="G771" s="28"/>
      <c r="H771" s="28"/>
      <c r="I771" s="28"/>
      <c r="J771" s="28"/>
      <c r="K771" s="175"/>
      <c r="L771" s="175"/>
      <c r="M771" s="175"/>
    </row>
    <row r="772">
      <c r="A772" s="28"/>
      <c r="B772" s="122"/>
      <c r="C772" s="122"/>
      <c r="D772" s="28"/>
      <c r="E772" s="174"/>
      <c r="F772" s="28"/>
      <c r="G772" s="28"/>
      <c r="H772" s="28"/>
      <c r="I772" s="28"/>
      <c r="J772" s="28"/>
      <c r="K772" s="175"/>
      <c r="L772" s="175"/>
      <c r="M772" s="175"/>
    </row>
    <row r="773">
      <c r="A773" s="28"/>
      <c r="B773" s="122"/>
      <c r="C773" s="122"/>
      <c r="D773" s="28"/>
      <c r="E773" s="174"/>
      <c r="F773" s="28"/>
      <c r="G773" s="28"/>
      <c r="H773" s="28"/>
      <c r="I773" s="28"/>
      <c r="J773" s="28"/>
      <c r="K773" s="175"/>
      <c r="L773" s="175"/>
      <c r="M773" s="175"/>
    </row>
    <row r="774">
      <c r="A774" s="28"/>
      <c r="B774" s="122"/>
      <c r="C774" s="122"/>
      <c r="D774" s="28"/>
      <c r="E774" s="174"/>
      <c r="F774" s="28"/>
      <c r="G774" s="28"/>
      <c r="H774" s="28"/>
      <c r="I774" s="28"/>
      <c r="J774" s="28"/>
      <c r="K774" s="175"/>
      <c r="L774" s="175"/>
      <c r="M774" s="175"/>
    </row>
    <row r="775">
      <c r="A775" s="28"/>
      <c r="B775" s="122"/>
      <c r="C775" s="122"/>
      <c r="D775" s="28"/>
      <c r="E775" s="174"/>
      <c r="F775" s="28"/>
      <c r="G775" s="28"/>
      <c r="H775" s="28"/>
      <c r="I775" s="28"/>
      <c r="J775" s="28"/>
      <c r="K775" s="175"/>
      <c r="L775" s="175"/>
      <c r="M775" s="175"/>
    </row>
    <row r="776">
      <c r="A776" s="28"/>
      <c r="B776" s="122"/>
      <c r="C776" s="122"/>
      <c r="D776" s="28"/>
      <c r="E776" s="174"/>
      <c r="F776" s="28"/>
      <c r="G776" s="28"/>
      <c r="H776" s="28"/>
      <c r="I776" s="28"/>
      <c r="J776" s="28"/>
      <c r="K776" s="175"/>
      <c r="L776" s="175"/>
      <c r="M776" s="175"/>
    </row>
    <row r="777">
      <c r="A777" s="28"/>
      <c r="B777" s="122"/>
      <c r="C777" s="122"/>
      <c r="D777" s="28"/>
      <c r="E777" s="174"/>
      <c r="F777" s="28"/>
      <c r="G777" s="28"/>
      <c r="H777" s="28"/>
      <c r="I777" s="28"/>
      <c r="J777" s="28"/>
      <c r="K777" s="175"/>
      <c r="L777" s="175"/>
      <c r="M777" s="175"/>
    </row>
    <row r="778">
      <c r="A778" s="28"/>
      <c r="B778" s="122"/>
      <c r="C778" s="122"/>
      <c r="D778" s="28"/>
      <c r="E778" s="174"/>
      <c r="F778" s="28"/>
      <c r="G778" s="28"/>
      <c r="H778" s="28"/>
      <c r="I778" s="28"/>
      <c r="J778" s="28"/>
      <c r="K778" s="175"/>
      <c r="L778" s="175"/>
      <c r="M778" s="175"/>
    </row>
    <row r="779">
      <c r="A779" s="28"/>
      <c r="B779" s="122"/>
      <c r="C779" s="122"/>
      <c r="D779" s="28"/>
      <c r="E779" s="174"/>
      <c r="F779" s="28"/>
      <c r="G779" s="28"/>
      <c r="H779" s="28"/>
      <c r="I779" s="28"/>
      <c r="J779" s="28"/>
      <c r="K779" s="175"/>
      <c r="L779" s="175"/>
      <c r="M779" s="175"/>
    </row>
    <row r="780">
      <c r="A780" s="28"/>
      <c r="B780" s="122"/>
      <c r="C780" s="122"/>
      <c r="D780" s="28"/>
      <c r="E780" s="174"/>
      <c r="F780" s="28"/>
      <c r="G780" s="28"/>
      <c r="H780" s="28"/>
      <c r="I780" s="28"/>
      <c r="J780" s="28"/>
      <c r="K780" s="175"/>
      <c r="L780" s="175"/>
      <c r="M780" s="175"/>
    </row>
    <row r="781">
      <c r="A781" s="28"/>
      <c r="B781" s="122"/>
      <c r="C781" s="122"/>
      <c r="D781" s="28"/>
      <c r="E781" s="174"/>
      <c r="F781" s="28"/>
      <c r="G781" s="28"/>
      <c r="H781" s="28"/>
      <c r="I781" s="28"/>
      <c r="J781" s="28"/>
      <c r="K781" s="175"/>
      <c r="L781" s="175"/>
      <c r="M781" s="175"/>
    </row>
    <row r="782">
      <c r="A782" s="28"/>
      <c r="B782" s="122"/>
      <c r="C782" s="122"/>
      <c r="D782" s="28"/>
      <c r="E782" s="174"/>
      <c r="F782" s="28"/>
      <c r="G782" s="28"/>
      <c r="H782" s="28"/>
      <c r="I782" s="28"/>
      <c r="J782" s="28"/>
      <c r="K782" s="175"/>
      <c r="L782" s="175"/>
      <c r="M782" s="175"/>
    </row>
    <row r="783">
      <c r="A783" s="28"/>
      <c r="B783" s="122"/>
      <c r="C783" s="122"/>
      <c r="D783" s="28"/>
      <c r="E783" s="174"/>
      <c r="F783" s="28"/>
      <c r="G783" s="28"/>
      <c r="H783" s="28"/>
      <c r="I783" s="28"/>
      <c r="J783" s="28"/>
      <c r="K783" s="175"/>
      <c r="L783" s="175"/>
      <c r="M783" s="175"/>
    </row>
    <row r="784">
      <c r="A784" s="28"/>
      <c r="B784" s="122"/>
      <c r="C784" s="122"/>
      <c r="D784" s="28"/>
      <c r="E784" s="174"/>
      <c r="F784" s="28"/>
      <c r="G784" s="28"/>
      <c r="H784" s="28"/>
      <c r="I784" s="28"/>
      <c r="J784" s="28"/>
      <c r="K784" s="175"/>
      <c r="L784" s="175"/>
      <c r="M784" s="175"/>
    </row>
    <row r="785">
      <c r="A785" s="28"/>
      <c r="B785" s="122"/>
      <c r="C785" s="122"/>
      <c r="D785" s="28"/>
      <c r="E785" s="174"/>
      <c r="F785" s="28"/>
      <c r="G785" s="28"/>
      <c r="H785" s="28"/>
      <c r="I785" s="28"/>
      <c r="J785" s="28"/>
      <c r="K785" s="175"/>
      <c r="L785" s="175"/>
      <c r="M785" s="175"/>
    </row>
    <row r="786">
      <c r="A786" s="28"/>
      <c r="B786" s="122"/>
      <c r="C786" s="122"/>
      <c r="D786" s="28"/>
      <c r="E786" s="174"/>
      <c r="F786" s="28"/>
      <c r="G786" s="28"/>
      <c r="H786" s="28"/>
      <c r="I786" s="28"/>
      <c r="J786" s="28"/>
      <c r="K786" s="175"/>
      <c r="L786" s="175"/>
      <c r="M786" s="175"/>
    </row>
    <row r="787">
      <c r="A787" s="28"/>
      <c r="B787" s="122"/>
      <c r="C787" s="122"/>
      <c r="D787" s="28"/>
      <c r="E787" s="174"/>
      <c r="F787" s="28"/>
      <c r="G787" s="28"/>
      <c r="H787" s="28"/>
      <c r="I787" s="28"/>
      <c r="J787" s="28"/>
      <c r="K787" s="175"/>
      <c r="L787" s="175"/>
      <c r="M787" s="175"/>
    </row>
    <row r="788">
      <c r="A788" s="28"/>
      <c r="B788" s="122"/>
      <c r="C788" s="122"/>
      <c r="D788" s="28"/>
      <c r="E788" s="174"/>
      <c r="F788" s="28"/>
      <c r="G788" s="28"/>
      <c r="H788" s="28"/>
      <c r="I788" s="28"/>
      <c r="J788" s="28"/>
      <c r="K788" s="175"/>
      <c r="L788" s="175"/>
      <c r="M788" s="175"/>
    </row>
    <row r="789">
      <c r="A789" s="28"/>
      <c r="B789" s="122"/>
      <c r="C789" s="122"/>
      <c r="D789" s="28"/>
      <c r="E789" s="174"/>
      <c r="F789" s="28"/>
      <c r="G789" s="28"/>
      <c r="H789" s="28"/>
      <c r="I789" s="28"/>
      <c r="J789" s="28"/>
      <c r="K789" s="175"/>
      <c r="L789" s="175"/>
      <c r="M789" s="175"/>
    </row>
    <row r="790">
      <c r="A790" s="28"/>
      <c r="B790" s="122"/>
      <c r="C790" s="122"/>
      <c r="D790" s="28"/>
      <c r="E790" s="174"/>
      <c r="F790" s="28"/>
      <c r="G790" s="28"/>
      <c r="H790" s="28"/>
      <c r="I790" s="28"/>
      <c r="J790" s="28"/>
      <c r="K790" s="175"/>
      <c r="L790" s="175"/>
      <c r="M790" s="175"/>
    </row>
    <row r="791">
      <c r="A791" s="28"/>
      <c r="B791" s="122"/>
      <c r="C791" s="122"/>
      <c r="D791" s="28"/>
      <c r="E791" s="174"/>
      <c r="F791" s="28"/>
      <c r="G791" s="28"/>
      <c r="H791" s="28"/>
      <c r="I791" s="28"/>
      <c r="J791" s="28"/>
      <c r="K791" s="175"/>
      <c r="L791" s="175"/>
      <c r="M791" s="175"/>
    </row>
    <row r="792">
      <c r="A792" s="28"/>
      <c r="B792" s="122"/>
      <c r="C792" s="122"/>
      <c r="D792" s="28"/>
      <c r="E792" s="174"/>
      <c r="F792" s="28"/>
      <c r="G792" s="28"/>
      <c r="H792" s="28"/>
      <c r="I792" s="28"/>
      <c r="J792" s="28"/>
      <c r="K792" s="175"/>
      <c r="L792" s="175"/>
      <c r="M792" s="175"/>
    </row>
    <row r="793">
      <c r="A793" s="28"/>
      <c r="B793" s="122"/>
      <c r="C793" s="122"/>
      <c r="D793" s="28"/>
      <c r="E793" s="174"/>
      <c r="F793" s="28"/>
      <c r="G793" s="28"/>
      <c r="H793" s="28"/>
      <c r="I793" s="28"/>
      <c r="J793" s="28"/>
      <c r="K793" s="175"/>
      <c r="L793" s="175"/>
      <c r="M793" s="175"/>
    </row>
    <row r="794">
      <c r="A794" s="28"/>
      <c r="B794" s="122"/>
      <c r="C794" s="122"/>
      <c r="D794" s="28"/>
      <c r="E794" s="174"/>
      <c r="F794" s="28"/>
      <c r="G794" s="28"/>
      <c r="H794" s="28"/>
      <c r="I794" s="28"/>
      <c r="J794" s="28"/>
      <c r="K794" s="175"/>
      <c r="L794" s="175"/>
      <c r="M794" s="175"/>
    </row>
    <row r="795">
      <c r="A795" s="28"/>
      <c r="B795" s="122"/>
      <c r="C795" s="122"/>
      <c r="D795" s="28"/>
      <c r="E795" s="174"/>
      <c r="F795" s="28"/>
      <c r="G795" s="28"/>
      <c r="H795" s="28"/>
      <c r="I795" s="28"/>
      <c r="J795" s="28"/>
      <c r="K795" s="175"/>
      <c r="L795" s="175"/>
      <c r="M795" s="175"/>
    </row>
    <row r="796">
      <c r="A796" s="28"/>
      <c r="B796" s="122"/>
      <c r="C796" s="122"/>
      <c r="D796" s="28"/>
      <c r="E796" s="174"/>
      <c r="F796" s="28"/>
      <c r="G796" s="28"/>
      <c r="H796" s="28"/>
      <c r="I796" s="28"/>
      <c r="J796" s="28"/>
      <c r="K796" s="175"/>
      <c r="L796" s="175"/>
      <c r="M796" s="175"/>
    </row>
    <row r="797">
      <c r="A797" s="28"/>
      <c r="B797" s="122"/>
      <c r="C797" s="122"/>
      <c r="D797" s="28"/>
      <c r="E797" s="174"/>
      <c r="F797" s="28"/>
      <c r="G797" s="28"/>
      <c r="H797" s="28"/>
      <c r="I797" s="28"/>
      <c r="J797" s="28"/>
      <c r="K797" s="175"/>
      <c r="L797" s="175"/>
      <c r="M797" s="175"/>
    </row>
    <row r="798">
      <c r="A798" s="28"/>
      <c r="B798" s="122"/>
      <c r="C798" s="122"/>
      <c r="D798" s="28"/>
      <c r="E798" s="174"/>
      <c r="F798" s="28"/>
      <c r="G798" s="28"/>
      <c r="H798" s="28"/>
      <c r="I798" s="28"/>
      <c r="J798" s="28"/>
      <c r="K798" s="175"/>
      <c r="L798" s="175"/>
      <c r="M798" s="175"/>
    </row>
    <row r="799">
      <c r="A799" s="28"/>
      <c r="B799" s="122"/>
      <c r="C799" s="122"/>
      <c r="D799" s="28"/>
      <c r="E799" s="174"/>
      <c r="F799" s="28"/>
      <c r="G799" s="28"/>
      <c r="H799" s="28"/>
      <c r="I799" s="28"/>
      <c r="J799" s="28"/>
      <c r="K799" s="175"/>
      <c r="L799" s="175"/>
      <c r="M799" s="175"/>
    </row>
    <row r="800">
      <c r="A800" s="28"/>
      <c r="B800" s="122"/>
      <c r="C800" s="122"/>
      <c r="D800" s="28"/>
      <c r="E800" s="174"/>
      <c r="F800" s="28"/>
      <c r="G800" s="28"/>
      <c r="H800" s="28"/>
      <c r="I800" s="28"/>
      <c r="J800" s="28"/>
      <c r="K800" s="175"/>
      <c r="L800" s="175"/>
      <c r="M800" s="175"/>
    </row>
    <row r="801">
      <c r="A801" s="28"/>
      <c r="B801" s="122"/>
      <c r="C801" s="122"/>
      <c r="D801" s="28"/>
      <c r="E801" s="174"/>
      <c r="F801" s="28"/>
      <c r="G801" s="28"/>
      <c r="H801" s="28"/>
      <c r="I801" s="28"/>
      <c r="J801" s="28"/>
      <c r="K801" s="175"/>
      <c r="L801" s="175"/>
      <c r="M801" s="175"/>
    </row>
    <row r="802">
      <c r="A802" s="28"/>
      <c r="B802" s="122"/>
      <c r="C802" s="122"/>
      <c r="D802" s="28"/>
      <c r="E802" s="174"/>
      <c r="F802" s="28"/>
      <c r="G802" s="28"/>
      <c r="H802" s="28"/>
      <c r="I802" s="28"/>
      <c r="J802" s="28"/>
      <c r="K802" s="175"/>
      <c r="L802" s="175"/>
      <c r="M802" s="175"/>
    </row>
    <row r="803">
      <c r="A803" s="28"/>
      <c r="B803" s="122"/>
      <c r="C803" s="122"/>
      <c r="D803" s="28"/>
      <c r="E803" s="174"/>
      <c r="F803" s="28"/>
      <c r="G803" s="28"/>
      <c r="H803" s="28"/>
      <c r="I803" s="28"/>
      <c r="J803" s="28"/>
      <c r="K803" s="175"/>
      <c r="L803" s="175"/>
      <c r="M803" s="175"/>
    </row>
    <row r="804">
      <c r="A804" s="28"/>
      <c r="B804" s="122"/>
      <c r="C804" s="122"/>
      <c r="D804" s="28"/>
      <c r="E804" s="174"/>
      <c r="F804" s="28"/>
      <c r="G804" s="28"/>
      <c r="H804" s="28"/>
      <c r="I804" s="28"/>
      <c r="J804" s="28"/>
      <c r="K804" s="175"/>
      <c r="L804" s="175"/>
      <c r="M804" s="175"/>
    </row>
    <row r="805">
      <c r="A805" s="28"/>
      <c r="B805" s="122"/>
      <c r="C805" s="122"/>
      <c r="D805" s="28"/>
      <c r="E805" s="174"/>
      <c r="F805" s="28"/>
      <c r="G805" s="28"/>
      <c r="H805" s="28"/>
      <c r="I805" s="28"/>
      <c r="J805" s="28"/>
      <c r="K805" s="175"/>
      <c r="L805" s="175"/>
      <c r="M805" s="175"/>
    </row>
    <row r="806">
      <c r="A806" s="28"/>
      <c r="B806" s="122"/>
      <c r="C806" s="122"/>
      <c r="D806" s="28"/>
      <c r="E806" s="174"/>
      <c r="F806" s="28"/>
      <c r="G806" s="28"/>
      <c r="H806" s="28"/>
      <c r="I806" s="28"/>
      <c r="J806" s="28"/>
      <c r="K806" s="175"/>
      <c r="L806" s="175"/>
      <c r="M806" s="175"/>
    </row>
    <row r="807">
      <c r="A807" s="28"/>
      <c r="B807" s="122"/>
      <c r="C807" s="122"/>
      <c r="D807" s="28"/>
      <c r="E807" s="174"/>
      <c r="F807" s="28"/>
      <c r="G807" s="28"/>
      <c r="H807" s="28"/>
      <c r="I807" s="28"/>
      <c r="J807" s="28"/>
      <c r="K807" s="175"/>
      <c r="L807" s="175"/>
      <c r="M807" s="175"/>
    </row>
    <row r="808">
      <c r="A808" s="28"/>
      <c r="B808" s="122"/>
      <c r="C808" s="122"/>
      <c r="D808" s="28"/>
      <c r="E808" s="174"/>
      <c r="F808" s="28"/>
      <c r="G808" s="28"/>
      <c r="H808" s="28"/>
      <c r="I808" s="28"/>
      <c r="J808" s="28"/>
      <c r="K808" s="175"/>
      <c r="L808" s="175"/>
      <c r="M808" s="175"/>
    </row>
    <row r="809">
      <c r="A809" s="28"/>
      <c r="B809" s="122"/>
      <c r="C809" s="122"/>
      <c r="D809" s="28"/>
      <c r="E809" s="174"/>
      <c r="F809" s="28"/>
      <c r="G809" s="28"/>
      <c r="H809" s="28"/>
      <c r="I809" s="28"/>
      <c r="J809" s="28"/>
      <c r="K809" s="175"/>
      <c r="L809" s="175"/>
      <c r="M809" s="175"/>
    </row>
    <row r="810">
      <c r="A810" s="28"/>
      <c r="B810" s="122"/>
      <c r="C810" s="122"/>
      <c r="D810" s="28"/>
      <c r="E810" s="174"/>
      <c r="F810" s="28"/>
      <c r="G810" s="28"/>
      <c r="H810" s="28"/>
      <c r="I810" s="28"/>
      <c r="J810" s="28"/>
      <c r="K810" s="175"/>
      <c r="L810" s="175"/>
      <c r="M810" s="175"/>
    </row>
    <row r="811">
      <c r="A811" s="28"/>
      <c r="B811" s="122"/>
      <c r="C811" s="122"/>
      <c r="D811" s="28"/>
      <c r="E811" s="174"/>
      <c r="F811" s="28"/>
      <c r="G811" s="28"/>
      <c r="H811" s="28"/>
      <c r="I811" s="28"/>
      <c r="J811" s="28"/>
      <c r="K811" s="175"/>
      <c r="L811" s="175"/>
      <c r="M811" s="175"/>
    </row>
    <row r="812">
      <c r="A812" s="28"/>
      <c r="B812" s="122"/>
      <c r="C812" s="122"/>
      <c r="D812" s="28"/>
      <c r="E812" s="174"/>
      <c r="F812" s="28"/>
      <c r="G812" s="28"/>
      <c r="H812" s="28"/>
      <c r="I812" s="28"/>
      <c r="J812" s="28"/>
      <c r="K812" s="175"/>
      <c r="L812" s="175"/>
      <c r="M812" s="175"/>
    </row>
    <row r="813">
      <c r="A813" s="28"/>
      <c r="B813" s="122"/>
      <c r="C813" s="122"/>
      <c r="D813" s="28"/>
      <c r="E813" s="174"/>
      <c r="F813" s="28"/>
      <c r="G813" s="28"/>
      <c r="H813" s="28"/>
      <c r="I813" s="28"/>
      <c r="J813" s="28"/>
      <c r="K813" s="175"/>
      <c r="L813" s="175"/>
      <c r="M813" s="175"/>
    </row>
    <row r="814">
      <c r="A814" s="28"/>
      <c r="B814" s="122"/>
      <c r="C814" s="122"/>
      <c r="D814" s="28"/>
      <c r="E814" s="174"/>
      <c r="F814" s="28"/>
      <c r="G814" s="28"/>
      <c r="H814" s="28"/>
      <c r="I814" s="28"/>
      <c r="J814" s="28"/>
      <c r="K814" s="175"/>
      <c r="L814" s="175"/>
      <c r="M814" s="175"/>
    </row>
    <row r="815">
      <c r="A815" s="28"/>
      <c r="B815" s="122"/>
      <c r="C815" s="122"/>
      <c r="D815" s="28"/>
      <c r="E815" s="174"/>
      <c r="F815" s="28"/>
      <c r="G815" s="28"/>
      <c r="H815" s="28"/>
      <c r="I815" s="28"/>
      <c r="J815" s="28"/>
      <c r="K815" s="175"/>
      <c r="L815" s="175"/>
      <c r="M815" s="175"/>
    </row>
    <row r="816">
      <c r="A816" s="28"/>
      <c r="B816" s="122"/>
      <c r="C816" s="122"/>
      <c r="D816" s="28"/>
      <c r="E816" s="174"/>
      <c r="F816" s="28"/>
      <c r="G816" s="28"/>
      <c r="H816" s="28"/>
      <c r="I816" s="28"/>
      <c r="J816" s="28"/>
      <c r="K816" s="175"/>
      <c r="L816" s="175"/>
      <c r="M816" s="175"/>
    </row>
    <row r="817">
      <c r="A817" s="28"/>
      <c r="B817" s="122"/>
      <c r="C817" s="122"/>
      <c r="D817" s="28"/>
      <c r="E817" s="174"/>
      <c r="F817" s="28"/>
      <c r="G817" s="28"/>
      <c r="H817" s="28"/>
      <c r="I817" s="28"/>
      <c r="J817" s="28"/>
      <c r="K817" s="175"/>
      <c r="L817" s="175"/>
      <c r="M817" s="175"/>
    </row>
    <row r="818">
      <c r="A818" s="28"/>
      <c r="B818" s="122"/>
      <c r="C818" s="122"/>
      <c r="D818" s="28"/>
      <c r="E818" s="174"/>
      <c r="F818" s="28"/>
      <c r="G818" s="28"/>
      <c r="H818" s="28"/>
      <c r="I818" s="28"/>
      <c r="J818" s="28"/>
      <c r="K818" s="175"/>
      <c r="L818" s="175"/>
      <c r="M818" s="175"/>
    </row>
    <row r="819">
      <c r="A819" s="28"/>
      <c r="B819" s="122"/>
      <c r="C819" s="122"/>
      <c r="D819" s="28"/>
      <c r="E819" s="174"/>
      <c r="F819" s="28"/>
      <c r="G819" s="28"/>
      <c r="H819" s="28"/>
      <c r="I819" s="28"/>
      <c r="J819" s="28"/>
      <c r="K819" s="175"/>
      <c r="L819" s="175"/>
      <c r="M819" s="175"/>
    </row>
    <row r="820">
      <c r="A820" s="28"/>
      <c r="B820" s="122"/>
      <c r="C820" s="122"/>
      <c r="D820" s="28"/>
      <c r="E820" s="174"/>
      <c r="F820" s="28"/>
      <c r="G820" s="28"/>
      <c r="H820" s="28"/>
      <c r="I820" s="28"/>
      <c r="J820" s="28"/>
      <c r="K820" s="175"/>
      <c r="L820" s="175"/>
      <c r="M820" s="175"/>
    </row>
    <row r="821">
      <c r="A821" s="28"/>
      <c r="B821" s="122"/>
      <c r="C821" s="122"/>
      <c r="D821" s="28"/>
      <c r="E821" s="174"/>
      <c r="F821" s="28"/>
      <c r="G821" s="28"/>
      <c r="H821" s="28"/>
      <c r="I821" s="28"/>
      <c r="J821" s="28"/>
      <c r="K821" s="175"/>
      <c r="L821" s="175"/>
      <c r="M821" s="175"/>
    </row>
    <row r="822">
      <c r="A822" s="28"/>
      <c r="B822" s="122"/>
      <c r="C822" s="122"/>
      <c r="D822" s="28"/>
      <c r="E822" s="174"/>
      <c r="F822" s="28"/>
      <c r="G822" s="28"/>
      <c r="H822" s="28"/>
      <c r="I822" s="28"/>
      <c r="J822" s="28"/>
      <c r="K822" s="175"/>
      <c r="L822" s="175"/>
      <c r="M822" s="175"/>
    </row>
    <row r="823">
      <c r="A823" s="28"/>
      <c r="B823" s="122"/>
      <c r="C823" s="122"/>
      <c r="D823" s="28"/>
      <c r="E823" s="174"/>
      <c r="F823" s="28"/>
      <c r="G823" s="28"/>
      <c r="H823" s="28"/>
      <c r="I823" s="28"/>
      <c r="J823" s="28"/>
      <c r="K823" s="175"/>
      <c r="L823" s="175"/>
      <c r="M823" s="175"/>
    </row>
    <row r="824">
      <c r="A824" s="28"/>
      <c r="B824" s="122"/>
      <c r="C824" s="122"/>
      <c r="D824" s="28"/>
      <c r="E824" s="174"/>
      <c r="F824" s="28"/>
      <c r="G824" s="28"/>
      <c r="H824" s="28"/>
      <c r="I824" s="28"/>
      <c r="J824" s="28"/>
      <c r="K824" s="175"/>
      <c r="L824" s="175"/>
      <c r="M824" s="175"/>
    </row>
    <row r="825">
      <c r="A825" s="28"/>
      <c r="B825" s="122"/>
      <c r="C825" s="122"/>
      <c r="D825" s="28"/>
      <c r="E825" s="174"/>
      <c r="F825" s="28"/>
      <c r="G825" s="28"/>
      <c r="H825" s="28"/>
      <c r="I825" s="28"/>
      <c r="J825" s="28"/>
      <c r="K825" s="175"/>
      <c r="L825" s="175"/>
      <c r="M825" s="175"/>
    </row>
    <row r="826">
      <c r="A826" s="28"/>
      <c r="B826" s="122"/>
      <c r="C826" s="122"/>
      <c r="D826" s="28"/>
      <c r="E826" s="174"/>
      <c r="F826" s="28"/>
      <c r="G826" s="28"/>
      <c r="H826" s="28"/>
      <c r="I826" s="28"/>
      <c r="J826" s="28"/>
      <c r="K826" s="175"/>
      <c r="L826" s="175"/>
      <c r="M826" s="175"/>
    </row>
    <row r="827">
      <c r="A827" s="28"/>
      <c r="B827" s="122"/>
      <c r="C827" s="122"/>
      <c r="D827" s="28"/>
      <c r="E827" s="174"/>
      <c r="F827" s="28"/>
      <c r="G827" s="28"/>
      <c r="H827" s="28"/>
      <c r="I827" s="28"/>
      <c r="J827" s="28"/>
      <c r="K827" s="175"/>
      <c r="L827" s="175"/>
      <c r="M827" s="175"/>
    </row>
    <row r="828">
      <c r="A828" s="28"/>
      <c r="B828" s="122"/>
      <c r="C828" s="122"/>
      <c r="D828" s="28"/>
      <c r="E828" s="174"/>
      <c r="F828" s="28"/>
      <c r="G828" s="28"/>
      <c r="H828" s="28"/>
      <c r="I828" s="28"/>
      <c r="J828" s="28"/>
      <c r="K828" s="175"/>
      <c r="L828" s="175"/>
      <c r="M828" s="175"/>
    </row>
    <row r="829">
      <c r="A829" s="28"/>
      <c r="B829" s="122"/>
      <c r="C829" s="122"/>
      <c r="D829" s="28"/>
      <c r="E829" s="174"/>
      <c r="F829" s="28"/>
      <c r="G829" s="28"/>
      <c r="H829" s="28"/>
      <c r="I829" s="28"/>
      <c r="J829" s="28"/>
      <c r="K829" s="175"/>
      <c r="L829" s="175"/>
      <c r="M829" s="175"/>
    </row>
    <row r="830">
      <c r="A830" s="28"/>
      <c r="B830" s="122"/>
      <c r="C830" s="122"/>
      <c r="D830" s="28"/>
      <c r="E830" s="174"/>
      <c r="F830" s="28"/>
      <c r="G830" s="28"/>
      <c r="H830" s="28"/>
      <c r="I830" s="28"/>
      <c r="J830" s="28"/>
      <c r="K830" s="175"/>
      <c r="L830" s="175"/>
      <c r="M830" s="175"/>
    </row>
    <row r="831">
      <c r="A831" s="28"/>
      <c r="B831" s="122"/>
      <c r="C831" s="122"/>
      <c r="D831" s="28"/>
      <c r="E831" s="174"/>
      <c r="F831" s="28"/>
      <c r="G831" s="28"/>
      <c r="H831" s="28"/>
      <c r="I831" s="28"/>
      <c r="J831" s="28"/>
      <c r="K831" s="175"/>
      <c r="L831" s="175"/>
      <c r="M831" s="175"/>
    </row>
    <row r="832">
      <c r="A832" s="28"/>
      <c r="B832" s="122"/>
      <c r="C832" s="122"/>
      <c r="D832" s="28"/>
      <c r="E832" s="174"/>
      <c r="F832" s="28"/>
      <c r="G832" s="28"/>
      <c r="H832" s="28"/>
      <c r="I832" s="28"/>
      <c r="J832" s="28"/>
      <c r="K832" s="175"/>
      <c r="L832" s="175"/>
      <c r="M832" s="175"/>
    </row>
    <row r="833">
      <c r="A833" s="28"/>
      <c r="B833" s="122"/>
      <c r="C833" s="122"/>
      <c r="D833" s="28"/>
      <c r="E833" s="174"/>
      <c r="F833" s="28"/>
      <c r="G833" s="28"/>
      <c r="H833" s="28"/>
      <c r="I833" s="28"/>
      <c r="J833" s="28"/>
      <c r="K833" s="175"/>
      <c r="L833" s="175"/>
      <c r="M833" s="175"/>
    </row>
    <row r="834">
      <c r="A834" s="28"/>
      <c r="B834" s="122"/>
      <c r="C834" s="122"/>
      <c r="D834" s="28"/>
      <c r="E834" s="174"/>
      <c r="F834" s="28"/>
      <c r="G834" s="28"/>
      <c r="H834" s="28"/>
      <c r="I834" s="28"/>
      <c r="J834" s="28"/>
      <c r="K834" s="175"/>
      <c r="L834" s="175"/>
      <c r="M834" s="175"/>
    </row>
    <row r="835">
      <c r="A835" s="28"/>
      <c r="B835" s="122"/>
      <c r="C835" s="122"/>
      <c r="D835" s="28"/>
      <c r="E835" s="174"/>
      <c r="F835" s="28"/>
      <c r="G835" s="28"/>
      <c r="H835" s="28"/>
      <c r="I835" s="28"/>
      <c r="J835" s="28"/>
      <c r="K835" s="175"/>
      <c r="L835" s="175"/>
      <c r="M835" s="175"/>
    </row>
    <row r="836">
      <c r="A836" s="28"/>
      <c r="B836" s="122"/>
      <c r="C836" s="122"/>
      <c r="D836" s="28"/>
      <c r="E836" s="174"/>
      <c r="F836" s="28"/>
      <c r="G836" s="28"/>
      <c r="H836" s="28"/>
      <c r="I836" s="28"/>
      <c r="J836" s="28"/>
      <c r="K836" s="175"/>
      <c r="L836" s="175"/>
      <c r="M836" s="175"/>
    </row>
    <row r="837">
      <c r="A837" s="28"/>
      <c r="B837" s="122"/>
      <c r="C837" s="122"/>
      <c r="D837" s="28"/>
      <c r="E837" s="174"/>
      <c r="F837" s="28"/>
      <c r="G837" s="28"/>
      <c r="H837" s="28"/>
      <c r="I837" s="28"/>
      <c r="J837" s="28"/>
      <c r="K837" s="175"/>
      <c r="L837" s="175"/>
      <c r="M837" s="175"/>
    </row>
    <row r="838">
      <c r="A838" s="28"/>
      <c r="B838" s="122"/>
      <c r="C838" s="122"/>
      <c r="D838" s="28"/>
      <c r="E838" s="174"/>
      <c r="F838" s="28"/>
      <c r="G838" s="28"/>
      <c r="H838" s="28"/>
      <c r="I838" s="28"/>
      <c r="J838" s="28"/>
      <c r="K838" s="175"/>
      <c r="L838" s="175"/>
      <c r="M838" s="175"/>
    </row>
    <row r="839">
      <c r="A839" s="28"/>
      <c r="B839" s="122"/>
      <c r="C839" s="122"/>
      <c r="D839" s="28"/>
      <c r="E839" s="174"/>
      <c r="F839" s="28"/>
      <c r="G839" s="28"/>
      <c r="H839" s="28"/>
      <c r="I839" s="28"/>
      <c r="J839" s="28"/>
      <c r="K839" s="175"/>
      <c r="L839" s="175"/>
      <c r="M839" s="175"/>
    </row>
    <row r="840">
      <c r="A840" s="28"/>
      <c r="B840" s="122"/>
      <c r="C840" s="122"/>
      <c r="D840" s="28"/>
      <c r="E840" s="174"/>
      <c r="F840" s="28"/>
      <c r="G840" s="28"/>
      <c r="H840" s="28"/>
      <c r="I840" s="28"/>
      <c r="J840" s="28"/>
      <c r="K840" s="175"/>
      <c r="L840" s="175"/>
      <c r="M840" s="175"/>
    </row>
    <row r="841">
      <c r="A841" s="28"/>
      <c r="B841" s="122"/>
      <c r="C841" s="122"/>
      <c r="D841" s="28"/>
      <c r="E841" s="174"/>
      <c r="F841" s="28"/>
      <c r="G841" s="28"/>
      <c r="H841" s="28"/>
      <c r="I841" s="28"/>
      <c r="J841" s="28"/>
      <c r="K841" s="175"/>
      <c r="L841" s="175"/>
      <c r="M841" s="175"/>
    </row>
    <row r="842">
      <c r="A842" s="28"/>
      <c r="B842" s="122"/>
      <c r="C842" s="122"/>
      <c r="D842" s="28"/>
      <c r="E842" s="174"/>
      <c r="F842" s="28"/>
      <c r="G842" s="28"/>
      <c r="H842" s="28"/>
      <c r="I842" s="28"/>
      <c r="J842" s="28"/>
      <c r="K842" s="175"/>
      <c r="L842" s="175"/>
      <c r="M842" s="175"/>
    </row>
    <row r="843">
      <c r="A843" s="28"/>
      <c r="B843" s="122"/>
      <c r="C843" s="122"/>
      <c r="D843" s="28"/>
      <c r="E843" s="174"/>
      <c r="F843" s="28"/>
      <c r="G843" s="28"/>
      <c r="H843" s="28"/>
      <c r="I843" s="28"/>
      <c r="J843" s="28"/>
      <c r="K843" s="175"/>
      <c r="L843" s="175"/>
      <c r="M843" s="175"/>
    </row>
    <row r="844">
      <c r="A844" s="28"/>
      <c r="B844" s="122"/>
      <c r="C844" s="122"/>
      <c r="D844" s="28"/>
      <c r="E844" s="174"/>
      <c r="F844" s="28"/>
      <c r="G844" s="28"/>
      <c r="H844" s="28"/>
      <c r="I844" s="28"/>
      <c r="J844" s="28"/>
      <c r="K844" s="175"/>
      <c r="L844" s="175"/>
      <c r="M844" s="175"/>
    </row>
    <row r="845">
      <c r="A845" s="28"/>
      <c r="B845" s="122"/>
      <c r="C845" s="122"/>
      <c r="D845" s="28"/>
      <c r="E845" s="174"/>
      <c r="F845" s="28"/>
      <c r="G845" s="28"/>
      <c r="H845" s="28"/>
      <c r="I845" s="28"/>
      <c r="J845" s="28"/>
      <c r="K845" s="175"/>
      <c r="L845" s="175"/>
      <c r="M845" s="175"/>
    </row>
    <row r="846">
      <c r="A846" s="28"/>
      <c r="B846" s="122"/>
      <c r="C846" s="122"/>
      <c r="D846" s="28"/>
      <c r="E846" s="174"/>
      <c r="F846" s="28"/>
      <c r="G846" s="28"/>
      <c r="H846" s="28"/>
      <c r="I846" s="28"/>
      <c r="J846" s="28"/>
      <c r="K846" s="175"/>
      <c r="L846" s="175"/>
      <c r="M846" s="175"/>
    </row>
    <row r="847">
      <c r="A847" s="28"/>
      <c r="B847" s="122"/>
      <c r="C847" s="122"/>
      <c r="D847" s="28"/>
      <c r="E847" s="174"/>
      <c r="F847" s="28"/>
      <c r="G847" s="28"/>
      <c r="H847" s="28"/>
      <c r="I847" s="28"/>
      <c r="J847" s="28"/>
      <c r="K847" s="175"/>
      <c r="L847" s="175"/>
      <c r="M847" s="175"/>
    </row>
    <row r="848">
      <c r="A848" s="28"/>
      <c r="B848" s="122"/>
      <c r="C848" s="122"/>
      <c r="D848" s="28"/>
      <c r="E848" s="174"/>
      <c r="F848" s="28"/>
      <c r="G848" s="28"/>
      <c r="H848" s="28"/>
      <c r="I848" s="28"/>
      <c r="J848" s="28"/>
      <c r="K848" s="175"/>
      <c r="L848" s="175"/>
      <c r="M848" s="175"/>
    </row>
    <row r="849">
      <c r="A849" s="28"/>
      <c r="B849" s="122"/>
      <c r="C849" s="122"/>
      <c r="D849" s="28"/>
      <c r="E849" s="174"/>
      <c r="F849" s="28"/>
      <c r="G849" s="28"/>
      <c r="H849" s="28"/>
      <c r="I849" s="28"/>
      <c r="J849" s="28"/>
      <c r="K849" s="175"/>
      <c r="L849" s="175"/>
      <c r="M849" s="175"/>
    </row>
    <row r="850">
      <c r="A850" s="28"/>
      <c r="B850" s="122"/>
      <c r="C850" s="122"/>
      <c r="D850" s="28"/>
      <c r="E850" s="174"/>
      <c r="F850" s="28"/>
      <c r="G850" s="28"/>
      <c r="H850" s="28"/>
      <c r="I850" s="28"/>
      <c r="J850" s="28"/>
      <c r="K850" s="175"/>
      <c r="L850" s="175"/>
      <c r="M850" s="175"/>
    </row>
    <row r="851">
      <c r="A851" s="28"/>
      <c r="B851" s="122"/>
      <c r="C851" s="122"/>
      <c r="D851" s="28"/>
      <c r="E851" s="174"/>
      <c r="F851" s="28"/>
      <c r="G851" s="28"/>
      <c r="H851" s="28"/>
      <c r="I851" s="28"/>
      <c r="J851" s="28"/>
      <c r="K851" s="175"/>
      <c r="L851" s="175"/>
      <c r="M851" s="175"/>
    </row>
    <row r="852">
      <c r="A852" s="28"/>
      <c r="B852" s="122"/>
      <c r="C852" s="122"/>
      <c r="D852" s="28"/>
      <c r="E852" s="174"/>
      <c r="F852" s="28"/>
      <c r="G852" s="28"/>
      <c r="H852" s="28"/>
      <c r="I852" s="28"/>
      <c r="J852" s="28"/>
      <c r="K852" s="175"/>
      <c r="L852" s="175"/>
      <c r="M852" s="175"/>
    </row>
    <row r="853">
      <c r="A853" s="28"/>
      <c r="B853" s="122"/>
      <c r="C853" s="122"/>
      <c r="D853" s="28"/>
      <c r="E853" s="174"/>
      <c r="F853" s="28"/>
      <c r="G853" s="28"/>
      <c r="H853" s="28"/>
      <c r="I853" s="28"/>
      <c r="J853" s="28"/>
      <c r="K853" s="175"/>
      <c r="L853" s="175"/>
      <c r="M853" s="175"/>
    </row>
    <row r="854">
      <c r="A854" s="28"/>
      <c r="B854" s="122"/>
      <c r="C854" s="122"/>
      <c r="D854" s="28"/>
      <c r="E854" s="174"/>
      <c r="F854" s="28"/>
      <c r="G854" s="28"/>
      <c r="H854" s="28"/>
      <c r="I854" s="28"/>
      <c r="J854" s="28"/>
      <c r="K854" s="175"/>
      <c r="L854" s="175"/>
      <c r="M854" s="175"/>
    </row>
    <row r="855">
      <c r="A855" s="28"/>
      <c r="B855" s="122"/>
      <c r="C855" s="122"/>
      <c r="D855" s="28"/>
      <c r="E855" s="174"/>
      <c r="F855" s="28"/>
      <c r="G855" s="28"/>
      <c r="H855" s="28"/>
      <c r="I855" s="28"/>
      <c r="J855" s="28"/>
      <c r="K855" s="175"/>
      <c r="L855" s="175"/>
      <c r="M855" s="175"/>
    </row>
    <row r="856">
      <c r="A856" s="28"/>
      <c r="B856" s="122"/>
      <c r="C856" s="122"/>
      <c r="D856" s="28"/>
      <c r="E856" s="174"/>
      <c r="F856" s="28"/>
      <c r="G856" s="28"/>
      <c r="H856" s="28"/>
      <c r="I856" s="28"/>
      <c r="J856" s="28"/>
      <c r="K856" s="175"/>
      <c r="L856" s="175"/>
      <c r="M856" s="175"/>
    </row>
    <row r="857">
      <c r="A857" s="28"/>
      <c r="B857" s="122"/>
      <c r="C857" s="122"/>
      <c r="D857" s="28"/>
      <c r="E857" s="174"/>
      <c r="F857" s="28"/>
      <c r="G857" s="28"/>
      <c r="H857" s="28"/>
      <c r="I857" s="28"/>
      <c r="J857" s="28"/>
      <c r="K857" s="175"/>
      <c r="L857" s="175"/>
      <c r="M857" s="175"/>
    </row>
    <row r="858">
      <c r="A858" s="28"/>
      <c r="B858" s="122"/>
      <c r="C858" s="122"/>
      <c r="D858" s="28"/>
      <c r="E858" s="174"/>
      <c r="F858" s="28"/>
      <c r="G858" s="28"/>
      <c r="H858" s="28"/>
      <c r="I858" s="28"/>
      <c r="J858" s="28"/>
      <c r="K858" s="175"/>
      <c r="L858" s="175"/>
      <c r="M858" s="175"/>
    </row>
    <row r="859">
      <c r="A859" s="28"/>
      <c r="B859" s="122"/>
      <c r="C859" s="122"/>
      <c r="D859" s="28"/>
      <c r="E859" s="174"/>
      <c r="F859" s="28"/>
      <c r="G859" s="28"/>
      <c r="H859" s="28"/>
      <c r="I859" s="28"/>
      <c r="J859" s="28"/>
      <c r="K859" s="175"/>
      <c r="L859" s="175"/>
      <c r="M859" s="175"/>
    </row>
    <row r="860">
      <c r="A860" s="28"/>
      <c r="B860" s="122"/>
      <c r="C860" s="122"/>
      <c r="D860" s="28"/>
      <c r="E860" s="174"/>
      <c r="F860" s="28"/>
      <c r="G860" s="28"/>
      <c r="H860" s="28"/>
      <c r="I860" s="28"/>
      <c r="J860" s="28"/>
      <c r="K860" s="175"/>
      <c r="L860" s="175"/>
      <c r="M860" s="175"/>
    </row>
    <row r="861">
      <c r="A861" s="28"/>
      <c r="B861" s="122"/>
      <c r="C861" s="122"/>
      <c r="D861" s="28"/>
      <c r="E861" s="174"/>
      <c r="F861" s="28"/>
      <c r="G861" s="28"/>
      <c r="H861" s="28"/>
      <c r="I861" s="28"/>
      <c r="J861" s="28"/>
      <c r="K861" s="175"/>
      <c r="L861" s="175"/>
      <c r="M861" s="175"/>
    </row>
    <row r="862">
      <c r="A862" s="28"/>
      <c r="B862" s="122"/>
      <c r="C862" s="122"/>
      <c r="D862" s="28"/>
      <c r="E862" s="174"/>
      <c r="F862" s="28"/>
      <c r="G862" s="28"/>
      <c r="H862" s="28"/>
      <c r="I862" s="28"/>
      <c r="J862" s="28"/>
      <c r="K862" s="175"/>
      <c r="L862" s="175"/>
      <c r="M862" s="175"/>
    </row>
    <row r="863">
      <c r="A863" s="28"/>
      <c r="B863" s="122"/>
      <c r="C863" s="122"/>
      <c r="D863" s="28"/>
      <c r="E863" s="174"/>
      <c r="F863" s="28"/>
      <c r="G863" s="28"/>
      <c r="H863" s="28"/>
      <c r="I863" s="28"/>
      <c r="J863" s="28"/>
      <c r="K863" s="175"/>
      <c r="L863" s="175"/>
      <c r="M863" s="175"/>
    </row>
    <row r="864">
      <c r="A864" s="28"/>
      <c r="B864" s="122"/>
      <c r="C864" s="122"/>
      <c r="D864" s="28"/>
      <c r="E864" s="174"/>
      <c r="F864" s="28"/>
      <c r="G864" s="28"/>
      <c r="H864" s="28"/>
      <c r="I864" s="28"/>
      <c r="J864" s="28"/>
      <c r="K864" s="175"/>
      <c r="L864" s="175"/>
      <c r="M864" s="175"/>
    </row>
    <row r="865">
      <c r="A865" s="28"/>
      <c r="B865" s="122"/>
      <c r="C865" s="122"/>
      <c r="D865" s="28"/>
      <c r="E865" s="174"/>
      <c r="F865" s="28"/>
      <c r="G865" s="28"/>
      <c r="H865" s="28"/>
      <c r="I865" s="28"/>
      <c r="J865" s="28"/>
      <c r="K865" s="175"/>
      <c r="L865" s="175"/>
      <c r="M865" s="175"/>
    </row>
    <row r="866">
      <c r="A866" s="28"/>
      <c r="B866" s="122"/>
      <c r="C866" s="122"/>
      <c r="D866" s="28"/>
      <c r="E866" s="174"/>
      <c r="F866" s="28"/>
      <c r="G866" s="28"/>
      <c r="H866" s="28"/>
      <c r="I866" s="28"/>
      <c r="J866" s="28"/>
      <c r="K866" s="175"/>
      <c r="L866" s="175"/>
      <c r="M866" s="175"/>
    </row>
    <row r="867">
      <c r="A867" s="28"/>
      <c r="B867" s="122"/>
      <c r="C867" s="122"/>
      <c r="D867" s="28"/>
      <c r="E867" s="174"/>
      <c r="F867" s="28"/>
      <c r="G867" s="28"/>
      <c r="H867" s="28"/>
      <c r="I867" s="28"/>
      <c r="J867" s="28"/>
      <c r="K867" s="175"/>
      <c r="L867" s="175"/>
      <c r="M867" s="175"/>
    </row>
    <row r="868">
      <c r="A868" s="28"/>
      <c r="B868" s="122"/>
      <c r="C868" s="122"/>
      <c r="D868" s="28"/>
      <c r="E868" s="174"/>
      <c r="F868" s="28"/>
      <c r="G868" s="28"/>
      <c r="H868" s="28"/>
      <c r="I868" s="28"/>
      <c r="J868" s="28"/>
      <c r="K868" s="175"/>
      <c r="L868" s="175"/>
      <c r="M868" s="175"/>
    </row>
    <row r="869">
      <c r="A869" s="28"/>
      <c r="B869" s="122"/>
      <c r="C869" s="122"/>
      <c r="D869" s="28"/>
      <c r="E869" s="174"/>
      <c r="F869" s="28"/>
      <c r="G869" s="28"/>
      <c r="H869" s="28"/>
      <c r="I869" s="28"/>
      <c r="J869" s="28"/>
      <c r="K869" s="175"/>
      <c r="L869" s="175"/>
      <c r="M869" s="175"/>
    </row>
    <row r="870">
      <c r="A870" s="28"/>
      <c r="B870" s="122"/>
      <c r="C870" s="122"/>
      <c r="D870" s="28"/>
      <c r="E870" s="174"/>
      <c r="F870" s="28"/>
      <c r="G870" s="28"/>
      <c r="H870" s="28"/>
      <c r="I870" s="28"/>
      <c r="J870" s="28"/>
      <c r="K870" s="175"/>
      <c r="L870" s="175"/>
      <c r="M870" s="175"/>
    </row>
    <row r="871">
      <c r="A871" s="28"/>
      <c r="B871" s="122"/>
      <c r="C871" s="122"/>
      <c r="D871" s="28"/>
      <c r="E871" s="174"/>
      <c r="F871" s="28"/>
      <c r="G871" s="28"/>
      <c r="H871" s="28"/>
      <c r="I871" s="28"/>
      <c r="J871" s="28"/>
      <c r="K871" s="175"/>
      <c r="L871" s="175"/>
      <c r="M871" s="175"/>
    </row>
    <row r="872">
      <c r="A872" s="28"/>
      <c r="B872" s="122"/>
      <c r="C872" s="122"/>
      <c r="D872" s="28"/>
      <c r="E872" s="174"/>
      <c r="F872" s="28"/>
      <c r="G872" s="28"/>
      <c r="H872" s="28"/>
      <c r="I872" s="28"/>
      <c r="J872" s="28"/>
      <c r="K872" s="175"/>
      <c r="L872" s="175"/>
      <c r="M872" s="175"/>
    </row>
    <row r="873">
      <c r="A873" s="28"/>
      <c r="B873" s="122"/>
      <c r="C873" s="122"/>
      <c r="D873" s="28"/>
      <c r="E873" s="174"/>
      <c r="F873" s="28"/>
      <c r="G873" s="28"/>
      <c r="H873" s="28"/>
      <c r="I873" s="28"/>
      <c r="J873" s="28"/>
      <c r="K873" s="175"/>
      <c r="L873" s="175"/>
      <c r="M873" s="175"/>
    </row>
    <row r="874">
      <c r="A874" s="28"/>
      <c r="B874" s="122"/>
      <c r="C874" s="122"/>
      <c r="D874" s="28"/>
      <c r="E874" s="174"/>
      <c r="F874" s="28"/>
      <c r="G874" s="28"/>
      <c r="H874" s="28"/>
      <c r="I874" s="28"/>
      <c r="J874" s="28"/>
      <c r="K874" s="175"/>
      <c r="L874" s="175"/>
      <c r="M874" s="175"/>
    </row>
    <row r="875">
      <c r="A875" s="28"/>
      <c r="B875" s="122"/>
      <c r="C875" s="122"/>
      <c r="D875" s="28"/>
      <c r="E875" s="174"/>
      <c r="F875" s="28"/>
      <c r="G875" s="28"/>
      <c r="H875" s="28"/>
      <c r="I875" s="28"/>
      <c r="J875" s="28"/>
      <c r="K875" s="175"/>
      <c r="L875" s="175"/>
      <c r="M875" s="175"/>
    </row>
    <row r="876">
      <c r="A876" s="28"/>
      <c r="B876" s="122"/>
      <c r="C876" s="122"/>
      <c r="D876" s="28"/>
      <c r="E876" s="174"/>
      <c r="F876" s="28"/>
      <c r="G876" s="28"/>
      <c r="H876" s="28"/>
      <c r="I876" s="28"/>
      <c r="J876" s="28"/>
      <c r="K876" s="175"/>
      <c r="L876" s="175"/>
      <c r="M876" s="175"/>
    </row>
    <row r="877">
      <c r="A877" s="28"/>
      <c r="B877" s="122"/>
      <c r="C877" s="122"/>
      <c r="D877" s="28"/>
      <c r="E877" s="174"/>
      <c r="F877" s="28"/>
      <c r="G877" s="28"/>
      <c r="H877" s="28"/>
      <c r="I877" s="28"/>
      <c r="J877" s="28"/>
      <c r="K877" s="175"/>
      <c r="L877" s="175"/>
      <c r="M877" s="175"/>
    </row>
    <row r="878">
      <c r="A878" s="28"/>
      <c r="B878" s="122"/>
      <c r="C878" s="122"/>
      <c r="D878" s="28"/>
      <c r="E878" s="174"/>
      <c r="F878" s="28"/>
      <c r="G878" s="28"/>
      <c r="H878" s="28"/>
      <c r="I878" s="28"/>
      <c r="J878" s="28"/>
      <c r="K878" s="175"/>
      <c r="L878" s="175"/>
      <c r="M878" s="175"/>
    </row>
    <row r="879">
      <c r="A879" s="28"/>
      <c r="B879" s="122"/>
      <c r="C879" s="122"/>
      <c r="D879" s="28"/>
      <c r="E879" s="174"/>
      <c r="F879" s="28"/>
      <c r="G879" s="28"/>
      <c r="H879" s="28"/>
      <c r="I879" s="28"/>
      <c r="J879" s="28"/>
      <c r="K879" s="175"/>
      <c r="L879" s="175"/>
      <c r="M879" s="175"/>
    </row>
    <row r="880">
      <c r="A880" s="28"/>
      <c r="B880" s="122"/>
      <c r="C880" s="122"/>
      <c r="D880" s="28"/>
      <c r="E880" s="174"/>
      <c r="F880" s="28"/>
      <c r="G880" s="28"/>
      <c r="H880" s="28"/>
      <c r="I880" s="28"/>
      <c r="J880" s="28"/>
      <c r="K880" s="175"/>
      <c r="L880" s="175"/>
      <c r="M880" s="175"/>
    </row>
    <row r="881">
      <c r="A881" s="28"/>
      <c r="B881" s="122"/>
      <c r="C881" s="122"/>
      <c r="D881" s="28"/>
      <c r="E881" s="174"/>
      <c r="F881" s="28"/>
      <c r="G881" s="28"/>
      <c r="H881" s="28"/>
      <c r="I881" s="28"/>
      <c r="J881" s="28"/>
      <c r="K881" s="175"/>
      <c r="L881" s="175"/>
      <c r="M881" s="175"/>
    </row>
    <row r="882">
      <c r="A882" s="28"/>
      <c r="B882" s="122"/>
      <c r="C882" s="122"/>
      <c r="D882" s="28"/>
      <c r="E882" s="174"/>
      <c r="F882" s="28"/>
      <c r="G882" s="28"/>
      <c r="H882" s="28"/>
      <c r="I882" s="28"/>
      <c r="J882" s="28"/>
      <c r="K882" s="175"/>
      <c r="L882" s="175"/>
      <c r="M882" s="175"/>
    </row>
    <row r="883">
      <c r="A883" s="28"/>
      <c r="B883" s="122"/>
      <c r="C883" s="122"/>
      <c r="D883" s="28"/>
      <c r="E883" s="174"/>
      <c r="F883" s="28"/>
      <c r="G883" s="28"/>
      <c r="H883" s="28"/>
      <c r="I883" s="28"/>
      <c r="J883" s="28"/>
      <c r="K883" s="175"/>
      <c r="L883" s="175"/>
      <c r="M883" s="175"/>
    </row>
    <row r="884">
      <c r="A884" s="28"/>
      <c r="B884" s="122"/>
      <c r="C884" s="122"/>
      <c r="D884" s="28"/>
      <c r="E884" s="174"/>
      <c r="F884" s="28"/>
      <c r="G884" s="28"/>
      <c r="H884" s="28"/>
      <c r="I884" s="28"/>
      <c r="J884" s="28"/>
      <c r="K884" s="175"/>
      <c r="L884" s="175"/>
      <c r="M884" s="175"/>
    </row>
    <row r="885">
      <c r="A885" s="28"/>
      <c r="B885" s="122"/>
      <c r="C885" s="122"/>
      <c r="D885" s="28"/>
      <c r="E885" s="174"/>
      <c r="F885" s="28"/>
      <c r="G885" s="28"/>
      <c r="H885" s="28"/>
      <c r="I885" s="28"/>
      <c r="J885" s="28"/>
      <c r="K885" s="175"/>
      <c r="L885" s="175"/>
      <c r="M885" s="175"/>
    </row>
    <row r="886">
      <c r="A886" s="28"/>
      <c r="B886" s="122"/>
      <c r="C886" s="122"/>
      <c r="D886" s="28"/>
      <c r="E886" s="174"/>
      <c r="F886" s="28"/>
      <c r="G886" s="28"/>
      <c r="H886" s="28"/>
      <c r="I886" s="28"/>
      <c r="J886" s="28"/>
      <c r="K886" s="175"/>
      <c r="L886" s="175"/>
      <c r="M886" s="175"/>
    </row>
    <row r="887">
      <c r="A887" s="28"/>
      <c r="B887" s="122"/>
      <c r="C887" s="122"/>
      <c r="D887" s="28"/>
      <c r="E887" s="174"/>
      <c r="F887" s="28"/>
      <c r="G887" s="28"/>
      <c r="H887" s="28"/>
      <c r="I887" s="28"/>
      <c r="J887" s="28"/>
      <c r="K887" s="175"/>
      <c r="L887" s="175"/>
      <c r="M887" s="175"/>
    </row>
    <row r="888">
      <c r="A888" s="28"/>
      <c r="B888" s="122"/>
      <c r="C888" s="122"/>
      <c r="D888" s="28"/>
      <c r="E888" s="174"/>
      <c r="F888" s="28"/>
      <c r="G888" s="28"/>
      <c r="H888" s="28"/>
      <c r="I888" s="28"/>
      <c r="J888" s="28"/>
      <c r="K888" s="175"/>
      <c r="L888" s="175"/>
      <c r="M888" s="175"/>
    </row>
    <row r="889">
      <c r="A889" s="28"/>
      <c r="B889" s="122"/>
      <c r="C889" s="122"/>
      <c r="D889" s="28"/>
      <c r="E889" s="174"/>
      <c r="F889" s="28"/>
      <c r="G889" s="28"/>
      <c r="H889" s="28"/>
      <c r="I889" s="28"/>
      <c r="J889" s="28"/>
      <c r="K889" s="175"/>
      <c r="L889" s="175"/>
      <c r="M889" s="175"/>
    </row>
    <row r="890">
      <c r="A890" s="28"/>
      <c r="B890" s="122"/>
      <c r="C890" s="122"/>
      <c r="D890" s="28"/>
      <c r="E890" s="174"/>
      <c r="F890" s="28"/>
      <c r="G890" s="28"/>
      <c r="H890" s="28"/>
      <c r="I890" s="28"/>
      <c r="J890" s="28"/>
      <c r="K890" s="175"/>
      <c r="L890" s="175"/>
      <c r="M890" s="175"/>
    </row>
    <row r="891">
      <c r="A891" s="28"/>
      <c r="B891" s="122"/>
      <c r="C891" s="122"/>
      <c r="D891" s="28"/>
      <c r="E891" s="174"/>
      <c r="F891" s="28"/>
      <c r="G891" s="28"/>
      <c r="H891" s="28"/>
      <c r="I891" s="28"/>
      <c r="J891" s="28"/>
      <c r="K891" s="175"/>
      <c r="L891" s="175"/>
      <c r="M891" s="175"/>
    </row>
    <row r="892">
      <c r="A892" s="28"/>
      <c r="B892" s="122"/>
      <c r="C892" s="122"/>
      <c r="D892" s="28"/>
      <c r="E892" s="174"/>
      <c r="F892" s="28"/>
      <c r="G892" s="28"/>
      <c r="H892" s="28"/>
      <c r="I892" s="28"/>
      <c r="J892" s="28"/>
      <c r="K892" s="175"/>
      <c r="L892" s="175"/>
      <c r="M892" s="175"/>
    </row>
    <row r="893">
      <c r="A893" s="28"/>
      <c r="B893" s="122"/>
      <c r="C893" s="122"/>
      <c r="D893" s="28"/>
      <c r="E893" s="174"/>
      <c r="F893" s="28"/>
      <c r="G893" s="28"/>
      <c r="H893" s="28"/>
      <c r="I893" s="28"/>
      <c r="J893" s="28"/>
      <c r="K893" s="175"/>
      <c r="L893" s="175"/>
      <c r="M893" s="175"/>
    </row>
    <row r="894">
      <c r="A894" s="28"/>
      <c r="B894" s="122"/>
      <c r="C894" s="122"/>
      <c r="D894" s="28"/>
      <c r="E894" s="174"/>
      <c r="F894" s="28"/>
      <c r="G894" s="28"/>
      <c r="H894" s="28"/>
      <c r="I894" s="28"/>
      <c r="J894" s="28"/>
      <c r="K894" s="175"/>
      <c r="L894" s="175"/>
      <c r="M894" s="175"/>
    </row>
    <row r="895">
      <c r="A895" s="28"/>
      <c r="B895" s="122"/>
      <c r="C895" s="122"/>
      <c r="D895" s="28"/>
      <c r="E895" s="174"/>
      <c r="F895" s="28"/>
      <c r="G895" s="28"/>
      <c r="H895" s="28"/>
      <c r="I895" s="28"/>
      <c r="J895" s="28"/>
      <c r="K895" s="175"/>
      <c r="L895" s="175"/>
      <c r="M895" s="175"/>
    </row>
    <row r="896">
      <c r="A896" s="28"/>
      <c r="B896" s="122"/>
      <c r="C896" s="122"/>
      <c r="D896" s="28"/>
      <c r="E896" s="174"/>
      <c r="F896" s="28"/>
      <c r="G896" s="28"/>
      <c r="H896" s="28"/>
      <c r="I896" s="28"/>
      <c r="J896" s="28"/>
      <c r="K896" s="175"/>
      <c r="L896" s="175"/>
      <c r="M896" s="175"/>
    </row>
    <row r="897">
      <c r="A897" s="28"/>
      <c r="B897" s="122"/>
      <c r="C897" s="122"/>
      <c r="D897" s="28"/>
      <c r="E897" s="174"/>
      <c r="F897" s="28"/>
      <c r="G897" s="28"/>
      <c r="H897" s="28"/>
      <c r="I897" s="28"/>
      <c r="J897" s="28"/>
      <c r="K897" s="175"/>
      <c r="L897" s="175"/>
      <c r="M897" s="175"/>
    </row>
    <row r="898">
      <c r="A898" s="28"/>
      <c r="B898" s="122"/>
      <c r="C898" s="122"/>
      <c r="D898" s="28"/>
      <c r="E898" s="174"/>
      <c r="F898" s="28"/>
      <c r="G898" s="28"/>
      <c r="H898" s="28"/>
      <c r="I898" s="28"/>
      <c r="J898" s="28"/>
      <c r="K898" s="175"/>
      <c r="L898" s="175"/>
      <c r="M898" s="175"/>
    </row>
    <row r="899">
      <c r="A899" s="28"/>
      <c r="B899" s="122"/>
      <c r="C899" s="122"/>
      <c r="D899" s="28"/>
      <c r="E899" s="174"/>
      <c r="F899" s="28"/>
      <c r="G899" s="28"/>
      <c r="H899" s="28"/>
      <c r="I899" s="28"/>
      <c r="J899" s="28"/>
      <c r="K899" s="175"/>
      <c r="L899" s="175"/>
      <c r="M899" s="175"/>
    </row>
    <row r="900">
      <c r="A900" s="28"/>
      <c r="B900" s="122"/>
      <c r="C900" s="122"/>
      <c r="D900" s="28"/>
      <c r="E900" s="174"/>
      <c r="F900" s="28"/>
      <c r="G900" s="28"/>
      <c r="H900" s="28"/>
      <c r="I900" s="28"/>
      <c r="J900" s="28"/>
      <c r="K900" s="175"/>
      <c r="L900" s="175"/>
      <c r="M900" s="175"/>
    </row>
    <row r="901">
      <c r="A901" s="28"/>
      <c r="B901" s="122"/>
      <c r="C901" s="122"/>
      <c r="D901" s="28"/>
      <c r="E901" s="174"/>
      <c r="F901" s="28"/>
      <c r="G901" s="28"/>
      <c r="H901" s="28"/>
      <c r="I901" s="28"/>
      <c r="J901" s="28"/>
      <c r="K901" s="175"/>
      <c r="L901" s="175"/>
      <c r="M901" s="175"/>
    </row>
    <row r="902">
      <c r="A902" s="28"/>
      <c r="B902" s="122"/>
      <c r="C902" s="122"/>
      <c r="D902" s="28"/>
      <c r="E902" s="174"/>
      <c r="F902" s="28"/>
      <c r="G902" s="28"/>
      <c r="H902" s="28"/>
      <c r="I902" s="28"/>
      <c r="J902" s="28"/>
      <c r="K902" s="175"/>
      <c r="L902" s="175"/>
      <c r="M902" s="175"/>
    </row>
    <row r="903">
      <c r="A903" s="28"/>
      <c r="B903" s="122"/>
      <c r="C903" s="122"/>
      <c r="D903" s="28"/>
      <c r="E903" s="174"/>
      <c r="F903" s="28"/>
      <c r="G903" s="28"/>
      <c r="H903" s="28"/>
      <c r="I903" s="28"/>
      <c r="J903" s="28"/>
      <c r="K903" s="175"/>
      <c r="L903" s="175"/>
      <c r="M903" s="175"/>
    </row>
    <row r="904">
      <c r="A904" s="28"/>
      <c r="B904" s="122"/>
      <c r="C904" s="122"/>
      <c r="D904" s="28"/>
      <c r="E904" s="174"/>
      <c r="F904" s="28"/>
      <c r="G904" s="28"/>
      <c r="H904" s="28"/>
      <c r="I904" s="28"/>
      <c r="J904" s="28"/>
      <c r="K904" s="175"/>
      <c r="L904" s="175"/>
      <c r="M904" s="175"/>
    </row>
    <row r="905">
      <c r="A905" s="28"/>
      <c r="B905" s="122"/>
      <c r="C905" s="122"/>
      <c r="D905" s="28"/>
      <c r="E905" s="174"/>
      <c r="F905" s="28"/>
      <c r="G905" s="28"/>
      <c r="H905" s="28"/>
      <c r="I905" s="28"/>
      <c r="J905" s="28"/>
      <c r="K905" s="175"/>
      <c r="L905" s="175"/>
      <c r="M905" s="175"/>
    </row>
    <row r="906">
      <c r="A906" s="28"/>
      <c r="B906" s="122"/>
      <c r="C906" s="122"/>
      <c r="D906" s="28"/>
      <c r="E906" s="174"/>
      <c r="F906" s="28"/>
      <c r="G906" s="28"/>
      <c r="H906" s="28"/>
      <c r="I906" s="28"/>
      <c r="J906" s="28"/>
      <c r="K906" s="175"/>
      <c r="L906" s="175"/>
      <c r="M906" s="175"/>
    </row>
    <row r="907">
      <c r="A907" s="28"/>
      <c r="B907" s="122"/>
      <c r="C907" s="122"/>
      <c r="D907" s="28"/>
      <c r="E907" s="174"/>
      <c r="F907" s="28"/>
      <c r="G907" s="28"/>
      <c r="H907" s="28"/>
      <c r="I907" s="28"/>
      <c r="J907" s="28"/>
      <c r="K907" s="175"/>
      <c r="L907" s="175"/>
      <c r="M907" s="175"/>
    </row>
    <row r="908">
      <c r="A908" s="28"/>
      <c r="B908" s="122"/>
      <c r="C908" s="122"/>
      <c r="D908" s="28"/>
      <c r="E908" s="174"/>
      <c r="F908" s="28"/>
      <c r="G908" s="28"/>
      <c r="H908" s="28"/>
      <c r="I908" s="28"/>
      <c r="J908" s="28"/>
      <c r="K908" s="175"/>
      <c r="L908" s="175"/>
      <c r="M908" s="175"/>
    </row>
    <row r="909">
      <c r="A909" s="28"/>
      <c r="B909" s="122"/>
      <c r="C909" s="122"/>
      <c r="D909" s="28"/>
      <c r="E909" s="174"/>
      <c r="F909" s="28"/>
      <c r="G909" s="28"/>
      <c r="H909" s="28"/>
      <c r="I909" s="28"/>
      <c r="J909" s="28"/>
      <c r="K909" s="175"/>
      <c r="L909" s="175"/>
      <c r="M909" s="175"/>
    </row>
    <row r="910">
      <c r="A910" s="28"/>
      <c r="B910" s="122"/>
      <c r="C910" s="122"/>
      <c r="D910" s="28"/>
      <c r="E910" s="174"/>
      <c r="F910" s="28"/>
      <c r="G910" s="28"/>
      <c r="H910" s="28"/>
      <c r="I910" s="28"/>
      <c r="J910" s="28"/>
      <c r="K910" s="175"/>
      <c r="L910" s="175"/>
      <c r="M910" s="175"/>
    </row>
    <row r="911">
      <c r="A911" s="28"/>
      <c r="B911" s="122"/>
      <c r="C911" s="122"/>
      <c r="D911" s="28"/>
      <c r="E911" s="174"/>
      <c r="F911" s="28"/>
      <c r="G911" s="28"/>
      <c r="H911" s="28"/>
      <c r="I911" s="28"/>
      <c r="J911" s="28"/>
      <c r="K911" s="175"/>
      <c r="L911" s="175"/>
      <c r="M911" s="175"/>
    </row>
    <row r="912">
      <c r="A912" s="28"/>
      <c r="B912" s="122"/>
      <c r="C912" s="122"/>
      <c r="D912" s="28"/>
      <c r="E912" s="174"/>
      <c r="F912" s="28"/>
      <c r="G912" s="28"/>
      <c r="H912" s="28"/>
      <c r="I912" s="28"/>
      <c r="J912" s="28"/>
      <c r="K912" s="175"/>
      <c r="L912" s="175"/>
      <c r="M912" s="175"/>
    </row>
    <row r="913">
      <c r="A913" s="28"/>
      <c r="B913" s="122"/>
      <c r="C913" s="122"/>
      <c r="D913" s="28"/>
      <c r="E913" s="174"/>
      <c r="F913" s="28"/>
      <c r="G913" s="28"/>
      <c r="H913" s="28"/>
      <c r="I913" s="28"/>
      <c r="J913" s="28"/>
      <c r="K913" s="175"/>
      <c r="L913" s="175"/>
      <c r="M913" s="175"/>
    </row>
    <row r="914">
      <c r="A914" s="28"/>
      <c r="B914" s="122"/>
      <c r="C914" s="122"/>
      <c r="D914" s="28"/>
      <c r="E914" s="174"/>
      <c r="F914" s="28"/>
      <c r="G914" s="28"/>
      <c r="H914" s="28"/>
      <c r="I914" s="28"/>
      <c r="J914" s="28"/>
      <c r="K914" s="175"/>
      <c r="L914" s="175"/>
      <c r="M914" s="175"/>
    </row>
    <row r="915">
      <c r="A915" s="28"/>
      <c r="B915" s="122"/>
      <c r="C915" s="122"/>
      <c r="D915" s="28"/>
      <c r="E915" s="174"/>
      <c r="F915" s="28"/>
      <c r="G915" s="28"/>
      <c r="H915" s="28"/>
      <c r="I915" s="28"/>
      <c r="J915" s="28"/>
      <c r="K915" s="175"/>
      <c r="L915" s="175"/>
      <c r="M915" s="175"/>
    </row>
    <row r="916">
      <c r="A916" s="28"/>
      <c r="B916" s="122"/>
      <c r="C916" s="122"/>
      <c r="D916" s="28"/>
      <c r="E916" s="174"/>
      <c r="F916" s="28"/>
      <c r="G916" s="28"/>
      <c r="H916" s="28"/>
      <c r="I916" s="28"/>
      <c r="J916" s="28"/>
      <c r="K916" s="175"/>
      <c r="L916" s="175"/>
      <c r="M916" s="175"/>
    </row>
    <row r="917">
      <c r="A917" s="28"/>
      <c r="B917" s="122"/>
      <c r="C917" s="122"/>
      <c r="D917" s="28"/>
      <c r="E917" s="174"/>
      <c r="F917" s="28"/>
      <c r="G917" s="28"/>
      <c r="H917" s="28"/>
      <c r="I917" s="28"/>
      <c r="J917" s="28"/>
      <c r="K917" s="175"/>
      <c r="L917" s="175"/>
      <c r="M917" s="175"/>
    </row>
    <row r="918">
      <c r="A918" s="28"/>
      <c r="B918" s="122"/>
      <c r="C918" s="122"/>
      <c r="D918" s="28"/>
      <c r="E918" s="174"/>
      <c r="F918" s="28"/>
      <c r="G918" s="28"/>
      <c r="H918" s="28"/>
      <c r="I918" s="28"/>
      <c r="J918" s="28"/>
      <c r="K918" s="175"/>
      <c r="L918" s="175"/>
      <c r="M918" s="175"/>
    </row>
    <row r="919">
      <c r="A919" s="28"/>
      <c r="B919" s="122"/>
      <c r="C919" s="122"/>
      <c r="D919" s="28"/>
      <c r="E919" s="174"/>
      <c r="F919" s="28"/>
      <c r="G919" s="28"/>
      <c r="H919" s="28"/>
      <c r="I919" s="28"/>
      <c r="J919" s="28"/>
      <c r="K919" s="175"/>
      <c r="L919" s="175"/>
      <c r="M919" s="175"/>
    </row>
    <row r="920">
      <c r="A920" s="28"/>
      <c r="B920" s="122"/>
      <c r="C920" s="122"/>
      <c r="D920" s="28"/>
      <c r="E920" s="174"/>
      <c r="F920" s="28"/>
      <c r="G920" s="28"/>
      <c r="H920" s="28"/>
      <c r="I920" s="28"/>
      <c r="J920" s="28"/>
      <c r="K920" s="175"/>
      <c r="L920" s="175"/>
      <c r="M920" s="175"/>
    </row>
    <row r="921">
      <c r="A921" s="28"/>
      <c r="B921" s="122"/>
      <c r="C921" s="122"/>
      <c r="D921" s="28"/>
      <c r="E921" s="174"/>
      <c r="F921" s="28"/>
      <c r="G921" s="28"/>
      <c r="H921" s="28"/>
      <c r="I921" s="28"/>
      <c r="J921" s="28"/>
      <c r="K921" s="175"/>
      <c r="L921" s="175"/>
      <c r="M921" s="175"/>
    </row>
    <row r="922">
      <c r="A922" s="28"/>
      <c r="B922" s="122"/>
      <c r="C922" s="122"/>
      <c r="D922" s="28"/>
      <c r="E922" s="174"/>
      <c r="F922" s="28"/>
      <c r="G922" s="28"/>
      <c r="H922" s="28"/>
      <c r="I922" s="28"/>
      <c r="J922" s="28"/>
      <c r="K922" s="175"/>
      <c r="L922" s="175"/>
      <c r="M922" s="175"/>
    </row>
    <row r="923">
      <c r="A923" s="28"/>
      <c r="B923" s="122"/>
      <c r="C923" s="122"/>
      <c r="D923" s="28"/>
      <c r="E923" s="174"/>
      <c r="F923" s="28"/>
      <c r="G923" s="28"/>
      <c r="H923" s="28"/>
      <c r="I923" s="28"/>
      <c r="J923" s="28"/>
      <c r="K923" s="175"/>
      <c r="L923" s="175"/>
      <c r="M923" s="175"/>
    </row>
    <row r="924">
      <c r="A924" s="28"/>
      <c r="B924" s="122"/>
      <c r="C924" s="122"/>
      <c r="D924" s="28"/>
      <c r="E924" s="174"/>
      <c r="F924" s="28"/>
      <c r="G924" s="28"/>
      <c r="H924" s="28"/>
      <c r="I924" s="28"/>
      <c r="J924" s="28"/>
      <c r="K924" s="175"/>
      <c r="L924" s="175"/>
      <c r="M924" s="175"/>
    </row>
    <row r="925">
      <c r="A925" s="28"/>
      <c r="B925" s="122"/>
      <c r="C925" s="122"/>
      <c r="D925" s="28"/>
      <c r="E925" s="174"/>
      <c r="F925" s="28"/>
      <c r="G925" s="28"/>
      <c r="H925" s="28"/>
      <c r="I925" s="28"/>
      <c r="J925" s="28"/>
      <c r="K925" s="175"/>
      <c r="L925" s="175"/>
      <c r="M925" s="175"/>
    </row>
    <row r="926">
      <c r="A926" s="28"/>
      <c r="B926" s="122"/>
      <c r="C926" s="122"/>
      <c r="D926" s="28"/>
      <c r="E926" s="174"/>
      <c r="F926" s="28"/>
      <c r="G926" s="28"/>
      <c r="H926" s="28"/>
      <c r="I926" s="28"/>
      <c r="J926" s="28"/>
      <c r="K926" s="175"/>
      <c r="L926" s="175"/>
      <c r="M926" s="175"/>
    </row>
    <row r="927">
      <c r="A927" s="28"/>
      <c r="B927" s="122"/>
      <c r="C927" s="122"/>
      <c r="D927" s="28"/>
      <c r="E927" s="174"/>
      <c r="F927" s="28"/>
      <c r="G927" s="28"/>
      <c r="H927" s="28"/>
      <c r="I927" s="28"/>
      <c r="J927" s="28"/>
      <c r="K927" s="175"/>
      <c r="L927" s="175"/>
      <c r="M927" s="175"/>
    </row>
    <row r="928">
      <c r="A928" s="28"/>
      <c r="B928" s="122"/>
      <c r="C928" s="122"/>
      <c r="D928" s="28"/>
      <c r="E928" s="174"/>
      <c r="F928" s="28"/>
      <c r="G928" s="28"/>
      <c r="H928" s="28"/>
      <c r="I928" s="28"/>
      <c r="J928" s="28"/>
      <c r="K928" s="175"/>
      <c r="L928" s="175"/>
      <c r="M928" s="175"/>
    </row>
    <row r="929">
      <c r="A929" s="28"/>
      <c r="B929" s="122"/>
      <c r="C929" s="122"/>
      <c r="D929" s="28"/>
      <c r="E929" s="174"/>
      <c r="F929" s="28"/>
      <c r="G929" s="28"/>
      <c r="H929" s="28"/>
      <c r="I929" s="28"/>
      <c r="J929" s="28"/>
      <c r="K929" s="175"/>
      <c r="L929" s="175"/>
      <c r="M929" s="175"/>
    </row>
    <row r="930">
      <c r="A930" s="28"/>
      <c r="B930" s="122"/>
      <c r="C930" s="122"/>
      <c r="D930" s="28"/>
      <c r="E930" s="174"/>
      <c r="F930" s="28"/>
      <c r="G930" s="28"/>
      <c r="H930" s="28"/>
      <c r="I930" s="28"/>
      <c r="J930" s="28"/>
      <c r="K930" s="175"/>
      <c r="L930" s="175"/>
      <c r="M930" s="175"/>
    </row>
    <row r="931">
      <c r="A931" s="28"/>
      <c r="B931" s="122"/>
      <c r="C931" s="122"/>
      <c r="D931" s="28"/>
      <c r="E931" s="174"/>
      <c r="F931" s="28"/>
      <c r="G931" s="28"/>
      <c r="H931" s="28"/>
      <c r="I931" s="28"/>
      <c r="J931" s="28"/>
      <c r="K931" s="175"/>
      <c r="L931" s="175"/>
      <c r="M931" s="175"/>
    </row>
    <row r="932">
      <c r="A932" s="28"/>
      <c r="B932" s="122"/>
      <c r="C932" s="122"/>
      <c r="D932" s="28"/>
      <c r="E932" s="174"/>
      <c r="F932" s="28"/>
      <c r="G932" s="28"/>
      <c r="H932" s="28"/>
      <c r="I932" s="28"/>
      <c r="J932" s="28"/>
      <c r="K932" s="175"/>
      <c r="L932" s="175"/>
      <c r="M932" s="175"/>
    </row>
    <row r="933">
      <c r="A933" s="28"/>
      <c r="B933" s="122"/>
      <c r="C933" s="122"/>
      <c r="D933" s="28"/>
      <c r="E933" s="174"/>
      <c r="F933" s="28"/>
      <c r="G933" s="28"/>
      <c r="H933" s="28"/>
      <c r="I933" s="28"/>
      <c r="J933" s="28"/>
      <c r="K933" s="175"/>
      <c r="L933" s="175"/>
      <c r="M933" s="175"/>
    </row>
    <row r="934">
      <c r="A934" s="28"/>
      <c r="B934" s="122"/>
      <c r="C934" s="122"/>
      <c r="D934" s="28"/>
      <c r="E934" s="174"/>
      <c r="F934" s="28"/>
      <c r="G934" s="28"/>
      <c r="H934" s="28"/>
      <c r="I934" s="28"/>
      <c r="J934" s="28"/>
      <c r="K934" s="175"/>
      <c r="L934" s="175"/>
      <c r="M934" s="175"/>
    </row>
    <row r="935">
      <c r="A935" s="28"/>
      <c r="B935" s="122"/>
      <c r="C935" s="122"/>
      <c r="D935" s="28"/>
      <c r="E935" s="174"/>
      <c r="F935" s="28"/>
      <c r="G935" s="28"/>
      <c r="H935" s="28"/>
      <c r="I935" s="28"/>
      <c r="J935" s="28"/>
      <c r="K935" s="175"/>
      <c r="L935" s="175"/>
      <c r="M935" s="175"/>
    </row>
    <row r="936">
      <c r="A936" s="28"/>
      <c r="B936" s="122"/>
      <c r="C936" s="122"/>
      <c r="D936" s="28"/>
      <c r="E936" s="174"/>
      <c r="F936" s="28"/>
      <c r="G936" s="28"/>
      <c r="H936" s="28"/>
      <c r="I936" s="28"/>
      <c r="J936" s="28"/>
      <c r="K936" s="175"/>
      <c r="L936" s="175"/>
      <c r="M936" s="175"/>
    </row>
    <row r="937">
      <c r="A937" s="28"/>
      <c r="B937" s="122"/>
      <c r="C937" s="122"/>
      <c r="D937" s="28"/>
      <c r="E937" s="174"/>
      <c r="F937" s="28"/>
      <c r="G937" s="28"/>
      <c r="H937" s="28"/>
      <c r="I937" s="28"/>
      <c r="J937" s="28"/>
      <c r="K937" s="175"/>
      <c r="L937" s="175"/>
      <c r="M937" s="175"/>
    </row>
    <row r="938">
      <c r="A938" s="28"/>
      <c r="B938" s="122"/>
      <c r="C938" s="122"/>
      <c r="D938" s="28"/>
      <c r="E938" s="174"/>
      <c r="F938" s="28"/>
      <c r="G938" s="28"/>
      <c r="H938" s="28"/>
      <c r="I938" s="28"/>
      <c r="J938" s="28"/>
      <c r="K938" s="175"/>
      <c r="L938" s="175"/>
      <c r="M938" s="175"/>
    </row>
    <row r="939">
      <c r="A939" s="28"/>
      <c r="B939" s="122"/>
      <c r="C939" s="122"/>
      <c r="D939" s="28"/>
      <c r="E939" s="174"/>
      <c r="F939" s="28"/>
      <c r="G939" s="28"/>
      <c r="H939" s="28"/>
      <c r="I939" s="28"/>
      <c r="J939" s="28"/>
      <c r="K939" s="175"/>
      <c r="L939" s="175"/>
      <c r="M939" s="175"/>
    </row>
    <row r="940">
      <c r="A940" s="28"/>
      <c r="B940" s="122"/>
      <c r="C940" s="122"/>
      <c r="D940" s="28"/>
      <c r="E940" s="174"/>
      <c r="F940" s="28"/>
      <c r="G940" s="28"/>
      <c r="H940" s="28"/>
      <c r="I940" s="28"/>
      <c r="J940" s="28"/>
      <c r="K940" s="175"/>
      <c r="L940" s="175"/>
      <c r="M940" s="175"/>
    </row>
    <row r="941">
      <c r="A941" s="28"/>
      <c r="B941" s="122"/>
      <c r="C941" s="122"/>
      <c r="D941" s="28"/>
      <c r="E941" s="174"/>
      <c r="F941" s="28"/>
      <c r="G941" s="28"/>
      <c r="H941" s="28"/>
      <c r="I941" s="28"/>
      <c r="J941" s="28"/>
      <c r="K941" s="175"/>
      <c r="L941" s="175"/>
      <c r="M941" s="175"/>
    </row>
    <row r="942">
      <c r="A942" s="28"/>
      <c r="B942" s="122"/>
      <c r="C942" s="122"/>
      <c r="D942" s="28"/>
      <c r="E942" s="174"/>
      <c r="F942" s="28"/>
      <c r="G942" s="28"/>
      <c r="H942" s="28"/>
      <c r="I942" s="28"/>
      <c r="J942" s="28"/>
      <c r="K942" s="175"/>
      <c r="L942" s="175"/>
      <c r="M942" s="175"/>
    </row>
    <row r="943">
      <c r="A943" s="28"/>
      <c r="B943" s="122"/>
      <c r="C943" s="122"/>
      <c r="D943" s="28"/>
      <c r="E943" s="174"/>
      <c r="F943" s="28"/>
      <c r="G943" s="28"/>
      <c r="H943" s="28"/>
      <c r="I943" s="28"/>
      <c r="J943" s="28"/>
      <c r="K943" s="175"/>
      <c r="L943" s="175"/>
      <c r="M943" s="175"/>
    </row>
    <row r="944">
      <c r="A944" s="28"/>
      <c r="B944" s="122"/>
      <c r="C944" s="122"/>
      <c r="D944" s="28"/>
      <c r="E944" s="174"/>
      <c r="F944" s="28"/>
      <c r="G944" s="28"/>
      <c r="H944" s="28"/>
      <c r="I944" s="28"/>
      <c r="J944" s="28"/>
      <c r="K944" s="175"/>
      <c r="L944" s="175"/>
      <c r="M944" s="175"/>
    </row>
    <row r="945">
      <c r="A945" s="28"/>
      <c r="B945" s="122"/>
      <c r="C945" s="122"/>
      <c r="D945" s="28"/>
      <c r="E945" s="174"/>
      <c r="F945" s="28"/>
      <c r="G945" s="28"/>
      <c r="H945" s="28"/>
      <c r="I945" s="28"/>
      <c r="J945" s="28"/>
      <c r="K945" s="175"/>
      <c r="L945" s="175"/>
      <c r="M945" s="175"/>
    </row>
    <row r="946">
      <c r="A946" s="28"/>
      <c r="B946" s="122"/>
      <c r="C946" s="122"/>
      <c r="D946" s="28"/>
      <c r="E946" s="174"/>
      <c r="F946" s="28"/>
      <c r="G946" s="28"/>
      <c r="H946" s="28"/>
      <c r="I946" s="28"/>
      <c r="J946" s="28"/>
      <c r="K946" s="175"/>
      <c r="L946" s="175"/>
      <c r="M946" s="175"/>
    </row>
    <row r="947">
      <c r="A947" s="28"/>
      <c r="B947" s="122"/>
      <c r="C947" s="122"/>
      <c r="D947" s="28"/>
      <c r="E947" s="174"/>
      <c r="F947" s="28"/>
      <c r="G947" s="28"/>
      <c r="H947" s="28"/>
      <c r="I947" s="28"/>
      <c r="J947" s="28"/>
      <c r="K947" s="175"/>
      <c r="L947" s="175"/>
      <c r="M947" s="175"/>
    </row>
    <row r="948">
      <c r="A948" s="28"/>
      <c r="B948" s="122"/>
      <c r="C948" s="122"/>
      <c r="D948" s="28"/>
      <c r="E948" s="174"/>
      <c r="F948" s="28"/>
      <c r="G948" s="28"/>
      <c r="H948" s="28"/>
      <c r="I948" s="28"/>
      <c r="J948" s="28"/>
      <c r="K948" s="175"/>
      <c r="L948" s="175"/>
      <c r="M948" s="175"/>
    </row>
    <row r="949">
      <c r="A949" s="28"/>
      <c r="B949" s="122"/>
      <c r="C949" s="122"/>
      <c r="D949" s="28"/>
      <c r="E949" s="174"/>
      <c r="F949" s="28"/>
      <c r="G949" s="28"/>
      <c r="H949" s="28"/>
      <c r="I949" s="28"/>
      <c r="J949" s="28"/>
      <c r="K949" s="175"/>
      <c r="L949" s="175"/>
      <c r="M949" s="175"/>
    </row>
    <row r="950">
      <c r="A950" s="28"/>
      <c r="B950" s="122"/>
      <c r="C950" s="122"/>
      <c r="D950" s="28"/>
      <c r="E950" s="174"/>
      <c r="F950" s="28"/>
      <c r="G950" s="28"/>
      <c r="H950" s="28"/>
      <c r="I950" s="28"/>
      <c r="J950" s="28"/>
      <c r="K950" s="175"/>
      <c r="L950" s="175"/>
      <c r="M950" s="175"/>
    </row>
    <row r="951">
      <c r="A951" s="28"/>
      <c r="B951" s="122"/>
      <c r="C951" s="122"/>
      <c r="D951" s="28"/>
      <c r="E951" s="174"/>
      <c r="F951" s="28"/>
      <c r="G951" s="28"/>
      <c r="H951" s="28"/>
      <c r="I951" s="28"/>
      <c r="J951" s="28"/>
      <c r="K951" s="175"/>
      <c r="L951" s="175"/>
      <c r="M951" s="175"/>
    </row>
    <row r="952">
      <c r="A952" s="28"/>
      <c r="B952" s="122"/>
      <c r="C952" s="122"/>
      <c r="D952" s="28"/>
      <c r="E952" s="174"/>
      <c r="F952" s="28"/>
      <c r="G952" s="28"/>
      <c r="H952" s="28"/>
      <c r="I952" s="28"/>
      <c r="J952" s="28"/>
      <c r="K952" s="175"/>
      <c r="L952" s="175"/>
      <c r="M952" s="175"/>
    </row>
    <row r="953">
      <c r="A953" s="28"/>
      <c r="B953" s="122"/>
      <c r="C953" s="122"/>
      <c r="D953" s="28"/>
      <c r="E953" s="174"/>
      <c r="F953" s="28"/>
      <c r="G953" s="28"/>
      <c r="H953" s="28"/>
      <c r="I953" s="28"/>
      <c r="J953" s="28"/>
      <c r="K953" s="175"/>
      <c r="L953" s="175"/>
      <c r="M953" s="175"/>
    </row>
    <row r="954">
      <c r="A954" s="28"/>
      <c r="B954" s="122"/>
      <c r="C954" s="122"/>
      <c r="D954" s="28"/>
      <c r="E954" s="174"/>
      <c r="F954" s="28"/>
      <c r="G954" s="28"/>
      <c r="H954" s="28"/>
      <c r="I954" s="28"/>
      <c r="J954" s="28"/>
      <c r="K954" s="175"/>
      <c r="L954" s="175"/>
      <c r="M954" s="175"/>
    </row>
    <row r="955">
      <c r="A955" s="28"/>
      <c r="B955" s="122"/>
      <c r="C955" s="122"/>
      <c r="D955" s="28"/>
      <c r="E955" s="174"/>
      <c r="F955" s="28"/>
      <c r="G955" s="28"/>
      <c r="H955" s="28"/>
      <c r="I955" s="28"/>
      <c r="J955" s="28"/>
      <c r="K955" s="175"/>
      <c r="L955" s="175"/>
      <c r="M955" s="175"/>
    </row>
    <row r="956">
      <c r="A956" s="28"/>
      <c r="B956" s="122"/>
      <c r="C956" s="122"/>
      <c r="D956" s="28"/>
      <c r="E956" s="174"/>
      <c r="F956" s="28"/>
      <c r="G956" s="28"/>
      <c r="H956" s="28"/>
      <c r="I956" s="28"/>
      <c r="J956" s="28"/>
      <c r="K956" s="175"/>
      <c r="L956" s="175"/>
      <c r="M956" s="175"/>
    </row>
    <row r="957">
      <c r="A957" s="28"/>
      <c r="B957" s="122"/>
      <c r="C957" s="122"/>
      <c r="D957" s="28"/>
      <c r="E957" s="174"/>
      <c r="F957" s="28"/>
      <c r="G957" s="28"/>
      <c r="H957" s="28"/>
      <c r="I957" s="28"/>
      <c r="J957" s="28"/>
      <c r="K957" s="175"/>
      <c r="L957" s="175"/>
      <c r="M957" s="175"/>
    </row>
    <row r="958">
      <c r="A958" s="28"/>
      <c r="B958" s="122"/>
      <c r="C958" s="122"/>
      <c r="D958" s="28"/>
      <c r="E958" s="174"/>
      <c r="F958" s="28"/>
      <c r="G958" s="28"/>
      <c r="H958" s="28"/>
      <c r="I958" s="28"/>
      <c r="J958" s="28"/>
      <c r="K958" s="175"/>
      <c r="L958" s="175"/>
      <c r="M958" s="175"/>
    </row>
    <row r="959">
      <c r="A959" s="28"/>
      <c r="B959" s="122"/>
      <c r="C959" s="122"/>
      <c r="D959" s="28"/>
      <c r="E959" s="174"/>
      <c r="F959" s="28"/>
      <c r="G959" s="28"/>
      <c r="H959" s="28"/>
      <c r="I959" s="28"/>
      <c r="J959" s="28"/>
      <c r="K959" s="175"/>
      <c r="L959" s="175"/>
      <c r="M959" s="175"/>
    </row>
    <row r="960">
      <c r="A960" s="28"/>
      <c r="B960" s="122"/>
      <c r="C960" s="122"/>
      <c r="D960" s="28"/>
      <c r="E960" s="174"/>
      <c r="F960" s="28"/>
      <c r="G960" s="28"/>
      <c r="H960" s="28"/>
      <c r="I960" s="28"/>
      <c r="J960" s="28"/>
      <c r="K960" s="175"/>
      <c r="L960" s="175"/>
      <c r="M960" s="175"/>
    </row>
    <row r="961">
      <c r="A961" s="28"/>
      <c r="B961" s="122"/>
      <c r="C961" s="122"/>
      <c r="D961" s="28"/>
      <c r="E961" s="174"/>
      <c r="F961" s="28"/>
      <c r="G961" s="28"/>
      <c r="H961" s="28"/>
      <c r="I961" s="28"/>
      <c r="J961" s="28"/>
      <c r="K961" s="175"/>
      <c r="L961" s="175"/>
      <c r="M961" s="175"/>
    </row>
    <row r="962">
      <c r="A962" s="28"/>
      <c r="B962" s="122"/>
      <c r="C962" s="122"/>
      <c r="D962" s="28"/>
      <c r="E962" s="174"/>
      <c r="F962" s="28"/>
      <c r="G962" s="28"/>
      <c r="H962" s="28"/>
      <c r="I962" s="28"/>
      <c r="J962" s="28"/>
      <c r="K962" s="175"/>
      <c r="L962" s="175"/>
      <c r="M962" s="175"/>
    </row>
    <row r="963">
      <c r="A963" s="28"/>
      <c r="B963" s="122"/>
      <c r="C963" s="122"/>
      <c r="D963" s="28"/>
      <c r="E963" s="174"/>
      <c r="F963" s="28"/>
      <c r="G963" s="28"/>
      <c r="H963" s="28"/>
      <c r="I963" s="28"/>
      <c r="J963" s="28"/>
      <c r="K963" s="175"/>
      <c r="L963" s="175"/>
      <c r="M963" s="175"/>
    </row>
    <row r="964">
      <c r="A964" s="28"/>
      <c r="B964" s="122"/>
      <c r="C964" s="122"/>
      <c r="D964" s="28"/>
      <c r="E964" s="174"/>
      <c r="F964" s="28"/>
      <c r="G964" s="28"/>
      <c r="H964" s="28"/>
      <c r="I964" s="28"/>
      <c r="J964" s="28"/>
      <c r="K964" s="175"/>
      <c r="L964" s="175"/>
      <c r="M964" s="175"/>
    </row>
    <row r="965">
      <c r="A965" s="28"/>
      <c r="B965" s="122"/>
      <c r="C965" s="122"/>
      <c r="D965" s="28"/>
      <c r="E965" s="174"/>
      <c r="F965" s="28"/>
      <c r="G965" s="28"/>
      <c r="H965" s="28"/>
      <c r="I965" s="28"/>
      <c r="J965" s="28"/>
      <c r="K965" s="175"/>
      <c r="L965" s="175"/>
      <c r="M965" s="175"/>
    </row>
    <row r="966">
      <c r="A966" s="28"/>
      <c r="B966" s="122"/>
      <c r="C966" s="122"/>
      <c r="D966" s="28"/>
      <c r="E966" s="174"/>
      <c r="F966" s="28"/>
      <c r="G966" s="28"/>
      <c r="H966" s="28"/>
      <c r="I966" s="28"/>
      <c r="J966" s="28"/>
      <c r="K966" s="175"/>
      <c r="L966" s="175"/>
      <c r="M966" s="175"/>
    </row>
    <row r="967">
      <c r="A967" s="28"/>
      <c r="B967" s="122"/>
      <c r="C967" s="122"/>
      <c r="D967" s="28"/>
      <c r="E967" s="174"/>
      <c r="F967" s="28"/>
      <c r="G967" s="28"/>
      <c r="H967" s="28"/>
      <c r="I967" s="28"/>
      <c r="J967" s="28"/>
      <c r="K967" s="175"/>
      <c r="L967" s="175"/>
      <c r="M967" s="175"/>
    </row>
    <row r="968">
      <c r="A968" s="28"/>
      <c r="B968" s="122"/>
      <c r="C968" s="122"/>
      <c r="D968" s="28"/>
      <c r="E968" s="174"/>
      <c r="F968" s="28"/>
      <c r="G968" s="28"/>
      <c r="H968" s="28"/>
      <c r="I968" s="28"/>
      <c r="J968" s="28"/>
      <c r="K968" s="175"/>
      <c r="L968" s="175"/>
      <c r="M968" s="175"/>
    </row>
    <row r="969">
      <c r="A969" s="28"/>
      <c r="B969" s="122"/>
      <c r="C969" s="122"/>
      <c r="D969" s="28"/>
      <c r="E969" s="174"/>
      <c r="F969" s="28"/>
      <c r="G969" s="28"/>
      <c r="H969" s="28"/>
      <c r="I969" s="28"/>
      <c r="J969" s="28"/>
      <c r="K969" s="175"/>
      <c r="L969" s="175"/>
      <c r="M969" s="175"/>
    </row>
    <row r="970">
      <c r="A970" s="28"/>
      <c r="B970" s="122"/>
      <c r="C970" s="122"/>
      <c r="D970" s="28"/>
      <c r="E970" s="174"/>
      <c r="F970" s="28"/>
      <c r="G970" s="28"/>
      <c r="H970" s="28"/>
      <c r="I970" s="28"/>
      <c r="J970" s="28"/>
      <c r="K970" s="175"/>
      <c r="L970" s="175"/>
      <c r="M970" s="175"/>
    </row>
    <row r="971">
      <c r="A971" s="28"/>
      <c r="B971" s="122"/>
      <c r="C971" s="122"/>
      <c r="D971" s="28"/>
      <c r="E971" s="174"/>
      <c r="F971" s="28"/>
      <c r="G971" s="28"/>
      <c r="H971" s="28"/>
      <c r="I971" s="28"/>
      <c r="J971" s="28"/>
      <c r="K971" s="175"/>
      <c r="L971" s="175"/>
      <c r="M971" s="175"/>
    </row>
    <row r="972">
      <c r="A972" s="28"/>
      <c r="B972" s="122"/>
      <c r="C972" s="122"/>
      <c r="D972" s="28"/>
      <c r="E972" s="174"/>
      <c r="F972" s="28"/>
      <c r="G972" s="28"/>
      <c r="H972" s="28"/>
      <c r="I972" s="28"/>
      <c r="J972" s="28"/>
      <c r="K972" s="175"/>
      <c r="L972" s="175"/>
      <c r="M972" s="175"/>
    </row>
    <row r="973">
      <c r="A973" s="28"/>
      <c r="B973" s="122"/>
      <c r="C973" s="122"/>
      <c r="D973" s="28"/>
      <c r="E973" s="174"/>
      <c r="F973" s="28"/>
      <c r="G973" s="28"/>
      <c r="H973" s="28"/>
      <c r="I973" s="28"/>
      <c r="J973" s="28"/>
      <c r="K973" s="175"/>
      <c r="L973" s="175"/>
      <c r="M973" s="175"/>
    </row>
    <row r="974">
      <c r="A974" s="28"/>
      <c r="B974" s="122"/>
      <c r="C974" s="122"/>
      <c r="D974" s="28"/>
      <c r="E974" s="174"/>
      <c r="F974" s="28"/>
      <c r="G974" s="28"/>
      <c r="H974" s="28"/>
      <c r="I974" s="28"/>
      <c r="J974" s="28"/>
      <c r="K974" s="175"/>
      <c r="L974" s="175"/>
      <c r="M974" s="175"/>
    </row>
    <row r="975">
      <c r="A975" s="28"/>
      <c r="B975" s="122"/>
      <c r="C975" s="122"/>
      <c r="D975" s="28"/>
      <c r="E975" s="174"/>
      <c r="F975" s="28"/>
      <c r="G975" s="28"/>
      <c r="H975" s="28"/>
      <c r="I975" s="28"/>
      <c r="J975" s="28"/>
      <c r="K975" s="175"/>
      <c r="L975" s="175"/>
      <c r="M975" s="175"/>
    </row>
    <row r="976">
      <c r="A976" s="28"/>
      <c r="B976" s="122"/>
      <c r="C976" s="122"/>
      <c r="D976" s="28"/>
      <c r="E976" s="174"/>
      <c r="F976" s="28"/>
      <c r="G976" s="28"/>
      <c r="H976" s="28"/>
      <c r="I976" s="28"/>
      <c r="J976" s="28"/>
      <c r="K976" s="175"/>
      <c r="L976" s="175"/>
      <c r="M976" s="175"/>
    </row>
    <row r="977">
      <c r="A977" s="28"/>
      <c r="B977" s="122"/>
      <c r="C977" s="122"/>
      <c r="D977" s="28"/>
      <c r="E977" s="174"/>
      <c r="F977" s="28"/>
      <c r="G977" s="28"/>
      <c r="H977" s="28"/>
      <c r="I977" s="28"/>
      <c r="J977" s="28"/>
      <c r="K977" s="175"/>
      <c r="L977" s="175"/>
      <c r="M977" s="175"/>
    </row>
    <row r="978">
      <c r="A978" s="28"/>
      <c r="B978" s="122"/>
      <c r="C978" s="122"/>
      <c r="D978" s="28"/>
      <c r="E978" s="174"/>
      <c r="F978" s="28"/>
      <c r="G978" s="28"/>
      <c r="H978" s="28"/>
      <c r="I978" s="28"/>
      <c r="J978" s="28"/>
      <c r="K978" s="175"/>
      <c r="L978" s="175"/>
      <c r="M978" s="175"/>
    </row>
    <row r="979">
      <c r="A979" s="28"/>
      <c r="B979" s="122"/>
      <c r="C979" s="122"/>
      <c r="D979" s="28"/>
      <c r="E979" s="174"/>
      <c r="F979" s="28"/>
      <c r="G979" s="28"/>
      <c r="H979" s="28"/>
      <c r="I979" s="28"/>
      <c r="J979" s="28"/>
      <c r="K979" s="175"/>
      <c r="L979" s="175"/>
      <c r="M979" s="175"/>
    </row>
    <row r="980">
      <c r="A980" s="28"/>
      <c r="B980" s="122"/>
      <c r="C980" s="122"/>
      <c r="D980" s="28"/>
      <c r="E980" s="174"/>
      <c r="F980" s="28"/>
      <c r="G980" s="28"/>
      <c r="H980" s="28"/>
      <c r="I980" s="28"/>
      <c r="J980" s="28"/>
      <c r="K980" s="175"/>
      <c r="L980" s="175"/>
      <c r="M980" s="175"/>
    </row>
    <row r="981">
      <c r="A981" s="28"/>
      <c r="B981" s="122"/>
      <c r="C981" s="122"/>
      <c r="D981" s="28"/>
      <c r="E981" s="174"/>
      <c r="F981" s="28"/>
      <c r="G981" s="28"/>
      <c r="H981" s="28"/>
      <c r="I981" s="28"/>
      <c r="J981" s="28"/>
      <c r="K981" s="175"/>
      <c r="L981" s="175"/>
      <c r="M981" s="175"/>
    </row>
    <row r="982">
      <c r="A982" s="28"/>
      <c r="B982" s="122"/>
      <c r="C982" s="122"/>
      <c r="D982" s="28"/>
      <c r="E982" s="174"/>
      <c r="F982" s="28"/>
      <c r="G982" s="28"/>
      <c r="H982" s="28"/>
      <c r="I982" s="28"/>
      <c r="J982" s="28"/>
      <c r="K982" s="175"/>
      <c r="L982" s="175"/>
      <c r="M982" s="175"/>
    </row>
    <row r="983">
      <c r="A983" s="28"/>
      <c r="B983" s="122"/>
      <c r="C983" s="122"/>
      <c r="D983" s="28"/>
      <c r="E983" s="174"/>
      <c r="F983" s="28"/>
      <c r="G983" s="28"/>
      <c r="H983" s="28"/>
      <c r="I983" s="28"/>
      <c r="J983" s="28"/>
      <c r="K983" s="175"/>
      <c r="L983" s="175"/>
      <c r="M983" s="175"/>
    </row>
    <row r="984">
      <c r="A984" s="28"/>
      <c r="B984" s="122"/>
      <c r="C984" s="122"/>
      <c r="D984" s="28"/>
      <c r="E984" s="174"/>
      <c r="F984" s="28"/>
      <c r="G984" s="28"/>
      <c r="H984" s="28"/>
      <c r="I984" s="28"/>
      <c r="J984" s="28"/>
      <c r="K984" s="175"/>
      <c r="L984" s="175"/>
      <c r="M984" s="175"/>
    </row>
    <row r="985">
      <c r="A985" s="28"/>
      <c r="B985" s="122"/>
      <c r="C985" s="122"/>
      <c r="D985" s="28"/>
      <c r="E985" s="174"/>
      <c r="F985" s="28"/>
      <c r="G985" s="28"/>
      <c r="H985" s="28"/>
      <c r="I985" s="28"/>
      <c r="J985" s="28"/>
      <c r="K985" s="175"/>
      <c r="L985" s="175"/>
      <c r="M985" s="175"/>
    </row>
    <row r="986">
      <c r="A986" s="28"/>
      <c r="B986" s="122"/>
      <c r="C986" s="122"/>
      <c r="D986" s="28"/>
      <c r="E986" s="174"/>
      <c r="F986" s="28"/>
      <c r="G986" s="28"/>
      <c r="H986" s="28"/>
      <c r="I986" s="28"/>
      <c r="J986" s="28"/>
      <c r="K986" s="175"/>
      <c r="L986" s="175"/>
      <c r="M986" s="175"/>
    </row>
    <row r="987">
      <c r="A987" s="28"/>
      <c r="B987" s="122"/>
      <c r="C987" s="122"/>
      <c r="D987" s="28"/>
      <c r="E987" s="174"/>
      <c r="F987" s="28"/>
      <c r="G987" s="28"/>
      <c r="H987" s="28"/>
      <c r="I987" s="28"/>
      <c r="J987" s="28"/>
      <c r="K987" s="175"/>
      <c r="L987" s="175"/>
      <c r="M987" s="175"/>
    </row>
    <row r="988">
      <c r="A988" s="28"/>
      <c r="B988" s="122"/>
      <c r="C988" s="122"/>
      <c r="D988" s="28"/>
      <c r="E988" s="174"/>
      <c r="F988" s="28"/>
      <c r="G988" s="28"/>
      <c r="H988" s="28"/>
      <c r="I988" s="28"/>
      <c r="J988" s="28"/>
      <c r="K988" s="175"/>
      <c r="L988" s="175"/>
      <c r="M988" s="175"/>
    </row>
    <row r="989">
      <c r="A989" s="28"/>
      <c r="B989" s="122"/>
      <c r="C989" s="122"/>
      <c r="D989" s="28"/>
      <c r="E989" s="174"/>
      <c r="F989" s="28"/>
      <c r="G989" s="28"/>
      <c r="H989" s="28"/>
      <c r="I989" s="28"/>
      <c r="J989" s="28"/>
      <c r="K989" s="175"/>
      <c r="L989" s="175"/>
      <c r="M989" s="175"/>
    </row>
    <row r="990">
      <c r="A990" s="28"/>
      <c r="B990" s="122"/>
      <c r="C990" s="122"/>
      <c r="D990" s="28"/>
      <c r="E990" s="174"/>
      <c r="F990" s="28"/>
      <c r="G990" s="28"/>
      <c r="H990" s="28"/>
      <c r="I990" s="28"/>
      <c r="J990" s="28"/>
      <c r="K990" s="175"/>
      <c r="L990" s="175"/>
      <c r="M990" s="175"/>
    </row>
    <row r="991">
      <c r="A991" s="28"/>
      <c r="B991" s="122"/>
      <c r="C991" s="122"/>
      <c r="D991" s="28"/>
      <c r="E991" s="174"/>
      <c r="F991" s="28"/>
      <c r="G991" s="28"/>
      <c r="H991" s="28"/>
      <c r="I991" s="28"/>
      <c r="J991" s="28"/>
      <c r="K991" s="175"/>
      <c r="L991" s="175"/>
      <c r="M991" s="175"/>
    </row>
    <row r="992">
      <c r="A992" s="28"/>
      <c r="B992" s="122"/>
      <c r="C992" s="122"/>
      <c r="D992" s="28"/>
      <c r="E992" s="174"/>
      <c r="F992" s="28"/>
      <c r="G992" s="28"/>
      <c r="H992" s="28"/>
      <c r="I992" s="28"/>
      <c r="J992" s="28"/>
      <c r="K992" s="175"/>
      <c r="L992" s="175"/>
      <c r="M992" s="175"/>
    </row>
    <row r="993">
      <c r="A993" s="28"/>
      <c r="B993" s="122"/>
      <c r="C993" s="122"/>
      <c r="D993" s="28"/>
      <c r="E993" s="174"/>
      <c r="F993" s="28"/>
      <c r="G993" s="28"/>
      <c r="H993" s="28"/>
      <c r="I993" s="28"/>
      <c r="J993" s="28"/>
      <c r="K993" s="175"/>
      <c r="L993" s="175"/>
      <c r="M993" s="175"/>
    </row>
    <row r="994">
      <c r="A994" s="28"/>
      <c r="B994" s="122"/>
      <c r="C994" s="122"/>
      <c r="D994" s="28"/>
      <c r="E994" s="174"/>
      <c r="F994" s="28"/>
      <c r="G994" s="28"/>
      <c r="H994" s="28"/>
      <c r="I994" s="28"/>
      <c r="J994" s="28"/>
      <c r="K994" s="175"/>
      <c r="L994" s="175"/>
      <c r="M994" s="175"/>
    </row>
    <row r="995">
      <c r="A995" s="28"/>
      <c r="B995" s="122"/>
      <c r="C995" s="122"/>
      <c r="D995" s="28"/>
      <c r="E995" s="174"/>
      <c r="F995" s="28"/>
      <c r="G995" s="28"/>
      <c r="H995" s="28"/>
      <c r="I995" s="28"/>
      <c r="J995" s="28"/>
      <c r="K995" s="175"/>
      <c r="L995" s="175"/>
      <c r="M995" s="175"/>
    </row>
    <row r="996">
      <c r="A996" s="28"/>
      <c r="B996" s="122"/>
      <c r="C996" s="122"/>
      <c r="D996" s="28"/>
      <c r="E996" s="174"/>
      <c r="F996" s="28"/>
      <c r="G996" s="28"/>
      <c r="H996" s="28"/>
      <c r="I996" s="28"/>
      <c r="J996" s="28"/>
      <c r="K996" s="175"/>
      <c r="L996" s="175"/>
      <c r="M996" s="175"/>
    </row>
    <row r="997">
      <c r="A997" s="28"/>
      <c r="B997" s="122"/>
      <c r="C997" s="122"/>
      <c r="D997" s="28"/>
      <c r="E997" s="174"/>
      <c r="F997" s="28"/>
      <c r="G997" s="28"/>
      <c r="H997" s="28"/>
      <c r="I997" s="28"/>
      <c r="J997" s="28"/>
      <c r="K997" s="175"/>
      <c r="L997" s="175"/>
      <c r="M997" s="175"/>
    </row>
    <row r="998">
      <c r="A998" s="28"/>
      <c r="B998" s="122"/>
      <c r="C998" s="122"/>
      <c r="D998" s="28"/>
      <c r="E998" s="174"/>
      <c r="F998" s="28"/>
      <c r="G998" s="28"/>
      <c r="H998" s="28"/>
      <c r="I998" s="28"/>
      <c r="J998" s="28"/>
      <c r="K998" s="175"/>
      <c r="L998" s="175"/>
      <c r="M998" s="175"/>
    </row>
    <row r="999">
      <c r="A999" s="28"/>
      <c r="B999" s="122"/>
      <c r="C999" s="122"/>
      <c r="D999" s="28"/>
      <c r="E999" s="174"/>
      <c r="F999" s="28"/>
      <c r="G999" s="28"/>
      <c r="H999" s="28"/>
      <c r="I999" s="28"/>
      <c r="J999" s="28"/>
      <c r="K999" s="175"/>
      <c r="L999" s="175"/>
      <c r="M999" s="175"/>
    </row>
    <row r="1000">
      <c r="A1000" s="28"/>
      <c r="B1000" s="122"/>
      <c r="C1000" s="122"/>
      <c r="D1000" s="28"/>
      <c r="E1000" s="174"/>
      <c r="F1000" s="28"/>
      <c r="G1000" s="28"/>
      <c r="H1000" s="28"/>
      <c r="I1000" s="28"/>
      <c r="J1000" s="28"/>
      <c r="K1000" s="175"/>
      <c r="L1000" s="175"/>
      <c r="M1000" s="175"/>
    </row>
    <row r="1001">
      <c r="A1001" s="28"/>
      <c r="B1001" s="122"/>
      <c r="C1001" s="122"/>
      <c r="D1001" s="28"/>
      <c r="E1001" s="174"/>
      <c r="F1001" s="28"/>
      <c r="G1001" s="28"/>
      <c r="H1001" s="28"/>
      <c r="I1001" s="28"/>
      <c r="J1001" s="28"/>
      <c r="K1001" s="175"/>
      <c r="L1001" s="175"/>
      <c r="M1001" s="175"/>
    </row>
    <row r="1002">
      <c r="A1002" s="28"/>
      <c r="B1002" s="122"/>
      <c r="C1002" s="122"/>
      <c r="D1002" s="28"/>
      <c r="E1002" s="174"/>
      <c r="F1002" s="28"/>
      <c r="G1002" s="28"/>
      <c r="H1002" s="28"/>
      <c r="I1002" s="28"/>
      <c r="J1002" s="28"/>
      <c r="K1002" s="175"/>
      <c r="L1002" s="175"/>
      <c r="M1002" s="175"/>
    </row>
    <row r="1003">
      <c r="A1003" s="28"/>
      <c r="B1003" s="122"/>
      <c r="C1003" s="122"/>
      <c r="D1003" s="28"/>
      <c r="E1003" s="174"/>
      <c r="F1003" s="28"/>
      <c r="G1003" s="28"/>
      <c r="H1003" s="28"/>
      <c r="I1003" s="28"/>
      <c r="J1003" s="28"/>
      <c r="K1003" s="175"/>
      <c r="L1003" s="175"/>
      <c r="M1003" s="175"/>
    </row>
    <row r="1004">
      <c r="A1004" s="28"/>
      <c r="B1004" s="122"/>
      <c r="C1004" s="122"/>
      <c r="D1004" s="28"/>
      <c r="E1004" s="174"/>
      <c r="F1004" s="28"/>
      <c r="G1004" s="28"/>
      <c r="H1004" s="28"/>
      <c r="I1004" s="28"/>
      <c r="J1004" s="28"/>
      <c r="K1004" s="175"/>
      <c r="L1004" s="175"/>
      <c r="M1004" s="175"/>
    </row>
    <row r="1005">
      <c r="A1005" s="28"/>
      <c r="B1005" s="122"/>
      <c r="C1005" s="122"/>
      <c r="D1005" s="28"/>
      <c r="E1005" s="174"/>
      <c r="F1005" s="28"/>
      <c r="G1005" s="28"/>
      <c r="H1005" s="28"/>
      <c r="I1005" s="28"/>
      <c r="J1005" s="28"/>
      <c r="K1005" s="175"/>
      <c r="L1005" s="175"/>
      <c r="M1005" s="175"/>
    </row>
    <row r="1006">
      <c r="A1006" s="28"/>
      <c r="B1006" s="122"/>
      <c r="C1006" s="122"/>
      <c r="D1006" s="28"/>
      <c r="E1006" s="174"/>
      <c r="F1006" s="28"/>
      <c r="G1006" s="28"/>
      <c r="H1006" s="28"/>
      <c r="I1006" s="28"/>
      <c r="J1006" s="28"/>
      <c r="K1006" s="175"/>
      <c r="L1006" s="175"/>
      <c r="M1006" s="175"/>
    </row>
    <row r="1007">
      <c r="A1007" s="28"/>
      <c r="B1007" s="122"/>
      <c r="C1007" s="122"/>
      <c r="D1007" s="28"/>
      <c r="E1007" s="174"/>
      <c r="F1007" s="28"/>
      <c r="G1007" s="28"/>
      <c r="H1007" s="28"/>
      <c r="I1007" s="28"/>
      <c r="J1007" s="28"/>
      <c r="K1007" s="175"/>
      <c r="L1007" s="175"/>
      <c r="M1007" s="175"/>
    </row>
    <row r="1008">
      <c r="A1008" s="28"/>
      <c r="B1008" s="122"/>
      <c r="C1008" s="122"/>
      <c r="D1008" s="28"/>
      <c r="E1008" s="174"/>
      <c r="F1008" s="28"/>
      <c r="G1008" s="28"/>
      <c r="H1008" s="28"/>
      <c r="I1008" s="28"/>
      <c r="J1008" s="28"/>
      <c r="K1008" s="175"/>
      <c r="L1008" s="175"/>
      <c r="M1008" s="175"/>
    </row>
    <row r="1009">
      <c r="A1009" s="28"/>
      <c r="B1009" s="122"/>
      <c r="C1009" s="122"/>
      <c r="D1009" s="28"/>
      <c r="E1009" s="174"/>
      <c r="F1009" s="28"/>
      <c r="G1009" s="28"/>
      <c r="H1009" s="28"/>
      <c r="I1009" s="28"/>
      <c r="J1009" s="28"/>
      <c r="K1009" s="175"/>
      <c r="L1009" s="175"/>
      <c r="M1009" s="175"/>
    </row>
    <row r="1010">
      <c r="A1010" s="28"/>
      <c r="B1010" s="122"/>
      <c r="C1010" s="122"/>
      <c r="D1010" s="28"/>
      <c r="E1010" s="174"/>
      <c r="F1010" s="28"/>
      <c r="G1010" s="28"/>
      <c r="H1010" s="28"/>
      <c r="I1010" s="28"/>
      <c r="J1010" s="28"/>
      <c r="K1010" s="175"/>
      <c r="L1010" s="175"/>
      <c r="M1010" s="175"/>
    </row>
    <row r="1011">
      <c r="A1011" s="28"/>
      <c r="B1011" s="122"/>
      <c r="C1011" s="122"/>
      <c r="D1011" s="28"/>
      <c r="E1011" s="174"/>
      <c r="F1011" s="28"/>
      <c r="G1011" s="28"/>
      <c r="H1011" s="28"/>
      <c r="I1011" s="28"/>
      <c r="J1011" s="28"/>
      <c r="K1011" s="175"/>
      <c r="L1011" s="175"/>
      <c r="M1011" s="175"/>
    </row>
    <row r="1012">
      <c r="A1012" s="28"/>
      <c r="B1012" s="122"/>
      <c r="C1012" s="122"/>
      <c r="D1012" s="28"/>
      <c r="E1012" s="174"/>
      <c r="F1012" s="28"/>
      <c r="G1012" s="28"/>
      <c r="H1012" s="28"/>
      <c r="I1012" s="28"/>
      <c r="J1012" s="28"/>
      <c r="K1012" s="175"/>
      <c r="L1012" s="175"/>
      <c r="M1012" s="175"/>
    </row>
    <row r="1013">
      <c r="A1013" s="28"/>
      <c r="B1013" s="122"/>
      <c r="C1013" s="122"/>
      <c r="D1013" s="28"/>
      <c r="E1013" s="174"/>
      <c r="F1013" s="28"/>
      <c r="G1013" s="28"/>
      <c r="H1013" s="28"/>
      <c r="I1013" s="28"/>
      <c r="J1013" s="28"/>
      <c r="K1013" s="175"/>
      <c r="L1013" s="175"/>
      <c r="M1013" s="175"/>
    </row>
    <row r="1014">
      <c r="A1014" s="28"/>
      <c r="B1014" s="122"/>
      <c r="C1014" s="122"/>
      <c r="D1014" s="28"/>
      <c r="E1014" s="174"/>
      <c r="F1014" s="28"/>
      <c r="G1014" s="28"/>
      <c r="H1014" s="28"/>
      <c r="I1014" s="28"/>
      <c r="J1014" s="28"/>
      <c r="K1014" s="175"/>
      <c r="L1014" s="175"/>
      <c r="M1014" s="175"/>
    </row>
    <row r="1015">
      <c r="A1015" s="28"/>
      <c r="B1015" s="122"/>
      <c r="C1015" s="122"/>
      <c r="D1015" s="28"/>
      <c r="E1015" s="174"/>
      <c r="F1015" s="28"/>
      <c r="G1015" s="28"/>
      <c r="H1015" s="28"/>
      <c r="I1015" s="28"/>
      <c r="J1015" s="28"/>
      <c r="K1015" s="175"/>
      <c r="L1015" s="175"/>
      <c r="M1015" s="175"/>
    </row>
    <row r="1016">
      <c r="A1016" s="28"/>
      <c r="B1016" s="122"/>
      <c r="C1016" s="122"/>
      <c r="D1016" s="28"/>
      <c r="E1016" s="174"/>
      <c r="F1016" s="28"/>
      <c r="G1016" s="28"/>
      <c r="H1016" s="28"/>
      <c r="I1016" s="28"/>
      <c r="J1016" s="28"/>
      <c r="K1016" s="175"/>
      <c r="L1016" s="175"/>
      <c r="M1016" s="175"/>
    </row>
    <row r="1017">
      <c r="A1017" s="28"/>
      <c r="B1017" s="122"/>
      <c r="C1017" s="122"/>
      <c r="D1017" s="28"/>
      <c r="E1017" s="174"/>
      <c r="F1017" s="28"/>
      <c r="G1017" s="28"/>
      <c r="H1017" s="28"/>
      <c r="I1017" s="28"/>
      <c r="J1017" s="28"/>
      <c r="K1017" s="175"/>
      <c r="L1017" s="175"/>
      <c r="M1017" s="175"/>
    </row>
    <row r="1018">
      <c r="A1018" s="28"/>
      <c r="B1018" s="122"/>
      <c r="C1018" s="122"/>
      <c r="D1018" s="28"/>
      <c r="E1018" s="174"/>
      <c r="F1018" s="28"/>
      <c r="G1018" s="28"/>
      <c r="H1018" s="28"/>
      <c r="I1018" s="28"/>
      <c r="J1018" s="28"/>
      <c r="K1018" s="175"/>
      <c r="L1018" s="175"/>
      <c r="M1018" s="175"/>
    </row>
    <row r="1019">
      <c r="A1019" s="28"/>
      <c r="B1019" s="122"/>
      <c r="C1019" s="122"/>
      <c r="D1019" s="28"/>
      <c r="E1019" s="174"/>
      <c r="F1019" s="28"/>
      <c r="G1019" s="28"/>
      <c r="H1019" s="28"/>
      <c r="I1019" s="28"/>
      <c r="J1019" s="28"/>
      <c r="K1019" s="175"/>
      <c r="L1019" s="175"/>
      <c r="M1019" s="175"/>
    </row>
    <row r="1020">
      <c r="A1020" s="28"/>
      <c r="B1020" s="122"/>
      <c r="C1020" s="122"/>
      <c r="D1020" s="28"/>
      <c r="E1020" s="174"/>
      <c r="F1020" s="28"/>
      <c r="G1020" s="28"/>
      <c r="H1020" s="28"/>
      <c r="I1020" s="28"/>
      <c r="J1020" s="28"/>
      <c r="K1020" s="175"/>
      <c r="L1020" s="175"/>
      <c r="M1020" s="175"/>
    </row>
    <row r="1021">
      <c r="A1021" s="28"/>
      <c r="B1021" s="122"/>
      <c r="C1021" s="122"/>
      <c r="D1021" s="28"/>
      <c r="E1021" s="174"/>
      <c r="F1021" s="28"/>
      <c r="G1021" s="28"/>
      <c r="H1021" s="28"/>
      <c r="I1021" s="28"/>
      <c r="J1021" s="28"/>
      <c r="K1021" s="175"/>
      <c r="L1021" s="175"/>
      <c r="M1021" s="175"/>
    </row>
    <row r="1022">
      <c r="A1022" s="28"/>
      <c r="B1022" s="122"/>
      <c r="C1022" s="122"/>
      <c r="D1022" s="28"/>
      <c r="E1022" s="174"/>
      <c r="F1022" s="28"/>
      <c r="G1022" s="28"/>
      <c r="H1022" s="28"/>
      <c r="I1022" s="28"/>
      <c r="J1022" s="28"/>
      <c r="K1022" s="175"/>
      <c r="L1022" s="175"/>
      <c r="M1022" s="175"/>
    </row>
    <row r="1023">
      <c r="A1023" s="28"/>
      <c r="B1023" s="122"/>
      <c r="C1023" s="122"/>
      <c r="D1023" s="28"/>
      <c r="E1023" s="174"/>
      <c r="F1023" s="28"/>
      <c r="G1023" s="28"/>
      <c r="H1023" s="28"/>
      <c r="I1023" s="28"/>
      <c r="J1023" s="28"/>
      <c r="K1023" s="175"/>
      <c r="L1023" s="175"/>
      <c r="M1023" s="175"/>
    </row>
    <row r="1024">
      <c r="A1024" s="28"/>
      <c r="B1024" s="122"/>
      <c r="C1024" s="122"/>
      <c r="D1024" s="28"/>
      <c r="E1024" s="174"/>
      <c r="F1024" s="28"/>
      <c r="G1024" s="28"/>
      <c r="H1024" s="28"/>
      <c r="I1024" s="28"/>
      <c r="J1024" s="28"/>
      <c r="K1024" s="175"/>
      <c r="L1024" s="175"/>
      <c r="M1024" s="175"/>
    </row>
    <row r="1025">
      <c r="A1025" s="28"/>
      <c r="B1025" s="122"/>
      <c r="C1025" s="122"/>
      <c r="D1025" s="28"/>
      <c r="E1025" s="174"/>
      <c r="F1025" s="28"/>
      <c r="G1025" s="28"/>
      <c r="H1025" s="28"/>
      <c r="I1025" s="28"/>
      <c r="J1025" s="28"/>
      <c r="K1025" s="175"/>
      <c r="L1025" s="175"/>
      <c r="M1025" s="175"/>
    </row>
    <row r="1026">
      <c r="A1026" s="28"/>
      <c r="B1026" s="122"/>
      <c r="C1026" s="122"/>
      <c r="D1026" s="28"/>
      <c r="E1026" s="174"/>
      <c r="F1026" s="28"/>
      <c r="G1026" s="28"/>
      <c r="H1026" s="28"/>
      <c r="I1026" s="28"/>
      <c r="J1026" s="28"/>
      <c r="K1026" s="175"/>
      <c r="L1026" s="175"/>
      <c r="M1026" s="175"/>
    </row>
    <row r="1027">
      <c r="A1027" s="28"/>
      <c r="B1027" s="122"/>
      <c r="C1027" s="122"/>
      <c r="D1027" s="28"/>
      <c r="E1027" s="174"/>
      <c r="F1027" s="28"/>
      <c r="G1027" s="28"/>
      <c r="H1027" s="28"/>
      <c r="I1027" s="28"/>
      <c r="J1027" s="28"/>
      <c r="K1027" s="175"/>
      <c r="L1027" s="175"/>
      <c r="M1027" s="175"/>
    </row>
    <row r="1028">
      <c r="A1028" s="28"/>
      <c r="B1028" s="122"/>
      <c r="C1028" s="122"/>
      <c r="D1028" s="28"/>
      <c r="E1028" s="174"/>
      <c r="F1028" s="28"/>
      <c r="G1028" s="28"/>
      <c r="H1028" s="28"/>
      <c r="I1028" s="28"/>
      <c r="J1028" s="28"/>
      <c r="K1028" s="175"/>
      <c r="L1028" s="175"/>
      <c r="M1028" s="175"/>
    </row>
    <row r="1029">
      <c r="A1029" s="28"/>
      <c r="B1029" s="122"/>
      <c r="C1029" s="122"/>
      <c r="D1029" s="28"/>
      <c r="E1029" s="174"/>
      <c r="F1029" s="28"/>
      <c r="G1029" s="28"/>
      <c r="H1029" s="28"/>
      <c r="I1029" s="28"/>
      <c r="J1029" s="28"/>
      <c r="K1029" s="175"/>
      <c r="L1029" s="175"/>
      <c r="M1029" s="175"/>
    </row>
    <row r="1030">
      <c r="A1030" s="28"/>
      <c r="B1030" s="122"/>
      <c r="C1030" s="122"/>
      <c r="D1030" s="28"/>
      <c r="E1030" s="174"/>
      <c r="F1030" s="28"/>
      <c r="G1030" s="28"/>
      <c r="H1030" s="28"/>
      <c r="I1030" s="28"/>
      <c r="J1030" s="28"/>
      <c r="K1030" s="175"/>
      <c r="L1030" s="175"/>
      <c r="M1030" s="175"/>
    </row>
    <row r="1031">
      <c r="A1031" s="28"/>
      <c r="B1031" s="122"/>
      <c r="C1031" s="122"/>
      <c r="D1031" s="28"/>
      <c r="E1031" s="174"/>
      <c r="F1031" s="28"/>
      <c r="G1031" s="28"/>
      <c r="H1031" s="28"/>
      <c r="I1031" s="28"/>
      <c r="J1031" s="28"/>
      <c r="K1031" s="175"/>
      <c r="L1031" s="175"/>
      <c r="M1031" s="175"/>
    </row>
    <row r="1032">
      <c r="A1032" s="28"/>
      <c r="B1032" s="122"/>
      <c r="C1032" s="122"/>
      <c r="D1032" s="28"/>
      <c r="E1032" s="174"/>
      <c r="F1032" s="28"/>
      <c r="G1032" s="28"/>
      <c r="H1032" s="28"/>
      <c r="I1032" s="28"/>
      <c r="J1032" s="28"/>
      <c r="K1032" s="175"/>
      <c r="L1032" s="175"/>
      <c r="M1032" s="175"/>
    </row>
    <row r="1033">
      <c r="A1033" s="28"/>
      <c r="B1033" s="122"/>
      <c r="C1033" s="122"/>
      <c r="D1033" s="28"/>
      <c r="E1033" s="174"/>
      <c r="F1033" s="28"/>
      <c r="G1033" s="28"/>
      <c r="H1033" s="28"/>
      <c r="I1033" s="28"/>
      <c r="J1033" s="28"/>
      <c r="K1033" s="175"/>
      <c r="L1033" s="175"/>
      <c r="M1033" s="175"/>
    </row>
    <row r="1034">
      <c r="A1034" s="28"/>
      <c r="B1034" s="122"/>
      <c r="C1034" s="122"/>
      <c r="D1034" s="28"/>
      <c r="E1034" s="174"/>
      <c r="F1034" s="28"/>
      <c r="G1034" s="28"/>
      <c r="H1034" s="28"/>
      <c r="I1034" s="28"/>
      <c r="J1034" s="28"/>
      <c r="K1034" s="175"/>
      <c r="L1034" s="175"/>
      <c r="M1034" s="175"/>
    </row>
    <row r="1035">
      <c r="A1035" s="28"/>
      <c r="B1035" s="122"/>
      <c r="C1035" s="122"/>
      <c r="D1035" s="28"/>
      <c r="E1035" s="174"/>
      <c r="F1035" s="28"/>
      <c r="G1035" s="28"/>
      <c r="H1035" s="28"/>
      <c r="I1035" s="28"/>
      <c r="J1035" s="28"/>
      <c r="K1035" s="175"/>
      <c r="L1035" s="175"/>
      <c r="M1035" s="175"/>
    </row>
    <row r="1036">
      <c r="A1036" s="28"/>
      <c r="B1036" s="122"/>
      <c r="C1036" s="122"/>
      <c r="D1036" s="28"/>
      <c r="E1036" s="174"/>
      <c r="F1036" s="28"/>
      <c r="G1036" s="28"/>
      <c r="H1036" s="28"/>
      <c r="I1036" s="28"/>
      <c r="J1036" s="28"/>
      <c r="K1036" s="175"/>
      <c r="L1036" s="175"/>
      <c r="M1036" s="175"/>
    </row>
    <row r="1037">
      <c r="A1037" s="28"/>
      <c r="B1037" s="122"/>
      <c r="C1037" s="122"/>
      <c r="D1037" s="28"/>
      <c r="E1037" s="174"/>
      <c r="F1037" s="28"/>
      <c r="G1037" s="28"/>
      <c r="H1037" s="28"/>
      <c r="I1037" s="28"/>
      <c r="J1037" s="28"/>
      <c r="K1037" s="175"/>
      <c r="L1037" s="175"/>
      <c r="M1037" s="175"/>
    </row>
    <row r="1038">
      <c r="A1038" s="28"/>
      <c r="B1038" s="122"/>
      <c r="C1038" s="122"/>
      <c r="D1038" s="28"/>
      <c r="E1038" s="174"/>
      <c r="F1038" s="28"/>
      <c r="G1038" s="28"/>
      <c r="H1038" s="28"/>
      <c r="I1038" s="28"/>
      <c r="J1038" s="28"/>
      <c r="K1038" s="175"/>
      <c r="L1038" s="175"/>
      <c r="M1038" s="175"/>
    </row>
    <row r="1039">
      <c r="A1039" s="28"/>
      <c r="B1039" s="122"/>
      <c r="C1039" s="122"/>
      <c r="D1039" s="28"/>
      <c r="E1039" s="174"/>
      <c r="F1039" s="28"/>
      <c r="G1039" s="28"/>
      <c r="H1039" s="28"/>
      <c r="I1039" s="28"/>
      <c r="J1039" s="28"/>
      <c r="K1039" s="175"/>
      <c r="L1039" s="175"/>
      <c r="M1039" s="175"/>
    </row>
    <row r="1040">
      <c r="A1040" s="28"/>
      <c r="B1040" s="122"/>
      <c r="C1040" s="122"/>
      <c r="D1040" s="28"/>
      <c r="E1040" s="174"/>
      <c r="F1040" s="28"/>
      <c r="G1040" s="28"/>
      <c r="H1040" s="28"/>
      <c r="I1040" s="28"/>
      <c r="J1040" s="28"/>
      <c r="K1040" s="175"/>
      <c r="L1040" s="175"/>
      <c r="M1040" s="175"/>
    </row>
    <row r="1041">
      <c r="A1041" s="28"/>
      <c r="B1041" s="122"/>
      <c r="C1041" s="122"/>
      <c r="D1041" s="28"/>
      <c r="E1041" s="174"/>
      <c r="F1041" s="28"/>
      <c r="G1041" s="28"/>
      <c r="H1041" s="28"/>
      <c r="I1041" s="28"/>
      <c r="J1041" s="28"/>
      <c r="K1041" s="175"/>
      <c r="L1041" s="175"/>
      <c r="M1041" s="175"/>
    </row>
    <row r="1042">
      <c r="A1042" s="28"/>
      <c r="B1042" s="122"/>
      <c r="C1042" s="122"/>
      <c r="D1042" s="28"/>
      <c r="E1042" s="174"/>
      <c r="F1042" s="28"/>
      <c r="G1042" s="28"/>
      <c r="H1042" s="28"/>
      <c r="I1042" s="28"/>
      <c r="J1042" s="28"/>
      <c r="K1042" s="175"/>
      <c r="L1042" s="175"/>
      <c r="M1042" s="175"/>
    </row>
    <row r="1043">
      <c r="A1043" s="28"/>
      <c r="B1043" s="122"/>
      <c r="C1043" s="122"/>
      <c r="D1043" s="28"/>
      <c r="E1043" s="174"/>
      <c r="F1043" s="28"/>
      <c r="G1043" s="28"/>
      <c r="H1043" s="28"/>
      <c r="I1043" s="28"/>
      <c r="J1043" s="28"/>
      <c r="K1043" s="175"/>
      <c r="L1043" s="175"/>
      <c r="M1043" s="175"/>
    </row>
    <row r="1044">
      <c r="A1044" s="28"/>
      <c r="B1044" s="122"/>
      <c r="C1044" s="122"/>
      <c r="D1044" s="28"/>
      <c r="E1044" s="174"/>
      <c r="F1044" s="28"/>
      <c r="G1044" s="28"/>
      <c r="H1044" s="28"/>
      <c r="I1044" s="28"/>
      <c r="J1044" s="28"/>
      <c r="K1044" s="175"/>
      <c r="L1044" s="175"/>
      <c r="M1044" s="175"/>
    </row>
    <row r="1045">
      <c r="A1045" s="28"/>
      <c r="B1045" s="122"/>
      <c r="C1045" s="122"/>
      <c r="D1045" s="28"/>
      <c r="E1045" s="174"/>
      <c r="F1045" s="28"/>
      <c r="G1045" s="28"/>
      <c r="H1045" s="28"/>
      <c r="I1045" s="28"/>
      <c r="J1045" s="28"/>
      <c r="K1045" s="175"/>
      <c r="L1045" s="175"/>
      <c r="M1045" s="175"/>
    </row>
    <row r="1046">
      <c r="A1046" s="28"/>
      <c r="B1046" s="122"/>
      <c r="C1046" s="122"/>
      <c r="D1046" s="28"/>
      <c r="E1046" s="174"/>
      <c r="F1046" s="28"/>
      <c r="G1046" s="28"/>
      <c r="H1046" s="28"/>
      <c r="I1046" s="28"/>
      <c r="J1046" s="28"/>
      <c r="K1046" s="175"/>
      <c r="L1046" s="175"/>
      <c r="M1046" s="175"/>
    </row>
    <row r="1047">
      <c r="A1047" s="28"/>
      <c r="B1047" s="122"/>
      <c r="C1047" s="122"/>
      <c r="D1047" s="28"/>
      <c r="E1047" s="174"/>
      <c r="F1047" s="28"/>
      <c r="G1047" s="28"/>
      <c r="H1047" s="28"/>
      <c r="I1047" s="28"/>
      <c r="J1047" s="28"/>
      <c r="K1047" s="175"/>
      <c r="L1047" s="175"/>
      <c r="M1047" s="175"/>
    </row>
    <row r="1048">
      <c r="A1048" s="28"/>
      <c r="B1048" s="122"/>
      <c r="C1048" s="122"/>
      <c r="D1048" s="28"/>
      <c r="E1048" s="174"/>
      <c r="F1048" s="28"/>
      <c r="G1048" s="28"/>
      <c r="H1048" s="28"/>
      <c r="I1048" s="28"/>
      <c r="J1048" s="28"/>
      <c r="K1048" s="175"/>
      <c r="L1048" s="175"/>
      <c r="M1048" s="175"/>
    </row>
    <row r="1049">
      <c r="A1049" s="28"/>
      <c r="B1049" s="122"/>
      <c r="C1049" s="122"/>
      <c r="D1049" s="28"/>
      <c r="E1049" s="174"/>
      <c r="F1049" s="28"/>
      <c r="G1049" s="28"/>
      <c r="H1049" s="28"/>
      <c r="I1049" s="28"/>
      <c r="J1049" s="28"/>
      <c r="K1049" s="175"/>
      <c r="L1049" s="175"/>
      <c r="M1049" s="175"/>
    </row>
    <row r="1050">
      <c r="A1050" s="28"/>
      <c r="B1050" s="122"/>
      <c r="C1050" s="122"/>
      <c r="D1050" s="28"/>
      <c r="E1050" s="174"/>
      <c r="F1050" s="28"/>
      <c r="G1050" s="28"/>
      <c r="H1050" s="28"/>
      <c r="I1050" s="28"/>
      <c r="J1050" s="28"/>
      <c r="K1050" s="175"/>
      <c r="L1050" s="175"/>
      <c r="M1050" s="175"/>
    </row>
    <row r="1051">
      <c r="A1051" s="28"/>
      <c r="B1051" s="122"/>
      <c r="C1051" s="122"/>
      <c r="D1051" s="28"/>
      <c r="E1051" s="174"/>
      <c r="F1051" s="28"/>
      <c r="G1051" s="28"/>
      <c r="H1051" s="28"/>
      <c r="I1051" s="28"/>
      <c r="J1051" s="28"/>
      <c r="K1051" s="175"/>
      <c r="L1051" s="175"/>
      <c r="M1051" s="175"/>
    </row>
    <row r="1052">
      <c r="A1052" s="28"/>
      <c r="B1052" s="122"/>
      <c r="C1052" s="122"/>
      <c r="D1052" s="28"/>
      <c r="E1052" s="174"/>
      <c r="F1052" s="28"/>
      <c r="G1052" s="28"/>
      <c r="H1052" s="28"/>
      <c r="I1052" s="28"/>
      <c r="J1052" s="28"/>
      <c r="K1052" s="175"/>
      <c r="L1052" s="175"/>
      <c r="M1052" s="175"/>
    </row>
    <row r="1053">
      <c r="A1053" s="28"/>
      <c r="B1053" s="122"/>
      <c r="C1053" s="122"/>
      <c r="D1053" s="28"/>
      <c r="E1053" s="174"/>
      <c r="F1053" s="28"/>
      <c r="G1053" s="28"/>
      <c r="H1053" s="28"/>
      <c r="I1053" s="28"/>
      <c r="J1053" s="28"/>
      <c r="K1053" s="175"/>
      <c r="L1053" s="175"/>
      <c r="M1053" s="175"/>
    </row>
    <row r="1054">
      <c r="A1054" s="28"/>
      <c r="B1054" s="122"/>
      <c r="C1054" s="122"/>
      <c r="D1054" s="28"/>
      <c r="E1054" s="174"/>
      <c r="F1054" s="28"/>
      <c r="G1054" s="28"/>
      <c r="H1054" s="28"/>
      <c r="I1054" s="28"/>
      <c r="J1054" s="28"/>
      <c r="K1054" s="175"/>
      <c r="L1054" s="175"/>
      <c r="M1054" s="175"/>
    </row>
    <row r="1055">
      <c r="A1055" s="28"/>
      <c r="B1055" s="122"/>
      <c r="C1055" s="122"/>
      <c r="D1055" s="28"/>
      <c r="E1055" s="174"/>
      <c r="F1055" s="28"/>
      <c r="G1055" s="28"/>
      <c r="H1055" s="28"/>
      <c r="I1055" s="28"/>
      <c r="J1055" s="28"/>
      <c r="K1055" s="175"/>
      <c r="L1055" s="175"/>
      <c r="M1055" s="175"/>
    </row>
    <row r="1056">
      <c r="A1056" s="28"/>
      <c r="B1056" s="122"/>
      <c r="C1056" s="122"/>
      <c r="D1056" s="28"/>
      <c r="E1056" s="174"/>
      <c r="F1056" s="28"/>
      <c r="G1056" s="28"/>
      <c r="H1056" s="28"/>
      <c r="I1056" s="28"/>
      <c r="J1056" s="28"/>
      <c r="K1056" s="175"/>
      <c r="L1056" s="175"/>
      <c r="M1056" s="175"/>
    </row>
    <row r="1057">
      <c r="A1057" s="28"/>
      <c r="B1057" s="122"/>
      <c r="C1057" s="122"/>
      <c r="D1057" s="28"/>
      <c r="E1057" s="174"/>
      <c r="F1057" s="28"/>
      <c r="G1057" s="28"/>
      <c r="H1057" s="28"/>
      <c r="I1057" s="28"/>
      <c r="J1057" s="28"/>
      <c r="K1057" s="175"/>
      <c r="L1057" s="175"/>
      <c r="M1057" s="175"/>
    </row>
    <row r="1058">
      <c r="A1058" s="28"/>
      <c r="B1058" s="122"/>
      <c r="C1058" s="122"/>
      <c r="D1058" s="28"/>
      <c r="E1058" s="174"/>
      <c r="F1058" s="28"/>
      <c r="G1058" s="28"/>
      <c r="H1058" s="28"/>
      <c r="I1058" s="28"/>
      <c r="J1058" s="28"/>
      <c r="K1058" s="175"/>
      <c r="L1058" s="175"/>
      <c r="M1058" s="175"/>
    </row>
    <row r="1059">
      <c r="A1059" s="28"/>
      <c r="B1059" s="122"/>
      <c r="C1059" s="122"/>
      <c r="D1059" s="28"/>
      <c r="E1059" s="174"/>
      <c r="F1059" s="28"/>
      <c r="G1059" s="28"/>
      <c r="H1059" s="28"/>
      <c r="I1059" s="28"/>
      <c r="J1059" s="28"/>
      <c r="K1059" s="175"/>
      <c r="L1059" s="175"/>
      <c r="M1059" s="175"/>
    </row>
    <row r="1060">
      <c r="A1060" s="28"/>
      <c r="B1060" s="122"/>
      <c r="C1060" s="122"/>
      <c r="D1060" s="28"/>
      <c r="E1060" s="174"/>
      <c r="F1060" s="28"/>
      <c r="G1060" s="28"/>
      <c r="H1060" s="28"/>
      <c r="I1060" s="28"/>
      <c r="J1060" s="28"/>
      <c r="K1060" s="175"/>
      <c r="L1060" s="175"/>
      <c r="M1060" s="175"/>
    </row>
    <row r="1061">
      <c r="A1061" s="28"/>
      <c r="B1061" s="122"/>
      <c r="C1061" s="122"/>
      <c r="D1061" s="28"/>
      <c r="E1061" s="174"/>
      <c r="F1061" s="28"/>
      <c r="G1061" s="28"/>
      <c r="H1061" s="28"/>
      <c r="I1061" s="28"/>
      <c r="J1061" s="28"/>
      <c r="K1061" s="175"/>
      <c r="L1061" s="175"/>
      <c r="M1061" s="175"/>
    </row>
    <row r="1062">
      <c r="A1062" s="28"/>
      <c r="B1062" s="122"/>
      <c r="C1062" s="122"/>
      <c r="D1062" s="28"/>
      <c r="E1062" s="174"/>
      <c r="F1062" s="28"/>
      <c r="G1062" s="28"/>
      <c r="H1062" s="28"/>
      <c r="I1062" s="28"/>
      <c r="J1062" s="28"/>
      <c r="K1062" s="175"/>
      <c r="L1062" s="175"/>
      <c r="M1062" s="175"/>
    </row>
    <row r="1063">
      <c r="A1063" s="28"/>
      <c r="B1063" s="122"/>
      <c r="C1063" s="122"/>
      <c r="D1063" s="28"/>
      <c r="E1063" s="174"/>
      <c r="F1063" s="28"/>
      <c r="G1063" s="28"/>
      <c r="H1063" s="28"/>
      <c r="I1063" s="28"/>
      <c r="J1063" s="28"/>
      <c r="K1063" s="175"/>
      <c r="L1063" s="175"/>
      <c r="M1063" s="175"/>
    </row>
    <row r="1064">
      <c r="A1064" s="28"/>
      <c r="B1064" s="122"/>
      <c r="C1064" s="122"/>
      <c r="D1064" s="28"/>
      <c r="E1064" s="174"/>
      <c r="F1064" s="28"/>
      <c r="G1064" s="28"/>
      <c r="H1064" s="28"/>
      <c r="I1064" s="28"/>
      <c r="J1064" s="28"/>
      <c r="K1064" s="175"/>
      <c r="L1064" s="175"/>
      <c r="M1064" s="175"/>
    </row>
    <row r="1065">
      <c r="A1065" s="28"/>
      <c r="B1065" s="122"/>
      <c r="C1065" s="122"/>
      <c r="D1065" s="28"/>
      <c r="E1065" s="174"/>
      <c r="F1065" s="28"/>
      <c r="G1065" s="28"/>
      <c r="H1065" s="28"/>
      <c r="I1065" s="28"/>
      <c r="J1065" s="28"/>
      <c r="K1065" s="175"/>
      <c r="L1065" s="175"/>
      <c r="M1065" s="175"/>
    </row>
    <row r="1066">
      <c r="A1066" s="28"/>
      <c r="B1066" s="122"/>
      <c r="C1066" s="122"/>
      <c r="D1066" s="28"/>
      <c r="E1066" s="174"/>
      <c r="F1066" s="28"/>
      <c r="G1066" s="28"/>
      <c r="H1066" s="28"/>
      <c r="I1066" s="28"/>
      <c r="J1066" s="28"/>
      <c r="K1066" s="175"/>
      <c r="L1066" s="175"/>
      <c r="M1066" s="175"/>
    </row>
    <row r="1067">
      <c r="A1067" s="28"/>
      <c r="B1067" s="122"/>
      <c r="C1067" s="122"/>
      <c r="D1067" s="28"/>
      <c r="E1067" s="174"/>
      <c r="F1067" s="28"/>
      <c r="G1067" s="28"/>
      <c r="H1067" s="28"/>
      <c r="I1067" s="28"/>
      <c r="J1067" s="28"/>
      <c r="K1067" s="175"/>
      <c r="L1067" s="175"/>
      <c r="M1067" s="175"/>
    </row>
    <row r="1068">
      <c r="A1068" s="28"/>
      <c r="B1068" s="122"/>
      <c r="C1068" s="122"/>
      <c r="D1068" s="28"/>
      <c r="E1068" s="174"/>
      <c r="F1068" s="28"/>
      <c r="G1068" s="28"/>
      <c r="H1068" s="28"/>
      <c r="I1068" s="28"/>
      <c r="J1068" s="28"/>
      <c r="K1068" s="175"/>
      <c r="L1068" s="175"/>
      <c r="M1068" s="175"/>
    </row>
    <row r="1069">
      <c r="A1069" s="28"/>
      <c r="B1069" s="122"/>
      <c r="C1069" s="122"/>
      <c r="D1069" s="28"/>
      <c r="E1069" s="174"/>
      <c r="F1069" s="28"/>
      <c r="G1069" s="28"/>
      <c r="H1069" s="28"/>
      <c r="I1069" s="28"/>
      <c r="J1069" s="28"/>
      <c r="K1069" s="175"/>
      <c r="L1069" s="175"/>
      <c r="M1069" s="175"/>
    </row>
    <row r="1070">
      <c r="A1070" s="28"/>
      <c r="B1070" s="122"/>
      <c r="C1070" s="122"/>
      <c r="D1070" s="28"/>
      <c r="E1070" s="174"/>
      <c r="F1070" s="28"/>
      <c r="G1070" s="28"/>
      <c r="H1070" s="28"/>
      <c r="I1070" s="28"/>
      <c r="J1070" s="28"/>
      <c r="K1070" s="175"/>
      <c r="L1070" s="175"/>
      <c r="M1070" s="175"/>
    </row>
    <row r="1071">
      <c r="A1071" s="28"/>
      <c r="B1071" s="122"/>
      <c r="C1071" s="122"/>
      <c r="D1071" s="28"/>
      <c r="E1071" s="174"/>
      <c r="F1071" s="28"/>
      <c r="G1071" s="28"/>
      <c r="H1071" s="28"/>
      <c r="I1071" s="28"/>
      <c r="J1071" s="28"/>
      <c r="K1071" s="175"/>
      <c r="L1071" s="175"/>
      <c r="M1071" s="175"/>
    </row>
    <row r="1072">
      <c r="A1072" s="28"/>
      <c r="B1072" s="122"/>
      <c r="C1072" s="122"/>
      <c r="D1072" s="28"/>
      <c r="E1072" s="174"/>
      <c r="F1072" s="28"/>
      <c r="G1072" s="28"/>
      <c r="H1072" s="28"/>
      <c r="I1072" s="28"/>
      <c r="J1072" s="28"/>
      <c r="K1072" s="175"/>
      <c r="L1072" s="175"/>
      <c r="M1072" s="175"/>
    </row>
    <row r="1073">
      <c r="A1073" s="28"/>
      <c r="B1073" s="122"/>
      <c r="C1073" s="122"/>
      <c r="D1073" s="28"/>
      <c r="E1073" s="174"/>
      <c r="F1073" s="28"/>
      <c r="G1073" s="28"/>
      <c r="H1073" s="28"/>
      <c r="I1073" s="28"/>
      <c r="J1073" s="28"/>
      <c r="K1073" s="175"/>
      <c r="L1073" s="175"/>
      <c r="M1073" s="175"/>
    </row>
    <row r="1074">
      <c r="A1074" s="28"/>
      <c r="B1074" s="122"/>
      <c r="C1074" s="122"/>
      <c r="D1074" s="28"/>
      <c r="E1074" s="174"/>
      <c r="F1074" s="28"/>
      <c r="G1074" s="28"/>
      <c r="H1074" s="28"/>
      <c r="I1074" s="28"/>
      <c r="J1074" s="28"/>
      <c r="K1074" s="175"/>
      <c r="L1074" s="175"/>
      <c r="M1074" s="175"/>
    </row>
    <row r="1075">
      <c r="A1075" s="28"/>
      <c r="B1075" s="122"/>
      <c r="C1075" s="122"/>
      <c r="D1075" s="28"/>
      <c r="E1075" s="174"/>
      <c r="F1075" s="28"/>
      <c r="G1075" s="28"/>
      <c r="H1075" s="28"/>
      <c r="I1075" s="28"/>
      <c r="J1075" s="28"/>
      <c r="K1075" s="175"/>
      <c r="L1075" s="175"/>
      <c r="M1075" s="175"/>
    </row>
    <row r="1076">
      <c r="A1076" s="28"/>
      <c r="B1076" s="122"/>
      <c r="C1076" s="122"/>
      <c r="D1076" s="28"/>
      <c r="E1076" s="174"/>
      <c r="F1076" s="28"/>
      <c r="G1076" s="28"/>
      <c r="H1076" s="28"/>
      <c r="I1076" s="28"/>
      <c r="J1076" s="28"/>
      <c r="K1076" s="175"/>
      <c r="L1076" s="175"/>
      <c r="M1076" s="175"/>
    </row>
    <row r="1077">
      <c r="A1077" s="28"/>
      <c r="B1077" s="122"/>
      <c r="C1077" s="122"/>
      <c r="D1077" s="28"/>
      <c r="E1077" s="174"/>
      <c r="F1077" s="28"/>
      <c r="G1077" s="28"/>
      <c r="H1077" s="28"/>
      <c r="I1077" s="28"/>
      <c r="J1077" s="28"/>
      <c r="K1077" s="175"/>
      <c r="L1077" s="175"/>
      <c r="M1077" s="175"/>
    </row>
    <row r="1078">
      <c r="A1078" s="28"/>
      <c r="B1078" s="122"/>
      <c r="C1078" s="122"/>
      <c r="D1078" s="28"/>
      <c r="E1078" s="174"/>
      <c r="F1078" s="28"/>
      <c r="G1078" s="28"/>
      <c r="H1078" s="28"/>
      <c r="I1078" s="28"/>
      <c r="J1078" s="28"/>
      <c r="K1078" s="175"/>
      <c r="L1078" s="175"/>
      <c r="M1078" s="175"/>
    </row>
    <row r="1079">
      <c r="A1079" s="28"/>
      <c r="B1079" s="122"/>
      <c r="C1079" s="122"/>
      <c r="D1079" s="28"/>
      <c r="E1079" s="174"/>
      <c r="F1079" s="28"/>
      <c r="G1079" s="28"/>
      <c r="H1079" s="28"/>
      <c r="I1079" s="28"/>
      <c r="J1079" s="28"/>
      <c r="K1079" s="175"/>
      <c r="L1079" s="175"/>
      <c r="M1079" s="175"/>
    </row>
    <row r="1080">
      <c r="A1080" s="28"/>
      <c r="B1080" s="122"/>
      <c r="C1080" s="122"/>
      <c r="D1080" s="28"/>
      <c r="E1080" s="174"/>
      <c r="F1080" s="28"/>
      <c r="G1080" s="28"/>
      <c r="H1080" s="28"/>
      <c r="I1080" s="28"/>
      <c r="J1080" s="28"/>
      <c r="K1080" s="175"/>
      <c r="L1080" s="175"/>
      <c r="M1080" s="175"/>
    </row>
    <row r="1081">
      <c r="A1081" s="28"/>
      <c r="B1081" s="122"/>
      <c r="C1081" s="122"/>
      <c r="D1081" s="28"/>
      <c r="E1081" s="174"/>
      <c r="F1081" s="28"/>
      <c r="G1081" s="28"/>
      <c r="H1081" s="28"/>
      <c r="I1081" s="28"/>
      <c r="J1081" s="28"/>
      <c r="K1081" s="175"/>
      <c r="L1081" s="175"/>
      <c r="M1081" s="175"/>
    </row>
    <row r="1082">
      <c r="A1082" s="28"/>
      <c r="B1082" s="122"/>
      <c r="C1082" s="122"/>
      <c r="D1082" s="28"/>
      <c r="E1082" s="174"/>
      <c r="F1082" s="28"/>
      <c r="G1082" s="28"/>
      <c r="H1082" s="28"/>
      <c r="I1082" s="28"/>
      <c r="J1082" s="28"/>
      <c r="K1082" s="175"/>
      <c r="L1082" s="175"/>
      <c r="M1082" s="175"/>
    </row>
    <row r="1083">
      <c r="A1083" s="28"/>
      <c r="B1083" s="122"/>
      <c r="C1083" s="122"/>
      <c r="D1083" s="28"/>
      <c r="E1083" s="174"/>
      <c r="F1083" s="28"/>
      <c r="G1083" s="28"/>
      <c r="H1083" s="28"/>
      <c r="I1083" s="28"/>
      <c r="J1083" s="28"/>
      <c r="K1083" s="175"/>
      <c r="L1083" s="175"/>
      <c r="M1083" s="175"/>
    </row>
    <row r="1084">
      <c r="A1084" s="28"/>
      <c r="B1084" s="122"/>
      <c r="C1084" s="122"/>
      <c r="D1084" s="28"/>
      <c r="E1084" s="174"/>
      <c r="F1084" s="28"/>
      <c r="G1084" s="28"/>
      <c r="H1084" s="28"/>
      <c r="I1084" s="28"/>
      <c r="J1084" s="28"/>
      <c r="K1084" s="175"/>
      <c r="L1084" s="175"/>
      <c r="M1084" s="175"/>
    </row>
    <row r="1085">
      <c r="A1085" s="28"/>
      <c r="B1085" s="122"/>
      <c r="C1085" s="122"/>
      <c r="D1085" s="28"/>
      <c r="E1085" s="174"/>
      <c r="F1085" s="28"/>
      <c r="G1085" s="28"/>
      <c r="H1085" s="28"/>
      <c r="I1085" s="28"/>
      <c r="J1085" s="28"/>
      <c r="K1085" s="175"/>
      <c r="L1085" s="175"/>
      <c r="M1085" s="175"/>
    </row>
    <row r="1086">
      <c r="A1086" s="28"/>
      <c r="B1086" s="122"/>
      <c r="C1086" s="122"/>
      <c r="D1086" s="28"/>
      <c r="E1086" s="174"/>
      <c r="F1086" s="28"/>
      <c r="G1086" s="28"/>
      <c r="H1086" s="28"/>
      <c r="I1086" s="28"/>
      <c r="J1086" s="28"/>
      <c r="K1086" s="175"/>
      <c r="L1086" s="175"/>
      <c r="M1086" s="175"/>
    </row>
    <row r="1087">
      <c r="A1087" s="28"/>
      <c r="B1087" s="122"/>
      <c r="C1087" s="122"/>
      <c r="D1087" s="28"/>
      <c r="E1087" s="174"/>
      <c r="F1087" s="28"/>
      <c r="G1087" s="28"/>
      <c r="H1087" s="28"/>
      <c r="I1087" s="28"/>
      <c r="J1087" s="28"/>
      <c r="K1087" s="175"/>
      <c r="L1087" s="175"/>
      <c r="M1087" s="175"/>
    </row>
    <row r="1088">
      <c r="A1088" s="28"/>
      <c r="B1088" s="122"/>
      <c r="C1088" s="122"/>
      <c r="D1088" s="28"/>
      <c r="E1088" s="174"/>
      <c r="F1088" s="28"/>
      <c r="G1088" s="28"/>
      <c r="H1088" s="28"/>
      <c r="I1088" s="28"/>
      <c r="J1088" s="28"/>
      <c r="K1088" s="175"/>
      <c r="L1088" s="175"/>
      <c r="M1088" s="175"/>
    </row>
    <row r="1089">
      <c r="A1089" s="28"/>
      <c r="B1089" s="122"/>
      <c r="C1089" s="122"/>
      <c r="D1089" s="28"/>
      <c r="E1089" s="174"/>
      <c r="F1089" s="28"/>
      <c r="G1089" s="28"/>
      <c r="H1089" s="28"/>
      <c r="I1089" s="28"/>
      <c r="J1089" s="28"/>
      <c r="K1089" s="175"/>
      <c r="L1089" s="175"/>
      <c r="M1089" s="175"/>
    </row>
    <row r="1090">
      <c r="A1090" s="28"/>
      <c r="B1090" s="122"/>
      <c r="C1090" s="122"/>
      <c r="D1090" s="28"/>
      <c r="E1090" s="174"/>
      <c r="F1090" s="28"/>
      <c r="G1090" s="28"/>
      <c r="H1090" s="28"/>
      <c r="I1090" s="28"/>
      <c r="J1090" s="28"/>
      <c r="K1090" s="175"/>
      <c r="L1090" s="175"/>
      <c r="M1090" s="175"/>
    </row>
    <row r="1091">
      <c r="A1091" s="28"/>
      <c r="B1091" s="122"/>
      <c r="C1091" s="122"/>
      <c r="D1091" s="28"/>
      <c r="E1091" s="174"/>
      <c r="F1091" s="28"/>
      <c r="G1091" s="28"/>
      <c r="H1091" s="28"/>
      <c r="I1091" s="28"/>
      <c r="J1091" s="28"/>
      <c r="K1091" s="175"/>
      <c r="L1091" s="175"/>
      <c r="M1091" s="175"/>
    </row>
    <row r="1092">
      <c r="A1092" s="28"/>
      <c r="B1092" s="122"/>
      <c r="C1092" s="122"/>
      <c r="D1092" s="28"/>
      <c r="E1092" s="174"/>
      <c r="F1092" s="28"/>
      <c r="G1092" s="28"/>
      <c r="H1092" s="28"/>
      <c r="I1092" s="28"/>
      <c r="J1092" s="28"/>
      <c r="K1092" s="175"/>
      <c r="L1092" s="175"/>
      <c r="M1092" s="175"/>
    </row>
    <row r="1093">
      <c r="A1093" s="28"/>
      <c r="B1093" s="122"/>
      <c r="C1093" s="122"/>
      <c r="D1093" s="28"/>
      <c r="E1093" s="174"/>
      <c r="F1093" s="28"/>
      <c r="G1093" s="28"/>
      <c r="H1093" s="28"/>
      <c r="I1093" s="28"/>
      <c r="J1093" s="28"/>
      <c r="K1093" s="175"/>
      <c r="L1093" s="175"/>
      <c r="M1093" s="175"/>
    </row>
    <row r="1094">
      <c r="A1094" s="28"/>
      <c r="B1094" s="122"/>
      <c r="C1094" s="122"/>
      <c r="D1094" s="28"/>
      <c r="E1094" s="174"/>
      <c r="F1094" s="28"/>
      <c r="G1094" s="28"/>
      <c r="H1094" s="28"/>
      <c r="I1094" s="28"/>
      <c r="J1094" s="28"/>
      <c r="K1094" s="175"/>
      <c r="L1094" s="175"/>
      <c r="M1094" s="175"/>
    </row>
    <row r="1095">
      <c r="A1095" s="28"/>
      <c r="B1095" s="122"/>
      <c r="C1095" s="122"/>
      <c r="D1095" s="28"/>
      <c r="E1095" s="174"/>
      <c r="F1095" s="28"/>
      <c r="G1095" s="28"/>
      <c r="H1095" s="28"/>
      <c r="I1095" s="28"/>
      <c r="J1095" s="28"/>
      <c r="K1095" s="175"/>
      <c r="L1095" s="175"/>
      <c r="M1095" s="175"/>
    </row>
    <row r="1096">
      <c r="A1096" s="28"/>
      <c r="B1096" s="122"/>
      <c r="C1096" s="122"/>
      <c r="D1096" s="28"/>
      <c r="E1096" s="174"/>
      <c r="F1096" s="28"/>
      <c r="G1096" s="28"/>
      <c r="H1096" s="28"/>
      <c r="I1096" s="28"/>
      <c r="J1096" s="28"/>
      <c r="K1096" s="175"/>
      <c r="L1096" s="175"/>
      <c r="M1096" s="175"/>
    </row>
    <row r="1097">
      <c r="A1097" s="28"/>
      <c r="B1097" s="122"/>
      <c r="C1097" s="122"/>
      <c r="D1097" s="28"/>
      <c r="E1097" s="174"/>
      <c r="F1097" s="28"/>
      <c r="G1097" s="28"/>
      <c r="H1097" s="28"/>
      <c r="I1097" s="28"/>
      <c r="J1097" s="28"/>
      <c r="K1097" s="175"/>
      <c r="L1097" s="175"/>
      <c r="M1097" s="175"/>
    </row>
    <row r="1098">
      <c r="A1098" s="28"/>
      <c r="B1098" s="122"/>
      <c r="C1098" s="122"/>
      <c r="D1098" s="28"/>
      <c r="E1098" s="174"/>
      <c r="F1098" s="28"/>
      <c r="G1098" s="28"/>
      <c r="H1098" s="28"/>
      <c r="I1098" s="28"/>
      <c r="J1098" s="28"/>
      <c r="K1098" s="175"/>
      <c r="L1098" s="175"/>
      <c r="M1098" s="175"/>
    </row>
    <row r="1099">
      <c r="A1099" s="28"/>
      <c r="B1099" s="122"/>
      <c r="C1099" s="122"/>
      <c r="D1099" s="28"/>
      <c r="E1099" s="174"/>
      <c r="F1099" s="28"/>
      <c r="G1099" s="28"/>
      <c r="H1099" s="28"/>
      <c r="I1099" s="28"/>
      <c r="J1099" s="28"/>
      <c r="K1099" s="175"/>
      <c r="L1099" s="175"/>
      <c r="M1099" s="175"/>
    </row>
    <row r="1100">
      <c r="A1100" s="28"/>
      <c r="B1100" s="122"/>
      <c r="C1100" s="122"/>
      <c r="D1100" s="28"/>
      <c r="E1100" s="174"/>
      <c r="F1100" s="28"/>
      <c r="G1100" s="28"/>
      <c r="H1100" s="28"/>
      <c r="I1100" s="28"/>
      <c r="J1100" s="28"/>
      <c r="K1100" s="175"/>
      <c r="L1100" s="175"/>
      <c r="M1100" s="175"/>
    </row>
    <row r="1101">
      <c r="A1101" s="28"/>
      <c r="B1101" s="122"/>
      <c r="C1101" s="122"/>
      <c r="D1101" s="28"/>
      <c r="E1101" s="174"/>
      <c r="F1101" s="28"/>
      <c r="G1101" s="28"/>
      <c r="H1101" s="28"/>
      <c r="I1101" s="28"/>
      <c r="J1101" s="28"/>
      <c r="K1101" s="175"/>
      <c r="L1101" s="175"/>
      <c r="M1101" s="175"/>
    </row>
    <row r="1102">
      <c r="A1102" s="28"/>
      <c r="B1102" s="122"/>
      <c r="C1102" s="122"/>
      <c r="D1102" s="28"/>
      <c r="E1102" s="174"/>
      <c r="F1102" s="28"/>
      <c r="G1102" s="28"/>
      <c r="H1102" s="28"/>
      <c r="I1102" s="28"/>
      <c r="J1102" s="28"/>
      <c r="K1102" s="175"/>
      <c r="L1102" s="175"/>
      <c r="M1102" s="175"/>
    </row>
    <row r="1103">
      <c r="A1103" s="28"/>
      <c r="B1103" s="122"/>
      <c r="C1103" s="122"/>
      <c r="D1103" s="28"/>
      <c r="E1103" s="174"/>
      <c r="F1103" s="28"/>
      <c r="G1103" s="28"/>
      <c r="H1103" s="28"/>
      <c r="I1103" s="28"/>
      <c r="J1103" s="28"/>
      <c r="K1103" s="175"/>
      <c r="L1103" s="175"/>
      <c r="M1103" s="175"/>
    </row>
    <row r="1104">
      <c r="A1104" s="28"/>
      <c r="B1104" s="122"/>
      <c r="C1104" s="122"/>
      <c r="D1104" s="28"/>
      <c r="E1104" s="174"/>
      <c r="F1104" s="28"/>
      <c r="G1104" s="28"/>
      <c r="H1104" s="28"/>
      <c r="I1104" s="28"/>
      <c r="J1104" s="28"/>
      <c r="K1104" s="175"/>
      <c r="L1104" s="175"/>
      <c r="M1104" s="175"/>
    </row>
    <row r="1105">
      <c r="A1105" s="28"/>
      <c r="B1105" s="122"/>
      <c r="C1105" s="122"/>
      <c r="D1105" s="28"/>
      <c r="E1105" s="174"/>
      <c r="F1105" s="28"/>
      <c r="G1105" s="28"/>
      <c r="H1105" s="28"/>
      <c r="I1105" s="28"/>
      <c r="J1105" s="28"/>
      <c r="K1105" s="175"/>
      <c r="L1105" s="175"/>
      <c r="M1105" s="175"/>
    </row>
    <row r="1106">
      <c r="A1106" s="28"/>
      <c r="B1106" s="122"/>
      <c r="C1106" s="122"/>
      <c r="D1106" s="28"/>
      <c r="E1106" s="174"/>
      <c r="F1106" s="28"/>
      <c r="G1106" s="28"/>
      <c r="H1106" s="28"/>
      <c r="I1106" s="28"/>
      <c r="J1106" s="28"/>
      <c r="K1106" s="175"/>
      <c r="L1106" s="175"/>
      <c r="M1106" s="175"/>
    </row>
    <row r="1107">
      <c r="A1107" s="28"/>
      <c r="B1107" s="122"/>
      <c r="C1107" s="122"/>
      <c r="D1107" s="28"/>
      <c r="E1107" s="174"/>
      <c r="F1107" s="28"/>
      <c r="G1107" s="28"/>
      <c r="H1107" s="28"/>
      <c r="I1107" s="28"/>
      <c r="J1107" s="28"/>
      <c r="K1107" s="175"/>
      <c r="L1107" s="175"/>
      <c r="M1107" s="175"/>
    </row>
    <row r="1108">
      <c r="A1108" s="28"/>
      <c r="B1108" s="122"/>
      <c r="C1108" s="122"/>
      <c r="D1108" s="28"/>
      <c r="E1108" s="174"/>
      <c r="F1108" s="28"/>
      <c r="G1108" s="28"/>
      <c r="H1108" s="28"/>
      <c r="I1108" s="28"/>
      <c r="J1108" s="28"/>
      <c r="K1108" s="175"/>
      <c r="L1108" s="175"/>
      <c r="M1108" s="175"/>
    </row>
    <row r="1109">
      <c r="A1109" s="28"/>
      <c r="B1109" s="122"/>
      <c r="C1109" s="122"/>
      <c r="D1109" s="28"/>
      <c r="E1109" s="174"/>
      <c r="F1109" s="28"/>
      <c r="G1109" s="28"/>
      <c r="H1109" s="28"/>
      <c r="I1109" s="28"/>
      <c r="J1109" s="28"/>
      <c r="K1109" s="175"/>
      <c r="L1109" s="175"/>
      <c r="M1109" s="175"/>
    </row>
    <row r="1110">
      <c r="A1110" s="28"/>
      <c r="B1110" s="122"/>
      <c r="C1110" s="122"/>
      <c r="D1110" s="28"/>
      <c r="E1110" s="174"/>
      <c r="F1110" s="28"/>
      <c r="G1110" s="28"/>
      <c r="H1110" s="28"/>
      <c r="I1110" s="28"/>
      <c r="J1110" s="28"/>
      <c r="K1110" s="175"/>
      <c r="L1110" s="175"/>
      <c r="M1110" s="175"/>
    </row>
    <row r="1111">
      <c r="A1111" s="28"/>
      <c r="B1111" s="122"/>
      <c r="C1111" s="122"/>
      <c r="D1111" s="28"/>
      <c r="E1111" s="174"/>
      <c r="F1111" s="28"/>
      <c r="G1111" s="28"/>
      <c r="H1111" s="28"/>
      <c r="I1111" s="28"/>
      <c r="J1111" s="28"/>
      <c r="K1111" s="175"/>
      <c r="L1111" s="175"/>
      <c r="M1111" s="175"/>
    </row>
    <row r="1112">
      <c r="A1112" s="28"/>
      <c r="B1112" s="122"/>
      <c r="C1112" s="122"/>
      <c r="D1112" s="28"/>
      <c r="E1112" s="174"/>
      <c r="F1112" s="28"/>
      <c r="G1112" s="28"/>
      <c r="H1112" s="28"/>
      <c r="I1112" s="28"/>
      <c r="J1112" s="28"/>
      <c r="K1112" s="175"/>
      <c r="L1112" s="175"/>
      <c r="M1112" s="175"/>
    </row>
    <row r="1113">
      <c r="A1113" s="28"/>
      <c r="B1113" s="122"/>
      <c r="C1113" s="122"/>
      <c r="D1113" s="28"/>
      <c r="E1113" s="174"/>
      <c r="F1113" s="28"/>
      <c r="G1113" s="28"/>
      <c r="H1113" s="28"/>
      <c r="I1113" s="28"/>
      <c r="J1113" s="28"/>
      <c r="K1113" s="175"/>
      <c r="L1113" s="175"/>
      <c r="M1113" s="175"/>
    </row>
    <row r="1114">
      <c r="A1114" s="28"/>
      <c r="B1114" s="122"/>
      <c r="C1114" s="122"/>
      <c r="D1114" s="28"/>
      <c r="E1114" s="174"/>
      <c r="F1114" s="28"/>
      <c r="G1114" s="28"/>
      <c r="H1114" s="28"/>
      <c r="I1114" s="28"/>
      <c r="J1114" s="28"/>
      <c r="K1114" s="175"/>
      <c r="L1114" s="175"/>
      <c r="M1114" s="175"/>
    </row>
    <row r="1115">
      <c r="A1115" s="28"/>
      <c r="B1115" s="122"/>
      <c r="C1115" s="122"/>
      <c r="D1115" s="28"/>
      <c r="E1115" s="174"/>
      <c r="F1115" s="28"/>
      <c r="G1115" s="28"/>
      <c r="H1115" s="28"/>
      <c r="I1115" s="28"/>
      <c r="J1115" s="28"/>
      <c r="K1115" s="175"/>
      <c r="L1115" s="175"/>
      <c r="M1115" s="175"/>
    </row>
    <row r="1116">
      <c r="A1116" s="28"/>
      <c r="B1116" s="122"/>
      <c r="C1116" s="122"/>
      <c r="D1116" s="28"/>
      <c r="E1116" s="174"/>
      <c r="F1116" s="28"/>
      <c r="G1116" s="28"/>
      <c r="H1116" s="28"/>
      <c r="I1116" s="28"/>
      <c r="J1116" s="28"/>
      <c r="K1116" s="175"/>
      <c r="L1116" s="175"/>
      <c r="M1116" s="175"/>
    </row>
    <row r="1117">
      <c r="A1117" s="28"/>
      <c r="B1117" s="122"/>
      <c r="C1117" s="122"/>
      <c r="D1117" s="28"/>
      <c r="E1117" s="174"/>
      <c r="F1117" s="28"/>
      <c r="G1117" s="28"/>
      <c r="H1117" s="28"/>
      <c r="I1117" s="28"/>
      <c r="J1117" s="28"/>
      <c r="K1117" s="175"/>
      <c r="L1117" s="175"/>
      <c r="M1117" s="175"/>
    </row>
    <row r="1118">
      <c r="A1118" s="28"/>
      <c r="B1118" s="122"/>
      <c r="C1118" s="122"/>
      <c r="D1118" s="28"/>
      <c r="E1118" s="174"/>
      <c r="F1118" s="28"/>
      <c r="G1118" s="28"/>
      <c r="H1118" s="28"/>
      <c r="I1118" s="28"/>
      <c r="J1118" s="28"/>
      <c r="K1118" s="175"/>
      <c r="L1118" s="175"/>
      <c r="M1118" s="175"/>
    </row>
    <row r="1119">
      <c r="A1119" s="28"/>
      <c r="B1119" s="122"/>
      <c r="C1119" s="122"/>
      <c r="D1119" s="28"/>
      <c r="E1119" s="174"/>
      <c r="F1119" s="28"/>
      <c r="G1119" s="28"/>
      <c r="H1119" s="28"/>
      <c r="I1119" s="28"/>
      <c r="J1119" s="28"/>
      <c r="K1119" s="175"/>
      <c r="L1119" s="175"/>
      <c r="M1119" s="175"/>
    </row>
    <row r="1120">
      <c r="A1120" s="28"/>
      <c r="B1120" s="122"/>
      <c r="C1120" s="122"/>
      <c r="D1120" s="28"/>
      <c r="E1120" s="174"/>
      <c r="F1120" s="28"/>
      <c r="G1120" s="28"/>
      <c r="H1120" s="28"/>
      <c r="I1120" s="28"/>
      <c r="J1120" s="28"/>
      <c r="K1120" s="175"/>
      <c r="L1120" s="175"/>
      <c r="M1120" s="175"/>
    </row>
    <row r="1121">
      <c r="A1121" s="28"/>
      <c r="B1121" s="122"/>
      <c r="C1121" s="122"/>
      <c r="D1121" s="28"/>
      <c r="E1121" s="174"/>
      <c r="F1121" s="28"/>
      <c r="G1121" s="28"/>
      <c r="H1121" s="28"/>
      <c r="I1121" s="28"/>
      <c r="J1121" s="28"/>
      <c r="K1121" s="175"/>
      <c r="L1121" s="175"/>
      <c r="M1121" s="175"/>
    </row>
    <row r="1122">
      <c r="A1122" s="28"/>
      <c r="B1122" s="122"/>
      <c r="C1122" s="122"/>
      <c r="D1122" s="28"/>
      <c r="E1122" s="174"/>
      <c r="F1122" s="28"/>
      <c r="G1122" s="28"/>
      <c r="H1122" s="28"/>
      <c r="I1122" s="28"/>
      <c r="J1122" s="28"/>
      <c r="K1122" s="175"/>
      <c r="L1122" s="175"/>
      <c r="M1122" s="175"/>
    </row>
    <row r="1123">
      <c r="A1123" s="28"/>
      <c r="B1123" s="122"/>
      <c r="C1123" s="122"/>
      <c r="D1123" s="28"/>
      <c r="E1123" s="174"/>
      <c r="F1123" s="28"/>
      <c r="G1123" s="28"/>
      <c r="H1123" s="28"/>
      <c r="I1123" s="28"/>
      <c r="J1123" s="28"/>
      <c r="K1123" s="175"/>
      <c r="L1123" s="175"/>
      <c r="M1123" s="175"/>
    </row>
    <row r="1124">
      <c r="A1124" s="28"/>
      <c r="B1124" s="122"/>
      <c r="C1124" s="122"/>
      <c r="D1124" s="28"/>
      <c r="E1124" s="174"/>
      <c r="F1124" s="28"/>
      <c r="G1124" s="28"/>
      <c r="H1124" s="28"/>
      <c r="I1124" s="28"/>
      <c r="J1124" s="28"/>
      <c r="K1124" s="175"/>
      <c r="L1124" s="175"/>
      <c r="M1124" s="175"/>
    </row>
    <row r="1125">
      <c r="A1125" s="28"/>
      <c r="B1125" s="122"/>
      <c r="C1125" s="122"/>
      <c r="D1125" s="28"/>
      <c r="E1125" s="174"/>
      <c r="F1125" s="28"/>
      <c r="G1125" s="28"/>
      <c r="H1125" s="28"/>
      <c r="I1125" s="28"/>
      <c r="J1125" s="28"/>
      <c r="K1125" s="175"/>
      <c r="L1125" s="175"/>
      <c r="M1125" s="175"/>
    </row>
    <row r="1126">
      <c r="A1126" s="28"/>
      <c r="B1126" s="122"/>
      <c r="C1126" s="122"/>
      <c r="D1126" s="28"/>
      <c r="E1126" s="174"/>
      <c r="F1126" s="28"/>
      <c r="G1126" s="28"/>
      <c r="H1126" s="28"/>
      <c r="I1126" s="28"/>
      <c r="J1126" s="28"/>
      <c r="K1126" s="175"/>
      <c r="L1126" s="175"/>
      <c r="M1126" s="175"/>
    </row>
    <row r="1127">
      <c r="A1127" s="28"/>
      <c r="B1127" s="122"/>
      <c r="C1127" s="122"/>
      <c r="D1127" s="28"/>
      <c r="E1127" s="174"/>
      <c r="F1127" s="28"/>
      <c r="G1127" s="28"/>
      <c r="H1127" s="28"/>
      <c r="I1127" s="28"/>
      <c r="J1127" s="28"/>
      <c r="K1127" s="175"/>
      <c r="L1127" s="175"/>
      <c r="M1127" s="175"/>
    </row>
    <row r="1128">
      <c r="A1128" s="28"/>
      <c r="B1128" s="122"/>
      <c r="C1128" s="122"/>
      <c r="D1128" s="28"/>
      <c r="E1128" s="174"/>
      <c r="F1128" s="28"/>
      <c r="G1128" s="28"/>
      <c r="H1128" s="28"/>
      <c r="I1128" s="28"/>
      <c r="J1128" s="28"/>
      <c r="K1128" s="175"/>
      <c r="L1128" s="175"/>
      <c r="M1128" s="175"/>
    </row>
    <row r="1129">
      <c r="A1129" s="28"/>
      <c r="B1129" s="122"/>
      <c r="C1129" s="122"/>
      <c r="D1129" s="28"/>
      <c r="E1129" s="174"/>
      <c r="F1129" s="28"/>
      <c r="G1129" s="28"/>
      <c r="H1129" s="28"/>
      <c r="I1129" s="28"/>
      <c r="J1129" s="28"/>
      <c r="K1129" s="175"/>
      <c r="L1129" s="175"/>
      <c r="M1129" s="175"/>
    </row>
    <row r="1130">
      <c r="A1130" s="28"/>
      <c r="B1130" s="122"/>
      <c r="C1130" s="122"/>
      <c r="D1130" s="28"/>
      <c r="E1130" s="174"/>
      <c r="F1130" s="28"/>
      <c r="G1130" s="28"/>
      <c r="H1130" s="28"/>
      <c r="I1130" s="28"/>
      <c r="J1130" s="28"/>
      <c r="K1130" s="175"/>
      <c r="L1130" s="175"/>
      <c r="M1130" s="175"/>
    </row>
    <row r="1131">
      <c r="A1131" s="28"/>
      <c r="B1131" s="122"/>
      <c r="C1131" s="122"/>
      <c r="D1131" s="28"/>
      <c r="E1131" s="174"/>
      <c r="F1131" s="28"/>
      <c r="G1131" s="28"/>
      <c r="H1131" s="28"/>
      <c r="I1131" s="28"/>
      <c r="J1131" s="28"/>
      <c r="K1131" s="175"/>
      <c r="L1131" s="175"/>
      <c r="M1131" s="175"/>
    </row>
    <row r="1132">
      <c r="A1132" s="28"/>
      <c r="B1132" s="122"/>
      <c r="C1132" s="122"/>
      <c r="D1132" s="28"/>
      <c r="E1132" s="174"/>
      <c r="F1132" s="28"/>
      <c r="G1132" s="28"/>
      <c r="H1132" s="28"/>
      <c r="I1132" s="28"/>
      <c r="J1132" s="28"/>
      <c r="K1132" s="175"/>
      <c r="L1132" s="175"/>
      <c r="M1132" s="175"/>
    </row>
    <row r="1133">
      <c r="A1133" s="28"/>
      <c r="B1133" s="122"/>
      <c r="C1133" s="122"/>
      <c r="D1133" s="28"/>
      <c r="E1133" s="174"/>
      <c r="F1133" s="28"/>
      <c r="G1133" s="28"/>
      <c r="H1133" s="28"/>
      <c r="I1133" s="28"/>
      <c r="J1133" s="28"/>
      <c r="K1133" s="175"/>
      <c r="L1133" s="175"/>
      <c r="M1133" s="175"/>
    </row>
    <row r="1134">
      <c r="A1134" s="28"/>
      <c r="B1134" s="122"/>
      <c r="C1134" s="122"/>
      <c r="D1134" s="28"/>
      <c r="E1134" s="174"/>
      <c r="F1134" s="28"/>
      <c r="G1134" s="28"/>
      <c r="H1134" s="28"/>
      <c r="I1134" s="28"/>
      <c r="J1134" s="28"/>
      <c r="K1134" s="175"/>
      <c r="L1134" s="175"/>
      <c r="M1134" s="175"/>
    </row>
    <row r="1135">
      <c r="A1135" s="28"/>
      <c r="B1135" s="122"/>
      <c r="C1135" s="122"/>
      <c r="D1135" s="28"/>
      <c r="E1135" s="174"/>
      <c r="F1135" s="28"/>
      <c r="G1135" s="28"/>
      <c r="H1135" s="28"/>
      <c r="I1135" s="28"/>
      <c r="J1135" s="28"/>
      <c r="K1135" s="175"/>
      <c r="L1135" s="175"/>
      <c r="M1135" s="175"/>
    </row>
    <row r="1136">
      <c r="A1136" s="28"/>
      <c r="B1136" s="122"/>
      <c r="C1136" s="122"/>
      <c r="D1136" s="28"/>
      <c r="E1136" s="174"/>
      <c r="F1136" s="28"/>
      <c r="G1136" s="28"/>
      <c r="H1136" s="28"/>
      <c r="I1136" s="28"/>
      <c r="J1136" s="28"/>
      <c r="K1136" s="175"/>
      <c r="L1136" s="175"/>
      <c r="M1136" s="175"/>
    </row>
    <row r="1137">
      <c r="A1137" s="28"/>
      <c r="B1137" s="122"/>
      <c r="C1137" s="122"/>
      <c r="D1137" s="28"/>
      <c r="E1137" s="174"/>
      <c r="F1137" s="28"/>
      <c r="G1137" s="28"/>
      <c r="H1137" s="28"/>
      <c r="I1137" s="28"/>
      <c r="J1137" s="28"/>
      <c r="K1137" s="175"/>
      <c r="L1137" s="175"/>
      <c r="M1137" s="175"/>
    </row>
    <row r="1138">
      <c r="A1138" s="28"/>
      <c r="B1138" s="122"/>
      <c r="C1138" s="122"/>
      <c r="D1138" s="28"/>
      <c r="E1138" s="174"/>
      <c r="F1138" s="28"/>
      <c r="G1138" s="28"/>
      <c r="H1138" s="28"/>
      <c r="I1138" s="28"/>
      <c r="J1138" s="28"/>
      <c r="K1138" s="175"/>
      <c r="L1138" s="175"/>
      <c r="M1138" s="175"/>
    </row>
    <row r="1139">
      <c r="A1139" s="28"/>
      <c r="B1139" s="122"/>
      <c r="C1139" s="122"/>
      <c r="D1139" s="28"/>
      <c r="E1139" s="174"/>
      <c r="F1139" s="28"/>
      <c r="G1139" s="28"/>
      <c r="H1139" s="28"/>
      <c r="I1139" s="28"/>
      <c r="J1139" s="28"/>
      <c r="K1139" s="175"/>
      <c r="L1139" s="175"/>
      <c r="M1139" s="175"/>
    </row>
    <row r="1140">
      <c r="A1140" s="28"/>
      <c r="B1140" s="122"/>
      <c r="C1140" s="122"/>
      <c r="D1140" s="28"/>
      <c r="E1140" s="174"/>
      <c r="F1140" s="28"/>
      <c r="G1140" s="28"/>
      <c r="H1140" s="28"/>
      <c r="I1140" s="28"/>
      <c r="J1140" s="28"/>
      <c r="K1140" s="175"/>
      <c r="L1140" s="175"/>
      <c r="M1140" s="175"/>
    </row>
    <row r="1141">
      <c r="A1141" s="28"/>
      <c r="B1141" s="122"/>
      <c r="C1141" s="122"/>
      <c r="D1141" s="28"/>
      <c r="E1141" s="174"/>
      <c r="F1141" s="28"/>
      <c r="G1141" s="28"/>
      <c r="H1141" s="28"/>
      <c r="I1141" s="28"/>
      <c r="J1141" s="28"/>
      <c r="K1141" s="175"/>
      <c r="L1141" s="175"/>
      <c r="M1141" s="175"/>
    </row>
    <row r="1142">
      <c r="A1142" s="28"/>
      <c r="B1142" s="122"/>
      <c r="C1142" s="122"/>
      <c r="D1142" s="28"/>
      <c r="E1142" s="174"/>
      <c r="F1142" s="28"/>
      <c r="G1142" s="28"/>
      <c r="H1142" s="28"/>
      <c r="I1142" s="28"/>
      <c r="J1142" s="28"/>
      <c r="K1142" s="175"/>
      <c r="L1142" s="175"/>
      <c r="M1142" s="175"/>
    </row>
    <row r="1143">
      <c r="A1143" s="28"/>
      <c r="B1143" s="122"/>
      <c r="C1143" s="122"/>
      <c r="D1143" s="28"/>
      <c r="E1143" s="174"/>
      <c r="F1143" s="28"/>
      <c r="G1143" s="28"/>
      <c r="H1143" s="28"/>
      <c r="I1143" s="28"/>
      <c r="J1143" s="28"/>
      <c r="K1143" s="175"/>
      <c r="L1143" s="175"/>
      <c r="M1143" s="175"/>
    </row>
    <row r="1144">
      <c r="A1144" s="28"/>
      <c r="B1144" s="122"/>
      <c r="C1144" s="122"/>
      <c r="D1144" s="28"/>
      <c r="E1144" s="174"/>
      <c r="F1144" s="28"/>
      <c r="G1144" s="28"/>
      <c r="H1144" s="28"/>
      <c r="I1144" s="28"/>
      <c r="J1144" s="28"/>
      <c r="K1144" s="175"/>
      <c r="L1144" s="175"/>
      <c r="M1144" s="175"/>
    </row>
    <row r="1145">
      <c r="A1145" s="28"/>
      <c r="B1145" s="122"/>
      <c r="C1145" s="122"/>
      <c r="D1145" s="28"/>
      <c r="E1145" s="174"/>
      <c r="F1145" s="28"/>
      <c r="G1145" s="28"/>
      <c r="H1145" s="28"/>
      <c r="I1145" s="28"/>
      <c r="J1145" s="28"/>
      <c r="K1145" s="175"/>
      <c r="L1145" s="175"/>
      <c r="M1145" s="175"/>
    </row>
    <row r="1146">
      <c r="A1146" s="28"/>
      <c r="B1146" s="122"/>
      <c r="C1146" s="122"/>
      <c r="D1146" s="28"/>
      <c r="E1146" s="174"/>
      <c r="F1146" s="28"/>
      <c r="G1146" s="28"/>
      <c r="H1146" s="28"/>
      <c r="I1146" s="28"/>
      <c r="J1146" s="28"/>
      <c r="K1146" s="175"/>
      <c r="L1146" s="175"/>
      <c r="M1146" s="175"/>
    </row>
    <row r="1147">
      <c r="A1147" s="28"/>
      <c r="B1147" s="122"/>
      <c r="C1147" s="122"/>
      <c r="D1147" s="28"/>
      <c r="E1147" s="174"/>
      <c r="F1147" s="28"/>
      <c r="G1147" s="28"/>
      <c r="H1147" s="28"/>
      <c r="I1147" s="28"/>
      <c r="J1147" s="28"/>
      <c r="K1147" s="175"/>
      <c r="L1147" s="175"/>
      <c r="M1147" s="175"/>
    </row>
    <row r="1148">
      <c r="A1148" s="28"/>
      <c r="B1148" s="122"/>
      <c r="C1148" s="122"/>
      <c r="D1148" s="28"/>
      <c r="E1148" s="174"/>
      <c r="F1148" s="28"/>
      <c r="G1148" s="28"/>
      <c r="H1148" s="28"/>
      <c r="I1148" s="28"/>
      <c r="J1148" s="28"/>
      <c r="K1148" s="175"/>
      <c r="L1148" s="175"/>
      <c r="M1148" s="175"/>
    </row>
    <row r="1149">
      <c r="A1149" s="28"/>
      <c r="B1149" s="122"/>
      <c r="C1149" s="122"/>
      <c r="D1149" s="28"/>
      <c r="E1149" s="174"/>
      <c r="F1149" s="28"/>
      <c r="G1149" s="28"/>
      <c r="H1149" s="28"/>
      <c r="I1149" s="28"/>
      <c r="J1149" s="28"/>
      <c r="K1149" s="175"/>
      <c r="L1149" s="175"/>
      <c r="M1149" s="175"/>
    </row>
    <row r="1150">
      <c r="A1150" s="28"/>
      <c r="B1150" s="122"/>
      <c r="C1150" s="122"/>
      <c r="D1150" s="28"/>
      <c r="E1150" s="174"/>
      <c r="F1150" s="28"/>
      <c r="G1150" s="28"/>
      <c r="H1150" s="28"/>
      <c r="I1150" s="28"/>
      <c r="J1150" s="28"/>
      <c r="K1150" s="175"/>
      <c r="L1150" s="175"/>
      <c r="M1150" s="175"/>
    </row>
    <row r="1151">
      <c r="A1151" s="28"/>
      <c r="B1151" s="122"/>
      <c r="C1151" s="122"/>
      <c r="D1151" s="28"/>
      <c r="E1151" s="174"/>
      <c r="F1151" s="28"/>
      <c r="G1151" s="28"/>
      <c r="H1151" s="28"/>
      <c r="I1151" s="28"/>
      <c r="J1151" s="28"/>
      <c r="K1151" s="175"/>
      <c r="L1151" s="175"/>
      <c r="M1151" s="175"/>
    </row>
    <row r="1152">
      <c r="A1152" s="28"/>
      <c r="B1152" s="122"/>
      <c r="C1152" s="122"/>
      <c r="D1152" s="28"/>
      <c r="E1152" s="174"/>
      <c r="F1152" s="28"/>
      <c r="G1152" s="28"/>
      <c r="H1152" s="28"/>
      <c r="I1152" s="28"/>
      <c r="J1152" s="28"/>
      <c r="K1152" s="175"/>
      <c r="L1152" s="175"/>
      <c r="M1152" s="175"/>
    </row>
    <row r="1153">
      <c r="A1153" s="28"/>
      <c r="B1153" s="122"/>
      <c r="C1153" s="122"/>
      <c r="D1153" s="28"/>
      <c r="E1153" s="174"/>
      <c r="F1153" s="28"/>
      <c r="G1153" s="28"/>
      <c r="H1153" s="28"/>
      <c r="I1153" s="28"/>
      <c r="J1153" s="28"/>
      <c r="K1153" s="175"/>
      <c r="L1153" s="175"/>
      <c r="M1153" s="175"/>
    </row>
    <row r="1154">
      <c r="A1154" s="28"/>
      <c r="B1154" s="122"/>
      <c r="C1154" s="122"/>
      <c r="D1154" s="28"/>
      <c r="E1154" s="174"/>
      <c r="F1154" s="28"/>
      <c r="G1154" s="28"/>
      <c r="H1154" s="28"/>
      <c r="I1154" s="28"/>
      <c r="J1154" s="28"/>
      <c r="K1154" s="175"/>
      <c r="L1154" s="175"/>
      <c r="M1154" s="175"/>
    </row>
    <row r="1155">
      <c r="A1155" s="28"/>
      <c r="B1155" s="122"/>
      <c r="C1155" s="122"/>
      <c r="D1155" s="28"/>
      <c r="E1155" s="174"/>
      <c r="F1155" s="28"/>
      <c r="G1155" s="28"/>
      <c r="H1155" s="28"/>
      <c r="I1155" s="28"/>
      <c r="J1155" s="28"/>
      <c r="K1155" s="175"/>
      <c r="L1155" s="175"/>
      <c r="M1155" s="175"/>
    </row>
    <row r="1156">
      <c r="A1156" s="28"/>
      <c r="B1156" s="122"/>
      <c r="C1156" s="122"/>
      <c r="D1156" s="28"/>
      <c r="E1156" s="174"/>
      <c r="F1156" s="28"/>
      <c r="G1156" s="28"/>
      <c r="H1156" s="28"/>
      <c r="I1156" s="28"/>
      <c r="J1156" s="28"/>
      <c r="K1156" s="175"/>
      <c r="L1156" s="175"/>
      <c r="M1156" s="175"/>
    </row>
    <row r="1157">
      <c r="A1157" s="28"/>
      <c r="B1157" s="122"/>
      <c r="C1157" s="122"/>
      <c r="D1157" s="28"/>
      <c r="E1157" s="174"/>
      <c r="F1157" s="28"/>
      <c r="G1157" s="28"/>
      <c r="H1157" s="28"/>
      <c r="I1157" s="28"/>
      <c r="J1157" s="28"/>
      <c r="K1157" s="175"/>
      <c r="L1157" s="175"/>
      <c r="M1157" s="175"/>
    </row>
    <row r="1158">
      <c r="A1158" s="28"/>
      <c r="B1158" s="122"/>
      <c r="C1158" s="122"/>
      <c r="D1158" s="28"/>
      <c r="E1158" s="174"/>
      <c r="F1158" s="28"/>
      <c r="G1158" s="28"/>
      <c r="H1158" s="28"/>
      <c r="I1158" s="28"/>
      <c r="J1158" s="28"/>
      <c r="K1158" s="175"/>
      <c r="L1158" s="175"/>
      <c r="M1158" s="175"/>
    </row>
    <row r="1159">
      <c r="A1159" s="28"/>
      <c r="B1159" s="122"/>
      <c r="C1159" s="122"/>
      <c r="D1159" s="28"/>
      <c r="E1159" s="174"/>
      <c r="F1159" s="28"/>
      <c r="G1159" s="28"/>
      <c r="H1159" s="28"/>
      <c r="I1159" s="28"/>
      <c r="J1159" s="28"/>
      <c r="K1159" s="175"/>
      <c r="L1159" s="175"/>
      <c r="M1159" s="175"/>
    </row>
    <row r="1160">
      <c r="A1160" s="28"/>
      <c r="B1160" s="122"/>
      <c r="C1160" s="122"/>
      <c r="D1160" s="28"/>
      <c r="E1160" s="174"/>
      <c r="F1160" s="28"/>
      <c r="G1160" s="28"/>
      <c r="H1160" s="28"/>
      <c r="I1160" s="28"/>
      <c r="J1160" s="28"/>
      <c r="K1160" s="175"/>
      <c r="L1160" s="175"/>
      <c r="M1160" s="175"/>
    </row>
    <row r="1161">
      <c r="A1161" s="28"/>
      <c r="B1161" s="122"/>
      <c r="C1161" s="122"/>
      <c r="D1161" s="28"/>
      <c r="E1161" s="174"/>
      <c r="F1161" s="28"/>
      <c r="G1161" s="28"/>
      <c r="H1161" s="28"/>
      <c r="I1161" s="28"/>
      <c r="J1161" s="28"/>
      <c r="K1161" s="175"/>
      <c r="L1161" s="175"/>
      <c r="M1161" s="175"/>
    </row>
    <row r="1162">
      <c r="A1162" s="28"/>
      <c r="B1162" s="122"/>
      <c r="C1162" s="122"/>
      <c r="D1162" s="28"/>
      <c r="E1162" s="174"/>
      <c r="F1162" s="28"/>
      <c r="G1162" s="28"/>
      <c r="H1162" s="28"/>
      <c r="I1162" s="28"/>
      <c r="J1162" s="28"/>
      <c r="K1162" s="175"/>
      <c r="L1162" s="175"/>
      <c r="M1162" s="175"/>
    </row>
    <row r="1163">
      <c r="A1163" s="28"/>
      <c r="B1163" s="122"/>
      <c r="C1163" s="122"/>
      <c r="D1163" s="28"/>
      <c r="E1163" s="174"/>
      <c r="F1163" s="28"/>
      <c r="G1163" s="28"/>
      <c r="H1163" s="28"/>
      <c r="I1163" s="28"/>
      <c r="J1163" s="28"/>
      <c r="K1163" s="175"/>
      <c r="L1163" s="175"/>
      <c r="M1163" s="175"/>
    </row>
    <row r="1164">
      <c r="A1164" s="28"/>
      <c r="B1164" s="122"/>
      <c r="C1164" s="122"/>
      <c r="D1164" s="28"/>
      <c r="E1164" s="174"/>
      <c r="F1164" s="28"/>
      <c r="G1164" s="28"/>
      <c r="H1164" s="28"/>
      <c r="I1164" s="28"/>
      <c r="J1164" s="28"/>
      <c r="K1164" s="175"/>
      <c r="L1164" s="175"/>
      <c r="M1164" s="175"/>
    </row>
    <row r="1165">
      <c r="A1165" s="28"/>
      <c r="B1165" s="122"/>
      <c r="C1165" s="122"/>
      <c r="D1165" s="28"/>
      <c r="E1165" s="174"/>
      <c r="F1165" s="28"/>
      <c r="G1165" s="28"/>
      <c r="H1165" s="28"/>
      <c r="I1165" s="28"/>
      <c r="J1165" s="28"/>
      <c r="K1165" s="175"/>
      <c r="L1165" s="175"/>
      <c r="M1165" s="175"/>
    </row>
    <row r="1166">
      <c r="A1166" s="28"/>
      <c r="B1166" s="122"/>
      <c r="C1166" s="122"/>
      <c r="D1166" s="28"/>
      <c r="E1166" s="174"/>
      <c r="F1166" s="28"/>
      <c r="G1166" s="28"/>
      <c r="H1166" s="28"/>
      <c r="I1166" s="28"/>
      <c r="J1166" s="28"/>
      <c r="K1166" s="175"/>
      <c r="L1166" s="175"/>
      <c r="M1166" s="175"/>
    </row>
    <row r="1167">
      <c r="A1167" s="28"/>
      <c r="B1167" s="122"/>
      <c r="C1167" s="122"/>
      <c r="D1167" s="28"/>
      <c r="E1167" s="174"/>
      <c r="F1167" s="28"/>
      <c r="G1167" s="28"/>
      <c r="H1167" s="28"/>
      <c r="I1167" s="28"/>
      <c r="J1167" s="28"/>
      <c r="K1167" s="175"/>
      <c r="L1167" s="175"/>
      <c r="M1167" s="175"/>
    </row>
    <row r="1168">
      <c r="A1168" s="28"/>
      <c r="B1168" s="122"/>
      <c r="C1168" s="122"/>
      <c r="D1168" s="28"/>
      <c r="E1168" s="174"/>
      <c r="F1168" s="28"/>
      <c r="G1168" s="28"/>
      <c r="H1168" s="28"/>
      <c r="I1168" s="28"/>
      <c r="J1168" s="28"/>
      <c r="K1168" s="175"/>
      <c r="L1168" s="175"/>
      <c r="M1168" s="175"/>
    </row>
    <row r="1169">
      <c r="A1169" s="28"/>
      <c r="B1169" s="122"/>
      <c r="C1169" s="122"/>
      <c r="D1169" s="28"/>
      <c r="E1169" s="174"/>
      <c r="F1169" s="28"/>
      <c r="G1169" s="28"/>
      <c r="H1169" s="28"/>
      <c r="I1169" s="28"/>
      <c r="J1169" s="28"/>
      <c r="K1169" s="175"/>
      <c r="L1169" s="175"/>
      <c r="M1169" s="175"/>
    </row>
    <row r="1170">
      <c r="A1170" s="28"/>
      <c r="B1170" s="122"/>
      <c r="C1170" s="122"/>
      <c r="D1170" s="28"/>
      <c r="E1170" s="174"/>
      <c r="F1170" s="28"/>
      <c r="G1170" s="28"/>
      <c r="H1170" s="28"/>
      <c r="I1170" s="28"/>
      <c r="J1170" s="28"/>
      <c r="K1170" s="175"/>
      <c r="L1170" s="175"/>
      <c r="M1170" s="175"/>
    </row>
    <row r="1171">
      <c r="A1171" s="28"/>
      <c r="B1171" s="122"/>
      <c r="C1171" s="122"/>
      <c r="D1171" s="28"/>
      <c r="E1171" s="174"/>
      <c r="F1171" s="28"/>
      <c r="G1171" s="28"/>
      <c r="H1171" s="28"/>
      <c r="I1171" s="28"/>
      <c r="J1171" s="28"/>
      <c r="K1171" s="175"/>
      <c r="L1171" s="175"/>
      <c r="M1171" s="175"/>
    </row>
    <row r="1172">
      <c r="A1172" s="28"/>
      <c r="B1172" s="122"/>
      <c r="C1172" s="122"/>
      <c r="D1172" s="28"/>
      <c r="E1172" s="174"/>
      <c r="F1172" s="28"/>
      <c r="G1172" s="28"/>
      <c r="H1172" s="28"/>
      <c r="I1172" s="28"/>
      <c r="J1172" s="28"/>
      <c r="K1172" s="175"/>
      <c r="L1172" s="175"/>
      <c r="M1172" s="175"/>
    </row>
    <row r="1173">
      <c r="A1173" s="28"/>
      <c r="B1173" s="122"/>
      <c r="C1173" s="122"/>
      <c r="D1173" s="28"/>
      <c r="E1173" s="174"/>
      <c r="F1173" s="28"/>
      <c r="G1173" s="28"/>
      <c r="H1173" s="28"/>
      <c r="I1173" s="28"/>
      <c r="J1173" s="28"/>
      <c r="K1173" s="175"/>
      <c r="L1173" s="175"/>
      <c r="M1173" s="175"/>
    </row>
    <row r="1174">
      <c r="A1174" s="28"/>
      <c r="B1174" s="122"/>
      <c r="C1174" s="122"/>
      <c r="D1174" s="28"/>
      <c r="E1174" s="174"/>
      <c r="F1174" s="28"/>
      <c r="G1174" s="28"/>
      <c r="H1174" s="28"/>
      <c r="I1174" s="28"/>
      <c r="J1174" s="28"/>
      <c r="K1174" s="175"/>
      <c r="L1174" s="175"/>
      <c r="M1174" s="175"/>
    </row>
    <row r="1175">
      <c r="A1175" s="28"/>
      <c r="B1175" s="122"/>
      <c r="C1175" s="122"/>
      <c r="D1175" s="28"/>
      <c r="E1175" s="174"/>
      <c r="F1175" s="28"/>
      <c r="G1175" s="28"/>
      <c r="H1175" s="28"/>
      <c r="I1175" s="28"/>
      <c r="J1175" s="28"/>
      <c r="K1175" s="175"/>
      <c r="L1175" s="175"/>
      <c r="M1175" s="175"/>
    </row>
    <row r="1176">
      <c r="A1176" s="28"/>
      <c r="B1176" s="122"/>
      <c r="C1176" s="122"/>
      <c r="D1176" s="28"/>
      <c r="E1176" s="174"/>
      <c r="F1176" s="28"/>
      <c r="G1176" s="28"/>
      <c r="H1176" s="28"/>
      <c r="I1176" s="28"/>
      <c r="J1176" s="28"/>
      <c r="K1176" s="175"/>
      <c r="L1176" s="175"/>
      <c r="M1176" s="175"/>
    </row>
    <row r="1177">
      <c r="A1177" s="28"/>
      <c r="B1177" s="122"/>
      <c r="C1177" s="122"/>
      <c r="D1177" s="28"/>
      <c r="E1177" s="174"/>
      <c r="F1177" s="28"/>
      <c r="G1177" s="28"/>
      <c r="H1177" s="28"/>
      <c r="I1177" s="28"/>
      <c r="J1177" s="28"/>
      <c r="K1177" s="175"/>
      <c r="L1177" s="175"/>
      <c r="M1177" s="175"/>
    </row>
    <row r="1178">
      <c r="A1178" s="28"/>
      <c r="B1178" s="122"/>
      <c r="C1178" s="122"/>
      <c r="D1178" s="28"/>
      <c r="E1178" s="174"/>
      <c r="F1178" s="28"/>
      <c r="G1178" s="28"/>
      <c r="H1178" s="28"/>
      <c r="I1178" s="28"/>
      <c r="J1178" s="28"/>
      <c r="K1178" s="175"/>
      <c r="L1178" s="175"/>
      <c r="M1178" s="175"/>
    </row>
    <row r="1179">
      <c r="A1179" s="28"/>
      <c r="B1179" s="122"/>
      <c r="C1179" s="122"/>
      <c r="D1179" s="28"/>
      <c r="E1179" s="174"/>
      <c r="F1179" s="28"/>
      <c r="G1179" s="28"/>
      <c r="H1179" s="28"/>
      <c r="I1179" s="28"/>
      <c r="J1179" s="28"/>
      <c r="K1179" s="175"/>
      <c r="L1179" s="175"/>
      <c r="M1179" s="175"/>
    </row>
    <row r="1180">
      <c r="A1180" s="28"/>
      <c r="B1180" s="122"/>
      <c r="C1180" s="122"/>
      <c r="D1180" s="28"/>
      <c r="E1180" s="174"/>
      <c r="F1180" s="28"/>
      <c r="G1180" s="28"/>
      <c r="H1180" s="28"/>
      <c r="I1180" s="28"/>
      <c r="J1180" s="28"/>
      <c r="K1180" s="175"/>
      <c r="L1180" s="175"/>
      <c r="M1180" s="175"/>
    </row>
    <row r="1181">
      <c r="A1181" s="28"/>
      <c r="B1181" s="122"/>
      <c r="C1181" s="122"/>
      <c r="D1181" s="28"/>
      <c r="E1181" s="174"/>
      <c r="F1181" s="28"/>
      <c r="G1181" s="28"/>
      <c r="H1181" s="28"/>
      <c r="I1181" s="28"/>
      <c r="J1181" s="28"/>
      <c r="K1181" s="175"/>
      <c r="L1181" s="175"/>
      <c r="M1181" s="175"/>
    </row>
    <row r="1182">
      <c r="A1182" s="28"/>
      <c r="B1182" s="122"/>
      <c r="C1182" s="122"/>
      <c r="D1182" s="28"/>
      <c r="E1182" s="174"/>
      <c r="F1182" s="28"/>
      <c r="G1182" s="28"/>
      <c r="H1182" s="28"/>
      <c r="I1182" s="28"/>
      <c r="J1182" s="28"/>
      <c r="K1182" s="175"/>
      <c r="L1182" s="175"/>
      <c r="M1182" s="175"/>
    </row>
    <row r="1183">
      <c r="A1183" s="28"/>
      <c r="B1183" s="122"/>
      <c r="C1183" s="122"/>
      <c r="D1183" s="28"/>
      <c r="E1183" s="174"/>
      <c r="F1183" s="28"/>
      <c r="G1183" s="28"/>
      <c r="H1183" s="28"/>
      <c r="I1183" s="28"/>
      <c r="J1183" s="28"/>
      <c r="K1183" s="175"/>
      <c r="L1183" s="175"/>
      <c r="M1183" s="175"/>
    </row>
    <row r="1184">
      <c r="A1184" s="28"/>
      <c r="B1184" s="122"/>
      <c r="C1184" s="122"/>
      <c r="D1184" s="28"/>
      <c r="E1184" s="174"/>
      <c r="F1184" s="28"/>
      <c r="G1184" s="28"/>
      <c r="H1184" s="28"/>
      <c r="I1184" s="28"/>
      <c r="J1184" s="28"/>
      <c r="K1184" s="175"/>
      <c r="L1184" s="175"/>
      <c r="M1184" s="175"/>
    </row>
    <row r="1185">
      <c r="A1185" s="28"/>
      <c r="B1185" s="122"/>
      <c r="C1185" s="122"/>
      <c r="D1185" s="28"/>
      <c r="E1185" s="174"/>
      <c r="F1185" s="28"/>
      <c r="G1185" s="28"/>
      <c r="H1185" s="28"/>
      <c r="I1185" s="28"/>
      <c r="J1185" s="28"/>
      <c r="K1185" s="175"/>
      <c r="L1185" s="175"/>
      <c r="M1185" s="175"/>
    </row>
    <row r="1186">
      <c r="A1186" s="28"/>
      <c r="B1186" s="122"/>
      <c r="C1186" s="122"/>
      <c r="D1186" s="28"/>
      <c r="E1186" s="174"/>
      <c r="F1186" s="28"/>
      <c r="G1186" s="28"/>
      <c r="H1186" s="28"/>
      <c r="I1186" s="28"/>
      <c r="J1186" s="28"/>
      <c r="K1186" s="175"/>
      <c r="L1186" s="175"/>
      <c r="M1186" s="175"/>
    </row>
    <row r="1187">
      <c r="A1187" s="28"/>
      <c r="B1187" s="122"/>
      <c r="C1187" s="122"/>
      <c r="D1187" s="28"/>
      <c r="E1187" s="174"/>
      <c r="F1187" s="28"/>
      <c r="G1187" s="28"/>
      <c r="H1187" s="28"/>
      <c r="I1187" s="28"/>
      <c r="J1187" s="28"/>
      <c r="K1187" s="175"/>
      <c r="L1187" s="175"/>
      <c r="M1187" s="175"/>
    </row>
    <row r="1188">
      <c r="A1188" s="28"/>
      <c r="B1188" s="122"/>
      <c r="C1188" s="122"/>
      <c r="D1188" s="28"/>
      <c r="E1188" s="174"/>
      <c r="F1188" s="28"/>
      <c r="G1188" s="28"/>
      <c r="H1188" s="28"/>
      <c r="I1188" s="28"/>
      <c r="J1188" s="28"/>
      <c r="K1188" s="175"/>
      <c r="L1188" s="175"/>
      <c r="M1188" s="175"/>
    </row>
    <row r="1189">
      <c r="A1189" s="28"/>
      <c r="B1189" s="122"/>
      <c r="C1189" s="122"/>
      <c r="D1189" s="28"/>
      <c r="E1189" s="174"/>
      <c r="F1189" s="28"/>
      <c r="G1189" s="28"/>
      <c r="H1189" s="28"/>
      <c r="I1189" s="28"/>
      <c r="J1189" s="28"/>
      <c r="K1189" s="175"/>
      <c r="L1189" s="175"/>
      <c r="M1189" s="175"/>
    </row>
    <row r="1190">
      <c r="A1190" s="28"/>
      <c r="B1190" s="122"/>
      <c r="C1190" s="122"/>
      <c r="D1190" s="28"/>
      <c r="E1190" s="174"/>
      <c r="F1190" s="28"/>
      <c r="G1190" s="28"/>
      <c r="H1190" s="28"/>
      <c r="I1190" s="28"/>
      <c r="J1190" s="28"/>
      <c r="K1190" s="175"/>
      <c r="L1190" s="175"/>
      <c r="M1190" s="175"/>
    </row>
    <row r="1191">
      <c r="A1191" s="28"/>
      <c r="B1191" s="122"/>
      <c r="C1191" s="122"/>
      <c r="D1191" s="28"/>
      <c r="E1191" s="174"/>
      <c r="F1191" s="28"/>
      <c r="G1191" s="28"/>
      <c r="H1191" s="28"/>
      <c r="I1191" s="28"/>
      <c r="J1191" s="28"/>
      <c r="K1191" s="175"/>
      <c r="L1191" s="175"/>
      <c r="M1191" s="175"/>
    </row>
    <row r="1192">
      <c r="A1192" s="28"/>
      <c r="B1192" s="122"/>
      <c r="C1192" s="122"/>
      <c r="D1192" s="28"/>
      <c r="E1192" s="174"/>
      <c r="F1192" s="28"/>
      <c r="G1192" s="28"/>
      <c r="H1192" s="28"/>
      <c r="I1192" s="28"/>
      <c r="J1192" s="28"/>
      <c r="K1192" s="175"/>
      <c r="L1192" s="175"/>
      <c r="M1192" s="175"/>
    </row>
    <row r="1193">
      <c r="A1193" s="28"/>
      <c r="B1193" s="122"/>
      <c r="C1193" s="122"/>
      <c r="D1193" s="28"/>
      <c r="E1193" s="174"/>
      <c r="F1193" s="28"/>
      <c r="G1193" s="28"/>
      <c r="H1193" s="28"/>
      <c r="I1193" s="28"/>
      <c r="J1193" s="28"/>
      <c r="K1193" s="175"/>
      <c r="L1193" s="175"/>
      <c r="M1193" s="175"/>
    </row>
    <row r="1194">
      <c r="A1194" s="28"/>
      <c r="B1194" s="122"/>
      <c r="C1194" s="122"/>
      <c r="D1194" s="28"/>
      <c r="E1194" s="174"/>
      <c r="F1194" s="28"/>
      <c r="G1194" s="28"/>
      <c r="H1194" s="28"/>
      <c r="I1194" s="28"/>
      <c r="J1194" s="28"/>
      <c r="K1194" s="175"/>
      <c r="L1194" s="175"/>
      <c r="M1194" s="175"/>
    </row>
    <row r="1195">
      <c r="A1195" s="28"/>
      <c r="B1195" s="122"/>
      <c r="C1195" s="122"/>
      <c r="D1195" s="28"/>
      <c r="E1195" s="174"/>
      <c r="F1195" s="28"/>
      <c r="G1195" s="28"/>
      <c r="H1195" s="28"/>
      <c r="I1195" s="28"/>
      <c r="J1195" s="28"/>
      <c r="K1195" s="175"/>
      <c r="L1195" s="175"/>
      <c r="M1195" s="175"/>
    </row>
    <row r="1196">
      <c r="A1196" s="28"/>
      <c r="B1196" s="122"/>
      <c r="C1196" s="122"/>
      <c r="D1196" s="28"/>
      <c r="E1196" s="174"/>
      <c r="F1196" s="28"/>
      <c r="G1196" s="28"/>
      <c r="H1196" s="28"/>
      <c r="I1196" s="28"/>
      <c r="J1196" s="28"/>
      <c r="K1196" s="175"/>
      <c r="L1196" s="175"/>
      <c r="M1196" s="175"/>
    </row>
    <row r="1197">
      <c r="A1197" s="28"/>
      <c r="B1197" s="122"/>
      <c r="C1197" s="122"/>
      <c r="D1197" s="28"/>
      <c r="E1197" s="174"/>
      <c r="F1197" s="28"/>
      <c r="G1197" s="28"/>
      <c r="H1197" s="28"/>
      <c r="I1197" s="28"/>
      <c r="J1197" s="28"/>
      <c r="K1197" s="175"/>
      <c r="L1197" s="175"/>
      <c r="M1197" s="175"/>
    </row>
    <row r="1198">
      <c r="A1198" s="28"/>
      <c r="B1198" s="122"/>
      <c r="C1198" s="122"/>
      <c r="D1198" s="28"/>
      <c r="E1198" s="174"/>
      <c r="F1198" s="28"/>
      <c r="G1198" s="28"/>
      <c r="H1198" s="28"/>
      <c r="I1198" s="28"/>
      <c r="J1198" s="28"/>
      <c r="K1198" s="175"/>
      <c r="L1198" s="175"/>
      <c r="M1198" s="175"/>
    </row>
    <row r="1199">
      <c r="A1199" s="28"/>
      <c r="B1199" s="122"/>
      <c r="C1199" s="122"/>
      <c r="D1199" s="28"/>
      <c r="E1199" s="174"/>
      <c r="F1199" s="28"/>
      <c r="G1199" s="28"/>
      <c r="H1199" s="28"/>
      <c r="I1199" s="28"/>
      <c r="J1199" s="28"/>
      <c r="K1199" s="175"/>
      <c r="L1199" s="175"/>
      <c r="M1199" s="175"/>
    </row>
    <row r="1200">
      <c r="A1200" s="28"/>
      <c r="B1200" s="122"/>
      <c r="C1200" s="122"/>
      <c r="D1200" s="28"/>
      <c r="E1200" s="174"/>
      <c r="F1200" s="28"/>
      <c r="G1200" s="28"/>
      <c r="H1200" s="28"/>
      <c r="I1200" s="28"/>
      <c r="J1200" s="28"/>
      <c r="K1200" s="175"/>
      <c r="L1200" s="175"/>
      <c r="M1200" s="175"/>
    </row>
    <row r="1201">
      <c r="A1201" s="28"/>
      <c r="B1201" s="122"/>
      <c r="C1201" s="122"/>
      <c r="D1201" s="28"/>
      <c r="E1201" s="174"/>
      <c r="F1201" s="28"/>
      <c r="G1201" s="28"/>
      <c r="H1201" s="28"/>
      <c r="I1201" s="28"/>
      <c r="J1201" s="28"/>
      <c r="K1201" s="175"/>
      <c r="L1201" s="175"/>
      <c r="M1201" s="175"/>
    </row>
    <row r="1202">
      <c r="A1202" s="28"/>
      <c r="B1202" s="122"/>
      <c r="C1202" s="122"/>
      <c r="D1202" s="28"/>
      <c r="E1202" s="174"/>
      <c r="F1202" s="28"/>
      <c r="G1202" s="28"/>
      <c r="H1202" s="28"/>
      <c r="I1202" s="28"/>
      <c r="J1202" s="28"/>
      <c r="K1202" s="175"/>
      <c r="L1202" s="175"/>
      <c r="M1202" s="175"/>
    </row>
    <row r="1203">
      <c r="A1203" s="28"/>
      <c r="B1203" s="122"/>
      <c r="C1203" s="122"/>
      <c r="D1203" s="28"/>
      <c r="E1203" s="174"/>
      <c r="F1203" s="28"/>
      <c r="G1203" s="28"/>
      <c r="H1203" s="28"/>
      <c r="I1203" s="28"/>
      <c r="J1203" s="28"/>
      <c r="K1203" s="175"/>
      <c r="L1203" s="175"/>
      <c r="M1203" s="175"/>
    </row>
    <row r="1204">
      <c r="A1204" s="28"/>
      <c r="B1204" s="122"/>
      <c r="C1204" s="122"/>
      <c r="D1204" s="28"/>
      <c r="E1204" s="174"/>
      <c r="F1204" s="28"/>
      <c r="G1204" s="28"/>
      <c r="H1204" s="28"/>
      <c r="I1204" s="28"/>
      <c r="J1204" s="28"/>
      <c r="K1204" s="175"/>
      <c r="L1204" s="175"/>
      <c r="M1204" s="175"/>
    </row>
    <row r="1205">
      <c r="A1205" s="28"/>
      <c r="B1205" s="122"/>
      <c r="C1205" s="122"/>
      <c r="D1205" s="28"/>
      <c r="E1205" s="174"/>
      <c r="F1205" s="28"/>
      <c r="G1205" s="28"/>
      <c r="H1205" s="28"/>
      <c r="I1205" s="28"/>
      <c r="J1205" s="28"/>
      <c r="K1205" s="175"/>
      <c r="L1205" s="175"/>
      <c r="M1205" s="175"/>
    </row>
    <row r="1206">
      <c r="A1206" s="28"/>
      <c r="B1206" s="122"/>
      <c r="C1206" s="122"/>
      <c r="D1206" s="28"/>
      <c r="E1206" s="174"/>
      <c r="F1206" s="28"/>
      <c r="G1206" s="28"/>
      <c r="H1206" s="28"/>
      <c r="I1206" s="28"/>
      <c r="J1206" s="28"/>
      <c r="K1206" s="175"/>
      <c r="L1206" s="175"/>
      <c r="M1206" s="175"/>
    </row>
    <row r="1207">
      <c r="A1207" s="28"/>
      <c r="B1207" s="122"/>
      <c r="C1207" s="122"/>
      <c r="D1207" s="28"/>
      <c r="E1207" s="174"/>
      <c r="F1207" s="28"/>
      <c r="G1207" s="28"/>
      <c r="H1207" s="28"/>
      <c r="I1207" s="28"/>
      <c r="J1207" s="28"/>
      <c r="K1207" s="175"/>
      <c r="L1207" s="175"/>
      <c r="M1207" s="175"/>
    </row>
    <row r="1208">
      <c r="A1208" s="28"/>
      <c r="B1208" s="122"/>
      <c r="C1208" s="122"/>
      <c r="D1208" s="28"/>
      <c r="E1208" s="174"/>
      <c r="F1208" s="28"/>
      <c r="G1208" s="28"/>
      <c r="H1208" s="28"/>
      <c r="I1208" s="28"/>
      <c r="J1208" s="28"/>
      <c r="K1208" s="175"/>
      <c r="L1208" s="175"/>
      <c r="M1208" s="175"/>
    </row>
    <row r="1209">
      <c r="A1209" s="28"/>
      <c r="B1209" s="122"/>
      <c r="C1209" s="122"/>
      <c r="D1209" s="28"/>
      <c r="E1209" s="174"/>
      <c r="F1209" s="28"/>
      <c r="G1209" s="28"/>
      <c r="H1209" s="28"/>
      <c r="I1209" s="28"/>
      <c r="J1209" s="28"/>
      <c r="K1209" s="175"/>
      <c r="L1209" s="175"/>
      <c r="M1209" s="175"/>
    </row>
    <row r="1210">
      <c r="A1210" s="28"/>
      <c r="B1210" s="122"/>
      <c r="C1210" s="122"/>
      <c r="D1210" s="28"/>
      <c r="E1210" s="174"/>
      <c r="F1210" s="28"/>
      <c r="G1210" s="28"/>
      <c r="H1210" s="28"/>
      <c r="I1210" s="28"/>
      <c r="J1210" s="28"/>
      <c r="K1210" s="175"/>
      <c r="L1210" s="175"/>
      <c r="M1210" s="175"/>
    </row>
    <row r="1211">
      <c r="A1211" s="28"/>
      <c r="B1211" s="122"/>
      <c r="C1211" s="122"/>
      <c r="D1211" s="28"/>
      <c r="E1211" s="174"/>
      <c r="F1211" s="28"/>
      <c r="G1211" s="28"/>
      <c r="H1211" s="28"/>
      <c r="I1211" s="28"/>
      <c r="J1211" s="28"/>
      <c r="K1211" s="175"/>
      <c r="L1211" s="175"/>
      <c r="M1211" s="175"/>
    </row>
    <row r="1212">
      <c r="A1212" s="28"/>
      <c r="B1212" s="122"/>
      <c r="C1212" s="122"/>
      <c r="D1212" s="28"/>
      <c r="E1212" s="174"/>
      <c r="F1212" s="28"/>
      <c r="G1212" s="28"/>
      <c r="H1212" s="28"/>
      <c r="I1212" s="28"/>
      <c r="J1212" s="28"/>
      <c r="K1212" s="175"/>
      <c r="L1212" s="175"/>
      <c r="M1212" s="175"/>
    </row>
    <row r="1213">
      <c r="A1213" s="28"/>
      <c r="B1213" s="122"/>
      <c r="C1213" s="122"/>
      <c r="D1213" s="28"/>
      <c r="E1213" s="174"/>
      <c r="F1213" s="28"/>
      <c r="G1213" s="28"/>
      <c r="H1213" s="28"/>
      <c r="I1213" s="28"/>
      <c r="J1213" s="28"/>
      <c r="K1213" s="175"/>
      <c r="L1213" s="175"/>
      <c r="M1213" s="175"/>
    </row>
    <row r="1214">
      <c r="A1214" s="28"/>
      <c r="B1214" s="122"/>
      <c r="C1214" s="122"/>
      <c r="D1214" s="28"/>
      <c r="E1214" s="174"/>
      <c r="F1214" s="28"/>
      <c r="G1214" s="28"/>
      <c r="H1214" s="28"/>
      <c r="I1214" s="28"/>
      <c r="J1214" s="28"/>
      <c r="K1214" s="175"/>
      <c r="L1214" s="175"/>
      <c r="M1214" s="175"/>
    </row>
    <row r="1215">
      <c r="A1215" s="28"/>
      <c r="B1215" s="122"/>
      <c r="C1215" s="122"/>
      <c r="D1215" s="28"/>
      <c r="E1215" s="174"/>
      <c r="F1215" s="28"/>
      <c r="G1215" s="28"/>
      <c r="H1215" s="28"/>
      <c r="I1215" s="28"/>
      <c r="J1215" s="28"/>
      <c r="K1215" s="175"/>
      <c r="L1215" s="175"/>
      <c r="M1215" s="175"/>
    </row>
    <row r="1216">
      <c r="A1216" s="28"/>
      <c r="B1216" s="122"/>
      <c r="C1216" s="122"/>
      <c r="D1216" s="28"/>
      <c r="E1216" s="174"/>
      <c r="F1216" s="28"/>
      <c r="G1216" s="28"/>
      <c r="H1216" s="28"/>
      <c r="I1216" s="28"/>
      <c r="J1216" s="28"/>
      <c r="K1216" s="175"/>
      <c r="L1216" s="175"/>
      <c r="M1216" s="175"/>
    </row>
    <row r="1217">
      <c r="A1217" s="28"/>
      <c r="B1217" s="122"/>
      <c r="C1217" s="122"/>
      <c r="D1217" s="28"/>
      <c r="E1217" s="174"/>
      <c r="F1217" s="28"/>
      <c r="G1217" s="28"/>
      <c r="H1217" s="28"/>
      <c r="I1217" s="28"/>
      <c r="J1217" s="28"/>
      <c r="K1217" s="175"/>
      <c r="L1217" s="175"/>
      <c r="M1217" s="175"/>
    </row>
    <row r="1218">
      <c r="A1218" s="28"/>
      <c r="B1218" s="122"/>
      <c r="C1218" s="122"/>
      <c r="D1218" s="28"/>
      <c r="E1218" s="174"/>
      <c r="F1218" s="28"/>
      <c r="G1218" s="28"/>
      <c r="H1218" s="28"/>
      <c r="I1218" s="28"/>
      <c r="J1218" s="28"/>
      <c r="K1218" s="175"/>
      <c r="L1218" s="175"/>
      <c r="M1218" s="175"/>
    </row>
    <row r="1219">
      <c r="A1219" s="28"/>
      <c r="B1219" s="122"/>
      <c r="C1219" s="122"/>
      <c r="D1219" s="28"/>
      <c r="E1219" s="174"/>
      <c r="F1219" s="28"/>
      <c r="G1219" s="28"/>
      <c r="H1219" s="28"/>
      <c r="I1219" s="28"/>
      <c r="J1219" s="28"/>
      <c r="K1219" s="175"/>
      <c r="L1219" s="175"/>
      <c r="M1219" s="175"/>
    </row>
    <row r="1220">
      <c r="A1220" s="28"/>
      <c r="B1220" s="122"/>
      <c r="C1220" s="122"/>
      <c r="D1220" s="28"/>
      <c r="E1220" s="174"/>
      <c r="F1220" s="28"/>
      <c r="G1220" s="28"/>
      <c r="H1220" s="28"/>
      <c r="I1220" s="28"/>
      <c r="J1220" s="28"/>
      <c r="K1220" s="175"/>
      <c r="L1220" s="175"/>
      <c r="M1220" s="175"/>
    </row>
    <row r="1221">
      <c r="A1221" s="28"/>
      <c r="B1221" s="122"/>
      <c r="C1221" s="122"/>
      <c r="D1221" s="28"/>
      <c r="E1221" s="174"/>
      <c r="F1221" s="28"/>
      <c r="G1221" s="28"/>
      <c r="H1221" s="28"/>
      <c r="I1221" s="28"/>
      <c r="J1221" s="28"/>
      <c r="K1221" s="175"/>
      <c r="L1221" s="175"/>
      <c r="M1221" s="175"/>
    </row>
    <row r="1222">
      <c r="A1222" s="28"/>
      <c r="B1222" s="122"/>
      <c r="C1222" s="122"/>
      <c r="D1222" s="28"/>
      <c r="E1222" s="174"/>
      <c r="F1222" s="28"/>
      <c r="G1222" s="28"/>
      <c r="H1222" s="28"/>
      <c r="I1222" s="28"/>
      <c r="J1222" s="28"/>
      <c r="K1222" s="175"/>
      <c r="L1222" s="175"/>
      <c r="M1222" s="175"/>
    </row>
    <row r="1223">
      <c r="A1223" s="28"/>
      <c r="B1223" s="122"/>
      <c r="C1223" s="122"/>
      <c r="D1223" s="28"/>
      <c r="E1223" s="174"/>
      <c r="F1223" s="28"/>
      <c r="G1223" s="28"/>
      <c r="H1223" s="28"/>
      <c r="I1223" s="28"/>
      <c r="J1223" s="28"/>
      <c r="K1223" s="175"/>
      <c r="L1223" s="175"/>
      <c r="M1223" s="175"/>
    </row>
    <row r="1224">
      <c r="A1224" s="28"/>
      <c r="B1224" s="122"/>
      <c r="C1224" s="122"/>
      <c r="D1224" s="28"/>
      <c r="E1224" s="174"/>
      <c r="F1224" s="28"/>
      <c r="G1224" s="28"/>
      <c r="H1224" s="28"/>
      <c r="I1224" s="28"/>
      <c r="J1224" s="28"/>
      <c r="K1224" s="175"/>
      <c r="L1224" s="175"/>
      <c r="M1224" s="175"/>
    </row>
    <row r="1225">
      <c r="A1225" s="28"/>
      <c r="B1225" s="122"/>
      <c r="C1225" s="122"/>
      <c r="D1225" s="28"/>
      <c r="E1225" s="174"/>
      <c r="F1225" s="28"/>
      <c r="G1225" s="28"/>
      <c r="H1225" s="28"/>
      <c r="I1225" s="28"/>
      <c r="J1225" s="28"/>
      <c r="K1225" s="175"/>
      <c r="L1225" s="175"/>
      <c r="M1225" s="175"/>
    </row>
    <row r="1226">
      <c r="A1226" s="28"/>
      <c r="B1226" s="122"/>
      <c r="C1226" s="122"/>
      <c r="D1226" s="28"/>
      <c r="E1226" s="174"/>
      <c r="F1226" s="28"/>
      <c r="G1226" s="28"/>
      <c r="H1226" s="28"/>
      <c r="I1226" s="28"/>
      <c r="J1226" s="28"/>
      <c r="K1226" s="175"/>
      <c r="L1226" s="175"/>
      <c r="M1226" s="175"/>
    </row>
    <row r="1227">
      <c r="A1227" s="28"/>
      <c r="B1227" s="122"/>
      <c r="C1227" s="122"/>
      <c r="D1227" s="28"/>
      <c r="E1227" s="174"/>
      <c r="F1227" s="28"/>
      <c r="G1227" s="28"/>
      <c r="H1227" s="28"/>
      <c r="I1227" s="28"/>
      <c r="J1227" s="28"/>
      <c r="K1227" s="175"/>
      <c r="L1227" s="175"/>
      <c r="M1227" s="175"/>
    </row>
    <row r="1228">
      <c r="A1228" s="28"/>
      <c r="B1228" s="122"/>
      <c r="C1228" s="122"/>
      <c r="D1228" s="28"/>
      <c r="E1228" s="174"/>
      <c r="F1228" s="28"/>
      <c r="G1228" s="28"/>
      <c r="H1228" s="28"/>
      <c r="I1228" s="28"/>
      <c r="J1228" s="28"/>
      <c r="K1228" s="175"/>
      <c r="L1228" s="175"/>
      <c r="M1228" s="175"/>
    </row>
  </sheetData>
  <autoFilter ref="$A$1:$E$293"/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5.38"/>
    <col customWidth="1" min="3" max="3" width="28.0"/>
    <col customWidth="1" min="4" max="4" width="29.0"/>
    <col customWidth="1" min="5" max="5" width="82.38"/>
    <col customWidth="1" min="6" max="6" width="11.88"/>
    <col customWidth="1" min="7" max="7" width="11.75"/>
    <col customWidth="1" min="8" max="8" width="8.5"/>
  </cols>
  <sheetData>
    <row r="1">
      <c r="B1" s="124" t="s">
        <v>1248</v>
      </c>
      <c r="C1" s="176" t="s">
        <v>1005</v>
      </c>
      <c r="D1" s="177" t="s">
        <v>1249</v>
      </c>
      <c r="E1" s="177" t="s">
        <v>17</v>
      </c>
      <c r="F1" s="19" t="str">
        <f t="array" ref="F1:H1">'ALL INDIA ACCESORIES'!D1:F1</f>
        <v>MRP as on 01st May, 2026</v>
      </c>
      <c r="G1" s="19" t="s">
        <v>19</v>
      </c>
      <c r="H1" s="178" t="s">
        <v>20</v>
      </c>
      <c r="V1" s="179">
        <v>240.0</v>
      </c>
    </row>
    <row r="2">
      <c r="B2" s="180"/>
      <c r="C2" s="133" t="s">
        <v>675</v>
      </c>
      <c r="D2" s="181"/>
      <c r="E2" s="182"/>
      <c r="F2" s="55"/>
      <c r="G2" s="169"/>
      <c r="H2" s="183"/>
      <c r="V2" s="184"/>
    </row>
    <row r="3">
      <c r="B3" s="185">
        <v>1.0</v>
      </c>
      <c r="C3" s="186" t="s">
        <v>315</v>
      </c>
      <c r="D3" s="187" t="s">
        <v>73</v>
      </c>
      <c r="E3" s="188" t="s">
        <v>74</v>
      </c>
      <c r="F3" s="39">
        <f t="array" ref="F3:G3">VLOOKUP(D3,MASTER!$C$2:$F966,{3,4},0)</f>
        <v>1390</v>
      </c>
      <c r="G3" s="39">
        <v>1490.0</v>
      </c>
      <c r="H3" s="143">
        <f t="shared" ref="H3:H11" si="1">IFERROR(DIVIDE(MINUS(G3,F3),F3),)</f>
        <v>0.07194244604</v>
      </c>
      <c r="V3" s="184"/>
    </row>
    <row r="4">
      <c r="B4" s="189">
        <v>2.0</v>
      </c>
      <c r="C4" s="190">
        <v>54.0</v>
      </c>
      <c r="D4" s="190" t="s">
        <v>154</v>
      </c>
      <c r="E4" s="46" t="s">
        <v>156</v>
      </c>
      <c r="F4" s="39">
        <f t="array" ref="F4:G4">VLOOKUP(D4,MASTER!$C$2:$F966,{3,4},0)</f>
        <v>3680</v>
      </c>
      <c r="G4" s="39">
        <v>3990.0</v>
      </c>
      <c r="H4" s="143">
        <f t="shared" si="1"/>
        <v>0.08423913043</v>
      </c>
      <c r="V4" s="184"/>
    </row>
    <row r="5">
      <c r="B5" s="189">
        <v>3.0</v>
      </c>
      <c r="C5" s="190">
        <v>91.0</v>
      </c>
      <c r="D5" s="190" t="s">
        <v>212</v>
      </c>
      <c r="E5" s="46" t="s">
        <v>214</v>
      </c>
      <c r="F5" s="39">
        <f t="array" ref="F5:G5">VLOOKUP(D5,MASTER!$C$2:$F966,{3,4},0)</f>
        <v>4240</v>
      </c>
      <c r="G5" s="39">
        <v>4580.0</v>
      </c>
      <c r="H5" s="143">
        <f t="shared" si="1"/>
        <v>0.08018867925</v>
      </c>
      <c r="V5" s="184"/>
    </row>
    <row r="6">
      <c r="B6" s="189">
        <v>4.0</v>
      </c>
      <c r="C6" s="190">
        <v>92.0</v>
      </c>
      <c r="D6" s="190" t="s">
        <v>223</v>
      </c>
      <c r="E6" s="46" t="s">
        <v>224</v>
      </c>
      <c r="F6" s="39">
        <f t="array" ref="F6:G6">VLOOKUP(D6,MASTER!$C$2:$F966,{3,4},0)</f>
        <v>4980</v>
      </c>
      <c r="G6" s="39">
        <v>5490.0</v>
      </c>
      <c r="H6" s="143">
        <f t="shared" si="1"/>
        <v>0.1024096386</v>
      </c>
      <c r="V6" s="184"/>
    </row>
    <row r="7">
      <c r="B7" s="189">
        <v>5.0</v>
      </c>
      <c r="C7" s="190">
        <v>93.0</v>
      </c>
      <c r="D7" s="190" t="s">
        <v>234</v>
      </c>
      <c r="E7" s="46" t="s">
        <v>235</v>
      </c>
      <c r="F7" s="39">
        <f t="array" ref="F7:G7">VLOOKUP(D7,MASTER!$C$2:$F966,{3,4},0)</f>
        <v>4740</v>
      </c>
      <c r="G7" s="39">
        <v>5250.0</v>
      </c>
      <c r="H7" s="143">
        <f t="shared" si="1"/>
        <v>0.1075949367</v>
      </c>
      <c r="V7" s="184"/>
    </row>
    <row r="8">
      <c r="B8" s="189">
        <v>6.0</v>
      </c>
      <c r="C8" s="190" t="s">
        <v>368</v>
      </c>
      <c r="D8" s="190" t="s">
        <v>243</v>
      </c>
      <c r="E8" s="46" t="s">
        <v>244</v>
      </c>
      <c r="F8" s="39">
        <f t="array" ref="F8:G8">VLOOKUP(D8,MASTER!$C$2:$F966,{3,4},0)</f>
        <v>4980</v>
      </c>
      <c r="G8" s="39">
        <v>5490.0</v>
      </c>
      <c r="H8" s="143">
        <f t="shared" si="1"/>
        <v>0.1024096386</v>
      </c>
      <c r="V8" s="184"/>
    </row>
    <row r="9">
      <c r="B9" s="191">
        <v>7.0</v>
      </c>
      <c r="C9" s="192" t="s">
        <v>410</v>
      </c>
      <c r="D9" s="192" t="s">
        <v>253</v>
      </c>
      <c r="E9" s="46" t="s">
        <v>256</v>
      </c>
      <c r="F9" s="39">
        <f t="array" ref="F9:G9">VLOOKUP(D9,MASTER!$C$2:$F966,{3,4},0)</f>
        <v>4740</v>
      </c>
      <c r="G9" s="39">
        <v>5250.0</v>
      </c>
      <c r="H9" s="143">
        <f t="shared" si="1"/>
        <v>0.1075949367</v>
      </c>
      <c r="V9" s="184"/>
    </row>
    <row r="10">
      <c r="B10" s="189">
        <v>8.0</v>
      </c>
      <c r="C10" s="15" t="s">
        <v>1251</v>
      </c>
      <c r="D10" s="91" t="s">
        <v>381</v>
      </c>
      <c r="E10" s="46" t="s">
        <v>1252</v>
      </c>
      <c r="F10" s="97" t="str">
        <f t="array" ref="F10:G10">VLOOKUP(D10,MASTER!$C$2:$F966,{3,4},0)</f>
        <v>NEW</v>
      </c>
      <c r="G10" s="39">
        <v>4990.0</v>
      </c>
      <c r="H10" s="143" t="str">
        <f t="shared" si="1"/>
        <v/>
      </c>
      <c r="V10" s="184"/>
    </row>
    <row r="11">
      <c r="B11" s="189">
        <v>9.0</v>
      </c>
      <c r="C11" s="15" t="s">
        <v>1253</v>
      </c>
      <c r="D11" s="91" t="s">
        <v>392</v>
      </c>
      <c r="E11" s="46" t="s">
        <v>1254</v>
      </c>
      <c r="F11" s="97" t="str">
        <f t="array" ref="F11:G11">VLOOKUP(D11,MASTER!$C$2:$F966,{3,4},0)</f>
        <v>NEW</v>
      </c>
      <c r="G11" s="39">
        <v>4750.0</v>
      </c>
      <c r="H11" s="143" t="str">
        <f t="shared" si="1"/>
        <v/>
      </c>
      <c r="V11" s="184"/>
    </row>
    <row r="12">
      <c r="B12" s="193"/>
      <c r="C12" s="194"/>
      <c r="D12" s="195"/>
      <c r="E12" s="196"/>
      <c r="F12" s="69"/>
      <c r="G12" s="196"/>
      <c r="H12" s="183"/>
      <c r="V12" s="184"/>
    </row>
    <row r="13">
      <c r="B13" s="197"/>
      <c r="C13" s="198" t="s">
        <v>1255</v>
      </c>
      <c r="D13" s="199"/>
      <c r="E13" s="196"/>
      <c r="F13" s="69"/>
      <c r="G13" s="196"/>
      <c r="H13" s="183"/>
      <c r="V13" s="184"/>
    </row>
    <row r="14">
      <c r="B14" s="189">
        <v>1.0</v>
      </c>
      <c r="C14" s="15" t="s">
        <v>300</v>
      </c>
      <c r="D14" s="15" t="s">
        <v>316</v>
      </c>
      <c r="E14" s="46" t="s">
        <v>78</v>
      </c>
      <c r="F14" s="39">
        <f t="array" ref="F14:G14">VLOOKUP(D14,MASTER!$C$2:$F966,{3,4},0)</f>
        <v>1290</v>
      </c>
      <c r="G14" s="39">
        <v>1360.0</v>
      </c>
      <c r="H14" s="143">
        <f t="shared" ref="H14:H27" si="2">IFERROR(DIVIDE(MINUS(G14,F14),F14),)</f>
        <v>0.05426356589</v>
      </c>
      <c r="V14" s="184"/>
    </row>
    <row r="15">
      <c r="B15" s="189">
        <v>2.0</v>
      </c>
      <c r="C15" s="15" t="s">
        <v>422</v>
      </c>
      <c r="D15" s="15" t="s">
        <v>429</v>
      </c>
      <c r="E15" s="46" t="s">
        <v>78</v>
      </c>
      <c r="F15" s="39">
        <f t="array" ref="F15:G15">VLOOKUP(D15,MASTER!$C$2:$F966,{3,4},0)</f>
        <v>1290</v>
      </c>
      <c r="G15" s="39">
        <v>1350.0</v>
      </c>
      <c r="H15" s="143">
        <f t="shared" si="2"/>
        <v>0.04651162791</v>
      </c>
      <c r="V15" s="184"/>
    </row>
    <row r="16">
      <c r="B16" s="189">
        <v>3.0</v>
      </c>
      <c r="C16" s="15" t="s">
        <v>511</v>
      </c>
      <c r="D16" s="15" t="s">
        <v>520</v>
      </c>
      <c r="E16" s="46" t="s">
        <v>78</v>
      </c>
      <c r="F16" s="39">
        <f t="array" ref="F16:G16">VLOOKUP(D16,MASTER!$C$2:$F966,{3,4},0)</f>
        <v>1290</v>
      </c>
      <c r="G16" s="39">
        <v>1360.0</v>
      </c>
      <c r="H16" s="143">
        <f t="shared" si="2"/>
        <v>0.05426356589</v>
      </c>
      <c r="V16" s="184"/>
    </row>
    <row r="17">
      <c r="B17" s="189">
        <v>4.0</v>
      </c>
      <c r="C17" s="15" t="s">
        <v>595</v>
      </c>
      <c r="D17" s="15" t="s">
        <v>603</v>
      </c>
      <c r="E17" s="46" t="s">
        <v>78</v>
      </c>
      <c r="F17" s="39">
        <f t="array" ref="F17:G17">VLOOKUP(D17,MASTER!$C$2:$F966,{3,4},0)</f>
        <v>1290</v>
      </c>
      <c r="G17" s="39">
        <v>1360.0</v>
      </c>
      <c r="H17" s="143">
        <f t="shared" si="2"/>
        <v>0.05426356589</v>
      </c>
      <c r="V17" s="184"/>
    </row>
    <row r="18">
      <c r="B18" s="189">
        <v>5.0</v>
      </c>
      <c r="C18" s="15" t="s">
        <v>716</v>
      </c>
      <c r="D18" s="15" t="s">
        <v>723</v>
      </c>
      <c r="E18" s="46" t="s">
        <v>78</v>
      </c>
      <c r="F18" s="39">
        <f t="array" ref="F18:G18">VLOOKUP(D18,MASTER!$C$2:$F966,{3,4},0)</f>
        <v>1340</v>
      </c>
      <c r="G18" s="39">
        <v>1390.0</v>
      </c>
      <c r="H18" s="143">
        <f t="shared" si="2"/>
        <v>0.03731343284</v>
      </c>
      <c r="V18" s="184"/>
    </row>
    <row r="19">
      <c r="B19" s="189">
        <v>6.0</v>
      </c>
      <c r="C19" s="15" t="s">
        <v>787</v>
      </c>
      <c r="D19" s="15" t="s">
        <v>792</v>
      </c>
      <c r="E19" s="46" t="s">
        <v>78</v>
      </c>
      <c r="F19" s="39">
        <f t="array" ref="F19:G19">VLOOKUP(D19,MASTER!$C$2:$F966,{3,4},0)</f>
        <v>1340</v>
      </c>
      <c r="G19" s="39">
        <v>1390.0</v>
      </c>
      <c r="H19" s="143">
        <f t="shared" si="2"/>
        <v>0.03731343284</v>
      </c>
      <c r="V19" s="184"/>
    </row>
    <row r="20">
      <c r="B20" s="189">
        <v>7.0</v>
      </c>
      <c r="C20" s="15" t="s">
        <v>856</v>
      </c>
      <c r="D20" s="15" t="s">
        <v>866</v>
      </c>
      <c r="E20" s="46" t="s">
        <v>78</v>
      </c>
      <c r="F20" s="39">
        <f t="array" ref="F20:G20">VLOOKUP(D20,MASTER!$C$2:$F966,{3,4},0)</f>
        <v>1340</v>
      </c>
      <c r="G20" s="83" t="s">
        <v>202</v>
      </c>
      <c r="H20" s="143" t="str">
        <f t="shared" si="2"/>
        <v/>
      </c>
      <c r="V20" s="184"/>
    </row>
    <row r="21">
      <c r="B21" s="189">
        <v>8.0</v>
      </c>
      <c r="C21" s="15" t="s">
        <v>929</v>
      </c>
      <c r="D21" s="15" t="s">
        <v>939</v>
      </c>
      <c r="E21" s="46" t="s">
        <v>78</v>
      </c>
      <c r="F21" s="39">
        <f t="array" ref="F21:G21">VLOOKUP(D21,MASTER!$C$2:$F966,{3,4},0)</f>
        <v>1340</v>
      </c>
      <c r="G21" s="39">
        <v>1390.0</v>
      </c>
      <c r="H21" s="143">
        <f t="shared" si="2"/>
        <v>0.03731343284</v>
      </c>
      <c r="V21" s="184"/>
    </row>
    <row r="22">
      <c r="B22" s="189">
        <v>10.0</v>
      </c>
      <c r="C22" s="15" t="s">
        <v>1011</v>
      </c>
      <c r="D22" s="15" t="s">
        <v>1018</v>
      </c>
      <c r="E22" s="46" t="s">
        <v>78</v>
      </c>
      <c r="F22" s="39">
        <f t="array" ref="F22:G22">VLOOKUP(D22,MASTER!$C$2:$F966,{3,4},0)</f>
        <v>1340</v>
      </c>
      <c r="G22" s="39">
        <v>1390.0</v>
      </c>
      <c r="H22" s="143">
        <f t="shared" si="2"/>
        <v>0.03731343284</v>
      </c>
      <c r="V22" s="184"/>
    </row>
    <row r="23">
      <c r="B23" s="189">
        <v>11.0</v>
      </c>
      <c r="C23" s="15" t="s">
        <v>1049</v>
      </c>
      <c r="D23" s="15" t="s">
        <v>1054</v>
      </c>
      <c r="E23" s="46" t="s">
        <v>78</v>
      </c>
      <c r="F23" s="39">
        <f t="array" ref="F23:G23">VLOOKUP(D23,MASTER!$C$2:$F966,{3,4},0)</f>
        <v>1340</v>
      </c>
      <c r="G23" s="39">
        <v>1390.0</v>
      </c>
      <c r="H23" s="143">
        <f t="shared" si="2"/>
        <v>0.03731343284</v>
      </c>
      <c r="V23" s="184"/>
    </row>
    <row r="24">
      <c r="B24" s="189">
        <v>12.0</v>
      </c>
      <c r="C24" s="15" t="s">
        <v>1121</v>
      </c>
      <c r="D24" s="15" t="s">
        <v>1122</v>
      </c>
      <c r="E24" s="46" t="s">
        <v>78</v>
      </c>
      <c r="F24" s="39">
        <f t="array" ref="F24:G24">VLOOKUP(D24,MASTER!$C$2:$F966,{3,4},0)</f>
        <v>1290</v>
      </c>
      <c r="G24" s="39">
        <v>1390.0</v>
      </c>
      <c r="H24" s="143">
        <f t="shared" si="2"/>
        <v>0.07751937984</v>
      </c>
      <c r="V24" s="184"/>
    </row>
    <row r="25">
      <c r="B25" s="189">
        <v>13.0</v>
      </c>
      <c r="C25" s="15" t="s">
        <v>1129</v>
      </c>
      <c r="D25" s="15" t="s">
        <v>1130</v>
      </c>
      <c r="E25" s="46" t="s">
        <v>78</v>
      </c>
      <c r="F25" s="39">
        <f t="array" ref="F25:G25">VLOOKUP(D25,MASTER!$C$2:$F966,{3,4},0)</f>
        <v>1290</v>
      </c>
      <c r="G25" s="39">
        <v>1390.0</v>
      </c>
      <c r="H25" s="143">
        <f t="shared" si="2"/>
        <v>0.07751937984</v>
      </c>
      <c r="V25" s="184"/>
    </row>
    <row r="26">
      <c r="B26" s="189">
        <v>14.0</v>
      </c>
      <c r="C26" s="15" t="s">
        <v>1183</v>
      </c>
      <c r="D26" s="15" t="s">
        <v>1184</v>
      </c>
      <c r="E26" s="46" t="s">
        <v>78</v>
      </c>
      <c r="F26" s="39">
        <f t="array" ref="F26:G26">VLOOKUP(D26,MASTER!$C$2:$F966,{3,4},0)</f>
        <v>1390</v>
      </c>
      <c r="G26" s="39">
        <v>1490.0</v>
      </c>
      <c r="H26" s="143">
        <f t="shared" si="2"/>
        <v>0.07194244604</v>
      </c>
      <c r="V26" s="184"/>
    </row>
    <row r="27">
      <c r="B27" s="189">
        <v>16.0</v>
      </c>
      <c r="C27" s="15" t="s">
        <v>1189</v>
      </c>
      <c r="D27" s="15" t="s">
        <v>1190</v>
      </c>
      <c r="E27" s="46" t="s">
        <v>78</v>
      </c>
      <c r="F27" s="39">
        <f t="array" ref="F27:G27">VLOOKUP(D27,MASTER!$C$2:$F966,{3,4},0)</f>
        <v>1390</v>
      </c>
      <c r="G27" s="39">
        <v>1490.0</v>
      </c>
      <c r="H27" s="143">
        <f t="shared" si="2"/>
        <v>0.07194244604</v>
      </c>
      <c r="V27" s="184"/>
    </row>
    <row r="28">
      <c r="B28" s="193"/>
      <c r="C28" s="200"/>
      <c r="D28" s="201"/>
      <c r="E28" s="196"/>
      <c r="F28" s="69"/>
      <c r="G28" s="196"/>
      <c r="H28" s="183"/>
      <c r="V28" s="184"/>
    </row>
    <row r="29">
      <c r="B29" s="202"/>
      <c r="C29" s="198" t="s">
        <v>1258</v>
      </c>
      <c r="D29" s="199"/>
      <c r="E29" s="202"/>
      <c r="F29" s="69"/>
      <c r="G29" s="196"/>
      <c r="H29" s="183"/>
      <c r="V29" s="184"/>
    </row>
    <row r="30">
      <c r="B30" s="185">
        <v>1.0</v>
      </c>
      <c r="C30" s="203" t="s">
        <v>300</v>
      </c>
      <c r="D30" s="204" t="s">
        <v>345</v>
      </c>
      <c r="E30" s="205" t="s">
        <v>78</v>
      </c>
      <c r="F30" s="39">
        <f t="array" ref="F30:G30">VLOOKUP(D30,MASTER!$C$2:$F966,{3,4},0)</f>
        <v>1960</v>
      </c>
      <c r="G30" s="39">
        <v>2140.0</v>
      </c>
      <c r="H30" s="143">
        <f t="shared" ref="H30:H52" si="3">IFERROR(DIVIDE(MINUS(G30,F30),F30),)</f>
        <v>0.09183673469</v>
      </c>
      <c r="V30" s="184"/>
    </row>
    <row r="31">
      <c r="B31" s="189">
        <v>2.0</v>
      </c>
      <c r="C31" s="192" t="s">
        <v>422</v>
      </c>
      <c r="D31" s="190" t="s">
        <v>453</v>
      </c>
      <c r="E31" s="46" t="s">
        <v>78</v>
      </c>
      <c r="F31" s="39">
        <f t="array" ref="F31:G31">VLOOKUP(D31,MASTER!$C$2:$F966,{3,4},0)</f>
        <v>1960</v>
      </c>
      <c r="G31" s="39">
        <v>2240.0</v>
      </c>
      <c r="H31" s="143">
        <f t="shared" si="3"/>
        <v>0.1428571429</v>
      </c>
      <c r="V31" s="184"/>
    </row>
    <row r="32">
      <c r="B32" s="185">
        <v>3.0</v>
      </c>
      <c r="C32" s="192" t="s">
        <v>511</v>
      </c>
      <c r="D32" s="204" t="s">
        <v>541</v>
      </c>
      <c r="E32" s="205" t="s">
        <v>78</v>
      </c>
      <c r="F32" s="39">
        <f t="array" ref="F32:G32">VLOOKUP(D32,MASTER!$C$2:$F966,{3,4},0)</f>
        <v>2060</v>
      </c>
      <c r="G32" s="39">
        <v>2060.0</v>
      </c>
      <c r="H32" s="143">
        <f t="shared" si="3"/>
        <v>0</v>
      </c>
      <c r="V32" s="184"/>
    </row>
    <row r="33">
      <c r="B33" s="189">
        <v>4.0</v>
      </c>
      <c r="C33" s="192" t="s">
        <v>595</v>
      </c>
      <c r="D33" s="190" t="s">
        <v>616</v>
      </c>
      <c r="E33" s="46" t="s">
        <v>78</v>
      </c>
      <c r="F33" s="39">
        <f t="array" ref="F33:G33">VLOOKUP(D33,MASTER!$C$2:$F966,{3,4},0)</f>
        <v>2060</v>
      </c>
      <c r="G33" s="39">
        <v>2180.0</v>
      </c>
      <c r="H33" s="143">
        <f t="shared" si="3"/>
        <v>0.05825242718</v>
      </c>
      <c r="V33" s="184"/>
    </row>
    <row r="34">
      <c r="B34" s="185">
        <v>5.0</v>
      </c>
      <c r="C34" s="192" t="s">
        <v>716</v>
      </c>
      <c r="D34" s="190" t="s">
        <v>738</v>
      </c>
      <c r="E34" s="46" t="s">
        <v>78</v>
      </c>
      <c r="F34" s="39">
        <f t="array" ref="F34:G34">VLOOKUP(D34,MASTER!$C$2:$F966,{3,4},0)</f>
        <v>2460</v>
      </c>
      <c r="G34" s="39">
        <v>2690.0</v>
      </c>
      <c r="H34" s="143">
        <f t="shared" si="3"/>
        <v>0.09349593496</v>
      </c>
      <c r="V34" s="184"/>
    </row>
    <row r="35">
      <c r="B35" s="189">
        <v>6.0</v>
      </c>
      <c r="C35" s="192" t="s">
        <v>787</v>
      </c>
      <c r="D35" s="190" t="s">
        <v>803</v>
      </c>
      <c r="E35" s="46" t="s">
        <v>78</v>
      </c>
      <c r="F35" s="39">
        <f t="array" ref="F35:G35">VLOOKUP(D35,MASTER!$C$2:$F966,{3,4},0)</f>
        <v>2460</v>
      </c>
      <c r="G35" s="39">
        <v>2580.0</v>
      </c>
      <c r="H35" s="143">
        <f t="shared" si="3"/>
        <v>0.0487804878</v>
      </c>
      <c r="V35" s="184"/>
    </row>
    <row r="36">
      <c r="B36" s="185">
        <v>7.0</v>
      </c>
      <c r="C36" s="192" t="s">
        <v>856</v>
      </c>
      <c r="D36" s="190" t="s">
        <v>883</v>
      </c>
      <c r="E36" s="46" t="s">
        <v>78</v>
      </c>
      <c r="F36" s="39">
        <f t="array" ref="F36:G36">VLOOKUP(D36,MASTER!$C$2:$F966,{3,4},0)</f>
        <v>2460</v>
      </c>
      <c r="G36" s="83" t="s">
        <v>202</v>
      </c>
      <c r="H36" s="143" t="str">
        <f t="shared" si="3"/>
        <v/>
      </c>
      <c r="V36" s="184"/>
    </row>
    <row r="37">
      <c r="B37" s="189">
        <v>8.0</v>
      </c>
      <c r="C37" s="192" t="s">
        <v>856</v>
      </c>
      <c r="D37" s="190" t="s">
        <v>887</v>
      </c>
      <c r="E37" s="46" t="s">
        <v>78</v>
      </c>
      <c r="F37" s="39">
        <f t="array" ref="F37:G37">VLOOKUP(D37,MASTER!$C$2:$F966,{3,4},0)</f>
        <v>2060</v>
      </c>
      <c r="G37" s="83" t="s">
        <v>202</v>
      </c>
      <c r="H37" s="143" t="str">
        <f t="shared" si="3"/>
        <v/>
      </c>
      <c r="V37" s="184"/>
    </row>
    <row r="38">
      <c r="B38" s="185">
        <v>9.0</v>
      </c>
      <c r="C38" s="192" t="s">
        <v>929</v>
      </c>
      <c r="D38" s="190" t="s">
        <v>971</v>
      </c>
      <c r="E38" s="46" t="s">
        <v>78</v>
      </c>
      <c r="F38" s="39">
        <f t="array" ref="F38:G38">VLOOKUP(D38,MASTER!$C$2:$F966,{3,4},0)</f>
        <v>2260</v>
      </c>
      <c r="G38" s="39">
        <v>2370.0</v>
      </c>
      <c r="H38" s="143">
        <f t="shared" si="3"/>
        <v>0.04867256637</v>
      </c>
      <c r="V38" s="184"/>
    </row>
    <row r="39">
      <c r="B39" s="189">
        <v>10.0</v>
      </c>
      <c r="C39" s="192" t="s">
        <v>929</v>
      </c>
      <c r="D39" s="190" t="s">
        <v>977</v>
      </c>
      <c r="E39" s="46" t="s">
        <v>78</v>
      </c>
      <c r="F39" s="39">
        <f t="array" ref="F39:G39">VLOOKUP(D39,MASTER!$C$2:$F966,{3,4},0)</f>
        <v>1860</v>
      </c>
      <c r="G39" s="83" t="s">
        <v>202</v>
      </c>
      <c r="H39" s="143" t="str">
        <f t="shared" si="3"/>
        <v/>
      </c>
      <c r="V39" s="184"/>
    </row>
    <row r="40">
      <c r="B40" s="189">
        <v>12.0</v>
      </c>
      <c r="C40" s="192" t="s">
        <v>1011</v>
      </c>
      <c r="D40" s="190" t="s">
        <v>1022</v>
      </c>
      <c r="E40" s="46" t="s">
        <v>78</v>
      </c>
      <c r="F40" s="39">
        <f t="array" ref="F40:G40">VLOOKUP(D40,MASTER!$C$2:$F966,{3,4},0)</f>
        <v>2460</v>
      </c>
      <c r="G40" s="39">
        <v>2460.0</v>
      </c>
      <c r="H40" s="143">
        <f t="shared" si="3"/>
        <v>0</v>
      </c>
      <c r="V40" s="184"/>
    </row>
    <row r="41">
      <c r="B41" s="185">
        <v>13.0</v>
      </c>
      <c r="C41" s="192" t="s">
        <v>1011</v>
      </c>
      <c r="D41" s="190" t="s">
        <v>1028</v>
      </c>
      <c r="E41" s="46" t="s">
        <v>78</v>
      </c>
      <c r="F41" s="39">
        <f t="array" ref="F41:G41">VLOOKUP(D41,MASTER!$C$2:$F966,{3,4},0)</f>
        <v>2060</v>
      </c>
      <c r="G41" s="83" t="s">
        <v>202</v>
      </c>
      <c r="H41" s="143" t="str">
        <f t="shared" si="3"/>
        <v/>
      </c>
      <c r="V41" s="184"/>
    </row>
    <row r="42">
      <c r="B42" s="189">
        <v>14.0</v>
      </c>
      <c r="C42" s="192" t="s">
        <v>1049</v>
      </c>
      <c r="D42" s="190" t="s">
        <v>1063</v>
      </c>
      <c r="E42" s="46" t="s">
        <v>78</v>
      </c>
      <c r="F42" s="39">
        <f t="array" ref="F42:G42">VLOOKUP(D42,MASTER!$C$2:$F966,{3,4},0)</f>
        <v>2460</v>
      </c>
      <c r="G42" s="39">
        <v>2460.0</v>
      </c>
      <c r="H42" s="143">
        <f t="shared" si="3"/>
        <v>0</v>
      </c>
      <c r="V42" s="184"/>
    </row>
    <row r="43">
      <c r="B43" s="185">
        <v>15.0</v>
      </c>
      <c r="C43" s="192" t="s">
        <v>1049</v>
      </c>
      <c r="D43" s="190" t="s">
        <v>1067</v>
      </c>
      <c r="E43" s="46" t="s">
        <v>78</v>
      </c>
      <c r="F43" s="39">
        <f t="array" ref="F43:G43">VLOOKUP(D43,MASTER!$C$2:$F966,{3,4},0)</f>
        <v>2060</v>
      </c>
      <c r="G43" s="83" t="s">
        <v>202</v>
      </c>
      <c r="H43" s="143" t="str">
        <f t="shared" si="3"/>
        <v/>
      </c>
      <c r="V43" s="184"/>
    </row>
    <row r="44">
      <c r="B44" s="189">
        <v>16.0</v>
      </c>
      <c r="C44" s="192" t="s">
        <v>1129</v>
      </c>
      <c r="D44" s="190" t="s">
        <v>1140</v>
      </c>
      <c r="E44" s="46" t="s">
        <v>78</v>
      </c>
      <c r="F44" s="39">
        <f t="array" ref="F44:G44">VLOOKUP(D44,MASTER!$C$2:$F966,{3,4},0)</f>
        <v>2460</v>
      </c>
      <c r="G44" s="39">
        <v>2690.0</v>
      </c>
      <c r="H44" s="143">
        <f t="shared" si="3"/>
        <v>0.09349593496</v>
      </c>
      <c r="V44" s="184"/>
    </row>
    <row r="45">
      <c r="B45" s="189">
        <v>18.0</v>
      </c>
      <c r="C45" s="192" t="s">
        <v>1189</v>
      </c>
      <c r="D45" s="190" t="s">
        <v>1191</v>
      </c>
      <c r="E45" s="46" t="s">
        <v>78</v>
      </c>
      <c r="F45" s="39">
        <f t="array" ref="F45:G45">VLOOKUP(D45,MASTER!$C$2:$F966,{3,4},0)</f>
        <v>2460</v>
      </c>
      <c r="G45" s="39">
        <v>2690.0</v>
      </c>
      <c r="H45" s="143">
        <f t="shared" si="3"/>
        <v>0.09349593496</v>
      </c>
      <c r="V45" s="184"/>
    </row>
    <row r="46">
      <c r="B46" s="185">
        <v>19.0</v>
      </c>
      <c r="C46" s="192" t="s">
        <v>1202</v>
      </c>
      <c r="D46" s="190" t="s">
        <v>1217</v>
      </c>
      <c r="E46" s="46" t="s">
        <v>78</v>
      </c>
      <c r="F46" s="39">
        <f t="array" ref="F46:G46">VLOOKUP(D46,MASTER!$C$2:$F966,{3,4},0)</f>
        <v>3760</v>
      </c>
      <c r="G46" s="39">
        <v>4180.0</v>
      </c>
      <c r="H46" s="143">
        <f t="shared" si="3"/>
        <v>0.1117021277</v>
      </c>
      <c r="V46" s="184"/>
    </row>
    <row r="47">
      <c r="B47" s="185">
        <v>21.0</v>
      </c>
      <c r="C47" s="192" t="s">
        <v>1235</v>
      </c>
      <c r="D47" s="190" t="s">
        <v>1236</v>
      </c>
      <c r="E47" s="46" t="s">
        <v>78</v>
      </c>
      <c r="F47" s="39">
        <f t="array" ref="F47:G47">VLOOKUP(D47,MASTER!$C$2:$F966,{3,4},0)</f>
        <v>3760</v>
      </c>
      <c r="G47" s="39">
        <v>4180.0</v>
      </c>
      <c r="H47" s="143">
        <f t="shared" si="3"/>
        <v>0.1117021277</v>
      </c>
      <c r="V47" s="184"/>
    </row>
    <row r="48">
      <c r="B48" s="189">
        <v>22.0</v>
      </c>
      <c r="C48" s="192" t="s">
        <v>1256</v>
      </c>
      <c r="D48" s="190" t="s">
        <v>1257</v>
      </c>
      <c r="E48" s="46" t="s">
        <v>78</v>
      </c>
      <c r="F48" s="39">
        <f t="array" ref="F48:G48">VLOOKUP(D48,MASTER!$C$2:$F966,{3,4},0)</f>
        <v>2740</v>
      </c>
      <c r="G48" s="83" t="s">
        <v>202</v>
      </c>
      <c r="H48" s="143" t="str">
        <f t="shared" si="3"/>
        <v/>
      </c>
      <c r="V48" s="184"/>
    </row>
    <row r="49">
      <c r="B49" s="185">
        <v>23.0</v>
      </c>
      <c r="C49" s="192" t="s">
        <v>1269</v>
      </c>
      <c r="D49" s="190" t="s">
        <v>1270</v>
      </c>
      <c r="E49" s="46" t="s">
        <v>78</v>
      </c>
      <c r="F49" s="39">
        <f t="array" ref="F49:G49">VLOOKUP(D49,MASTER!$C$2:$F966,{3,4},0)</f>
        <v>2740</v>
      </c>
      <c r="G49" s="39">
        <v>2990.0</v>
      </c>
      <c r="H49" s="143">
        <f t="shared" si="3"/>
        <v>0.09124087591</v>
      </c>
      <c r="V49" s="184"/>
    </row>
    <row r="50">
      <c r="B50" s="189">
        <v>24.0</v>
      </c>
      <c r="C50" s="192" t="s">
        <v>1271</v>
      </c>
      <c r="D50" s="190" t="s">
        <v>1272</v>
      </c>
      <c r="E50" s="46" t="s">
        <v>78</v>
      </c>
      <c r="F50" s="39">
        <f t="array" ref="F50:G50">VLOOKUP(D50,MASTER!$C$2:$F966,{3,4},0)</f>
        <v>4190</v>
      </c>
      <c r="G50" s="39">
        <v>4660.0</v>
      </c>
      <c r="H50" s="143">
        <f t="shared" si="3"/>
        <v>0.1121718377</v>
      </c>
      <c r="V50" s="184"/>
    </row>
    <row r="51">
      <c r="B51" s="185">
        <v>25.0</v>
      </c>
      <c r="C51" s="192" t="s">
        <v>1273</v>
      </c>
      <c r="D51" s="190" t="s">
        <v>1274</v>
      </c>
      <c r="E51" s="46" t="s">
        <v>78</v>
      </c>
      <c r="F51" s="39">
        <f t="array" ref="F51:G51">VLOOKUP(D51,MASTER!$C$2:$F966,{3,4},0)</f>
        <v>2880</v>
      </c>
      <c r="G51" s="39">
        <v>3150.0</v>
      </c>
      <c r="H51" s="143">
        <f t="shared" si="3"/>
        <v>0.09375</v>
      </c>
      <c r="V51" s="184"/>
    </row>
    <row r="52">
      <c r="B52" s="185">
        <v>27.0</v>
      </c>
      <c r="C52" s="192" t="s">
        <v>1275</v>
      </c>
      <c r="D52" s="192" t="s">
        <v>1276</v>
      </c>
      <c r="E52" s="206" t="s">
        <v>78</v>
      </c>
      <c r="F52" s="39">
        <f t="array" ref="F52:G52">VLOOKUP(D52,MASTER!$C$2:$F966,{3,4},0)</f>
        <v>2940</v>
      </c>
      <c r="G52" s="39">
        <v>3210.0</v>
      </c>
      <c r="H52" s="143">
        <f t="shared" si="3"/>
        <v>0.09183673469</v>
      </c>
      <c r="V52" s="184"/>
    </row>
    <row r="53">
      <c r="B53" s="207"/>
      <c r="C53" s="194"/>
      <c r="D53" s="208"/>
      <c r="E53" s="208"/>
      <c r="F53" s="69"/>
      <c r="G53" s="196"/>
      <c r="H53" s="183"/>
      <c r="V53" s="184"/>
    </row>
    <row r="54">
      <c r="B54" s="209"/>
      <c r="C54" s="198" t="s">
        <v>1277</v>
      </c>
      <c r="D54" s="210"/>
      <c r="E54" s="210"/>
      <c r="F54" s="69"/>
      <c r="G54" s="196"/>
      <c r="H54" s="183"/>
      <c r="V54" s="184"/>
    </row>
    <row r="55">
      <c r="B55" s="185">
        <v>1.0</v>
      </c>
      <c r="C55" s="211" t="s">
        <v>300</v>
      </c>
      <c r="D55" s="212" t="s">
        <v>357</v>
      </c>
      <c r="E55" s="212" t="s">
        <v>217</v>
      </c>
      <c r="F55" s="39">
        <f t="array" ref="F55:G55">VLOOKUP(D55,MASTER!$C$2:$F966,{3,4},0)</f>
        <v>1740</v>
      </c>
      <c r="G55" s="39">
        <v>1960.0</v>
      </c>
      <c r="H55" s="143">
        <f t="shared" ref="H55:H149" si="4">IFERROR(DIVIDE(MINUS(G55,F55),F55),)</f>
        <v>0.1264367816</v>
      </c>
      <c r="V55" s="184"/>
    </row>
    <row r="56">
      <c r="B56" s="189">
        <v>2.0</v>
      </c>
      <c r="C56" s="213" t="s">
        <v>300</v>
      </c>
      <c r="D56" s="214" t="s">
        <v>362</v>
      </c>
      <c r="E56" s="214" t="s">
        <v>217</v>
      </c>
      <c r="F56" s="39">
        <f t="array" ref="F56:G56">VLOOKUP(D56,MASTER!$C$2:$F966,{3,4},0)</f>
        <v>1740</v>
      </c>
      <c r="G56" s="39">
        <v>1960.0</v>
      </c>
      <c r="H56" s="143">
        <f t="shared" si="4"/>
        <v>0.1264367816</v>
      </c>
      <c r="V56" s="184"/>
    </row>
    <row r="57">
      <c r="B57" s="189">
        <v>3.0</v>
      </c>
      <c r="C57" s="213" t="s">
        <v>300</v>
      </c>
      <c r="D57" s="214" t="s">
        <v>372</v>
      </c>
      <c r="E57" s="214" t="s">
        <v>217</v>
      </c>
      <c r="F57" s="39">
        <f t="array" ref="F57:G57">VLOOKUP(D57,MASTER!$C$2:$F966,{3,4},0)</f>
        <v>1980</v>
      </c>
      <c r="G57" s="39">
        <v>2200.0</v>
      </c>
      <c r="H57" s="143">
        <f t="shared" si="4"/>
        <v>0.1111111111</v>
      </c>
      <c r="V57" s="184"/>
    </row>
    <row r="58">
      <c r="B58" s="185">
        <v>4.0</v>
      </c>
      <c r="C58" s="213" t="s">
        <v>300</v>
      </c>
      <c r="D58" s="214" t="s">
        <v>405</v>
      </c>
      <c r="E58" s="214" t="s">
        <v>217</v>
      </c>
      <c r="F58" s="39">
        <f t="array" ref="F58:G58">VLOOKUP(D58,MASTER!$C$2:$F966,{3,4},0)</f>
        <v>1740</v>
      </c>
      <c r="G58" s="39">
        <v>1960.0</v>
      </c>
      <c r="H58" s="143">
        <f t="shared" si="4"/>
        <v>0.1264367816</v>
      </c>
      <c r="V58" s="184"/>
    </row>
    <row r="59">
      <c r="B59" s="189">
        <v>5.0</v>
      </c>
      <c r="C59" s="213" t="s">
        <v>300</v>
      </c>
      <c r="D59" s="214" t="s">
        <v>415</v>
      </c>
      <c r="E59" s="214" t="s">
        <v>217</v>
      </c>
      <c r="F59" s="39">
        <f t="array" ref="F59:G59">VLOOKUP(D59,MASTER!$C$2:$F966,{3,4},0)</f>
        <v>1980</v>
      </c>
      <c r="G59" s="39">
        <v>2200.0</v>
      </c>
      <c r="H59" s="143">
        <f t="shared" si="4"/>
        <v>0.1111111111</v>
      </c>
      <c r="V59" s="184"/>
    </row>
    <row r="60">
      <c r="B60" s="189">
        <v>6.0</v>
      </c>
      <c r="C60" s="213" t="s">
        <v>422</v>
      </c>
      <c r="D60" s="214" t="s">
        <v>464</v>
      </c>
      <c r="E60" s="214" t="s">
        <v>217</v>
      </c>
      <c r="F60" s="39">
        <f t="array" ref="F60:G60">VLOOKUP(D60,MASTER!$C$2:$F966,{3,4},0)</f>
        <v>1740</v>
      </c>
      <c r="G60" s="39">
        <v>1890.0</v>
      </c>
      <c r="H60" s="143">
        <f t="shared" si="4"/>
        <v>0.08620689655</v>
      </c>
      <c r="V60" s="184"/>
    </row>
    <row r="61">
      <c r="B61" s="185">
        <v>7.0</v>
      </c>
      <c r="C61" s="213" t="s">
        <v>422</v>
      </c>
      <c r="D61" s="214" t="s">
        <v>470</v>
      </c>
      <c r="E61" s="214" t="s">
        <v>217</v>
      </c>
      <c r="F61" s="39">
        <f t="array" ref="F61:G61">VLOOKUP(D61,MASTER!$C$2:$F966,{3,4},0)</f>
        <v>1740</v>
      </c>
      <c r="G61" s="39">
        <v>1890.0</v>
      </c>
      <c r="H61" s="143">
        <f t="shared" si="4"/>
        <v>0.08620689655</v>
      </c>
      <c r="V61" s="184"/>
    </row>
    <row r="62">
      <c r="B62" s="189">
        <v>8.0</v>
      </c>
      <c r="C62" s="213" t="s">
        <v>422</v>
      </c>
      <c r="D62" s="214" t="s">
        <v>478</v>
      </c>
      <c r="E62" s="214" t="s">
        <v>217</v>
      </c>
      <c r="F62" s="39">
        <f t="array" ref="F62:G62">VLOOKUP(D62,MASTER!$C$2:$F966,{3,4},0)</f>
        <v>1980</v>
      </c>
      <c r="G62" s="39">
        <v>2130.0</v>
      </c>
      <c r="H62" s="143">
        <f t="shared" si="4"/>
        <v>0.07575757576</v>
      </c>
      <c r="V62" s="184"/>
    </row>
    <row r="63">
      <c r="B63" s="189">
        <v>9.0</v>
      </c>
      <c r="C63" s="213" t="s">
        <v>422</v>
      </c>
      <c r="D63" s="214" t="s">
        <v>496</v>
      </c>
      <c r="E63" s="214" t="s">
        <v>217</v>
      </c>
      <c r="F63" s="39">
        <f t="array" ref="F63:G63">VLOOKUP(D63,MASTER!$C$2:$F966,{3,4},0)</f>
        <v>1740</v>
      </c>
      <c r="G63" s="39">
        <v>1890.0</v>
      </c>
      <c r="H63" s="143">
        <f t="shared" si="4"/>
        <v>0.08620689655</v>
      </c>
      <c r="V63" s="184"/>
    </row>
    <row r="64">
      <c r="B64" s="185">
        <v>10.0</v>
      </c>
      <c r="C64" s="213" t="s">
        <v>422</v>
      </c>
      <c r="D64" s="214" t="s">
        <v>504</v>
      </c>
      <c r="E64" s="214" t="s">
        <v>217</v>
      </c>
      <c r="F64" s="39">
        <f t="array" ref="F64:G64">VLOOKUP(D64,MASTER!$C$2:$F966,{3,4},0)</f>
        <v>1980</v>
      </c>
      <c r="G64" s="39">
        <v>2130.0</v>
      </c>
      <c r="H64" s="143">
        <f t="shared" si="4"/>
        <v>0.07575757576</v>
      </c>
      <c r="V64" s="184"/>
    </row>
    <row r="65">
      <c r="B65" s="189">
        <v>11.0</v>
      </c>
      <c r="C65" s="213" t="s">
        <v>511</v>
      </c>
      <c r="D65" s="214" t="s">
        <v>549</v>
      </c>
      <c r="E65" s="215" t="s">
        <v>217</v>
      </c>
      <c r="F65" s="39">
        <f t="array" ref="F65:G65">VLOOKUP(D65,MASTER!$C$2:$F966,{3,4},0)</f>
        <v>1740</v>
      </c>
      <c r="G65" s="39">
        <v>1740.0</v>
      </c>
      <c r="H65" s="143">
        <f t="shared" si="4"/>
        <v>0</v>
      </c>
      <c r="V65" s="184"/>
    </row>
    <row r="66">
      <c r="B66" s="189">
        <v>12.0</v>
      </c>
      <c r="C66" s="213" t="s">
        <v>511</v>
      </c>
      <c r="D66" s="214" t="s">
        <v>555</v>
      </c>
      <c r="E66" s="215" t="s">
        <v>217</v>
      </c>
      <c r="F66" s="39">
        <f t="array" ref="F66:G66">VLOOKUP(D66,MASTER!$C$2:$F966,{3,4},0)</f>
        <v>1740</v>
      </c>
      <c r="G66" s="39">
        <v>1740.0</v>
      </c>
      <c r="H66" s="143">
        <f t="shared" si="4"/>
        <v>0</v>
      </c>
      <c r="V66" s="184"/>
    </row>
    <row r="67">
      <c r="B67" s="185">
        <v>13.0</v>
      </c>
      <c r="C67" s="213" t="s">
        <v>511</v>
      </c>
      <c r="D67" s="214" t="s">
        <v>561</v>
      </c>
      <c r="E67" s="215" t="s">
        <v>217</v>
      </c>
      <c r="F67" s="39">
        <f t="array" ref="F67:G67">VLOOKUP(D67,MASTER!$C$2:$F966,{3,4},0)</f>
        <v>1980</v>
      </c>
      <c r="G67" s="39">
        <v>1980.0</v>
      </c>
      <c r="H67" s="143">
        <f t="shared" si="4"/>
        <v>0</v>
      </c>
      <c r="V67" s="184"/>
    </row>
    <row r="68">
      <c r="B68" s="189">
        <v>14.0</v>
      </c>
      <c r="C68" s="213" t="s">
        <v>511</v>
      </c>
      <c r="D68" s="214" t="s">
        <v>582</v>
      </c>
      <c r="E68" s="215" t="s">
        <v>217</v>
      </c>
      <c r="F68" s="39">
        <f t="array" ref="F68:G68">VLOOKUP(D68,MASTER!$C$2:$F966,{3,4},0)</f>
        <v>1740</v>
      </c>
      <c r="G68" s="39">
        <v>1740.0</v>
      </c>
      <c r="H68" s="143">
        <f t="shared" si="4"/>
        <v>0</v>
      </c>
      <c r="V68" s="184"/>
    </row>
    <row r="69">
      <c r="B69" s="189">
        <v>15.0</v>
      </c>
      <c r="C69" s="213" t="s">
        <v>511</v>
      </c>
      <c r="D69" s="214" t="s">
        <v>590</v>
      </c>
      <c r="E69" s="215" t="s">
        <v>217</v>
      </c>
      <c r="F69" s="39">
        <f t="array" ref="F69:G69">VLOOKUP(D69,MASTER!$C$2:$F966,{3,4},0)</f>
        <v>1980</v>
      </c>
      <c r="G69" s="39">
        <v>1980.0</v>
      </c>
      <c r="H69" s="143">
        <f t="shared" si="4"/>
        <v>0</v>
      </c>
      <c r="V69" s="184"/>
    </row>
    <row r="70">
      <c r="B70" s="185">
        <v>16.0</v>
      </c>
      <c r="C70" s="213" t="s">
        <v>595</v>
      </c>
      <c r="D70" s="214" t="s">
        <v>628</v>
      </c>
      <c r="E70" s="215" t="s">
        <v>217</v>
      </c>
      <c r="F70" s="39">
        <f t="array" ref="F70:G70">VLOOKUP(D70,MASTER!$C$2:$F966,{3,4},0)</f>
        <v>1680</v>
      </c>
      <c r="G70" s="39">
        <v>1740.0</v>
      </c>
      <c r="H70" s="143">
        <f t="shared" si="4"/>
        <v>0.03571428571</v>
      </c>
      <c r="V70" s="184"/>
    </row>
    <row r="71">
      <c r="B71" s="189">
        <v>17.0</v>
      </c>
      <c r="C71" s="213" t="s">
        <v>595</v>
      </c>
      <c r="D71" s="214" t="s">
        <v>634</v>
      </c>
      <c r="E71" s="215" t="s">
        <v>217</v>
      </c>
      <c r="F71" s="39">
        <f t="array" ref="F71:G71">VLOOKUP(D71,MASTER!$C$2:$F966,{3,4},0)</f>
        <v>1680</v>
      </c>
      <c r="G71" s="39">
        <v>1740.0</v>
      </c>
      <c r="H71" s="143">
        <f t="shared" si="4"/>
        <v>0.03571428571</v>
      </c>
      <c r="V71" s="184"/>
    </row>
    <row r="72">
      <c r="B72" s="189">
        <v>18.0</v>
      </c>
      <c r="C72" s="213" t="s">
        <v>595</v>
      </c>
      <c r="D72" s="214" t="s">
        <v>640</v>
      </c>
      <c r="E72" s="215" t="s">
        <v>217</v>
      </c>
      <c r="F72" s="39">
        <f t="array" ref="F72:G72">VLOOKUP(D72,MASTER!$C$2:$F966,{3,4},0)</f>
        <v>1920</v>
      </c>
      <c r="G72" s="39">
        <v>1980.0</v>
      </c>
      <c r="H72" s="143">
        <f t="shared" si="4"/>
        <v>0.03125</v>
      </c>
      <c r="V72" s="184"/>
    </row>
    <row r="73">
      <c r="B73" s="185">
        <v>19.0</v>
      </c>
      <c r="C73" s="213" t="s">
        <v>595</v>
      </c>
      <c r="D73" s="214" t="s">
        <v>654</v>
      </c>
      <c r="E73" s="215" t="s">
        <v>217</v>
      </c>
      <c r="F73" s="39">
        <f t="array" ref="F73:G73">VLOOKUP(D73,MASTER!$C$2:$F966,{3,4},0)</f>
        <v>1680</v>
      </c>
      <c r="G73" s="39">
        <v>1740.0</v>
      </c>
      <c r="H73" s="143">
        <f t="shared" si="4"/>
        <v>0.03571428571</v>
      </c>
      <c r="V73" s="184"/>
    </row>
    <row r="74">
      <c r="B74" s="189">
        <v>20.0</v>
      </c>
      <c r="C74" s="213" t="s">
        <v>595</v>
      </c>
      <c r="D74" s="214" t="s">
        <v>664</v>
      </c>
      <c r="E74" s="215" t="s">
        <v>217</v>
      </c>
      <c r="F74" s="39">
        <f t="array" ref="F74:G74">VLOOKUP(D74,MASTER!$C$2:$F966,{3,4},0)</f>
        <v>1920</v>
      </c>
      <c r="G74" s="39">
        <v>1980.0</v>
      </c>
      <c r="H74" s="143">
        <f t="shared" si="4"/>
        <v>0.03125</v>
      </c>
      <c r="V74" s="184"/>
    </row>
    <row r="75">
      <c r="B75" s="189">
        <v>21.0</v>
      </c>
      <c r="C75" s="213" t="s">
        <v>716</v>
      </c>
      <c r="D75" s="214" t="s">
        <v>748</v>
      </c>
      <c r="E75" s="215" t="s">
        <v>217</v>
      </c>
      <c r="F75" s="39">
        <f t="array" ref="F75:G75">VLOOKUP(D75,MASTER!$C$2:$F966,{3,4},0)</f>
        <v>1940</v>
      </c>
      <c r="G75" s="39">
        <v>2080.0</v>
      </c>
      <c r="H75" s="143">
        <f t="shared" si="4"/>
        <v>0.07216494845</v>
      </c>
      <c r="V75" s="184"/>
    </row>
    <row r="76">
      <c r="B76" s="185">
        <v>22.0</v>
      </c>
      <c r="C76" s="213" t="s">
        <v>716</v>
      </c>
      <c r="D76" s="214" t="s">
        <v>752</v>
      </c>
      <c r="E76" s="215" t="s">
        <v>217</v>
      </c>
      <c r="F76" s="39">
        <f t="array" ref="F76:G76">VLOOKUP(D76,MASTER!$C$2:$F966,{3,4},0)</f>
        <v>1940</v>
      </c>
      <c r="G76" s="39">
        <v>2080.0</v>
      </c>
      <c r="H76" s="143">
        <f t="shared" si="4"/>
        <v>0.07216494845</v>
      </c>
      <c r="V76" s="184"/>
    </row>
    <row r="77">
      <c r="B77" s="189">
        <v>23.0</v>
      </c>
      <c r="C77" s="213" t="s">
        <v>716</v>
      </c>
      <c r="D77" s="214" t="s">
        <v>758</v>
      </c>
      <c r="E77" s="215" t="s">
        <v>217</v>
      </c>
      <c r="F77" s="39">
        <f t="array" ref="F77:G77">VLOOKUP(D77,MASTER!$C$2:$F966,{3,4},0)</f>
        <v>2180</v>
      </c>
      <c r="G77" s="39">
        <v>2320.0</v>
      </c>
      <c r="H77" s="143">
        <f t="shared" si="4"/>
        <v>0.06422018349</v>
      </c>
      <c r="V77" s="184"/>
    </row>
    <row r="78">
      <c r="B78" s="189">
        <v>24.0</v>
      </c>
      <c r="C78" s="213" t="s">
        <v>716</v>
      </c>
      <c r="D78" s="214" t="s">
        <v>776</v>
      </c>
      <c r="E78" s="215" t="s">
        <v>217</v>
      </c>
      <c r="F78" s="39">
        <f t="array" ref="F78:G78">VLOOKUP(D78,MASTER!$C$2:$F966,{3,4},0)</f>
        <v>1940</v>
      </c>
      <c r="G78" s="39">
        <v>2080.0</v>
      </c>
      <c r="H78" s="143">
        <f t="shared" si="4"/>
        <v>0.07216494845</v>
      </c>
      <c r="V78" s="184"/>
    </row>
    <row r="79">
      <c r="B79" s="185">
        <v>25.0</v>
      </c>
      <c r="C79" s="213" t="s">
        <v>716</v>
      </c>
      <c r="D79" s="214" t="s">
        <v>782</v>
      </c>
      <c r="E79" s="215" t="s">
        <v>217</v>
      </c>
      <c r="F79" s="39">
        <f t="array" ref="F79:G79">VLOOKUP(D79,MASTER!$C$2:$F966,{3,4},0)</f>
        <v>2180</v>
      </c>
      <c r="G79" s="39">
        <v>2320.0</v>
      </c>
      <c r="H79" s="143">
        <f t="shared" si="4"/>
        <v>0.06422018349</v>
      </c>
      <c r="V79" s="184"/>
    </row>
    <row r="80">
      <c r="B80" s="189">
        <v>26.0</v>
      </c>
      <c r="C80" s="213" t="s">
        <v>787</v>
      </c>
      <c r="D80" s="214" t="s">
        <v>813</v>
      </c>
      <c r="E80" s="215" t="s">
        <v>217</v>
      </c>
      <c r="F80" s="39">
        <f t="array" ref="F80:G80">VLOOKUP(D80,MASTER!$C$2:$F966,{3,4},0)</f>
        <v>1750</v>
      </c>
      <c r="G80" s="39">
        <v>1840.0</v>
      </c>
      <c r="H80" s="143">
        <f t="shared" si="4"/>
        <v>0.05142857143</v>
      </c>
      <c r="V80" s="184"/>
    </row>
    <row r="81">
      <c r="B81" s="189">
        <v>27.0</v>
      </c>
      <c r="C81" s="213" t="s">
        <v>787</v>
      </c>
      <c r="D81" s="214" t="s">
        <v>819</v>
      </c>
      <c r="E81" s="215" t="s">
        <v>217</v>
      </c>
      <c r="F81" s="39">
        <f t="array" ref="F81:G81">VLOOKUP(D81,MASTER!$C$2:$F966,{3,4},0)</f>
        <v>1750</v>
      </c>
      <c r="G81" s="39">
        <v>1840.0</v>
      </c>
      <c r="H81" s="143">
        <f t="shared" si="4"/>
        <v>0.05142857143</v>
      </c>
      <c r="V81" s="184"/>
    </row>
    <row r="82">
      <c r="B82" s="185">
        <v>28.0</v>
      </c>
      <c r="C82" s="213" t="s">
        <v>787</v>
      </c>
      <c r="D82" s="214" t="s">
        <v>827</v>
      </c>
      <c r="E82" s="215" t="s">
        <v>217</v>
      </c>
      <c r="F82" s="39">
        <f t="array" ref="F82:G82">VLOOKUP(D82,MASTER!$C$2:$F966,{3,4},0)</f>
        <v>1990</v>
      </c>
      <c r="G82" s="39">
        <v>2080.0</v>
      </c>
      <c r="H82" s="143">
        <f t="shared" si="4"/>
        <v>0.04522613065</v>
      </c>
      <c r="V82" s="184"/>
    </row>
    <row r="83">
      <c r="B83" s="189">
        <v>29.0</v>
      </c>
      <c r="C83" s="213" t="s">
        <v>787</v>
      </c>
      <c r="D83" s="214" t="s">
        <v>843</v>
      </c>
      <c r="E83" s="215" t="s">
        <v>217</v>
      </c>
      <c r="F83" s="39">
        <f t="array" ref="F83:G83">VLOOKUP(D83,MASTER!$C$2:$F966,{3,4},0)</f>
        <v>1750</v>
      </c>
      <c r="G83" s="39">
        <v>1840.0</v>
      </c>
      <c r="H83" s="143">
        <f t="shared" si="4"/>
        <v>0.05142857143</v>
      </c>
      <c r="V83" s="184"/>
    </row>
    <row r="84">
      <c r="B84" s="189">
        <v>30.0</v>
      </c>
      <c r="C84" s="213" t="s">
        <v>787</v>
      </c>
      <c r="D84" s="214" t="s">
        <v>849</v>
      </c>
      <c r="E84" s="215" t="s">
        <v>217</v>
      </c>
      <c r="F84" s="39">
        <f t="array" ref="F84:G84">VLOOKUP(D84,MASTER!$C$2:$F966,{3,4},0)</f>
        <v>1990</v>
      </c>
      <c r="G84" s="39">
        <v>2080.0</v>
      </c>
      <c r="H84" s="143">
        <f t="shared" si="4"/>
        <v>0.04522613065</v>
      </c>
      <c r="V84" s="184"/>
    </row>
    <row r="85">
      <c r="B85" s="185">
        <v>31.0</v>
      </c>
      <c r="C85" s="213" t="s">
        <v>856</v>
      </c>
      <c r="D85" s="214" t="s">
        <v>897</v>
      </c>
      <c r="E85" s="214" t="s">
        <v>217</v>
      </c>
      <c r="F85" s="39">
        <f t="array" ref="F85:G85">VLOOKUP(D85,MASTER!$C$2:$F966,{3,4},0)</f>
        <v>1780</v>
      </c>
      <c r="G85" s="83" t="s">
        <v>202</v>
      </c>
      <c r="H85" s="143" t="str">
        <f t="shared" si="4"/>
        <v/>
      </c>
      <c r="V85" s="184"/>
    </row>
    <row r="86">
      <c r="B86" s="189">
        <v>32.0</v>
      </c>
      <c r="C86" s="213" t="s">
        <v>856</v>
      </c>
      <c r="D86" s="214" t="s">
        <v>903</v>
      </c>
      <c r="E86" s="214" t="s">
        <v>217</v>
      </c>
      <c r="F86" s="39">
        <f t="array" ref="F86:G86">VLOOKUP(D86,MASTER!$C$2:$F966,{3,4},0)</f>
        <v>1780</v>
      </c>
      <c r="G86" s="83" t="s">
        <v>202</v>
      </c>
      <c r="H86" s="143" t="str">
        <f t="shared" si="4"/>
        <v/>
      </c>
      <c r="V86" s="184"/>
    </row>
    <row r="87">
      <c r="B87" s="189">
        <v>33.0</v>
      </c>
      <c r="C87" s="213" t="s">
        <v>856</v>
      </c>
      <c r="D87" s="214" t="s">
        <v>909</v>
      </c>
      <c r="E87" s="214" t="s">
        <v>217</v>
      </c>
      <c r="F87" s="39">
        <f t="array" ref="F87:G87">VLOOKUP(D87,MASTER!$C$2:$F966,{3,4},0)</f>
        <v>2020</v>
      </c>
      <c r="G87" s="83" t="s">
        <v>202</v>
      </c>
      <c r="H87" s="143" t="str">
        <f t="shared" si="4"/>
        <v/>
      </c>
      <c r="V87" s="184"/>
    </row>
    <row r="88">
      <c r="B88" s="185">
        <v>34.0</v>
      </c>
      <c r="C88" s="213" t="s">
        <v>856</v>
      </c>
      <c r="D88" s="214" t="s">
        <v>916</v>
      </c>
      <c r="E88" s="214" t="s">
        <v>217</v>
      </c>
      <c r="F88" s="39">
        <f t="array" ref="F88:G88">VLOOKUP(D88,MASTER!$C$2:$F966,{3,4},0)</f>
        <v>1780</v>
      </c>
      <c r="G88" s="83" t="s">
        <v>202</v>
      </c>
      <c r="H88" s="143" t="str">
        <f t="shared" si="4"/>
        <v/>
      </c>
      <c r="V88" s="184"/>
    </row>
    <row r="89">
      <c r="B89" s="189">
        <v>35.0</v>
      </c>
      <c r="C89" s="213" t="s">
        <v>856</v>
      </c>
      <c r="D89" s="214" t="s">
        <v>922</v>
      </c>
      <c r="E89" s="214" t="s">
        <v>217</v>
      </c>
      <c r="F89" s="39">
        <f t="array" ref="F89:G89">VLOOKUP(D89,MASTER!$C$2:$F966,{3,4},0)</f>
        <v>2020</v>
      </c>
      <c r="G89" s="83" t="s">
        <v>202</v>
      </c>
      <c r="H89" s="143" t="str">
        <f t="shared" si="4"/>
        <v/>
      </c>
      <c r="V89" s="184"/>
    </row>
    <row r="90">
      <c r="B90" s="189">
        <v>36.0</v>
      </c>
      <c r="C90" s="213" t="s">
        <v>929</v>
      </c>
      <c r="D90" s="214" t="s">
        <v>990</v>
      </c>
      <c r="E90" s="214" t="s">
        <v>217</v>
      </c>
      <c r="F90" s="39">
        <f t="array" ref="F90:G90">VLOOKUP(D90,MASTER!$C$2:$F966,{3,4},0)</f>
        <v>1780</v>
      </c>
      <c r="G90" s="39">
        <v>1980.0</v>
      </c>
      <c r="H90" s="143">
        <f t="shared" si="4"/>
        <v>0.1123595506</v>
      </c>
      <c r="V90" s="184"/>
    </row>
    <row r="91">
      <c r="B91" s="185">
        <v>37.0</v>
      </c>
      <c r="C91" s="213" t="s">
        <v>929</v>
      </c>
      <c r="D91" s="214" t="s">
        <v>994</v>
      </c>
      <c r="E91" s="214" t="s">
        <v>217</v>
      </c>
      <c r="F91" s="39">
        <f t="array" ref="F91:G91">VLOOKUP(D91,MASTER!$C$2:$F966,{3,4},0)</f>
        <v>1780</v>
      </c>
      <c r="G91" s="39">
        <v>1980.0</v>
      </c>
      <c r="H91" s="143">
        <f t="shared" si="4"/>
        <v>0.1123595506</v>
      </c>
      <c r="V91" s="184"/>
    </row>
    <row r="92">
      <c r="B92" s="189">
        <v>38.0</v>
      </c>
      <c r="C92" s="213" t="s">
        <v>929</v>
      </c>
      <c r="D92" s="214" t="s">
        <v>999</v>
      </c>
      <c r="E92" s="214" t="s">
        <v>217</v>
      </c>
      <c r="F92" s="39">
        <f t="array" ref="F92:G92">VLOOKUP(D92,MASTER!$C$2:$F966,{3,4},0)</f>
        <v>2020</v>
      </c>
      <c r="G92" s="39">
        <v>2220.0</v>
      </c>
      <c r="H92" s="143">
        <f t="shared" si="4"/>
        <v>0.09900990099</v>
      </c>
      <c r="V92" s="184"/>
    </row>
    <row r="93">
      <c r="B93" s="189">
        <v>39.0</v>
      </c>
      <c r="C93" s="213" t="s">
        <v>929</v>
      </c>
      <c r="D93" s="214" t="s">
        <v>1001</v>
      </c>
      <c r="E93" s="214" t="s">
        <v>217</v>
      </c>
      <c r="F93" s="39">
        <f t="array" ref="F93:G93">VLOOKUP(D93,MASTER!$C$2:$F966,{3,4},0)</f>
        <v>1780</v>
      </c>
      <c r="G93" s="39">
        <v>1980.0</v>
      </c>
      <c r="H93" s="143">
        <f t="shared" si="4"/>
        <v>0.1123595506</v>
      </c>
      <c r="V93" s="184"/>
    </row>
    <row r="94">
      <c r="B94" s="185">
        <v>40.0</v>
      </c>
      <c r="C94" s="213" t="s">
        <v>929</v>
      </c>
      <c r="D94" s="214" t="s">
        <v>1004</v>
      </c>
      <c r="E94" s="214" t="s">
        <v>217</v>
      </c>
      <c r="F94" s="39">
        <f t="array" ref="F94:G94">VLOOKUP(D94,MASTER!$C$2:$F966,{3,4},0)</f>
        <v>2020</v>
      </c>
      <c r="G94" s="39">
        <v>2220.0</v>
      </c>
      <c r="H94" s="143">
        <f t="shared" si="4"/>
        <v>0.09900990099</v>
      </c>
      <c r="V94" s="184"/>
    </row>
    <row r="95">
      <c r="B95" s="185">
        <v>46.0</v>
      </c>
      <c r="C95" s="213" t="s">
        <v>1011</v>
      </c>
      <c r="D95" s="214" t="s">
        <v>1032</v>
      </c>
      <c r="E95" s="214" t="s">
        <v>217</v>
      </c>
      <c r="F95" s="39">
        <f t="array" ref="F95:G95">VLOOKUP(D95,MASTER!$C$2:$F966,{3,4},0)</f>
        <v>1780</v>
      </c>
      <c r="G95" s="39">
        <v>1980.0</v>
      </c>
      <c r="H95" s="143">
        <f t="shared" si="4"/>
        <v>0.1123595506</v>
      </c>
      <c r="V95" s="184"/>
    </row>
    <row r="96">
      <c r="B96" s="189">
        <v>47.0</v>
      </c>
      <c r="C96" s="213" t="s">
        <v>1011</v>
      </c>
      <c r="D96" s="214" t="s">
        <v>1036</v>
      </c>
      <c r="E96" s="214" t="s">
        <v>217</v>
      </c>
      <c r="F96" s="39">
        <f t="array" ref="F96:G96">VLOOKUP(D96,MASTER!$C$2:$F966,{3,4},0)</f>
        <v>1780</v>
      </c>
      <c r="G96" s="39">
        <v>1980.0</v>
      </c>
      <c r="H96" s="143">
        <f t="shared" si="4"/>
        <v>0.1123595506</v>
      </c>
      <c r="V96" s="184"/>
    </row>
    <row r="97">
      <c r="B97" s="189">
        <v>48.0</v>
      </c>
      <c r="C97" s="213" t="s">
        <v>1011</v>
      </c>
      <c r="D97" s="214" t="s">
        <v>1039</v>
      </c>
      <c r="E97" s="214" t="s">
        <v>217</v>
      </c>
      <c r="F97" s="39">
        <f t="array" ref="F97:G97">VLOOKUP(D97,MASTER!$C$2:$F966,{3,4},0)</f>
        <v>2020</v>
      </c>
      <c r="G97" s="39">
        <v>2220.0</v>
      </c>
      <c r="H97" s="143">
        <f t="shared" si="4"/>
        <v>0.09900990099</v>
      </c>
      <c r="V97" s="184"/>
    </row>
    <row r="98">
      <c r="B98" s="185">
        <v>49.0</v>
      </c>
      <c r="C98" s="213" t="s">
        <v>1011</v>
      </c>
      <c r="D98" s="214" t="s">
        <v>1043</v>
      </c>
      <c r="E98" s="214" t="s">
        <v>217</v>
      </c>
      <c r="F98" s="39">
        <f t="array" ref="F98:G98">VLOOKUP(D98,MASTER!$C$2:$F966,{3,4},0)</f>
        <v>1780</v>
      </c>
      <c r="G98" s="39">
        <v>1980.0</v>
      </c>
      <c r="H98" s="143">
        <f t="shared" si="4"/>
        <v>0.1123595506</v>
      </c>
      <c r="V98" s="184"/>
    </row>
    <row r="99">
      <c r="B99" s="189">
        <v>50.0</v>
      </c>
      <c r="C99" s="213" t="s">
        <v>1011</v>
      </c>
      <c r="D99" s="214" t="s">
        <v>1046</v>
      </c>
      <c r="E99" s="214" t="s">
        <v>217</v>
      </c>
      <c r="F99" s="39">
        <f t="array" ref="F99:G99">VLOOKUP(D99,MASTER!$C$2:$F966,{3,4},0)</f>
        <v>2020</v>
      </c>
      <c r="G99" s="39">
        <v>2220.0</v>
      </c>
      <c r="H99" s="143">
        <f t="shared" si="4"/>
        <v>0.09900990099</v>
      </c>
      <c r="V99" s="184"/>
    </row>
    <row r="100">
      <c r="B100" s="189">
        <v>51.0</v>
      </c>
      <c r="C100" s="213" t="s">
        <v>1049</v>
      </c>
      <c r="D100" s="214" t="s">
        <v>1072</v>
      </c>
      <c r="E100" s="214" t="s">
        <v>217</v>
      </c>
      <c r="F100" s="39">
        <f t="array" ref="F100:G100">VLOOKUP(D100,MASTER!$C$2:$F966,{3,4},0)</f>
        <v>1780</v>
      </c>
      <c r="G100" s="39">
        <v>1780.0</v>
      </c>
      <c r="H100" s="143">
        <f t="shared" si="4"/>
        <v>0</v>
      </c>
      <c r="V100" s="184"/>
    </row>
    <row r="101">
      <c r="B101" s="185">
        <v>52.0</v>
      </c>
      <c r="C101" s="213" t="s">
        <v>1049</v>
      </c>
      <c r="D101" s="214" t="s">
        <v>1074</v>
      </c>
      <c r="E101" s="214" t="s">
        <v>217</v>
      </c>
      <c r="F101" s="39">
        <f t="array" ref="F101:G101">VLOOKUP(D101,MASTER!$C$2:$F966,{3,4},0)</f>
        <v>1780</v>
      </c>
      <c r="G101" s="39">
        <v>1780.0</v>
      </c>
      <c r="H101" s="143">
        <f t="shared" si="4"/>
        <v>0</v>
      </c>
      <c r="V101" s="184"/>
    </row>
    <row r="102">
      <c r="B102" s="189">
        <v>53.0</v>
      </c>
      <c r="C102" s="213" t="s">
        <v>1049</v>
      </c>
      <c r="D102" s="214" t="s">
        <v>1079</v>
      </c>
      <c r="E102" s="214" t="s">
        <v>217</v>
      </c>
      <c r="F102" s="39">
        <f t="array" ref="F102:G102">VLOOKUP(D102,MASTER!$C$2:$F966,{3,4},0)</f>
        <v>2020</v>
      </c>
      <c r="G102" s="39">
        <v>2020.0</v>
      </c>
      <c r="H102" s="143">
        <f t="shared" si="4"/>
        <v>0</v>
      </c>
      <c r="V102" s="184"/>
    </row>
    <row r="103">
      <c r="B103" s="189">
        <v>54.0</v>
      </c>
      <c r="C103" s="213" t="s">
        <v>1049</v>
      </c>
      <c r="D103" s="214" t="s">
        <v>1102</v>
      </c>
      <c r="E103" s="214" t="s">
        <v>217</v>
      </c>
      <c r="F103" s="39">
        <f t="array" ref="F103:G103">VLOOKUP(D103,MASTER!$C$2:$F966,{3,4},0)</f>
        <v>1780</v>
      </c>
      <c r="G103" s="39">
        <v>1780.0</v>
      </c>
      <c r="H103" s="143">
        <f t="shared" si="4"/>
        <v>0</v>
      </c>
      <c r="V103" s="184"/>
    </row>
    <row r="104">
      <c r="B104" s="185">
        <v>55.0</v>
      </c>
      <c r="C104" s="213" t="s">
        <v>1049</v>
      </c>
      <c r="D104" s="214" t="s">
        <v>1112</v>
      </c>
      <c r="E104" s="214" t="s">
        <v>217</v>
      </c>
      <c r="F104" s="39">
        <f t="array" ref="F104:G104">VLOOKUP(D104,MASTER!$C$2:$F966,{3,4},0)</f>
        <v>2020</v>
      </c>
      <c r="G104" s="39">
        <v>2020.0</v>
      </c>
      <c r="H104" s="143">
        <f t="shared" si="4"/>
        <v>0</v>
      </c>
      <c r="V104" s="184"/>
    </row>
    <row r="105">
      <c r="B105" s="189">
        <v>56.0</v>
      </c>
      <c r="C105" s="213" t="s">
        <v>1129</v>
      </c>
      <c r="D105" s="214" t="s">
        <v>1145</v>
      </c>
      <c r="E105" s="214" t="s">
        <v>217</v>
      </c>
      <c r="F105" s="39">
        <f t="array" ref="F105:G105">VLOOKUP(D105,MASTER!$C$2:$F966,{3,4},0)</f>
        <v>2040</v>
      </c>
      <c r="G105" s="39">
        <v>2040.0</v>
      </c>
      <c r="H105" s="143">
        <f t="shared" si="4"/>
        <v>0</v>
      </c>
      <c r="V105" s="184"/>
    </row>
    <row r="106">
      <c r="B106" s="189">
        <v>57.0</v>
      </c>
      <c r="C106" s="213" t="s">
        <v>1129</v>
      </c>
      <c r="D106" s="214" t="s">
        <v>1147</v>
      </c>
      <c r="E106" s="214" t="s">
        <v>217</v>
      </c>
      <c r="F106" s="39">
        <f t="array" ref="F106:G106">VLOOKUP(D106,MASTER!$C$2:$F966,{3,4},0)</f>
        <v>2040</v>
      </c>
      <c r="G106" s="39">
        <v>2040.0</v>
      </c>
      <c r="H106" s="143">
        <f t="shared" si="4"/>
        <v>0</v>
      </c>
      <c r="V106" s="184"/>
    </row>
    <row r="107">
      <c r="B107" s="185">
        <v>58.0</v>
      </c>
      <c r="C107" s="213" t="s">
        <v>1129</v>
      </c>
      <c r="D107" s="214" t="s">
        <v>1151</v>
      </c>
      <c r="E107" s="214" t="s">
        <v>217</v>
      </c>
      <c r="F107" s="39">
        <f t="array" ref="F107:G107">VLOOKUP(D107,MASTER!$C$2:$F966,{3,4},0)</f>
        <v>2280</v>
      </c>
      <c r="G107" s="39">
        <v>2280.0</v>
      </c>
      <c r="H107" s="143">
        <f t="shared" si="4"/>
        <v>0</v>
      </c>
      <c r="V107" s="184"/>
    </row>
    <row r="108">
      <c r="B108" s="189">
        <v>59.0</v>
      </c>
      <c r="C108" s="213" t="s">
        <v>1129</v>
      </c>
      <c r="D108" s="214" t="s">
        <v>1161</v>
      </c>
      <c r="E108" s="214" t="s">
        <v>217</v>
      </c>
      <c r="F108" s="39">
        <f t="array" ref="F108:G108">VLOOKUP(D108,MASTER!$C$2:$F966,{3,4},0)</f>
        <v>2040</v>
      </c>
      <c r="G108" s="39">
        <v>2040.0</v>
      </c>
      <c r="H108" s="143">
        <f t="shared" si="4"/>
        <v>0</v>
      </c>
      <c r="V108" s="184"/>
    </row>
    <row r="109">
      <c r="B109" s="189">
        <v>60.0</v>
      </c>
      <c r="C109" s="213" t="s">
        <v>1129</v>
      </c>
      <c r="D109" s="214" t="s">
        <v>1165</v>
      </c>
      <c r="E109" s="214" t="s">
        <v>217</v>
      </c>
      <c r="F109" s="39">
        <f t="array" ref="F109:G109">VLOOKUP(D109,MASTER!$C$2:$F966,{3,4},0)</f>
        <v>2280</v>
      </c>
      <c r="G109" s="39">
        <v>2280.0</v>
      </c>
      <c r="H109" s="143">
        <f t="shared" si="4"/>
        <v>0</v>
      </c>
      <c r="V109" s="184"/>
    </row>
    <row r="110">
      <c r="B110" s="189">
        <v>66.0</v>
      </c>
      <c r="C110" s="213" t="s">
        <v>1189</v>
      </c>
      <c r="D110" s="214" t="s">
        <v>1193</v>
      </c>
      <c r="E110" s="214" t="s">
        <v>217</v>
      </c>
      <c r="F110" s="39">
        <f t="array" ref="F110:G110">VLOOKUP(D110,MASTER!$C$2:$F966,{3,4},0)</f>
        <v>1840</v>
      </c>
      <c r="G110" s="39">
        <v>1980.0</v>
      </c>
      <c r="H110" s="143">
        <f t="shared" si="4"/>
        <v>0.07608695652</v>
      </c>
      <c r="V110" s="184"/>
    </row>
    <row r="111">
      <c r="B111" s="185">
        <v>67.0</v>
      </c>
      <c r="C111" s="213" t="s">
        <v>1189</v>
      </c>
      <c r="D111" s="214" t="s">
        <v>1195</v>
      </c>
      <c r="E111" s="214" t="s">
        <v>217</v>
      </c>
      <c r="F111" s="39">
        <f t="array" ref="F111:G111">VLOOKUP(D111,MASTER!$C$2:$F966,{3,4},0)</f>
        <v>1840</v>
      </c>
      <c r="G111" s="39">
        <v>1980.0</v>
      </c>
      <c r="H111" s="143">
        <f t="shared" si="4"/>
        <v>0.07608695652</v>
      </c>
      <c r="V111" s="184"/>
    </row>
    <row r="112">
      <c r="B112" s="189">
        <v>68.0</v>
      </c>
      <c r="C112" s="213" t="s">
        <v>1189</v>
      </c>
      <c r="D112" s="214" t="s">
        <v>1197</v>
      </c>
      <c r="E112" s="214" t="s">
        <v>217</v>
      </c>
      <c r="F112" s="39">
        <f t="array" ref="F112:G112">VLOOKUP(D112,MASTER!$C$2:$F966,{3,4},0)</f>
        <v>2080</v>
      </c>
      <c r="G112" s="39">
        <v>2220.0</v>
      </c>
      <c r="H112" s="143">
        <f t="shared" si="4"/>
        <v>0.06730769231</v>
      </c>
      <c r="V112" s="184"/>
    </row>
    <row r="113">
      <c r="B113" s="189">
        <v>69.0</v>
      </c>
      <c r="C113" s="213" t="s">
        <v>1189</v>
      </c>
      <c r="D113" s="214" t="s">
        <v>1199</v>
      </c>
      <c r="E113" s="214" t="s">
        <v>217</v>
      </c>
      <c r="F113" s="39">
        <f t="array" ref="F113:G113">VLOOKUP(D113,MASTER!$C$2:$F966,{3,4},0)</f>
        <v>1840</v>
      </c>
      <c r="G113" s="39">
        <v>1980.0</v>
      </c>
      <c r="H113" s="143">
        <f t="shared" si="4"/>
        <v>0.07608695652</v>
      </c>
      <c r="V113" s="184"/>
    </row>
    <row r="114">
      <c r="B114" s="185">
        <v>70.0</v>
      </c>
      <c r="C114" s="213" t="s">
        <v>1189</v>
      </c>
      <c r="D114" s="214" t="s">
        <v>1201</v>
      </c>
      <c r="E114" s="214" t="s">
        <v>217</v>
      </c>
      <c r="F114" s="39">
        <f t="array" ref="F114:G114">VLOOKUP(D114,MASTER!$C$2:$F966,{3,4},0)</f>
        <v>2080</v>
      </c>
      <c r="G114" s="39">
        <v>2220.0</v>
      </c>
      <c r="H114" s="143">
        <f t="shared" si="4"/>
        <v>0.06730769231</v>
      </c>
      <c r="V114" s="184"/>
    </row>
    <row r="115">
      <c r="B115" s="189">
        <v>71.0</v>
      </c>
      <c r="C115" s="213" t="s">
        <v>1202</v>
      </c>
      <c r="D115" s="214" t="s">
        <v>1223</v>
      </c>
      <c r="E115" s="214" t="s">
        <v>217</v>
      </c>
      <c r="F115" s="39">
        <f t="array" ref="F115:G115">VLOOKUP(D115,MASTER!$C$2:$F966,{3,4},0)</f>
        <v>2380</v>
      </c>
      <c r="G115" s="39">
        <v>2480.0</v>
      </c>
      <c r="H115" s="143">
        <f t="shared" si="4"/>
        <v>0.04201680672</v>
      </c>
      <c r="V115" s="184"/>
    </row>
    <row r="116">
      <c r="B116" s="189">
        <v>72.0</v>
      </c>
      <c r="C116" s="213" t="s">
        <v>1202</v>
      </c>
      <c r="D116" s="214" t="s">
        <v>1225</v>
      </c>
      <c r="E116" s="214" t="s">
        <v>217</v>
      </c>
      <c r="F116" s="39">
        <f t="array" ref="F116:G116">VLOOKUP(D116,MASTER!$C$2:$F966,{3,4},0)</f>
        <v>2380</v>
      </c>
      <c r="G116" s="39">
        <v>2480.0</v>
      </c>
      <c r="H116" s="143">
        <f t="shared" si="4"/>
        <v>0.04201680672</v>
      </c>
      <c r="V116" s="184"/>
    </row>
    <row r="117">
      <c r="B117" s="185">
        <v>73.0</v>
      </c>
      <c r="C117" s="213" t="s">
        <v>1202</v>
      </c>
      <c r="D117" s="214" t="s">
        <v>1227</v>
      </c>
      <c r="E117" s="214" t="s">
        <v>217</v>
      </c>
      <c r="F117" s="39">
        <f t="array" ref="F117:G117">VLOOKUP(D117,MASTER!$C$2:$F966,{3,4},0)</f>
        <v>2620</v>
      </c>
      <c r="G117" s="39">
        <v>2720.0</v>
      </c>
      <c r="H117" s="143">
        <f t="shared" si="4"/>
        <v>0.03816793893</v>
      </c>
      <c r="V117" s="184"/>
    </row>
    <row r="118">
      <c r="B118" s="189">
        <v>74.0</v>
      </c>
      <c r="C118" s="213" t="s">
        <v>1202</v>
      </c>
      <c r="D118" s="214" t="s">
        <v>1229</v>
      </c>
      <c r="E118" s="214" t="s">
        <v>217</v>
      </c>
      <c r="F118" s="39">
        <f t="array" ref="F118:G118">VLOOKUP(D118,MASTER!$C$2:$F966,{3,4},0)</f>
        <v>2380</v>
      </c>
      <c r="G118" s="39">
        <v>2480.0</v>
      </c>
      <c r="H118" s="143">
        <f t="shared" si="4"/>
        <v>0.04201680672</v>
      </c>
      <c r="V118" s="184"/>
    </row>
    <row r="119">
      <c r="B119" s="189">
        <v>75.0</v>
      </c>
      <c r="C119" s="213" t="s">
        <v>1202</v>
      </c>
      <c r="D119" s="214" t="s">
        <v>1231</v>
      </c>
      <c r="E119" s="214" t="s">
        <v>217</v>
      </c>
      <c r="F119" s="39">
        <f t="array" ref="F119:G119">VLOOKUP(D119,MASTER!$C$2:$F966,{3,4},0)</f>
        <v>2620</v>
      </c>
      <c r="G119" s="39">
        <v>2720.0</v>
      </c>
      <c r="H119" s="143">
        <f t="shared" si="4"/>
        <v>0.03816793893</v>
      </c>
      <c r="V119" s="184"/>
    </row>
    <row r="120">
      <c r="B120" s="189">
        <v>81.0</v>
      </c>
      <c r="C120" s="213" t="s">
        <v>1235</v>
      </c>
      <c r="D120" s="214" t="s">
        <v>1238</v>
      </c>
      <c r="E120" s="214" t="s">
        <v>217</v>
      </c>
      <c r="F120" s="39">
        <f t="array" ref="F120:G120">VLOOKUP(D120,MASTER!$C$2:$F966,{3,4},0)</f>
        <v>2380</v>
      </c>
      <c r="G120" s="39">
        <v>2490.0</v>
      </c>
      <c r="H120" s="143">
        <f t="shared" si="4"/>
        <v>0.04621848739</v>
      </c>
      <c r="V120" s="184"/>
    </row>
    <row r="121">
      <c r="B121" s="185">
        <v>82.0</v>
      </c>
      <c r="C121" s="213" t="s">
        <v>1235</v>
      </c>
      <c r="D121" s="214" t="s">
        <v>1240</v>
      </c>
      <c r="E121" s="214" t="s">
        <v>217</v>
      </c>
      <c r="F121" s="39">
        <f t="array" ref="F121:G121">VLOOKUP(D121,MASTER!$C$2:$F966,{3,4},0)</f>
        <v>2380</v>
      </c>
      <c r="G121" s="39">
        <v>2490.0</v>
      </c>
      <c r="H121" s="143">
        <f t="shared" si="4"/>
        <v>0.04621848739</v>
      </c>
      <c r="V121" s="184"/>
    </row>
    <row r="122">
      <c r="B122" s="189">
        <v>83.0</v>
      </c>
      <c r="C122" s="213" t="s">
        <v>1235</v>
      </c>
      <c r="D122" s="214" t="s">
        <v>1242</v>
      </c>
      <c r="E122" s="214" t="s">
        <v>217</v>
      </c>
      <c r="F122" s="39">
        <f t="array" ref="F122:G122">VLOOKUP(D122,MASTER!$C$2:$F966,{3,4},0)</f>
        <v>2620</v>
      </c>
      <c r="G122" s="39">
        <v>2730.0</v>
      </c>
      <c r="H122" s="143">
        <f t="shared" si="4"/>
        <v>0.04198473282</v>
      </c>
      <c r="V122" s="184"/>
    </row>
    <row r="123">
      <c r="B123" s="189">
        <v>84.0</v>
      </c>
      <c r="C123" s="213" t="s">
        <v>1235</v>
      </c>
      <c r="D123" s="214" t="s">
        <v>1244</v>
      </c>
      <c r="E123" s="214" t="s">
        <v>217</v>
      </c>
      <c r="F123" s="39">
        <f t="array" ref="F123:G123">VLOOKUP(D123,MASTER!$C$2:$F966,{3,4},0)</f>
        <v>2380</v>
      </c>
      <c r="G123" s="39">
        <v>2490.0</v>
      </c>
      <c r="H123" s="143">
        <f t="shared" si="4"/>
        <v>0.04621848739</v>
      </c>
      <c r="V123" s="184"/>
    </row>
    <row r="124">
      <c r="B124" s="185">
        <v>85.0</v>
      </c>
      <c r="C124" s="213" t="s">
        <v>1235</v>
      </c>
      <c r="D124" s="214" t="s">
        <v>1246</v>
      </c>
      <c r="E124" s="214" t="s">
        <v>217</v>
      </c>
      <c r="F124" s="39">
        <f t="array" ref="F124:G124">VLOOKUP(D124,MASTER!$C$2:$F966,{3,4},0)</f>
        <v>2620</v>
      </c>
      <c r="G124" s="39">
        <v>2730.0</v>
      </c>
      <c r="H124" s="143">
        <f t="shared" si="4"/>
        <v>0.04198473282</v>
      </c>
      <c r="V124" s="184"/>
    </row>
    <row r="125">
      <c r="B125" s="189">
        <v>86.0</v>
      </c>
      <c r="C125" s="213" t="s">
        <v>1256</v>
      </c>
      <c r="D125" s="214" t="s">
        <v>1260</v>
      </c>
      <c r="E125" s="214" t="s">
        <v>217</v>
      </c>
      <c r="F125" s="39">
        <f t="array" ref="F125:G125">VLOOKUP(D125,MASTER!$C$2:$F966,{3,4},0)</f>
        <v>2070</v>
      </c>
      <c r="G125" s="83" t="s">
        <v>202</v>
      </c>
      <c r="H125" s="143" t="str">
        <f t="shared" si="4"/>
        <v/>
      </c>
      <c r="V125" s="184"/>
    </row>
    <row r="126">
      <c r="B126" s="189">
        <v>87.0</v>
      </c>
      <c r="C126" s="213" t="s">
        <v>1256</v>
      </c>
      <c r="D126" s="214" t="s">
        <v>1262</v>
      </c>
      <c r="E126" s="214" t="s">
        <v>217</v>
      </c>
      <c r="F126" s="39">
        <f t="array" ref="F126:G126">VLOOKUP(D126,MASTER!$C$2:$F966,{3,4},0)</f>
        <v>2070</v>
      </c>
      <c r="G126" s="83" t="s">
        <v>202</v>
      </c>
      <c r="H126" s="143" t="str">
        <f t="shared" si="4"/>
        <v/>
      </c>
      <c r="V126" s="184"/>
    </row>
    <row r="127">
      <c r="B127" s="185">
        <v>88.0</v>
      </c>
      <c r="C127" s="213" t="s">
        <v>1256</v>
      </c>
      <c r="D127" s="214" t="s">
        <v>1264</v>
      </c>
      <c r="E127" s="214" t="s">
        <v>217</v>
      </c>
      <c r="F127" s="39">
        <f t="array" ref="F127:G127">VLOOKUP(D127,MASTER!$C$2:$F966,{3,4},0)</f>
        <v>2310</v>
      </c>
      <c r="G127" s="83" t="s">
        <v>202</v>
      </c>
      <c r="H127" s="143" t="str">
        <f t="shared" si="4"/>
        <v/>
      </c>
      <c r="V127" s="184"/>
    </row>
    <row r="128">
      <c r="B128" s="189">
        <v>89.0</v>
      </c>
      <c r="C128" s="213" t="s">
        <v>1256</v>
      </c>
      <c r="D128" s="214" t="s">
        <v>1266</v>
      </c>
      <c r="E128" s="214" t="s">
        <v>217</v>
      </c>
      <c r="F128" s="39">
        <f t="array" ref="F128:G128">VLOOKUP(D128,MASTER!$C$2:$F966,{3,4},0)</f>
        <v>2070</v>
      </c>
      <c r="G128" s="83" t="s">
        <v>202</v>
      </c>
      <c r="H128" s="143" t="str">
        <f t="shared" si="4"/>
        <v/>
      </c>
      <c r="V128" s="184"/>
    </row>
    <row r="129">
      <c r="B129" s="189">
        <v>90.0</v>
      </c>
      <c r="C129" s="213" t="s">
        <v>1256</v>
      </c>
      <c r="D129" s="214" t="s">
        <v>1268</v>
      </c>
      <c r="E129" s="214" t="s">
        <v>217</v>
      </c>
      <c r="F129" s="39">
        <f t="array" ref="F129:G129">VLOOKUP(D129,MASTER!$C$2:$F966,{3,4},0)</f>
        <v>2310</v>
      </c>
      <c r="G129" s="83" t="s">
        <v>202</v>
      </c>
      <c r="H129" s="143" t="str">
        <f t="shared" si="4"/>
        <v/>
      </c>
      <c r="V129" s="184"/>
    </row>
    <row r="130">
      <c r="B130" s="185">
        <v>91.0</v>
      </c>
      <c r="C130" s="213" t="s">
        <v>1269</v>
      </c>
      <c r="D130" s="214" t="s">
        <v>1279</v>
      </c>
      <c r="E130" s="214" t="s">
        <v>217</v>
      </c>
      <c r="F130" s="39">
        <f t="array" ref="F130:G130">VLOOKUP(D130,MASTER!$C$2:$F966,{3,4},0)</f>
        <v>2070</v>
      </c>
      <c r="G130" s="39">
        <v>2280.0</v>
      </c>
      <c r="H130" s="143">
        <f t="shared" si="4"/>
        <v>0.1014492754</v>
      </c>
      <c r="V130" s="184"/>
    </row>
    <row r="131">
      <c r="B131" s="189">
        <v>92.0</v>
      </c>
      <c r="C131" s="213" t="s">
        <v>1269</v>
      </c>
      <c r="D131" s="214" t="s">
        <v>1281</v>
      </c>
      <c r="E131" s="214" t="s">
        <v>217</v>
      </c>
      <c r="F131" s="39">
        <f t="array" ref="F131:G131">VLOOKUP(D131,MASTER!$C$2:$F966,{3,4},0)</f>
        <v>2070</v>
      </c>
      <c r="G131" s="39">
        <v>2280.0</v>
      </c>
      <c r="H131" s="143">
        <f t="shared" si="4"/>
        <v>0.1014492754</v>
      </c>
      <c r="V131" s="184"/>
    </row>
    <row r="132">
      <c r="B132" s="189">
        <v>93.0</v>
      </c>
      <c r="C132" s="213" t="s">
        <v>1269</v>
      </c>
      <c r="D132" s="214" t="s">
        <v>1283</v>
      </c>
      <c r="E132" s="214" t="s">
        <v>217</v>
      </c>
      <c r="F132" s="39">
        <f t="array" ref="F132:G132">VLOOKUP(D132,MASTER!$C$2:$F966,{3,4},0)</f>
        <v>2310</v>
      </c>
      <c r="G132" s="39">
        <v>2520.0</v>
      </c>
      <c r="H132" s="143">
        <f t="shared" si="4"/>
        <v>0.09090909091</v>
      </c>
      <c r="V132" s="184"/>
    </row>
    <row r="133">
      <c r="B133" s="185">
        <v>94.0</v>
      </c>
      <c r="C133" s="213" t="s">
        <v>1269</v>
      </c>
      <c r="D133" s="214" t="s">
        <v>1289</v>
      </c>
      <c r="E133" s="214" t="s">
        <v>217</v>
      </c>
      <c r="F133" s="39">
        <f t="array" ref="F133:G133">VLOOKUP(D133,MASTER!$C$2:$F966,{3,4},0)</f>
        <v>2070</v>
      </c>
      <c r="G133" s="39">
        <v>2280.0</v>
      </c>
      <c r="H133" s="143">
        <f t="shared" si="4"/>
        <v>0.1014492754</v>
      </c>
      <c r="V133" s="184"/>
    </row>
    <row r="134">
      <c r="B134" s="189">
        <v>95.0</v>
      </c>
      <c r="C134" s="213" t="s">
        <v>1269</v>
      </c>
      <c r="D134" s="214" t="s">
        <v>1291</v>
      </c>
      <c r="E134" s="214" t="s">
        <v>217</v>
      </c>
      <c r="F134" s="39">
        <f t="array" ref="F134:G134">VLOOKUP(D134,MASTER!$C$2:$F966,{3,4},0)</f>
        <v>2310</v>
      </c>
      <c r="G134" s="39">
        <v>2520.0</v>
      </c>
      <c r="H134" s="143">
        <f t="shared" si="4"/>
        <v>0.09090909091</v>
      </c>
      <c r="V134" s="184"/>
    </row>
    <row r="135">
      <c r="B135" s="189">
        <v>96.0</v>
      </c>
      <c r="C135" s="213" t="s">
        <v>1271</v>
      </c>
      <c r="D135" s="214" t="s">
        <v>1293</v>
      </c>
      <c r="E135" s="214" t="s">
        <v>217</v>
      </c>
      <c r="F135" s="39">
        <f t="array" ref="F135:G135">VLOOKUP(D135,MASTER!$C$2:$F966,{3,4},0)</f>
        <v>2480</v>
      </c>
      <c r="G135" s="39">
        <v>2670.0</v>
      </c>
      <c r="H135" s="143">
        <f t="shared" si="4"/>
        <v>0.07661290323</v>
      </c>
      <c r="V135" s="184"/>
    </row>
    <row r="136">
      <c r="B136" s="185">
        <v>97.0</v>
      </c>
      <c r="C136" s="213" t="s">
        <v>1271</v>
      </c>
      <c r="D136" s="214" t="s">
        <v>1295</v>
      </c>
      <c r="E136" s="214" t="s">
        <v>217</v>
      </c>
      <c r="F136" s="39">
        <f t="array" ref="F136:G136">VLOOKUP(D136,MASTER!$C$2:$F966,{3,4},0)</f>
        <v>2480</v>
      </c>
      <c r="G136" s="39">
        <v>2670.0</v>
      </c>
      <c r="H136" s="143">
        <f t="shared" si="4"/>
        <v>0.07661290323</v>
      </c>
      <c r="V136" s="184"/>
    </row>
    <row r="137">
      <c r="B137" s="189">
        <v>98.0</v>
      </c>
      <c r="C137" s="213" t="s">
        <v>1271</v>
      </c>
      <c r="D137" s="214" t="s">
        <v>1297</v>
      </c>
      <c r="E137" s="214" t="s">
        <v>217</v>
      </c>
      <c r="F137" s="39">
        <f t="array" ref="F137:G137">VLOOKUP(D137,MASTER!$C$2:$F966,{3,4},0)</f>
        <v>2720</v>
      </c>
      <c r="G137" s="39">
        <v>2910.0</v>
      </c>
      <c r="H137" s="143">
        <f t="shared" si="4"/>
        <v>0.06985294118</v>
      </c>
      <c r="V137" s="184"/>
    </row>
    <row r="138">
      <c r="B138" s="189">
        <v>99.0</v>
      </c>
      <c r="C138" s="213" t="s">
        <v>1271</v>
      </c>
      <c r="D138" s="214" t="s">
        <v>1299</v>
      </c>
      <c r="E138" s="214" t="s">
        <v>217</v>
      </c>
      <c r="F138" s="39">
        <f t="array" ref="F138:G138">VLOOKUP(D138,MASTER!$C$2:$F966,{3,4},0)</f>
        <v>2480</v>
      </c>
      <c r="G138" s="39">
        <v>2670.0</v>
      </c>
      <c r="H138" s="143">
        <f t="shared" si="4"/>
        <v>0.07661290323</v>
      </c>
      <c r="V138" s="184"/>
    </row>
    <row r="139">
      <c r="B139" s="185">
        <v>100.0</v>
      </c>
      <c r="C139" s="213" t="s">
        <v>1271</v>
      </c>
      <c r="D139" s="214" t="s">
        <v>1301</v>
      </c>
      <c r="E139" s="214" t="s">
        <v>217</v>
      </c>
      <c r="F139" s="39">
        <f t="array" ref="F139:G139">VLOOKUP(D139,MASTER!$C$2:$F966,{3,4},0)</f>
        <v>2720</v>
      </c>
      <c r="G139" s="39">
        <v>2910.0</v>
      </c>
      <c r="H139" s="143">
        <f t="shared" si="4"/>
        <v>0.06985294118</v>
      </c>
      <c r="V139" s="184"/>
    </row>
    <row r="140">
      <c r="B140" s="189">
        <v>101.0</v>
      </c>
      <c r="C140" s="213" t="s">
        <v>1273</v>
      </c>
      <c r="D140" s="214" t="s">
        <v>1303</v>
      </c>
      <c r="E140" s="214" t="s">
        <v>217</v>
      </c>
      <c r="F140" s="39">
        <f t="array" ref="F140:G140">VLOOKUP(D140,MASTER!$C$2:$F966,{3,4},0)</f>
        <v>2070</v>
      </c>
      <c r="G140" s="39">
        <v>2220.0</v>
      </c>
      <c r="H140" s="143">
        <f t="shared" si="4"/>
        <v>0.07246376812</v>
      </c>
      <c r="V140" s="184"/>
    </row>
    <row r="141">
      <c r="B141" s="189">
        <v>102.0</v>
      </c>
      <c r="C141" s="213" t="s">
        <v>1273</v>
      </c>
      <c r="D141" s="214" t="s">
        <v>1305</v>
      </c>
      <c r="E141" s="214" t="s">
        <v>217</v>
      </c>
      <c r="F141" s="39">
        <f t="array" ref="F141:G141">VLOOKUP(D141,MASTER!$C$2:$F966,{3,4},0)</f>
        <v>2070</v>
      </c>
      <c r="G141" s="39">
        <v>2220.0</v>
      </c>
      <c r="H141" s="143">
        <f t="shared" si="4"/>
        <v>0.07246376812</v>
      </c>
      <c r="V141" s="184"/>
    </row>
    <row r="142">
      <c r="B142" s="185">
        <v>103.0</v>
      </c>
      <c r="C142" s="213" t="s">
        <v>1273</v>
      </c>
      <c r="D142" s="214" t="s">
        <v>1307</v>
      </c>
      <c r="E142" s="214" t="s">
        <v>217</v>
      </c>
      <c r="F142" s="39">
        <f t="array" ref="F142:G142">VLOOKUP(D142,MASTER!$C$2:$F966,{3,4},0)</f>
        <v>2310</v>
      </c>
      <c r="G142" s="39">
        <v>2460.0</v>
      </c>
      <c r="H142" s="143">
        <f t="shared" si="4"/>
        <v>0.06493506494</v>
      </c>
      <c r="V142" s="184"/>
    </row>
    <row r="143">
      <c r="B143" s="189">
        <v>104.0</v>
      </c>
      <c r="C143" s="213" t="s">
        <v>1273</v>
      </c>
      <c r="D143" s="214" t="s">
        <v>1308</v>
      </c>
      <c r="E143" s="214" t="s">
        <v>217</v>
      </c>
      <c r="F143" s="39">
        <f t="array" ref="F143:G143">VLOOKUP(D143,MASTER!$C$2:$F966,{3,4},0)</f>
        <v>2070</v>
      </c>
      <c r="G143" s="39">
        <v>2220.0</v>
      </c>
      <c r="H143" s="143">
        <f t="shared" si="4"/>
        <v>0.07246376812</v>
      </c>
      <c r="V143" s="184"/>
    </row>
    <row r="144">
      <c r="B144" s="189">
        <v>105.0</v>
      </c>
      <c r="C144" s="213" t="s">
        <v>1273</v>
      </c>
      <c r="D144" s="214" t="s">
        <v>1309</v>
      </c>
      <c r="E144" s="214" t="s">
        <v>217</v>
      </c>
      <c r="F144" s="39">
        <f t="array" ref="F144:G144">VLOOKUP(D144,MASTER!$C$2:$F966,{3,4},0)</f>
        <v>2310</v>
      </c>
      <c r="G144" s="39">
        <v>2460.0</v>
      </c>
      <c r="H144" s="143">
        <f t="shared" si="4"/>
        <v>0.06493506494</v>
      </c>
      <c r="V144" s="184"/>
    </row>
    <row r="145">
      <c r="B145" s="189">
        <v>111.0</v>
      </c>
      <c r="C145" s="213" t="s">
        <v>1275</v>
      </c>
      <c r="D145" s="214" t="s">
        <v>1311</v>
      </c>
      <c r="E145" s="214" t="s">
        <v>217</v>
      </c>
      <c r="F145" s="39">
        <f t="array" ref="F145:G145">VLOOKUP(D145,MASTER!$C$2:$F966,{3,4},0)</f>
        <v>2070</v>
      </c>
      <c r="G145" s="39">
        <v>2280.0</v>
      </c>
      <c r="H145" s="143">
        <f t="shared" si="4"/>
        <v>0.1014492754</v>
      </c>
      <c r="V145" s="184"/>
    </row>
    <row r="146">
      <c r="B146" s="185">
        <v>112.0</v>
      </c>
      <c r="C146" s="213" t="s">
        <v>1275</v>
      </c>
      <c r="D146" s="214" t="s">
        <v>1312</v>
      </c>
      <c r="E146" s="214" t="s">
        <v>217</v>
      </c>
      <c r="F146" s="39">
        <f t="array" ref="F146:G146">VLOOKUP(D146,MASTER!$C$2:$F966,{3,4},0)</f>
        <v>2070</v>
      </c>
      <c r="G146" s="39">
        <v>2280.0</v>
      </c>
      <c r="H146" s="143">
        <f t="shared" si="4"/>
        <v>0.1014492754</v>
      </c>
      <c r="V146" s="184"/>
    </row>
    <row r="147">
      <c r="B147" s="189">
        <v>113.0</v>
      </c>
      <c r="C147" s="213" t="s">
        <v>1275</v>
      </c>
      <c r="D147" s="214" t="s">
        <v>1314</v>
      </c>
      <c r="E147" s="214" t="s">
        <v>217</v>
      </c>
      <c r="F147" s="39">
        <f t="array" ref="F147:G147">VLOOKUP(D147,MASTER!$C$2:$F966,{3,4},0)</f>
        <v>2310</v>
      </c>
      <c r="G147" s="39">
        <v>2520.0</v>
      </c>
      <c r="H147" s="143">
        <f t="shared" si="4"/>
        <v>0.09090909091</v>
      </c>
      <c r="V147" s="184"/>
    </row>
    <row r="148">
      <c r="B148" s="189">
        <v>114.0</v>
      </c>
      <c r="C148" s="213" t="s">
        <v>1275</v>
      </c>
      <c r="D148" s="214" t="s">
        <v>1315</v>
      </c>
      <c r="E148" s="214" t="s">
        <v>217</v>
      </c>
      <c r="F148" s="39">
        <f t="array" ref="F148:G148">VLOOKUP(D148,MASTER!$C$2:$F966,{3,4},0)</f>
        <v>2070</v>
      </c>
      <c r="G148" s="39">
        <v>2280.0</v>
      </c>
      <c r="H148" s="143">
        <f t="shared" si="4"/>
        <v>0.1014492754</v>
      </c>
      <c r="V148" s="184"/>
    </row>
    <row r="149">
      <c r="B149" s="185">
        <v>115.0</v>
      </c>
      <c r="C149" s="213" t="s">
        <v>1275</v>
      </c>
      <c r="D149" s="214" t="s">
        <v>1316</v>
      </c>
      <c r="E149" s="214" t="s">
        <v>217</v>
      </c>
      <c r="F149" s="39">
        <f t="array" ref="F149:G149">VLOOKUP(D149,MASTER!$C$2:$F966,{3,4},0)</f>
        <v>2310</v>
      </c>
      <c r="G149" s="39">
        <v>2520.0</v>
      </c>
      <c r="H149" s="143">
        <f t="shared" si="4"/>
        <v>0.09090909091</v>
      </c>
      <c r="V149" s="184"/>
    </row>
    <row r="150">
      <c r="B150" s="196"/>
      <c r="C150" s="201"/>
      <c r="D150" s="201"/>
      <c r="E150" s="196"/>
      <c r="F150" s="69"/>
      <c r="G150" s="196"/>
      <c r="H150" s="183"/>
      <c r="V150" s="184"/>
    </row>
    <row r="151">
      <c r="B151" s="196"/>
      <c r="C151" s="201"/>
      <c r="D151" s="201"/>
      <c r="E151" s="196"/>
      <c r="F151" s="196"/>
      <c r="G151" s="196"/>
      <c r="H151" s="183"/>
      <c r="V151" s="184"/>
    </row>
    <row r="152">
      <c r="B152" s="196"/>
      <c r="C152" s="201"/>
      <c r="D152" s="201"/>
      <c r="E152" s="196"/>
      <c r="F152" s="196"/>
      <c r="G152" s="196"/>
      <c r="H152" s="183"/>
      <c r="V152" s="184"/>
    </row>
    <row r="153">
      <c r="B153" s="196"/>
      <c r="C153" s="201"/>
      <c r="D153" s="201"/>
      <c r="E153" s="196"/>
      <c r="F153" s="196"/>
      <c r="G153" s="196"/>
      <c r="H153" s="183"/>
      <c r="V153" s="184"/>
    </row>
    <row r="154">
      <c r="B154" s="196"/>
      <c r="C154" s="201"/>
      <c r="D154" s="201"/>
      <c r="E154" s="196"/>
      <c r="F154" s="196"/>
      <c r="G154" s="196"/>
      <c r="H154" s="183"/>
      <c r="V154" s="184"/>
    </row>
    <row r="155">
      <c r="B155" s="196"/>
      <c r="C155" s="201"/>
      <c r="D155" s="201"/>
      <c r="E155" s="196"/>
      <c r="F155" s="196"/>
      <c r="G155" s="196"/>
      <c r="H155" s="183"/>
      <c r="V155" s="184"/>
    </row>
    <row r="156">
      <c r="B156" s="196"/>
      <c r="C156" s="201"/>
      <c r="D156" s="201"/>
      <c r="E156" s="196"/>
      <c r="F156" s="196"/>
      <c r="G156" s="196"/>
      <c r="H156" s="183"/>
      <c r="V156" s="184"/>
    </row>
    <row r="157">
      <c r="B157" s="196"/>
      <c r="C157" s="201"/>
      <c r="D157" s="201"/>
      <c r="E157" s="196"/>
      <c r="F157" s="196"/>
      <c r="G157" s="196"/>
      <c r="H157" s="183"/>
      <c r="V157" s="184"/>
    </row>
    <row r="158">
      <c r="B158" s="196"/>
      <c r="C158" s="201"/>
      <c r="D158" s="201"/>
      <c r="E158" s="196"/>
      <c r="F158" s="196"/>
      <c r="G158" s="196"/>
      <c r="H158" s="183"/>
      <c r="V158" s="184"/>
    </row>
    <row r="159">
      <c r="B159" s="196"/>
      <c r="C159" s="201"/>
      <c r="D159" s="201"/>
      <c r="E159" s="196"/>
      <c r="F159" s="196"/>
      <c r="G159" s="196"/>
      <c r="H159" s="183"/>
      <c r="V159" s="184"/>
    </row>
    <row r="160">
      <c r="B160" s="196"/>
      <c r="C160" s="201"/>
      <c r="D160" s="201"/>
      <c r="E160" s="196"/>
      <c r="F160" s="196"/>
      <c r="G160" s="196"/>
      <c r="H160" s="183"/>
      <c r="V160" s="184"/>
    </row>
    <row r="161">
      <c r="B161" s="196"/>
      <c r="C161" s="201"/>
      <c r="D161" s="201"/>
      <c r="E161" s="196"/>
      <c r="F161" s="196"/>
      <c r="G161" s="196"/>
      <c r="H161" s="183"/>
      <c r="V161" s="184"/>
    </row>
    <row r="162">
      <c r="B162" s="196"/>
      <c r="C162" s="201"/>
      <c r="D162" s="201"/>
      <c r="E162" s="196"/>
      <c r="F162" s="196"/>
      <c r="G162" s="196"/>
      <c r="H162" s="183"/>
      <c r="V162" s="184"/>
    </row>
    <row r="163">
      <c r="B163" s="196"/>
      <c r="C163" s="201"/>
      <c r="D163" s="201"/>
      <c r="E163" s="196"/>
      <c r="F163" s="196"/>
      <c r="G163" s="196"/>
      <c r="H163" s="183"/>
      <c r="V163" s="184"/>
    </row>
    <row r="164">
      <c r="B164" s="196"/>
      <c r="C164" s="201"/>
      <c r="D164" s="201"/>
      <c r="E164" s="196"/>
      <c r="F164" s="196"/>
      <c r="G164" s="196"/>
      <c r="H164" s="183"/>
      <c r="V164" s="184"/>
    </row>
    <row r="165">
      <c r="B165" s="196"/>
      <c r="C165" s="201"/>
      <c r="D165" s="201"/>
      <c r="E165" s="196"/>
      <c r="F165" s="196"/>
      <c r="G165" s="196"/>
      <c r="H165" s="183"/>
      <c r="V165" s="184"/>
    </row>
    <row r="166">
      <c r="B166" s="196"/>
      <c r="C166" s="201"/>
      <c r="D166" s="201"/>
      <c r="E166" s="196"/>
      <c r="F166" s="196"/>
      <c r="G166" s="196"/>
      <c r="H166" s="183"/>
      <c r="V166" s="184"/>
    </row>
    <row r="167">
      <c r="B167" s="196"/>
      <c r="C167" s="201"/>
      <c r="D167" s="201"/>
      <c r="E167" s="196"/>
      <c r="F167" s="196"/>
      <c r="G167" s="196"/>
      <c r="H167" s="183"/>
      <c r="V167" s="184"/>
    </row>
    <row r="168">
      <c r="B168" s="196"/>
      <c r="C168" s="201"/>
      <c r="D168" s="201"/>
      <c r="E168" s="196"/>
      <c r="F168" s="196"/>
      <c r="G168" s="196"/>
      <c r="H168" s="183"/>
      <c r="V168" s="184"/>
    </row>
    <row r="169">
      <c r="B169" s="196"/>
      <c r="C169" s="201"/>
      <c r="D169" s="201"/>
      <c r="E169" s="196"/>
      <c r="F169" s="196"/>
      <c r="G169" s="196"/>
      <c r="H169" s="183"/>
      <c r="V169" s="184"/>
    </row>
    <row r="170">
      <c r="B170" s="196"/>
      <c r="C170" s="201"/>
      <c r="D170" s="201"/>
      <c r="E170" s="196"/>
      <c r="F170" s="196"/>
      <c r="G170" s="196"/>
      <c r="H170" s="183"/>
      <c r="V170" s="184"/>
    </row>
    <row r="171">
      <c r="B171" s="196"/>
      <c r="C171" s="201"/>
      <c r="D171" s="201"/>
      <c r="E171" s="196"/>
      <c r="F171" s="196"/>
      <c r="G171" s="196"/>
      <c r="H171" s="183"/>
      <c r="V171" s="184"/>
    </row>
    <row r="172">
      <c r="B172" s="196"/>
      <c r="C172" s="201"/>
      <c r="D172" s="201"/>
      <c r="E172" s="196"/>
      <c r="F172" s="196"/>
      <c r="G172" s="196"/>
      <c r="H172" s="183"/>
      <c r="V172" s="184"/>
    </row>
    <row r="173">
      <c r="B173" s="196"/>
      <c r="C173" s="201"/>
      <c r="D173" s="201"/>
      <c r="E173" s="196"/>
      <c r="F173" s="196"/>
      <c r="G173" s="196"/>
      <c r="H173" s="183"/>
      <c r="V173" s="184"/>
    </row>
    <row r="174">
      <c r="B174" s="196"/>
      <c r="C174" s="201"/>
      <c r="D174" s="201"/>
      <c r="E174" s="196"/>
      <c r="F174" s="196"/>
      <c r="G174" s="196"/>
      <c r="H174" s="183"/>
      <c r="V174" s="184"/>
    </row>
    <row r="175">
      <c r="B175" s="196"/>
      <c r="C175" s="201"/>
      <c r="D175" s="201"/>
      <c r="E175" s="196"/>
      <c r="F175" s="196"/>
      <c r="G175" s="196"/>
      <c r="H175" s="183"/>
      <c r="V175" s="184"/>
    </row>
    <row r="176">
      <c r="B176" s="196"/>
      <c r="C176" s="201"/>
      <c r="D176" s="201"/>
      <c r="E176" s="196"/>
      <c r="F176" s="196"/>
      <c r="G176" s="196"/>
      <c r="H176" s="183"/>
      <c r="V176" s="184"/>
    </row>
    <row r="177">
      <c r="B177" s="196"/>
      <c r="C177" s="201"/>
      <c r="D177" s="201"/>
      <c r="E177" s="196"/>
      <c r="F177" s="196"/>
      <c r="G177" s="196"/>
      <c r="H177" s="183"/>
      <c r="V177" s="184"/>
    </row>
    <row r="178">
      <c r="B178" s="196"/>
      <c r="C178" s="201"/>
      <c r="D178" s="201"/>
      <c r="E178" s="196"/>
      <c r="F178" s="196"/>
      <c r="G178" s="196"/>
      <c r="H178" s="183"/>
      <c r="V178" s="184"/>
    </row>
    <row r="179">
      <c r="B179" s="196"/>
      <c r="C179" s="201"/>
      <c r="D179" s="201"/>
      <c r="E179" s="196"/>
      <c r="F179" s="196"/>
      <c r="G179" s="196"/>
      <c r="H179" s="183"/>
      <c r="V179" s="184"/>
    </row>
    <row r="180">
      <c r="B180" s="196"/>
      <c r="C180" s="201"/>
      <c r="D180" s="201"/>
      <c r="E180" s="196"/>
      <c r="F180" s="196"/>
      <c r="G180" s="196"/>
      <c r="H180" s="183"/>
      <c r="V180" s="184"/>
    </row>
    <row r="181">
      <c r="B181" s="196"/>
      <c r="C181" s="201"/>
      <c r="D181" s="201"/>
      <c r="E181" s="196"/>
      <c r="F181" s="196"/>
      <c r="G181" s="196"/>
      <c r="H181" s="183"/>
      <c r="V181" s="184"/>
    </row>
    <row r="182">
      <c r="B182" s="196"/>
      <c r="C182" s="201"/>
      <c r="D182" s="201"/>
      <c r="E182" s="196"/>
      <c r="F182" s="196"/>
      <c r="G182" s="196"/>
      <c r="H182" s="183"/>
      <c r="V182" s="184"/>
    </row>
    <row r="183">
      <c r="B183" s="196"/>
      <c r="C183" s="201"/>
      <c r="D183" s="201"/>
      <c r="E183" s="196"/>
      <c r="F183" s="196"/>
      <c r="G183" s="196"/>
      <c r="H183" s="183"/>
      <c r="V183" s="184"/>
    </row>
    <row r="184">
      <c r="B184" s="196"/>
      <c r="C184" s="201"/>
      <c r="D184" s="201"/>
      <c r="E184" s="196"/>
      <c r="F184" s="196"/>
      <c r="G184" s="196"/>
      <c r="H184" s="183"/>
      <c r="V184" s="184"/>
    </row>
    <row r="185">
      <c r="B185" s="196"/>
      <c r="C185" s="201"/>
      <c r="D185" s="201"/>
      <c r="E185" s="196"/>
      <c r="F185" s="196"/>
      <c r="G185" s="196"/>
      <c r="H185" s="183"/>
      <c r="V185" s="184"/>
    </row>
    <row r="186">
      <c r="B186" s="196"/>
      <c r="C186" s="201"/>
      <c r="D186" s="201"/>
      <c r="E186" s="196"/>
      <c r="F186" s="196"/>
      <c r="G186" s="196"/>
      <c r="H186" s="183"/>
      <c r="V186" s="184"/>
    </row>
    <row r="187">
      <c r="B187" s="196"/>
      <c r="C187" s="201"/>
      <c r="D187" s="201"/>
      <c r="E187" s="196"/>
      <c r="F187" s="196"/>
      <c r="G187" s="196"/>
      <c r="H187" s="183"/>
      <c r="V187" s="184"/>
    </row>
    <row r="188">
      <c r="B188" s="196"/>
      <c r="C188" s="201"/>
      <c r="D188" s="201"/>
      <c r="E188" s="196"/>
      <c r="F188" s="196"/>
      <c r="G188" s="196"/>
      <c r="H188" s="183"/>
      <c r="V188" s="184"/>
    </row>
    <row r="189">
      <c r="B189" s="196"/>
      <c r="C189" s="201"/>
      <c r="D189" s="201"/>
      <c r="E189" s="196"/>
      <c r="F189" s="196"/>
      <c r="G189" s="196"/>
      <c r="H189" s="183"/>
      <c r="V189" s="184"/>
    </row>
    <row r="190">
      <c r="B190" s="196"/>
      <c r="C190" s="201"/>
      <c r="D190" s="201"/>
      <c r="E190" s="196"/>
      <c r="F190" s="196"/>
      <c r="G190" s="196"/>
      <c r="H190" s="183"/>
      <c r="V190" s="184"/>
    </row>
    <row r="191">
      <c r="B191" s="196"/>
      <c r="C191" s="201"/>
      <c r="D191" s="201"/>
      <c r="E191" s="196"/>
      <c r="F191" s="196"/>
      <c r="G191" s="196"/>
      <c r="H191" s="183"/>
      <c r="V191" s="184"/>
    </row>
    <row r="192">
      <c r="B192" s="196"/>
      <c r="C192" s="201"/>
      <c r="D192" s="201"/>
      <c r="E192" s="196"/>
      <c r="F192" s="196"/>
      <c r="G192" s="196"/>
      <c r="H192" s="183"/>
      <c r="V192" s="184"/>
    </row>
    <row r="193">
      <c r="B193" s="196"/>
      <c r="C193" s="201"/>
      <c r="D193" s="201"/>
      <c r="E193" s="196"/>
      <c r="F193" s="196"/>
      <c r="G193" s="196"/>
      <c r="H193" s="183"/>
      <c r="V193" s="184"/>
    </row>
    <row r="194">
      <c r="B194" s="196"/>
      <c r="C194" s="201"/>
      <c r="D194" s="201"/>
      <c r="E194" s="196"/>
      <c r="F194" s="196"/>
      <c r="G194" s="196"/>
      <c r="H194" s="183"/>
      <c r="V194" s="184"/>
    </row>
    <row r="195">
      <c r="B195" s="196"/>
      <c r="C195" s="201"/>
      <c r="D195" s="201"/>
      <c r="E195" s="196"/>
      <c r="F195" s="196"/>
      <c r="G195" s="196"/>
      <c r="H195" s="183"/>
      <c r="V195" s="184"/>
    </row>
    <row r="196">
      <c r="B196" s="196"/>
      <c r="C196" s="201"/>
      <c r="D196" s="201"/>
      <c r="E196" s="196"/>
      <c r="F196" s="196"/>
      <c r="G196" s="196"/>
      <c r="H196" s="183"/>
      <c r="V196" s="184"/>
    </row>
    <row r="197">
      <c r="B197" s="196"/>
      <c r="C197" s="201"/>
      <c r="D197" s="201"/>
      <c r="E197" s="196"/>
      <c r="F197" s="196"/>
      <c r="G197" s="196"/>
      <c r="H197" s="183"/>
      <c r="V197" s="184"/>
    </row>
    <row r="198">
      <c r="B198" s="196"/>
      <c r="C198" s="201"/>
      <c r="D198" s="201"/>
      <c r="E198" s="196"/>
      <c r="F198" s="196"/>
      <c r="G198" s="196"/>
      <c r="H198" s="183"/>
      <c r="V198" s="184"/>
    </row>
    <row r="199">
      <c r="B199" s="196"/>
      <c r="C199" s="201"/>
      <c r="D199" s="201"/>
      <c r="E199" s="196"/>
      <c r="F199" s="196"/>
      <c r="G199" s="196"/>
      <c r="H199" s="183"/>
      <c r="V199" s="184"/>
    </row>
    <row r="200">
      <c r="B200" s="196"/>
      <c r="C200" s="201"/>
      <c r="D200" s="201"/>
      <c r="E200" s="196"/>
      <c r="F200" s="196"/>
      <c r="G200" s="196"/>
      <c r="H200" s="183"/>
      <c r="V200" s="184"/>
    </row>
    <row r="201">
      <c r="B201" s="196"/>
      <c r="C201" s="201"/>
      <c r="D201" s="201"/>
      <c r="E201" s="196"/>
      <c r="F201" s="196"/>
      <c r="G201" s="196"/>
      <c r="H201" s="183"/>
      <c r="V201" s="184"/>
    </row>
    <row r="202">
      <c r="B202" s="196"/>
      <c r="C202" s="201"/>
      <c r="D202" s="201"/>
      <c r="E202" s="196"/>
      <c r="F202" s="196"/>
      <c r="G202" s="196"/>
      <c r="H202" s="183"/>
      <c r="V202" s="184"/>
    </row>
    <row r="203">
      <c r="B203" s="196"/>
      <c r="C203" s="201"/>
      <c r="D203" s="201"/>
      <c r="E203" s="196"/>
      <c r="F203" s="196"/>
      <c r="G203" s="196"/>
      <c r="H203" s="183"/>
      <c r="V203" s="184"/>
    </row>
    <row r="204">
      <c r="B204" s="196"/>
      <c r="C204" s="201"/>
      <c r="D204" s="201"/>
      <c r="E204" s="196"/>
      <c r="F204" s="196"/>
      <c r="G204" s="196"/>
      <c r="H204" s="183"/>
      <c r="V204" s="184"/>
    </row>
    <row r="205">
      <c r="B205" s="196"/>
      <c r="C205" s="201"/>
      <c r="D205" s="201"/>
      <c r="E205" s="196"/>
      <c r="F205" s="196"/>
      <c r="G205" s="196"/>
      <c r="H205" s="183"/>
      <c r="V205" s="184"/>
    </row>
    <row r="206">
      <c r="B206" s="196"/>
      <c r="C206" s="201"/>
      <c r="D206" s="201"/>
      <c r="E206" s="196"/>
      <c r="F206" s="196"/>
      <c r="G206" s="196"/>
      <c r="H206" s="183"/>
      <c r="V206" s="184"/>
    </row>
    <row r="207">
      <c r="B207" s="196"/>
      <c r="C207" s="201"/>
      <c r="D207" s="201"/>
      <c r="E207" s="196"/>
      <c r="F207" s="196"/>
      <c r="G207" s="196"/>
      <c r="H207" s="183"/>
      <c r="V207" s="184"/>
    </row>
    <row r="208">
      <c r="B208" s="196"/>
      <c r="C208" s="201"/>
      <c r="D208" s="201"/>
      <c r="E208" s="196"/>
      <c r="F208" s="196"/>
      <c r="G208" s="196"/>
      <c r="H208" s="183"/>
      <c r="V208" s="184"/>
    </row>
    <row r="209">
      <c r="B209" s="196"/>
      <c r="C209" s="201"/>
      <c r="D209" s="201"/>
      <c r="E209" s="196"/>
      <c r="F209" s="196"/>
      <c r="G209" s="196"/>
      <c r="H209" s="183"/>
      <c r="V209" s="184"/>
    </row>
    <row r="210">
      <c r="B210" s="196"/>
      <c r="C210" s="201"/>
      <c r="D210" s="201"/>
      <c r="E210" s="196"/>
      <c r="F210" s="196"/>
      <c r="G210" s="196"/>
      <c r="H210" s="183"/>
      <c r="V210" s="184"/>
    </row>
    <row r="211">
      <c r="B211" s="196"/>
      <c r="C211" s="201"/>
      <c r="D211" s="201"/>
      <c r="E211" s="196"/>
      <c r="F211" s="196"/>
      <c r="G211" s="196"/>
      <c r="H211" s="183"/>
      <c r="V211" s="184"/>
    </row>
    <row r="212">
      <c r="B212" s="196"/>
      <c r="C212" s="201"/>
      <c r="D212" s="201"/>
      <c r="E212" s="196"/>
      <c r="F212" s="196"/>
      <c r="G212" s="196"/>
      <c r="H212" s="183"/>
      <c r="V212" s="184"/>
    </row>
    <row r="213">
      <c r="B213" s="196"/>
      <c r="C213" s="201"/>
      <c r="D213" s="201"/>
      <c r="E213" s="196"/>
      <c r="F213" s="196"/>
      <c r="G213" s="196"/>
      <c r="H213" s="183"/>
      <c r="V213" s="184"/>
    </row>
    <row r="214">
      <c r="B214" s="196"/>
      <c r="C214" s="201"/>
      <c r="D214" s="201"/>
      <c r="E214" s="196"/>
      <c r="F214" s="196"/>
      <c r="G214" s="196"/>
      <c r="H214" s="183"/>
      <c r="V214" s="184"/>
    </row>
    <row r="215">
      <c r="B215" s="196"/>
      <c r="C215" s="201"/>
      <c r="D215" s="201"/>
      <c r="E215" s="196"/>
      <c r="F215" s="196"/>
      <c r="G215" s="196"/>
      <c r="H215" s="183"/>
      <c r="V215" s="184"/>
    </row>
    <row r="216">
      <c r="B216" s="196"/>
      <c r="C216" s="201"/>
      <c r="D216" s="201"/>
      <c r="E216" s="196"/>
      <c r="F216" s="196"/>
      <c r="G216" s="196"/>
      <c r="H216" s="183"/>
      <c r="V216" s="184"/>
    </row>
    <row r="217">
      <c r="B217" s="196"/>
      <c r="C217" s="201"/>
      <c r="D217" s="201"/>
      <c r="E217" s="196"/>
      <c r="F217" s="196"/>
      <c r="G217" s="196"/>
      <c r="H217" s="183"/>
      <c r="V217" s="184"/>
    </row>
    <row r="218">
      <c r="B218" s="196"/>
      <c r="C218" s="201"/>
      <c r="D218" s="201"/>
      <c r="E218" s="196"/>
      <c r="F218" s="196"/>
      <c r="G218" s="196"/>
      <c r="H218" s="183"/>
      <c r="V218" s="184"/>
    </row>
    <row r="219">
      <c r="B219" s="196"/>
      <c r="C219" s="201"/>
      <c r="D219" s="201"/>
      <c r="E219" s="196"/>
      <c r="F219" s="196"/>
      <c r="G219" s="196"/>
      <c r="H219" s="183"/>
      <c r="V219" s="184"/>
    </row>
    <row r="220">
      <c r="B220" s="196"/>
      <c r="C220" s="201"/>
      <c r="D220" s="201"/>
      <c r="E220" s="196"/>
      <c r="F220" s="196"/>
      <c r="G220" s="196"/>
      <c r="H220" s="183"/>
      <c r="V220" s="184"/>
    </row>
    <row r="221">
      <c r="B221" s="196"/>
      <c r="C221" s="201"/>
      <c r="D221" s="201"/>
      <c r="E221" s="196"/>
      <c r="F221" s="196"/>
      <c r="G221" s="196"/>
      <c r="H221" s="183"/>
      <c r="V221" s="184"/>
    </row>
    <row r="222">
      <c r="B222" s="196"/>
      <c r="C222" s="201"/>
      <c r="D222" s="201"/>
      <c r="E222" s="196"/>
      <c r="F222" s="196"/>
      <c r="G222" s="196"/>
      <c r="H222" s="183"/>
      <c r="V222" s="184"/>
    </row>
    <row r="223">
      <c r="B223" s="196"/>
      <c r="C223" s="201"/>
      <c r="D223" s="201"/>
      <c r="E223" s="196"/>
      <c r="F223" s="196"/>
      <c r="G223" s="196"/>
      <c r="H223" s="183"/>
      <c r="V223" s="184"/>
    </row>
    <row r="224">
      <c r="B224" s="196"/>
      <c r="C224" s="201"/>
      <c r="D224" s="201"/>
      <c r="E224" s="196"/>
      <c r="F224" s="196"/>
      <c r="G224" s="196"/>
      <c r="H224" s="183"/>
      <c r="V224" s="184"/>
    </row>
    <row r="225">
      <c r="B225" s="196"/>
      <c r="C225" s="201"/>
      <c r="D225" s="201"/>
      <c r="E225" s="196"/>
      <c r="F225" s="196"/>
      <c r="G225" s="196"/>
      <c r="H225" s="183"/>
      <c r="V225" s="184"/>
    </row>
    <row r="226">
      <c r="B226" s="196"/>
      <c r="C226" s="201"/>
      <c r="D226" s="201"/>
      <c r="E226" s="196"/>
      <c r="F226" s="196"/>
      <c r="G226" s="196"/>
      <c r="H226" s="183"/>
      <c r="V226" s="184"/>
    </row>
    <row r="227">
      <c r="B227" s="196"/>
      <c r="C227" s="201"/>
      <c r="D227" s="201"/>
      <c r="E227" s="196"/>
      <c r="F227" s="196"/>
      <c r="G227" s="196"/>
      <c r="H227" s="183"/>
      <c r="V227" s="184"/>
    </row>
    <row r="228">
      <c r="B228" s="196"/>
      <c r="C228" s="201"/>
      <c r="D228" s="201"/>
      <c r="E228" s="196"/>
      <c r="F228" s="196"/>
      <c r="G228" s="196"/>
      <c r="H228" s="183"/>
      <c r="V228" s="184"/>
    </row>
    <row r="229">
      <c r="B229" s="196"/>
      <c r="C229" s="201"/>
      <c r="D229" s="201"/>
      <c r="E229" s="196"/>
      <c r="F229" s="196"/>
      <c r="G229" s="196"/>
      <c r="H229" s="183"/>
      <c r="V229" s="184"/>
    </row>
    <row r="230">
      <c r="B230" s="196"/>
      <c r="C230" s="201"/>
      <c r="D230" s="201"/>
      <c r="E230" s="196"/>
      <c r="F230" s="196"/>
      <c r="G230" s="196"/>
      <c r="H230" s="183"/>
      <c r="V230" s="184"/>
    </row>
    <row r="231">
      <c r="B231" s="196"/>
      <c r="C231" s="201"/>
      <c r="D231" s="201"/>
      <c r="E231" s="196"/>
      <c r="F231" s="196"/>
      <c r="G231" s="196"/>
      <c r="H231" s="183"/>
      <c r="V231" s="184"/>
    </row>
    <row r="232">
      <c r="B232" s="196"/>
      <c r="C232" s="201"/>
      <c r="D232" s="201"/>
      <c r="E232" s="196"/>
      <c r="F232" s="196"/>
      <c r="G232" s="196"/>
      <c r="H232" s="183"/>
      <c r="V232" s="184"/>
    </row>
    <row r="233">
      <c r="B233" s="196"/>
      <c r="C233" s="201"/>
      <c r="D233" s="201"/>
      <c r="E233" s="196"/>
      <c r="F233" s="196"/>
      <c r="G233" s="196"/>
      <c r="H233" s="183"/>
      <c r="V233" s="184"/>
    </row>
    <row r="234">
      <c r="B234" s="196"/>
      <c r="C234" s="201"/>
      <c r="D234" s="201"/>
      <c r="E234" s="196"/>
      <c r="F234" s="196"/>
      <c r="G234" s="196"/>
      <c r="H234" s="183"/>
      <c r="V234" s="184"/>
    </row>
    <row r="235">
      <c r="B235" s="196"/>
      <c r="C235" s="201"/>
      <c r="D235" s="201"/>
      <c r="E235" s="196"/>
      <c r="F235" s="196"/>
      <c r="G235" s="196"/>
      <c r="H235" s="183"/>
      <c r="V235" s="184"/>
    </row>
    <row r="236">
      <c r="B236" s="196"/>
      <c r="C236" s="201"/>
      <c r="D236" s="201"/>
      <c r="E236" s="196"/>
      <c r="F236" s="196"/>
      <c r="G236" s="196"/>
      <c r="H236" s="183"/>
      <c r="V236" s="184"/>
    </row>
    <row r="237">
      <c r="B237" s="196"/>
      <c r="C237" s="201"/>
      <c r="D237" s="201"/>
      <c r="E237" s="196"/>
      <c r="F237" s="196"/>
      <c r="G237" s="196"/>
      <c r="H237" s="183"/>
      <c r="V237" s="184"/>
    </row>
    <row r="238">
      <c r="B238" s="196"/>
      <c r="C238" s="201"/>
      <c r="D238" s="201"/>
      <c r="E238" s="196"/>
      <c r="F238" s="196"/>
      <c r="G238" s="196"/>
      <c r="H238" s="183"/>
      <c r="V238" s="184"/>
    </row>
    <row r="239">
      <c r="B239" s="196"/>
      <c r="C239" s="201"/>
      <c r="D239" s="201"/>
      <c r="E239" s="196"/>
      <c r="F239" s="196"/>
      <c r="G239" s="196"/>
      <c r="H239" s="183"/>
      <c r="V239" s="184"/>
    </row>
    <row r="240">
      <c r="B240" s="196"/>
      <c r="C240" s="201"/>
      <c r="D240" s="201"/>
      <c r="E240" s="196"/>
      <c r="F240" s="196"/>
      <c r="G240" s="196"/>
      <c r="H240" s="183"/>
      <c r="V240" s="184"/>
    </row>
    <row r="241">
      <c r="B241" s="196"/>
      <c r="C241" s="201"/>
      <c r="D241" s="201"/>
      <c r="E241" s="196"/>
      <c r="F241" s="196"/>
      <c r="G241" s="196"/>
      <c r="H241" s="183"/>
      <c r="V241" s="184"/>
    </row>
    <row r="242">
      <c r="B242" s="196"/>
      <c r="C242" s="201"/>
      <c r="D242" s="201"/>
      <c r="E242" s="196"/>
      <c r="F242" s="196"/>
      <c r="G242" s="196"/>
      <c r="H242" s="183"/>
      <c r="V242" s="184"/>
    </row>
    <row r="243">
      <c r="B243" s="196"/>
      <c r="C243" s="201"/>
      <c r="D243" s="201"/>
      <c r="E243" s="196"/>
      <c r="F243" s="196"/>
      <c r="G243" s="196"/>
      <c r="H243" s="183"/>
      <c r="V243" s="184"/>
    </row>
    <row r="244">
      <c r="B244" s="196"/>
      <c r="C244" s="201"/>
      <c r="D244" s="201"/>
      <c r="E244" s="196"/>
      <c r="F244" s="196"/>
      <c r="G244" s="196"/>
      <c r="H244" s="183"/>
      <c r="V244" s="184"/>
    </row>
    <row r="245">
      <c r="B245" s="196"/>
      <c r="C245" s="201"/>
      <c r="D245" s="201"/>
      <c r="E245" s="196"/>
      <c r="F245" s="196"/>
      <c r="G245" s="196"/>
      <c r="H245" s="183"/>
      <c r="V245" s="184"/>
    </row>
    <row r="246">
      <c r="B246" s="196"/>
      <c r="C246" s="201"/>
      <c r="D246" s="201"/>
      <c r="E246" s="196"/>
      <c r="F246" s="196"/>
      <c r="G246" s="196"/>
      <c r="H246" s="183"/>
      <c r="V246" s="184"/>
    </row>
    <row r="247">
      <c r="B247" s="196"/>
      <c r="C247" s="201"/>
      <c r="D247" s="201"/>
      <c r="E247" s="196"/>
      <c r="F247" s="196"/>
      <c r="G247" s="196"/>
      <c r="H247" s="183"/>
      <c r="V247" s="184"/>
    </row>
    <row r="248">
      <c r="B248" s="196"/>
      <c r="C248" s="201"/>
      <c r="D248" s="201"/>
      <c r="E248" s="196"/>
      <c r="F248" s="196"/>
      <c r="G248" s="196"/>
      <c r="H248" s="183"/>
      <c r="V248" s="184"/>
    </row>
    <row r="249">
      <c r="B249" s="196"/>
      <c r="C249" s="201"/>
      <c r="D249" s="201"/>
      <c r="E249" s="196"/>
      <c r="F249" s="196"/>
      <c r="G249" s="196"/>
      <c r="H249" s="183"/>
      <c r="V249" s="184"/>
    </row>
    <row r="250">
      <c r="B250" s="196"/>
      <c r="C250" s="201"/>
      <c r="D250" s="201"/>
      <c r="E250" s="196"/>
      <c r="F250" s="196"/>
      <c r="G250" s="196"/>
      <c r="H250" s="183"/>
      <c r="V250" s="184"/>
    </row>
    <row r="251">
      <c r="B251" s="196"/>
      <c r="C251" s="201"/>
      <c r="D251" s="201"/>
      <c r="E251" s="196"/>
      <c r="F251" s="196"/>
      <c r="G251" s="196"/>
      <c r="H251" s="183"/>
      <c r="V251" s="184"/>
    </row>
    <row r="252">
      <c r="B252" s="196"/>
      <c r="C252" s="201"/>
      <c r="D252" s="201"/>
      <c r="E252" s="196"/>
      <c r="F252" s="196"/>
      <c r="G252" s="196"/>
      <c r="H252" s="183"/>
      <c r="V252" s="184"/>
    </row>
    <row r="253">
      <c r="B253" s="196"/>
      <c r="C253" s="201"/>
      <c r="D253" s="201"/>
      <c r="E253" s="196"/>
      <c r="F253" s="196"/>
      <c r="G253" s="196"/>
      <c r="H253" s="183"/>
      <c r="V253" s="184"/>
    </row>
    <row r="254">
      <c r="B254" s="196"/>
      <c r="C254" s="201"/>
      <c r="D254" s="201"/>
      <c r="E254" s="196"/>
      <c r="F254" s="196"/>
      <c r="G254" s="196"/>
      <c r="H254" s="183"/>
      <c r="V254" s="184"/>
    </row>
    <row r="255">
      <c r="B255" s="196"/>
      <c r="C255" s="201"/>
      <c r="D255" s="201"/>
      <c r="E255" s="196"/>
      <c r="F255" s="196"/>
      <c r="G255" s="196"/>
      <c r="H255" s="183"/>
      <c r="V255" s="184"/>
    </row>
    <row r="256">
      <c r="B256" s="196"/>
      <c r="C256" s="201"/>
      <c r="D256" s="201"/>
      <c r="E256" s="196"/>
      <c r="F256" s="196"/>
      <c r="G256" s="196"/>
      <c r="H256" s="183"/>
      <c r="V256" s="184"/>
    </row>
    <row r="257">
      <c r="B257" s="196"/>
      <c r="C257" s="201"/>
      <c r="D257" s="201"/>
      <c r="E257" s="196"/>
      <c r="F257" s="196"/>
      <c r="G257" s="196"/>
      <c r="H257" s="183"/>
      <c r="V257" s="184"/>
    </row>
    <row r="258">
      <c r="B258" s="196"/>
      <c r="C258" s="201"/>
      <c r="D258" s="201"/>
      <c r="E258" s="196"/>
      <c r="F258" s="196"/>
      <c r="G258" s="196"/>
      <c r="H258" s="183"/>
      <c r="V258" s="184"/>
    </row>
    <row r="259">
      <c r="B259" s="196"/>
      <c r="C259" s="201"/>
      <c r="D259" s="201"/>
      <c r="E259" s="196"/>
      <c r="F259" s="196"/>
      <c r="G259" s="196"/>
      <c r="H259" s="183"/>
      <c r="V259" s="184"/>
    </row>
    <row r="260">
      <c r="B260" s="196"/>
      <c r="C260" s="201"/>
      <c r="D260" s="201"/>
      <c r="E260" s="196"/>
      <c r="F260" s="196"/>
      <c r="G260" s="196"/>
      <c r="H260" s="183"/>
      <c r="V260" s="184"/>
    </row>
    <row r="261">
      <c r="B261" s="196"/>
      <c r="C261" s="201"/>
      <c r="D261" s="201"/>
      <c r="E261" s="196"/>
      <c r="F261" s="196"/>
      <c r="G261" s="196"/>
      <c r="H261" s="183"/>
      <c r="V261" s="184"/>
    </row>
    <row r="262">
      <c r="B262" s="196"/>
      <c r="C262" s="201"/>
      <c r="D262" s="201"/>
      <c r="E262" s="196"/>
      <c r="F262" s="196"/>
      <c r="G262" s="196"/>
      <c r="H262" s="183"/>
      <c r="V262" s="184"/>
    </row>
    <row r="263">
      <c r="B263" s="196"/>
      <c r="C263" s="201"/>
      <c r="D263" s="201"/>
      <c r="E263" s="196"/>
      <c r="F263" s="196"/>
      <c r="G263" s="196"/>
      <c r="H263" s="183"/>
      <c r="V263" s="184"/>
    </row>
    <row r="264">
      <c r="B264" s="196"/>
      <c r="C264" s="201"/>
      <c r="D264" s="201"/>
      <c r="E264" s="196"/>
      <c r="F264" s="196"/>
      <c r="G264" s="196"/>
      <c r="H264" s="183"/>
      <c r="V264" s="184"/>
    </row>
    <row r="265">
      <c r="B265" s="196"/>
      <c r="C265" s="201"/>
      <c r="D265" s="201"/>
      <c r="E265" s="196"/>
      <c r="F265" s="196"/>
      <c r="G265" s="196"/>
      <c r="H265" s="183"/>
      <c r="V265" s="184"/>
    </row>
    <row r="266">
      <c r="B266" s="196"/>
      <c r="C266" s="201"/>
      <c r="D266" s="201"/>
      <c r="E266" s="196"/>
      <c r="F266" s="196"/>
      <c r="G266" s="196"/>
      <c r="H266" s="183"/>
      <c r="V266" s="184"/>
    </row>
    <row r="267">
      <c r="B267" s="196"/>
      <c r="C267" s="201"/>
      <c r="D267" s="201"/>
      <c r="E267" s="196"/>
      <c r="F267" s="196"/>
      <c r="G267" s="196"/>
      <c r="H267" s="183"/>
      <c r="V267" s="184"/>
    </row>
    <row r="268">
      <c r="B268" s="196"/>
      <c r="C268" s="201"/>
      <c r="D268" s="201"/>
      <c r="E268" s="196"/>
      <c r="F268" s="196"/>
      <c r="G268" s="196"/>
      <c r="H268" s="183"/>
      <c r="V268" s="184"/>
    </row>
    <row r="269">
      <c r="B269" s="196"/>
      <c r="C269" s="201"/>
      <c r="D269" s="201"/>
      <c r="E269" s="196"/>
      <c r="F269" s="196"/>
      <c r="G269" s="196"/>
      <c r="H269" s="183"/>
      <c r="V269" s="184"/>
    </row>
    <row r="270">
      <c r="B270" s="196"/>
      <c r="C270" s="201"/>
      <c r="D270" s="201"/>
      <c r="E270" s="196"/>
      <c r="F270" s="196"/>
      <c r="G270" s="196"/>
      <c r="H270" s="183"/>
      <c r="V270" s="184"/>
    </row>
    <row r="271">
      <c r="B271" s="196"/>
      <c r="C271" s="201"/>
      <c r="D271" s="201"/>
      <c r="E271" s="196"/>
      <c r="F271" s="196"/>
      <c r="G271" s="196"/>
      <c r="H271" s="183"/>
      <c r="V271" s="184"/>
    </row>
    <row r="272">
      <c r="B272" s="196"/>
      <c r="C272" s="201"/>
      <c r="D272" s="201"/>
      <c r="E272" s="196"/>
      <c r="F272" s="196"/>
      <c r="G272" s="196"/>
      <c r="H272" s="183"/>
      <c r="V272" s="184"/>
    </row>
    <row r="273">
      <c r="B273" s="196"/>
      <c r="C273" s="201"/>
      <c r="D273" s="201"/>
      <c r="E273" s="196"/>
      <c r="F273" s="196"/>
      <c r="G273" s="196"/>
      <c r="H273" s="183"/>
      <c r="V273" s="184"/>
    </row>
    <row r="274">
      <c r="B274" s="196"/>
      <c r="C274" s="201"/>
      <c r="D274" s="201"/>
      <c r="E274" s="196"/>
      <c r="F274" s="196"/>
      <c r="G274" s="196"/>
      <c r="H274" s="183"/>
      <c r="V274" s="184"/>
    </row>
    <row r="275">
      <c r="B275" s="196"/>
      <c r="C275" s="201"/>
      <c r="D275" s="201"/>
      <c r="E275" s="196"/>
      <c r="F275" s="196"/>
      <c r="G275" s="196"/>
      <c r="H275" s="183"/>
      <c r="V275" s="184"/>
    </row>
    <row r="276">
      <c r="B276" s="196"/>
      <c r="C276" s="201"/>
      <c r="D276" s="201"/>
      <c r="E276" s="196"/>
      <c r="F276" s="196"/>
      <c r="G276" s="196"/>
      <c r="H276" s="183"/>
      <c r="V276" s="184"/>
    </row>
    <row r="277">
      <c r="B277" s="196"/>
      <c r="C277" s="201"/>
      <c r="D277" s="201"/>
      <c r="E277" s="196"/>
      <c r="F277" s="196"/>
      <c r="G277" s="196"/>
      <c r="H277" s="183"/>
      <c r="V277" s="184"/>
    </row>
    <row r="278">
      <c r="B278" s="196"/>
      <c r="C278" s="201"/>
      <c r="D278" s="201"/>
      <c r="E278" s="196"/>
      <c r="F278" s="196"/>
      <c r="G278" s="196"/>
      <c r="H278" s="183"/>
      <c r="V278" s="184"/>
    </row>
    <row r="279">
      <c r="B279" s="196"/>
      <c r="C279" s="201"/>
      <c r="D279" s="201"/>
      <c r="E279" s="196"/>
      <c r="F279" s="196"/>
      <c r="G279" s="196"/>
      <c r="H279" s="183"/>
      <c r="V279" s="184"/>
    </row>
    <row r="280">
      <c r="B280" s="196"/>
      <c r="C280" s="201"/>
      <c r="D280" s="201"/>
      <c r="E280" s="196"/>
      <c r="F280" s="196"/>
      <c r="G280" s="196"/>
      <c r="H280" s="183"/>
      <c r="V280" s="184"/>
    </row>
    <row r="281">
      <c r="B281" s="196"/>
      <c r="C281" s="201"/>
      <c r="D281" s="201"/>
      <c r="E281" s="196"/>
      <c r="F281" s="196"/>
      <c r="G281" s="196"/>
      <c r="H281" s="183"/>
      <c r="V281" s="184"/>
    </row>
    <row r="282">
      <c r="B282" s="196"/>
      <c r="C282" s="201"/>
      <c r="D282" s="201"/>
      <c r="E282" s="196"/>
      <c r="F282" s="196"/>
      <c r="G282" s="196"/>
      <c r="H282" s="183"/>
      <c r="V282" s="184"/>
    </row>
    <row r="283">
      <c r="B283" s="196"/>
      <c r="C283" s="201"/>
      <c r="D283" s="201"/>
      <c r="E283" s="196"/>
      <c r="F283" s="196"/>
      <c r="G283" s="196"/>
      <c r="H283" s="183"/>
      <c r="V283" s="184"/>
    </row>
    <row r="284">
      <c r="B284" s="196"/>
      <c r="C284" s="201"/>
      <c r="D284" s="201"/>
      <c r="E284" s="196"/>
      <c r="F284" s="196"/>
      <c r="G284" s="196"/>
      <c r="H284" s="183"/>
      <c r="V284" s="184"/>
    </row>
    <row r="285">
      <c r="B285" s="196"/>
      <c r="C285" s="201"/>
      <c r="D285" s="201"/>
      <c r="E285" s="196"/>
      <c r="F285" s="196"/>
      <c r="G285" s="196"/>
      <c r="H285" s="183"/>
      <c r="V285" s="184"/>
    </row>
    <row r="286">
      <c r="B286" s="196"/>
      <c r="C286" s="201"/>
      <c r="D286" s="201"/>
      <c r="E286" s="196"/>
      <c r="F286" s="196"/>
      <c r="G286" s="196"/>
      <c r="H286" s="183"/>
      <c r="V286" s="184"/>
    </row>
    <row r="287">
      <c r="B287" s="196"/>
      <c r="C287" s="201"/>
      <c r="D287" s="201"/>
      <c r="E287" s="196"/>
      <c r="F287" s="196"/>
      <c r="G287" s="196"/>
      <c r="H287" s="183"/>
      <c r="V287" s="184"/>
    </row>
    <row r="288">
      <c r="B288" s="196"/>
      <c r="C288" s="201"/>
      <c r="D288" s="201"/>
      <c r="E288" s="196"/>
      <c r="F288" s="196"/>
      <c r="G288" s="196"/>
      <c r="H288" s="183"/>
      <c r="V288" s="184"/>
    </row>
    <row r="289">
      <c r="B289" s="196"/>
      <c r="C289" s="201"/>
      <c r="D289" s="201"/>
      <c r="E289" s="196"/>
      <c r="F289" s="196"/>
      <c r="G289" s="196"/>
      <c r="H289" s="183"/>
      <c r="V289" s="184"/>
    </row>
    <row r="290">
      <c r="B290" s="196"/>
      <c r="C290" s="201"/>
      <c r="D290" s="201"/>
      <c r="E290" s="196"/>
      <c r="F290" s="196"/>
      <c r="G290" s="196"/>
      <c r="H290" s="183"/>
      <c r="V290" s="184"/>
    </row>
    <row r="291">
      <c r="B291" s="196"/>
      <c r="C291" s="201"/>
      <c r="D291" s="201"/>
      <c r="E291" s="196"/>
      <c r="F291" s="196"/>
      <c r="G291" s="196"/>
      <c r="H291" s="183"/>
      <c r="V291" s="184"/>
    </row>
    <row r="292">
      <c r="B292" s="196"/>
      <c r="C292" s="201"/>
      <c r="D292" s="201"/>
      <c r="E292" s="196"/>
      <c r="F292" s="196"/>
      <c r="G292" s="196"/>
      <c r="H292" s="183"/>
      <c r="V292" s="184"/>
    </row>
    <row r="293">
      <c r="B293" s="196"/>
      <c r="C293" s="201"/>
      <c r="D293" s="201"/>
      <c r="E293" s="196"/>
      <c r="F293" s="196"/>
      <c r="G293" s="196"/>
      <c r="H293" s="183"/>
      <c r="V293" s="184"/>
    </row>
    <row r="294">
      <c r="B294" s="196"/>
      <c r="C294" s="201"/>
      <c r="D294" s="201"/>
      <c r="E294" s="196"/>
      <c r="F294" s="196"/>
      <c r="G294" s="196"/>
      <c r="H294" s="183"/>
      <c r="V294" s="184"/>
    </row>
    <row r="295">
      <c r="B295" s="196"/>
      <c r="C295" s="201"/>
      <c r="D295" s="201"/>
      <c r="E295" s="196"/>
      <c r="F295" s="196"/>
      <c r="G295" s="196"/>
      <c r="H295" s="183"/>
      <c r="V295" s="184"/>
    </row>
    <row r="296">
      <c r="B296" s="196"/>
      <c r="C296" s="201"/>
      <c r="D296" s="201"/>
      <c r="E296" s="196"/>
      <c r="F296" s="196"/>
      <c r="G296" s="196"/>
      <c r="H296" s="183"/>
      <c r="V296" s="184"/>
    </row>
    <row r="297">
      <c r="B297" s="196"/>
      <c r="C297" s="201"/>
      <c r="D297" s="201"/>
      <c r="E297" s="196"/>
      <c r="F297" s="196"/>
      <c r="G297" s="196"/>
      <c r="H297" s="183"/>
      <c r="V297" s="184"/>
    </row>
    <row r="298">
      <c r="B298" s="196"/>
      <c r="C298" s="201"/>
      <c r="D298" s="201"/>
      <c r="E298" s="196"/>
      <c r="F298" s="196"/>
      <c r="G298" s="196"/>
      <c r="H298" s="183"/>
      <c r="V298" s="184"/>
    </row>
    <row r="299">
      <c r="B299" s="196"/>
      <c r="C299" s="201"/>
      <c r="D299" s="201"/>
      <c r="E299" s="196"/>
      <c r="F299" s="196"/>
      <c r="G299" s="196"/>
      <c r="H299" s="183"/>
      <c r="V299" s="184"/>
    </row>
    <row r="300">
      <c r="B300" s="196"/>
      <c r="C300" s="201"/>
      <c r="D300" s="201"/>
      <c r="E300" s="196"/>
      <c r="F300" s="196"/>
      <c r="G300" s="196"/>
      <c r="H300" s="183"/>
      <c r="V300" s="184"/>
    </row>
    <row r="301">
      <c r="B301" s="196"/>
      <c r="C301" s="201"/>
      <c r="D301" s="201"/>
      <c r="E301" s="196"/>
      <c r="F301" s="196"/>
      <c r="G301" s="196"/>
      <c r="H301" s="183"/>
      <c r="V301" s="184"/>
    </row>
    <row r="302">
      <c r="B302" s="196"/>
      <c r="C302" s="201"/>
      <c r="D302" s="201"/>
      <c r="E302" s="196"/>
      <c r="F302" s="196"/>
      <c r="G302" s="196"/>
      <c r="H302" s="183"/>
      <c r="V302" s="184"/>
    </row>
    <row r="303">
      <c r="B303" s="196"/>
      <c r="C303" s="201"/>
      <c r="D303" s="201"/>
      <c r="E303" s="196"/>
      <c r="F303" s="196"/>
      <c r="G303" s="196"/>
      <c r="H303" s="183"/>
      <c r="V303" s="184"/>
    </row>
    <row r="304">
      <c r="B304" s="196"/>
      <c r="C304" s="201"/>
      <c r="D304" s="201"/>
      <c r="E304" s="196"/>
      <c r="F304" s="196"/>
      <c r="G304" s="196"/>
      <c r="H304" s="183"/>
      <c r="V304" s="184"/>
    </row>
    <row r="305">
      <c r="B305" s="196"/>
      <c r="C305" s="201"/>
      <c r="D305" s="201"/>
      <c r="E305" s="196"/>
      <c r="F305" s="196"/>
      <c r="G305" s="196"/>
      <c r="H305" s="183"/>
      <c r="V305" s="184"/>
    </row>
    <row r="306">
      <c r="B306" s="196"/>
      <c r="C306" s="201"/>
      <c r="D306" s="201"/>
      <c r="E306" s="196"/>
      <c r="F306" s="196"/>
      <c r="G306" s="196"/>
      <c r="H306" s="183"/>
      <c r="V306" s="184"/>
    </row>
    <row r="307">
      <c r="B307" s="196"/>
      <c r="C307" s="201"/>
      <c r="D307" s="201"/>
      <c r="E307" s="196"/>
      <c r="F307" s="196"/>
      <c r="G307" s="196"/>
      <c r="H307" s="183"/>
      <c r="V307" s="184"/>
    </row>
    <row r="308">
      <c r="B308" s="196"/>
      <c r="C308" s="201"/>
      <c r="D308" s="201"/>
      <c r="E308" s="196"/>
      <c r="F308" s="196"/>
      <c r="G308" s="196"/>
      <c r="H308" s="183"/>
      <c r="V308" s="184"/>
    </row>
    <row r="309">
      <c r="B309" s="196"/>
      <c r="C309" s="201"/>
      <c r="D309" s="201"/>
      <c r="E309" s="196"/>
      <c r="F309" s="196"/>
      <c r="G309" s="196"/>
      <c r="H309" s="183"/>
      <c r="V309" s="184"/>
    </row>
    <row r="310">
      <c r="B310" s="196"/>
      <c r="C310" s="201"/>
      <c r="D310" s="201"/>
      <c r="E310" s="196"/>
      <c r="F310" s="196"/>
      <c r="G310" s="196"/>
      <c r="H310" s="183"/>
      <c r="V310" s="184"/>
    </row>
    <row r="311">
      <c r="B311" s="196"/>
      <c r="C311" s="201"/>
      <c r="D311" s="201"/>
      <c r="E311" s="196"/>
      <c r="F311" s="196"/>
      <c r="G311" s="196"/>
      <c r="H311" s="183"/>
      <c r="V311" s="184"/>
    </row>
    <row r="312">
      <c r="B312" s="196"/>
      <c r="C312" s="201"/>
      <c r="D312" s="201"/>
      <c r="E312" s="196"/>
      <c r="F312" s="196"/>
      <c r="G312" s="196"/>
      <c r="H312" s="183"/>
      <c r="V312" s="184"/>
    </row>
    <row r="313">
      <c r="B313" s="196"/>
      <c r="C313" s="201"/>
      <c r="D313" s="201"/>
      <c r="E313" s="196"/>
      <c r="F313" s="196"/>
      <c r="G313" s="196"/>
      <c r="H313" s="183"/>
      <c r="V313" s="184"/>
    </row>
    <row r="314">
      <c r="B314" s="196"/>
      <c r="C314" s="201"/>
      <c r="D314" s="201"/>
      <c r="E314" s="196"/>
      <c r="F314" s="196"/>
      <c r="G314" s="196"/>
      <c r="H314" s="183"/>
      <c r="V314" s="184"/>
    </row>
    <row r="315">
      <c r="B315" s="196"/>
      <c r="C315" s="201"/>
      <c r="D315" s="201"/>
      <c r="E315" s="196"/>
      <c r="F315" s="196"/>
      <c r="G315" s="196"/>
      <c r="H315" s="183"/>
      <c r="V315" s="184"/>
    </row>
    <row r="316">
      <c r="B316" s="196"/>
      <c r="C316" s="201"/>
      <c r="D316" s="201"/>
      <c r="E316" s="196"/>
      <c r="F316" s="196"/>
      <c r="G316" s="196"/>
      <c r="H316" s="183"/>
      <c r="V316" s="184"/>
    </row>
    <row r="317">
      <c r="B317" s="196"/>
      <c r="C317" s="201"/>
      <c r="D317" s="201"/>
      <c r="E317" s="196"/>
      <c r="F317" s="196"/>
      <c r="G317" s="196"/>
      <c r="H317" s="183"/>
      <c r="V317" s="184"/>
    </row>
    <row r="318">
      <c r="B318" s="196"/>
      <c r="C318" s="201"/>
      <c r="D318" s="201"/>
      <c r="E318" s="196"/>
      <c r="F318" s="196"/>
      <c r="G318" s="196"/>
      <c r="H318" s="183"/>
      <c r="V318" s="184"/>
    </row>
    <row r="319">
      <c r="B319" s="196"/>
      <c r="C319" s="201"/>
      <c r="D319" s="201"/>
      <c r="E319" s="196"/>
      <c r="F319" s="196"/>
      <c r="G319" s="196"/>
      <c r="H319" s="183"/>
      <c r="V319" s="184"/>
    </row>
    <row r="320">
      <c r="B320" s="196"/>
      <c r="C320" s="201"/>
      <c r="D320" s="201"/>
      <c r="E320" s="196"/>
      <c r="F320" s="196"/>
      <c r="G320" s="196"/>
      <c r="H320" s="183"/>
      <c r="V320" s="184"/>
    </row>
    <row r="321">
      <c r="B321" s="196"/>
      <c r="C321" s="201"/>
      <c r="D321" s="201"/>
      <c r="E321" s="196"/>
      <c r="F321" s="196"/>
      <c r="G321" s="196"/>
      <c r="H321" s="183"/>
      <c r="V321" s="184"/>
    </row>
    <row r="322">
      <c r="B322" s="196"/>
      <c r="C322" s="201"/>
      <c r="D322" s="201"/>
      <c r="E322" s="196"/>
      <c r="F322" s="196"/>
      <c r="G322" s="196"/>
      <c r="H322" s="183"/>
      <c r="V322" s="184"/>
    </row>
    <row r="323">
      <c r="B323" s="196"/>
      <c r="C323" s="201"/>
      <c r="D323" s="201"/>
      <c r="E323" s="196"/>
      <c r="F323" s="196"/>
      <c r="G323" s="196"/>
      <c r="H323" s="183"/>
      <c r="V323" s="184"/>
    </row>
    <row r="324">
      <c r="B324" s="196"/>
      <c r="C324" s="201"/>
      <c r="D324" s="201"/>
      <c r="E324" s="196"/>
      <c r="F324" s="196"/>
      <c r="G324" s="196"/>
      <c r="H324" s="183"/>
      <c r="V324" s="184"/>
    </row>
    <row r="325">
      <c r="B325" s="196"/>
      <c r="C325" s="201"/>
      <c r="D325" s="201"/>
      <c r="E325" s="196"/>
      <c r="F325" s="196"/>
      <c r="G325" s="196"/>
      <c r="H325" s="183"/>
      <c r="V325" s="184"/>
    </row>
    <row r="326">
      <c r="B326" s="196"/>
      <c r="C326" s="201"/>
      <c r="D326" s="201"/>
      <c r="E326" s="196"/>
      <c r="F326" s="196"/>
      <c r="G326" s="196"/>
      <c r="H326" s="183"/>
      <c r="V326" s="184"/>
    </row>
    <row r="327">
      <c r="B327" s="196"/>
      <c r="C327" s="201"/>
      <c r="D327" s="201"/>
      <c r="E327" s="196"/>
      <c r="F327" s="196"/>
      <c r="G327" s="196"/>
      <c r="H327" s="183"/>
      <c r="V327" s="184"/>
    </row>
    <row r="328">
      <c r="B328" s="196"/>
      <c r="C328" s="201"/>
      <c r="D328" s="201"/>
      <c r="E328" s="196"/>
      <c r="F328" s="196"/>
      <c r="G328" s="196"/>
      <c r="H328" s="183"/>
      <c r="V328" s="184"/>
    </row>
    <row r="329">
      <c r="B329" s="196"/>
      <c r="C329" s="201"/>
      <c r="D329" s="201"/>
      <c r="E329" s="196"/>
      <c r="F329" s="196"/>
      <c r="G329" s="196"/>
      <c r="H329" s="183"/>
      <c r="V329" s="184"/>
    </row>
    <row r="330">
      <c r="B330" s="196"/>
      <c r="C330" s="201"/>
      <c r="D330" s="201"/>
      <c r="E330" s="196"/>
      <c r="F330" s="196"/>
      <c r="G330" s="196"/>
      <c r="H330" s="183"/>
      <c r="V330" s="184"/>
    </row>
    <row r="331">
      <c r="B331" s="196"/>
      <c r="C331" s="201"/>
      <c r="D331" s="201"/>
      <c r="E331" s="196"/>
      <c r="F331" s="196"/>
      <c r="G331" s="196"/>
      <c r="H331" s="183"/>
      <c r="V331" s="184"/>
    </row>
    <row r="332">
      <c r="B332" s="196"/>
      <c r="C332" s="201"/>
      <c r="D332" s="201"/>
      <c r="E332" s="196"/>
      <c r="F332" s="196"/>
      <c r="G332" s="196"/>
      <c r="H332" s="183"/>
      <c r="V332" s="184"/>
    </row>
    <row r="333">
      <c r="B333" s="196"/>
      <c r="C333" s="201"/>
      <c r="D333" s="201"/>
      <c r="E333" s="196"/>
      <c r="F333" s="196"/>
      <c r="G333" s="196"/>
      <c r="H333" s="183"/>
      <c r="V333" s="184"/>
    </row>
    <row r="334">
      <c r="B334" s="196"/>
      <c r="C334" s="201"/>
      <c r="D334" s="201"/>
      <c r="E334" s="196"/>
      <c r="F334" s="196"/>
      <c r="G334" s="196"/>
      <c r="H334" s="183"/>
      <c r="V334" s="184"/>
    </row>
    <row r="335">
      <c r="B335" s="196"/>
      <c r="C335" s="201"/>
      <c r="D335" s="201"/>
      <c r="E335" s="196"/>
      <c r="F335" s="196"/>
      <c r="G335" s="196"/>
      <c r="H335" s="183"/>
      <c r="V335" s="184"/>
    </row>
    <row r="336">
      <c r="B336" s="196"/>
      <c r="C336" s="201"/>
      <c r="D336" s="201"/>
      <c r="E336" s="196"/>
      <c r="F336" s="196"/>
      <c r="G336" s="196"/>
      <c r="H336" s="183"/>
      <c r="V336" s="184"/>
    </row>
    <row r="337">
      <c r="B337" s="196"/>
      <c r="C337" s="201"/>
      <c r="D337" s="201"/>
      <c r="E337" s="196"/>
      <c r="F337" s="196"/>
      <c r="G337" s="196"/>
      <c r="H337" s="183"/>
      <c r="V337" s="184"/>
    </row>
    <row r="338">
      <c r="B338" s="196"/>
      <c r="C338" s="201"/>
      <c r="D338" s="201"/>
      <c r="E338" s="196"/>
      <c r="F338" s="196"/>
      <c r="G338" s="196"/>
      <c r="H338" s="183"/>
      <c r="V338" s="184"/>
    </row>
    <row r="339">
      <c r="B339" s="196"/>
      <c r="C339" s="201"/>
      <c r="D339" s="201"/>
      <c r="E339" s="196"/>
      <c r="F339" s="196"/>
      <c r="G339" s="196"/>
      <c r="H339" s="183"/>
      <c r="V339" s="184"/>
    </row>
    <row r="340">
      <c r="B340" s="196"/>
      <c r="C340" s="201"/>
      <c r="D340" s="201"/>
      <c r="E340" s="196"/>
      <c r="F340" s="196"/>
      <c r="G340" s="196"/>
      <c r="H340" s="183"/>
      <c r="V340" s="184"/>
    </row>
    <row r="341">
      <c r="B341" s="196"/>
      <c r="C341" s="201"/>
      <c r="D341" s="201"/>
      <c r="E341" s="196"/>
      <c r="F341" s="196"/>
      <c r="G341" s="196"/>
      <c r="H341" s="183"/>
      <c r="V341" s="184"/>
    </row>
    <row r="342">
      <c r="B342" s="196"/>
      <c r="C342" s="201"/>
      <c r="D342" s="201"/>
      <c r="E342" s="196"/>
      <c r="F342" s="196"/>
      <c r="G342" s="196"/>
      <c r="H342" s="183"/>
      <c r="V342" s="184"/>
    </row>
    <row r="343">
      <c r="B343" s="196"/>
      <c r="C343" s="201"/>
      <c r="D343" s="201"/>
      <c r="E343" s="196"/>
      <c r="F343" s="196"/>
      <c r="G343" s="196"/>
      <c r="H343" s="183"/>
      <c r="V343" s="184"/>
    </row>
    <row r="344">
      <c r="B344" s="196"/>
      <c r="C344" s="201"/>
      <c r="D344" s="201"/>
      <c r="E344" s="196"/>
      <c r="F344" s="196"/>
      <c r="G344" s="196"/>
      <c r="H344" s="183"/>
      <c r="V344" s="184"/>
    </row>
    <row r="345">
      <c r="B345" s="196"/>
      <c r="C345" s="201"/>
      <c r="D345" s="201"/>
      <c r="E345" s="196"/>
      <c r="F345" s="196"/>
      <c r="G345" s="196"/>
      <c r="H345" s="183"/>
      <c r="V345" s="184"/>
    </row>
    <row r="346">
      <c r="B346" s="196"/>
      <c r="C346" s="201"/>
      <c r="D346" s="201"/>
      <c r="E346" s="196"/>
      <c r="F346" s="196"/>
      <c r="G346" s="196"/>
      <c r="H346" s="183"/>
      <c r="V346" s="184"/>
    </row>
    <row r="347">
      <c r="B347" s="196"/>
      <c r="C347" s="201"/>
      <c r="D347" s="201"/>
      <c r="E347" s="196"/>
      <c r="F347" s="196"/>
      <c r="G347" s="196"/>
      <c r="H347" s="183"/>
      <c r="V347" s="184"/>
    </row>
    <row r="348">
      <c r="B348" s="196"/>
      <c r="C348" s="201"/>
      <c r="D348" s="201"/>
      <c r="E348" s="196"/>
      <c r="F348" s="196"/>
      <c r="G348" s="196"/>
      <c r="H348" s="183"/>
      <c r="V348" s="184"/>
    </row>
    <row r="349">
      <c r="B349" s="196"/>
      <c r="C349" s="201"/>
      <c r="D349" s="201"/>
      <c r="E349" s="196"/>
      <c r="F349" s="196"/>
      <c r="G349" s="196"/>
      <c r="H349" s="183"/>
      <c r="V349" s="184"/>
    </row>
    <row r="350">
      <c r="B350" s="196"/>
      <c r="C350" s="201"/>
      <c r="D350" s="201"/>
      <c r="E350" s="196"/>
      <c r="F350" s="196"/>
      <c r="G350" s="196"/>
      <c r="H350" s="183"/>
      <c r="V350" s="184"/>
    </row>
    <row r="351">
      <c r="B351" s="196"/>
      <c r="C351" s="201"/>
      <c r="D351" s="201"/>
      <c r="E351" s="196"/>
      <c r="F351" s="196"/>
      <c r="G351" s="196"/>
      <c r="H351" s="183"/>
      <c r="V351" s="184"/>
    </row>
    <row r="352">
      <c r="B352" s="196"/>
      <c r="C352" s="201"/>
      <c r="D352" s="201"/>
      <c r="E352" s="196"/>
      <c r="F352" s="196"/>
      <c r="G352" s="196"/>
      <c r="H352" s="183"/>
      <c r="V352" s="184"/>
    </row>
    <row r="353">
      <c r="B353" s="196"/>
      <c r="C353" s="201"/>
      <c r="D353" s="201"/>
      <c r="E353" s="196"/>
      <c r="F353" s="196"/>
      <c r="G353" s="196"/>
      <c r="H353" s="183"/>
      <c r="V353" s="184"/>
    </row>
    <row r="354">
      <c r="B354" s="196"/>
      <c r="C354" s="201"/>
      <c r="D354" s="201"/>
      <c r="E354" s="196"/>
      <c r="F354" s="196"/>
      <c r="G354" s="196"/>
      <c r="H354" s="183"/>
      <c r="V354" s="184"/>
    </row>
    <row r="355">
      <c r="B355" s="196"/>
      <c r="C355" s="201"/>
      <c r="D355" s="201"/>
      <c r="E355" s="196"/>
      <c r="F355" s="196"/>
      <c r="G355" s="196"/>
      <c r="H355" s="183"/>
      <c r="V355" s="184"/>
    </row>
    <row r="356">
      <c r="B356" s="196"/>
      <c r="C356" s="201"/>
      <c r="D356" s="201"/>
      <c r="E356" s="196"/>
      <c r="F356" s="196"/>
      <c r="G356" s="196"/>
      <c r="H356" s="183"/>
      <c r="V356" s="184"/>
    </row>
    <row r="357">
      <c r="B357" s="196"/>
      <c r="C357" s="201"/>
      <c r="D357" s="201"/>
      <c r="E357" s="196"/>
      <c r="F357" s="196"/>
      <c r="G357" s="196"/>
      <c r="H357" s="183"/>
      <c r="V357" s="184"/>
    </row>
    <row r="358">
      <c r="B358" s="196"/>
      <c r="C358" s="201"/>
      <c r="D358" s="201"/>
      <c r="E358" s="196"/>
      <c r="F358" s="196"/>
      <c r="G358" s="196"/>
      <c r="H358" s="183"/>
      <c r="V358" s="184"/>
    </row>
    <row r="359">
      <c r="B359" s="196"/>
      <c r="C359" s="201"/>
      <c r="D359" s="201"/>
      <c r="E359" s="196"/>
      <c r="F359" s="196"/>
      <c r="G359" s="196"/>
      <c r="H359" s="183"/>
      <c r="V359" s="184"/>
    </row>
    <row r="360">
      <c r="B360" s="196"/>
      <c r="C360" s="201"/>
      <c r="D360" s="201"/>
      <c r="E360" s="196"/>
      <c r="F360" s="196"/>
      <c r="G360" s="196"/>
      <c r="H360" s="183"/>
      <c r="V360" s="184"/>
    </row>
    <row r="361">
      <c r="B361" s="196"/>
      <c r="C361" s="201"/>
      <c r="D361" s="201"/>
      <c r="E361" s="196"/>
      <c r="F361" s="196"/>
      <c r="G361" s="196"/>
      <c r="H361" s="183"/>
      <c r="V361" s="184"/>
    </row>
    <row r="362">
      <c r="B362" s="196"/>
      <c r="C362" s="201"/>
      <c r="D362" s="201"/>
      <c r="E362" s="196"/>
      <c r="F362" s="196"/>
      <c r="G362" s="196"/>
      <c r="H362" s="183"/>
      <c r="V362" s="184"/>
    </row>
    <row r="363">
      <c r="B363" s="196"/>
      <c r="C363" s="201"/>
      <c r="D363" s="201"/>
      <c r="E363" s="196"/>
      <c r="F363" s="196"/>
      <c r="G363" s="196"/>
      <c r="H363" s="183"/>
      <c r="V363" s="184"/>
    </row>
    <row r="364">
      <c r="B364" s="196"/>
      <c r="C364" s="201"/>
      <c r="D364" s="201"/>
      <c r="E364" s="196"/>
      <c r="F364" s="196"/>
      <c r="G364" s="196"/>
      <c r="H364" s="183"/>
      <c r="V364" s="184"/>
    </row>
    <row r="365">
      <c r="B365" s="196"/>
      <c r="C365" s="201"/>
      <c r="D365" s="201"/>
      <c r="E365" s="196"/>
      <c r="F365" s="196"/>
      <c r="G365" s="196"/>
      <c r="H365" s="183"/>
      <c r="V365" s="184"/>
    </row>
    <row r="366">
      <c r="B366" s="196"/>
      <c r="C366" s="201"/>
      <c r="D366" s="201"/>
      <c r="E366" s="196"/>
      <c r="F366" s="196"/>
      <c r="G366" s="196"/>
      <c r="H366" s="183"/>
      <c r="V366" s="184"/>
    </row>
    <row r="367">
      <c r="B367" s="196"/>
      <c r="C367" s="201"/>
      <c r="D367" s="201"/>
      <c r="E367" s="196"/>
      <c r="F367" s="196"/>
      <c r="G367" s="196"/>
      <c r="H367" s="183"/>
      <c r="V367" s="184"/>
    </row>
    <row r="368">
      <c r="B368" s="196"/>
      <c r="C368" s="201"/>
      <c r="D368" s="201"/>
      <c r="E368" s="196"/>
      <c r="F368" s="196"/>
      <c r="G368" s="196"/>
      <c r="H368" s="183"/>
      <c r="V368" s="184"/>
    </row>
    <row r="369">
      <c r="B369" s="196"/>
      <c r="C369" s="201"/>
      <c r="D369" s="201"/>
      <c r="E369" s="196"/>
      <c r="F369" s="196"/>
      <c r="G369" s="196"/>
      <c r="H369" s="183"/>
      <c r="V369" s="184"/>
    </row>
    <row r="370">
      <c r="B370" s="196"/>
      <c r="C370" s="201"/>
      <c r="D370" s="201"/>
      <c r="E370" s="196"/>
      <c r="F370" s="196"/>
      <c r="G370" s="196"/>
      <c r="H370" s="183"/>
      <c r="V370" s="184"/>
    </row>
    <row r="371">
      <c r="B371" s="196"/>
      <c r="C371" s="201"/>
      <c r="D371" s="201"/>
      <c r="E371" s="196"/>
      <c r="F371" s="196"/>
      <c r="G371" s="196"/>
      <c r="H371" s="183"/>
      <c r="V371" s="184"/>
    </row>
    <row r="372">
      <c r="B372" s="196"/>
      <c r="C372" s="201"/>
      <c r="D372" s="201"/>
      <c r="E372" s="196"/>
      <c r="F372" s="196"/>
      <c r="G372" s="196"/>
      <c r="H372" s="183"/>
      <c r="V372" s="184"/>
    </row>
    <row r="373">
      <c r="B373" s="196"/>
      <c r="C373" s="201"/>
      <c r="D373" s="201"/>
      <c r="E373" s="196"/>
      <c r="F373" s="196"/>
      <c r="G373" s="196"/>
      <c r="H373" s="183"/>
      <c r="V373" s="184"/>
    </row>
    <row r="374">
      <c r="B374" s="196"/>
      <c r="C374" s="201"/>
      <c r="D374" s="201"/>
      <c r="E374" s="196"/>
      <c r="F374" s="196"/>
      <c r="G374" s="196"/>
      <c r="H374" s="183"/>
      <c r="V374" s="184"/>
    </row>
    <row r="375">
      <c r="B375" s="196"/>
      <c r="C375" s="201"/>
      <c r="D375" s="201"/>
      <c r="E375" s="196"/>
      <c r="F375" s="196"/>
      <c r="G375" s="196"/>
      <c r="H375" s="183"/>
      <c r="V375" s="184"/>
    </row>
    <row r="376">
      <c r="B376" s="196"/>
      <c r="C376" s="201"/>
      <c r="D376" s="201"/>
      <c r="E376" s="196"/>
      <c r="F376" s="196"/>
      <c r="G376" s="196"/>
      <c r="H376" s="183"/>
      <c r="V376" s="184"/>
    </row>
    <row r="377">
      <c r="B377" s="196"/>
      <c r="C377" s="201"/>
      <c r="D377" s="201"/>
      <c r="E377" s="196"/>
      <c r="F377" s="196"/>
      <c r="G377" s="196"/>
      <c r="H377" s="183"/>
      <c r="V377" s="184"/>
    </row>
    <row r="378">
      <c r="B378" s="196"/>
      <c r="C378" s="201"/>
      <c r="D378" s="201"/>
      <c r="E378" s="196"/>
      <c r="F378" s="196"/>
      <c r="G378" s="196"/>
      <c r="H378" s="183"/>
      <c r="V378" s="184"/>
    </row>
    <row r="379">
      <c r="B379" s="196"/>
      <c r="C379" s="201"/>
      <c r="D379" s="201"/>
      <c r="E379" s="196"/>
      <c r="F379" s="196"/>
      <c r="G379" s="196"/>
      <c r="H379" s="183"/>
      <c r="V379" s="184"/>
    </row>
    <row r="380">
      <c r="B380" s="196"/>
      <c r="C380" s="201"/>
      <c r="D380" s="201"/>
      <c r="E380" s="196"/>
      <c r="F380" s="196"/>
      <c r="G380" s="196"/>
      <c r="H380" s="183"/>
      <c r="V380" s="184"/>
    </row>
    <row r="381">
      <c r="B381" s="196"/>
      <c r="C381" s="201"/>
      <c r="D381" s="201"/>
      <c r="E381" s="196"/>
      <c r="F381" s="196"/>
      <c r="G381" s="196"/>
      <c r="H381" s="183"/>
      <c r="V381" s="184"/>
    </row>
    <row r="382">
      <c r="B382" s="196"/>
      <c r="C382" s="201"/>
      <c r="D382" s="201"/>
      <c r="E382" s="196"/>
      <c r="F382" s="196"/>
      <c r="G382" s="196"/>
      <c r="H382" s="183"/>
      <c r="V382" s="184"/>
    </row>
    <row r="383">
      <c r="B383" s="196"/>
      <c r="C383" s="201"/>
      <c r="D383" s="201"/>
      <c r="E383" s="196"/>
      <c r="F383" s="196"/>
      <c r="G383" s="196"/>
      <c r="H383" s="183"/>
      <c r="V383" s="184"/>
    </row>
    <row r="384">
      <c r="B384" s="196"/>
      <c r="C384" s="201"/>
      <c r="D384" s="201"/>
      <c r="E384" s="196"/>
      <c r="F384" s="196"/>
      <c r="G384" s="196"/>
      <c r="H384" s="183"/>
      <c r="V384" s="184"/>
    </row>
    <row r="385">
      <c r="B385" s="196"/>
      <c r="C385" s="201"/>
      <c r="D385" s="201"/>
      <c r="E385" s="196"/>
      <c r="F385" s="196"/>
      <c r="G385" s="196"/>
      <c r="H385" s="183"/>
      <c r="V385" s="184"/>
    </row>
    <row r="386">
      <c r="B386" s="196"/>
      <c r="C386" s="201"/>
      <c r="D386" s="201"/>
      <c r="E386" s="196"/>
      <c r="F386" s="196"/>
      <c r="G386" s="196"/>
      <c r="H386" s="183"/>
      <c r="V386" s="184"/>
    </row>
    <row r="387">
      <c r="B387" s="196"/>
      <c r="C387" s="201"/>
      <c r="D387" s="201"/>
      <c r="E387" s="196"/>
      <c r="F387" s="196"/>
      <c r="G387" s="196"/>
      <c r="H387" s="183"/>
      <c r="V387" s="184"/>
    </row>
    <row r="388">
      <c r="B388" s="196"/>
      <c r="C388" s="201"/>
      <c r="D388" s="201"/>
      <c r="E388" s="196"/>
      <c r="F388" s="196"/>
      <c r="G388" s="196"/>
      <c r="H388" s="183"/>
      <c r="V388" s="184"/>
    </row>
    <row r="389">
      <c r="B389" s="196"/>
      <c r="C389" s="201"/>
      <c r="D389" s="201"/>
      <c r="E389" s="196"/>
      <c r="F389" s="196"/>
      <c r="G389" s="196"/>
      <c r="H389" s="183"/>
      <c r="V389" s="184"/>
    </row>
    <row r="390">
      <c r="B390" s="196"/>
      <c r="C390" s="201"/>
      <c r="D390" s="201"/>
      <c r="E390" s="196"/>
      <c r="F390" s="196"/>
      <c r="G390" s="196"/>
      <c r="H390" s="183"/>
      <c r="V390" s="184"/>
    </row>
    <row r="391">
      <c r="B391" s="196"/>
      <c r="C391" s="201"/>
      <c r="D391" s="201"/>
      <c r="E391" s="196"/>
      <c r="F391" s="196"/>
      <c r="G391" s="196"/>
      <c r="H391" s="183"/>
      <c r="V391" s="184"/>
    </row>
    <row r="392">
      <c r="B392" s="196"/>
      <c r="C392" s="201"/>
      <c r="D392" s="201"/>
      <c r="E392" s="196"/>
      <c r="F392" s="196"/>
      <c r="G392" s="196"/>
      <c r="H392" s="183"/>
      <c r="V392" s="184"/>
    </row>
    <row r="393">
      <c r="B393" s="196"/>
      <c r="C393" s="201"/>
      <c r="D393" s="201"/>
      <c r="E393" s="196"/>
      <c r="F393" s="196"/>
      <c r="G393" s="196"/>
      <c r="H393" s="183"/>
      <c r="V393" s="184"/>
    </row>
    <row r="394">
      <c r="B394" s="196"/>
      <c r="C394" s="201"/>
      <c r="D394" s="201"/>
      <c r="E394" s="196"/>
      <c r="F394" s="196"/>
      <c r="G394" s="196"/>
      <c r="H394" s="183"/>
      <c r="V394" s="184"/>
    </row>
    <row r="395">
      <c r="B395" s="196"/>
      <c r="C395" s="201"/>
      <c r="D395" s="201"/>
      <c r="E395" s="196"/>
      <c r="F395" s="196"/>
      <c r="G395" s="196"/>
      <c r="H395" s="183"/>
      <c r="V395" s="184"/>
    </row>
    <row r="396">
      <c r="B396" s="196"/>
      <c r="C396" s="201"/>
      <c r="D396" s="201"/>
      <c r="E396" s="196"/>
      <c r="F396" s="196"/>
      <c r="G396" s="196"/>
      <c r="H396" s="183"/>
      <c r="V396" s="184"/>
    </row>
    <row r="397">
      <c r="B397" s="196"/>
      <c r="C397" s="201"/>
      <c r="D397" s="201"/>
      <c r="E397" s="196"/>
      <c r="F397" s="196"/>
      <c r="G397" s="196"/>
      <c r="H397" s="183"/>
      <c r="V397" s="184"/>
    </row>
    <row r="398">
      <c r="B398" s="196"/>
      <c r="C398" s="201"/>
      <c r="D398" s="201"/>
      <c r="E398" s="196"/>
      <c r="F398" s="196"/>
      <c r="G398" s="196"/>
      <c r="H398" s="183"/>
      <c r="V398" s="184"/>
    </row>
    <row r="399">
      <c r="B399" s="196"/>
      <c r="C399" s="201"/>
      <c r="D399" s="201"/>
      <c r="E399" s="196"/>
      <c r="F399" s="196"/>
      <c r="G399" s="196"/>
      <c r="H399" s="183"/>
      <c r="V399" s="184"/>
    </row>
    <row r="400">
      <c r="B400" s="196"/>
      <c r="C400" s="201"/>
      <c r="D400" s="201"/>
      <c r="E400" s="196"/>
      <c r="F400" s="196"/>
      <c r="G400" s="196"/>
      <c r="H400" s="183"/>
      <c r="V400" s="184"/>
    </row>
    <row r="401">
      <c r="B401" s="196"/>
      <c r="C401" s="201"/>
      <c r="D401" s="201"/>
      <c r="E401" s="196"/>
      <c r="F401" s="196"/>
      <c r="G401" s="196"/>
      <c r="H401" s="183"/>
      <c r="V401" s="184"/>
    </row>
    <row r="402">
      <c r="B402" s="196"/>
      <c r="C402" s="201"/>
      <c r="D402" s="201"/>
      <c r="E402" s="196"/>
      <c r="F402" s="196"/>
      <c r="G402" s="196"/>
      <c r="H402" s="183"/>
      <c r="V402" s="184"/>
    </row>
    <row r="403">
      <c r="B403" s="196"/>
      <c r="C403" s="201"/>
      <c r="D403" s="201"/>
      <c r="E403" s="196"/>
      <c r="F403" s="196"/>
      <c r="G403" s="196"/>
      <c r="H403" s="183"/>
      <c r="V403" s="184"/>
    </row>
    <row r="404">
      <c r="B404" s="196"/>
      <c r="C404" s="201"/>
      <c r="D404" s="201"/>
      <c r="E404" s="196"/>
      <c r="F404" s="196"/>
      <c r="G404" s="196"/>
      <c r="H404" s="183"/>
      <c r="V404" s="184"/>
    </row>
    <row r="405">
      <c r="B405" s="196"/>
      <c r="C405" s="201"/>
      <c r="D405" s="201"/>
      <c r="E405" s="196"/>
      <c r="F405" s="196"/>
      <c r="G405" s="196"/>
      <c r="H405" s="183"/>
      <c r="V405" s="184"/>
    </row>
    <row r="406">
      <c r="B406" s="196"/>
      <c r="C406" s="201"/>
      <c r="D406" s="201"/>
      <c r="E406" s="196"/>
      <c r="F406" s="196"/>
      <c r="G406" s="196"/>
      <c r="H406" s="183"/>
      <c r="V406" s="184"/>
    </row>
    <row r="407">
      <c r="B407" s="196"/>
      <c r="C407" s="201"/>
      <c r="D407" s="201"/>
      <c r="E407" s="196"/>
      <c r="F407" s="196"/>
      <c r="G407" s="196"/>
      <c r="H407" s="183"/>
      <c r="V407" s="184"/>
    </row>
    <row r="408">
      <c r="B408" s="196"/>
      <c r="C408" s="201"/>
      <c r="D408" s="201"/>
      <c r="E408" s="196"/>
      <c r="F408" s="196"/>
      <c r="G408" s="196"/>
      <c r="H408" s="183"/>
      <c r="V408" s="184"/>
    </row>
    <row r="409">
      <c r="B409" s="196"/>
      <c r="C409" s="201"/>
      <c r="D409" s="201"/>
      <c r="E409" s="196"/>
      <c r="F409" s="196"/>
      <c r="G409" s="196"/>
      <c r="H409" s="183"/>
      <c r="V409" s="184"/>
    </row>
    <row r="410">
      <c r="B410" s="196"/>
      <c r="C410" s="201"/>
      <c r="D410" s="201"/>
      <c r="E410" s="196"/>
      <c r="F410" s="196"/>
      <c r="G410" s="196"/>
      <c r="H410" s="183"/>
      <c r="V410" s="184"/>
    </row>
    <row r="411">
      <c r="B411" s="196"/>
      <c r="C411" s="201"/>
      <c r="D411" s="201"/>
      <c r="E411" s="196"/>
      <c r="F411" s="196"/>
      <c r="G411" s="196"/>
      <c r="H411" s="183"/>
      <c r="V411" s="184"/>
    </row>
    <row r="412">
      <c r="B412" s="196"/>
      <c r="C412" s="201"/>
      <c r="D412" s="201"/>
      <c r="E412" s="196"/>
      <c r="F412" s="196"/>
      <c r="G412" s="196"/>
      <c r="H412" s="183"/>
      <c r="V412" s="184"/>
    </row>
    <row r="413">
      <c r="B413" s="196"/>
      <c r="C413" s="201"/>
      <c r="D413" s="201"/>
      <c r="E413" s="196"/>
      <c r="F413" s="196"/>
      <c r="G413" s="196"/>
      <c r="H413" s="183"/>
      <c r="V413" s="184"/>
    </row>
    <row r="414">
      <c r="B414" s="196"/>
      <c r="C414" s="201"/>
      <c r="D414" s="201"/>
      <c r="E414" s="196"/>
      <c r="F414" s="196"/>
      <c r="G414" s="196"/>
      <c r="H414" s="183"/>
      <c r="V414" s="184"/>
    </row>
    <row r="415">
      <c r="B415" s="196"/>
      <c r="C415" s="201"/>
      <c r="D415" s="201"/>
      <c r="E415" s="196"/>
      <c r="F415" s="196"/>
      <c r="G415" s="196"/>
      <c r="H415" s="183"/>
      <c r="V415" s="184"/>
    </row>
    <row r="416">
      <c r="B416" s="196"/>
      <c r="C416" s="201"/>
      <c r="D416" s="201"/>
      <c r="E416" s="196"/>
      <c r="F416" s="196"/>
      <c r="G416" s="196"/>
      <c r="H416" s="183"/>
      <c r="V416" s="184"/>
    </row>
    <row r="417">
      <c r="B417" s="196"/>
      <c r="C417" s="201"/>
      <c r="D417" s="201"/>
      <c r="E417" s="196"/>
      <c r="F417" s="196"/>
      <c r="G417" s="196"/>
      <c r="H417" s="183"/>
      <c r="V417" s="184"/>
    </row>
    <row r="418">
      <c r="B418" s="196"/>
      <c r="C418" s="201"/>
      <c r="D418" s="201"/>
      <c r="E418" s="196"/>
      <c r="F418" s="196"/>
      <c r="G418" s="196"/>
      <c r="H418" s="183"/>
      <c r="V418" s="184"/>
    </row>
    <row r="419">
      <c r="B419" s="196"/>
      <c r="C419" s="201"/>
      <c r="D419" s="201"/>
      <c r="E419" s="196"/>
      <c r="F419" s="196"/>
      <c r="G419" s="196"/>
      <c r="H419" s="183"/>
      <c r="V419" s="184"/>
    </row>
    <row r="420">
      <c r="B420" s="196"/>
      <c r="C420" s="201"/>
      <c r="D420" s="201"/>
      <c r="E420" s="196"/>
      <c r="F420" s="196"/>
      <c r="G420" s="196"/>
      <c r="H420" s="183"/>
      <c r="V420" s="184"/>
    </row>
    <row r="421">
      <c r="B421" s="196"/>
      <c r="C421" s="201"/>
      <c r="D421" s="201"/>
      <c r="E421" s="196"/>
      <c r="F421" s="196"/>
      <c r="G421" s="196"/>
      <c r="H421" s="183"/>
      <c r="V421" s="184"/>
    </row>
    <row r="422">
      <c r="B422" s="196"/>
      <c r="C422" s="201"/>
      <c r="D422" s="201"/>
      <c r="E422" s="196"/>
      <c r="F422" s="196"/>
      <c r="G422" s="196"/>
      <c r="H422" s="183"/>
      <c r="V422" s="184"/>
    </row>
    <row r="423">
      <c r="B423" s="196"/>
      <c r="C423" s="201"/>
      <c r="D423" s="201"/>
      <c r="E423" s="196"/>
      <c r="F423" s="196"/>
      <c r="G423" s="196"/>
      <c r="H423" s="183"/>
      <c r="V423" s="184"/>
    </row>
    <row r="424">
      <c r="B424" s="196"/>
      <c r="C424" s="201"/>
      <c r="D424" s="201"/>
      <c r="E424" s="196"/>
      <c r="F424" s="196"/>
      <c r="G424" s="196"/>
      <c r="H424" s="183"/>
      <c r="V424" s="184"/>
    </row>
    <row r="425">
      <c r="B425" s="196"/>
      <c r="C425" s="201"/>
      <c r="D425" s="201"/>
      <c r="E425" s="196"/>
      <c r="F425" s="196"/>
      <c r="G425" s="196"/>
      <c r="H425" s="183"/>
      <c r="V425" s="184"/>
    </row>
    <row r="426">
      <c r="B426" s="196"/>
      <c r="C426" s="201"/>
      <c r="D426" s="201"/>
      <c r="E426" s="196"/>
      <c r="F426" s="196"/>
      <c r="G426" s="196"/>
      <c r="H426" s="183"/>
      <c r="V426" s="184"/>
    </row>
    <row r="427">
      <c r="B427" s="196"/>
      <c r="C427" s="201"/>
      <c r="D427" s="201"/>
      <c r="E427" s="196"/>
      <c r="F427" s="196"/>
      <c r="G427" s="196"/>
      <c r="H427" s="183"/>
      <c r="V427" s="184"/>
    </row>
    <row r="428">
      <c r="B428" s="196"/>
      <c r="C428" s="201"/>
      <c r="D428" s="201"/>
      <c r="E428" s="196"/>
      <c r="F428" s="196"/>
      <c r="G428" s="196"/>
      <c r="H428" s="183"/>
      <c r="V428" s="184"/>
    </row>
    <row r="429">
      <c r="B429" s="196"/>
      <c r="C429" s="201"/>
      <c r="D429" s="201"/>
      <c r="E429" s="196"/>
      <c r="F429" s="196"/>
      <c r="G429" s="196"/>
      <c r="H429" s="183"/>
      <c r="V429" s="184"/>
    </row>
    <row r="430">
      <c r="B430" s="196"/>
      <c r="C430" s="201"/>
      <c r="D430" s="201"/>
      <c r="E430" s="196"/>
      <c r="F430" s="196"/>
      <c r="G430" s="196"/>
      <c r="H430" s="183"/>
      <c r="V430" s="184"/>
    </row>
    <row r="431">
      <c r="B431" s="196"/>
      <c r="C431" s="201"/>
      <c r="D431" s="201"/>
      <c r="E431" s="196"/>
      <c r="F431" s="196"/>
      <c r="G431" s="196"/>
      <c r="H431" s="183"/>
      <c r="V431" s="184"/>
    </row>
    <row r="432">
      <c r="B432" s="196"/>
      <c r="C432" s="201"/>
      <c r="D432" s="201"/>
      <c r="E432" s="196"/>
      <c r="F432" s="196"/>
      <c r="G432" s="196"/>
      <c r="H432" s="183"/>
      <c r="V432" s="184"/>
    </row>
    <row r="433">
      <c r="B433" s="196"/>
      <c r="C433" s="201"/>
      <c r="D433" s="201"/>
      <c r="E433" s="196"/>
      <c r="F433" s="196"/>
      <c r="G433" s="196"/>
      <c r="H433" s="183"/>
      <c r="V433" s="184"/>
    </row>
    <row r="434">
      <c r="B434" s="196"/>
      <c r="C434" s="201"/>
      <c r="D434" s="201"/>
      <c r="E434" s="196"/>
      <c r="F434" s="196"/>
      <c r="G434" s="196"/>
      <c r="H434" s="183"/>
      <c r="V434" s="184"/>
    </row>
    <row r="435">
      <c r="B435" s="196"/>
      <c r="C435" s="201"/>
      <c r="D435" s="201"/>
      <c r="E435" s="196"/>
      <c r="F435" s="196"/>
      <c r="G435" s="196"/>
      <c r="H435" s="183"/>
      <c r="V435" s="184"/>
    </row>
    <row r="436">
      <c r="B436" s="196"/>
      <c r="C436" s="201"/>
      <c r="D436" s="201"/>
      <c r="E436" s="196"/>
      <c r="F436" s="196"/>
      <c r="G436" s="196"/>
      <c r="H436" s="183"/>
      <c r="V436" s="184"/>
    </row>
    <row r="437">
      <c r="B437" s="196"/>
      <c r="C437" s="201"/>
      <c r="D437" s="201"/>
      <c r="E437" s="196"/>
      <c r="F437" s="196"/>
      <c r="G437" s="196"/>
      <c r="H437" s="183"/>
      <c r="V437" s="184"/>
    </row>
    <row r="438">
      <c r="B438" s="196"/>
      <c r="C438" s="201"/>
      <c r="D438" s="201"/>
      <c r="E438" s="196"/>
      <c r="F438" s="196"/>
      <c r="G438" s="196"/>
      <c r="H438" s="183"/>
      <c r="V438" s="184"/>
    </row>
    <row r="439">
      <c r="B439" s="196"/>
      <c r="C439" s="201"/>
      <c r="D439" s="201"/>
      <c r="E439" s="196"/>
      <c r="F439" s="196"/>
      <c r="G439" s="196"/>
      <c r="H439" s="183"/>
      <c r="V439" s="184"/>
    </row>
    <row r="440">
      <c r="B440" s="196"/>
      <c r="C440" s="201"/>
      <c r="D440" s="201"/>
      <c r="E440" s="196"/>
      <c r="F440" s="196"/>
      <c r="G440" s="196"/>
      <c r="H440" s="183"/>
      <c r="V440" s="184"/>
    </row>
    <row r="441">
      <c r="B441" s="196"/>
      <c r="C441" s="201"/>
      <c r="D441" s="201"/>
      <c r="E441" s="196"/>
      <c r="F441" s="196"/>
      <c r="G441" s="196"/>
      <c r="H441" s="183"/>
      <c r="V441" s="184"/>
    </row>
    <row r="442">
      <c r="B442" s="196"/>
      <c r="C442" s="201"/>
      <c r="D442" s="201"/>
      <c r="E442" s="196"/>
      <c r="F442" s="196"/>
      <c r="G442" s="196"/>
      <c r="H442" s="183"/>
      <c r="V442" s="184"/>
    </row>
    <row r="443">
      <c r="B443" s="196"/>
      <c r="C443" s="201"/>
      <c r="D443" s="201"/>
      <c r="E443" s="196"/>
      <c r="F443" s="196"/>
      <c r="G443" s="196"/>
      <c r="H443" s="183"/>
      <c r="V443" s="184"/>
    </row>
    <row r="444">
      <c r="B444" s="196"/>
      <c r="C444" s="201"/>
      <c r="D444" s="201"/>
      <c r="E444" s="196"/>
      <c r="F444" s="196"/>
      <c r="G444" s="196"/>
      <c r="H444" s="183"/>
      <c r="V444" s="184"/>
    </row>
    <row r="445">
      <c r="B445" s="196"/>
      <c r="C445" s="201"/>
      <c r="D445" s="201"/>
      <c r="E445" s="196"/>
      <c r="F445" s="196"/>
      <c r="G445" s="196"/>
      <c r="H445" s="183"/>
      <c r="V445" s="184"/>
    </row>
    <row r="446">
      <c r="B446" s="196"/>
      <c r="C446" s="201"/>
      <c r="D446" s="201"/>
      <c r="E446" s="196"/>
      <c r="F446" s="196"/>
      <c r="G446" s="196"/>
      <c r="H446" s="183"/>
      <c r="V446" s="184"/>
    </row>
    <row r="447">
      <c r="B447" s="196"/>
      <c r="C447" s="201"/>
      <c r="D447" s="201"/>
      <c r="E447" s="196"/>
      <c r="F447" s="196"/>
      <c r="G447" s="196"/>
      <c r="H447" s="183"/>
      <c r="V447" s="184"/>
    </row>
    <row r="448">
      <c r="B448" s="196"/>
      <c r="C448" s="201"/>
      <c r="D448" s="201"/>
      <c r="E448" s="196"/>
      <c r="F448" s="196"/>
      <c r="G448" s="196"/>
      <c r="H448" s="183"/>
      <c r="V448" s="184"/>
    </row>
    <row r="449">
      <c r="B449" s="196"/>
      <c r="C449" s="201"/>
      <c r="D449" s="201"/>
      <c r="E449" s="196"/>
      <c r="F449" s="196"/>
      <c r="G449" s="196"/>
      <c r="H449" s="183"/>
      <c r="V449" s="184"/>
    </row>
    <row r="450">
      <c r="B450" s="196"/>
      <c r="C450" s="201"/>
      <c r="D450" s="201"/>
      <c r="E450" s="196"/>
      <c r="F450" s="196"/>
      <c r="G450" s="196"/>
      <c r="H450" s="183"/>
      <c r="V450" s="184"/>
    </row>
    <row r="451">
      <c r="B451" s="196"/>
      <c r="C451" s="201"/>
      <c r="D451" s="201"/>
      <c r="E451" s="196"/>
      <c r="F451" s="196"/>
      <c r="G451" s="196"/>
      <c r="H451" s="183"/>
      <c r="V451" s="184"/>
    </row>
    <row r="452">
      <c r="B452" s="196"/>
      <c r="C452" s="201"/>
      <c r="D452" s="201"/>
      <c r="E452" s="196"/>
      <c r="F452" s="196"/>
      <c r="G452" s="196"/>
      <c r="H452" s="183"/>
      <c r="V452" s="184"/>
    </row>
    <row r="453">
      <c r="B453" s="196"/>
      <c r="C453" s="201"/>
      <c r="D453" s="201"/>
      <c r="E453" s="196"/>
      <c r="F453" s="196"/>
      <c r="G453" s="196"/>
      <c r="H453" s="183"/>
      <c r="V453" s="184"/>
    </row>
    <row r="454">
      <c r="B454" s="196"/>
      <c r="C454" s="201"/>
      <c r="D454" s="201"/>
      <c r="E454" s="196"/>
      <c r="F454" s="196"/>
      <c r="G454" s="196"/>
      <c r="H454" s="183"/>
      <c r="V454" s="184"/>
    </row>
    <row r="455">
      <c r="B455" s="196"/>
      <c r="C455" s="201"/>
      <c r="D455" s="201"/>
      <c r="E455" s="196"/>
      <c r="F455" s="196"/>
      <c r="G455" s="196"/>
      <c r="H455" s="183"/>
      <c r="V455" s="184"/>
    </row>
    <row r="456">
      <c r="B456" s="196"/>
      <c r="C456" s="201"/>
      <c r="D456" s="201"/>
      <c r="E456" s="196"/>
      <c r="F456" s="196"/>
      <c r="G456" s="196"/>
      <c r="H456" s="183"/>
      <c r="V456" s="184"/>
    </row>
    <row r="457">
      <c r="B457" s="196"/>
      <c r="C457" s="201"/>
      <c r="D457" s="201"/>
      <c r="E457" s="196"/>
      <c r="F457" s="196"/>
      <c r="G457" s="196"/>
      <c r="H457" s="183"/>
      <c r="V457" s="184"/>
    </row>
    <row r="458">
      <c r="B458" s="196"/>
      <c r="C458" s="201"/>
      <c r="D458" s="201"/>
      <c r="E458" s="196"/>
      <c r="F458" s="196"/>
      <c r="G458" s="196"/>
      <c r="H458" s="183"/>
      <c r="V458" s="184"/>
    </row>
    <row r="459">
      <c r="B459" s="196"/>
      <c r="C459" s="201"/>
      <c r="D459" s="201"/>
      <c r="E459" s="196"/>
      <c r="F459" s="196"/>
      <c r="G459" s="196"/>
      <c r="H459" s="183"/>
      <c r="V459" s="184"/>
    </row>
    <row r="460">
      <c r="B460" s="196"/>
      <c r="C460" s="201"/>
      <c r="D460" s="201"/>
      <c r="E460" s="196"/>
      <c r="F460" s="196"/>
      <c r="G460" s="196"/>
      <c r="H460" s="183"/>
      <c r="V460" s="184"/>
    </row>
    <row r="461">
      <c r="B461" s="196"/>
      <c r="C461" s="201"/>
      <c r="D461" s="201"/>
      <c r="E461" s="196"/>
      <c r="F461" s="196"/>
      <c r="G461" s="196"/>
      <c r="H461" s="183"/>
      <c r="V461" s="184"/>
    </row>
    <row r="462">
      <c r="B462" s="196"/>
      <c r="C462" s="201"/>
      <c r="D462" s="201"/>
      <c r="E462" s="196"/>
      <c r="F462" s="196"/>
      <c r="G462" s="196"/>
      <c r="H462" s="183"/>
      <c r="V462" s="184"/>
    </row>
    <row r="463">
      <c r="B463" s="196"/>
      <c r="C463" s="201"/>
      <c r="D463" s="201"/>
      <c r="E463" s="196"/>
      <c r="F463" s="196"/>
      <c r="G463" s="196"/>
      <c r="H463" s="183"/>
      <c r="V463" s="184"/>
    </row>
    <row r="464">
      <c r="B464" s="196"/>
      <c r="C464" s="201"/>
      <c r="D464" s="201"/>
      <c r="E464" s="196"/>
      <c r="F464" s="196"/>
      <c r="G464" s="196"/>
      <c r="H464" s="183"/>
      <c r="V464" s="184"/>
    </row>
    <row r="465">
      <c r="B465" s="196"/>
      <c r="C465" s="201"/>
      <c r="D465" s="201"/>
      <c r="E465" s="196"/>
      <c r="F465" s="196"/>
      <c r="G465" s="196"/>
      <c r="H465" s="183"/>
      <c r="V465" s="184"/>
    </row>
    <row r="466">
      <c r="B466" s="196"/>
      <c r="C466" s="201"/>
      <c r="D466" s="201"/>
      <c r="E466" s="196"/>
      <c r="F466" s="196"/>
      <c r="G466" s="196"/>
      <c r="H466" s="183"/>
      <c r="V466" s="184"/>
    </row>
    <row r="467">
      <c r="B467" s="196"/>
      <c r="C467" s="201"/>
      <c r="D467" s="201"/>
      <c r="E467" s="196"/>
      <c r="F467" s="196"/>
      <c r="G467" s="196"/>
      <c r="H467" s="183"/>
      <c r="V467" s="184"/>
    </row>
    <row r="468">
      <c r="B468" s="196"/>
      <c r="C468" s="201"/>
      <c r="D468" s="201"/>
      <c r="E468" s="196"/>
      <c r="F468" s="196"/>
      <c r="G468" s="196"/>
      <c r="H468" s="183"/>
      <c r="V468" s="184"/>
    </row>
    <row r="469">
      <c r="B469" s="196"/>
      <c r="C469" s="201"/>
      <c r="D469" s="201"/>
      <c r="E469" s="196"/>
      <c r="F469" s="196"/>
      <c r="G469" s="196"/>
      <c r="H469" s="183"/>
      <c r="V469" s="184"/>
    </row>
    <row r="470">
      <c r="B470" s="196"/>
      <c r="C470" s="201"/>
      <c r="D470" s="201"/>
      <c r="E470" s="196"/>
      <c r="F470" s="196"/>
      <c r="G470" s="196"/>
      <c r="H470" s="183"/>
      <c r="V470" s="184"/>
    </row>
    <row r="471">
      <c r="B471" s="196"/>
      <c r="C471" s="201"/>
      <c r="D471" s="201"/>
      <c r="E471" s="196"/>
      <c r="F471" s="196"/>
      <c r="G471" s="196"/>
      <c r="H471" s="183"/>
      <c r="V471" s="184"/>
    </row>
    <row r="472">
      <c r="B472" s="196"/>
      <c r="C472" s="201"/>
      <c r="D472" s="201"/>
      <c r="E472" s="196"/>
      <c r="F472" s="196"/>
      <c r="G472" s="196"/>
      <c r="H472" s="183"/>
      <c r="V472" s="184"/>
    </row>
    <row r="473">
      <c r="B473" s="196"/>
      <c r="C473" s="201"/>
      <c r="D473" s="201"/>
      <c r="E473" s="196"/>
      <c r="F473" s="196"/>
      <c r="G473" s="196"/>
      <c r="H473" s="183"/>
      <c r="V473" s="184"/>
    </row>
    <row r="474">
      <c r="B474" s="196"/>
      <c r="C474" s="201"/>
      <c r="D474" s="201"/>
      <c r="E474" s="196"/>
      <c r="F474" s="196"/>
      <c r="G474" s="196"/>
      <c r="H474" s="183"/>
      <c r="V474" s="184"/>
    </row>
    <row r="475">
      <c r="B475" s="196"/>
      <c r="C475" s="201"/>
      <c r="D475" s="201"/>
      <c r="E475" s="196"/>
      <c r="F475" s="196"/>
      <c r="G475" s="196"/>
      <c r="H475" s="183"/>
      <c r="V475" s="184"/>
    </row>
    <row r="476">
      <c r="B476" s="196"/>
      <c r="C476" s="201"/>
      <c r="D476" s="201"/>
      <c r="E476" s="196"/>
      <c r="F476" s="196"/>
      <c r="G476" s="196"/>
      <c r="H476" s="183"/>
      <c r="V476" s="184"/>
    </row>
    <row r="477">
      <c r="B477" s="196"/>
      <c r="C477" s="201"/>
      <c r="D477" s="201"/>
      <c r="E477" s="196"/>
      <c r="F477" s="196"/>
      <c r="G477" s="196"/>
      <c r="H477" s="183"/>
      <c r="V477" s="184"/>
    </row>
    <row r="478">
      <c r="B478" s="196"/>
      <c r="C478" s="201"/>
      <c r="D478" s="201"/>
      <c r="E478" s="196"/>
      <c r="F478" s="196"/>
      <c r="G478" s="196"/>
      <c r="H478" s="183"/>
      <c r="V478" s="184"/>
    </row>
    <row r="479">
      <c r="B479" s="196"/>
      <c r="C479" s="201"/>
      <c r="D479" s="201"/>
      <c r="E479" s="196"/>
      <c r="F479" s="196"/>
      <c r="G479" s="196"/>
      <c r="H479" s="183"/>
      <c r="V479" s="184"/>
    </row>
    <row r="480">
      <c r="B480" s="196"/>
      <c r="C480" s="201"/>
      <c r="D480" s="201"/>
      <c r="E480" s="196"/>
      <c r="F480" s="196"/>
      <c r="G480" s="196"/>
      <c r="H480" s="183"/>
      <c r="V480" s="184"/>
    </row>
    <row r="481">
      <c r="B481" s="196"/>
      <c r="C481" s="201"/>
      <c r="D481" s="201"/>
      <c r="E481" s="196"/>
      <c r="F481" s="196"/>
      <c r="G481" s="196"/>
      <c r="H481" s="183"/>
      <c r="V481" s="184"/>
    </row>
    <row r="482">
      <c r="B482" s="196"/>
      <c r="C482" s="201"/>
      <c r="D482" s="201"/>
      <c r="E482" s="196"/>
      <c r="F482" s="196"/>
      <c r="G482" s="196"/>
      <c r="H482" s="183"/>
      <c r="V482" s="184"/>
    </row>
    <row r="483">
      <c r="B483" s="196"/>
      <c r="C483" s="201"/>
      <c r="D483" s="201"/>
      <c r="E483" s="196"/>
      <c r="F483" s="196"/>
      <c r="G483" s="196"/>
      <c r="H483" s="183"/>
      <c r="V483" s="184"/>
    </row>
    <row r="484">
      <c r="B484" s="196"/>
      <c r="C484" s="201"/>
      <c r="D484" s="201"/>
      <c r="E484" s="196"/>
      <c r="F484" s="196"/>
      <c r="G484" s="196"/>
      <c r="H484" s="183"/>
      <c r="V484" s="184"/>
    </row>
    <row r="485">
      <c r="B485" s="196"/>
      <c r="C485" s="201"/>
      <c r="D485" s="201"/>
      <c r="E485" s="196"/>
      <c r="F485" s="196"/>
      <c r="G485" s="196"/>
      <c r="H485" s="183"/>
      <c r="V485" s="184"/>
    </row>
    <row r="486">
      <c r="B486" s="196"/>
      <c r="C486" s="201"/>
      <c r="D486" s="201"/>
      <c r="E486" s="196"/>
      <c r="F486" s="196"/>
      <c r="G486" s="196"/>
      <c r="H486" s="183"/>
      <c r="V486" s="184"/>
    </row>
    <row r="487">
      <c r="B487" s="196"/>
      <c r="C487" s="201"/>
      <c r="D487" s="201"/>
      <c r="E487" s="196"/>
      <c r="F487" s="196"/>
      <c r="G487" s="196"/>
      <c r="H487" s="183"/>
      <c r="V487" s="184"/>
    </row>
    <row r="488">
      <c r="B488" s="196"/>
      <c r="C488" s="201"/>
      <c r="D488" s="201"/>
      <c r="E488" s="196"/>
      <c r="F488" s="196"/>
      <c r="G488" s="196"/>
      <c r="H488" s="183"/>
      <c r="V488" s="184"/>
    </row>
    <row r="489">
      <c r="B489" s="196"/>
      <c r="C489" s="201"/>
      <c r="D489" s="201"/>
      <c r="E489" s="196"/>
      <c r="F489" s="196"/>
      <c r="G489" s="196"/>
      <c r="H489" s="183"/>
      <c r="V489" s="184"/>
    </row>
    <row r="490">
      <c r="B490" s="196"/>
      <c r="C490" s="201"/>
      <c r="D490" s="201"/>
      <c r="E490" s="196"/>
      <c r="F490" s="196"/>
      <c r="G490" s="196"/>
      <c r="H490" s="183"/>
      <c r="V490" s="184"/>
    </row>
    <row r="491">
      <c r="B491" s="196"/>
      <c r="C491" s="201"/>
      <c r="D491" s="201"/>
      <c r="E491" s="196"/>
      <c r="F491" s="196"/>
      <c r="G491" s="196"/>
      <c r="H491" s="183"/>
      <c r="V491" s="184"/>
    </row>
    <row r="492">
      <c r="B492" s="196"/>
      <c r="C492" s="201"/>
      <c r="D492" s="201"/>
      <c r="E492" s="196"/>
      <c r="F492" s="196"/>
      <c r="G492" s="196"/>
      <c r="H492" s="183"/>
      <c r="V492" s="184"/>
    </row>
    <row r="493">
      <c r="B493" s="196"/>
      <c r="C493" s="201"/>
      <c r="D493" s="201"/>
      <c r="E493" s="196"/>
      <c r="F493" s="196"/>
      <c r="G493" s="196"/>
      <c r="H493" s="183"/>
      <c r="V493" s="184"/>
    </row>
    <row r="494">
      <c r="B494" s="196"/>
      <c r="C494" s="201"/>
      <c r="D494" s="201"/>
      <c r="E494" s="196"/>
      <c r="F494" s="196"/>
      <c r="G494" s="196"/>
      <c r="H494" s="183"/>
      <c r="V494" s="184"/>
    </row>
    <row r="495">
      <c r="B495" s="196"/>
      <c r="C495" s="201"/>
      <c r="D495" s="201"/>
      <c r="E495" s="196"/>
      <c r="F495" s="196"/>
      <c r="G495" s="196"/>
      <c r="H495" s="183"/>
      <c r="V495" s="184"/>
    </row>
    <row r="496">
      <c r="B496" s="196"/>
      <c r="C496" s="201"/>
      <c r="D496" s="201"/>
      <c r="E496" s="196"/>
      <c r="F496" s="196"/>
      <c r="G496" s="196"/>
      <c r="H496" s="183"/>
      <c r="V496" s="184"/>
    </row>
    <row r="497">
      <c r="B497" s="196"/>
      <c r="C497" s="201"/>
      <c r="D497" s="201"/>
      <c r="E497" s="196"/>
      <c r="F497" s="196"/>
      <c r="G497" s="196"/>
      <c r="H497" s="183"/>
      <c r="V497" s="184"/>
    </row>
    <row r="498">
      <c r="B498" s="196"/>
      <c r="C498" s="201"/>
      <c r="D498" s="201"/>
      <c r="E498" s="196"/>
      <c r="F498" s="196"/>
      <c r="G498" s="196"/>
      <c r="H498" s="183"/>
      <c r="V498" s="184"/>
    </row>
    <row r="499">
      <c r="B499" s="196"/>
      <c r="C499" s="201"/>
      <c r="D499" s="201"/>
      <c r="E499" s="196"/>
      <c r="F499" s="196"/>
      <c r="G499" s="196"/>
      <c r="H499" s="183"/>
      <c r="V499" s="184"/>
    </row>
    <row r="500">
      <c r="B500" s="196"/>
      <c r="C500" s="201"/>
      <c r="D500" s="201"/>
      <c r="E500" s="196"/>
      <c r="F500" s="196"/>
      <c r="G500" s="196"/>
      <c r="H500" s="183"/>
      <c r="V500" s="184"/>
    </row>
    <row r="501">
      <c r="B501" s="196"/>
      <c r="C501" s="201"/>
      <c r="D501" s="201"/>
      <c r="E501" s="196"/>
      <c r="F501" s="196"/>
      <c r="G501" s="196"/>
      <c r="H501" s="183"/>
      <c r="V501" s="184"/>
    </row>
    <row r="502">
      <c r="B502" s="196"/>
      <c r="C502" s="201"/>
      <c r="D502" s="201"/>
      <c r="E502" s="196"/>
      <c r="F502" s="196"/>
      <c r="G502" s="196"/>
      <c r="H502" s="183"/>
      <c r="V502" s="184"/>
    </row>
    <row r="503">
      <c r="B503" s="196"/>
      <c r="C503" s="201"/>
      <c r="D503" s="201"/>
      <c r="E503" s="196"/>
      <c r="F503" s="196"/>
      <c r="G503" s="196"/>
      <c r="H503" s="183"/>
      <c r="V503" s="184"/>
    </row>
    <row r="504">
      <c r="B504" s="196"/>
      <c r="C504" s="201"/>
      <c r="D504" s="201"/>
      <c r="E504" s="196"/>
      <c r="F504" s="196"/>
      <c r="G504" s="196"/>
      <c r="H504" s="183"/>
      <c r="V504" s="184"/>
    </row>
    <row r="505">
      <c r="B505" s="196"/>
      <c r="C505" s="201"/>
      <c r="D505" s="201"/>
      <c r="E505" s="196"/>
      <c r="F505" s="196"/>
      <c r="G505" s="196"/>
      <c r="H505" s="183"/>
      <c r="V505" s="184"/>
    </row>
    <row r="506">
      <c r="B506" s="196"/>
      <c r="C506" s="201"/>
      <c r="D506" s="201"/>
      <c r="E506" s="196"/>
      <c r="F506" s="196"/>
      <c r="G506" s="196"/>
      <c r="H506" s="183"/>
      <c r="V506" s="184"/>
    </row>
    <row r="507">
      <c r="B507" s="196"/>
      <c r="C507" s="201"/>
      <c r="D507" s="201"/>
      <c r="E507" s="196"/>
      <c r="F507" s="196"/>
      <c r="G507" s="196"/>
      <c r="H507" s="183"/>
      <c r="V507" s="184"/>
    </row>
    <row r="508">
      <c r="B508" s="196"/>
      <c r="C508" s="201"/>
      <c r="D508" s="201"/>
      <c r="E508" s="196"/>
      <c r="F508" s="196"/>
      <c r="G508" s="196"/>
      <c r="H508" s="183"/>
      <c r="V508" s="184"/>
    </row>
    <row r="509">
      <c r="B509" s="196"/>
      <c r="C509" s="201"/>
      <c r="D509" s="201"/>
      <c r="E509" s="196"/>
      <c r="F509" s="196"/>
      <c r="G509" s="196"/>
      <c r="H509" s="183"/>
      <c r="V509" s="184"/>
    </row>
    <row r="510">
      <c r="B510" s="196"/>
      <c r="C510" s="201"/>
      <c r="D510" s="201"/>
      <c r="E510" s="196"/>
      <c r="F510" s="196"/>
      <c r="G510" s="196"/>
      <c r="H510" s="183"/>
      <c r="V510" s="184"/>
    </row>
    <row r="511">
      <c r="B511" s="196"/>
      <c r="C511" s="201"/>
      <c r="D511" s="201"/>
      <c r="E511" s="196"/>
      <c r="F511" s="196"/>
      <c r="G511" s="196"/>
      <c r="H511" s="183"/>
      <c r="V511" s="184"/>
    </row>
    <row r="512">
      <c r="B512" s="196"/>
      <c r="C512" s="201"/>
      <c r="D512" s="201"/>
      <c r="E512" s="196"/>
      <c r="F512" s="196"/>
      <c r="G512" s="196"/>
      <c r="H512" s="183"/>
      <c r="V512" s="184"/>
    </row>
    <row r="513">
      <c r="B513" s="196"/>
      <c r="C513" s="201"/>
      <c r="D513" s="201"/>
      <c r="E513" s="196"/>
      <c r="F513" s="196"/>
      <c r="G513" s="196"/>
      <c r="H513" s="183"/>
      <c r="V513" s="184"/>
    </row>
    <row r="514">
      <c r="B514" s="196"/>
      <c r="C514" s="201"/>
      <c r="D514" s="201"/>
      <c r="E514" s="196"/>
      <c r="F514" s="196"/>
      <c r="G514" s="196"/>
      <c r="H514" s="183"/>
      <c r="V514" s="184"/>
    </row>
    <row r="515">
      <c r="B515" s="196"/>
      <c r="C515" s="201"/>
      <c r="D515" s="201"/>
      <c r="E515" s="196"/>
      <c r="F515" s="196"/>
      <c r="G515" s="196"/>
      <c r="H515" s="183"/>
      <c r="V515" s="184"/>
    </row>
    <row r="516">
      <c r="B516" s="196"/>
      <c r="C516" s="201"/>
      <c r="D516" s="201"/>
      <c r="E516" s="196"/>
      <c r="F516" s="196"/>
      <c r="G516" s="196"/>
      <c r="H516" s="183"/>
      <c r="V516" s="184"/>
    </row>
    <row r="517">
      <c r="B517" s="196"/>
      <c r="C517" s="201"/>
      <c r="D517" s="201"/>
      <c r="E517" s="196"/>
      <c r="F517" s="196"/>
      <c r="G517" s="196"/>
      <c r="H517" s="183"/>
      <c r="V517" s="184"/>
    </row>
    <row r="518">
      <c r="B518" s="196"/>
      <c r="C518" s="201"/>
      <c r="D518" s="201"/>
      <c r="E518" s="196"/>
      <c r="F518" s="196"/>
      <c r="G518" s="196"/>
      <c r="H518" s="183"/>
      <c r="V518" s="184"/>
    </row>
    <row r="519">
      <c r="B519" s="196"/>
      <c r="C519" s="201"/>
      <c r="D519" s="201"/>
      <c r="E519" s="196"/>
      <c r="F519" s="196"/>
      <c r="G519" s="196"/>
      <c r="H519" s="183"/>
      <c r="V519" s="184"/>
    </row>
    <row r="520">
      <c r="B520" s="196"/>
      <c r="C520" s="201"/>
      <c r="D520" s="201"/>
      <c r="E520" s="196"/>
      <c r="F520" s="196"/>
      <c r="G520" s="196"/>
      <c r="H520" s="183"/>
      <c r="V520" s="184"/>
    </row>
    <row r="521">
      <c r="B521" s="196"/>
      <c r="C521" s="201"/>
      <c r="D521" s="201"/>
      <c r="E521" s="196"/>
      <c r="F521" s="196"/>
      <c r="G521" s="196"/>
      <c r="H521" s="183"/>
      <c r="V521" s="184"/>
    </row>
    <row r="522">
      <c r="B522" s="196"/>
      <c r="C522" s="201"/>
      <c r="D522" s="201"/>
      <c r="E522" s="196"/>
      <c r="F522" s="196"/>
      <c r="G522" s="196"/>
      <c r="H522" s="183"/>
      <c r="V522" s="184"/>
    </row>
    <row r="523">
      <c r="B523" s="196"/>
      <c r="C523" s="201"/>
      <c r="D523" s="201"/>
      <c r="E523" s="196"/>
      <c r="F523" s="196"/>
      <c r="G523" s="196"/>
      <c r="H523" s="183"/>
      <c r="V523" s="184"/>
    </row>
    <row r="524">
      <c r="B524" s="196"/>
      <c r="C524" s="201"/>
      <c r="D524" s="201"/>
      <c r="E524" s="196"/>
      <c r="F524" s="196"/>
      <c r="G524" s="196"/>
      <c r="H524" s="183"/>
      <c r="V524" s="184"/>
    </row>
    <row r="525">
      <c r="B525" s="196"/>
      <c r="C525" s="201"/>
      <c r="D525" s="201"/>
      <c r="E525" s="196"/>
      <c r="F525" s="196"/>
      <c r="G525" s="196"/>
      <c r="H525" s="183"/>
      <c r="V525" s="184"/>
    </row>
    <row r="526">
      <c r="B526" s="196"/>
      <c r="C526" s="201"/>
      <c r="D526" s="201"/>
      <c r="E526" s="196"/>
      <c r="F526" s="196"/>
      <c r="G526" s="196"/>
      <c r="H526" s="183"/>
      <c r="V526" s="184"/>
    </row>
    <row r="527">
      <c r="B527" s="196"/>
      <c r="C527" s="201"/>
      <c r="D527" s="201"/>
      <c r="E527" s="196"/>
      <c r="F527" s="196"/>
      <c r="G527" s="196"/>
      <c r="H527" s="183"/>
      <c r="V527" s="184"/>
    </row>
    <row r="528">
      <c r="B528" s="196"/>
      <c r="C528" s="201"/>
      <c r="D528" s="201"/>
      <c r="E528" s="196"/>
      <c r="F528" s="196"/>
      <c r="G528" s="196"/>
      <c r="H528" s="183"/>
      <c r="V528" s="184"/>
    </row>
    <row r="529">
      <c r="B529" s="196"/>
      <c r="C529" s="201"/>
      <c r="D529" s="201"/>
      <c r="E529" s="196"/>
      <c r="F529" s="196"/>
      <c r="G529" s="196"/>
      <c r="H529" s="183"/>
      <c r="V529" s="184"/>
    </row>
    <row r="530">
      <c r="B530" s="196"/>
      <c r="C530" s="201"/>
      <c r="D530" s="201"/>
      <c r="E530" s="196"/>
      <c r="F530" s="196"/>
      <c r="G530" s="196"/>
      <c r="H530" s="183"/>
      <c r="V530" s="184"/>
    </row>
    <row r="531">
      <c r="B531" s="196"/>
      <c r="C531" s="201"/>
      <c r="D531" s="201"/>
      <c r="E531" s="196"/>
      <c r="F531" s="196"/>
      <c r="G531" s="196"/>
      <c r="H531" s="183"/>
      <c r="V531" s="184"/>
    </row>
    <row r="532">
      <c r="B532" s="196"/>
      <c r="C532" s="201"/>
      <c r="D532" s="201"/>
      <c r="E532" s="196"/>
      <c r="F532" s="196"/>
      <c r="G532" s="196"/>
      <c r="H532" s="183"/>
      <c r="V532" s="184"/>
    </row>
    <row r="533">
      <c r="B533" s="196"/>
      <c r="C533" s="201"/>
      <c r="D533" s="201"/>
      <c r="E533" s="196"/>
      <c r="F533" s="196"/>
      <c r="G533" s="196"/>
      <c r="H533" s="183"/>
      <c r="V533" s="184"/>
    </row>
    <row r="534">
      <c r="B534" s="196"/>
      <c r="C534" s="201"/>
      <c r="D534" s="201"/>
      <c r="E534" s="196"/>
      <c r="F534" s="196"/>
      <c r="G534" s="196"/>
      <c r="H534" s="183"/>
      <c r="V534" s="184"/>
    </row>
    <row r="535">
      <c r="B535" s="196"/>
      <c r="C535" s="201"/>
      <c r="D535" s="201"/>
      <c r="E535" s="196"/>
      <c r="F535" s="196"/>
      <c r="G535" s="196"/>
      <c r="H535" s="183"/>
      <c r="V535" s="184"/>
    </row>
    <row r="536">
      <c r="B536" s="196"/>
      <c r="C536" s="201"/>
      <c r="D536" s="201"/>
      <c r="E536" s="196"/>
      <c r="F536" s="196"/>
      <c r="G536" s="196"/>
      <c r="H536" s="183"/>
      <c r="V536" s="184"/>
    </row>
    <row r="537">
      <c r="B537" s="196"/>
      <c r="C537" s="201"/>
      <c r="D537" s="201"/>
      <c r="E537" s="196"/>
      <c r="F537" s="196"/>
      <c r="G537" s="196"/>
      <c r="H537" s="183"/>
      <c r="V537" s="184"/>
    </row>
    <row r="538">
      <c r="B538" s="196"/>
      <c r="C538" s="201"/>
      <c r="D538" s="201"/>
      <c r="E538" s="196"/>
      <c r="F538" s="196"/>
      <c r="G538" s="196"/>
      <c r="H538" s="183"/>
      <c r="V538" s="184"/>
    </row>
    <row r="539">
      <c r="B539" s="196"/>
      <c r="C539" s="201"/>
      <c r="D539" s="201"/>
      <c r="E539" s="196"/>
      <c r="F539" s="196"/>
      <c r="G539" s="196"/>
      <c r="H539" s="183"/>
      <c r="V539" s="184"/>
    </row>
    <row r="540">
      <c r="B540" s="196"/>
      <c r="C540" s="201"/>
      <c r="D540" s="201"/>
      <c r="E540" s="196"/>
      <c r="F540" s="196"/>
      <c r="G540" s="196"/>
      <c r="H540" s="183"/>
      <c r="V540" s="184"/>
    </row>
    <row r="541">
      <c r="B541" s="196"/>
      <c r="C541" s="201"/>
      <c r="D541" s="201"/>
      <c r="E541" s="196"/>
      <c r="F541" s="196"/>
      <c r="G541" s="196"/>
      <c r="H541" s="183"/>
      <c r="V541" s="184"/>
    </row>
    <row r="542">
      <c r="B542" s="196"/>
      <c r="C542" s="201"/>
      <c r="D542" s="201"/>
      <c r="E542" s="196"/>
      <c r="F542" s="196"/>
      <c r="G542" s="196"/>
      <c r="H542" s="183"/>
      <c r="V542" s="184"/>
    </row>
    <row r="543">
      <c r="B543" s="196"/>
      <c r="C543" s="201"/>
      <c r="D543" s="201"/>
      <c r="E543" s="196"/>
      <c r="F543" s="196"/>
      <c r="G543" s="196"/>
      <c r="H543" s="183"/>
      <c r="V543" s="184"/>
    </row>
    <row r="544">
      <c r="B544" s="196"/>
      <c r="C544" s="201"/>
      <c r="D544" s="201"/>
      <c r="E544" s="196"/>
      <c r="F544" s="196"/>
      <c r="G544" s="196"/>
      <c r="H544" s="183"/>
      <c r="V544" s="184"/>
    </row>
    <row r="545">
      <c r="B545" s="196"/>
      <c r="C545" s="201"/>
      <c r="D545" s="201"/>
      <c r="E545" s="196"/>
      <c r="F545" s="196"/>
      <c r="G545" s="196"/>
      <c r="H545" s="183"/>
      <c r="V545" s="184"/>
    </row>
    <row r="546">
      <c r="B546" s="196"/>
      <c r="C546" s="201"/>
      <c r="D546" s="201"/>
      <c r="E546" s="196"/>
      <c r="F546" s="196"/>
      <c r="G546" s="196"/>
      <c r="H546" s="183"/>
      <c r="V546" s="184"/>
    </row>
    <row r="547">
      <c r="B547" s="196"/>
      <c r="C547" s="201"/>
      <c r="D547" s="201"/>
      <c r="E547" s="196"/>
      <c r="F547" s="196"/>
      <c r="G547" s="196"/>
      <c r="H547" s="183"/>
      <c r="V547" s="184"/>
    </row>
    <row r="548">
      <c r="B548" s="196"/>
      <c r="C548" s="201"/>
      <c r="D548" s="201"/>
      <c r="E548" s="196"/>
      <c r="F548" s="196"/>
      <c r="G548" s="196"/>
      <c r="H548" s="183"/>
      <c r="V548" s="184"/>
    </row>
    <row r="549">
      <c r="B549" s="196"/>
      <c r="C549" s="201"/>
      <c r="D549" s="201"/>
      <c r="E549" s="196"/>
      <c r="F549" s="196"/>
      <c r="G549" s="196"/>
      <c r="H549" s="183"/>
      <c r="V549" s="184"/>
    </row>
    <row r="550">
      <c r="B550" s="196"/>
      <c r="C550" s="201"/>
      <c r="D550" s="201"/>
      <c r="E550" s="196"/>
      <c r="F550" s="196"/>
      <c r="G550" s="196"/>
      <c r="H550" s="183"/>
      <c r="V550" s="184"/>
    </row>
    <row r="551">
      <c r="B551" s="196"/>
      <c r="C551" s="201"/>
      <c r="D551" s="201"/>
      <c r="E551" s="196"/>
      <c r="F551" s="196"/>
      <c r="G551" s="196"/>
      <c r="H551" s="183"/>
      <c r="V551" s="184"/>
    </row>
    <row r="552">
      <c r="B552" s="196"/>
      <c r="C552" s="201"/>
      <c r="D552" s="201"/>
      <c r="E552" s="196"/>
      <c r="F552" s="196"/>
      <c r="G552" s="196"/>
      <c r="H552" s="183"/>
      <c r="V552" s="184"/>
    </row>
    <row r="553">
      <c r="B553" s="196"/>
      <c r="C553" s="201"/>
      <c r="D553" s="201"/>
      <c r="E553" s="196"/>
      <c r="F553" s="196"/>
      <c r="G553" s="196"/>
      <c r="H553" s="183"/>
      <c r="V553" s="184"/>
    </row>
    <row r="554">
      <c r="B554" s="196"/>
      <c r="C554" s="201"/>
      <c r="D554" s="201"/>
      <c r="E554" s="196"/>
      <c r="F554" s="196"/>
      <c r="G554" s="196"/>
      <c r="H554" s="183"/>
      <c r="V554" s="184"/>
    </row>
    <row r="555">
      <c r="B555" s="196"/>
      <c r="C555" s="201"/>
      <c r="D555" s="201"/>
      <c r="E555" s="196"/>
      <c r="F555" s="196"/>
      <c r="G555" s="196"/>
      <c r="H555" s="183"/>
      <c r="V555" s="184"/>
    </row>
    <row r="556">
      <c r="B556" s="196"/>
      <c r="C556" s="201"/>
      <c r="D556" s="201"/>
      <c r="E556" s="196"/>
      <c r="F556" s="196"/>
      <c r="G556" s="196"/>
      <c r="H556" s="183"/>
      <c r="V556" s="184"/>
    </row>
    <row r="557">
      <c r="B557" s="196"/>
      <c r="C557" s="201"/>
      <c r="D557" s="201"/>
      <c r="E557" s="196"/>
      <c r="F557" s="196"/>
      <c r="G557" s="196"/>
      <c r="H557" s="183"/>
      <c r="V557" s="184"/>
    </row>
    <row r="558">
      <c r="B558" s="196"/>
      <c r="C558" s="201"/>
      <c r="D558" s="201"/>
      <c r="E558" s="196"/>
      <c r="F558" s="196"/>
      <c r="G558" s="196"/>
      <c r="H558" s="183"/>
      <c r="V558" s="184"/>
    </row>
    <row r="559">
      <c r="B559" s="196"/>
      <c r="C559" s="201"/>
      <c r="D559" s="201"/>
      <c r="E559" s="196"/>
      <c r="F559" s="196"/>
      <c r="G559" s="196"/>
      <c r="H559" s="183"/>
      <c r="V559" s="184"/>
    </row>
    <row r="560">
      <c r="B560" s="196"/>
      <c r="C560" s="201"/>
      <c r="D560" s="201"/>
      <c r="E560" s="196"/>
      <c r="F560" s="196"/>
      <c r="G560" s="196"/>
      <c r="H560" s="183"/>
      <c r="V560" s="184"/>
    </row>
    <row r="561">
      <c r="B561" s="196"/>
      <c r="C561" s="201"/>
      <c r="D561" s="201"/>
      <c r="E561" s="196"/>
      <c r="F561" s="196"/>
      <c r="G561" s="196"/>
      <c r="H561" s="183"/>
      <c r="V561" s="184"/>
    </row>
    <row r="562">
      <c r="B562" s="196"/>
      <c r="C562" s="201"/>
      <c r="D562" s="201"/>
      <c r="E562" s="196"/>
      <c r="F562" s="196"/>
      <c r="G562" s="196"/>
      <c r="H562" s="183"/>
      <c r="V562" s="184"/>
    </row>
    <row r="563">
      <c r="B563" s="196"/>
      <c r="C563" s="201"/>
      <c r="D563" s="201"/>
      <c r="E563" s="196"/>
      <c r="F563" s="196"/>
      <c r="G563" s="196"/>
      <c r="H563" s="183"/>
      <c r="V563" s="184"/>
    </row>
    <row r="564">
      <c r="B564" s="196"/>
      <c r="C564" s="201"/>
      <c r="D564" s="201"/>
      <c r="E564" s="196"/>
      <c r="F564" s="196"/>
      <c r="G564" s="196"/>
      <c r="H564" s="183"/>
      <c r="V564" s="184"/>
    </row>
    <row r="565">
      <c r="B565" s="196"/>
      <c r="C565" s="201"/>
      <c r="D565" s="201"/>
      <c r="E565" s="196"/>
      <c r="F565" s="196"/>
      <c r="G565" s="196"/>
      <c r="H565" s="183"/>
      <c r="V565" s="184"/>
    </row>
    <row r="566">
      <c r="B566" s="196"/>
      <c r="C566" s="201"/>
      <c r="D566" s="201"/>
      <c r="E566" s="196"/>
      <c r="F566" s="196"/>
      <c r="G566" s="196"/>
      <c r="H566" s="183"/>
      <c r="V566" s="184"/>
    </row>
    <row r="567">
      <c r="B567" s="196"/>
      <c r="C567" s="201"/>
      <c r="D567" s="201"/>
      <c r="E567" s="196"/>
      <c r="F567" s="196"/>
      <c r="G567" s="196"/>
      <c r="H567" s="183"/>
      <c r="V567" s="184"/>
    </row>
    <row r="568">
      <c r="B568" s="196"/>
      <c r="C568" s="201"/>
      <c r="D568" s="201"/>
      <c r="E568" s="196"/>
      <c r="F568" s="196"/>
      <c r="G568" s="196"/>
      <c r="H568" s="183"/>
      <c r="V568" s="184"/>
    </row>
    <row r="569">
      <c r="B569" s="196"/>
      <c r="C569" s="201"/>
      <c r="D569" s="201"/>
      <c r="E569" s="196"/>
      <c r="F569" s="196"/>
      <c r="G569" s="196"/>
      <c r="H569" s="183"/>
      <c r="V569" s="184"/>
    </row>
    <row r="570">
      <c r="B570" s="196"/>
      <c r="C570" s="201"/>
      <c r="D570" s="201"/>
      <c r="E570" s="196"/>
      <c r="F570" s="196"/>
      <c r="G570" s="196"/>
      <c r="H570" s="183"/>
      <c r="V570" s="184"/>
    </row>
    <row r="571">
      <c r="B571" s="196"/>
      <c r="C571" s="201"/>
      <c r="D571" s="201"/>
      <c r="E571" s="196"/>
      <c r="F571" s="196"/>
      <c r="G571" s="196"/>
      <c r="H571" s="183"/>
      <c r="V571" s="184"/>
    </row>
    <row r="572">
      <c r="B572" s="196"/>
      <c r="C572" s="201"/>
      <c r="D572" s="201"/>
      <c r="E572" s="196"/>
      <c r="F572" s="196"/>
      <c r="G572" s="196"/>
      <c r="H572" s="183"/>
      <c r="V572" s="184"/>
    </row>
    <row r="573">
      <c r="B573" s="196"/>
      <c r="C573" s="201"/>
      <c r="D573" s="201"/>
      <c r="E573" s="196"/>
      <c r="F573" s="196"/>
      <c r="G573" s="196"/>
      <c r="H573" s="183"/>
      <c r="V573" s="184"/>
    </row>
    <row r="574">
      <c r="B574" s="196"/>
      <c r="C574" s="201"/>
      <c r="D574" s="201"/>
      <c r="E574" s="196"/>
      <c r="F574" s="196"/>
      <c r="G574" s="196"/>
      <c r="H574" s="183"/>
      <c r="V574" s="184"/>
    </row>
    <row r="575">
      <c r="B575" s="196"/>
      <c r="C575" s="201"/>
      <c r="D575" s="201"/>
      <c r="E575" s="196"/>
      <c r="F575" s="196"/>
      <c r="G575" s="196"/>
      <c r="H575" s="183"/>
      <c r="V575" s="184"/>
    </row>
    <row r="576">
      <c r="B576" s="196"/>
      <c r="C576" s="201"/>
      <c r="D576" s="201"/>
      <c r="E576" s="196"/>
      <c r="F576" s="196"/>
      <c r="G576" s="196"/>
      <c r="H576" s="183"/>
      <c r="V576" s="184"/>
    </row>
    <row r="577">
      <c r="B577" s="196"/>
      <c r="C577" s="201"/>
      <c r="D577" s="201"/>
      <c r="E577" s="196"/>
      <c r="F577" s="196"/>
      <c r="G577" s="196"/>
      <c r="H577" s="183"/>
      <c r="V577" s="184"/>
    </row>
    <row r="578">
      <c r="B578" s="196"/>
      <c r="C578" s="201"/>
      <c r="D578" s="201"/>
      <c r="E578" s="196"/>
      <c r="F578" s="196"/>
      <c r="G578" s="196"/>
      <c r="H578" s="183"/>
      <c r="V578" s="184"/>
    </row>
    <row r="579">
      <c r="B579" s="196"/>
      <c r="C579" s="201"/>
      <c r="D579" s="201"/>
      <c r="E579" s="196"/>
      <c r="F579" s="196"/>
      <c r="G579" s="196"/>
      <c r="H579" s="183"/>
      <c r="V579" s="184"/>
    </row>
    <row r="580">
      <c r="B580" s="196"/>
      <c r="C580" s="201"/>
      <c r="D580" s="201"/>
      <c r="E580" s="196"/>
      <c r="F580" s="196"/>
      <c r="G580" s="196"/>
      <c r="H580" s="183"/>
      <c r="V580" s="184"/>
    </row>
    <row r="581">
      <c r="B581" s="196"/>
      <c r="C581" s="201"/>
      <c r="D581" s="201"/>
      <c r="E581" s="196"/>
      <c r="F581" s="196"/>
      <c r="G581" s="196"/>
      <c r="H581" s="183"/>
      <c r="V581" s="184"/>
    </row>
    <row r="582">
      <c r="B582" s="196"/>
      <c r="C582" s="201"/>
      <c r="D582" s="201"/>
      <c r="E582" s="196"/>
      <c r="F582" s="196"/>
      <c r="G582" s="196"/>
      <c r="H582" s="183"/>
      <c r="V582" s="184"/>
    </row>
    <row r="583">
      <c r="B583" s="196"/>
      <c r="C583" s="201"/>
      <c r="D583" s="201"/>
      <c r="E583" s="196"/>
      <c r="F583" s="196"/>
      <c r="G583" s="196"/>
      <c r="H583" s="183"/>
      <c r="V583" s="184"/>
    </row>
    <row r="584">
      <c r="B584" s="196"/>
      <c r="C584" s="201"/>
      <c r="D584" s="201"/>
      <c r="E584" s="196"/>
      <c r="F584" s="196"/>
      <c r="G584" s="196"/>
      <c r="H584" s="183"/>
      <c r="V584" s="184"/>
    </row>
    <row r="585">
      <c r="B585" s="196"/>
      <c r="C585" s="201"/>
      <c r="D585" s="201"/>
      <c r="E585" s="196"/>
      <c r="F585" s="196"/>
      <c r="G585" s="196"/>
      <c r="H585" s="183"/>
      <c r="V585" s="184"/>
    </row>
    <row r="586">
      <c r="B586" s="196"/>
      <c r="C586" s="201"/>
      <c r="D586" s="201"/>
      <c r="E586" s="196"/>
      <c r="F586" s="196"/>
      <c r="G586" s="196"/>
      <c r="H586" s="183"/>
      <c r="V586" s="184"/>
    </row>
    <row r="587">
      <c r="B587" s="196"/>
      <c r="C587" s="201"/>
      <c r="D587" s="201"/>
      <c r="E587" s="196"/>
      <c r="F587" s="196"/>
      <c r="G587" s="196"/>
      <c r="H587" s="183"/>
      <c r="V587" s="184"/>
    </row>
    <row r="588">
      <c r="B588" s="196"/>
      <c r="C588" s="201"/>
      <c r="D588" s="201"/>
      <c r="E588" s="196"/>
      <c r="F588" s="196"/>
      <c r="G588" s="196"/>
      <c r="H588" s="183"/>
      <c r="V588" s="184"/>
    </row>
    <row r="589">
      <c r="B589" s="196"/>
      <c r="C589" s="201"/>
      <c r="D589" s="201"/>
      <c r="E589" s="196"/>
      <c r="F589" s="196"/>
      <c r="G589" s="196"/>
      <c r="H589" s="183"/>
      <c r="V589" s="184"/>
    </row>
    <row r="590">
      <c r="B590" s="196"/>
      <c r="C590" s="201"/>
      <c r="D590" s="201"/>
      <c r="E590" s="196"/>
      <c r="F590" s="196"/>
      <c r="G590" s="196"/>
      <c r="H590" s="183"/>
      <c r="V590" s="184"/>
    </row>
    <row r="591">
      <c r="B591" s="196"/>
      <c r="C591" s="201"/>
      <c r="D591" s="201"/>
      <c r="E591" s="196"/>
      <c r="F591" s="196"/>
      <c r="G591" s="196"/>
      <c r="H591" s="183"/>
      <c r="V591" s="184"/>
    </row>
    <row r="592">
      <c r="B592" s="196"/>
      <c r="C592" s="201"/>
      <c r="D592" s="201"/>
      <c r="E592" s="196"/>
      <c r="F592" s="196"/>
      <c r="G592" s="196"/>
      <c r="H592" s="183"/>
      <c r="V592" s="184"/>
    </row>
    <row r="593">
      <c r="B593" s="196"/>
      <c r="C593" s="201"/>
      <c r="D593" s="201"/>
      <c r="E593" s="196"/>
      <c r="F593" s="196"/>
      <c r="G593" s="196"/>
      <c r="H593" s="183"/>
      <c r="V593" s="184"/>
    </row>
    <row r="594">
      <c r="B594" s="196"/>
      <c r="C594" s="201"/>
      <c r="D594" s="201"/>
      <c r="E594" s="196"/>
      <c r="F594" s="196"/>
      <c r="G594" s="196"/>
      <c r="H594" s="183"/>
      <c r="V594" s="184"/>
    </row>
    <row r="595">
      <c r="B595" s="196"/>
      <c r="C595" s="201"/>
      <c r="D595" s="201"/>
      <c r="E595" s="196"/>
      <c r="F595" s="196"/>
      <c r="G595" s="196"/>
      <c r="H595" s="183"/>
      <c r="V595" s="184"/>
    </row>
    <row r="596">
      <c r="B596" s="196"/>
      <c r="C596" s="201"/>
      <c r="D596" s="201"/>
      <c r="E596" s="196"/>
      <c r="F596" s="196"/>
      <c r="G596" s="196"/>
      <c r="H596" s="183"/>
      <c r="V596" s="184"/>
    </row>
    <row r="597">
      <c r="B597" s="196"/>
      <c r="C597" s="201"/>
      <c r="D597" s="201"/>
      <c r="E597" s="196"/>
      <c r="F597" s="196"/>
      <c r="G597" s="196"/>
      <c r="H597" s="183"/>
      <c r="V597" s="184"/>
    </row>
    <row r="598">
      <c r="B598" s="196"/>
      <c r="C598" s="201"/>
      <c r="D598" s="201"/>
      <c r="E598" s="196"/>
      <c r="F598" s="196"/>
      <c r="G598" s="196"/>
      <c r="H598" s="183"/>
      <c r="V598" s="184"/>
    </row>
    <row r="599">
      <c r="B599" s="196"/>
      <c r="C599" s="201"/>
      <c r="D599" s="201"/>
      <c r="E599" s="196"/>
      <c r="F599" s="196"/>
      <c r="G599" s="196"/>
      <c r="H599" s="183"/>
      <c r="V599" s="184"/>
    </row>
    <row r="600">
      <c r="B600" s="196"/>
      <c r="C600" s="201"/>
      <c r="D600" s="201"/>
      <c r="E600" s="196"/>
      <c r="F600" s="196"/>
      <c r="G600" s="196"/>
      <c r="H600" s="183"/>
      <c r="V600" s="184"/>
    </row>
    <row r="601">
      <c r="B601" s="196"/>
      <c r="C601" s="201"/>
      <c r="D601" s="201"/>
      <c r="E601" s="196"/>
      <c r="F601" s="196"/>
      <c r="G601" s="196"/>
      <c r="H601" s="183"/>
      <c r="V601" s="184"/>
    </row>
    <row r="602">
      <c r="B602" s="196"/>
      <c r="C602" s="201"/>
      <c r="D602" s="201"/>
      <c r="E602" s="196"/>
      <c r="F602" s="196"/>
      <c r="G602" s="196"/>
      <c r="H602" s="183"/>
      <c r="V602" s="184"/>
    </row>
    <row r="603">
      <c r="B603" s="196"/>
      <c r="C603" s="201"/>
      <c r="D603" s="201"/>
      <c r="E603" s="196"/>
      <c r="F603" s="196"/>
      <c r="G603" s="196"/>
      <c r="H603" s="183"/>
      <c r="V603" s="184"/>
    </row>
    <row r="604">
      <c r="B604" s="196"/>
      <c r="C604" s="201"/>
      <c r="D604" s="201"/>
      <c r="E604" s="196"/>
      <c r="F604" s="196"/>
      <c r="G604" s="196"/>
      <c r="H604" s="183"/>
      <c r="V604" s="184"/>
    </row>
    <row r="605">
      <c r="B605" s="196"/>
      <c r="C605" s="201"/>
      <c r="D605" s="201"/>
      <c r="E605" s="196"/>
      <c r="F605" s="196"/>
      <c r="G605" s="196"/>
      <c r="H605" s="183"/>
      <c r="V605" s="184"/>
    </row>
    <row r="606">
      <c r="B606" s="196"/>
      <c r="C606" s="201"/>
      <c r="D606" s="201"/>
      <c r="E606" s="196"/>
      <c r="F606" s="196"/>
      <c r="G606" s="196"/>
      <c r="H606" s="183"/>
      <c r="V606" s="184"/>
    </row>
    <row r="607">
      <c r="B607" s="196"/>
      <c r="C607" s="201"/>
      <c r="D607" s="201"/>
      <c r="E607" s="196"/>
      <c r="F607" s="196"/>
      <c r="G607" s="196"/>
      <c r="H607" s="183"/>
      <c r="V607" s="184"/>
    </row>
    <row r="608">
      <c r="B608" s="196"/>
      <c r="C608" s="201"/>
      <c r="D608" s="201"/>
      <c r="E608" s="196"/>
      <c r="F608" s="196"/>
      <c r="G608" s="196"/>
      <c r="H608" s="183"/>
      <c r="V608" s="184"/>
    </row>
    <row r="609">
      <c r="B609" s="196"/>
      <c r="C609" s="201"/>
      <c r="D609" s="201"/>
      <c r="E609" s="196"/>
      <c r="F609" s="196"/>
      <c r="G609" s="196"/>
      <c r="H609" s="183"/>
      <c r="V609" s="184"/>
    </row>
    <row r="610">
      <c r="B610" s="196"/>
      <c r="C610" s="201"/>
      <c r="D610" s="201"/>
      <c r="E610" s="196"/>
      <c r="F610" s="196"/>
      <c r="G610" s="196"/>
      <c r="H610" s="183"/>
      <c r="V610" s="184"/>
    </row>
    <row r="611">
      <c r="B611" s="196"/>
      <c r="C611" s="201"/>
      <c r="D611" s="201"/>
      <c r="E611" s="196"/>
      <c r="F611" s="196"/>
      <c r="G611" s="196"/>
      <c r="H611" s="183"/>
      <c r="V611" s="184"/>
    </row>
    <row r="612">
      <c r="B612" s="196"/>
      <c r="C612" s="201"/>
      <c r="D612" s="201"/>
      <c r="E612" s="196"/>
      <c r="F612" s="196"/>
      <c r="G612" s="196"/>
      <c r="H612" s="183"/>
      <c r="V612" s="184"/>
    </row>
    <row r="613">
      <c r="B613" s="196"/>
      <c r="C613" s="201"/>
      <c r="D613" s="201"/>
      <c r="E613" s="196"/>
      <c r="F613" s="196"/>
      <c r="G613" s="196"/>
      <c r="H613" s="183"/>
      <c r="V613" s="184"/>
    </row>
    <row r="614">
      <c r="B614" s="196"/>
      <c r="C614" s="201"/>
      <c r="D614" s="201"/>
      <c r="E614" s="196"/>
      <c r="F614" s="196"/>
      <c r="G614" s="196"/>
      <c r="H614" s="183"/>
      <c r="V614" s="184"/>
    </row>
    <row r="615">
      <c r="B615" s="196"/>
      <c r="C615" s="201"/>
      <c r="D615" s="201"/>
      <c r="E615" s="196"/>
      <c r="F615" s="196"/>
      <c r="G615" s="196"/>
      <c r="H615" s="183"/>
      <c r="V615" s="184"/>
    </row>
    <row r="616">
      <c r="B616" s="196"/>
      <c r="C616" s="201"/>
      <c r="D616" s="201"/>
      <c r="E616" s="196"/>
      <c r="F616" s="196"/>
      <c r="G616" s="196"/>
      <c r="H616" s="183"/>
      <c r="V616" s="184"/>
    </row>
    <row r="617">
      <c r="B617" s="196"/>
      <c r="C617" s="201"/>
      <c r="D617" s="201"/>
      <c r="E617" s="196"/>
      <c r="F617" s="196"/>
      <c r="G617" s="196"/>
      <c r="H617" s="183"/>
      <c r="V617" s="184"/>
    </row>
    <row r="618">
      <c r="B618" s="196"/>
      <c r="C618" s="201"/>
      <c r="D618" s="201"/>
      <c r="E618" s="196"/>
      <c r="F618" s="196"/>
      <c r="G618" s="196"/>
      <c r="H618" s="183"/>
      <c r="V618" s="184"/>
    </row>
    <row r="619">
      <c r="B619" s="196"/>
      <c r="C619" s="201"/>
      <c r="D619" s="201"/>
      <c r="E619" s="196"/>
      <c r="F619" s="196"/>
      <c r="G619" s="196"/>
      <c r="H619" s="183"/>
      <c r="V619" s="184"/>
    </row>
    <row r="620">
      <c r="B620" s="196"/>
      <c r="C620" s="201"/>
      <c r="D620" s="201"/>
      <c r="E620" s="196"/>
      <c r="F620" s="196"/>
      <c r="G620" s="196"/>
      <c r="H620" s="183"/>
      <c r="V620" s="184"/>
    </row>
    <row r="621">
      <c r="B621" s="196"/>
      <c r="C621" s="201"/>
      <c r="D621" s="201"/>
      <c r="E621" s="196"/>
      <c r="F621" s="196"/>
      <c r="G621" s="196"/>
      <c r="H621" s="183"/>
      <c r="V621" s="184"/>
    </row>
    <row r="622">
      <c r="B622" s="196"/>
      <c r="C622" s="201"/>
      <c r="D622" s="201"/>
      <c r="E622" s="196"/>
      <c r="F622" s="196"/>
      <c r="G622" s="196"/>
      <c r="H622" s="183"/>
      <c r="V622" s="184"/>
    </row>
    <row r="623">
      <c r="B623" s="196"/>
      <c r="C623" s="201"/>
      <c r="D623" s="201"/>
      <c r="E623" s="196"/>
      <c r="F623" s="196"/>
      <c r="G623" s="196"/>
      <c r="H623" s="183"/>
      <c r="V623" s="184"/>
    </row>
    <row r="624">
      <c r="B624" s="196"/>
      <c r="C624" s="201"/>
      <c r="D624" s="201"/>
      <c r="E624" s="196"/>
      <c r="F624" s="196"/>
      <c r="G624" s="196"/>
      <c r="H624" s="183"/>
      <c r="V624" s="184"/>
    </row>
    <row r="625">
      <c r="B625" s="196"/>
      <c r="C625" s="201"/>
      <c r="D625" s="201"/>
      <c r="E625" s="196"/>
      <c r="F625" s="196"/>
      <c r="G625" s="196"/>
      <c r="H625" s="183"/>
      <c r="V625" s="184"/>
    </row>
    <row r="626">
      <c r="B626" s="196"/>
      <c r="C626" s="201"/>
      <c r="D626" s="201"/>
      <c r="E626" s="196"/>
      <c r="F626" s="196"/>
      <c r="G626" s="196"/>
      <c r="H626" s="183"/>
      <c r="V626" s="184"/>
    </row>
    <row r="627">
      <c r="B627" s="196"/>
      <c r="C627" s="201"/>
      <c r="D627" s="201"/>
      <c r="E627" s="196"/>
      <c r="F627" s="196"/>
      <c r="G627" s="196"/>
      <c r="H627" s="183"/>
      <c r="V627" s="184"/>
    </row>
    <row r="628">
      <c r="B628" s="196"/>
      <c r="C628" s="201"/>
      <c r="D628" s="201"/>
      <c r="E628" s="196"/>
      <c r="F628" s="196"/>
      <c r="G628" s="196"/>
      <c r="H628" s="183"/>
      <c r="V628" s="184"/>
    </row>
    <row r="629">
      <c r="B629" s="196"/>
      <c r="C629" s="201"/>
      <c r="D629" s="201"/>
      <c r="E629" s="196"/>
      <c r="F629" s="196"/>
      <c r="G629" s="196"/>
      <c r="H629" s="183"/>
      <c r="V629" s="184"/>
    </row>
    <row r="630">
      <c r="B630" s="196"/>
      <c r="C630" s="201"/>
      <c r="D630" s="201"/>
      <c r="E630" s="196"/>
      <c r="F630" s="196"/>
      <c r="G630" s="196"/>
      <c r="H630" s="183"/>
      <c r="V630" s="184"/>
    </row>
    <row r="631">
      <c r="B631" s="196"/>
      <c r="C631" s="201"/>
      <c r="D631" s="201"/>
      <c r="E631" s="196"/>
      <c r="F631" s="196"/>
      <c r="G631" s="196"/>
      <c r="H631" s="183"/>
      <c r="V631" s="184"/>
    </row>
    <row r="632">
      <c r="B632" s="196"/>
      <c r="C632" s="201"/>
      <c r="D632" s="201"/>
      <c r="E632" s="196"/>
      <c r="F632" s="196"/>
      <c r="G632" s="196"/>
      <c r="H632" s="183"/>
      <c r="V632" s="184"/>
    </row>
    <row r="633">
      <c r="B633" s="196"/>
      <c r="C633" s="201"/>
      <c r="D633" s="201"/>
      <c r="E633" s="196"/>
      <c r="F633" s="196"/>
      <c r="G633" s="196"/>
      <c r="H633" s="183"/>
      <c r="V633" s="184"/>
    </row>
    <row r="634">
      <c r="B634" s="196"/>
      <c r="C634" s="201"/>
      <c r="D634" s="201"/>
      <c r="E634" s="196"/>
      <c r="F634" s="196"/>
      <c r="G634" s="196"/>
      <c r="H634" s="183"/>
      <c r="V634" s="184"/>
    </row>
    <row r="635">
      <c r="B635" s="196"/>
      <c r="C635" s="201"/>
      <c r="D635" s="201"/>
      <c r="E635" s="196"/>
      <c r="F635" s="196"/>
      <c r="G635" s="196"/>
      <c r="H635" s="183"/>
      <c r="V635" s="184"/>
    </row>
    <row r="636">
      <c r="B636" s="196"/>
      <c r="C636" s="201"/>
      <c r="D636" s="201"/>
      <c r="E636" s="196"/>
      <c r="F636" s="196"/>
      <c r="G636" s="196"/>
      <c r="H636" s="183"/>
      <c r="V636" s="184"/>
    </row>
    <row r="637">
      <c r="B637" s="196"/>
      <c r="C637" s="201"/>
      <c r="D637" s="201"/>
      <c r="E637" s="196"/>
      <c r="F637" s="196"/>
      <c r="G637" s="196"/>
      <c r="H637" s="183"/>
      <c r="V637" s="184"/>
    </row>
    <row r="638">
      <c r="B638" s="196"/>
      <c r="C638" s="201"/>
      <c r="D638" s="201"/>
      <c r="E638" s="196"/>
      <c r="F638" s="196"/>
      <c r="G638" s="196"/>
      <c r="H638" s="183"/>
      <c r="V638" s="184"/>
    </row>
    <row r="639">
      <c r="B639" s="196"/>
      <c r="C639" s="201"/>
      <c r="D639" s="201"/>
      <c r="E639" s="196"/>
      <c r="F639" s="196"/>
      <c r="G639" s="196"/>
      <c r="H639" s="183"/>
      <c r="V639" s="184"/>
    </row>
    <row r="640">
      <c r="B640" s="196"/>
      <c r="C640" s="201"/>
      <c r="D640" s="201"/>
      <c r="E640" s="196"/>
      <c r="F640" s="196"/>
      <c r="G640" s="196"/>
      <c r="H640" s="183"/>
      <c r="V640" s="184"/>
    </row>
    <row r="641">
      <c r="B641" s="196"/>
      <c r="C641" s="201"/>
      <c r="D641" s="201"/>
      <c r="E641" s="196"/>
      <c r="F641" s="196"/>
      <c r="G641" s="196"/>
      <c r="H641" s="183"/>
      <c r="V641" s="184"/>
    </row>
    <row r="642">
      <c r="B642" s="196"/>
      <c r="C642" s="201"/>
      <c r="D642" s="201"/>
      <c r="E642" s="196"/>
      <c r="F642" s="196"/>
      <c r="G642" s="196"/>
      <c r="H642" s="183"/>
      <c r="V642" s="184"/>
    </row>
    <row r="643">
      <c r="B643" s="196"/>
      <c r="C643" s="201"/>
      <c r="D643" s="201"/>
      <c r="E643" s="196"/>
      <c r="F643" s="196"/>
      <c r="G643" s="196"/>
      <c r="H643" s="183"/>
      <c r="V643" s="184"/>
    </row>
    <row r="644">
      <c r="B644" s="196"/>
      <c r="C644" s="201"/>
      <c r="D644" s="201"/>
      <c r="E644" s="196"/>
      <c r="F644" s="196"/>
      <c r="G644" s="196"/>
      <c r="H644" s="183"/>
      <c r="V644" s="184"/>
    </row>
    <row r="645">
      <c r="B645" s="196"/>
      <c r="C645" s="201"/>
      <c r="D645" s="201"/>
      <c r="E645" s="196"/>
      <c r="F645" s="196"/>
      <c r="G645" s="196"/>
      <c r="H645" s="183"/>
      <c r="V645" s="184"/>
    </row>
    <row r="646">
      <c r="B646" s="196"/>
      <c r="C646" s="201"/>
      <c r="D646" s="201"/>
      <c r="E646" s="196"/>
      <c r="F646" s="196"/>
      <c r="G646" s="196"/>
      <c r="H646" s="183"/>
      <c r="V646" s="184"/>
    </row>
    <row r="647">
      <c r="B647" s="196"/>
      <c r="C647" s="201"/>
      <c r="D647" s="201"/>
      <c r="E647" s="196"/>
      <c r="F647" s="196"/>
      <c r="G647" s="196"/>
      <c r="H647" s="183"/>
      <c r="V647" s="184"/>
    </row>
    <row r="648">
      <c r="B648" s="196"/>
      <c r="C648" s="201"/>
      <c r="D648" s="201"/>
      <c r="E648" s="196"/>
      <c r="F648" s="196"/>
      <c r="G648" s="196"/>
      <c r="H648" s="183"/>
      <c r="V648" s="184"/>
    </row>
    <row r="649">
      <c r="B649" s="196"/>
      <c r="C649" s="201"/>
      <c r="D649" s="201"/>
      <c r="E649" s="196"/>
      <c r="F649" s="196"/>
      <c r="G649" s="196"/>
      <c r="H649" s="183"/>
      <c r="V649" s="184"/>
    </row>
    <row r="650">
      <c r="B650" s="196"/>
      <c r="C650" s="201"/>
      <c r="D650" s="201"/>
      <c r="E650" s="196"/>
      <c r="F650" s="196"/>
      <c r="G650" s="196"/>
      <c r="H650" s="183"/>
      <c r="V650" s="184"/>
    </row>
    <row r="651">
      <c r="B651" s="196"/>
      <c r="C651" s="201"/>
      <c r="D651" s="201"/>
      <c r="E651" s="196"/>
      <c r="F651" s="196"/>
      <c r="G651" s="196"/>
      <c r="H651" s="183"/>
      <c r="V651" s="184"/>
    </row>
    <row r="652">
      <c r="B652" s="196"/>
      <c r="C652" s="201"/>
      <c r="D652" s="201"/>
      <c r="E652" s="196"/>
      <c r="F652" s="196"/>
      <c r="G652" s="196"/>
      <c r="H652" s="183"/>
      <c r="V652" s="184"/>
    </row>
    <row r="653">
      <c r="B653" s="196"/>
      <c r="C653" s="201"/>
      <c r="D653" s="201"/>
      <c r="E653" s="196"/>
      <c r="F653" s="196"/>
      <c r="G653" s="196"/>
      <c r="H653" s="183"/>
      <c r="V653" s="184"/>
    </row>
    <row r="654">
      <c r="B654" s="196"/>
      <c r="C654" s="201"/>
      <c r="D654" s="201"/>
      <c r="E654" s="196"/>
      <c r="F654" s="196"/>
      <c r="G654" s="196"/>
      <c r="H654" s="183"/>
      <c r="V654" s="184"/>
    </row>
    <row r="655">
      <c r="B655" s="196"/>
      <c r="C655" s="201"/>
      <c r="D655" s="201"/>
      <c r="E655" s="196"/>
      <c r="F655" s="196"/>
      <c r="G655" s="196"/>
      <c r="H655" s="183"/>
      <c r="V655" s="184"/>
    </row>
    <row r="656">
      <c r="B656" s="196"/>
      <c r="C656" s="201"/>
      <c r="D656" s="201"/>
      <c r="E656" s="196"/>
      <c r="F656" s="196"/>
      <c r="G656" s="196"/>
      <c r="H656" s="183"/>
      <c r="V656" s="184"/>
    </row>
    <row r="657">
      <c r="B657" s="196"/>
      <c r="C657" s="201"/>
      <c r="D657" s="201"/>
      <c r="E657" s="196"/>
      <c r="F657" s="196"/>
      <c r="G657" s="196"/>
      <c r="H657" s="183"/>
      <c r="V657" s="184"/>
    </row>
    <row r="658">
      <c r="B658" s="196"/>
      <c r="C658" s="201"/>
      <c r="D658" s="201"/>
      <c r="E658" s="196"/>
      <c r="F658" s="196"/>
      <c r="G658" s="196"/>
      <c r="H658" s="183"/>
      <c r="V658" s="184"/>
    </row>
    <row r="659">
      <c r="B659" s="196"/>
      <c r="C659" s="201"/>
      <c r="D659" s="201"/>
      <c r="E659" s="196"/>
      <c r="F659" s="196"/>
      <c r="G659" s="196"/>
      <c r="H659" s="183"/>
      <c r="V659" s="184"/>
    </row>
    <row r="660">
      <c r="B660" s="196"/>
      <c r="C660" s="201"/>
      <c r="D660" s="201"/>
      <c r="E660" s="196"/>
      <c r="F660" s="196"/>
      <c r="G660" s="196"/>
      <c r="H660" s="183"/>
      <c r="V660" s="184"/>
    </row>
    <row r="661">
      <c r="B661" s="196"/>
      <c r="C661" s="201"/>
      <c r="D661" s="201"/>
      <c r="E661" s="196"/>
      <c r="F661" s="196"/>
      <c r="G661" s="196"/>
      <c r="H661" s="183"/>
      <c r="V661" s="184"/>
    </row>
    <row r="662">
      <c r="B662" s="196"/>
      <c r="C662" s="201"/>
      <c r="D662" s="201"/>
      <c r="E662" s="196"/>
      <c r="F662" s="196"/>
      <c r="G662" s="196"/>
      <c r="H662" s="183"/>
      <c r="V662" s="184"/>
    </row>
    <row r="663">
      <c r="B663" s="196"/>
      <c r="C663" s="201"/>
      <c r="D663" s="201"/>
      <c r="E663" s="196"/>
      <c r="F663" s="196"/>
      <c r="G663" s="196"/>
      <c r="H663" s="183"/>
      <c r="V663" s="184"/>
    </row>
    <row r="664">
      <c r="B664" s="196"/>
      <c r="C664" s="201"/>
      <c r="D664" s="201"/>
      <c r="E664" s="196"/>
      <c r="F664" s="196"/>
      <c r="G664" s="196"/>
      <c r="H664" s="183"/>
      <c r="V664" s="184"/>
    </row>
    <row r="665">
      <c r="B665" s="196"/>
      <c r="C665" s="201"/>
      <c r="D665" s="201"/>
      <c r="E665" s="196"/>
      <c r="F665" s="196"/>
      <c r="G665" s="196"/>
      <c r="H665" s="183"/>
      <c r="V665" s="184"/>
    </row>
    <row r="666">
      <c r="B666" s="196"/>
      <c r="C666" s="201"/>
      <c r="D666" s="201"/>
      <c r="E666" s="196"/>
      <c r="F666" s="196"/>
      <c r="G666" s="196"/>
      <c r="H666" s="183"/>
      <c r="V666" s="184"/>
    </row>
    <row r="667">
      <c r="B667" s="196"/>
      <c r="C667" s="201"/>
      <c r="D667" s="201"/>
      <c r="E667" s="196"/>
      <c r="F667" s="196"/>
      <c r="G667" s="196"/>
      <c r="H667" s="183"/>
      <c r="V667" s="184"/>
    </row>
    <row r="668">
      <c r="B668" s="196"/>
      <c r="C668" s="201"/>
      <c r="D668" s="201"/>
      <c r="E668" s="196"/>
      <c r="F668" s="196"/>
      <c r="G668" s="196"/>
      <c r="H668" s="183"/>
      <c r="V668" s="184"/>
    </row>
    <row r="669">
      <c r="B669" s="196"/>
      <c r="C669" s="201"/>
      <c r="D669" s="201"/>
      <c r="E669" s="196"/>
      <c r="F669" s="196"/>
      <c r="G669" s="196"/>
      <c r="H669" s="183"/>
      <c r="V669" s="184"/>
    </row>
    <row r="670">
      <c r="B670" s="196"/>
      <c r="C670" s="201"/>
      <c r="D670" s="201"/>
      <c r="E670" s="196"/>
      <c r="F670" s="196"/>
      <c r="G670" s="196"/>
      <c r="H670" s="183"/>
      <c r="V670" s="184"/>
    </row>
    <row r="671">
      <c r="B671" s="196"/>
      <c r="C671" s="201"/>
      <c r="D671" s="201"/>
      <c r="E671" s="196"/>
      <c r="F671" s="196"/>
      <c r="G671" s="196"/>
      <c r="H671" s="183"/>
      <c r="V671" s="184"/>
    </row>
    <row r="672">
      <c r="B672" s="196"/>
      <c r="C672" s="201"/>
      <c r="D672" s="201"/>
      <c r="E672" s="196"/>
      <c r="F672" s="196"/>
      <c r="G672" s="196"/>
      <c r="H672" s="183"/>
      <c r="V672" s="184"/>
    </row>
    <row r="673">
      <c r="B673" s="196"/>
      <c r="C673" s="201"/>
      <c r="D673" s="201"/>
      <c r="E673" s="196"/>
      <c r="F673" s="196"/>
      <c r="G673" s="196"/>
      <c r="H673" s="183"/>
      <c r="V673" s="184"/>
    </row>
    <row r="674">
      <c r="B674" s="196"/>
      <c r="C674" s="201"/>
      <c r="D674" s="201"/>
      <c r="E674" s="196"/>
      <c r="F674" s="196"/>
      <c r="G674" s="196"/>
      <c r="H674" s="183"/>
      <c r="V674" s="184"/>
    </row>
    <row r="675">
      <c r="B675" s="196"/>
      <c r="C675" s="201"/>
      <c r="D675" s="201"/>
      <c r="E675" s="196"/>
      <c r="F675" s="196"/>
      <c r="G675" s="196"/>
      <c r="H675" s="183"/>
      <c r="V675" s="184"/>
    </row>
    <row r="676">
      <c r="B676" s="196"/>
      <c r="C676" s="201"/>
      <c r="D676" s="201"/>
      <c r="E676" s="196"/>
      <c r="F676" s="196"/>
      <c r="G676" s="196"/>
      <c r="H676" s="183"/>
      <c r="V676" s="184"/>
    </row>
    <row r="677">
      <c r="B677" s="196"/>
      <c r="C677" s="201"/>
      <c r="D677" s="201"/>
      <c r="E677" s="196"/>
      <c r="F677" s="196"/>
      <c r="G677" s="196"/>
      <c r="H677" s="183"/>
      <c r="V677" s="184"/>
    </row>
    <row r="678">
      <c r="B678" s="196"/>
      <c r="C678" s="201"/>
      <c r="D678" s="201"/>
      <c r="E678" s="196"/>
      <c r="F678" s="196"/>
      <c r="G678" s="196"/>
      <c r="H678" s="183"/>
      <c r="V678" s="184"/>
    </row>
    <row r="679">
      <c r="B679" s="196"/>
      <c r="C679" s="201"/>
      <c r="D679" s="201"/>
      <c r="E679" s="196"/>
      <c r="F679" s="196"/>
      <c r="G679" s="196"/>
      <c r="H679" s="183"/>
      <c r="V679" s="184"/>
    </row>
    <row r="680">
      <c r="B680" s="196"/>
      <c r="C680" s="201"/>
      <c r="D680" s="201"/>
      <c r="E680" s="196"/>
      <c r="F680" s="196"/>
      <c r="G680" s="196"/>
      <c r="H680" s="183"/>
      <c r="V680" s="184"/>
    </row>
    <row r="681">
      <c r="B681" s="196"/>
      <c r="C681" s="201"/>
      <c r="D681" s="201"/>
      <c r="E681" s="196"/>
      <c r="F681" s="196"/>
      <c r="G681" s="196"/>
      <c r="H681" s="183"/>
      <c r="V681" s="184"/>
    </row>
    <row r="682">
      <c r="B682" s="196"/>
      <c r="C682" s="201"/>
      <c r="D682" s="201"/>
      <c r="E682" s="196"/>
      <c r="F682" s="196"/>
      <c r="G682" s="196"/>
      <c r="H682" s="183"/>
      <c r="V682" s="184"/>
    </row>
    <row r="683">
      <c r="B683" s="196"/>
      <c r="C683" s="201"/>
      <c r="D683" s="201"/>
      <c r="E683" s="196"/>
      <c r="F683" s="196"/>
      <c r="G683" s="196"/>
      <c r="H683" s="183"/>
      <c r="V683" s="184"/>
    </row>
    <row r="684">
      <c r="B684" s="196"/>
      <c r="C684" s="201"/>
      <c r="D684" s="201"/>
      <c r="E684" s="196"/>
      <c r="F684" s="196"/>
      <c r="G684" s="196"/>
      <c r="H684" s="183"/>
      <c r="V684" s="184"/>
    </row>
    <row r="685">
      <c r="B685" s="196"/>
      <c r="C685" s="201"/>
      <c r="D685" s="201"/>
      <c r="E685" s="196"/>
      <c r="F685" s="196"/>
      <c r="G685" s="196"/>
      <c r="H685" s="183"/>
      <c r="V685" s="184"/>
    </row>
    <row r="686">
      <c r="B686" s="196"/>
      <c r="C686" s="201"/>
      <c r="D686" s="201"/>
      <c r="E686" s="196"/>
      <c r="F686" s="196"/>
      <c r="G686" s="196"/>
      <c r="H686" s="183"/>
      <c r="V686" s="184"/>
    </row>
    <row r="687">
      <c r="B687" s="196"/>
      <c r="C687" s="201"/>
      <c r="D687" s="201"/>
      <c r="E687" s="196"/>
      <c r="F687" s="196"/>
      <c r="G687" s="196"/>
      <c r="H687" s="183"/>
      <c r="V687" s="184"/>
    </row>
    <row r="688">
      <c r="B688" s="196"/>
      <c r="C688" s="201"/>
      <c r="D688" s="201"/>
      <c r="E688" s="196"/>
      <c r="F688" s="196"/>
      <c r="G688" s="196"/>
      <c r="H688" s="183"/>
      <c r="V688" s="184"/>
    </row>
    <row r="689">
      <c r="B689" s="196"/>
      <c r="C689" s="201"/>
      <c r="D689" s="201"/>
      <c r="E689" s="196"/>
      <c r="F689" s="196"/>
      <c r="G689" s="196"/>
      <c r="H689" s="183"/>
      <c r="V689" s="184"/>
    </row>
    <row r="690">
      <c r="B690" s="196"/>
      <c r="C690" s="201"/>
      <c r="D690" s="201"/>
      <c r="E690" s="196"/>
      <c r="F690" s="196"/>
      <c r="G690" s="196"/>
      <c r="H690" s="183"/>
      <c r="V690" s="184"/>
    </row>
    <row r="691">
      <c r="B691" s="196"/>
      <c r="C691" s="201"/>
      <c r="D691" s="201"/>
      <c r="E691" s="196"/>
      <c r="F691" s="196"/>
      <c r="G691" s="196"/>
      <c r="H691" s="183"/>
      <c r="V691" s="184"/>
    </row>
    <row r="692">
      <c r="B692" s="196"/>
      <c r="C692" s="201"/>
      <c r="D692" s="201"/>
      <c r="E692" s="196"/>
      <c r="F692" s="196"/>
      <c r="G692" s="196"/>
      <c r="H692" s="183"/>
      <c r="V692" s="184"/>
    </row>
    <row r="693">
      <c r="B693" s="196"/>
      <c r="C693" s="201"/>
      <c r="D693" s="201"/>
      <c r="E693" s="196"/>
      <c r="F693" s="196"/>
      <c r="G693" s="196"/>
      <c r="H693" s="183"/>
      <c r="V693" s="184"/>
    </row>
    <row r="694">
      <c r="B694" s="196"/>
      <c r="C694" s="201"/>
      <c r="D694" s="201"/>
      <c r="E694" s="196"/>
      <c r="F694" s="196"/>
      <c r="G694" s="196"/>
      <c r="H694" s="183"/>
      <c r="V694" s="184"/>
    </row>
    <row r="695">
      <c r="B695" s="196"/>
      <c r="C695" s="201"/>
      <c r="D695" s="201"/>
      <c r="E695" s="196"/>
      <c r="F695" s="196"/>
      <c r="G695" s="196"/>
      <c r="H695" s="183"/>
      <c r="V695" s="184"/>
    </row>
    <row r="696">
      <c r="B696" s="196"/>
      <c r="C696" s="201"/>
      <c r="D696" s="201"/>
      <c r="E696" s="196"/>
      <c r="F696" s="196"/>
      <c r="G696" s="196"/>
      <c r="H696" s="183"/>
      <c r="V696" s="184"/>
    </row>
    <row r="697">
      <c r="B697" s="196"/>
      <c r="C697" s="201"/>
      <c r="D697" s="201"/>
      <c r="E697" s="196"/>
      <c r="F697" s="196"/>
      <c r="G697" s="196"/>
      <c r="H697" s="183"/>
      <c r="V697" s="184"/>
    </row>
    <row r="698">
      <c r="B698" s="196"/>
      <c r="C698" s="201"/>
      <c r="D698" s="201"/>
      <c r="E698" s="196"/>
      <c r="F698" s="196"/>
      <c r="G698" s="196"/>
      <c r="H698" s="183"/>
      <c r="V698" s="184"/>
    </row>
    <row r="699">
      <c r="B699" s="196"/>
      <c r="C699" s="201"/>
      <c r="D699" s="201"/>
      <c r="E699" s="196"/>
      <c r="F699" s="196"/>
      <c r="G699" s="196"/>
      <c r="H699" s="183"/>
      <c r="V699" s="184"/>
    </row>
    <row r="700">
      <c r="B700" s="196"/>
      <c r="C700" s="201"/>
      <c r="D700" s="201"/>
      <c r="E700" s="196"/>
      <c r="F700" s="196"/>
      <c r="G700" s="196"/>
      <c r="H700" s="183"/>
      <c r="V700" s="184"/>
    </row>
    <row r="701">
      <c r="B701" s="196"/>
      <c r="C701" s="201"/>
      <c r="D701" s="201"/>
      <c r="E701" s="196"/>
      <c r="F701" s="196"/>
      <c r="G701" s="196"/>
      <c r="H701" s="183"/>
      <c r="V701" s="184"/>
    </row>
    <row r="702">
      <c r="B702" s="196"/>
      <c r="C702" s="201"/>
      <c r="D702" s="201"/>
      <c r="E702" s="196"/>
      <c r="F702" s="196"/>
      <c r="G702" s="196"/>
      <c r="H702" s="183"/>
      <c r="V702" s="184"/>
    </row>
    <row r="703">
      <c r="B703" s="196"/>
      <c r="C703" s="201"/>
      <c r="D703" s="201"/>
      <c r="E703" s="196"/>
      <c r="F703" s="196"/>
      <c r="G703" s="196"/>
      <c r="H703" s="183"/>
      <c r="V703" s="184"/>
    </row>
    <row r="704">
      <c r="B704" s="196"/>
      <c r="C704" s="201"/>
      <c r="D704" s="201"/>
      <c r="E704" s="196"/>
      <c r="F704" s="196"/>
      <c r="G704" s="196"/>
      <c r="H704" s="183"/>
      <c r="V704" s="184"/>
    </row>
    <row r="705">
      <c r="B705" s="196"/>
      <c r="C705" s="201"/>
      <c r="D705" s="201"/>
      <c r="E705" s="196"/>
      <c r="F705" s="196"/>
      <c r="G705" s="196"/>
      <c r="H705" s="183"/>
      <c r="V705" s="184"/>
    </row>
    <row r="706">
      <c r="B706" s="196"/>
      <c r="C706" s="201"/>
      <c r="D706" s="201"/>
      <c r="E706" s="196"/>
      <c r="F706" s="196"/>
      <c r="G706" s="196"/>
      <c r="H706" s="183"/>
      <c r="V706" s="184"/>
    </row>
    <row r="707">
      <c r="B707" s="196"/>
      <c r="C707" s="201"/>
      <c r="D707" s="201"/>
      <c r="E707" s="196"/>
      <c r="F707" s="196"/>
      <c r="G707" s="196"/>
      <c r="H707" s="183"/>
      <c r="V707" s="184"/>
    </row>
    <row r="708">
      <c r="B708" s="196"/>
      <c r="C708" s="201"/>
      <c r="D708" s="201"/>
      <c r="E708" s="196"/>
      <c r="F708" s="196"/>
      <c r="G708" s="196"/>
      <c r="H708" s="183"/>
      <c r="V708" s="184"/>
    </row>
    <row r="709">
      <c r="B709" s="196"/>
      <c r="C709" s="201"/>
      <c r="D709" s="201"/>
      <c r="E709" s="196"/>
      <c r="F709" s="196"/>
      <c r="G709" s="196"/>
      <c r="H709" s="183"/>
      <c r="V709" s="184"/>
    </row>
    <row r="710">
      <c r="B710" s="196"/>
      <c r="C710" s="201"/>
      <c r="D710" s="201"/>
      <c r="E710" s="196"/>
      <c r="F710" s="196"/>
      <c r="G710" s="196"/>
      <c r="H710" s="183"/>
      <c r="V710" s="184"/>
    </row>
    <row r="711">
      <c r="B711" s="196"/>
      <c r="C711" s="201"/>
      <c r="D711" s="201"/>
      <c r="E711" s="196"/>
      <c r="F711" s="196"/>
      <c r="G711" s="196"/>
      <c r="H711" s="183"/>
      <c r="V711" s="184"/>
    </row>
    <row r="712">
      <c r="B712" s="196"/>
      <c r="C712" s="201"/>
      <c r="D712" s="201"/>
      <c r="E712" s="196"/>
      <c r="F712" s="196"/>
      <c r="G712" s="196"/>
      <c r="H712" s="183"/>
      <c r="V712" s="184"/>
    </row>
    <row r="713">
      <c r="B713" s="196"/>
      <c r="C713" s="201"/>
      <c r="D713" s="201"/>
      <c r="E713" s="196"/>
      <c r="F713" s="196"/>
      <c r="G713" s="196"/>
      <c r="H713" s="183"/>
      <c r="V713" s="184"/>
    </row>
    <row r="714">
      <c r="B714" s="196"/>
      <c r="C714" s="201"/>
      <c r="D714" s="201"/>
      <c r="E714" s="196"/>
      <c r="F714" s="196"/>
      <c r="G714" s="196"/>
      <c r="H714" s="183"/>
      <c r="V714" s="184"/>
    </row>
    <row r="715">
      <c r="B715" s="196"/>
      <c r="C715" s="201"/>
      <c r="D715" s="201"/>
      <c r="E715" s="196"/>
      <c r="F715" s="196"/>
      <c r="G715" s="196"/>
      <c r="H715" s="183"/>
      <c r="V715" s="184"/>
    </row>
    <row r="716">
      <c r="B716" s="196"/>
      <c r="C716" s="201"/>
      <c r="D716" s="201"/>
      <c r="E716" s="196"/>
      <c r="F716" s="196"/>
      <c r="G716" s="196"/>
      <c r="H716" s="183"/>
      <c r="V716" s="184"/>
    </row>
    <row r="717">
      <c r="B717" s="196"/>
      <c r="C717" s="201"/>
      <c r="D717" s="201"/>
      <c r="E717" s="196"/>
      <c r="F717" s="196"/>
      <c r="G717" s="196"/>
      <c r="H717" s="183"/>
      <c r="V717" s="184"/>
    </row>
    <row r="718">
      <c r="B718" s="196"/>
      <c r="C718" s="201"/>
      <c r="D718" s="201"/>
      <c r="E718" s="196"/>
      <c r="F718" s="196"/>
      <c r="G718" s="196"/>
      <c r="H718" s="183"/>
      <c r="V718" s="184"/>
    </row>
    <row r="719">
      <c r="B719" s="196"/>
      <c r="C719" s="201"/>
      <c r="D719" s="201"/>
      <c r="E719" s="196"/>
      <c r="F719" s="196"/>
      <c r="G719" s="196"/>
      <c r="H719" s="183"/>
      <c r="V719" s="184"/>
    </row>
    <row r="720">
      <c r="B720" s="196"/>
      <c r="C720" s="201"/>
      <c r="D720" s="201"/>
      <c r="E720" s="196"/>
      <c r="F720" s="196"/>
      <c r="G720" s="196"/>
      <c r="H720" s="183"/>
      <c r="V720" s="184"/>
    </row>
    <row r="721">
      <c r="B721" s="196"/>
      <c r="C721" s="201"/>
      <c r="D721" s="201"/>
      <c r="E721" s="196"/>
      <c r="F721" s="196"/>
      <c r="G721" s="196"/>
      <c r="H721" s="183"/>
      <c r="V721" s="184"/>
    </row>
    <row r="722">
      <c r="B722" s="196"/>
      <c r="C722" s="201"/>
      <c r="D722" s="201"/>
      <c r="E722" s="196"/>
      <c r="F722" s="196"/>
      <c r="G722" s="196"/>
      <c r="H722" s="183"/>
      <c r="V722" s="184"/>
    </row>
    <row r="723">
      <c r="B723" s="196"/>
      <c r="C723" s="201"/>
      <c r="D723" s="201"/>
      <c r="E723" s="196"/>
      <c r="F723" s="196"/>
      <c r="G723" s="196"/>
      <c r="H723" s="183"/>
      <c r="V723" s="184"/>
    </row>
    <row r="724">
      <c r="B724" s="196"/>
      <c r="C724" s="201"/>
      <c r="D724" s="201"/>
      <c r="E724" s="196"/>
      <c r="F724" s="196"/>
      <c r="G724" s="196"/>
      <c r="H724" s="183"/>
      <c r="V724" s="184"/>
    </row>
    <row r="725">
      <c r="B725" s="196"/>
      <c r="C725" s="201"/>
      <c r="D725" s="201"/>
      <c r="E725" s="196"/>
      <c r="F725" s="196"/>
      <c r="G725" s="196"/>
      <c r="H725" s="183"/>
      <c r="V725" s="184"/>
    </row>
    <row r="726">
      <c r="B726" s="196"/>
      <c r="C726" s="201"/>
      <c r="D726" s="201"/>
      <c r="E726" s="196"/>
      <c r="F726" s="196"/>
      <c r="G726" s="196"/>
      <c r="H726" s="183"/>
      <c r="V726" s="184"/>
    </row>
    <row r="727">
      <c r="B727" s="196"/>
      <c r="C727" s="201"/>
      <c r="D727" s="201"/>
      <c r="E727" s="196"/>
      <c r="F727" s="196"/>
      <c r="G727" s="196"/>
      <c r="H727" s="183"/>
      <c r="V727" s="184"/>
    </row>
    <row r="728">
      <c r="B728" s="196"/>
      <c r="C728" s="201"/>
      <c r="D728" s="201"/>
      <c r="E728" s="196"/>
      <c r="F728" s="196"/>
      <c r="G728" s="196"/>
      <c r="H728" s="183"/>
      <c r="V728" s="184"/>
    </row>
    <row r="729">
      <c r="B729" s="196"/>
      <c r="C729" s="201"/>
      <c r="D729" s="201"/>
      <c r="E729" s="196"/>
      <c r="F729" s="196"/>
      <c r="G729" s="196"/>
      <c r="H729" s="183"/>
      <c r="V729" s="184"/>
    </row>
    <row r="730">
      <c r="B730" s="196"/>
      <c r="C730" s="201"/>
      <c r="D730" s="201"/>
      <c r="E730" s="196"/>
      <c r="F730" s="196"/>
      <c r="G730" s="196"/>
      <c r="H730" s="183"/>
      <c r="V730" s="184"/>
    </row>
    <row r="731">
      <c r="B731" s="196"/>
      <c r="C731" s="201"/>
      <c r="D731" s="201"/>
      <c r="E731" s="196"/>
      <c r="F731" s="196"/>
      <c r="G731" s="196"/>
      <c r="H731" s="183"/>
      <c r="V731" s="184"/>
    </row>
    <row r="732">
      <c r="B732" s="196"/>
      <c r="C732" s="201"/>
      <c r="D732" s="201"/>
      <c r="E732" s="196"/>
      <c r="F732" s="196"/>
      <c r="G732" s="196"/>
      <c r="H732" s="183"/>
      <c r="V732" s="184"/>
    </row>
    <row r="733">
      <c r="B733" s="196"/>
      <c r="C733" s="201"/>
      <c r="D733" s="201"/>
      <c r="E733" s="196"/>
      <c r="F733" s="196"/>
      <c r="G733" s="196"/>
      <c r="H733" s="183"/>
      <c r="V733" s="184"/>
    </row>
    <row r="734">
      <c r="B734" s="196"/>
      <c r="C734" s="201"/>
      <c r="D734" s="201"/>
      <c r="E734" s="196"/>
      <c r="F734" s="196"/>
      <c r="G734" s="196"/>
      <c r="H734" s="183"/>
      <c r="V734" s="184"/>
    </row>
    <row r="735">
      <c r="B735" s="196"/>
      <c r="C735" s="201"/>
      <c r="D735" s="201"/>
      <c r="E735" s="196"/>
      <c r="F735" s="196"/>
      <c r="G735" s="196"/>
      <c r="H735" s="183"/>
      <c r="V735" s="184"/>
    </row>
    <row r="736">
      <c r="B736" s="196"/>
      <c r="C736" s="201"/>
      <c r="D736" s="201"/>
      <c r="E736" s="196"/>
      <c r="F736" s="196"/>
      <c r="G736" s="196"/>
      <c r="H736" s="183"/>
      <c r="V736" s="184"/>
    </row>
    <row r="737">
      <c r="B737" s="196"/>
      <c r="C737" s="201"/>
      <c r="D737" s="201"/>
      <c r="E737" s="196"/>
      <c r="F737" s="196"/>
      <c r="G737" s="196"/>
      <c r="H737" s="183"/>
      <c r="V737" s="184"/>
    </row>
    <row r="738">
      <c r="B738" s="196"/>
      <c r="C738" s="201"/>
      <c r="D738" s="201"/>
      <c r="E738" s="196"/>
      <c r="F738" s="196"/>
      <c r="G738" s="196"/>
      <c r="H738" s="183"/>
      <c r="V738" s="184"/>
    </row>
    <row r="739">
      <c r="B739" s="196"/>
      <c r="C739" s="201"/>
      <c r="D739" s="201"/>
      <c r="E739" s="196"/>
      <c r="F739" s="196"/>
      <c r="G739" s="196"/>
      <c r="H739" s="183"/>
      <c r="V739" s="184"/>
    </row>
    <row r="740">
      <c r="B740" s="196"/>
      <c r="C740" s="201"/>
      <c r="D740" s="201"/>
      <c r="E740" s="196"/>
      <c r="F740" s="196"/>
      <c r="G740" s="196"/>
      <c r="H740" s="183"/>
      <c r="V740" s="184"/>
    </row>
    <row r="741">
      <c r="B741" s="196"/>
      <c r="C741" s="201"/>
      <c r="D741" s="201"/>
      <c r="E741" s="196"/>
      <c r="F741" s="196"/>
      <c r="G741" s="196"/>
      <c r="H741" s="183"/>
      <c r="V741" s="184"/>
    </row>
    <row r="742">
      <c r="B742" s="196"/>
      <c r="C742" s="201"/>
      <c r="D742" s="201"/>
      <c r="E742" s="196"/>
      <c r="F742" s="196"/>
      <c r="G742" s="196"/>
      <c r="H742" s="183"/>
      <c r="V742" s="184"/>
    </row>
    <row r="743">
      <c r="B743" s="196"/>
      <c r="C743" s="201"/>
      <c r="D743" s="201"/>
      <c r="E743" s="196"/>
      <c r="F743" s="196"/>
      <c r="G743" s="196"/>
      <c r="H743" s="183"/>
      <c r="V743" s="184"/>
    </row>
    <row r="744">
      <c r="B744" s="196"/>
      <c r="C744" s="201"/>
      <c r="D744" s="201"/>
      <c r="E744" s="196"/>
      <c r="F744" s="196"/>
      <c r="G744" s="196"/>
      <c r="H744" s="183"/>
      <c r="V744" s="184"/>
    </row>
    <row r="745">
      <c r="B745" s="196"/>
      <c r="C745" s="201"/>
      <c r="D745" s="201"/>
      <c r="E745" s="196"/>
      <c r="F745" s="196"/>
      <c r="G745" s="196"/>
      <c r="H745" s="183"/>
      <c r="V745" s="184"/>
    </row>
    <row r="746">
      <c r="B746" s="196"/>
      <c r="C746" s="201"/>
      <c r="D746" s="201"/>
      <c r="E746" s="196"/>
      <c r="F746" s="196"/>
      <c r="G746" s="196"/>
      <c r="H746" s="183"/>
      <c r="V746" s="184"/>
    </row>
    <row r="747">
      <c r="B747" s="196"/>
      <c r="C747" s="201"/>
      <c r="D747" s="201"/>
      <c r="E747" s="196"/>
      <c r="F747" s="196"/>
      <c r="G747" s="196"/>
      <c r="H747" s="183"/>
      <c r="V747" s="184"/>
    </row>
    <row r="748">
      <c r="B748" s="196"/>
      <c r="C748" s="201"/>
      <c r="D748" s="201"/>
      <c r="E748" s="196"/>
      <c r="F748" s="196"/>
      <c r="G748" s="196"/>
      <c r="H748" s="183"/>
      <c r="V748" s="184"/>
    </row>
    <row r="749">
      <c r="B749" s="196"/>
      <c r="C749" s="201"/>
      <c r="D749" s="201"/>
      <c r="E749" s="196"/>
      <c r="F749" s="196"/>
      <c r="G749" s="196"/>
      <c r="H749" s="183"/>
      <c r="V749" s="184"/>
    </row>
    <row r="750">
      <c r="B750" s="196"/>
      <c r="C750" s="201"/>
      <c r="D750" s="201"/>
      <c r="E750" s="196"/>
      <c r="F750" s="196"/>
      <c r="G750" s="196"/>
      <c r="H750" s="183"/>
      <c r="V750" s="184"/>
    </row>
    <row r="751">
      <c r="B751" s="196"/>
      <c r="C751" s="201"/>
      <c r="D751" s="201"/>
      <c r="E751" s="196"/>
      <c r="F751" s="196"/>
      <c r="G751" s="196"/>
      <c r="H751" s="183"/>
      <c r="V751" s="184"/>
    </row>
    <row r="752">
      <c r="B752" s="196"/>
      <c r="C752" s="201"/>
      <c r="D752" s="201"/>
      <c r="E752" s="196"/>
      <c r="F752" s="196"/>
      <c r="G752" s="196"/>
      <c r="H752" s="183"/>
      <c r="V752" s="184"/>
    </row>
    <row r="753">
      <c r="B753" s="196"/>
      <c r="C753" s="201"/>
      <c r="D753" s="201"/>
      <c r="E753" s="196"/>
      <c r="F753" s="196"/>
      <c r="G753" s="196"/>
      <c r="H753" s="183"/>
      <c r="V753" s="184"/>
    </row>
    <row r="754">
      <c r="B754" s="196"/>
      <c r="C754" s="201"/>
      <c r="D754" s="201"/>
      <c r="E754" s="196"/>
      <c r="F754" s="196"/>
      <c r="G754" s="196"/>
      <c r="H754" s="183"/>
      <c r="V754" s="184"/>
    </row>
    <row r="755">
      <c r="B755" s="196"/>
      <c r="C755" s="201"/>
      <c r="D755" s="201"/>
      <c r="E755" s="196"/>
      <c r="F755" s="196"/>
      <c r="G755" s="196"/>
      <c r="H755" s="183"/>
      <c r="V755" s="184"/>
    </row>
    <row r="756">
      <c r="B756" s="196"/>
      <c r="C756" s="201"/>
      <c r="D756" s="201"/>
      <c r="E756" s="196"/>
      <c r="F756" s="196"/>
      <c r="G756" s="196"/>
      <c r="H756" s="183"/>
      <c r="V756" s="184"/>
    </row>
    <row r="757">
      <c r="B757" s="196"/>
      <c r="C757" s="201"/>
      <c r="D757" s="201"/>
      <c r="E757" s="196"/>
      <c r="F757" s="196"/>
      <c r="G757" s="196"/>
      <c r="H757" s="183"/>
      <c r="V757" s="184"/>
    </row>
    <row r="758">
      <c r="B758" s="196"/>
      <c r="C758" s="201"/>
      <c r="D758" s="201"/>
      <c r="E758" s="196"/>
      <c r="F758" s="196"/>
      <c r="G758" s="196"/>
      <c r="H758" s="183"/>
      <c r="V758" s="184"/>
    </row>
    <row r="759">
      <c r="B759" s="196"/>
      <c r="C759" s="201"/>
      <c r="D759" s="201"/>
      <c r="E759" s="196"/>
      <c r="F759" s="196"/>
      <c r="G759" s="196"/>
      <c r="H759" s="183"/>
      <c r="V759" s="184"/>
    </row>
    <row r="760">
      <c r="B760" s="196"/>
      <c r="C760" s="201"/>
      <c r="D760" s="201"/>
      <c r="E760" s="196"/>
      <c r="F760" s="196"/>
      <c r="G760" s="196"/>
      <c r="H760" s="183"/>
      <c r="V760" s="184"/>
    </row>
    <row r="761">
      <c r="B761" s="196"/>
      <c r="C761" s="201"/>
      <c r="D761" s="201"/>
      <c r="E761" s="196"/>
      <c r="F761" s="196"/>
      <c r="G761" s="196"/>
      <c r="H761" s="183"/>
      <c r="V761" s="184"/>
    </row>
    <row r="762">
      <c r="B762" s="196"/>
      <c r="C762" s="201"/>
      <c r="D762" s="201"/>
      <c r="E762" s="196"/>
      <c r="F762" s="196"/>
      <c r="G762" s="196"/>
      <c r="H762" s="183"/>
      <c r="V762" s="184"/>
    </row>
    <row r="763">
      <c r="B763" s="196"/>
      <c r="C763" s="201"/>
      <c r="D763" s="201"/>
      <c r="E763" s="196"/>
      <c r="F763" s="196"/>
      <c r="G763" s="196"/>
      <c r="H763" s="183"/>
      <c r="V763" s="184"/>
    </row>
    <row r="764">
      <c r="B764" s="196"/>
      <c r="C764" s="201"/>
      <c r="D764" s="201"/>
      <c r="E764" s="196"/>
      <c r="F764" s="196"/>
      <c r="G764" s="196"/>
      <c r="H764" s="183"/>
      <c r="V764" s="184"/>
    </row>
    <row r="765">
      <c r="B765" s="196"/>
      <c r="C765" s="201"/>
      <c r="D765" s="201"/>
      <c r="E765" s="196"/>
      <c r="F765" s="196"/>
      <c r="G765" s="196"/>
      <c r="H765" s="183"/>
      <c r="V765" s="184"/>
    </row>
    <row r="766">
      <c r="B766" s="196"/>
      <c r="C766" s="201"/>
      <c r="D766" s="201"/>
      <c r="E766" s="196"/>
      <c r="F766" s="196"/>
      <c r="G766" s="196"/>
      <c r="H766" s="183"/>
      <c r="V766" s="184"/>
    </row>
    <row r="767">
      <c r="B767" s="196"/>
      <c r="C767" s="201"/>
      <c r="D767" s="201"/>
      <c r="E767" s="196"/>
      <c r="F767" s="196"/>
      <c r="G767" s="196"/>
      <c r="H767" s="183"/>
      <c r="V767" s="184"/>
    </row>
    <row r="768">
      <c r="B768" s="196"/>
      <c r="C768" s="201"/>
      <c r="D768" s="201"/>
      <c r="E768" s="196"/>
      <c r="F768" s="196"/>
      <c r="G768" s="196"/>
      <c r="H768" s="183"/>
      <c r="V768" s="184"/>
    </row>
    <row r="769">
      <c r="B769" s="196"/>
      <c r="C769" s="201"/>
      <c r="D769" s="201"/>
      <c r="E769" s="196"/>
      <c r="F769" s="196"/>
      <c r="G769" s="196"/>
      <c r="H769" s="183"/>
      <c r="V769" s="184"/>
    </row>
    <row r="770">
      <c r="B770" s="196"/>
      <c r="C770" s="201"/>
      <c r="D770" s="201"/>
      <c r="E770" s="196"/>
      <c r="F770" s="196"/>
      <c r="G770" s="196"/>
      <c r="H770" s="183"/>
      <c r="V770" s="184"/>
    </row>
    <row r="771">
      <c r="B771" s="196"/>
      <c r="C771" s="201"/>
      <c r="D771" s="201"/>
      <c r="E771" s="196"/>
      <c r="F771" s="196"/>
      <c r="G771" s="196"/>
      <c r="H771" s="183"/>
      <c r="V771" s="184"/>
    </row>
    <row r="772">
      <c r="B772" s="196"/>
      <c r="C772" s="201"/>
      <c r="D772" s="201"/>
      <c r="E772" s="196"/>
      <c r="F772" s="196"/>
      <c r="G772" s="196"/>
      <c r="H772" s="183"/>
      <c r="V772" s="184"/>
    </row>
    <row r="773">
      <c r="B773" s="196"/>
      <c r="C773" s="201"/>
      <c r="D773" s="201"/>
      <c r="E773" s="196"/>
      <c r="F773" s="196"/>
      <c r="G773" s="196"/>
      <c r="H773" s="183"/>
      <c r="V773" s="184"/>
    </row>
    <row r="774">
      <c r="B774" s="196"/>
      <c r="C774" s="201"/>
      <c r="D774" s="201"/>
      <c r="E774" s="196"/>
      <c r="F774" s="196"/>
      <c r="G774" s="196"/>
      <c r="H774" s="183"/>
      <c r="V774" s="184"/>
    </row>
    <row r="775">
      <c r="B775" s="196"/>
      <c r="C775" s="201"/>
      <c r="D775" s="201"/>
      <c r="E775" s="196"/>
      <c r="F775" s="196"/>
      <c r="G775" s="196"/>
      <c r="H775" s="183"/>
      <c r="V775" s="184"/>
    </row>
    <row r="776">
      <c r="B776" s="196"/>
      <c r="C776" s="201"/>
      <c r="D776" s="201"/>
      <c r="E776" s="196"/>
      <c r="F776" s="196"/>
      <c r="G776" s="196"/>
      <c r="H776" s="183"/>
      <c r="V776" s="184"/>
    </row>
    <row r="777">
      <c r="B777" s="196"/>
      <c r="C777" s="201"/>
      <c r="D777" s="201"/>
      <c r="E777" s="196"/>
      <c r="F777" s="196"/>
      <c r="G777" s="196"/>
      <c r="H777" s="183"/>
      <c r="V777" s="184"/>
    </row>
    <row r="778">
      <c r="B778" s="196"/>
      <c r="C778" s="201"/>
      <c r="D778" s="201"/>
      <c r="E778" s="196"/>
      <c r="F778" s="196"/>
      <c r="G778" s="196"/>
      <c r="H778" s="183"/>
      <c r="V778" s="184"/>
    </row>
    <row r="779">
      <c r="B779" s="196"/>
      <c r="C779" s="201"/>
      <c r="D779" s="201"/>
      <c r="E779" s="196"/>
      <c r="F779" s="196"/>
      <c r="G779" s="196"/>
      <c r="H779" s="183"/>
      <c r="V779" s="184"/>
    </row>
    <row r="780">
      <c r="B780" s="196"/>
      <c r="C780" s="201"/>
      <c r="D780" s="201"/>
      <c r="E780" s="196"/>
      <c r="F780" s="196"/>
      <c r="G780" s="196"/>
      <c r="H780" s="183"/>
      <c r="V780" s="184"/>
    </row>
    <row r="781">
      <c r="B781" s="196"/>
      <c r="C781" s="201"/>
      <c r="D781" s="201"/>
      <c r="E781" s="196"/>
      <c r="F781" s="196"/>
      <c r="G781" s="196"/>
      <c r="H781" s="183"/>
      <c r="V781" s="184"/>
    </row>
    <row r="782">
      <c r="B782" s="196"/>
      <c r="C782" s="201"/>
      <c r="D782" s="201"/>
      <c r="E782" s="196"/>
      <c r="F782" s="196"/>
      <c r="G782" s="196"/>
      <c r="H782" s="183"/>
      <c r="V782" s="184"/>
    </row>
    <row r="783">
      <c r="B783" s="196"/>
      <c r="C783" s="201"/>
      <c r="D783" s="201"/>
      <c r="E783" s="196"/>
      <c r="F783" s="196"/>
      <c r="G783" s="196"/>
      <c r="H783" s="183"/>
      <c r="V783" s="184"/>
    </row>
    <row r="784">
      <c r="B784" s="196"/>
      <c r="C784" s="201"/>
      <c r="D784" s="201"/>
      <c r="E784" s="196"/>
      <c r="F784" s="196"/>
      <c r="G784" s="196"/>
      <c r="H784" s="183"/>
      <c r="V784" s="184"/>
    </row>
    <row r="785">
      <c r="B785" s="196"/>
      <c r="C785" s="201"/>
      <c r="D785" s="201"/>
      <c r="E785" s="196"/>
      <c r="F785" s="196"/>
      <c r="G785" s="196"/>
      <c r="H785" s="183"/>
      <c r="V785" s="184"/>
    </row>
    <row r="786">
      <c r="B786" s="196"/>
      <c r="C786" s="201"/>
      <c r="D786" s="201"/>
      <c r="E786" s="196"/>
      <c r="F786" s="196"/>
      <c r="G786" s="196"/>
      <c r="H786" s="183"/>
      <c r="V786" s="184"/>
    </row>
    <row r="787">
      <c r="B787" s="196"/>
      <c r="C787" s="201"/>
      <c r="D787" s="201"/>
      <c r="E787" s="196"/>
      <c r="F787" s="196"/>
      <c r="G787" s="196"/>
      <c r="H787" s="183"/>
      <c r="V787" s="184"/>
    </row>
    <row r="788">
      <c r="B788" s="196"/>
      <c r="C788" s="201"/>
      <c r="D788" s="201"/>
      <c r="E788" s="196"/>
      <c r="F788" s="196"/>
      <c r="G788" s="196"/>
      <c r="H788" s="183"/>
      <c r="V788" s="184"/>
    </row>
    <row r="789">
      <c r="B789" s="196"/>
      <c r="C789" s="201"/>
      <c r="D789" s="201"/>
      <c r="E789" s="196"/>
      <c r="F789" s="196"/>
      <c r="G789" s="196"/>
      <c r="H789" s="183"/>
      <c r="V789" s="184"/>
    </row>
    <row r="790">
      <c r="B790" s="196"/>
      <c r="C790" s="201"/>
      <c r="D790" s="201"/>
      <c r="E790" s="196"/>
      <c r="F790" s="196"/>
      <c r="G790" s="196"/>
      <c r="H790" s="183"/>
      <c r="V790" s="184"/>
    </row>
    <row r="791">
      <c r="B791" s="196"/>
      <c r="C791" s="201"/>
      <c r="D791" s="201"/>
      <c r="E791" s="196"/>
      <c r="F791" s="196"/>
      <c r="G791" s="196"/>
      <c r="H791" s="183"/>
      <c r="V791" s="184"/>
    </row>
    <row r="792">
      <c r="B792" s="196"/>
      <c r="C792" s="201"/>
      <c r="D792" s="201"/>
      <c r="E792" s="196"/>
      <c r="F792" s="196"/>
      <c r="G792" s="196"/>
      <c r="H792" s="183"/>
      <c r="V792" s="184"/>
    </row>
    <row r="793">
      <c r="B793" s="196"/>
      <c r="C793" s="201"/>
      <c r="D793" s="201"/>
      <c r="E793" s="196"/>
      <c r="F793" s="196"/>
      <c r="G793" s="196"/>
      <c r="H793" s="183"/>
      <c r="V793" s="184"/>
    </row>
    <row r="794">
      <c r="B794" s="196"/>
      <c r="C794" s="201"/>
      <c r="D794" s="201"/>
      <c r="E794" s="196"/>
      <c r="F794" s="196"/>
      <c r="G794" s="196"/>
      <c r="H794" s="183"/>
      <c r="V794" s="184"/>
    </row>
    <row r="795">
      <c r="B795" s="196"/>
      <c r="C795" s="201"/>
      <c r="D795" s="201"/>
      <c r="E795" s="196"/>
      <c r="F795" s="196"/>
      <c r="G795" s="196"/>
      <c r="H795" s="183"/>
      <c r="V795" s="184"/>
    </row>
    <row r="796">
      <c r="B796" s="196"/>
      <c r="C796" s="201"/>
      <c r="D796" s="201"/>
      <c r="E796" s="196"/>
      <c r="F796" s="196"/>
      <c r="G796" s="196"/>
      <c r="H796" s="183"/>
      <c r="V796" s="184"/>
    </row>
    <row r="797">
      <c r="B797" s="196"/>
      <c r="C797" s="201"/>
      <c r="D797" s="201"/>
      <c r="E797" s="196"/>
      <c r="F797" s="196"/>
      <c r="G797" s="196"/>
      <c r="H797" s="183"/>
      <c r="V797" s="184"/>
    </row>
    <row r="798">
      <c r="B798" s="196"/>
      <c r="C798" s="201"/>
      <c r="D798" s="201"/>
      <c r="E798" s="196"/>
      <c r="F798" s="196"/>
      <c r="G798" s="196"/>
      <c r="H798" s="183"/>
      <c r="V798" s="184"/>
    </row>
    <row r="799">
      <c r="B799" s="196"/>
      <c r="C799" s="201"/>
      <c r="D799" s="201"/>
      <c r="E799" s="196"/>
      <c r="F799" s="196"/>
      <c r="G799" s="196"/>
      <c r="H799" s="183"/>
      <c r="V799" s="184"/>
    </row>
    <row r="800">
      <c r="B800" s="196"/>
      <c r="C800" s="201"/>
      <c r="D800" s="201"/>
      <c r="E800" s="196"/>
      <c r="F800" s="196"/>
      <c r="G800" s="196"/>
      <c r="H800" s="183"/>
      <c r="V800" s="184"/>
    </row>
    <row r="801">
      <c r="B801" s="196"/>
      <c r="C801" s="201"/>
      <c r="D801" s="201"/>
      <c r="E801" s="196"/>
      <c r="F801" s="196"/>
      <c r="G801" s="196"/>
      <c r="H801" s="183"/>
      <c r="V801" s="184"/>
    </row>
    <row r="802">
      <c r="B802" s="196"/>
      <c r="C802" s="201"/>
      <c r="D802" s="201"/>
      <c r="E802" s="196"/>
      <c r="F802" s="196"/>
      <c r="G802" s="196"/>
      <c r="H802" s="183"/>
      <c r="V802" s="184"/>
    </row>
    <row r="803">
      <c r="B803" s="196"/>
      <c r="C803" s="201"/>
      <c r="D803" s="201"/>
      <c r="E803" s="196"/>
      <c r="F803" s="196"/>
      <c r="G803" s="196"/>
      <c r="H803" s="183"/>
      <c r="V803" s="184"/>
    </row>
    <row r="804">
      <c r="B804" s="196"/>
      <c r="C804" s="201"/>
      <c r="D804" s="201"/>
      <c r="E804" s="196"/>
      <c r="F804" s="196"/>
      <c r="G804" s="196"/>
      <c r="H804" s="183"/>
      <c r="V804" s="184"/>
    </row>
    <row r="805">
      <c r="B805" s="196"/>
      <c r="C805" s="201"/>
      <c r="D805" s="201"/>
      <c r="E805" s="196"/>
      <c r="F805" s="196"/>
      <c r="G805" s="196"/>
      <c r="H805" s="183"/>
      <c r="V805" s="184"/>
    </row>
    <row r="806">
      <c r="B806" s="196"/>
      <c r="C806" s="201"/>
      <c r="D806" s="201"/>
      <c r="E806" s="196"/>
      <c r="F806" s="196"/>
      <c r="G806" s="196"/>
      <c r="H806" s="183"/>
      <c r="V806" s="184"/>
    </row>
    <row r="807">
      <c r="B807" s="196"/>
      <c r="C807" s="201"/>
      <c r="D807" s="201"/>
      <c r="E807" s="196"/>
      <c r="F807" s="196"/>
      <c r="G807" s="196"/>
      <c r="H807" s="183"/>
      <c r="V807" s="184"/>
    </row>
    <row r="808">
      <c r="B808" s="196"/>
      <c r="C808" s="201"/>
      <c r="D808" s="201"/>
      <c r="E808" s="196"/>
      <c r="F808" s="196"/>
      <c r="G808" s="196"/>
      <c r="H808" s="183"/>
      <c r="V808" s="184"/>
    </row>
    <row r="809">
      <c r="B809" s="196"/>
      <c r="C809" s="201"/>
      <c r="D809" s="201"/>
      <c r="E809" s="196"/>
      <c r="F809" s="196"/>
      <c r="G809" s="196"/>
      <c r="H809" s="183"/>
      <c r="V809" s="184"/>
    </row>
    <row r="810">
      <c r="B810" s="196"/>
      <c r="C810" s="201"/>
      <c r="D810" s="201"/>
      <c r="E810" s="196"/>
      <c r="F810" s="196"/>
      <c r="G810" s="196"/>
      <c r="H810" s="183"/>
      <c r="V810" s="184"/>
    </row>
    <row r="811">
      <c r="B811" s="196"/>
      <c r="C811" s="201"/>
      <c r="D811" s="201"/>
      <c r="E811" s="196"/>
      <c r="F811" s="196"/>
      <c r="G811" s="196"/>
      <c r="H811" s="183"/>
      <c r="V811" s="184"/>
    </row>
    <row r="812">
      <c r="B812" s="196"/>
      <c r="C812" s="201"/>
      <c r="D812" s="201"/>
      <c r="E812" s="196"/>
      <c r="F812" s="196"/>
      <c r="G812" s="196"/>
      <c r="H812" s="183"/>
      <c r="V812" s="184"/>
    </row>
    <row r="813">
      <c r="B813" s="196"/>
      <c r="C813" s="201"/>
      <c r="D813" s="201"/>
      <c r="E813" s="196"/>
      <c r="F813" s="196"/>
      <c r="G813" s="196"/>
      <c r="H813" s="183"/>
      <c r="V813" s="184"/>
    </row>
    <row r="814">
      <c r="B814" s="196"/>
      <c r="C814" s="201"/>
      <c r="D814" s="201"/>
      <c r="E814" s="196"/>
      <c r="F814" s="196"/>
      <c r="G814" s="196"/>
      <c r="H814" s="183"/>
      <c r="V814" s="184"/>
    </row>
    <row r="815">
      <c r="B815" s="196"/>
      <c r="C815" s="201"/>
      <c r="D815" s="201"/>
      <c r="E815" s="196"/>
      <c r="F815" s="196"/>
      <c r="G815" s="196"/>
      <c r="H815" s="183"/>
      <c r="V815" s="184"/>
    </row>
    <row r="816">
      <c r="B816" s="196"/>
      <c r="C816" s="201"/>
      <c r="D816" s="201"/>
      <c r="E816" s="196"/>
      <c r="F816" s="196"/>
      <c r="G816" s="196"/>
      <c r="H816" s="183"/>
      <c r="V816" s="184"/>
    </row>
    <row r="817">
      <c r="B817" s="196"/>
      <c r="C817" s="201"/>
      <c r="D817" s="201"/>
      <c r="E817" s="196"/>
      <c r="F817" s="196"/>
      <c r="G817" s="196"/>
      <c r="H817" s="183"/>
      <c r="V817" s="184"/>
    </row>
    <row r="818">
      <c r="B818" s="196"/>
      <c r="C818" s="201"/>
      <c r="D818" s="201"/>
      <c r="E818" s="196"/>
      <c r="F818" s="196"/>
      <c r="G818" s="196"/>
      <c r="H818" s="183"/>
      <c r="V818" s="184"/>
    </row>
    <row r="819">
      <c r="B819" s="196"/>
      <c r="C819" s="201"/>
      <c r="D819" s="201"/>
      <c r="E819" s="196"/>
      <c r="F819" s="196"/>
      <c r="G819" s="196"/>
      <c r="H819" s="183"/>
      <c r="V819" s="184"/>
    </row>
    <row r="820">
      <c r="B820" s="196"/>
      <c r="C820" s="201"/>
      <c r="D820" s="201"/>
      <c r="E820" s="196"/>
      <c r="F820" s="196"/>
      <c r="G820" s="196"/>
      <c r="H820" s="183"/>
      <c r="V820" s="184"/>
    </row>
    <row r="821">
      <c r="B821" s="196"/>
      <c r="C821" s="201"/>
      <c r="D821" s="201"/>
      <c r="E821" s="196"/>
      <c r="F821" s="196"/>
      <c r="G821" s="196"/>
      <c r="H821" s="183"/>
      <c r="V821" s="184"/>
    </row>
    <row r="822">
      <c r="B822" s="196"/>
      <c r="C822" s="201"/>
      <c r="D822" s="201"/>
      <c r="E822" s="196"/>
      <c r="F822" s="196"/>
      <c r="G822" s="196"/>
      <c r="H822" s="183"/>
      <c r="V822" s="184"/>
    </row>
    <row r="823">
      <c r="B823" s="196"/>
      <c r="C823" s="201"/>
      <c r="D823" s="201"/>
      <c r="E823" s="196"/>
      <c r="F823" s="196"/>
      <c r="G823" s="196"/>
      <c r="H823" s="183"/>
      <c r="V823" s="184"/>
    </row>
    <row r="824">
      <c r="B824" s="196"/>
      <c r="C824" s="201"/>
      <c r="D824" s="201"/>
      <c r="E824" s="196"/>
      <c r="F824" s="196"/>
      <c r="G824" s="196"/>
      <c r="H824" s="183"/>
      <c r="V824" s="184"/>
    </row>
    <row r="825">
      <c r="B825" s="196"/>
      <c r="C825" s="201"/>
      <c r="D825" s="201"/>
      <c r="E825" s="196"/>
      <c r="F825" s="196"/>
      <c r="G825" s="196"/>
      <c r="H825" s="183"/>
      <c r="V825" s="184"/>
    </row>
    <row r="826">
      <c r="B826" s="196"/>
      <c r="C826" s="201"/>
      <c r="D826" s="201"/>
      <c r="E826" s="196"/>
      <c r="F826" s="196"/>
      <c r="G826" s="196"/>
      <c r="H826" s="183"/>
      <c r="V826" s="184"/>
    </row>
    <row r="827">
      <c r="B827" s="196"/>
      <c r="C827" s="201"/>
      <c r="D827" s="201"/>
      <c r="E827" s="196"/>
      <c r="F827" s="196"/>
      <c r="G827" s="196"/>
      <c r="H827" s="183"/>
      <c r="V827" s="184"/>
    </row>
    <row r="828">
      <c r="B828" s="196"/>
      <c r="C828" s="201"/>
      <c r="D828" s="201"/>
      <c r="E828" s="196"/>
      <c r="F828" s="196"/>
      <c r="G828" s="196"/>
      <c r="H828" s="183"/>
      <c r="V828" s="184"/>
    </row>
    <row r="829">
      <c r="B829" s="196"/>
      <c r="C829" s="201"/>
      <c r="D829" s="201"/>
      <c r="E829" s="196"/>
      <c r="F829" s="196"/>
      <c r="G829" s="196"/>
      <c r="H829" s="183"/>
      <c r="V829" s="184"/>
    </row>
    <row r="830">
      <c r="B830" s="196"/>
      <c r="C830" s="201"/>
      <c r="D830" s="201"/>
      <c r="E830" s="196"/>
      <c r="F830" s="196"/>
      <c r="G830" s="196"/>
      <c r="H830" s="183"/>
      <c r="V830" s="184"/>
    </row>
    <row r="831">
      <c r="B831" s="196"/>
      <c r="C831" s="201"/>
      <c r="D831" s="201"/>
      <c r="E831" s="196"/>
      <c r="F831" s="196"/>
      <c r="G831" s="196"/>
      <c r="H831" s="183"/>
      <c r="V831" s="184"/>
    </row>
    <row r="832">
      <c r="B832" s="196"/>
      <c r="C832" s="201"/>
      <c r="D832" s="201"/>
      <c r="E832" s="196"/>
      <c r="F832" s="196"/>
      <c r="G832" s="196"/>
      <c r="H832" s="183"/>
      <c r="V832" s="184"/>
    </row>
    <row r="833">
      <c r="B833" s="196"/>
      <c r="C833" s="201"/>
      <c r="D833" s="201"/>
      <c r="E833" s="196"/>
      <c r="F833" s="196"/>
      <c r="G833" s="196"/>
      <c r="H833" s="183"/>
      <c r="V833" s="184"/>
    </row>
    <row r="834">
      <c r="B834" s="196"/>
      <c r="C834" s="201"/>
      <c r="D834" s="201"/>
      <c r="E834" s="196"/>
      <c r="F834" s="196"/>
      <c r="G834" s="196"/>
      <c r="H834" s="183"/>
      <c r="V834" s="184"/>
    </row>
    <row r="835">
      <c r="B835" s="196"/>
      <c r="C835" s="201"/>
      <c r="D835" s="201"/>
      <c r="E835" s="196"/>
      <c r="F835" s="196"/>
      <c r="G835" s="196"/>
      <c r="H835" s="183"/>
      <c r="V835" s="184"/>
    </row>
    <row r="836">
      <c r="B836" s="196"/>
      <c r="C836" s="201"/>
      <c r="D836" s="201"/>
      <c r="E836" s="196"/>
      <c r="F836" s="196"/>
      <c r="G836" s="196"/>
      <c r="H836" s="183"/>
      <c r="V836" s="184"/>
    </row>
    <row r="837">
      <c r="B837" s="196"/>
      <c r="C837" s="201"/>
      <c r="D837" s="201"/>
      <c r="E837" s="196"/>
      <c r="F837" s="196"/>
      <c r="G837" s="196"/>
      <c r="H837" s="183"/>
      <c r="V837" s="184"/>
    </row>
    <row r="838">
      <c r="B838" s="196"/>
      <c r="C838" s="201"/>
      <c r="D838" s="201"/>
      <c r="E838" s="196"/>
      <c r="F838" s="196"/>
      <c r="G838" s="196"/>
      <c r="H838" s="183"/>
      <c r="V838" s="184"/>
    </row>
    <row r="839">
      <c r="B839" s="196"/>
      <c r="C839" s="201"/>
      <c r="D839" s="201"/>
      <c r="E839" s="196"/>
      <c r="F839" s="196"/>
      <c r="G839" s="196"/>
      <c r="H839" s="183"/>
      <c r="V839" s="184"/>
    </row>
    <row r="840">
      <c r="B840" s="196"/>
      <c r="C840" s="201"/>
      <c r="D840" s="201"/>
      <c r="E840" s="196"/>
      <c r="F840" s="196"/>
      <c r="G840" s="196"/>
      <c r="H840" s="183"/>
      <c r="V840" s="184"/>
    </row>
    <row r="841">
      <c r="B841" s="196"/>
      <c r="C841" s="201"/>
      <c r="D841" s="201"/>
      <c r="E841" s="196"/>
      <c r="F841" s="196"/>
      <c r="G841" s="196"/>
      <c r="H841" s="183"/>
      <c r="V841" s="184"/>
    </row>
    <row r="842">
      <c r="B842" s="196"/>
      <c r="C842" s="201"/>
      <c r="D842" s="201"/>
      <c r="E842" s="196"/>
      <c r="F842" s="196"/>
      <c r="G842" s="196"/>
      <c r="H842" s="183"/>
      <c r="V842" s="184"/>
    </row>
    <row r="843">
      <c r="B843" s="196"/>
      <c r="C843" s="201"/>
      <c r="D843" s="201"/>
      <c r="E843" s="196"/>
      <c r="F843" s="196"/>
      <c r="G843" s="196"/>
      <c r="H843" s="183"/>
      <c r="V843" s="184"/>
    </row>
    <row r="844">
      <c r="B844" s="196"/>
      <c r="C844" s="201"/>
      <c r="D844" s="201"/>
      <c r="E844" s="196"/>
      <c r="F844" s="196"/>
      <c r="G844" s="196"/>
      <c r="H844" s="183"/>
      <c r="V844" s="184"/>
    </row>
    <row r="845">
      <c r="B845" s="196"/>
      <c r="C845" s="201"/>
      <c r="D845" s="201"/>
      <c r="E845" s="196"/>
      <c r="F845" s="196"/>
      <c r="G845" s="196"/>
      <c r="H845" s="183"/>
      <c r="V845" s="184"/>
    </row>
    <row r="846">
      <c r="B846" s="196"/>
      <c r="C846" s="201"/>
      <c r="D846" s="201"/>
      <c r="E846" s="196"/>
      <c r="F846" s="196"/>
      <c r="G846" s="196"/>
      <c r="H846" s="183"/>
      <c r="V846" s="184"/>
    </row>
    <row r="847">
      <c r="B847" s="196"/>
      <c r="C847" s="201"/>
      <c r="D847" s="201"/>
      <c r="E847" s="196"/>
      <c r="F847" s="196"/>
      <c r="G847" s="196"/>
      <c r="H847" s="183"/>
      <c r="V847" s="184"/>
    </row>
    <row r="848">
      <c r="B848" s="196"/>
      <c r="C848" s="201"/>
      <c r="D848" s="201"/>
      <c r="E848" s="196"/>
      <c r="F848" s="196"/>
      <c r="G848" s="196"/>
      <c r="H848" s="183"/>
      <c r="V848" s="184"/>
    </row>
    <row r="849">
      <c r="B849" s="196"/>
      <c r="C849" s="201"/>
      <c r="D849" s="201"/>
      <c r="E849" s="196"/>
      <c r="F849" s="196"/>
      <c r="G849" s="196"/>
      <c r="H849" s="183"/>
      <c r="V849" s="184"/>
    </row>
    <row r="850">
      <c r="B850" s="196"/>
      <c r="C850" s="201"/>
      <c r="D850" s="201"/>
      <c r="E850" s="196"/>
      <c r="F850" s="196"/>
      <c r="G850" s="196"/>
      <c r="H850" s="183"/>
      <c r="V850" s="184"/>
    </row>
    <row r="851">
      <c r="B851" s="196"/>
      <c r="C851" s="201"/>
      <c r="D851" s="201"/>
      <c r="E851" s="196"/>
      <c r="F851" s="196"/>
      <c r="G851" s="196"/>
      <c r="H851" s="183"/>
      <c r="V851" s="184"/>
    </row>
    <row r="852">
      <c r="B852" s="196"/>
      <c r="C852" s="201"/>
      <c r="D852" s="201"/>
      <c r="E852" s="196"/>
      <c r="F852" s="196"/>
      <c r="G852" s="196"/>
      <c r="H852" s="183"/>
      <c r="V852" s="184"/>
    </row>
    <row r="853">
      <c r="B853" s="196"/>
      <c r="C853" s="201"/>
      <c r="D853" s="201"/>
      <c r="E853" s="196"/>
      <c r="F853" s="196"/>
      <c r="G853" s="196"/>
      <c r="H853" s="183"/>
      <c r="V853" s="184"/>
    </row>
    <row r="854">
      <c r="B854" s="196"/>
      <c r="C854" s="201"/>
      <c r="D854" s="201"/>
      <c r="E854" s="196"/>
      <c r="F854" s="196"/>
      <c r="G854" s="196"/>
      <c r="H854" s="183"/>
      <c r="V854" s="184"/>
    </row>
    <row r="855">
      <c r="B855" s="196"/>
      <c r="C855" s="201"/>
      <c r="D855" s="201"/>
      <c r="E855" s="196"/>
      <c r="F855" s="196"/>
      <c r="G855" s="196"/>
      <c r="H855" s="183"/>
      <c r="V855" s="184"/>
    </row>
    <row r="856">
      <c r="B856" s="196"/>
      <c r="C856" s="201"/>
      <c r="D856" s="201"/>
      <c r="E856" s="196"/>
      <c r="F856" s="196"/>
      <c r="G856" s="196"/>
      <c r="H856" s="183"/>
      <c r="V856" s="184"/>
    </row>
    <row r="857">
      <c r="B857" s="196"/>
      <c r="C857" s="201"/>
      <c r="D857" s="201"/>
      <c r="E857" s="196"/>
      <c r="F857" s="196"/>
      <c r="G857" s="196"/>
      <c r="H857" s="183"/>
      <c r="V857" s="184"/>
    </row>
    <row r="858">
      <c r="B858" s="196"/>
      <c r="C858" s="201"/>
      <c r="D858" s="201"/>
      <c r="E858" s="196"/>
      <c r="F858" s="196"/>
      <c r="G858" s="196"/>
      <c r="H858" s="183"/>
      <c r="V858" s="184"/>
    </row>
    <row r="859">
      <c r="B859" s="196"/>
      <c r="C859" s="201"/>
      <c r="D859" s="201"/>
      <c r="E859" s="196"/>
      <c r="F859" s="196"/>
      <c r="G859" s="196"/>
      <c r="H859" s="183"/>
      <c r="V859" s="184"/>
    </row>
    <row r="860">
      <c r="B860" s="196"/>
      <c r="C860" s="201"/>
      <c r="D860" s="201"/>
      <c r="E860" s="196"/>
      <c r="F860" s="196"/>
      <c r="G860" s="196"/>
      <c r="H860" s="183"/>
      <c r="V860" s="184"/>
    </row>
    <row r="861">
      <c r="B861" s="196"/>
      <c r="C861" s="201"/>
      <c r="D861" s="201"/>
      <c r="E861" s="196"/>
      <c r="F861" s="196"/>
      <c r="G861" s="196"/>
      <c r="H861" s="183"/>
      <c r="V861" s="184"/>
    </row>
    <row r="862">
      <c r="B862" s="196"/>
      <c r="C862" s="201"/>
      <c r="D862" s="201"/>
      <c r="E862" s="196"/>
      <c r="F862" s="196"/>
      <c r="G862" s="196"/>
      <c r="H862" s="183"/>
      <c r="V862" s="184"/>
    </row>
    <row r="863">
      <c r="B863" s="196"/>
      <c r="C863" s="201"/>
      <c r="D863" s="201"/>
      <c r="E863" s="196"/>
      <c r="F863" s="196"/>
      <c r="G863" s="196"/>
      <c r="H863" s="183"/>
      <c r="V863" s="184"/>
    </row>
    <row r="864">
      <c r="B864" s="196"/>
      <c r="C864" s="201"/>
      <c r="D864" s="201"/>
      <c r="E864" s="196"/>
      <c r="F864" s="196"/>
      <c r="G864" s="196"/>
      <c r="H864" s="183"/>
      <c r="V864" s="184"/>
    </row>
    <row r="865">
      <c r="B865" s="196"/>
      <c r="C865" s="201"/>
      <c r="D865" s="201"/>
      <c r="E865" s="196"/>
      <c r="F865" s="196"/>
      <c r="G865" s="196"/>
      <c r="H865" s="183"/>
      <c r="V865" s="184"/>
    </row>
    <row r="866">
      <c r="B866" s="196"/>
      <c r="C866" s="201"/>
      <c r="D866" s="201"/>
      <c r="E866" s="196"/>
      <c r="F866" s="196"/>
      <c r="G866" s="196"/>
      <c r="H866" s="183"/>
      <c r="V866" s="184"/>
    </row>
    <row r="867">
      <c r="B867" s="196"/>
      <c r="C867" s="201"/>
      <c r="D867" s="201"/>
      <c r="E867" s="196"/>
      <c r="F867" s="196"/>
      <c r="G867" s="196"/>
      <c r="H867" s="183"/>
      <c r="V867" s="184"/>
    </row>
    <row r="868">
      <c r="B868" s="196"/>
      <c r="C868" s="201"/>
      <c r="D868" s="201"/>
      <c r="E868" s="196"/>
      <c r="F868" s="196"/>
      <c r="G868" s="196"/>
      <c r="H868" s="183"/>
      <c r="V868" s="184"/>
    </row>
    <row r="869">
      <c r="B869" s="196"/>
      <c r="C869" s="201"/>
      <c r="D869" s="201"/>
      <c r="E869" s="196"/>
      <c r="F869" s="196"/>
      <c r="G869" s="196"/>
      <c r="H869" s="183"/>
      <c r="V869" s="184"/>
    </row>
    <row r="870">
      <c r="B870" s="196"/>
      <c r="C870" s="201"/>
      <c r="D870" s="201"/>
      <c r="E870" s="196"/>
      <c r="F870" s="196"/>
      <c r="G870" s="196"/>
      <c r="H870" s="183"/>
      <c r="V870" s="184"/>
    </row>
    <row r="871">
      <c r="B871" s="196"/>
      <c r="C871" s="201"/>
      <c r="D871" s="201"/>
      <c r="E871" s="196"/>
      <c r="F871" s="196"/>
      <c r="G871" s="196"/>
      <c r="H871" s="183"/>
      <c r="V871" s="184"/>
    </row>
    <row r="872">
      <c r="B872" s="196"/>
      <c r="C872" s="201"/>
      <c r="D872" s="201"/>
      <c r="E872" s="196"/>
      <c r="F872" s="196"/>
      <c r="G872" s="196"/>
      <c r="H872" s="183"/>
      <c r="V872" s="184"/>
    </row>
    <row r="873">
      <c r="B873" s="196"/>
      <c r="C873" s="201"/>
      <c r="D873" s="201"/>
      <c r="E873" s="196"/>
      <c r="F873" s="196"/>
      <c r="G873" s="196"/>
      <c r="H873" s="183"/>
      <c r="V873" s="184"/>
    </row>
    <row r="874">
      <c r="B874" s="196"/>
      <c r="C874" s="201"/>
      <c r="D874" s="201"/>
      <c r="E874" s="196"/>
      <c r="F874" s="196"/>
      <c r="G874" s="196"/>
      <c r="H874" s="183"/>
      <c r="V874" s="184"/>
    </row>
    <row r="875">
      <c r="B875" s="196"/>
      <c r="C875" s="201"/>
      <c r="D875" s="201"/>
      <c r="E875" s="196"/>
      <c r="F875" s="196"/>
      <c r="G875" s="196"/>
      <c r="H875" s="183"/>
      <c r="V875" s="184"/>
    </row>
    <row r="876">
      <c r="B876" s="196"/>
      <c r="C876" s="201"/>
      <c r="D876" s="201"/>
      <c r="E876" s="196"/>
      <c r="F876" s="196"/>
      <c r="G876" s="196"/>
      <c r="H876" s="183"/>
      <c r="V876" s="184"/>
    </row>
    <row r="877">
      <c r="B877" s="196"/>
      <c r="C877" s="201"/>
      <c r="D877" s="201"/>
      <c r="E877" s="196"/>
      <c r="F877" s="196"/>
      <c r="G877" s="196"/>
      <c r="H877" s="183"/>
      <c r="V877" s="184"/>
    </row>
    <row r="878">
      <c r="B878" s="196"/>
      <c r="C878" s="201"/>
      <c r="D878" s="201"/>
      <c r="E878" s="196"/>
      <c r="F878" s="196"/>
      <c r="G878" s="196"/>
      <c r="H878" s="183"/>
      <c r="V878" s="184"/>
    </row>
    <row r="879">
      <c r="B879" s="196"/>
      <c r="C879" s="201"/>
      <c r="D879" s="201"/>
      <c r="E879" s="196"/>
      <c r="F879" s="196"/>
      <c r="G879" s="196"/>
      <c r="H879" s="183"/>
      <c r="V879" s="184"/>
    </row>
    <row r="880">
      <c r="B880" s="196"/>
      <c r="C880" s="201"/>
      <c r="D880" s="201"/>
      <c r="E880" s="196"/>
      <c r="F880" s="196"/>
      <c r="G880" s="196"/>
      <c r="H880" s="183"/>
      <c r="V880" s="184"/>
    </row>
    <row r="881">
      <c r="B881" s="196"/>
      <c r="C881" s="201"/>
      <c r="D881" s="201"/>
      <c r="E881" s="196"/>
      <c r="F881" s="196"/>
      <c r="G881" s="196"/>
      <c r="H881" s="183"/>
      <c r="V881" s="184"/>
    </row>
    <row r="882">
      <c r="B882" s="196"/>
      <c r="C882" s="201"/>
      <c r="D882" s="201"/>
      <c r="E882" s="196"/>
      <c r="F882" s="196"/>
      <c r="G882" s="196"/>
      <c r="H882" s="183"/>
      <c r="V882" s="184"/>
    </row>
    <row r="883">
      <c r="B883" s="196"/>
      <c r="C883" s="201"/>
      <c r="D883" s="201"/>
      <c r="E883" s="196"/>
      <c r="F883" s="196"/>
      <c r="G883" s="196"/>
      <c r="H883" s="183"/>
      <c r="V883" s="184"/>
    </row>
    <row r="884">
      <c r="B884" s="196"/>
      <c r="C884" s="201"/>
      <c r="D884" s="201"/>
      <c r="E884" s="196"/>
      <c r="F884" s="196"/>
      <c r="G884" s="196"/>
      <c r="H884" s="183"/>
      <c r="V884" s="184"/>
    </row>
    <row r="885">
      <c r="B885" s="196"/>
      <c r="C885" s="201"/>
      <c r="D885" s="201"/>
      <c r="E885" s="196"/>
      <c r="F885" s="196"/>
      <c r="G885" s="196"/>
      <c r="H885" s="183"/>
      <c r="V885" s="184"/>
    </row>
    <row r="886">
      <c r="B886" s="196"/>
      <c r="C886" s="201"/>
      <c r="D886" s="201"/>
      <c r="E886" s="196"/>
      <c r="F886" s="196"/>
      <c r="G886" s="196"/>
      <c r="H886" s="183"/>
      <c r="V886" s="184"/>
    </row>
    <row r="887">
      <c r="B887" s="196"/>
      <c r="C887" s="201"/>
      <c r="D887" s="201"/>
      <c r="E887" s="196"/>
      <c r="F887" s="196"/>
      <c r="G887" s="196"/>
      <c r="H887" s="183"/>
      <c r="V887" s="184"/>
    </row>
    <row r="888">
      <c r="B888" s="196"/>
      <c r="C888" s="201"/>
      <c r="D888" s="201"/>
      <c r="E888" s="196"/>
      <c r="F888" s="196"/>
      <c r="G888" s="196"/>
      <c r="H888" s="183"/>
      <c r="V888" s="184"/>
    </row>
    <row r="889">
      <c r="B889" s="196"/>
      <c r="C889" s="201"/>
      <c r="D889" s="201"/>
      <c r="E889" s="196"/>
      <c r="F889" s="196"/>
      <c r="G889" s="196"/>
      <c r="H889" s="183"/>
      <c r="V889" s="184"/>
    </row>
    <row r="890">
      <c r="B890" s="196"/>
      <c r="C890" s="201"/>
      <c r="D890" s="201"/>
      <c r="E890" s="196"/>
      <c r="F890" s="196"/>
      <c r="G890" s="196"/>
      <c r="H890" s="183"/>
      <c r="V890" s="184"/>
    </row>
    <row r="891">
      <c r="B891" s="196"/>
      <c r="C891" s="201"/>
      <c r="D891" s="201"/>
      <c r="E891" s="196"/>
      <c r="F891" s="196"/>
      <c r="G891" s="196"/>
      <c r="H891" s="183"/>
      <c r="V891" s="184"/>
    </row>
    <row r="892">
      <c r="B892" s="196"/>
      <c r="C892" s="201"/>
      <c r="D892" s="201"/>
      <c r="E892" s="196"/>
      <c r="F892" s="196"/>
      <c r="G892" s="196"/>
      <c r="H892" s="183"/>
      <c r="V892" s="184"/>
    </row>
    <row r="893">
      <c r="B893" s="196"/>
      <c r="C893" s="201"/>
      <c r="D893" s="201"/>
      <c r="E893" s="196"/>
      <c r="F893" s="196"/>
      <c r="G893" s="196"/>
      <c r="H893" s="183"/>
      <c r="V893" s="184"/>
    </row>
    <row r="894">
      <c r="B894" s="196"/>
      <c r="C894" s="201"/>
      <c r="D894" s="201"/>
      <c r="E894" s="196"/>
      <c r="F894" s="196"/>
      <c r="G894" s="196"/>
      <c r="H894" s="183"/>
      <c r="V894" s="184"/>
    </row>
    <row r="895">
      <c r="B895" s="196"/>
      <c r="C895" s="201"/>
      <c r="D895" s="201"/>
      <c r="E895" s="196"/>
      <c r="F895" s="196"/>
      <c r="G895" s="196"/>
      <c r="H895" s="183"/>
      <c r="V895" s="184"/>
    </row>
    <row r="896">
      <c r="B896" s="196"/>
      <c r="C896" s="201"/>
      <c r="D896" s="201"/>
      <c r="E896" s="196"/>
      <c r="F896" s="196"/>
      <c r="G896" s="196"/>
      <c r="H896" s="183"/>
      <c r="V896" s="184"/>
    </row>
    <row r="897">
      <c r="B897" s="196"/>
      <c r="C897" s="201"/>
      <c r="D897" s="201"/>
      <c r="E897" s="196"/>
      <c r="F897" s="196"/>
      <c r="G897" s="196"/>
      <c r="H897" s="183"/>
      <c r="V897" s="184"/>
    </row>
    <row r="898">
      <c r="B898" s="196"/>
      <c r="C898" s="201"/>
      <c r="D898" s="201"/>
      <c r="E898" s="196"/>
      <c r="F898" s="196"/>
      <c r="G898" s="196"/>
      <c r="H898" s="183"/>
      <c r="V898" s="184"/>
    </row>
    <row r="899">
      <c r="B899" s="196"/>
      <c r="C899" s="201"/>
      <c r="D899" s="201"/>
      <c r="E899" s="196"/>
      <c r="F899" s="196"/>
      <c r="G899" s="196"/>
      <c r="H899" s="183"/>
      <c r="V899" s="184"/>
    </row>
    <row r="900">
      <c r="B900" s="196"/>
      <c r="C900" s="201"/>
      <c r="D900" s="201"/>
      <c r="E900" s="196"/>
      <c r="F900" s="196"/>
      <c r="G900" s="196"/>
      <c r="H900" s="183"/>
      <c r="V900" s="184"/>
    </row>
    <row r="901">
      <c r="B901" s="196"/>
      <c r="C901" s="201"/>
      <c r="D901" s="201"/>
      <c r="E901" s="196"/>
      <c r="F901" s="196"/>
      <c r="G901" s="196"/>
      <c r="H901" s="183"/>
      <c r="V901" s="184"/>
    </row>
    <row r="902">
      <c r="B902" s="196"/>
      <c r="C902" s="201"/>
      <c r="D902" s="201"/>
      <c r="E902" s="196"/>
      <c r="F902" s="196"/>
      <c r="G902" s="196"/>
      <c r="H902" s="183"/>
      <c r="V902" s="184"/>
    </row>
    <row r="903">
      <c r="B903" s="196"/>
      <c r="C903" s="201"/>
      <c r="D903" s="201"/>
      <c r="E903" s="196"/>
      <c r="F903" s="196"/>
      <c r="G903" s="196"/>
      <c r="H903" s="183"/>
      <c r="V903" s="184"/>
    </row>
    <row r="904">
      <c r="B904" s="196"/>
      <c r="C904" s="201"/>
      <c r="D904" s="201"/>
      <c r="E904" s="196"/>
      <c r="F904" s="196"/>
      <c r="G904" s="196"/>
      <c r="H904" s="183"/>
      <c r="V904" s="184"/>
    </row>
    <row r="905">
      <c r="B905" s="196"/>
      <c r="C905" s="201"/>
      <c r="D905" s="201"/>
      <c r="E905" s="196"/>
      <c r="F905" s="196"/>
      <c r="G905" s="196"/>
      <c r="H905" s="183"/>
      <c r="V905" s="184"/>
    </row>
    <row r="906">
      <c r="B906" s="196"/>
      <c r="C906" s="201"/>
      <c r="D906" s="201"/>
      <c r="E906" s="196"/>
      <c r="F906" s="196"/>
      <c r="G906" s="196"/>
      <c r="H906" s="183"/>
      <c r="V906" s="184"/>
    </row>
    <row r="907">
      <c r="B907" s="196"/>
      <c r="C907" s="201"/>
      <c r="D907" s="201"/>
      <c r="E907" s="196"/>
      <c r="F907" s="196"/>
      <c r="G907" s="196"/>
      <c r="H907" s="183"/>
      <c r="V907" s="184"/>
    </row>
    <row r="908">
      <c r="B908" s="196"/>
      <c r="C908" s="201"/>
      <c r="D908" s="201"/>
      <c r="E908" s="196"/>
      <c r="F908" s="196"/>
      <c r="G908" s="196"/>
      <c r="H908" s="183"/>
      <c r="V908" s="184"/>
    </row>
    <row r="909">
      <c r="B909" s="196"/>
      <c r="C909" s="201"/>
      <c r="D909" s="201"/>
      <c r="E909" s="196"/>
      <c r="F909" s="196"/>
      <c r="G909" s="196"/>
      <c r="H909" s="183"/>
      <c r="V909" s="184"/>
    </row>
    <row r="910">
      <c r="B910" s="196"/>
      <c r="C910" s="201"/>
      <c r="D910" s="201"/>
      <c r="E910" s="196"/>
      <c r="F910" s="196"/>
      <c r="G910" s="196"/>
      <c r="H910" s="183"/>
      <c r="V910" s="184"/>
    </row>
    <row r="911">
      <c r="B911" s="196"/>
      <c r="C911" s="201"/>
      <c r="D911" s="201"/>
      <c r="E911" s="196"/>
      <c r="F911" s="196"/>
      <c r="G911" s="196"/>
      <c r="H911" s="183"/>
      <c r="V911" s="184"/>
    </row>
    <row r="912">
      <c r="B912" s="196"/>
      <c r="C912" s="201"/>
      <c r="D912" s="201"/>
      <c r="E912" s="196"/>
      <c r="F912" s="196"/>
      <c r="G912" s="196"/>
      <c r="H912" s="183"/>
      <c r="V912" s="184"/>
    </row>
    <row r="913">
      <c r="B913" s="196"/>
      <c r="C913" s="201"/>
      <c r="D913" s="201"/>
      <c r="E913" s="196"/>
      <c r="F913" s="196"/>
      <c r="G913" s="196"/>
      <c r="H913" s="183"/>
      <c r="V913" s="184"/>
    </row>
    <row r="914">
      <c r="B914" s="196"/>
      <c r="C914" s="201"/>
      <c r="D914" s="201"/>
      <c r="E914" s="196"/>
      <c r="F914" s="196"/>
      <c r="G914" s="196"/>
      <c r="H914" s="183"/>
      <c r="V914" s="184"/>
    </row>
    <row r="915">
      <c r="B915" s="196"/>
      <c r="C915" s="201"/>
      <c r="D915" s="201"/>
      <c r="E915" s="196"/>
      <c r="F915" s="196"/>
      <c r="G915" s="196"/>
      <c r="H915" s="183"/>
      <c r="V915" s="184"/>
    </row>
    <row r="916">
      <c r="B916" s="196"/>
      <c r="C916" s="201"/>
      <c r="D916" s="201"/>
      <c r="E916" s="196"/>
      <c r="F916" s="196"/>
      <c r="G916" s="196"/>
      <c r="H916" s="183"/>
      <c r="V916" s="184"/>
    </row>
    <row r="917">
      <c r="B917" s="196"/>
      <c r="C917" s="201"/>
      <c r="D917" s="201"/>
      <c r="E917" s="196"/>
      <c r="F917" s="196"/>
      <c r="G917" s="196"/>
      <c r="H917" s="183"/>
      <c r="V917" s="184"/>
    </row>
    <row r="918">
      <c r="B918" s="196"/>
      <c r="C918" s="201"/>
      <c r="D918" s="201"/>
      <c r="E918" s="196"/>
      <c r="F918" s="196"/>
      <c r="G918" s="196"/>
      <c r="H918" s="183"/>
      <c r="V918" s="184"/>
    </row>
    <row r="919">
      <c r="B919" s="196"/>
      <c r="C919" s="201"/>
      <c r="D919" s="201"/>
      <c r="E919" s="196"/>
      <c r="F919" s="196"/>
      <c r="G919" s="196"/>
      <c r="H919" s="183"/>
      <c r="V919" s="184"/>
    </row>
    <row r="920">
      <c r="B920" s="196"/>
      <c r="C920" s="201"/>
      <c r="D920" s="201"/>
      <c r="E920" s="196"/>
      <c r="F920" s="196"/>
      <c r="G920" s="196"/>
      <c r="H920" s="183"/>
      <c r="V920" s="184"/>
    </row>
    <row r="921">
      <c r="B921" s="196"/>
      <c r="C921" s="201"/>
      <c r="D921" s="201"/>
      <c r="E921" s="196"/>
      <c r="F921" s="196"/>
      <c r="G921" s="196"/>
      <c r="H921" s="183"/>
      <c r="V921" s="184"/>
    </row>
    <row r="922">
      <c r="B922" s="196"/>
      <c r="C922" s="201"/>
      <c r="D922" s="201"/>
      <c r="E922" s="196"/>
      <c r="F922" s="196"/>
      <c r="G922" s="196"/>
      <c r="H922" s="183"/>
      <c r="V922" s="184"/>
    </row>
    <row r="923">
      <c r="B923" s="196"/>
      <c r="C923" s="201"/>
      <c r="D923" s="201"/>
      <c r="E923" s="196"/>
      <c r="F923" s="196"/>
      <c r="G923" s="196"/>
      <c r="H923" s="183"/>
      <c r="V923" s="184"/>
    </row>
    <row r="924">
      <c r="B924" s="196"/>
      <c r="C924" s="201"/>
      <c r="D924" s="201"/>
      <c r="E924" s="196"/>
      <c r="F924" s="196"/>
      <c r="G924" s="196"/>
      <c r="H924" s="183"/>
      <c r="V924" s="184"/>
    </row>
    <row r="925">
      <c r="B925" s="196"/>
      <c r="C925" s="201"/>
      <c r="D925" s="201"/>
      <c r="E925" s="196"/>
      <c r="F925" s="196"/>
      <c r="G925" s="196"/>
      <c r="H925" s="183"/>
      <c r="V925" s="184"/>
    </row>
    <row r="926">
      <c r="B926" s="196"/>
      <c r="C926" s="201"/>
      <c r="D926" s="201"/>
      <c r="E926" s="196"/>
      <c r="F926" s="196"/>
      <c r="G926" s="196"/>
      <c r="H926" s="183"/>
      <c r="V926" s="184"/>
    </row>
    <row r="927">
      <c r="B927" s="196"/>
      <c r="C927" s="201"/>
      <c r="D927" s="201"/>
      <c r="E927" s="196"/>
      <c r="F927" s="196"/>
      <c r="G927" s="196"/>
      <c r="H927" s="183"/>
      <c r="V927" s="184"/>
    </row>
    <row r="928">
      <c r="B928" s="196"/>
      <c r="C928" s="201"/>
      <c r="D928" s="201"/>
      <c r="E928" s="196"/>
      <c r="F928" s="196"/>
      <c r="G928" s="196"/>
      <c r="H928" s="183"/>
      <c r="V928" s="184"/>
    </row>
    <row r="929">
      <c r="B929" s="196"/>
      <c r="C929" s="201"/>
      <c r="D929" s="201"/>
      <c r="E929" s="196"/>
      <c r="F929" s="196"/>
      <c r="G929" s="196"/>
      <c r="H929" s="183"/>
      <c r="V929" s="184"/>
    </row>
    <row r="930">
      <c r="B930" s="196"/>
      <c r="C930" s="201"/>
      <c r="D930" s="201"/>
      <c r="E930" s="196"/>
      <c r="F930" s="196"/>
      <c r="G930" s="196"/>
      <c r="H930" s="183"/>
      <c r="V930" s="184"/>
    </row>
    <row r="931">
      <c r="B931" s="196"/>
      <c r="C931" s="201"/>
      <c r="D931" s="201"/>
      <c r="E931" s="196"/>
      <c r="F931" s="196"/>
      <c r="G931" s="196"/>
      <c r="H931" s="183"/>
      <c r="V931" s="184"/>
    </row>
    <row r="932">
      <c r="B932" s="196"/>
      <c r="C932" s="201"/>
      <c r="D932" s="201"/>
      <c r="E932" s="196"/>
      <c r="F932" s="196"/>
      <c r="G932" s="196"/>
      <c r="H932" s="183"/>
      <c r="V932" s="184"/>
    </row>
    <row r="933">
      <c r="B933" s="196"/>
      <c r="C933" s="201"/>
      <c r="D933" s="201"/>
      <c r="E933" s="196"/>
      <c r="F933" s="196"/>
      <c r="G933" s="196"/>
      <c r="H933" s="183"/>
      <c r="V933" s="184"/>
    </row>
    <row r="934">
      <c r="B934" s="196"/>
      <c r="C934" s="201"/>
      <c r="D934" s="201"/>
      <c r="E934" s="196"/>
      <c r="F934" s="196"/>
      <c r="G934" s="196"/>
      <c r="H934" s="183"/>
      <c r="V934" s="184"/>
    </row>
    <row r="935">
      <c r="B935" s="196"/>
      <c r="C935" s="201"/>
      <c r="D935" s="201"/>
      <c r="E935" s="196"/>
      <c r="F935" s="196"/>
      <c r="G935" s="196"/>
      <c r="H935" s="183"/>
      <c r="V935" s="184"/>
    </row>
    <row r="936">
      <c r="B936" s="196"/>
      <c r="C936" s="201"/>
      <c r="D936" s="201"/>
      <c r="E936" s="196"/>
      <c r="F936" s="196"/>
      <c r="G936" s="196"/>
      <c r="H936" s="183"/>
      <c r="V936" s="184"/>
    </row>
    <row r="937">
      <c r="B937" s="196"/>
      <c r="C937" s="201"/>
      <c r="D937" s="201"/>
      <c r="E937" s="196"/>
      <c r="F937" s="196"/>
      <c r="G937" s="196"/>
      <c r="H937" s="183"/>
      <c r="V937" s="184"/>
    </row>
    <row r="938">
      <c r="B938" s="196"/>
      <c r="C938" s="201"/>
      <c r="D938" s="201"/>
      <c r="E938" s="196"/>
      <c r="F938" s="196"/>
      <c r="G938" s="196"/>
      <c r="H938" s="183"/>
      <c r="V938" s="184"/>
    </row>
    <row r="939">
      <c r="B939" s="196"/>
      <c r="C939" s="201"/>
      <c r="D939" s="201"/>
      <c r="E939" s="196"/>
      <c r="F939" s="196"/>
      <c r="G939" s="196"/>
      <c r="H939" s="183"/>
      <c r="V939" s="184"/>
    </row>
    <row r="940">
      <c r="B940" s="196"/>
      <c r="C940" s="201"/>
      <c r="D940" s="201"/>
      <c r="E940" s="196"/>
      <c r="F940" s="196"/>
      <c r="G940" s="196"/>
      <c r="H940" s="183"/>
      <c r="V940" s="184"/>
    </row>
    <row r="941">
      <c r="B941" s="196"/>
      <c r="C941" s="201"/>
      <c r="D941" s="201"/>
      <c r="E941" s="196"/>
      <c r="F941" s="196"/>
      <c r="G941" s="196"/>
      <c r="H941" s="183"/>
      <c r="V941" s="184"/>
    </row>
    <row r="942">
      <c r="B942" s="196"/>
      <c r="C942" s="201"/>
      <c r="D942" s="201"/>
      <c r="E942" s="196"/>
      <c r="F942" s="196"/>
      <c r="G942" s="196"/>
      <c r="H942" s="183"/>
      <c r="V942" s="184"/>
    </row>
    <row r="943">
      <c r="B943" s="196"/>
      <c r="C943" s="201"/>
      <c r="D943" s="201"/>
      <c r="E943" s="196"/>
      <c r="F943" s="196"/>
      <c r="G943" s="196"/>
      <c r="H943" s="183"/>
      <c r="V943" s="184"/>
    </row>
    <row r="944">
      <c r="B944" s="196"/>
      <c r="C944" s="201"/>
      <c r="D944" s="201"/>
      <c r="E944" s="196"/>
      <c r="F944" s="196"/>
      <c r="G944" s="196"/>
      <c r="H944" s="183"/>
      <c r="V944" s="184"/>
    </row>
    <row r="945">
      <c r="B945" s="196"/>
      <c r="C945" s="201"/>
      <c r="D945" s="201"/>
      <c r="E945" s="196"/>
      <c r="F945" s="196"/>
      <c r="G945" s="196"/>
      <c r="H945" s="183"/>
      <c r="V945" s="184"/>
    </row>
    <row r="946">
      <c r="B946" s="196"/>
      <c r="C946" s="201"/>
      <c r="D946" s="201"/>
      <c r="E946" s="196"/>
      <c r="F946" s="196"/>
      <c r="G946" s="196"/>
      <c r="H946" s="183"/>
      <c r="V946" s="184"/>
    </row>
    <row r="947">
      <c r="B947" s="196"/>
      <c r="C947" s="201"/>
      <c r="D947" s="201"/>
      <c r="E947" s="196"/>
      <c r="F947" s="196"/>
      <c r="G947" s="196"/>
      <c r="H947" s="183"/>
      <c r="V947" s="184"/>
    </row>
    <row r="948">
      <c r="B948" s="196"/>
      <c r="C948" s="201"/>
      <c r="D948" s="201"/>
      <c r="E948" s="196"/>
      <c r="F948" s="196"/>
      <c r="G948" s="196"/>
      <c r="H948" s="183"/>
      <c r="V948" s="184"/>
    </row>
    <row r="949">
      <c r="B949" s="196"/>
      <c r="C949" s="201"/>
      <c r="D949" s="201"/>
      <c r="E949" s="196"/>
      <c r="F949" s="196"/>
      <c r="G949" s="196"/>
      <c r="H949" s="183"/>
      <c r="V949" s="184"/>
    </row>
    <row r="950">
      <c r="B950" s="196"/>
      <c r="C950" s="201"/>
      <c r="D950" s="201"/>
      <c r="E950" s="196"/>
      <c r="F950" s="196"/>
      <c r="G950" s="196"/>
      <c r="H950" s="183"/>
      <c r="V950" s="184"/>
    </row>
    <row r="951">
      <c r="B951" s="196"/>
      <c r="C951" s="201"/>
      <c r="D951" s="201"/>
      <c r="E951" s="196"/>
      <c r="F951" s="196"/>
      <c r="G951" s="196"/>
      <c r="H951" s="183"/>
      <c r="V951" s="184"/>
    </row>
    <row r="952">
      <c r="B952" s="196"/>
      <c r="C952" s="201"/>
      <c r="D952" s="201"/>
      <c r="E952" s="196"/>
      <c r="F952" s="196"/>
      <c r="G952" s="196"/>
      <c r="H952" s="183"/>
      <c r="V952" s="184"/>
    </row>
    <row r="953">
      <c r="B953" s="196"/>
      <c r="C953" s="201"/>
      <c r="D953" s="201"/>
      <c r="E953" s="196"/>
      <c r="F953" s="196"/>
      <c r="G953" s="196"/>
      <c r="H953" s="183"/>
      <c r="V953" s="184"/>
    </row>
    <row r="954">
      <c r="B954" s="196"/>
      <c r="C954" s="201"/>
      <c r="D954" s="201"/>
      <c r="E954" s="196"/>
      <c r="F954" s="196"/>
      <c r="G954" s="196"/>
      <c r="H954" s="183"/>
      <c r="V954" s="184"/>
    </row>
    <row r="955">
      <c r="B955" s="196"/>
      <c r="C955" s="201"/>
      <c r="D955" s="201"/>
      <c r="E955" s="196"/>
      <c r="F955" s="196"/>
      <c r="G955" s="196"/>
      <c r="H955" s="183"/>
      <c r="V955" s="184"/>
    </row>
    <row r="956">
      <c r="B956" s="196"/>
      <c r="C956" s="201"/>
      <c r="D956" s="201"/>
      <c r="E956" s="196"/>
      <c r="F956" s="196"/>
      <c r="G956" s="196"/>
      <c r="H956" s="183"/>
      <c r="V956" s="184"/>
    </row>
    <row r="957">
      <c r="B957" s="196"/>
      <c r="C957" s="201"/>
      <c r="D957" s="201"/>
      <c r="E957" s="196"/>
      <c r="F957" s="196"/>
      <c r="G957" s="196"/>
      <c r="H957" s="183"/>
      <c r="V957" s="184"/>
    </row>
    <row r="958">
      <c r="B958" s="196"/>
      <c r="C958" s="201"/>
      <c r="D958" s="201"/>
      <c r="E958" s="196"/>
      <c r="F958" s="196"/>
      <c r="G958" s="196"/>
      <c r="H958" s="183"/>
      <c r="V958" s="184"/>
    </row>
    <row r="959">
      <c r="B959" s="196"/>
      <c r="C959" s="201"/>
      <c r="D959" s="201"/>
      <c r="E959" s="196"/>
      <c r="F959" s="196"/>
      <c r="G959" s="196"/>
      <c r="H959" s="183"/>
      <c r="V959" s="184"/>
    </row>
    <row r="960">
      <c r="B960" s="196"/>
      <c r="C960" s="201"/>
      <c r="D960" s="201"/>
      <c r="E960" s="196"/>
      <c r="F960" s="196"/>
      <c r="G960" s="196"/>
      <c r="H960" s="183"/>
      <c r="V960" s="184"/>
    </row>
    <row r="961">
      <c r="B961" s="196"/>
      <c r="C961" s="201"/>
      <c r="D961" s="201"/>
      <c r="E961" s="196"/>
      <c r="F961" s="196"/>
      <c r="G961" s="196"/>
      <c r="H961" s="183"/>
      <c r="V961" s="184"/>
    </row>
    <row r="962">
      <c r="B962" s="196"/>
      <c r="C962" s="201"/>
      <c r="D962" s="201"/>
      <c r="E962" s="196"/>
      <c r="F962" s="196"/>
      <c r="G962" s="196"/>
      <c r="H962" s="183"/>
      <c r="V962" s="184"/>
    </row>
    <row r="963">
      <c r="B963" s="196"/>
      <c r="C963" s="201"/>
      <c r="D963" s="201"/>
      <c r="E963" s="196"/>
      <c r="F963" s="196"/>
      <c r="G963" s="196"/>
      <c r="H963" s="183"/>
      <c r="V963" s="184"/>
    </row>
    <row r="964">
      <c r="B964" s="196"/>
      <c r="C964" s="201"/>
      <c r="D964" s="201"/>
      <c r="E964" s="196"/>
      <c r="F964" s="196"/>
      <c r="G964" s="196"/>
      <c r="H964" s="183"/>
      <c r="V964" s="184"/>
    </row>
    <row r="965">
      <c r="B965" s="196"/>
      <c r="C965" s="201"/>
      <c r="D965" s="201"/>
      <c r="E965" s="196"/>
      <c r="F965" s="196"/>
      <c r="G965" s="196"/>
      <c r="H965" s="183"/>
      <c r="V965" s="184"/>
    </row>
    <row r="966">
      <c r="B966" s="196"/>
      <c r="C966" s="201"/>
      <c r="D966" s="201"/>
      <c r="E966" s="196"/>
      <c r="F966" s="196"/>
      <c r="G966" s="196"/>
      <c r="H966" s="183"/>
      <c r="V966" s="18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6.63"/>
    <col customWidth="1" min="2" max="2" width="7.13"/>
    <col customWidth="1" min="3" max="3" width="18.75"/>
    <col customWidth="1" min="4" max="4" width="75.13"/>
    <col customWidth="1" min="5" max="5" width="12.63"/>
    <col customWidth="1" min="6" max="6" width="13.5"/>
    <col customWidth="1" hidden="1" min="7" max="7" width="10.25"/>
  </cols>
  <sheetData>
    <row r="1" ht="78.75" customHeight="1">
      <c r="A1" s="217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  <c r="H1" s="10"/>
    </row>
    <row r="2">
      <c r="A2" s="56" t="str">
        <f t="shared" ref="A2:A4" si="1">RIGHT(C2,2)</f>
        <v>50</v>
      </c>
      <c r="B2" s="218">
        <v>1.0</v>
      </c>
      <c r="C2" s="219">
        <v>5250.0</v>
      </c>
      <c r="D2" s="220" t="str">
        <f>VLOOKUP(TEXT(A2,"#"),Main!$A$2:$C56,3,0)</f>
        <v>Center Hole Basin Mixer without Popup</v>
      </c>
      <c r="E2" s="221">
        <f t="array" ref="E2:F2">VLOOKUP(C2,MASTER!$C$2:$F56,{3,4},0)</f>
        <v>2960</v>
      </c>
      <c r="F2" s="222">
        <v>3270.0</v>
      </c>
      <c r="G2" s="137"/>
      <c r="H2" s="223"/>
    </row>
    <row r="3">
      <c r="A3" s="56" t="str">
        <f t="shared" si="1"/>
        <v>51</v>
      </c>
      <c r="B3" s="218">
        <v>2.0</v>
      </c>
      <c r="C3" s="219">
        <v>5251.0</v>
      </c>
      <c r="D3" s="220" t="str">
        <f>VLOOKUP(TEXT(A3,"#"),Main!$A$2:$C56,3,0)</f>
        <v>Single Lever Basin Mixer without Popup Waste System</v>
      </c>
      <c r="E3" s="221">
        <f t="array" ref="E3:F3">VLOOKUP(C3,MASTER!$C$2:$F56,{3,4},0)</f>
        <v>3390</v>
      </c>
      <c r="F3" s="222">
        <v>3680.0</v>
      </c>
      <c r="G3" s="137"/>
      <c r="H3" s="223"/>
    </row>
    <row r="4">
      <c r="A4" s="56" t="str">
        <f t="shared" si="1"/>
        <v>52</v>
      </c>
      <c r="B4" s="218">
        <v>3.0</v>
      </c>
      <c r="C4" s="218">
        <v>5252.0</v>
      </c>
      <c r="D4" s="220" t="str">
        <f>VLOOKUP(TEXT(A4,"#"),Main!$A$2:$C56,3,0)</f>
        <v>Single Lever Basin Mixer Tall Body without Popup Waste System</v>
      </c>
      <c r="E4" s="221">
        <f t="array" ref="E4:F4">VLOOKUP(C4,MASTER!$C$2:$F56,{3,4},0)</f>
        <v>5380</v>
      </c>
      <c r="F4" s="222">
        <v>5880.0</v>
      </c>
      <c r="G4" s="137"/>
      <c r="H4" s="223"/>
    </row>
    <row r="5">
      <c r="A5" s="56" t="str">
        <f>RIGHT(C5,4)</f>
        <v>54-S</v>
      </c>
      <c r="B5" s="224">
        <v>4.0</v>
      </c>
      <c r="C5" s="218" t="s">
        <v>340</v>
      </c>
      <c r="D5" s="220" t="s">
        <v>152</v>
      </c>
      <c r="E5" s="221">
        <f t="array" ref="E5:F5">VLOOKUP(C5,MASTER!$C$2:$F56,{3,4},0)</f>
        <v>5640</v>
      </c>
      <c r="F5" s="222">
        <v>6130.0</v>
      </c>
      <c r="G5" s="137"/>
      <c r="H5" s="223"/>
    </row>
    <row r="6">
      <c r="A6" s="225" t="s">
        <v>154</v>
      </c>
      <c r="B6" s="120"/>
      <c r="C6" s="218" t="s">
        <v>154</v>
      </c>
      <c r="D6" s="220" t="str">
        <f>VLOOKUP(TEXT(A6,"#"),Main!$A$2:$C56,3,0)</f>
        <v>Single Lever Basin Mixer Wall Mount (Body, Cartridge, Sleeve &amp; Nipple)</v>
      </c>
      <c r="E6" s="221">
        <f t="array" ref="E6:F6">VLOOKUP(C6,MASTER!$C$2:$F56,{3,4},0)</f>
        <v>3680</v>
      </c>
      <c r="F6" s="222">
        <v>3990.0</v>
      </c>
      <c r="G6" s="137"/>
      <c r="H6" s="223"/>
    </row>
    <row r="7">
      <c r="A7" s="225" t="s">
        <v>346</v>
      </c>
      <c r="B7" s="145"/>
      <c r="C7" s="218" t="s">
        <v>345</v>
      </c>
      <c r="D7" s="220" t="s">
        <v>78</v>
      </c>
      <c r="E7" s="221">
        <f t="array" ref="E7:F7">VLOOKUP(C7,MASTER!$C$2:$F56,{3,4},0)</f>
        <v>1960</v>
      </c>
      <c r="F7" s="222">
        <v>2140.0</v>
      </c>
      <c r="G7" s="137"/>
      <c r="H7" s="10"/>
    </row>
    <row r="8">
      <c r="A8" s="56" t="str">
        <f t="shared" ref="A8:A14" si="2">RIGHT(C8,2)</f>
        <v>70</v>
      </c>
      <c r="B8" s="218">
        <v>5.0</v>
      </c>
      <c r="C8" s="218">
        <v>5270.0</v>
      </c>
      <c r="D8" s="220" t="str">
        <f>VLOOKUP(TEXT(A8,"#"),Main!$A$2:$C56,3,0)</f>
        <v>Wall Mixer Telephonic with Crutch &amp; Wall Flange (Provision For Hand Shower)</v>
      </c>
      <c r="E8" s="221">
        <f t="array" ref="E8:F8">VLOOKUP(C8,MASTER!$C$2:$F56,{3,4},0)</f>
        <v>4970</v>
      </c>
      <c r="F8" s="222">
        <v>5380.0</v>
      </c>
      <c r="G8" s="137"/>
      <c r="H8" s="223"/>
    </row>
    <row r="9">
      <c r="A9" s="56" t="str">
        <f t="shared" si="2"/>
        <v>75</v>
      </c>
      <c r="B9" s="218">
        <v>6.0</v>
      </c>
      <c r="C9" s="219">
        <v>5275.0</v>
      </c>
      <c r="D9" s="220" t="str">
        <f>VLOOKUP(TEXT(A9,"#"),Main!$A$2:$C56,3,0)</f>
        <v>Wall Mixer "L" Bend with Wall Flange (Provision For Over Head Shower)</v>
      </c>
      <c r="E9" s="221">
        <f t="array" ref="E9:F9">VLOOKUP(C9,MASTER!$C$2:$F56,{3,4},0)</f>
        <v>4970</v>
      </c>
      <c r="F9" s="222">
        <v>5380.0</v>
      </c>
      <c r="G9" s="137"/>
      <c r="H9" s="223"/>
    </row>
    <row r="10">
      <c r="A10" s="56" t="str">
        <f t="shared" si="2"/>
        <v>80</v>
      </c>
      <c r="B10" s="218">
        <v>7.0</v>
      </c>
      <c r="C10" s="219">
        <v>5280.0</v>
      </c>
      <c r="D10" s="220" t="str">
        <f>VLOOKUP(TEXT(A10,"#"),Main!$A$2:$C56,3,0)</f>
        <v>Wall Mixer 3 In 1 with Wall Flange (Provision For Over Head Shower &amp; Hand Shower)</v>
      </c>
      <c r="E10" s="221">
        <f t="array" ref="E10:F10">VLOOKUP(C10,MASTER!$C$2:$F56,{3,4},0)</f>
        <v>5780</v>
      </c>
      <c r="F10" s="222">
        <v>6280.0</v>
      </c>
      <c r="G10" s="137"/>
      <c r="H10" s="223"/>
    </row>
    <row r="11">
      <c r="A11" s="56" t="str">
        <f t="shared" si="2"/>
        <v>55</v>
      </c>
      <c r="B11" s="218">
        <v>8.0</v>
      </c>
      <c r="C11" s="219">
        <v>5255.0</v>
      </c>
      <c r="D11" s="220" t="str">
        <f>VLOOKUP(TEXT(A11,"#"),Main!$A$2:$C56,3,0)</f>
        <v>Sink Mixer with Regular Spout Wall Mounted with Flange</v>
      </c>
      <c r="E11" s="221">
        <f t="array" ref="E11:F11">VLOOKUP(C11,MASTER!$C$2:$F56,{3,4},0)</f>
        <v>3550</v>
      </c>
      <c r="F11" s="222">
        <v>3880.0</v>
      </c>
      <c r="G11" s="137"/>
      <c r="H11" s="223"/>
    </row>
    <row r="12">
      <c r="A12" s="56" t="str">
        <f t="shared" si="2"/>
        <v>65</v>
      </c>
      <c r="B12" s="218">
        <v>9.0</v>
      </c>
      <c r="C12" s="219">
        <v>5265.0</v>
      </c>
      <c r="D12" s="220" t="str">
        <f>VLOOKUP(TEXT(A12,"#"),Main!$A$2:$C56,3,0)</f>
        <v>Wall Mixer Non Telephonic with Flange</v>
      </c>
      <c r="E12" s="221">
        <f t="array" ref="E12:F12">VLOOKUP(C12,MASTER!$C$2:$F56,{3,4},0)</f>
        <v>3720</v>
      </c>
      <c r="F12" s="222">
        <v>3980.0</v>
      </c>
      <c r="G12" s="137"/>
      <c r="H12" s="223"/>
    </row>
    <row r="13">
      <c r="A13" s="56" t="str">
        <f t="shared" si="2"/>
        <v>14</v>
      </c>
      <c r="B13" s="218">
        <v>10.0</v>
      </c>
      <c r="C13" s="219">
        <v>5214.0</v>
      </c>
      <c r="D13" s="220" t="str">
        <f>VLOOKUP(TEXT(A13,"#"),Main!$A$2:$C56,3,0)</f>
        <v>Swan Neck Table Mounted</v>
      </c>
      <c r="E13" s="221">
        <f t="array" ref="E13:F13">VLOOKUP(C13,MASTER!$C$2:$F56,{3,4},0)</f>
        <v>1890</v>
      </c>
      <c r="F13" s="222">
        <v>1990.0</v>
      </c>
      <c r="G13" s="137"/>
      <c r="H13" s="223"/>
    </row>
    <row r="14">
      <c r="A14" s="56" t="str">
        <f t="shared" si="2"/>
        <v>16</v>
      </c>
      <c r="B14" s="218">
        <v>11.0</v>
      </c>
      <c r="C14" s="219">
        <v>5216.0</v>
      </c>
      <c r="D14" s="220" t="str">
        <f>VLOOKUP(TEXT(A14,"#"),Main!$A$2:$C56,3,0)</f>
        <v>Sink Cock Wall Mounted with Flange</v>
      </c>
      <c r="E14" s="221">
        <f t="array" ref="E14:F14">VLOOKUP(C14,MASTER!$C$2:$F56,{3,4},0)</f>
        <v>1690</v>
      </c>
      <c r="F14" s="226">
        <v>1840.0</v>
      </c>
      <c r="G14" s="137"/>
      <c r="H14" s="223"/>
    </row>
    <row r="15">
      <c r="A15" s="225">
        <v>17.0</v>
      </c>
      <c r="B15" s="218">
        <v>12.0</v>
      </c>
      <c r="C15" s="218">
        <v>5217.0</v>
      </c>
      <c r="D15" s="220" t="str">
        <f>VLOOKUP(TEXT(A15,"#"),Main!$A$2:$C56,3,0)</f>
        <v>Sink Cock Wall Mounted with Flange</v>
      </c>
      <c r="E15" s="221">
        <f t="array" ref="E15:F15">VLOOKUP(C15,MASTER!$C$2:$F56,{3,4},0)</f>
        <v>1840</v>
      </c>
      <c r="F15" s="226">
        <v>1990.0</v>
      </c>
      <c r="G15" s="137"/>
      <c r="H15" s="223"/>
    </row>
    <row r="16">
      <c r="A16" s="56" t="str">
        <f t="shared" ref="A16:A17" si="3">RIGHT(C16,2)</f>
        <v>95</v>
      </c>
      <c r="B16" s="218">
        <v>13.0</v>
      </c>
      <c r="C16" s="219">
        <v>5295.0</v>
      </c>
      <c r="D16" s="220" t="str">
        <f>VLOOKUP(TEXT(A16,"#"),Main!$A$2:$C56,3,0)</f>
        <v>Bath Tub Spout with Flange</v>
      </c>
      <c r="E16" s="221">
        <f t="array" ref="E16:F16">VLOOKUP(C16,MASTER!$C$2:$F56,{3,4},0)</f>
        <v>1170</v>
      </c>
      <c r="F16" s="222">
        <v>1290.0</v>
      </c>
      <c r="G16" s="137"/>
      <c r="H16" s="10"/>
    </row>
    <row r="17">
      <c r="A17" s="56" t="str">
        <f t="shared" si="3"/>
        <v>96</v>
      </c>
      <c r="B17" s="218">
        <v>14.0</v>
      </c>
      <c r="C17" s="219">
        <v>5296.0</v>
      </c>
      <c r="D17" s="220" t="str">
        <f>VLOOKUP(TEXT(A17,"#"),Main!$A$2:$C56,3,0)</f>
        <v>Bath Tub Spout Tip Ton with Flange</v>
      </c>
      <c r="E17" s="221">
        <f t="array" ref="E17:F17">VLOOKUP(C17,MASTER!$C$2:$F56,{3,4},0)</f>
        <v>1930</v>
      </c>
      <c r="F17" s="222">
        <v>2160.0</v>
      </c>
      <c r="G17" s="137"/>
      <c r="H17" s="10"/>
    </row>
    <row r="18">
      <c r="A18" s="227" t="s">
        <v>209</v>
      </c>
      <c r="B18" s="224">
        <v>15.0</v>
      </c>
      <c r="C18" s="228" t="s">
        <v>354</v>
      </c>
      <c r="D18" s="220" t="str">
        <f>VLOOKUP(TEXT(A18,"#"),Main!$A$2:$C56,3,0)</f>
        <v>Single Lever Concealed Diverter Bath &amp; Shower 40mm</v>
      </c>
      <c r="E18" s="221">
        <f t="array" ref="E18:F18">VLOOKUP(C18,MASTER!$C$2:$F56,{3,4},0)</f>
        <v>5980</v>
      </c>
      <c r="F18" s="222">
        <v>6540.0</v>
      </c>
      <c r="G18" s="137"/>
      <c r="H18" s="223"/>
    </row>
    <row r="19">
      <c r="A19" s="225" t="s">
        <v>212</v>
      </c>
      <c r="B19" s="120"/>
      <c r="C19" s="218" t="s">
        <v>212</v>
      </c>
      <c r="D19" s="220" t="str">
        <f>VLOOKUP(TEXT(A19,"#"),Main!$A$2:$C56,3,0)</f>
        <v>Concealed Diverter Body 40mm (Cartridge, Sleeve, Tipton Assembly)</v>
      </c>
      <c r="E19" s="221">
        <f t="array" ref="E19:F19">VLOOKUP(C19,MASTER!$C$2:$F56,{3,4},0)</f>
        <v>4240</v>
      </c>
      <c r="F19" s="222">
        <v>4580.0</v>
      </c>
      <c r="G19" s="137"/>
      <c r="H19" s="223"/>
    </row>
    <row r="20">
      <c r="A20" s="225" t="s">
        <v>216</v>
      </c>
      <c r="B20" s="145"/>
      <c r="C20" s="218" t="s">
        <v>357</v>
      </c>
      <c r="D20" s="220" t="str">
        <f>VLOOKUP(TEXT(A20,"#"),Main!$A$2:$C56,3,0)</f>
        <v>Exposed Parts (Wall Flange &amp; Handle)</v>
      </c>
      <c r="E20" s="221">
        <f t="array" ref="E20:F20">VLOOKUP(C20,MASTER!$C$2:$F56,{3,4},0)</f>
        <v>1740</v>
      </c>
      <c r="F20" s="222">
        <v>1960.0</v>
      </c>
      <c r="G20" s="137"/>
      <c r="H20" s="10"/>
    </row>
    <row r="21">
      <c r="A21" s="227" t="s">
        <v>219</v>
      </c>
      <c r="B21" s="224">
        <v>16.0</v>
      </c>
      <c r="C21" s="218" t="s">
        <v>359</v>
      </c>
      <c r="D21" s="220" t="str">
        <f>VLOOKUP(TEXT(A21,"#"),Main!$A$2:$C56,3,0)</f>
        <v>Single Lever High Flow Concealed Diverter Bath &amp; Shower 46mm</v>
      </c>
      <c r="E21" s="221">
        <f t="array" ref="E21:F21">VLOOKUP(C21,MASTER!$C$2:$F56,{3,4},0)</f>
        <v>6720</v>
      </c>
      <c r="F21" s="222">
        <v>7450.0</v>
      </c>
      <c r="G21" s="137"/>
      <c r="H21" s="223"/>
    </row>
    <row r="22">
      <c r="A22" s="225" t="s">
        <v>223</v>
      </c>
      <c r="B22" s="120"/>
      <c r="C22" s="218" t="s">
        <v>223</v>
      </c>
      <c r="D22" s="220" t="str">
        <f>VLOOKUP(TEXT(A22,"#"),Main!$A$2:$C56,3,0)</f>
        <v>High Flow Concealed Diverter Body 46mm (Cartridge, Sleeve, Tipton Assembly)</v>
      </c>
      <c r="E22" s="221">
        <f t="array" ref="E22:F22">VLOOKUP(C22,MASTER!$C$2:$F56,{3,4},0)</f>
        <v>4980</v>
      </c>
      <c r="F22" s="222">
        <v>5490.0</v>
      </c>
      <c r="G22" s="137"/>
      <c r="H22" s="223"/>
    </row>
    <row r="23">
      <c r="A23" s="225" t="s">
        <v>226</v>
      </c>
      <c r="B23" s="145"/>
      <c r="C23" s="218" t="s">
        <v>362</v>
      </c>
      <c r="D23" s="220" t="str">
        <f>VLOOKUP(TEXT(A23,"#"),Main!$A$2:$C56,3,0)</f>
        <v>Exposed Parts (Wall Flange &amp; Handle)</v>
      </c>
      <c r="E23" s="221">
        <f t="array" ref="E23:F23">VLOOKUP(C23,MASTER!$C$2:$F56,{3,4},0)</f>
        <v>1740</v>
      </c>
      <c r="F23" s="222">
        <v>1960.0</v>
      </c>
      <c r="G23" s="137"/>
      <c r="H23" s="10"/>
    </row>
    <row r="24">
      <c r="A24" s="225"/>
      <c r="B24" s="224">
        <v>17.0</v>
      </c>
      <c r="C24" s="218" t="s">
        <v>376</v>
      </c>
      <c r="D24" s="229" t="s">
        <v>220</v>
      </c>
      <c r="E24" s="231" t="str">
        <f t="array" ref="E24:F24">VLOOKUP(C24,MASTER!$C$2:$F56,{3,4},0)</f>
        <v>NEW</v>
      </c>
      <c r="F24" s="222">
        <v>7450.0</v>
      </c>
      <c r="G24" s="137"/>
      <c r="H24" s="232" t="s">
        <v>377</v>
      </c>
    </row>
    <row r="25">
      <c r="A25" s="225"/>
      <c r="B25" s="120"/>
      <c r="C25" s="218" t="s">
        <v>381</v>
      </c>
      <c r="D25" s="229" t="s">
        <v>1252</v>
      </c>
      <c r="E25" s="231" t="str">
        <f t="array" ref="E25:F25">VLOOKUP(C25,MASTER!$C$2:$F56,{3,4},0)</f>
        <v>NEW</v>
      </c>
      <c r="F25" s="222">
        <v>4990.0</v>
      </c>
      <c r="G25" s="137"/>
      <c r="H25" s="232" t="s">
        <v>377</v>
      </c>
    </row>
    <row r="26">
      <c r="A26" s="225"/>
      <c r="B26" s="145"/>
      <c r="C26" s="218" t="s">
        <v>385</v>
      </c>
      <c r="D26" s="229" t="s">
        <v>386</v>
      </c>
      <c r="E26" s="231" t="str">
        <f t="array" ref="E26:F26">VLOOKUP(C26,MASTER!$C$2:$F56,{3,4},0)</f>
        <v>NEW</v>
      </c>
      <c r="F26" s="222">
        <v>2460.0</v>
      </c>
      <c r="G26" s="137"/>
      <c r="H26" s="232" t="s">
        <v>377</v>
      </c>
    </row>
    <row r="27">
      <c r="A27" s="227" t="s">
        <v>239</v>
      </c>
      <c r="B27" s="224">
        <v>18.0</v>
      </c>
      <c r="C27" s="218" t="s">
        <v>401</v>
      </c>
      <c r="D27" s="220" t="str">
        <f>VLOOKUP(TEXT(A27,"#"),Main!$A$2:$C56,3,0)</f>
        <v>Single Lever 3 In Let Concealed Diverter Bath &amp; Shower 46mm</v>
      </c>
      <c r="E27" s="221">
        <f t="array" ref="E27:F27">VLOOKUP(C27,MASTER!$C$2:$F56,{3,4},0)</f>
        <v>6720</v>
      </c>
      <c r="F27" s="222">
        <v>7450.0</v>
      </c>
      <c r="G27" s="137"/>
      <c r="H27" s="223"/>
    </row>
    <row r="28">
      <c r="A28" s="225" t="s">
        <v>243</v>
      </c>
      <c r="B28" s="120"/>
      <c r="C28" s="218" t="s">
        <v>243</v>
      </c>
      <c r="D28" s="220" t="str">
        <f>VLOOKUP(TEXT(A28,"#"),Main!$A$2:$C56,3,0)</f>
        <v>3 In Let Concealed Diverter Body 46mm (Cartridge, Sleeve, Tipton Assembly)</v>
      </c>
      <c r="E28" s="221">
        <f t="array" ref="E28:F28">VLOOKUP(C28,MASTER!$C$2:$F56,{3,4},0)</f>
        <v>4980</v>
      </c>
      <c r="F28" s="222">
        <v>5490.0</v>
      </c>
      <c r="G28" s="137"/>
      <c r="H28" s="223"/>
    </row>
    <row r="29">
      <c r="A29" s="225" t="s">
        <v>247</v>
      </c>
      <c r="B29" s="145"/>
      <c r="C29" s="218" t="s">
        <v>405</v>
      </c>
      <c r="D29" s="220" t="str">
        <f>VLOOKUP(TEXT(A29,"#"),Main!$A$2:$C56,3,0)</f>
        <v>Exposed Parts (Wall Flange &amp; Handle)</v>
      </c>
      <c r="E29" s="221">
        <f t="array" ref="E29:F29">VLOOKUP(C29,MASTER!$C$2:$F56,{3,4},0)</f>
        <v>1740</v>
      </c>
      <c r="F29" s="222">
        <v>1960.0</v>
      </c>
      <c r="G29" s="137"/>
      <c r="H29" s="10"/>
    </row>
    <row r="30">
      <c r="A30" s="225" t="s">
        <v>228</v>
      </c>
      <c r="B30" s="224">
        <v>19.0</v>
      </c>
      <c r="C30" s="233" t="s">
        <v>365</v>
      </c>
      <c r="D30" s="220" t="str">
        <f>VLOOKUP(TEXT(A30,"#"),Main!$A$2:$C56,3,0)</f>
        <v>Single Lever High Flow Concealed Diverter Bath &amp; Shower 46mm (ON-OFF)</v>
      </c>
      <c r="E30" s="221">
        <f t="array" ref="E30:F30">VLOOKUP(C30,MASTER!$C$2:$F56,{3,4},0)</f>
        <v>6720</v>
      </c>
      <c r="F30" s="222">
        <v>7450.0</v>
      </c>
      <c r="G30" s="137"/>
      <c r="H30" s="223"/>
    </row>
    <row r="31">
      <c r="A31" s="225" t="s">
        <v>234</v>
      </c>
      <c r="B31" s="120"/>
      <c r="C31" s="233" t="s">
        <v>234</v>
      </c>
      <c r="D31" s="220" t="str">
        <f>VLOOKUP(TEXT(A31,"#"),Main!$A$2:$C56,3,0)</f>
        <v>High Flow Concealed Diverter Body 46mm (Cartridge, Sleeve, On-Off Assembly)</v>
      </c>
      <c r="E31" s="221">
        <f t="array" ref="E31:F31">VLOOKUP(C31,MASTER!$C$2:$F56,{3,4},0)</f>
        <v>4740</v>
      </c>
      <c r="F31" s="222">
        <v>5250.0</v>
      </c>
      <c r="G31" s="137"/>
      <c r="H31" s="223"/>
    </row>
    <row r="32">
      <c r="A32" s="225" t="s">
        <v>237</v>
      </c>
      <c r="B32" s="145"/>
      <c r="C32" s="218" t="s">
        <v>372</v>
      </c>
      <c r="D32" s="220" t="str">
        <f>VLOOKUP(TEXT(A32,"#"),Main!$A$2:$C56,3,0)</f>
        <v>Exposed Parts (Wall Flange &amp; Handle)</v>
      </c>
      <c r="E32" s="221">
        <f t="array" ref="E32:F32">VLOOKUP(C32,MASTER!$C$2:$F56,{3,4},0)</f>
        <v>1980</v>
      </c>
      <c r="F32" s="222">
        <v>2200.0</v>
      </c>
      <c r="G32" s="137"/>
      <c r="H32" s="10"/>
    </row>
    <row r="33">
      <c r="A33" s="225"/>
      <c r="B33" s="224">
        <v>20.0</v>
      </c>
      <c r="C33" s="218" t="s">
        <v>388</v>
      </c>
      <c r="D33" s="229" t="s">
        <v>229</v>
      </c>
      <c r="E33" s="231" t="str">
        <f t="array" ref="E33:F33">VLOOKUP(C33,MASTER!$C$2:$F56,{3,4},0)</f>
        <v>NEW</v>
      </c>
      <c r="F33" s="222">
        <v>7450.0</v>
      </c>
      <c r="G33" s="137"/>
      <c r="H33" s="232" t="s">
        <v>377</v>
      </c>
    </row>
    <row r="34">
      <c r="A34" s="225"/>
      <c r="B34" s="120"/>
      <c r="C34" s="218" t="s">
        <v>392</v>
      </c>
      <c r="D34" s="229" t="s">
        <v>1254</v>
      </c>
      <c r="E34" s="231" t="str">
        <f t="array" ref="E34:F34">VLOOKUP(C34,MASTER!$C$2:$F56,{3,4},0)</f>
        <v>NEW</v>
      </c>
      <c r="F34" s="222">
        <v>4750.0</v>
      </c>
      <c r="G34" s="137"/>
      <c r="H34" s="232" t="s">
        <v>377</v>
      </c>
    </row>
    <row r="35">
      <c r="A35" s="225"/>
      <c r="B35" s="145"/>
      <c r="C35" s="218" t="s">
        <v>397</v>
      </c>
      <c r="D35" s="229" t="s">
        <v>386</v>
      </c>
      <c r="E35" s="231" t="str">
        <f t="array" ref="E35:F35">VLOOKUP(C35,MASTER!$C$2:$F56,{3,4},0)</f>
        <v>NEW</v>
      </c>
      <c r="F35" s="222">
        <v>2700.0</v>
      </c>
      <c r="G35" s="137"/>
      <c r="H35" s="232" t="s">
        <v>377</v>
      </c>
    </row>
    <row r="36">
      <c r="A36" s="225" t="s">
        <v>249</v>
      </c>
      <c r="B36" s="224">
        <v>21.0</v>
      </c>
      <c r="C36" s="218" t="s">
        <v>407</v>
      </c>
      <c r="D36" s="220" t="str">
        <f>VLOOKUP(TEXT(A36,"#"),Main!$A$2:$C56,3,0)</f>
        <v>Single Lever 3 In Let Concealed Diverter Bath &amp; Shower 46mm (ON-OFF)</v>
      </c>
      <c r="E36" s="221">
        <f t="array" ref="E36:F36">VLOOKUP(C36,MASTER!$C$2:$F56,{3,4},0)</f>
        <v>6720</v>
      </c>
      <c r="F36" s="222">
        <v>7450.0</v>
      </c>
      <c r="G36" s="137"/>
      <c r="H36" s="223"/>
    </row>
    <row r="37">
      <c r="A37" s="225" t="s">
        <v>253</v>
      </c>
      <c r="B37" s="120"/>
      <c r="C37" s="218" t="s">
        <v>253</v>
      </c>
      <c r="D37" s="220" t="str">
        <f>VLOOKUP(TEXT(A37,"#"),Main!$A$2:$C56,3,0)</f>
        <v>3 In Let Concealed Diverter Body 46mm (Cartridge, Sleeve, On-Off Assembly)</v>
      </c>
      <c r="E37" s="221">
        <f t="array" ref="E37:F37">VLOOKUP(C37,MASTER!$C$2:$F56,{3,4},0)</f>
        <v>4740</v>
      </c>
      <c r="F37" s="222">
        <v>5250.0</v>
      </c>
      <c r="G37" s="137"/>
      <c r="H37" s="223"/>
    </row>
    <row r="38">
      <c r="A38" s="225" t="s">
        <v>258</v>
      </c>
      <c r="B38" s="145"/>
      <c r="C38" s="218" t="s">
        <v>415</v>
      </c>
      <c r="D38" s="220" t="str">
        <f>VLOOKUP(TEXT(A38,"#"),Main!$A$2:$C56,3,0)</f>
        <v>Exposed Parts (Wall Flange &amp; Handle)</v>
      </c>
      <c r="E38" s="221">
        <f t="array" ref="E38:F38">VLOOKUP(C38,MASTER!$C$2:$F56,{3,4},0)</f>
        <v>1980</v>
      </c>
      <c r="F38" s="222">
        <v>2200.0</v>
      </c>
      <c r="G38" s="137"/>
      <c r="H38" s="234"/>
    </row>
    <row r="39">
      <c r="A39" s="56" t="str">
        <f t="shared" ref="A39:A43" si="4">RIGHT(C39,2)</f>
        <v>02</v>
      </c>
      <c r="B39" s="218">
        <v>22.0</v>
      </c>
      <c r="C39" s="219">
        <v>5202.0</v>
      </c>
      <c r="D39" s="220" t="str">
        <f>VLOOKUP(TEXT(A39,"#"),Main!$A$2:$C56,3,0)</f>
        <v>Pillar Cock</v>
      </c>
      <c r="E39" s="221">
        <f t="array" ref="E39:F39">VLOOKUP(C39,MASTER!$C$2:$F56,{3,4},0)</f>
        <v>1290</v>
      </c>
      <c r="F39" s="222">
        <v>1390.0</v>
      </c>
      <c r="G39" s="137"/>
      <c r="H39" s="235"/>
    </row>
    <row r="40">
      <c r="A40" s="56" t="str">
        <f t="shared" si="4"/>
        <v>03</v>
      </c>
      <c r="B40" s="218">
        <v>23.0</v>
      </c>
      <c r="C40" s="218">
        <v>5203.0</v>
      </c>
      <c r="D40" s="220" t="str">
        <f>VLOOKUP(TEXT(A40,"#"),Main!$A$2:$C56,3,0)</f>
        <v>Pillar Cock Tall Body</v>
      </c>
      <c r="E40" s="221">
        <f t="array" ref="E40:F40">VLOOKUP(C40,MASTER!$C$2:$F56,{3,4},0)</f>
        <v>2890</v>
      </c>
      <c r="F40" s="222">
        <v>3240.0</v>
      </c>
      <c r="G40" s="137"/>
      <c r="H40" s="235"/>
    </row>
    <row r="41">
      <c r="A41" s="56" t="str">
        <f t="shared" si="4"/>
        <v>04</v>
      </c>
      <c r="B41" s="218">
        <v>24.0</v>
      </c>
      <c r="C41" s="218">
        <v>5204.0</v>
      </c>
      <c r="D41" s="220" t="str">
        <f>VLOOKUP(TEXT(A41,"#"),Main!$A$2:$C56,3,0)</f>
        <v>Pillar Cock Extended Body</v>
      </c>
      <c r="E41" s="221">
        <f t="array" ref="E41:F41">VLOOKUP(C41,MASTER!$C$2:$F56,{3,4},0)</f>
        <v>1890</v>
      </c>
      <c r="F41" s="222">
        <v>2090.0</v>
      </c>
      <c r="G41" s="137"/>
      <c r="H41" s="235"/>
    </row>
    <row r="42">
      <c r="A42" s="56" t="str">
        <f t="shared" si="4"/>
        <v>06</v>
      </c>
      <c r="B42" s="218">
        <v>25.0</v>
      </c>
      <c r="C42" s="219">
        <v>5206.0</v>
      </c>
      <c r="D42" s="220" t="str">
        <f>VLOOKUP(TEXT(A42,"#"),Main!$A$2:$C56,3,0)</f>
        <v>Bib Cock with Wall Flange</v>
      </c>
      <c r="E42" s="221">
        <f t="array" ref="E42:F42">VLOOKUP(C42,MASTER!$C$2:$F56,{3,4},0)</f>
        <v>1070</v>
      </c>
      <c r="F42" s="222">
        <v>1180.0</v>
      </c>
      <c r="G42" s="137"/>
      <c r="H42" s="234"/>
    </row>
    <row r="43">
      <c r="A43" s="56" t="str">
        <f t="shared" si="4"/>
        <v>07</v>
      </c>
      <c r="B43" s="224">
        <v>26.0</v>
      </c>
      <c r="C43" s="218">
        <v>5207.0</v>
      </c>
      <c r="D43" s="220" t="str">
        <f>VLOOKUP(TEXT(A43,"#"),Main!$A$2:$C56,3,0)</f>
        <v>Concealed Wall Mount Pillar Cock</v>
      </c>
      <c r="E43" s="221">
        <f t="array" ref="E43:F43">VLOOKUP(C43,MASTER!$C$2:$F56,{3,4},0)</f>
        <v>2680</v>
      </c>
      <c r="F43" s="222">
        <v>2850.0</v>
      </c>
      <c r="G43" s="137"/>
      <c r="H43" s="234"/>
    </row>
    <row r="44">
      <c r="A44" s="225" t="s">
        <v>73</v>
      </c>
      <c r="B44" s="120"/>
      <c r="C44" s="218" t="s">
        <v>73</v>
      </c>
      <c r="D44" s="220" t="str">
        <f>VLOOKUP(TEXT(A44,"#"),Main!$A$2:$C56,3,0)</f>
        <v>Concealed Pillar Cock Body 15mm</v>
      </c>
      <c r="E44" s="221">
        <f t="array" ref="E44:F44">VLOOKUP(C44,MASTER!$C$2:$F56,{3,4},0)</f>
        <v>1390</v>
      </c>
      <c r="F44" s="222">
        <v>1490.0</v>
      </c>
      <c r="G44" s="137"/>
      <c r="H44" s="10"/>
    </row>
    <row r="45">
      <c r="A45" s="225" t="s">
        <v>77</v>
      </c>
      <c r="B45" s="145"/>
      <c r="C45" s="218" t="s">
        <v>316</v>
      </c>
      <c r="D45" s="220" t="str">
        <f>VLOOKUP(TEXT(A45,"#"),Main!$A$2:$C56,3,0)</f>
        <v>Exposed Parts (Wall Flange, Handle &amp; Spout)</v>
      </c>
      <c r="E45" s="221">
        <f t="array" ref="E45:F45">VLOOKUP(C45,MASTER!$C$2:$F56,{3,4},0)</f>
        <v>1290</v>
      </c>
      <c r="F45" s="222">
        <v>1360.0</v>
      </c>
      <c r="G45" s="137"/>
      <c r="H45" s="10"/>
    </row>
    <row r="46">
      <c r="A46" s="56" t="str">
        <f t="shared" ref="A46:A52" si="5">RIGHT(C46,2)</f>
        <v>08</v>
      </c>
      <c r="B46" s="218">
        <v>27.0</v>
      </c>
      <c r="C46" s="218">
        <v>5208.0</v>
      </c>
      <c r="D46" s="220" t="str">
        <f>VLOOKUP(TEXT(A46,"#"),Main!$A$2:$C56,3,0)</f>
        <v>Bib Cock Long Body with Wall Flange</v>
      </c>
      <c r="E46" s="221">
        <f t="array" ref="E46:F46">VLOOKUP(C46,MASTER!$C$2:$F56,{3,4},0)</f>
        <v>1290</v>
      </c>
      <c r="F46" s="222">
        <v>1390.0</v>
      </c>
      <c r="G46" s="137"/>
      <c r="H46" s="10"/>
    </row>
    <row r="47">
      <c r="A47" s="56" t="str">
        <f t="shared" si="5"/>
        <v>10</v>
      </c>
      <c r="B47" s="218">
        <v>28.0</v>
      </c>
      <c r="C47" s="219">
        <v>5210.0</v>
      </c>
      <c r="D47" s="220" t="str">
        <f>VLOOKUP(TEXT(A47,"#"),Main!$A$2:$C56,3,0)</f>
        <v>Angular Stop Cock with Wall Flange</v>
      </c>
      <c r="E47" s="221">
        <f t="array" ref="E47:F47">VLOOKUP(C47,MASTER!$C$2:$F56,{3,4},0)</f>
        <v>820</v>
      </c>
      <c r="F47" s="222">
        <v>890.0</v>
      </c>
      <c r="G47" s="137"/>
      <c r="H47" s="10"/>
    </row>
    <row r="48">
      <c r="A48" s="56" t="str">
        <f t="shared" si="5"/>
        <v>11</v>
      </c>
      <c r="B48" s="218">
        <v>29.0</v>
      </c>
      <c r="C48" s="218" t="s">
        <v>322</v>
      </c>
      <c r="D48" s="220" t="s">
        <v>94</v>
      </c>
      <c r="E48" s="221">
        <f t="array" ref="E48:F48">VLOOKUP(C48,MASTER!$C$2:$F56,{3,4},0)</f>
        <v>1560</v>
      </c>
      <c r="F48" s="222">
        <v>1740.0</v>
      </c>
      <c r="G48" s="137"/>
      <c r="H48" s="10"/>
    </row>
    <row r="49">
      <c r="A49" s="56" t="str">
        <f t="shared" si="5"/>
        <v>12</v>
      </c>
      <c r="B49" s="218">
        <v>30.0</v>
      </c>
      <c r="C49" s="219">
        <v>5212.0</v>
      </c>
      <c r="D49" s="220" t="str">
        <f>VLOOKUP(TEXT(A49,"#"),Main!$A$2:$C56,3,0)</f>
        <v>2-Way Bib Cock Double Handle with Wall Flange</v>
      </c>
      <c r="E49" s="221">
        <f t="array" ref="E49:F49">VLOOKUP(C49,MASTER!$C$2:$F56,{3,4},0)</f>
        <v>1690</v>
      </c>
      <c r="F49" s="222">
        <v>1880.0</v>
      </c>
      <c r="G49" s="137"/>
      <c r="H49" s="223"/>
    </row>
    <row r="50">
      <c r="A50" s="56" t="str">
        <f t="shared" si="5"/>
        <v>18</v>
      </c>
      <c r="B50" s="218">
        <v>31.0</v>
      </c>
      <c r="C50" s="218">
        <v>5218.0</v>
      </c>
      <c r="D50" s="220" t="str">
        <f>VLOOKUP(TEXT(A50,"#"),Main!$A$2:$C56,3,0)</f>
        <v>Concealed Stop Cock 15mm with Wall Flange</v>
      </c>
      <c r="E50" s="221">
        <f t="array" ref="E50:F50">VLOOKUP(C50,MASTER!$C$2:$F56,{3,4},0)</f>
        <v>1230</v>
      </c>
      <c r="F50" s="226">
        <v>1380.0</v>
      </c>
      <c r="G50" s="137"/>
      <c r="H50" s="223"/>
    </row>
    <row r="51">
      <c r="A51" s="56" t="str">
        <f t="shared" si="5"/>
        <v>20</v>
      </c>
      <c r="B51" s="218">
        <v>32.0</v>
      </c>
      <c r="C51" s="219">
        <v>5220.0</v>
      </c>
      <c r="D51" s="220" t="str">
        <f>VLOOKUP(TEXT(A51,"#"),Main!$A$2:$C56,3,0)</f>
        <v>Concealed Stop Cock 20mm with Wall Flange</v>
      </c>
      <c r="E51" s="221">
        <f t="array" ref="E51:F51">VLOOKUP(C51,MASTER!$C$2:$F56,{3,4},0)</f>
        <v>1270</v>
      </c>
      <c r="F51" s="222">
        <v>1420.0</v>
      </c>
      <c r="G51" s="137"/>
      <c r="H51" s="223"/>
    </row>
    <row r="52">
      <c r="A52" s="56" t="str">
        <f t="shared" si="5"/>
        <v>98</v>
      </c>
      <c r="B52" s="218">
        <v>33.0</v>
      </c>
      <c r="C52" s="219">
        <v>5298.0</v>
      </c>
      <c r="D52" s="220" t="str">
        <f>VLOOKUP(TEXT(A52,"#"),Main!$A$2:$C56,3,0)</f>
        <v>Flush Cock 25mm Half Turn with Adjustable Flange</v>
      </c>
      <c r="E52" s="221">
        <f t="array" ref="E52:F52">VLOOKUP(C52,MASTER!$C$2:$F56,{3,4},0)</f>
        <v>2150</v>
      </c>
      <c r="F52" s="222">
        <v>2380.0</v>
      </c>
      <c r="G52" s="137"/>
      <c r="H52" s="223"/>
    </row>
    <row r="53">
      <c r="A53" s="3"/>
      <c r="B53" s="3"/>
      <c r="C53" s="10"/>
      <c r="D53" s="3"/>
      <c r="E53" s="3"/>
      <c r="F53" s="236"/>
      <c r="G53" s="236"/>
      <c r="H53" s="10"/>
    </row>
    <row r="54">
      <c r="A54" s="3"/>
      <c r="B54" s="3"/>
      <c r="C54" s="10"/>
      <c r="D54" s="3"/>
      <c r="E54" s="3"/>
      <c r="F54" s="236"/>
      <c r="G54" s="236"/>
      <c r="H54" s="10"/>
    </row>
    <row r="55">
      <c r="A55" s="3"/>
      <c r="B55" s="3"/>
      <c r="C55" s="10"/>
      <c r="D55" s="3"/>
      <c r="E55" s="3"/>
      <c r="F55" s="236"/>
      <c r="G55" s="236"/>
      <c r="H55" s="10"/>
    </row>
    <row r="56">
      <c r="A56" s="3"/>
      <c r="B56" s="3"/>
      <c r="C56" s="10"/>
      <c r="D56" s="3"/>
      <c r="E56" s="3"/>
      <c r="F56" s="236"/>
      <c r="G56" s="236"/>
      <c r="H56" s="10"/>
    </row>
  </sheetData>
  <mergeCells count="9">
    <mergeCell ref="B36:B38"/>
    <mergeCell ref="B43:B45"/>
    <mergeCell ref="B5:B7"/>
    <mergeCell ref="B18:B20"/>
    <mergeCell ref="B21:B23"/>
    <mergeCell ref="B24:B26"/>
    <mergeCell ref="B27:B29"/>
    <mergeCell ref="B30:B32"/>
    <mergeCell ref="B33:B35"/>
  </mergeCells>
  <printOptions horizontalCentered="1"/>
  <pageMargins bottom="0.75" footer="0.0" header="0.0" left="0.7" right="0.7" top="0.75"/>
  <pageSetup paperSize="9" cellComments="atEnd" orientation="portrait" pageOrder="overThenDown"/>
  <headerFooter>
    <oddHeader>&amp;L&amp;F&amp;C&amp;R&amp;A</oddHeader>
    <oddFooter>&amp;L&amp;D &amp;T&amp;R&amp;P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6.63"/>
    <col customWidth="1" min="2" max="2" width="7.13"/>
    <col customWidth="1" min="3" max="3" width="19.38"/>
    <col customWidth="1" min="4" max="4" width="83.63"/>
    <col customWidth="1" min="5" max="5" width="11.5"/>
    <col customWidth="1" min="6" max="6" width="12.63"/>
    <col customWidth="1" hidden="1" min="7" max="7" width="11.5"/>
    <col customWidth="1" min="8" max="8" width="11.5"/>
  </cols>
  <sheetData>
    <row r="1" ht="87.0" customHeight="1">
      <c r="A1" s="217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237" t="s">
        <v>19</v>
      </c>
      <c r="G1" s="130" t="s">
        <v>20</v>
      </c>
      <c r="H1" s="238"/>
    </row>
    <row r="2">
      <c r="A2" s="56" t="str">
        <f t="shared" ref="A2:A3" si="1">RIGHT(C2,2)</f>
        <v>50</v>
      </c>
      <c r="B2" s="218">
        <v>1.0</v>
      </c>
      <c r="C2" s="218">
        <v>5350.0</v>
      </c>
      <c r="D2" s="220" t="str">
        <f>VLOOKUP(TEXT(A2,"#"),Main!$A$2:$C55,3,0)</f>
        <v>Center Hole Basin Mixer without Popup</v>
      </c>
      <c r="E2" s="221">
        <f t="array" ref="E2:F2">VLOOKUP(C2,MASTER!$C$2:$F55,{3,4},0)</f>
        <v>2960</v>
      </c>
      <c r="F2" s="221">
        <v>3260.0</v>
      </c>
      <c r="G2" s="151"/>
      <c r="H2" s="151"/>
    </row>
    <row r="3">
      <c r="A3" s="56" t="str">
        <f t="shared" si="1"/>
        <v>51</v>
      </c>
      <c r="B3" s="218">
        <v>2.0</v>
      </c>
      <c r="C3" s="218">
        <v>5351.0</v>
      </c>
      <c r="D3" s="220" t="str">
        <f>VLOOKUP(TEXT(A3,"#"),Main!$A$2:$C55,3,0)</f>
        <v>Single Lever Basin Mixer without Popup Waste System</v>
      </c>
      <c r="E3" s="221">
        <f t="array" ref="E3:F3">VLOOKUP(C3,MASTER!$C$2:$F55,{3,4},0)</f>
        <v>3870</v>
      </c>
      <c r="F3" s="221">
        <v>4280.0</v>
      </c>
      <c r="G3" s="151"/>
      <c r="H3" s="151"/>
    </row>
    <row r="4">
      <c r="A4" s="56" t="str">
        <f>RIGHT(C4,4)</f>
        <v>54-S</v>
      </c>
      <c r="B4" s="224">
        <v>3.0</v>
      </c>
      <c r="C4" s="218" t="s">
        <v>448</v>
      </c>
      <c r="D4" s="220" t="s">
        <v>152</v>
      </c>
      <c r="E4" s="221">
        <f t="array" ref="E4:F4">VLOOKUP(C4,MASTER!$C$2:$F55,{3,4},0)</f>
        <v>5640</v>
      </c>
      <c r="F4" s="221">
        <v>6230.0</v>
      </c>
      <c r="G4" s="151"/>
      <c r="H4" s="151"/>
    </row>
    <row r="5">
      <c r="A5" s="225" t="s">
        <v>154</v>
      </c>
      <c r="B5" s="120"/>
      <c r="C5" s="218" t="s">
        <v>154</v>
      </c>
      <c r="D5" s="220" t="str">
        <f>VLOOKUP(TEXT(A5,"#"),Main!$A$2:$C55,3,0)</f>
        <v>Single Lever Basin Mixer Wall Mount (Body, Cartridge, Sleeve &amp; Nipple)</v>
      </c>
      <c r="E5" s="221">
        <f t="array" ref="E5:F5">VLOOKUP(C5,MASTER!$C$2:$F55,{3,4},0)</f>
        <v>3680</v>
      </c>
      <c r="F5" s="221">
        <v>3990.0</v>
      </c>
      <c r="G5" s="151"/>
      <c r="H5" s="151"/>
    </row>
    <row r="6">
      <c r="A6" s="225" t="s">
        <v>346</v>
      </c>
      <c r="B6" s="145"/>
      <c r="C6" s="218" t="s">
        <v>453</v>
      </c>
      <c r="D6" s="220" t="s">
        <v>78</v>
      </c>
      <c r="E6" s="221">
        <f t="array" ref="E6:F6">VLOOKUP(C6,MASTER!$C$2:$F55,{3,4},0)</f>
        <v>1960</v>
      </c>
      <c r="F6" s="221">
        <v>2240.0</v>
      </c>
      <c r="G6" s="151"/>
      <c r="H6" s="151"/>
    </row>
    <row r="7">
      <c r="A7" s="56" t="str">
        <f t="shared" ref="A7:A16" si="2">RIGHT(C7,2)</f>
        <v>70</v>
      </c>
      <c r="B7" s="218">
        <v>4.0</v>
      </c>
      <c r="C7" s="218">
        <v>5370.0</v>
      </c>
      <c r="D7" s="220" t="str">
        <f>VLOOKUP(TEXT(A7,"#"),Main!$A$2:$C55,3,0)</f>
        <v>Wall Mixer Telephonic with Crutch &amp; Wall Flange (Provision For Hand Shower)</v>
      </c>
      <c r="E7" s="221">
        <f t="array" ref="E7:F7">VLOOKUP(C7,MASTER!$C$2:$F55,{3,4},0)</f>
        <v>4980</v>
      </c>
      <c r="F7" s="221">
        <v>5340.0</v>
      </c>
      <c r="G7" s="151"/>
      <c r="H7" s="151"/>
    </row>
    <row r="8">
      <c r="A8" s="56" t="str">
        <f t="shared" si="2"/>
        <v>75</v>
      </c>
      <c r="B8" s="218">
        <v>5.0</v>
      </c>
      <c r="C8" s="218">
        <v>5375.0</v>
      </c>
      <c r="D8" s="220" t="str">
        <f>VLOOKUP(TEXT(A8,"#"),Main!$A$2:$C55,3,0)</f>
        <v>Wall Mixer "L" Bend with Wall Flange (Provision For Over Head Shower)</v>
      </c>
      <c r="E8" s="221">
        <f t="array" ref="E8:F8">VLOOKUP(C8,MASTER!$C$2:$F55,{3,4},0)</f>
        <v>4980</v>
      </c>
      <c r="F8" s="221">
        <v>5340.0</v>
      </c>
      <c r="G8" s="151"/>
      <c r="H8" s="151"/>
    </row>
    <row r="9">
      <c r="A9" s="56" t="str">
        <f t="shared" si="2"/>
        <v>80</v>
      </c>
      <c r="B9" s="218">
        <v>6.0</v>
      </c>
      <c r="C9" s="218">
        <v>5380.0</v>
      </c>
      <c r="D9" s="220" t="str">
        <f>VLOOKUP(TEXT(A9,"#"),Main!$A$2:$C55,3,0)</f>
        <v>Wall Mixer 3 In 1 with Wall Flange (Provision For Over Head Shower &amp; Hand Shower)</v>
      </c>
      <c r="E9" s="221">
        <f t="array" ref="E9:F9">VLOOKUP(C9,MASTER!$C$2:$F55,{3,4},0)</f>
        <v>5840</v>
      </c>
      <c r="F9" s="221">
        <v>6240.0</v>
      </c>
      <c r="G9" s="151"/>
      <c r="H9" s="151"/>
    </row>
    <row r="10">
      <c r="A10" s="56" t="str">
        <f t="shared" si="2"/>
        <v>55</v>
      </c>
      <c r="B10" s="218">
        <v>7.0</v>
      </c>
      <c r="C10" s="218">
        <v>5355.0</v>
      </c>
      <c r="D10" s="220" t="str">
        <f>VLOOKUP(TEXT(A10,"#"),Main!$A$2:$C55,3,0)</f>
        <v>Sink Mixer with Regular Spout Wall Mounted with Flange</v>
      </c>
      <c r="E10" s="221">
        <f t="array" ref="E10:F10">VLOOKUP(C10,MASTER!$C$2:$F55,{3,4},0)</f>
        <v>3580</v>
      </c>
      <c r="F10" s="221">
        <v>3840.0</v>
      </c>
      <c r="G10" s="151"/>
      <c r="H10" s="151"/>
    </row>
    <row r="11">
      <c r="A11" s="56" t="str">
        <f t="shared" si="2"/>
        <v>65</v>
      </c>
      <c r="B11" s="218">
        <v>8.0</v>
      </c>
      <c r="C11" s="218">
        <v>5365.0</v>
      </c>
      <c r="D11" s="220" t="str">
        <f>VLOOKUP(TEXT(A11,"#"),Main!$A$2:$C55,3,0)</f>
        <v>Wall Mixer Non Telephonic with Flange</v>
      </c>
      <c r="E11" s="221">
        <f t="array" ref="E11:F11">VLOOKUP(C11,MASTER!$C$2:$F55,{3,4},0)</f>
        <v>3690</v>
      </c>
      <c r="F11" s="221">
        <v>3990.0</v>
      </c>
      <c r="G11" s="151"/>
      <c r="H11" s="151"/>
    </row>
    <row r="12">
      <c r="A12" s="56" t="str">
        <f t="shared" si="2"/>
        <v>14</v>
      </c>
      <c r="B12" s="218">
        <v>9.0</v>
      </c>
      <c r="C12" s="218">
        <v>5314.0</v>
      </c>
      <c r="D12" s="220" t="str">
        <f>VLOOKUP(TEXT(A12,"#"),Main!$A$2:$C55,3,0)</f>
        <v>Swan Neck Table Mounted</v>
      </c>
      <c r="E12" s="221">
        <f t="array" ref="E12:F12">VLOOKUP(C12,MASTER!$C$2:$F55,{3,4},0)</f>
        <v>1880</v>
      </c>
      <c r="F12" s="221">
        <v>1990.0</v>
      </c>
      <c r="G12" s="151"/>
      <c r="H12" s="151"/>
    </row>
    <row r="13">
      <c r="A13" s="56" t="str">
        <f t="shared" si="2"/>
        <v>16</v>
      </c>
      <c r="B13" s="218">
        <v>10.0</v>
      </c>
      <c r="C13" s="218">
        <v>5316.0</v>
      </c>
      <c r="D13" s="220" t="str">
        <f>VLOOKUP(TEXT(A13,"#"),Main!$A$2:$C55,3,0)</f>
        <v>Sink Cock Wall Mounted with Flange</v>
      </c>
      <c r="E13" s="221">
        <f t="array" ref="E13:F13">VLOOKUP(C13,MASTER!$C$2:$F55,{3,4},0)</f>
        <v>1690</v>
      </c>
      <c r="F13" s="221">
        <v>1790.0</v>
      </c>
      <c r="G13" s="151"/>
      <c r="H13" s="151"/>
    </row>
    <row r="14">
      <c r="A14" s="56" t="str">
        <f t="shared" si="2"/>
        <v>95</v>
      </c>
      <c r="B14" s="218">
        <v>11.0</v>
      </c>
      <c r="C14" s="218">
        <v>5395.0</v>
      </c>
      <c r="D14" s="220" t="str">
        <f>VLOOKUP(TEXT(A14,"#"),Main!$A$2:$C55,3,0)</f>
        <v>Bath Tub Spout with Flange</v>
      </c>
      <c r="E14" s="221">
        <f t="array" ref="E14:F14">VLOOKUP(C14,MASTER!$C$2:$F55,{3,4},0)</f>
        <v>1170</v>
      </c>
      <c r="F14" s="221">
        <v>1290.0</v>
      </c>
      <c r="G14" s="151"/>
      <c r="H14" s="151"/>
    </row>
    <row r="15">
      <c r="A15" s="56" t="str">
        <f t="shared" si="2"/>
        <v>96</v>
      </c>
      <c r="B15" s="218">
        <v>12.0</v>
      </c>
      <c r="C15" s="218">
        <v>5396.0</v>
      </c>
      <c r="D15" s="220" t="str">
        <f>VLOOKUP(TEXT(A15,"#"),Main!$A$2:$C55,3,0)</f>
        <v>Bath Tub Spout Tip Ton with Flange</v>
      </c>
      <c r="E15" s="221">
        <f t="array" ref="E15:F15">VLOOKUP(C15,MASTER!$C$2:$F55,{3,4},0)</f>
        <v>1930</v>
      </c>
      <c r="F15" s="221">
        <v>2080.0</v>
      </c>
      <c r="G15" s="151"/>
      <c r="H15" s="151"/>
    </row>
    <row r="16">
      <c r="A16" s="56" t="str">
        <f t="shared" si="2"/>
        <v>17</v>
      </c>
      <c r="B16" s="218">
        <v>13.0</v>
      </c>
      <c r="C16" s="218">
        <v>5317.0</v>
      </c>
      <c r="D16" s="220" t="str">
        <f>VLOOKUP(TEXT(A16,"#"),Main!$A$2:$C55,3,0)</f>
        <v>Sink Cock Wall Mounted with Flange</v>
      </c>
      <c r="E16" s="221">
        <f t="array" ref="E16:F16">VLOOKUP(C16,MASTER!$C$2:$F55,{3,4},0)</f>
        <v>1840</v>
      </c>
      <c r="F16" s="221">
        <v>1990.0</v>
      </c>
      <c r="G16" s="151"/>
      <c r="H16" s="151"/>
    </row>
    <row r="17">
      <c r="A17" s="227" t="s">
        <v>209</v>
      </c>
      <c r="B17" s="224">
        <v>14.0</v>
      </c>
      <c r="C17" s="218" t="s">
        <v>459</v>
      </c>
      <c r="D17" s="220" t="str">
        <f>VLOOKUP(TEXT(A17,"#"),Main!$A$2:$C55,3,0)</f>
        <v>Single Lever Concealed Diverter Bath &amp; Shower 40mm</v>
      </c>
      <c r="E17" s="221">
        <f t="array" ref="E17:F17">VLOOKUP(C17,MASTER!$C$2:$F55,{3,4},0)</f>
        <v>5980</v>
      </c>
      <c r="F17" s="221">
        <v>6470.0</v>
      </c>
      <c r="G17" s="151"/>
      <c r="H17" s="151"/>
    </row>
    <row r="18">
      <c r="A18" s="225" t="s">
        <v>212</v>
      </c>
      <c r="B18" s="120"/>
      <c r="C18" s="218" t="s">
        <v>212</v>
      </c>
      <c r="D18" s="220" t="str">
        <f>VLOOKUP(TEXT(A18,"#"),Main!$A$2:$C55,3,0)</f>
        <v>Concealed Diverter Body 40mm (Cartridge, Sleeve, Tipton Assembly)</v>
      </c>
      <c r="E18" s="221">
        <f t="array" ref="E18:F18">VLOOKUP(C18,MASTER!$C$2:$F55,{3,4},0)</f>
        <v>4240</v>
      </c>
      <c r="F18" s="221">
        <v>4580.0</v>
      </c>
      <c r="G18" s="151"/>
      <c r="H18" s="151"/>
    </row>
    <row r="19">
      <c r="A19" s="225" t="s">
        <v>216</v>
      </c>
      <c r="B19" s="145"/>
      <c r="C19" s="218" t="s">
        <v>464</v>
      </c>
      <c r="D19" s="220" t="str">
        <f>VLOOKUP(TEXT(A19,"#"),Main!$A$2:$C55,3,0)</f>
        <v>Exposed Parts (Wall Flange &amp; Handle)</v>
      </c>
      <c r="E19" s="221">
        <f t="array" ref="E19:F19">VLOOKUP(C19,MASTER!$C$2:$F55,{3,4},0)</f>
        <v>1740</v>
      </c>
      <c r="F19" s="221">
        <v>1890.0</v>
      </c>
      <c r="G19" s="151"/>
      <c r="H19" s="151"/>
    </row>
    <row r="20">
      <c r="A20" s="227" t="s">
        <v>219</v>
      </c>
      <c r="B20" s="224">
        <v>15.0</v>
      </c>
      <c r="C20" s="218" t="s">
        <v>466</v>
      </c>
      <c r="D20" s="220" t="str">
        <f>VLOOKUP(TEXT(A20,"#"),Main!$A$2:$C55,3,0)</f>
        <v>Single Lever High Flow Concealed Diverter Bath &amp; Shower 46mm</v>
      </c>
      <c r="E20" s="221">
        <f t="array" ref="E20:F20">VLOOKUP(C20,MASTER!$C$2:$F55,{3,4},0)</f>
        <v>6720</v>
      </c>
      <c r="F20" s="221">
        <v>7380.0</v>
      </c>
      <c r="G20" s="151"/>
      <c r="H20" s="151"/>
    </row>
    <row r="21">
      <c r="A21" s="225" t="s">
        <v>223</v>
      </c>
      <c r="B21" s="120"/>
      <c r="C21" s="218" t="s">
        <v>223</v>
      </c>
      <c r="D21" s="220" t="str">
        <f>VLOOKUP(TEXT(A21,"#"),Main!$A$2:$C55,3,0)</f>
        <v>High Flow Concealed Diverter Body 46mm (Cartridge, Sleeve, Tipton Assembly)</v>
      </c>
      <c r="E21" s="221">
        <f t="array" ref="E21:F21">VLOOKUP(C21,MASTER!$C$2:$F55,{3,4},0)</f>
        <v>4980</v>
      </c>
      <c r="F21" s="221">
        <v>5490.0</v>
      </c>
      <c r="G21" s="151"/>
      <c r="H21" s="151"/>
    </row>
    <row r="22">
      <c r="A22" s="225" t="s">
        <v>226</v>
      </c>
      <c r="B22" s="145"/>
      <c r="C22" s="218" t="s">
        <v>470</v>
      </c>
      <c r="D22" s="220" t="str">
        <f>VLOOKUP(TEXT(A22,"#"),Main!$A$2:$C55,3,0)</f>
        <v>Exposed Parts (Wall Flange &amp; Handle)</v>
      </c>
      <c r="E22" s="221">
        <f t="array" ref="E22:F22">VLOOKUP(C22,MASTER!$C$2:$F55,{3,4},0)</f>
        <v>1740</v>
      </c>
      <c r="F22" s="221">
        <v>1890.0</v>
      </c>
      <c r="G22" s="151"/>
      <c r="H22" s="151"/>
    </row>
    <row r="23">
      <c r="A23" s="225"/>
      <c r="B23" s="224">
        <v>16.0</v>
      </c>
      <c r="C23" s="218" t="s">
        <v>481</v>
      </c>
      <c r="D23" s="229" t="s">
        <v>220</v>
      </c>
      <c r="E23" s="231" t="str">
        <f t="array" ref="E23:F23">VLOOKUP(C23,MASTER!$C$2:$F55,{3,4},0)</f>
        <v>NEW</v>
      </c>
      <c r="F23" s="221">
        <v>7380.0</v>
      </c>
      <c r="G23" s="151"/>
      <c r="H23" s="232" t="s">
        <v>377</v>
      </c>
    </row>
    <row r="24">
      <c r="A24" s="225"/>
      <c r="B24" s="120"/>
      <c r="C24" s="218" t="s">
        <v>381</v>
      </c>
      <c r="D24" s="229" t="s">
        <v>1252</v>
      </c>
      <c r="E24" s="231" t="str">
        <f t="array" ref="E24:F24">VLOOKUP(C24,MASTER!$C$2:$F55,{3,4},0)</f>
        <v>NEW</v>
      </c>
      <c r="F24" s="221">
        <v>4990.0</v>
      </c>
      <c r="G24" s="151"/>
      <c r="H24" s="232" t="s">
        <v>377</v>
      </c>
    </row>
    <row r="25">
      <c r="A25" s="225"/>
      <c r="B25" s="145"/>
      <c r="C25" s="218" t="s">
        <v>484</v>
      </c>
      <c r="D25" s="229" t="s">
        <v>386</v>
      </c>
      <c r="E25" s="231" t="str">
        <f t="array" ref="E25:F25">VLOOKUP(C25,MASTER!$C$2:$F55,{3,4},0)</f>
        <v>NEW</v>
      </c>
      <c r="F25" s="221">
        <v>2390.0</v>
      </c>
      <c r="G25" s="151"/>
      <c r="H25" s="232" t="s">
        <v>377</v>
      </c>
    </row>
    <row r="26">
      <c r="A26" s="227" t="s">
        <v>239</v>
      </c>
      <c r="B26" s="224">
        <v>17.0</v>
      </c>
      <c r="C26" s="218" t="s">
        <v>491</v>
      </c>
      <c r="D26" s="220" t="str">
        <f>VLOOKUP(TEXT(A26,"#"),Main!$A$2:$C55,3,0)</f>
        <v>Single Lever 3 In Let Concealed Diverter Bath &amp; Shower 46mm</v>
      </c>
      <c r="E26" s="221">
        <f t="array" ref="E26:F26">VLOOKUP(C26,MASTER!$C$2:$F55,{3,4},0)</f>
        <v>6720</v>
      </c>
      <c r="F26" s="221">
        <v>7380.0</v>
      </c>
      <c r="G26" s="151"/>
      <c r="H26" s="151"/>
    </row>
    <row r="27">
      <c r="A27" s="225" t="s">
        <v>243</v>
      </c>
      <c r="B27" s="120"/>
      <c r="C27" s="218" t="s">
        <v>243</v>
      </c>
      <c r="D27" s="220" t="str">
        <f>VLOOKUP(TEXT(A27,"#"),Main!$A$2:$C55,3,0)</f>
        <v>3 In Let Concealed Diverter Body 46mm (Cartridge, Sleeve, Tipton Assembly)</v>
      </c>
      <c r="E27" s="221">
        <f t="array" ref="E27:F27">VLOOKUP(C27,MASTER!$C$2:$F55,{3,4},0)</f>
        <v>4980</v>
      </c>
      <c r="F27" s="221">
        <v>5490.0</v>
      </c>
      <c r="G27" s="151"/>
      <c r="H27" s="151"/>
    </row>
    <row r="28">
      <c r="A28" s="225" t="s">
        <v>247</v>
      </c>
      <c r="B28" s="145"/>
      <c r="C28" s="218" t="s">
        <v>496</v>
      </c>
      <c r="D28" s="220" t="str">
        <f>VLOOKUP(TEXT(A28,"#"),Main!$A$2:$C55,3,0)</f>
        <v>Exposed Parts (Wall Flange &amp; Handle)</v>
      </c>
      <c r="E28" s="221">
        <f t="array" ref="E28:F28">VLOOKUP(C28,MASTER!$C$2:$F55,{3,4},0)</f>
        <v>1740</v>
      </c>
      <c r="F28" s="221">
        <v>1890.0</v>
      </c>
      <c r="G28" s="151"/>
      <c r="H28" s="151"/>
    </row>
    <row r="29">
      <c r="A29" s="225" t="s">
        <v>228</v>
      </c>
      <c r="B29" s="224">
        <v>18.0</v>
      </c>
      <c r="C29" s="218" t="s">
        <v>473</v>
      </c>
      <c r="D29" s="220" t="str">
        <f>VLOOKUP(TEXT(A29,"#"),Main!$A$2:$C55,3,0)</f>
        <v>Single Lever High Flow Concealed Diverter Bath &amp; Shower 46mm (ON-OFF)</v>
      </c>
      <c r="E29" s="221">
        <f t="array" ref="E29:F29">VLOOKUP(C29,MASTER!$C$2:$F55,{3,4},0)</f>
        <v>6720</v>
      </c>
      <c r="F29" s="221">
        <v>7380.0</v>
      </c>
      <c r="G29" s="151"/>
      <c r="H29" s="151"/>
    </row>
    <row r="30">
      <c r="A30" s="225" t="s">
        <v>234</v>
      </c>
      <c r="B30" s="120"/>
      <c r="C30" s="218" t="s">
        <v>234</v>
      </c>
      <c r="D30" s="220" t="str">
        <f>VLOOKUP(TEXT(A30,"#"),Main!$A$2:$C55,3,0)</f>
        <v>High Flow Concealed Diverter Body 46mm (Cartridge, Sleeve, On-Off Assembly)</v>
      </c>
      <c r="E30" s="221">
        <f t="array" ref="E30:F30">VLOOKUP(C30,MASTER!$C$2:$F55,{3,4},0)</f>
        <v>4740</v>
      </c>
      <c r="F30" s="221">
        <v>5250.0</v>
      </c>
      <c r="G30" s="151"/>
      <c r="H30" s="151"/>
    </row>
    <row r="31">
      <c r="A31" s="225" t="s">
        <v>237</v>
      </c>
      <c r="B31" s="145"/>
      <c r="C31" s="218" t="s">
        <v>478</v>
      </c>
      <c r="D31" s="220" t="str">
        <f>VLOOKUP(TEXT(A31,"#"),Main!$A$2:$C55,3,0)</f>
        <v>Exposed Parts (Wall Flange &amp; Handle)</v>
      </c>
      <c r="E31" s="221">
        <f t="array" ref="E31:F31">VLOOKUP(C31,MASTER!$C$2:$F55,{3,4},0)</f>
        <v>1980</v>
      </c>
      <c r="F31" s="221">
        <v>2130.0</v>
      </c>
      <c r="G31" s="151"/>
      <c r="H31" s="151"/>
    </row>
    <row r="32">
      <c r="A32" s="225"/>
      <c r="B32" s="224">
        <v>19.0</v>
      </c>
      <c r="C32" s="218" t="s">
        <v>485</v>
      </c>
      <c r="D32" s="229" t="s">
        <v>229</v>
      </c>
      <c r="E32" s="231" t="str">
        <f t="array" ref="E32:F32">VLOOKUP(C32,MASTER!$C$2:$F55,{3,4},0)</f>
        <v>NEW</v>
      </c>
      <c r="F32" s="221">
        <v>7380.0</v>
      </c>
      <c r="G32" s="151"/>
      <c r="H32" s="232" t="s">
        <v>377</v>
      </c>
    </row>
    <row r="33">
      <c r="A33" s="225"/>
      <c r="B33" s="120"/>
      <c r="C33" s="218" t="s">
        <v>392</v>
      </c>
      <c r="D33" s="229" t="s">
        <v>1254</v>
      </c>
      <c r="E33" s="231" t="str">
        <f t="array" ref="E33:F33">VLOOKUP(C33,MASTER!$C$2:$F55,{3,4},0)</f>
        <v>NEW</v>
      </c>
      <c r="F33" s="221">
        <v>4750.0</v>
      </c>
      <c r="G33" s="151"/>
      <c r="H33" s="232" t="s">
        <v>377</v>
      </c>
    </row>
    <row r="34">
      <c r="A34" s="225"/>
      <c r="B34" s="145"/>
      <c r="C34" s="218" t="s">
        <v>488</v>
      </c>
      <c r="D34" s="229" t="s">
        <v>386</v>
      </c>
      <c r="E34" s="231" t="str">
        <f t="array" ref="E34:F34">VLOOKUP(C34,MASTER!$C$2:$F55,{3,4},0)</f>
        <v>NEW</v>
      </c>
      <c r="F34" s="221">
        <v>2630.0</v>
      </c>
      <c r="G34" s="151"/>
      <c r="H34" s="232" t="s">
        <v>377</v>
      </c>
    </row>
    <row r="35">
      <c r="A35" s="225" t="s">
        <v>249</v>
      </c>
      <c r="B35" s="224">
        <v>20.0</v>
      </c>
      <c r="C35" s="218" t="s">
        <v>499</v>
      </c>
      <c r="D35" s="220" t="str">
        <f>VLOOKUP(TEXT(A35,"#"),Main!$A$2:$C55,3,0)</f>
        <v>Single Lever 3 In Let Concealed Diverter Bath &amp; Shower 46mm (ON-OFF)</v>
      </c>
      <c r="E35" s="221">
        <f t="array" ref="E35:F35">VLOOKUP(C35,MASTER!$C$2:$F55,{3,4},0)</f>
        <v>6720</v>
      </c>
      <c r="F35" s="221">
        <v>7380.0</v>
      </c>
      <c r="G35" s="151"/>
      <c r="H35" s="239"/>
    </row>
    <row r="36">
      <c r="A36" s="225" t="s">
        <v>253</v>
      </c>
      <c r="B36" s="120"/>
      <c r="C36" s="218" t="s">
        <v>253</v>
      </c>
      <c r="D36" s="220" t="str">
        <f>VLOOKUP(TEXT(A36,"#"),Main!$A$2:$C55,3,0)</f>
        <v>3 In Let Concealed Diverter Body 46mm (Cartridge, Sleeve, On-Off Assembly)</v>
      </c>
      <c r="E36" s="221">
        <f t="array" ref="E36:F36">VLOOKUP(C36,MASTER!$C$2:$F55,{3,4},0)</f>
        <v>4740</v>
      </c>
      <c r="F36" s="221">
        <v>5250.0</v>
      </c>
      <c r="G36" s="151"/>
      <c r="H36" s="239"/>
    </row>
    <row r="37">
      <c r="A37" s="225" t="s">
        <v>258</v>
      </c>
      <c r="B37" s="145"/>
      <c r="C37" s="218" t="s">
        <v>504</v>
      </c>
      <c r="D37" s="220" t="str">
        <f>VLOOKUP(TEXT(A37,"#"),Main!$A$2:$C55,3,0)</f>
        <v>Exposed Parts (Wall Flange &amp; Handle)</v>
      </c>
      <c r="E37" s="221">
        <f t="array" ref="E37:F37">VLOOKUP(C37,MASTER!$C$2:$F55,{3,4},0)</f>
        <v>1980</v>
      </c>
      <c r="F37" s="221">
        <v>2130.0</v>
      </c>
      <c r="G37" s="151"/>
      <c r="H37" s="239"/>
    </row>
    <row r="38">
      <c r="A38" s="56" t="str">
        <f t="shared" ref="A38:A40" si="3">RIGHT(C38,2)</f>
        <v>02</v>
      </c>
      <c r="B38" s="218">
        <v>21.0</v>
      </c>
      <c r="C38" s="218">
        <v>5302.0</v>
      </c>
      <c r="D38" s="220" t="str">
        <f>VLOOKUP(TEXT(A38,"#"),Main!$A$2:$C55,3,0)</f>
        <v>Pillar Cock</v>
      </c>
      <c r="E38" s="221">
        <f t="array" ref="E38:F38">VLOOKUP(C38,MASTER!$C$2:$F55,{3,4},0)</f>
        <v>1290</v>
      </c>
      <c r="F38" s="221">
        <v>1390.0</v>
      </c>
      <c r="G38" s="151"/>
      <c r="H38" s="239"/>
    </row>
    <row r="39">
      <c r="A39" s="56" t="str">
        <f t="shared" si="3"/>
        <v>06</v>
      </c>
      <c r="B39" s="218">
        <v>22.0</v>
      </c>
      <c r="C39" s="218">
        <v>5306.0</v>
      </c>
      <c r="D39" s="220" t="str">
        <f>VLOOKUP(TEXT(A39,"#"),Main!$A$2:$C55,3,0)</f>
        <v>Bib Cock with Wall Flange</v>
      </c>
      <c r="E39" s="221">
        <f t="array" ref="E39:F39">VLOOKUP(C39,MASTER!$C$2:$F55,{3,4},0)</f>
        <v>1040</v>
      </c>
      <c r="F39" s="221">
        <v>1140.0</v>
      </c>
      <c r="G39" s="151"/>
      <c r="H39" s="239"/>
    </row>
    <row r="40">
      <c r="A40" s="56" t="str">
        <f t="shared" si="3"/>
        <v>07</v>
      </c>
      <c r="B40" s="224">
        <v>23.0</v>
      </c>
      <c r="C40" s="218">
        <v>5307.0</v>
      </c>
      <c r="D40" s="220" t="str">
        <f>VLOOKUP(TEXT(A40,"#"),Main!$A$2:$C55,3,0)</f>
        <v>Concealed Wall Mount Pillar Cock</v>
      </c>
      <c r="E40" s="221">
        <f t="array" ref="E40:F40">VLOOKUP(C40,MASTER!$C$2:$F55,{3,4},0)</f>
        <v>2680</v>
      </c>
      <c r="F40" s="221">
        <v>2840.0</v>
      </c>
      <c r="G40" s="151"/>
      <c r="H40" s="239"/>
    </row>
    <row r="41">
      <c r="A41" s="225" t="s">
        <v>73</v>
      </c>
      <c r="B41" s="120"/>
      <c r="C41" s="218" t="s">
        <v>73</v>
      </c>
      <c r="D41" s="220" t="str">
        <f>VLOOKUP(TEXT(A41,"#"),Main!$A$2:$C55,3,0)</f>
        <v>Concealed Pillar Cock Body 15mm</v>
      </c>
      <c r="E41" s="221">
        <f t="array" ref="E41:F41">VLOOKUP(C41,MASTER!$C$2:$F55,{3,4},0)</f>
        <v>1390</v>
      </c>
      <c r="F41" s="221">
        <v>1490.0</v>
      </c>
      <c r="G41" s="151"/>
      <c r="H41" s="151"/>
    </row>
    <row r="42">
      <c r="A42" s="225" t="s">
        <v>77</v>
      </c>
      <c r="B42" s="145"/>
      <c r="C42" s="218" t="s">
        <v>429</v>
      </c>
      <c r="D42" s="220" t="str">
        <f>VLOOKUP(TEXT(A42,"#"),Main!$A$2:$C55,3,0)</f>
        <v>Exposed Parts (Wall Flange, Handle &amp; Spout)</v>
      </c>
      <c r="E42" s="221">
        <f t="array" ref="E42:F42">VLOOKUP(C42,MASTER!$C$2:$F55,{3,4},0)</f>
        <v>1290</v>
      </c>
      <c r="F42" s="221">
        <v>1350.0</v>
      </c>
      <c r="G42" s="151"/>
      <c r="H42" s="151"/>
    </row>
    <row r="43">
      <c r="A43" s="56" t="str">
        <f t="shared" ref="A43:A49" si="4">RIGHT(C43,2)</f>
        <v>08</v>
      </c>
      <c r="B43" s="218">
        <v>24.0</v>
      </c>
      <c r="C43" s="218">
        <v>5308.0</v>
      </c>
      <c r="D43" s="220" t="str">
        <f>VLOOKUP(TEXT(A43,"#"),Main!$A$2:$C55,3,0)</f>
        <v>Bib Cock Long Body with Wall Flange</v>
      </c>
      <c r="E43" s="221">
        <f t="array" ref="E43:F43">VLOOKUP(C43,MASTER!$C$2:$F55,{3,4},0)</f>
        <v>1290</v>
      </c>
      <c r="F43" s="221">
        <v>1350.0</v>
      </c>
      <c r="G43" s="151"/>
      <c r="H43" s="151"/>
    </row>
    <row r="44">
      <c r="A44" s="56" t="str">
        <f t="shared" si="4"/>
        <v>10</v>
      </c>
      <c r="B44" s="218">
        <v>25.0</v>
      </c>
      <c r="C44" s="218">
        <v>5310.0</v>
      </c>
      <c r="D44" s="220" t="str">
        <f>VLOOKUP(TEXT(A44,"#"),Main!$A$2:$C55,3,0)</f>
        <v>Angular Stop Cock with Wall Flange</v>
      </c>
      <c r="E44" s="221">
        <f t="array" ref="E44:F44">VLOOKUP(C44,MASTER!$C$2:$F55,{3,4},0)</f>
        <v>790</v>
      </c>
      <c r="F44" s="221">
        <v>860.0</v>
      </c>
      <c r="G44" s="151"/>
      <c r="H44" s="151"/>
    </row>
    <row r="45">
      <c r="A45" s="56" t="str">
        <f t="shared" si="4"/>
        <v>11</v>
      </c>
      <c r="B45" s="218">
        <v>26.0</v>
      </c>
      <c r="C45" s="218">
        <v>5311.0</v>
      </c>
      <c r="D45" s="220" t="str">
        <f>VLOOKUP(TEXT(A45,"#"),Main!$A$2:$C55,3,0)</f>
        <v>2-Way Angular Stop Cock with Wall Flange</v>
      </c>
      <c r="E45" s="221">
        <f t="array" ref="E45:F45">VLOOKUP(C45,MASTER!$C$2:$F55,{3,4},0)</f>
        <v>1540</v>
      </c>
      <c r="F45" s="221">
        <v>1690.0</v>
      </c>
      <c r="G45" s="151"/>
      <c r="H45" s="151"/>
    </row>
    <row r="46">
      <c r="A46" s="56" t="str">
        <f t="shared" si="4"/>
        <v>12</v>
      </c>
      <c r="B46" s="218">
        <v>27.0</v>
      </c>
      <c r="C46" s="218">
        <v>5312.0</v>
      </c>
      <c r="D46" s="220" t="str">
        <f>VLOOKUP(TEXT(A46,"#"),Main!$A$2:$C55,3,0)</f>
        <v>2-Way Bib Cock Double Handle with Wall Flange</v>
      </c>
      <c r="E46" s="221">
        <f t="array" ref="E46:F46">VLOOKUP(C46,MASTER!$C$2:$F55,{3,4},0)</f>
        <v>1690</v>
      </c>
      <c r="F46" s="221">
        <v>1880.0</v>
      </c>
      <c r="G46" s="151"/>
      <c r="H46" s="151"/>
    </row>
    <row r="47">
      <c r="A47" s="56" t="str">
        <f t="shared" si="4"/>
        <v>18</v>
      </c>
      <c r="B47" s="218">
        <v>28.0</v>
      </c>
      <c r="C47" s="218">
        <v>5318.0</v>
      </c>
      <c r="D47" s="220" t="str">
        <f>VLOOKUP(TEXT(A47,"#"),Main!$A$2:$C55,3,0)</f>
        <v>Concealed Stop Cock 15mm with Wall Flange</v>
      </c>
      <c r="E47" s="221">
        <f t="array" ref="E47:F47">VLOOKUP(C47,MASTER!$C$2:$F55,{3,4},0)</f>
        <v>1250</v>
      </c>
      <c r="F47" s="221">
        <v>1390.0</v>
      </c>
      <c r="G47" s="151"/>
      <c r="H47" s="151"/>
    </row>
    <row r="48">
      <c r="A48" s="56" t="str">
        <f t="shared" si="4"/>
        <v>20</v>
      </c>
      <c r="B48" s="218">
        <v>29.0</v>
      </c>
      <c r="C48" s="218">
        <v>5320.0</v>
      </c>
      <c r="D48" s="220" t="str">
        <f>VLOOKUP(TEXT(A48,"#"),Main!$A$2:$C55,3,0)</f>
        <v>Concealed Stop Cock 20mm with Wall Flange</v>
      </c>
      <c r="E48" s="221">
        <f t="array" ref="E48:F48">VLOOKUP(C48,MASTER!$C$2:$F55,{3,4},0)</f>
        <v>1290</v>
      </c>
      <c r="F48" s="221">
        <v>1430.0</v>
      </c>
      <c r="G48" s="151"/>
      <c r="H48" s="151"/>
    </row>
    <row r="49">
      <c r="A49" s="56" t="str">
        <f t="shared" si="4"/>
        <v>98</v>
      </c>
      <c r="B49" s="218">
        <v>30.0</v>
      </c>
      <c r="C49" s="218">
        <v>5398.0</v>
      </c>
      <c r="D49" s="220" t="str">
        <f>VLOOKUP(TEXT(A49,"#"),Main!$A$2:$C55,3,0)</f>
        <v>Flush Cock 25mm Half Turn with Adjustable Flange</v>
      </c>
      <c r="E49" s="221">
        <f t="array" ref="E49:F49">VLOOKUP(C49,MASTER!$C$2:$F55,{3,4},0)</f>
        <v>2150</v>
      </c>
      <c r="F49" s="221">
        <v>2380.0</v>
      </c>
      <c r="G49" s="151"/>
      <c r="H49" s="151"/>
    </row>
    <row r="50">
      <c r="A50" s="3"/>
      <c r="B50" s="3"/>
      <c r="C50" s="3"/>
      <c r="D50" s="3"/>
      <c r="E50" s="10"/>
      <c r="F50" s="236"/>
      <c r="G50" s="236"/>
      <c r="H50" s="236"/>
    </row>
    <row r="51">
      <c r="A51" s="3"/>
      <c r="B51" s="3"/>
      <c r="C51" s="3"/>
      <c r="D51" s="3"/>
      <c r="E51" s="10"/>
      <c r="F51" s="236"/>
      <c r="G51" s="236"/>
      <c r="H51" s="236"/>
    </row>
    <row r="52">
      <c r="A52" s="3"/>
      <c r="B52" s="3"/>
      <c r="C52" s="3"/>
      <c r="D52" s="3"/>
      <c r="E52" s="10"/>
      <c r="F52" s="236"/>
      <c r="G52" s="236"/>
      <c r="H52" s="236"/>
    </row>
    <row r="53">
      <c r="A53" s="3"/>
      <c r="B53" s="3"/>
      <c r="C53" s="3"/>
      <c r="D53" s="3"/>
      <c r="E53" s="10"/>
      <c r="F53" s="236"/>
      <c r="G53" s="236"/>
      <c r="H53" s="236"/>
    </row>
    <row r="54">
      <c r="A54" s="3"/>
      <c r="B54" s="3"/>
      <c r="C54" s="3"/>
      <c r="D54" s="3"/>
      <c r="E54" s="10"/>
      <c r="F54" s="236"/>
      <c r="G54" s="236"/>
      <c r="H54" s="236"/>
    </row>
    <row r="55">
      <c r="A55" s="3"/>
      <c r="B55" s="3"/>
      <c r="C55" s="3"/>
      <c r="D55" s="3"/>
      <c r="E55" s="10"/>
      <c r="F55" s="236"/>
      <c r="G55" s="236"/>
      <c r="H55" s="236"/>
    </row>
  </sheetData>
  <mergeCells count="9">
    <mergeCell ref="B35:B37"/>
    <mergeCell ref="B40:B42"/>
    <mergeCell ref="B4:B6"/>
    <mergeCell ref="B17:B19"/>
    <mergeCell ref="B20:B22"/>
    <mergeCell ref="B23:B25"/>
    <mergeCell ref="B26:B28"/>
    <mergeCell ref="B29:B31"/>
    <mergeCell ref="B32:B34"/>
  </mergeCells>
  <printOptions horizontalCentered="1"/>
  <pageMargins bottom="0.75" footer="0.0" header="0.0" left="0.25" right="0.25" top="0.75"/>
  <pageSetup cellComments="atEnd" orientation="portrait" pageOrder="overThenDown"/>
  <headerFooter>
    <oddHeader>&amp;L&amp;F&amp;R&amp;A</oddHeader>
    <oddFooter>&amp;L&amp;D &amp;T&amp;R&amp;P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6.63"/>
    <col customWidth="1" min="2" max="2" width="7.13"/>
    <col customWidth="1" min="3" max="3" width="20.63"/>
    <col customWidth="1" min="4" max="4" width="83.63"/>
    <col customWidth="1" min="5" max="5" width="11.63"/>
    <col customWidth="1" min="6" max="6" width="12.38"/>
    <col customWidth="1" hidden="1" min="7" max="7" width="10.63"/>
  </cols>
  <sheetData>
    <row r="1" ht="79.5" customHeight="1">
      <c r="A1" s="217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  <c r="H1" s="240"/>
    </row>
    <row r="2">
      <c r="A2" s="56" t="str">
        <f t="shared" ref="A2:A4" si="1">RIGHT(C2,2)</f>
        <v>50</v>
      </c>
      <c r="B2" s="218">
        <v>1.0</v>
      </c>
      <c r="C2" s="218">
        <v>5450.0</v>
      </c>
      <c r="D2" s="220" t="str">
        <f>VLOOKUP(TEXT(A2,"#"),Main!$A$2:$C55,3,0)</f>
        <v>Center Hole Basin Mixer without Popup</v>
      </c>
      <c r="E2" s="221">
        <f t="array" ref="E2:F2">VLOOKUP(C2,MASTER!$C$2:$F55,{3,4},0)</f>
        <v>2980</v>
      </c>
      <c r="F2" s="221">
        <v>3240.0</v>
      </c>
      <c r="G2" s="240"/>
      <c r="H2" s="240"/>
    </row>
    <row r="3">
      <c r="A3" s="56" t="str">
        <f t="shared" si="1"/>
        <v>51</v>
      </c>
      <c r="B3" s="218">
        <v>2.0</v>
      </c>
      <c r="C3" s="218">
        <v>5451.0</v>
      </c>
      <c r="D3" s="220" t="str">
        <f>VLOOKUP(TEXT(A3,"#"),Main!$A$2:$C55,3,0)</f>
        <v>Single Lever Basin Mixer without Popup Waste System</v>
      </c>
      <c r="E3" s="221">
        <f t="array" ref="E3:F3">VLOOKUP(C3,MASTER!$C$2:$F55,{3,4},0)</f>
        <v>3880</v>
      </c>
      <c r="F3" s="221">
        <v>3980.0</v>
      </c>
      <c r="G3" s="240"/>
      <c r="H3" s="240"/>
    </row>
    <row r="4">
      <c r="A4" s="56" t="str">
        <f t="shared" si="1"/>
        <v>54</v>
      </c>
      <c r="B4" s="224">
        <v>3.0</v>
      </c>
      <c r="C4" s="218">
        <v>5454.0</v>
      </c>
      <c r="D4" s="220" t="s">
        <v>152</v>
      </c>
      <c r="E4" s="221">
        <f t="array" ref="E4:F4">VLOOKUP(C4,MASTER!$C$2:$F55,{3,4},0)</f>
        <v>5740</v>
      </c>
      <c r="F4" s="221">
        <v>6050.0</v>
      </c>
      <c r="G4" s="240"/>
      <c r="H4" s="240"/>
    </row>
    <row r="5">
      <c r="A5" s="225" t="s">
        <v>154</v>
      </c>
      <c r="B5" s="120"/>
      <c r="C5" s="218" t="s">
        <v>154</v>
      </c>
      <c r="D5" s="220" t="str">
        <f>VLOOKUP(TEXT(A5,"#"),Main!$A$2:$C55,3,0)</f>
        <v>Single Lever Basin Mixer Wall Mount (Body, Cartridge, Sleeve &amp; Nipple)</v>
      </c>
      <c r="E5" s="221">
        <f t="array" ref="E5:F5">VLOOKUP(C5,MASTER!$C$2:$F55,{3,4},0)</f>
        <v>3680</v>
      </c>
      <c r="F5" s="221">
        <v>3990.0</v>
      </c>
      <c r="G5" s="240"/>
      <c r="H5" s="240"/>
    </row>
    <row r="6">
      <c r="A6" s="225" t="s">
        <v>346</v>
      </c>
      <c r="B6" s="145"/>
      <c r="C6" s="218" t="s">
        <v>541</v>
      </c>
      <c r="D6" s="220" t="s">
        <v>78</v>
      </c>
      <c r="E6" s="221">
        <f t="array" ref="E6:F6">VLOOKUP(C6,MASTER!$C$2:$F55,{3,4},0)</f>
        <v>2060</v>
      </c>
      <c r="F6" s="221">
        <v>2060.0</v>
      </c>
      <c r="G6" s="236"/>
      <c r="H6" s="236"/>
    </row>
    <row r="7">
      <c r="A7" s="56" t="str">
        <f t="shared" ref="A7:A16" si="2">RIGHT(C7,2)</f>
        <v>70</v>
      </c>
      <c r="B7" s="218">
        <v>4.0</v>
      </c>
      <c r="C7" s="218">
        <v>5470.0</v>
      </c>
      <c r="D7" s="220" t="str">
        <f>VLOOKUP(TEXT(A7,"#"),Main!$A$2:$C55,3,0)</f>
        <v>Wall Mixer Telephonic with Crutch &amp; Wall Flange (Provision For Hand Shower)</v>
      </c>
      <c r="E7" s="221">
        <f t="array" ref="E7:F7">VLOOKUP(C7,MASTER!$C$2:$F55,{3,4},0)</f>
        <v>4990</v>
      </c>
      <c r="F7" s="221">
        <v>5380.0</v>
      </c>
      <c r="G7" s="240"/>
      <c r="H7" s="240"/>
    </row>
    <row r="8">
      <c r="A8" s="56" t="str">
        <f t="shared" si="2"/>
        <v>75</v>
      </c>
      <c r="B8" s="218">
        <v>5.0</v>
      </c>
      <c r="C8" s="218">
        <v>5475.0</v>
      </c>
      <c r="D8" s="220" t="str">
        <f>VLOOKUP(TEXT(A8,"#"),Main!$A$2:$C55,3,0)</f>
        <v>Wall Mixer "L" Bend with Wall Flange (Provision For Over Head Shower)</v>
      </c>
      <c r="E8" s="221">
        <f t="array" ref="E8:F8">VLOOKUP(C8,MASTER!$C$2:$F55,{3,4},0)</f>
        <v>4990</v>
      </c>
      <c r="F8" s="221">
        <v>5380.0</v>
      </c>
      <c r="G8" s="240"/>
      <c r="H8" s="240"/>
    </row>
    <row r="9">
      <c r="A9" s="56" t="str">
        <f t="shared" si="2"/>
        <v>80</v>
      </c>
      <c r="B9" s="218">
        <v>6.0</v>
      </c>
      <c r="C9" s="218">
        <v>5480.0</v>
      </c>
      <c r="D9" s="220" t="str">
        <f>VLOOKUP(TEXT(A9,"#"),Main!$A$2:$C55,3,0)</f>
        <v>Wall Mixer 3 In 1 with Wall Flange (Provision For Over Head Shower &amp; Hand Shower)</v>
      </c>
      <c r="E9" s="221">
        <f t="array" ref="E9:F9">VLOOKUP(C9,MASTER!$C$2:$F55,{3,4},0)</f>
        <v>5880</v>
      </c>
      <c r="F9" s="221">
        <v>6540.0</v>
      </c>
      <c r="G9" s="240"/>
      <c r="H9" s="240"/>
    </row>
    <row r="10">
      <c r="A10" s="56" t="str">
        <f t="shared" si="2"/>
        <v>55</v>
      </c>
      <c r="B10" s="218">
        <v>7.0</v>
      </c>
      <c r="C10" s="218">
        <v>5455.0</v>
      </c>
      <c r="D10" s="220" t="str">
        <f>VLOOKUP(TEXT(A10,"#"),Main!$A$2:$C55,3,0)</f>
        <v>Sink Mixer with Regular Spout Wall Mounted with Flange</v>
      </c>
      <c r="E10" s="221">
        <f t="array" ref="E10:F10">VLOOKUP(C10,MASTER!$C$2:$F55,{3,4},0)</f>
        <v>3650</v>
      </c>
      <c r="F10" s="221">
        <v>3990.0</v>
      </c>
      <c r="G10" s="240"/>
      <c r="H10" s="240"/>
    </row>
    <row r="11">
      <c r="A11" s="56" t="str">
        <f t="shared" si="2"/>
        <v>14</v>
      </c>
      <c r="B11" s="218">
        <v>8.0</v>
      </c>
      <c r="C11" s="218">
        <v>5414.0</v>
      </c>
      <c r="D11" s="220" t="str">
        <f>VLOOKUP(TEXT(A11,"#"),Main!$A$2:$C55,3,0)</f>
        <v>Swan Neck Table Mounted</v>
      </c>
      <c r="E11" s="221">
        <f t="array" ref="E11:F11">VLOOKUP(C11,MASTER!$C$2:$F55,{3,4},0)</f>
        <v>1860</v>
      </c>
      <c r="F11" s="221">
        <v>2060.0</v>
      </c>
      <c r="G11" s="240"/>
      <c r="H11" s="240"/>
    </row>
    <row r="12">
      <c r="A12" s="56" t="str">
        <f t="shared" si="2"/>
        <v>16</v>
      </c>
      <c r="B12" s="218">
        <v>9.0</v>
      </c>
      <c r="C12" s="218">
        <v>5416.0</v>
      </c>
      <c r="D12" s="220" t="str">
        <f>VLOOKUP(TEXT(A12,"#"),Main!$A$2:$C55,3,0)</f>
        <v>Sink Cock Wall Mounted with Flange</v>
      </c>
      <c r="E12" s="221">
        <f t="array" ref="E12:F12">VLOOKUP(C12,MASTER!$C$2:$F55,{3,4},0)</f>
        <v>1690</v>
      </c>
      <c r="F12" s="221">
        <v>1840.0</v>
      </c>
      <c r="G12" s="240"/>
      <c r="H12" s="240"/>
    </row>
    <row r="13">
      <c r="A13" s="56" t="str">
        <f t="shared" si="2"/>
        <v>17</v>
      </c>
      <c r="B13" s="218">
        <v>10.0</v>
      </c>
      <c r="C13" s="218">
        <v>5417.0</v>
      </c>
      <c r="D13" s="220" t="str">
        <f>VLOOKUP(TEXT(A13,"#"),Main!$A$2:$C55,3,0)</f>
        <v>Sink Cock Wall Mounted with Flange</v>
      </c>
      <c r="E13" s="221">
        <f t="array" ref="E13:F13">VLOOKUP(C13,MASTER!$C$2:$F55,{3,4},0)</f>
        <v>1840</v>
      </c>
      <c r="F13" s="221">
        <v>1970.0</v>
      </c>
      <c r="G13" s="236"/>
      <c r="H13" s="236"/>
    </row>
    <row r="14">
      <c r="A14" s="56" t="str">
        <f t="shared" si="2"/>
        <v>95</v>
      </c>
      <c r="B14" s="218">
        <v>11.0</v>
      </c>
      <c r="C14" s="218">
        <v>5495.0</v>
      </c>
      <c r="D14" s="220" t="str">
        <f>VLOOKUP(TEXT(A14,"#"),Main!$A$2:$C55,3,0)</f>
        <v>Bath Tub Spout with Flange</v>
      </c>
      <c r="E14" s="221">
        <f t="array" ref="E14:F14">VLOOKUP(C14,MASTER!$C$2:$F55,{3,4},0)</f>
        <v>1170</v>
      </c>
      <c r="F14" s="221">
        <v>1290.0</v>
      </c>
      <c r="G14" s="236"/>
      <c r="H14" s="236"/>
    </row>
    <row r="15">
      <c r="A15" s="56" t="str">
        <f t="shared" si="2"/>
        <v>96</v>
      </c>
      <c r="B15" s="218">
        <v>12.0</v>
      </c>
      <c r="C15" s="218">
        <v>5496.0</v>
      </c>
      <c r="D15" s="220" t="str">
        <f>VLOOKUP(TEXT(A15,"#"),Main!$A$2:$C55,3,0)</f>
        <v>Bath Tub Spout Tip Ton with Flange</v>
      </c>
      <c r="E15" s="221">
        <f t="array" ref="E15:F15">VLOOKUP(C15,MASTER!$C$2:$F55,{3,4},0)</f>
        <v>1780</v>
      </c>
      <c r="F15" s="221">
        <v>2060.0</v>
      </c>
      <c r="G15" s="236"/>
      <c r="H15" s="236"/>
    </row>
    <row r="16">
      <c r="A16" s="56" t="str">
        <f t="shared" si="2"/>
        <v>10</v>
      </c>
      <c r="B16" s="218">
        <v>13.0</v>
      </c>
      <c r="C16" s="218">
        <v>5410.0</v>
      </c>
      <c r="D16" s="220" t="str">
        <f>VLOOKUP(TEXT(A16,"#"),Main!$A$2:$C55,3,0)</f>
        <v>Angular Stop Cock with Wall Flange</v>
      </c>
      <c r="E16" s="221">
        <f t="array" ref="E16:F16">VLOOKUP(C16,MASTER!$C$2:$F55,{3,4},0)</f>
        <v>840</v>
      </c>
      <c r="F16" s="221">
        <v>930.0</v>
      </c>
      <c r="G16" s="236"/>
      <c r="H16" s="236"/>
    </row>
    <row r="17">
      <c r="A17" s="227" t="s">
        <v>209</v>
      </c>
      <c r="B17" s="224">
        <v>14.0</v>
      </c>
      <c r="C17" s="218" t="s">
        <v>546</v>
      </c>
      <c r="D17" s="220" t="str">
        <f>VLOOKUP(TEXT(A17,"#"),Main!$A$2:$C55,3,0)</f>
        <v>Single Lever Concealed Diverter Bath &amp; Shower 40mm</v>
      </c>
      <c r="E17" s="221">
        <f t="array" ref="E17:F17">VLOOKUP(C17,MASTER!$C$2:$F55,{3,4},0)</f>
        <v>5980</v>
      </c>
      <c r="F17" s="221">
        <v>6320.0</v>
      </c>
      <c r="G17" s="240"/>
      <c r="H17" s="240"/>
    </row>
    <row r="18">
      <c r="A18" s="225" t="s">
        <v>212</v>
      </c>
      <c r="B18" s="120"/>
      <c r="C18" s="218" t="s">
        <v>212</v>
      </c>
      <c r="D18" s="220" t="str">
        <f>VLOOKUP(TEXT(A18,"#"),Main!$A$2:$C55,3,0)</f>
        <v>Concealed Diverter Body 40mm (Cartridge, Sleeve, Tipton Assembly)</v>
      </c>
      <c r="E18" s="221">
        <f t="array" ref="E18:F18">VLOOKUP(C18,MASTER!$C$2:$F55,{3,4},0)</f>
        <v>4240</v>
      </c>
      <c r="F18" s="221">
        <v>4580.0</v>
      </c>
      <c r="G18" s="240"/>
      <c r="H18" s="240"/>
    </row>
    <row r="19">
      <c r="A19" s="225" t="s">
        <v>216</v>
      </c>
      <c r="B19" s="145"/>
      <c r="C19" s="218" t="s">
        <v>549</v>
      </c>
      <c r="D19" s="220" t="str">
        <f>VLOOKUP(TEXT(A19,"#"),Main!$A$2:$C55,3,0)</f>
        <v>Exposed Parts (Wall Flange &amp; Handle)</v>
      </c>
      <c r="E19" s="221">
        <f t="array" ref="E19:F19">VLOOKUP(C19,MASTER!$C$2:$F55,{3,4},0)</f>
        <v>1740</v>
      </c>
      <c r="F19" s="221">
        <v>1740.0</v>
      </c>
      <c r="G19" s="236"/>
      <c r="H19" s="236"/>
    </row>
    <row r="20">
      <c r="A20" s="227" t="s">
        <v>219</v>
      </c>
      <c r="B20" s="224">
        <v>15.0</v>
      </c>
      <c r="C20" s="218" t="s">
        <v>552</v>
      </c>
      <c r="D20" s="220" t="str">
        <f>VLOOKUP(TEXT(A20,"#"),Main!$A$2:$C55,3,0)</f>
        <v>Single Lever High Flow Concealed Diverter Bath &amp; Shower 46mm</v>
      </c>
      <c r="E20" s="221">
        <f t="array" ref="E20:F20">VLOOKUP(C20,MASTER!$C$2:$F55,{3,4},0)</f>
        <v>6720</v>
      </c>
      <c r="F20" s="221">
        <v>7230.0</v>
      </c>
      <c r="G20" s="240"/>
      <c r="H20" s="240"/>
    </row>
    <row r="21">
      <c r="A21" s="225" t="s">
        <v>223</v>
      </c>
      <c r="B21" s="120"/>
      <c r="C21" s="218" t="s">
        <v>223</v>
      </c>
      <c r="D21" s="220" t="str">
        <f>VLOOKUP(TEXT(A21,"#"),Main!$A$2:$C55,3,0)</f>
        <v>High Flow Concealed Diverter Body 46mm (Cartridge, Sleeve, Tipton Assembly)</v>
      </c>
      <c r="E21" s="221">
        <f t="array" ref="E21:F21">VLOOKUP(C21,MASTER!$C$2:$F55,{3,4},0)</f>
        <v>4980</v>
      </c>
      <c r="F21" s="221">
        <v>5490.0</v>
      </c>
      <c r="G21" s="240"/>
      <c r="H21" s="240"/>
    </row>
    <row r="22">
      <c r="A22" s="225" t="s">
        <v>226</v>
      </c>
      <c r="B22" s="145"/>
      <c r="C22" s="218" t="s">
        <v>555</v>
      </c>
      <c r="D22" s="220" t="str">
        <f>VLOOKUP(TEXT(A22,"#"),Main!$A$2:$C55,3,0)</f>
        <v>Exposed Parts (Wall Flange &amp; Handle)</v>
      </c>
      <c r="E22" s="221">
        <f t="array" ref="E22:F22">VLOOKUP(C22,MASTER!$C$2:$F55,{3,4},0)</f>
        <v>1740</v>
      </c>
      <c r="F22" s="221">
        <v>1740.0</v>
      </c>
      <c r="G22" s="236"/>
      <c r="H22" s="236"/>
    </row>
    <row r="23">
      <c r="A23" s="225"/>
      <c r="B23" s="224">
        <v>16.0</v>
      </c>
      <c r="C23" s="218" t="s">
        <v>564</v>
      </c>
      <c r="D23" s="229" t="s">
        <v>220</v>
      </c>
      <c r="E23" s="231" t="str">
        <f t="array" ref="E23:F23">VLOOKUP(C23,MASTER!$C$2:$F55,{3,4},0)</f>
        <v>NEW</v>
      </c>
      <c r="F23" s="221">
        <v>7230.0</v>
      </c>
      <c r="G23" s="236"/>
      <c r="H23" s="232" t="s">
        <v>377</v>
      </c>
    </row>
    <row r="24">
      <c r="A24" s="225"/>
      <c r="B24" s="120"/>
      <c r="C24" s="218" t="s">
        <v>381</v>
      </c>
      <c r="D24" s="229" t="s">
        <v>1252</v>
      </c>
      <c r="E24" s="231" t="str">
        <f t="array" ref="E24:F24">VLOOKUP(C24,MASTER!$C$2:$F55,{3,4},0)</f>
        <v>NEW</v>
      </c>
      <c r="F24" s="221">
        <v>4990.0</v>
      </c>
      <c r="G24" s="236"/>
      <c r="H24" s="232" t="s">
        <v>377</v>
      </c>
    </row>
    <row r="25">
      <c r="A25" s="225"/>
      <c r="B25" s="145"/>
      <c r="C25" s="218" t="s">
        <v>569</v>
      </c>
      <c r="D25" s="229" t="s">
        <v>386</v>
      </c>
      <c r="E25" s="231" t="str">
        <f t="array" ref="E25:F25">VLOOKUP(C25,MASTER!$C$2:$F55,{3,4},0)</f>
        <v>NEW</v>
      </c>
      <c r="F25" s="221">
        <v>2240.0</v>
      </c>
      <c r="G25" s="236"/>
      <c r="H25" s="232" t="s">
        <v>377</v>
      </c>
    </row>
    <row r="26">
      <c r="A26" s="227" t="s">
        <v>239</v>
      </c>
      <c r="B26" s="224">
        <v>17.0</v>
      </c>
      <c r="C26" s="218" t="s">
        <v>578</v>
      </c>
      <c r="D26" s="220" t="str">
        <f>VLOOKUP(TEXT(A26,"#"),Main!$A$2:$C55,3,0)</f>
        <v>Single Lever 3 In Let Concealed Diverter Bath &amp; Shower 46mm</v>
      </c>
      <c r="E26" s="221">
        <f t="array" ref="E26:F26">VLOOKUP(C26,MASTER!$C$2:$F55,{3,4},0)</f>
        <v>6720</v>
      </c>
      <c r="F26" s="221">
        <v>7230.0</v>
      </c>
      <c r="G26" s="240"/>
      <c r="H26" s="240"/>
    </row>
    <row r="27">
      <c r="A27" s="225" t="s">
        <v>243</v>
      </c>
      <c r="B27" s="120"/>
      <c r="C27" s="233" t="s">
        <v>243</v>
      </c>
      <c r="D27" s="220" t="str">
        <f>VLOOKUP(TEXT(A27,"#"),Main!$A$2:$C55,3,0)</f>
        <v>3 In Let Concealed Diverter Body 46mm (Cartridge, Sleeve, Tipton Assembly)</v>
      </c>
      <c r="E27" s="221">
        <f t="array" ref="E27:F27">VLOOKUP(C27,MASTER!$C$2:$F55,{3,4},0)</f>
        <v>4980</v>
      </c>
      <c r="F27" s="221">
        <v>5490.0</v>
      </c>
      <c r="G27" s="240"/>
      <c r="H27" s="240"/>
    </row>
    <row r="28">
      <c r="A28" s="225" t="s">
        <v>247</v>
      </c>
      <c r="B28" s="145"/>
      <c r="C28" s="233" t="s">
        <v>582</v>
      </c>
      <c r="D28" s="220" t="str">
        <f>VLOOKUP(TEXT(A28,"#"),Main!$A$2:$C55,3,0)</f>
        <v>Exposed Parts (Wall Flange &amp; Handle)</v>
      </c>
      <c r="E28" s="221">
        <f t="array" ref="E28:F28">VLOOKUP(C28,MASTER!$C$2:$F55,{3,4},0)</f>
        <v>1740</v>
      </c>
      <c r="F28" s="221">
        <v>1740.0</v>
      </c>
      <c r="G28" s="236"/>
      <c r="H28" s="236"/>
    </row>
    <row r="29">
      <c r="A29" s="225" t="s">
        <v>228</v>
      </c>
      <c r="B29" s="224">
        <v>18.0</v>
      </c>
      <c r="C29" s="218" t="s">
        <v>558</v>
      </c>
      <c r="D29" s="220" t="str">
        <f>VLOOKUP(TEXT(A29,"#"),Main!$A$2:$C55,3,0)</f>
        <v>Single Lever High Flow Concealed Diverter Bath &amp; Shower 46mm (ON-OFF)</v>
      </c>
      <c r="E29" s="221">
        <f t="array" ref="E29:F29">VLOOKUP(C29,MASTER!$C$2:$F55,{3,4},0)</f>
        <v>6720</v>
      </c>
      <c r="F29" s="221">
        <v>7230.0</v>
      </c>
      <c r="G29" s="240"/>
      <c r="H29" s="240"/>
    </row>
    <row r="30">
      <c r="A30" s="225" t="s">
        <v>234</v>
      </c>
      <c r="B30" s="120"/>
      <c r="C30" s="218" t="s">
        <v>234</v>
      </c>
      <c r="D30" s="220" t="str">
        <f>VLOOKUP(TEXT(A30,"#"),Main!$A$2:$C55,3,0)</f>
        <v>High Flow Concealed Diverter Body 46mm (Cartridge, Sleeve, On-Off Assembly)</v>
      </c>
      <c r="E30" s="221">
        <f t="array" ref="E30:F30">VLOOKUP(C30,MASTER!$C$2:$F55,{3,4},0)</f>
        <v>4740</v>
      </c>
      <c r="F30" s="221">
        <v>5250.0</v>
      </c>
      <c r="G30" s="240"/>
      <c r="H30" s="240"/>
    </row>
    <row r="31">
      <c r="A31" s="225" t="s">
        <v>237</v>
      </c>
      <c r="B31" s="145"/>
      <c r="C31" s="218" t="s">
        <v>561</v>
      </c>
      <c r="D31" s="220" t="str">
        <f>VLOOKUP(TEXT(A31,"#"),Main!$A$2:$C55,3,0)</f>
        <v>Exposed Parts (Wall Flange &amp; Handle)</v>
      </c>
      <c r="E31" s="221">
        <f t="array" ref="E31:F31">VLOOKUP(C31,MASTER!$C$2:$F55,{3,4},0)</f>
        <v>1980</v>
      </c>
      <c r="F31" s="221">
        <v>1980.0</v>
      </c>
      <c r="G31" s="236"/>
      <c r="H31" s="236"/>
    </row>
    <row r="32">
      <c r="A32" s="225"/>
      <c r="B32" s="224">
        <v>19.0</v>
      </c>
      <c r="C32" s="218" t="s">
        <v>572</v>
      </c>
      <c r="D32" s="229" t="s">
        <v>229</v>
      </c>
      <c r="E32" s="231" t="str">
        <f t="array" ref="E32:F32">VLOOKUP(C32,MASTER!$C$2:$F55,{3,4},0)</f>
        <v>NEW</v>
      </c>
      <c r="F32" s="221">
        <v>7230.0</v>
      </c>
      <c r="G32" s="236"/>
      <c r="H32" s="232" t="s">
        <v>377</v>
      </c>
    </row>
    <row r="33">
      <c r="A33" s="225"/>
      <c r="B33" s="120"/>
      <c r="C33" s="218" t="s">
        <v>392</v>
      </c>
      <c r="D33" s="229" t="s">
        <v>1254</v>
      </c>
      <c r="E33" s="231" t="str">
        <f t="array" ref="E33:F33">VLOOKUP(C33,MASTER!$C$2:$F55,{3,4},0)</f>
        <v>NEW</v>
      </c>
      <c r="F33" s="221">
        <v>4750.0</v>
      </c>
      <c r="G33" s="236"/>
      <c r="H33" s="232" t="s">
        <v>377</v>
      </c>
    </row>
    <row r="34">
      <c r="A34" s="225"/>
      <c r="B34" s="145"/>
      <c r="C34" s="218" t="s">
        <v>575</v>
      </c>
      <c r="D34" s="229" t="s">
        <v>386</v>
      </c>
      <c r="E34" s="231" t="str">
        <f t="array" ref="E34:F34">VLOOKUP(C34,MASTER!$C$2:$F55,{3,4},0)</f>
        <v>NEW</v>
      </c>
      <c r="F34" s="221">
        <v>2480.0</v>
      </c>
      <c r="G34" s="236"/>
      <c r="H34" s="232" t="s">
        <v>377</v>
      </c>
    </row>
    <row r="35">
      <c r="A35" s="225" t="s">
        <v>249</v>
      </c>
      <c r="B35" s="224">
        <v>20.0</v>
      </c>
      <c r="C35" s="218" t="s">
        <v>585</v>
      </c>
      <c r="D35" s="220" t="str">
        <f>VLOOKUP(TEXT(A35,"#"),Main!$A$2:$C55,3,0)</f>
        <v>Single Lever 3 In Let Concealed Diverter Bath &amp; Shower 46mm (ON-OFF)</v>
      </c>
      <c r="E35" s="221">
        <f t="array" ref="E35:F35">VLOOKUP(C35,MASTER!$C$2:$F55,{3,4},0)</f>
        <v>6720</v>
      </c>
      <c r="F35" s="221">
        <v>7230.0</v>
      </c>
      <c r="G35" s="240"/>
      <c r="H35" s="242"/>
    </row>
    <row r="36">
      <c r="A36" s="225" t="s">
        <v>253</v>
      </c>
      <c r="B36" s="120"/>
      <c r="C36" s="218" t="s">
        <v>253</v>
      </c>
      <c r="D36" s="220" t="str">
        <f>VLOOKUP(TEXT(A36,"#"),Main!$A$2:$C55,3,0)</f>
        <v>3 In Let Concealed Diverter Body 46mm (Cartridge, Sleeve, On-Off Assembly)</v>
      </c>
      <c r="E36" s="221">
        <f t="array" ref="E36:F36">VLOOKUP(C36,MASTER!$C$2:$F55,{3,4},0)</f>
        <v>4740</v>
      </c>
      <c r="F36" s="221">
        <v>5250.0</v>
      </c>
      <c r="G36" s="240"/>
      <c r="H36" s="242"/>
    </row>
    <row r="37">
      <c r="A37" s="225" t="s">
        <v>258</v>
      </c>
      <c r="B37" s="145"/>
      <c r="C37" s="218" t="s">
        <v>590</v>
      </c>
      <c r="D37" s="220" t="str">
        <f>VLOOKUP(TEXT(A37,"#"),Main!$A$2:$C55,3,0)</f>
        <v>Exposed Parts (Wall Flange &amp; Handle)</v>
      </c>
      <c r="E37" s="221">
        <f t="array" ref="E37:F37">VLOOKUP(C37,MASTER!$C$2:$F55,{3,4},0)</f>
        <v>1980</v>
      </c>
      <c r="F37" s="221">
        <v>1980.0</v>
      </c>
      <c r="G37" s="236"/>
      <c r="H37" s="248"/>
    </row>
    <row r="38">
      <c r="A38" s="56" t="str">
        <f t="shared" ref="A38:A41" si="3">RIGHT(C38,2)</f>
        <v>02</v>
      </c>
      <c r="B38" s="218">
        <v>21.0</v>
      </c>
      <c r="C38" s="218">
        <v>5402.0</v>
      </c>
      <c r="D38" s="220" t="str">
        <f>VLOOKUP(TEXT(A38,"#"),Main!$A$2:$C55,3,0)</f>
        <v>Pillar Cock</v>
      </c>
      <c r="E38" s="221">
        <f t="array" ref="E38:F38">VLOOKUP(C38,MASTER!$C$2:$F55,{3,4},0)</f>
        <v>1440</v>
      </c>
      <c r="F38" s="221">
        <v>1590.0</v>
      </c>
      <c r="G38" s="240"/>
      <c r="H38" s="242"/>
    </row>
    <row r="39">
      <c r="A39" s="56" t="str">
        <f t="shared" si="3"/>
        <v>04</v>
      </c>
      <c r="B39" s="218">
        <v>22.0</v>
      </c>
      <c r="C39" s="218">
        <v>5404.0</v>
      </c>
      <c r="D39" s="220" t="str">
        <f>VLOOKUP(TEXT(A39,"#"),Main!$A$2:$C55,3,0)</f>
        <v>Pillar Cock Extended Body</v>
      </c>
      <c r="E39" s="221">
        <f t="array" ref="E39:F39">VLOOKUP(C39,MASTER!$C$2:$F55,{3,4},0)</f>
        <v>2190</v>
      </c>
      <c r="F39" s="221">
        <v>2440.0</v>
      </c>
      <c r="G39" s="240"/>
      <c r="H39" s="242"/>
    </row>
    <row r="40">
      <c r="A40" s="56" t="str">
        <f t="shared" si="3"/>
        <v>06</v>
      </c>
      <c r="B40" s="218">
        <v>23.0</v>
      </c>
      <c r="C40" s="218">
        <v>5406.0</v>
      </c>
      <c r="D40" s="220" t="str">
        <f>VLOOKUP(TEXT(A40,"#"),Main!$A$2:$C55,3,0)</f>
        <v>Bib Cock with Wall Flange</v>
      </c>
      <c r="E40" s="221">
        <f t="array" ref="E40:F40">VLOOKUP(C40,MASTER!$C$2:$F55,{3,4},0)</f>
        <v>1390</v>
      </c>
      <c r="F40" s="221">
        <v>1540.0</v>
      </c>
      <c r="G40" s="236"/>
      <c r="H40" s="248"/>
    </row>
    <row r="41">
      <c r="A41" s="56" t="str">
        <f t="shared" si="3"/>
        <v>07</v>
      </c>
      <c r="B41" s="224">
        <v>24.0</v>
      </c>
      <c r="C41" s="218">
        <v>5407.0</v>
      </c>
      <c r="D41" s="220" t="str">
        <f>VLOOKUP(TEXT(A41,"#"),Main!$A$2:$C55,3,0)</f>
        <v>Concealed Wall Mount Pillar Cock</v>
      </c>
      <c r="E41" s="221">
        <f t="array" ref="E41:F41">VLOOKUP(C41,MASTER!$C$2:$F55,{3,4},0)</f>
        <v>2680</v>
      </c>
      <c r="F41" s="221">
        <v>2850.0</v>
      </c>
      <c r="G41" s="236"/>
      <c r="H41" s="236"/>
    </row>
    <row r="42">
      <c r="A42" s="225" t="s">
        <v>73</v>
      </c>
      <c r="B42" s="120"/>
      <c r="C42" s="218" t="s">
        <v>73</v>
      </c>
      <c r="D42" s="220" t="str">
        <f>VLOOKUP(TEXT(A42,"#"),Main!$A$2:$C55,3,0)</f>
        <v>Concealed Pillar Cock Body 15mm</v>
      </c>
      <c r="E42" s="221">
        <f t="array" ref="E42:F42">VLOOKUP(C42,MASTER!$C$2:$F55,{3,4},0)</f>
        <v>1390</v>
      </c>
      <c r="F42" s="221">
        <v>1490.0</v>
      </c>
      <c r="G42" s="236"/>
      <c r="H42" s="236"/>
    </row>
    <row r="43">
      <c r="A43" s="225" t="s">
        <v>77</v>
      </c>
      <c r="B43" s="145"/>
      <c r="C43" s="218" t="s">
        <v>520</v>
      </c>
      <c r="D43" s="220" t="str">
        <f>VLOOKUP(TEXT(A43,"#"),Main!$A$2:$C55,3,0)</f>
        <v>Exposed Parts (Wall Flange, Handle &amp; Spout)</v>
      </c>
      <c r="E43" s="221">
        <f t="array" ref="E43:F43">VLOOKUP(C43,MASTER!$C$2:$F55,{3,4},0)</f>
        <v>1290</v>
      </c>
      <c r="F43" s="221">
        <v>1360.0</v>
      </c>
      <c r="G43" s="236"/>
      <c r="H43" s="236"/>
    </row>
    <row r="44">
      <c r="A44" s="56" t="str">
        <f t="shared" ref="A44:A49" si="4">RIGHT(C44,2)</f>
        <v>08</v>
      </c>
      <c r="B44" s="218">
        <v>25.0</v>
      </c>
      <c r="C44" s="218">
        <v>5408.0</v>
      </c>
      <c r="D44" s="220" t="str">
        <f>VLOOKUP(TEXT(A44,"#"),Main!$A$2:$C55,3,0)</f>
        <v>Bib Cock Long Body with Wall Flange</v>
      </c>
      <c r="E44" s="221">
        <f t="array" ref="E44:F44">VLOOKUP(C44,MASTER!$C$2:$F55,{3,4},0)</f>
        <v>1490</v>
      </c>
      <c r="F44" s="221">
        <v>1640.0</v>
      </c>
      <c r="G44" s="236"/>
      <c r="H44" s="236"/>
    </row>
    <row r="45">
      <c r="A45" s="56" t="str">
        <f t="shared" si="4"/>
        <v>11</v>
      </c>
      <c r="B45" s="218">
        <v>26.0</v>
      </c>
      <c r="C45" s="218">
        <v>5411.0</v>
      </c>
      <c r="D45" s="220" t="str">
        <f>VLOOKUP(TEXT(A45,"#"),Main!$A$2:$C55,3,0)</f>
        <v>2-Way Angular Stop Cock with Wall Flange</v>
      </c>
      <c r="E45" s="221">
        <f t="array" ref="E45:F45">VLOOKUP(C45,MASTER!$C$2:$F55,{3,4},0)</f>
        <v>1590</v>
      </c>
      <c r="F45" s="221">
        <v>1730.0</v>
      </c>
      <c r="G45" s="236"/>
      <c r="H45" s="236"/>
    </row>
    <row r="46">
      <c r="A46" s="56" t="str">
        <f t="shared" si="4"/>
        <v>12</v>
      </c>
      <c r="B46" s="218">
        <v>27.0</v>
      </c>
      <c r="C46" s="218">
        <v>5412.0</v>
      </c>
      <c r="D46" s="220" t="str">
        <f>VLOOKUP(TEXT(A46,"#"),Main!$A$2:$C55,3,0)</f>
        <v>2-Way Bib Cock Double Handle with Wall Flange</v>
      </c>
      <c r="E46" s="221">
        <f t="array" ref="E46:F46">VLOOKUP(C46,MASTER!$C$2:$F55,{3,4},0)</f>
        <v>1980</v>
      </c>
      <c r="F46" s="221">
        <v>2180.0</v>
      </c>
      <c r="G46" s="240"/>
      <c r="H46" s="240"/>
    </row>
    <row r="47">
      <c r="A47" s="56" t="str">
        <f t="shared" si="4"/>
        <v>18</v>
      </c>
      <c r="B47" s="218">
        <v>28.0</v>
      </c>
      <c r="C47" s="218">
        <v>5418.0</v>
      </c>
      <c r="D47" s="220" t="str">
        <f>VLOOKUP(TEXT(A47,"#"),Main!$A$2:$C55,3,0)</f>
        <v>Concealed Stop Cock 15mm with Wall Flange</v>
      </c>
      <c r="E47" s="221">
        <f t="array" ref="E47:F47">VLOOKUP(C47,MASTER!$C$2:$F55,{3,4},0)</f>
        <v>1250</v>
      </c>
      <c r="F47" s="221">
        <v>1410.0</v>
      </c>
      <c r="G47" s="240"/>
      <c r="H47" s="240"/>
    </row>
    <row r="48">
      <c r="A48" s="56" t="str">
        <f t="shared" si="4"/>
        <v>20</v>
      </c>
      <c r="B48" s="218">
        <v>29.0</v>
      </c>
      <c r="C48" s="218">
        <v>5420.0</v>
      </c>
      <c r="D48" s="220" t="str">
        <f>VLOOKUP(TEXT(A48,"#"),Main!$A$2:$C55,3,0)</f>
        <v>Concealed Stop Cock 20mm with Wall Flange</v>
      </c>
      <c r="E48" s="221">
        <f t="array" ref="E48:F48">VLOOKUP(C48,MASTER!$C$2:$F55,{3,4},0)</f>
        <v>1290</v>
      </c>
      <c r="F48" s="221">
        <v>1450.0</v>
      </c>
      <c r="G48" s="240"/>
      <c r="H48" s="240"/>
    </row>
    <row r="49">
      <c r="A49" s="56" t="str">
        <f t="shared" si="4"/>
        <v>98</v>
      </c>
      <c r="B49" s="218">
        <v>30.0</v>
      </c>
      <c r="C49" s="218">
        <v>5498.0</v>
      </c>
      <c r="D49" s="220" t="str">
        <f>VLOOKUP(TEXT(A49,"#"),Main!$A$2:$C55,3,0)</f>
        <v>Flush Cock 25mm Half Turn with Adjustable Flange</v>
      </c>
      <c r="E49" s="221">
        <f t="array" ref="E49:F49">VLOOKUP(C49,MASTER!$C$2:$F55,{3,4},0)</f>
        <v>2150</v>
      </c>
      <c r="F49" s="221">
        <v>2480.0</v>
      </c>
      <c r="G49" s="240"/>
      <c r="H49" s="240"/>
    </row>
    <row r="50">
      <c r="A50" s="3"/>
      <c r="B50" s="3"/>
      <c r="C50" s="3"/>
      <c r="D50" s="3"/>
      <c r="E50" s="10"/>
      <c r="F50" s="249"/>
      <c r="G50" s="236"/>
      <c r="H50" s="236"/>
    </row>
    <row r="51">
      <c r="A51" s="3"/>
      <c r="B51" s="3"/>
      <c r="C51" s="3"/>
      <c r="D51" s="3"/>
      <c r="E51" s="10"/>
      <c r="F51" s="249"/>
      <c r="G51" s="236"/>
      <c r="H51" s="236"/>
    </row>
    <row r="52">
      <c r="A52" s="3"/>
      <c r="B52" s="3"/>
      <c r="C52" s="3"/>
      <c r="D52" s="3"/>
      <c r="E52" s="10"/>
      <c r="F52" s="249"/>
      <c r="G52" s="236"/>
      <c r="H52" s="236"/>
    </row>
    <row r="53">
      <c r="A53" s="3"/>
      <c r="B53" s="3"/>
      <c r="C53" s="3"/>
      <c r="D53" s="3"/>
      <c r="E53" s="10"/>
      <c r="F53" s="249"/>
      <c r="G53" s="236"/>
      <c r="H53" s="236"/>
    </row>
    <row r="54">
      <c r="A54" s="3"/>
      <c r="B54" s="3"/>
      <c r="C54" s="3"/>
      <c r="D54" s="3"/>
      <c r="E54" s="10"/>
      <c r="F54" s="249"/>
      <c r="G54" s="236"/>
      <c r="H54" s="236"/>
    </row>
    <row r="55">
      <c r="A55" s="3"/>
      <c r="B55" s="3"/>
      <c r="C55" s="3"/>
      <c r="D55" s="3"/>
      <c r="E55" s="10"/>
      <c r="F55" s="249"/>
      <c r="G55" s="236"/>
      <c r="H55" s="236"/>
    </row>
  </sheetData>
  <mergeCells count="9">
    <mergeCell ref="B35:B37"/>
    <mergeCell ref="B41:B43"/>
    <mergeCell ref="B4:B6"/>
    <mergeCell ref="B17:B19"/>
    <mergeCell ref="B20:B22"/>
    <mergeCell ref="B23:B25"/>
    <mergeCell ref="B26:B28"/>
    <mergeCell ref="B29:B31"/>
    <mergeCell ref="B32:B34"/>
  </mergeCells>
  <printOptions horizontalCentered="1"/>
  <pageMargins bottom="0.75" footer="0.0" header="0.0" left="0.25" right="0.25" top="0.75"/>
  <pageSetup paperSize="9" cellComments="atEnd" orientation="portrait" pageOrder="overThenDown"/>
  <headerFooter>
    <oddHeader>&amp;L&amp;F&amp;R&amp;A</oddHeader>
    <oddFooter>&amp;L&amp;D &amp;T&amp;R&amp;P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6.63"/>
    <col customWidth="1" min="2" max="2" width="7.13"/>
    <col customWidth="1" min="3" max="3" width="20.63"/>
    <col customWidth="1" min="4" max="4" width="83.63"/>
    <col customWidth="1" min="5" max="6" width="11.63"/>
    <col customWidth="1" hidden="1" min="7" max="7" width="9.0"/>
  </cols>
  <sheetData>
    <row r="1" ht="73.5" customHeight="1">
      <c r="A1" s="217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  <c r="H1" s="10"/>
    </row>
    <row r="2">
      <c r="A2" s="56" t="str">
        <f t="shared" ref="A2:A4" si="1">RIGHT(C2,2)</f>
        <v>50</v>
      </c>
      <c r="B2" s="218">
        <v>1.0</v>
      </c>
      <c r="C2" s="218">
        <v>5550.0</v>
      </c>
      <c r="D2" s="220" t="str">
        <f>VLOOKUP(TEXT(A2,"#"),Main!$A$2:$C55,3,0)</f>
        <v>Center Hole Basin Mixer without Popup</v>
      </c>
      <c r="E2" s="221">
        <f t="array" ref="E2:F2">VLOOKUP(C2,MASTER!$C$2:$F55,{3,4},0)</f>
        <v>2980</v>
      </c>
      <c r="F2" s="221">
        <v>3240.0</v>
      </c>
      <c r="G2" s="223"/>
      <c r="H2" s="223"/>
    </row>
    <row r="3">
      <c r="A3" s="56" t="str">
        <f t="shared" si="1"/>
        <v>51</v>
      </c>
      <c r="B3" s="218">
        <v>2.0</v>
      </c>
      <c r="C3" s="218">
        <v>5551.0</v>
      </c>
      <c r="D3" s="220" t="str">
        <f>VLOOKUP(TEXT(A3,"#"),Main!$A$2:$C55,3,0)</f>
        <v>Single Lever Basin Mixer without Popup Waste System</v>
      </c>
      <c r="E3" s="221">
        <f t="array" ref="E3:F3">VLOOKUP(C3,MASTER!$C$2:$F55,{3,4},0)</f>
        <v>3760</v>
      </c>
      <c r="F3" s="221">
        <v>3990.0</v>
      </c>
      <c r="G3" s="223"/>
      <c r="H3" s="223"/>
    </row>
    <row r="4">
      <c r="A4" s="56" t="str">
        <f t="shared" si="1"/>
        <v>54</v>
      </c>
      <c r="B4" s="224">
        <v>3.0</v>
      </c>
      <c r="C4" s="218">
        <v>5554.0</v>
      </c>
      <c r="D4" s="220" t="s">
        <v>152</v>
      </c>
      <c r="E4" s="221">
        <f t="array" ref="E4:F4">VLOOKUP(C4,MASTER!$C$2:$F55,{3,4},0)</f>
        <v>5740</v>
      </c>
      <c r="F4" s="221">
        <v>6170.0</v>
      </c>
      <c r="G4" s="223"/>
      <c r="H4" s="223"/>
    </row>
    <row r="5">
      <c r="A5" s="225" t="s">
        <v>154</v>
      </c>
      <c r="B5" s="120"/>
      <c r="C5" s="218" t="s">
        <v>154</v>
      </c>
      <c r="D5" s="220" t="str">
        <f>VLOOKUP(TEXT(A5,"#"),Main!$A$2:$C55,3,0)</f>
        <v>Single Lever Basin Mixer Wall Mount (Body, Cartridge, Sleeve &amp; Nipple)</v>
      </c>
      <c r="E5" s="221">
        <f t="array" ref="E5:F5">VLOOKUP(C5,MASTER!$C$2:$F55,{3,4},0)</f>
        <v>3680</v>
      </c>
      <c r="F5" s="221">
        <v>3990.0</v>
      </c>
      <c r="G5" s="223"/>
      <c r="H5" s="223"/>
    </row>
    <row r="6">
      <c r="A6" s="225" t="s">
        <v>346</v>
      </c>
      <c r="B6" s="145"/>
      <c r="C6" s="218" t="s">
        <v>616</v>
      </c>
      <c r="D6" s="220" t="s">
        <v>78</v>
      </c>
      <c r="E6" s="221">
        <f t="array" ref="E6:F6">VLOOKUP(C6,MASTER!$C$2:$F55,{3,4},0)</f>
        <v>2060</v>
      </c>
      <c r="F6" s="221">
        <v>2180.0</v>
      </c>
      <c r="G6" s="10"/>
      <c r="H6" s="10"/>
    </row>
    <row r="7">
      <c r="A7" s="56" t="str">
        <f t="shared" ref="A7:A15" si="2">RIGHT(C7,2)</f>
        <v>70</v>
      </c>
      <c r="B7" s="224">
        <v>4.0</v>
      </c>
      <c r="C7" s="218">
        <v>5570.0</v>
      </c>
      <c r="D7" s="220" t="str">
        <f>VLOOKUP(TEXT(A7,"#"),Main!$A$2:$C55,3,0)</f>
        <v>Wall Mixer Telephonic with Crutch &amp; Wall Flange (Provision For Hand Shower)</v>
      </c>
      <c r="E7" s="221">
        <f t="array" ref="E7:F7">VLOOKUP(C7,MASTER!$C$2:$F55,{3,4},0)</f>
        <v>4990</v>
      </c>
      <c r="F7" s="221">
        <v>5380.0</v>
      </c>
      <c r="G7" s="223"/>
      <c r="H7" s="223"/>
    </row>
    <row r="8">
      <c r="A8" s="56" t="str">
        <f t="shared" si="2"/>
        <v>75</v>
      </c>
      <c r="B8" s="218">
        <v>5.0</v>
      </c>
      <c r="C8" s="218">
        <v>5575.0</v>
      </c>
      <c r="D8" s="220" t="str">
        <f>VLOOKUP(TEXT(A8,"#"),Main!$A$2:$C55,3,0)</f>
        <v>Wall Mixer "L" Bend with Wall Flange (Provision For Over Head Shower)</v>
      </c>
      <c r="E8" s="221">
        <f t="array" ref="E8:F8">VLOOKUP(C8,MASTER!$C$2:$F55,{3,4},0)</f>
        <v>4990</v>
      </c>
      <c r="F8" s="221">
        <v>5380.0</v>
      </c>
      <c r="G8" s="223"/>
      <c r="H8" s="223"/>
    </row>
    <row r="9">
      <c r="A9" s="56" t="str">
        <f t="shared" si="2"/>
        <v>80</v>
      </c>
      <c r="B9" s="218">
        <v>6.0</v>
      </c>
      <c r="C9" s="218">
        <v>5580.0</v>
      </c>
      <c r="D9" s="220" t="str">
        <f>VLOOKUP(TEXT(A9,"#"),Main!$A$2:$C55,3,0)</f>
        <v>Wall Mixer 3 In 1 with Wall Flange (Provision For Over Head Shower &amp; Hand Shower)</v>
      </c>
      <c r="E9" s="221">
        <f t="array" ref="E9:F9">VLOOKUP(C9,MASTER!$C$2:$F55,{3,4},0)</f>
        <v>5880</v>
      </c>
      <c r="F9" s="221">
        <v>6280.0</v>
      </c>
      <c r="G9" s="223"/>
      <c r="H9" s="223"/>
    </row>
    <row r="10">
      <c r="A10" s="56" t="str">
        <f t="shared" si="2"/>
        <v>55</v>
      </c>
      <c r="B10" s="218">
        <v>7.0</v>
      </c>
      <c r="C10" s="218">
        <v>5555.0</v>
      </c>
      <c r="D10" s="220" t="str">
        <f>VLOOKUP(TEXT(A10,"#"),Main!$A$2:$C55,3,0)</f>
        <v>Sink Mixer with Regular Spout Wall Mounted with Flange</v>
      </c>
      <c r="E10" s="221">
        <f t="array" ref="E10:F10">VLOOKUP(C10,MASTER!$C$2:$F55,{3,4},0)</f>
        <v>3480</v>
      </c>
      <c r="F10" s="221">
        <v>3780.0</v>
      </c>
      <c r="G10" s="223"/>
      <c r="H10" s="223"/>
    </row>
    <row r="11">
      <c r="A11" s="56" t="str">
        <f t="shared" si="2"/>
        <v>14</v>
      </c>
      <c r="B11" s="218">
        <v>8.0</v>
      </c>
      <c r="C11" s="218">
        <v>5514.0</v>
      </c>
      <c r="D11" s="220" t="str">
        <f>VLOOKUP(TEXT(A11,"#"),Main!$A$2:$C55,3,0)</f>
        <v>Swan Neck Table Mounted</v>
      </c>
      <c r="E11" s="221">
        <f t="array" ref="E11:F11">VLOOKUP(C11,MASTER!$C$2:$F55,{3,4},0)</f>
        <v>1890</v>
      </c>
      <c r="F11" s="221">
        <v>2080.0</v>
      </c>
      <c r="G11" s="223"/>
      <c r="H11" s="223"/>
    </row>
    <row r="12">
      <c r="A12" s="56" t="str">
        <f t="shared" si="2"/>
        <v>16</v>
      </c>
      <c r="B12" s="218">
        <v>9.0</v>
      </c>
      <c r="C12" s="218">
        <v>5516.0</v>
      </c>
      <c r="D12" s="220" t="str">
        <f>VLOOKUP(TEXT(A12,"#"),Main!$A$2:$C55,3,0)</f>
        <v>Sink Cock Wall Mounted with Flange</v>
      </c>
      <c r="E12" s="221">
        <f t="array" ref="E12:F12">VLOOKUP(C12,MASTER!$C$2:$F55,{3,4},0)</f>
        <v>1590</v>
      </c>
      <c r="F12" s="221">
        <v>1740.0</v>
      </c>
      <c r="G12" s="223"/>
      <c r="H12" s="223"/>
    </row>
    <row r="13">
      <c r="A13" s="56" t="str">
        <f t="shared" si="2"/>
        <v>17</v>
      </c>
      <c r="B13" s="218">
        <v>10.0</v>
      </c>
      <c r="C13" s="218">
        <v>5517.0</v>
      </c>
      <c r="D13" s="220" t="str">
        <f>VLOOKUP(TEXT(A13,"#"),Main!$A$2:$C55,3,0)</f>
        <v>Sink Cock Wall Mounted with Flange</v>
      </c>
      <c r="E13" s="221">
        <f t="array" ref="E13:F13">VLOOKUP(C13,MASTER!$C$2:$F55,{3,4},0)</f>
        <v>1890</v>
      </c>
      <c r="F13" s="221">
        <v>1980.0</v>
      </c>
      <c r="G13" s="10"/>
      <c r="H13" s="10"/>
    </row>
    <row r="14">
      <c r="A14" s="56" t="str">
        <f t="shared" si="2"/>
        <v>95</v>
      </c>
      <c r="B14" s="218">
        <v>11.0</v>
      </c>
      <c r="C14" s="218">
        <v>5595.0</v>
      </c>
      <c r="D14" s="220" t="str">
        <f>VLOOKUP(TEXT(A14,"#"),Main!$A$2:$C55,3,0)</f>
        <v>Bath Tub Spout with Flange</v>
      </c>
      <c r="E14" s="221">
        <f t="array" ref="E14:F14">VLOOKUP(C14,MASTER!$C$2:$F55,{3,4},0)</f>
        <v>1170</v>
      </c>
      <c r="F14" s="221">
        <v>1290.0</v>
      </c>
      <c r="G14" s="10"/>
      <c r="H14" s="10"/>
    </row>
    <row r="15">
      <c r="A15" s="56" t="str">
        <f t="shared" si="2"/>
        <v>96</v>
      </c>
      <c r="B15" s="218">
        <v>12.0</v>
      </c>
      <c r="C15" s="218">
        <v>5596.0</v>
      </c>
      <c r="D15" s="220" t="str">
        <f>VLOOKUP(TEXT(A15,"#"),Main!$A$2:$C55,3,0)</f>
        <v>Bath Tub Spout Tip Ton with Flange</v>
      </c>
      <c r="E15" s="221">
        <f t="array" ref="E15:F15">VLOOKUP(C15,MASTER!$C$2:$F55,{3,4},0)</f>
        <v>1780</v>
      </c>
      <c r="F15" s="221">
        <v>1990.0</v>
      </c>
      <c r="G15" s="10"/>
      <c r="H15" s="10"/>
    </row>
    <row r="16">
      <c r="A16" s="227" t="s">
        <v>209</v>
      </c>
      <c r="B16" s="224">
        <v>13.0</v>
      </c>
      <c r="C16" s="218" t="s">
        <v>623</v>
      </c>
      <c r="D16" s="220" t="str">
        <f>VLOOKUP(TEXT(A16,"#"),Main!$A$2:$C55,3,0)</f>
        <v>Single Lever Concealed Diverter Bath &amp; Shower 40mm</v>
      </c>
      <c r="E16" s="221">
        <f t="array" ref="E16:F16">VLOOKUP(C16,MASTER!$C$2:$F55,{3,4},0)</f>
        <v>5920</v>
      </c>
      <c r="F16" s="221">
        <v>6320.0</v>
      </c>
      <c r="G16" s="223"/>
      <c r="H16" s="223"/>
    </row>
    <row r="17">
      <c r="A17" s="225" t="s">
        <v>212</v>
      </c>
      <c r="B17" s="120"/>
      <c r="C17" s="218" t="s">
        <v>212</v>
      </c>
      <c r="D17" s="220" t="str">
        <f>VLOOKUP(TEXT(A17,"#"),Main!$A$2:$C55,3,0)</f>
        <v>Concealed Diverter Body 40mm (Cartridge, Sleeve, Tipton Assembly)</v>
      </c>
      <c r="E17" s="221">
        <f t="array" ref="E17:F17">VLOOKUP(C17,MASTER!$C$2:$F55,{3,4},0)</f>
        <v>4240</v>
      </c>
      <c r="F17" s="221">
        <v>4580.0</v>
      </c>
      <c r="G17" s="223"/>
      <c r="H17" s="223"/>
    </row>
    <row r="18">
      <c r="A18" s="225" t="s">
        <v>216</v>
      </c>
      <c r="B18" s="145"/>
      <c r="C18" s="218" t="s">
        <v>628</v>
      </c>
      <c r="D18" s="220" t="str">
        <f>VLOOKUP(TEXT(A18,"#"),Main!$A$2:$C55,3,0)</f>
        <v>Exposed Parts (Wall Flange &amp; Handle)</v>
      </c>
      <c r="E18" s="221">
        <f t="array" ref="E18:F18">VLOOKUP(C18,MASTER!$C$2:$F55,{3,4},0)</f>
        <v>1680</v>
      </c>
      <c r="F18" s="221">
        <v>1740.0</v>
      </c>
      <c r="G18" s="10"/>
      <c r="H18" s="10"/>
    </row>
    <row r="19">
      <c r="A19" s="227" t="s">
        <v>219</v>
      </c>
      <c r="B19" s="224">
        <v>14.0</v>
      </c>
      <c r="C19" s="218" t="s">
        <v>629</v>
      </c>
      <c r="D19" s="220" t="str">
        <f>VLOOKUP(TEXT(A19,"#"),Main!$A$2:$C55,3,0)</f>
        <v>Single Lever High Flow Concealed Diverter Bath &amp; Shower 46mm</v>
      </c>
      <c r="E19" s="221">
        <f t="array" ref="E19:F19">VLOOKUP(C19,MASTER!$C$2:$F55,{3,4},0)</f>
        <v>6660</v>
      </c>
      <c r="F19" s="221">
        <v>7230.0</v>
      </c>
      <c r="G19" s="223"/>
      <c r="H19" s="223"/>
    </row>
    <row r="20">
      <c r="A20" s="225" t="s">
        <v>223</v>
      </c>
      <c r="B20" s="120"/>
      <c r="C20" s="218" t="s">
        <v>223</v>
      </c>
      <c r="D20" s="220" t="str">
        <f>VLOOKUP(TEXT(A20,"#"),Main!$A$2:$C55,3,0)</f>
        <v>High Flow Concealed Diverter Body 46mm (Cartridge, Sleeve, Tipton Assembly)</v>
      </c>
      <c r="E20" s="221">
        <f t="array" ref="E20:F20">VLOOKUP(C20,MASTER!$C$2:$F55,{3,4},0)</f>
        <v>4980</v>
      </c>
      <c r="F20" s="221">
        <v>5490.0</v>
      </c>
      <c r="G20" s="223"/>
      <c r="H20" s="223"/>
    </row>
    <row r="21">
      <c r="A21" s="225" t="s">
        <v>226</v>
      </c>
      <c r="B21" s="145"/>
      <c r="C21" s="218" t="s">
        <v>634</v>
      </c>
      <c r="D21" s="220" t="str">
        <f>VLOOKUP(TEXT(A21,"#"),Main!$A$2:$C55,3,0)</f>
        <v>Exposed Parts (Wall Flange &amp; Handle)</v>
      </c>
      <c r="E21" s="221">
        <f t="array" ref="E21:F21">VLOOKUP(C21,MASTER!$C$2:$F55,{3,4},0)</f>
        <v>1680</v>
      </c>
      <c r="F21" s="221">
        <v>1740.0</v>
      </c>
      <c r="G21" s="10"/>
      <c r="H21" s="10"/>
    </row>
    <row r="22">
      <c r="A22" s="225"/>
      <c r="B22" s="224">
        <v>15.0</v>
      </c>
      <c r="C22" s="218" t="s">
        <v>643</v>
      </c>
      <c r="D22" s="229" t="s">
        <v>220</v>
      </c>
      <c r="E22" s="231" t="str">
        <f t="array" ref="E22:F22">VLOOKUP(C22,MASTER!$C$2:$F55,{3,4},0)</f>
        <v>NEW</v>
      </c>
      <c r="F22" s="221">
        <v>7230.0</v>
      </c>
      <c r="G22" s="10"/>
      <c r="H22" s="232" t="s">
        <v>377</v>
      </c>
    </row>
    <row r="23">
      <c r="A23" s="225"/>
      <c r="B23" s="120"/>
      <c r="C23" s="218" t="s">
        <v>381</v>
      </c>
      <c r="D23" s="229" t="s">
        <v>1252</v>
      </c>
      <c r="E23" s="231" t="str">
        <f t="array" ref="E23:F23">VLOOKUP(C23,MASTER!$C$2:$F55,{3,4},0)</f>
        <v>NEW</v>
      </c>
      <c r="F23" s="221">
        <v>4990.0</v>
      </c>
      <c r="G23" s="10"/>
      <c r="H23" s="232" t="s">
        <v>377</v>
      </c>
    </row>
    <row r="24">
      <c r="A24" s="225"/>
      <c r="B24" s="145"/>
      <c r="C24" s="218" t="s">
        <v>646</v>
      </c>
      <c r="D24" s="229" t="s">
        <v>386</v>
      </c>
      <c r="E24" s="231" t="str">
        <f t="array" ref="E24:F24">VLOOKUP(C24,MASTER!$C$2:$F55,{3,4},0)</f>
        <v>NEW</v>
      </c>
      <c r="F24" s="221">
        <v>2240.0</v>
      </c>
      <c r="G24" s="10"/>
      <c r="H24" s="232" t="s">
        <v>377</v>
      </c>
    </row>
    <row r="25">
      <c r="A25" s="227" t="s">
        <v>239</v>
      </c>
      <c r="B25" s="224">
        <v>16.0</v>
      </c>
      <c r="C25" s="218" t="s">
        <v>651</v>
      </c>
      <c r="D25" s="220" t="str">
        <f>VLOOKUP(TEXT(A25,"#"),Main!$A$2:$C55,3,0)</f>
        <v>Single Lever 3 In Let Concealed Diverter Bath &amp; Shower 46mm</v>
      </c>
      <c r="E25" s="221">
        <f t="array" ref="E25:F25">VLOOKUP(C25,MASTER!$C$2:$F55,{3,4},0)</f>
        <v>6660</v>
      </c>
      <c r="F25" s="221">
        <v>7230.0</v>
      </c>
      <c r="G25" s="223"/>
      <c r="H25" s="223"/>
    </row>
    <row r="26">
      <c r="A26" s="225" t="s">
        <v>243</v>
      </c>
      <c r="B26" s="120"/>
      <c r="C26" s="218" t="s">
        <v>243</v>
      </c>
      <c r="D26" s="220" t="str">
        <f>VLOOKUP(TEXT(A26,"#"),Main!$A$2:$C55,3,0)</f>
        <v>3 In Let Concealed Diverter Body 46mm (Cartridge, Sleeve, Tipton Assembly)</v>
      </c>
      <c r="E26" s="221">
        <f t="array" ref="E26:F26">VLOOKUP(C26,MASTER!$C$2:$F55,{3,4},0)</f>
        <v>4980</v>
      </c>
      <c r="F26" s="221">
        <v>5490.0</v>
      </c>
      <c r="G26" s="223"/>
      <c r="H26" s="223"/>
    </row>
    <row r="27">
      <c r="A27" s="225" t="s">
        <v>247</v>
      </c>
      <c r="B27" s="145"/>
      <c r="C27" s="233" t="s">
        <v>654</v>
      </c>
      <c r="D27" s="220" t="str">
        <f>VLOOKUP(TEXT(A27,"#"),Main!$A$2:$C55,3,0)</f>
        <v>Exposed Parts (Wall Flange &amp; Handle)</v>
      </c>
      <c r="E27" s="221">
        <f t="array" ref="E27:F27">VLOOKUP(C27,MASTER!$C$2:$F55,{3,4},0)</f>
        <v>1680</v>
      </c>
      <c r="F27" s="221">
        <v>1740.0</v>
      </c>
      <c r="G27" s="10"/>
      <c r="H27" s="10"/>
    </row>
    <row r="28">
      <c r="A28" s="225" t="s">
        <v>228</v>
      </c>
      <c r="B28" s="224">
        <v>17.0</v>
      </c>
      <c r="C28" s="233" t="s">
        <v>635</v>
      </c>
      <c r="D28" s="220" t="str">
        <f>VLOOKUP(TEXT(A28,"#"),Main!$A$2:$C55,3,0)</f>
        <v>Single Lever High Flow Concealed Diverter Bath &amp; Shower 46mm (ON-OFF)</v>
      </c>
      <c r="E28" s="221">
        <f t="array" ref="E28:F28">VLOOKUP(C28,MASTER!$C$2:$F55,{3,4},0)</f>
        <v>6660</v>
      </c>
      <c r="F28" s="221">
        <v>7230.0</v>
      </c>
      <c r="G28" s="223"/>
      <c r="H28" s="223"/>
    </row>
    <row r="29">
      <c r="A29" s="225" t="s">
        <v>234</v>
      </c>
      <c r="B29" s="120"/>
      <c r="C29" s="218" t="s">
        <v>234</v>
      </c>
      <c r="D29" s="220" t="str">
        <f>VLOOKUP(TEXT(A29,"#"),Main!$A$2:$C55,3,0)</f>
        <v>High Flow Concealed Diverter Body 46mm (Cartridge, Sleeve, On-Off Assembly)</v>
      </c>
      <c r="E29" s="221">
        <f t="array" ref="E29:F29">VLOOKUP(C29,MASTER!$C$2:$F55,{3,4},0)</f>
        <v>4740</v>
      </c>
      <c r="F29" s="221">
        <v>5250.0</v>
      </c>
      <c r="G29" s="223"/>
      <c r="H29" s="223"/>
    </row>
    <row r="30">
      <c r="A30" s="225" t="s">
        <v>237</v>
      </c>
      <c r="B30" s="145"/>
      <c r="C30" s="218" t="s">
        <v>640</v>
      </c>
      <c r="D30" s="220" t="str">
        <f>VLOOKUP(TEXT(A30,"#"),Main!$A$2:$C55,3,0)</f>
        <v>Exposed Parts (Wall Flange &amp; Handle)</v>
      </c>
      <c r="E30" s="221">
        <f t="array" ref="E30:F30">VLOOKUP(C30,MASTER!$C$2:$F55,{3,4},0)</f>
        <v>1920</v>
      </c>
      <c r="F30" s="221">
        <v>1980.0</v>
      </c>
      <c r="G30" s="10"/>
      <c r="H30" s="10"/>
    </row>
    <row r="31">
      <c r="A31" s="225"/>
      <c r="B31" s="224">
        <v>18.0</v>
      </c>
      <c r="C31" s="218" t="s">
        <v>647</v>
      </c>
      <c r="D31" s="229" t="s">
        <v>229</v>
      </c>
      <c r="E31" s="231" t="str">
        <f t="array" ref="E31:F31">VLOOKUP(C31,MASTER!$C$2:$F55,{3,4},0)</f>
        <v>NEW</v>
      </c>
      <c r="F31" s="221">
        <v>7230.0</v>
      </c>
      <c r="G31" s="10"/>
      <c r="H31" s="232" t="s">
        <v>377</v>
      </c>
    </row>
    <row r="32">
      <c r="A32" s="225"/>
      <c r="B32" s="120"/>
      <c r="C32" s="218" t="s">
        <v>392</v>
      </c>
      <c r="D32" s="229" t="s">
        <v>1254</v>
      </c>
      <c r="E32" s="231" t="str">
        <f t="array" ref="E32:F32">VLOOKUP(C32,MASTER!$C$2:$F55,{3,4},0)</f>
        <v>NEW</v>
      </c>
      <c r="F32" s="221">
        <v>4750.0</v>
      </c>
      <c r="G32" s="10"/>
      <c r="H32" s="232" t="s">
        <v>377</v>
      </c>
    </row>
    <row r="33">
      <c r="A33" s="225"/>
      <c r="B33" s="145"/>
      <c r="C33" s="218" t="s">
        <v>650</v>
      </c>
      <c r="D33" s="229" t="s">
        <v>386</v>
      </c>
      <c r="E33" s="231" t="str">
        <f t="array" ref="E33:F33">VLOOKUP(C33,MASTER!$C$2:$F55,{3,4},0)</f>
        <v>NEW</v>
      </c>
      <c r="F33" s="221">
        <v>2480.0</v>
      </c>
      <c r="G33" s="10"/>
      <c r="H33" s="232" t="s">
        <v>377</v>
      </c>
    </row>
    <row r="34">
      <c r="A34" s="225" t="s">
        <v>249</v>
      </c>
      <c r="B34" s="224">
        <v>19.0</v>
      </c>
      <c r="C34" s="218" t="s">
        <v>657</v>
      </c>
      <c r="D34" s="220" t="str">
        <f>VLOOKUP(TEXT(A34,"#"),Main!$A$2:$C55,3,0)</f>
        <v>Single Lever 3 In Let Concealed Diverter Bath &amp; Shower 46mm (ON-OFF)</v>
      </c>
      <c r="E34" s="221">
        <f t="array" ref="E34:F34">VLOOKUP(C34,MASTER!$C$2:$F55,{3,4},0)</f>
        <v>6660</v>
      </c>
      <c r="F34" s="221">
        <v>7230.0</v>
      </c>
      <c r="G34" s="223"/>
      <c r="H34" s="223"/>
    </row>
    <row r="35">
      <c r="A35" s="225" t="s">
        <v>253</v>
      </c>
      <c r="B35" s="120"/>
      <c r="C35" s="218" t="s">
        <v>253</v>
      </c>
      <c r="D35" s="220" t="str">
        <f>VLOOKUP(TEXT(A35,"#"),Main!$A$2:$C55,3,0)</f>
        <v>3 In Let Concealed Diverter Body 46mm (Cartridge, Sleeve, On-Off Assembly)</v>
      </c>
      <c r="E35" s="221">
        <f t="array" ref="E35:F35">VLOOKUP(C35,MASTER!$C$2:$F55,{3,4},0)</f>
        <v>4740</v>
      </c>
      <c r="F35" s="221">
        <v>5250.0</v>
      </c>
      <c r="G35" s="223"/>
      <c r="H35" s="235"/>
    </row>
    <row r="36">
      <c r="A36" s="225" t="s">
        <v>258</v>
      </c>
      <c r="B36" s="145"/>
      <c r="C36" s="218" t="s">
        <v>664</v>
      </c>
      <c r="D36" s="220" t="str">
        <f>VLOOKUP(TEXT(A36,"#"),Main!$A$2:$C55,3,0)</f>
        <v>Exposed Parts (Wall Flange &amp; Handle)</v>
      </c>
      <c r="E36" s="221">
        <f t="array" ref="E36:F36">VLOOKUP(C36,MASTER!$C$2:$F55,{3,4},0)</f>
        <v>1920</v>
      </c>
      <c r="F36" s="221">
        <v>1980.0</v>
      </c>
      <c r="G36" s="10"/>
      <c r="H36" s="234"/>
    </row>
    <row r="37">
      <c r="A37" s="56" t="str">
        <f t="shared" ref="A37:A40" si="3">RIGHT(C37,2)</f>
        <v>02</v>
      </c>
      <c r="B37" s="224">
        <v>20.0</v>
      </c>
      <c r="C37" s="218">
        <v>5502.0</v>
      </c>
      <c r="D37" s="220" t="str">
        <f>VLOOKUP(TEXT(A37,"#"),Main!$A$2:$C55,3,0)</f>
        <v>Pillar Cock</v>
      </c>
      <c r="E37" s="221">
        <f t="array" ref="E37:F37">VLOOKUP(C37,MASTER!$C$2:$F55,{3,4},0)</f>
        <v>1490</v>
      </c>
      <c r="F37" s="221">
        <v>1640.0</v>
      </c>
      <c r="G37" s="223"/>
      <c r="H37" s="235"/>
    </row>
    <row r="38">
      <c r="A38" s="56" t="str">
        <f t="shared" si="3"/>
        <v>04</v>
      </c>
      <c r="B38" s="224">
        <v>21.0</v>
      </c>
      <c r="C38" s="218">
        <v>5504.0</v>
      </c>
      <c r="D38" s="220" t="str">
        <f>VLOOKUP(TEXT(A38,"#"),Main!$A$2:$C55,3,0)</f>
        <v>Pillar Cock Extended Body</v>
      </c>
      <c r="E38" s="221">
        <f t="array" ref="E38:F38">VLOOKUP(C38,MASTER!$C$2:$F55,{3,4},0)</f>
        <v>2240</v>
      </c>
      <c r="F38" s="221">
        <v>2460.0</v>
      </c>
      <c r="G38" s="223"/>
      <c r="H38" s="235"/>
    </row>
    <row r="39">
      <c r="A39" s="56" t="str">
        <f t="shared" si="3"/>
        <v>06</v>
      </c>
      <c r="B39" s="224">
        <v>22.0</v>
      </c>
      <c r="C39" s="218">
        <v>5506.0</v>
      </c>
      <c r="D39" s="220" t="str">
        <f>VLOOKUP(TEXT(A39,"#"),Main!$A$2:$C55,3,0)</f>
        <v>Bib Cock with Wall Flange</v>
      </c>
      <c r="E39" s="221">
        <f t="array" ref="E39:F39">VLOOKUP(C39,MASTER!$C$2:$F55,{3,4},0)</f>
        <v>1390</v>
      </c>
      <c r="F39" s="221">
        <v>1490.0</v>
      </c>
      <c r="G39" s="10"/>
      <c r="H39" s="234"/>
    </row>
    <row r="40">
      <c r="A40" s="56" t="str">
        <f t="shared" si="3"/>
        <v>07</v>
      </c>
      <c r="B40" s="224">
        <v>23.0</v>
      </c>
      <c r="C40" s="218">
        <v>5507.0</v>
      </c>
      <c r="D40" s="220" t="str">
        <f>VLOOKUP(TEXT(A40,"#"),Main!$A$2:$C55,3,0)</f>
        <v>Concealed Wall Mount Pillar Cock</v>
      </c>
      <c r="E40" s="221">
        <f t="array" ref="E40:F40">VLOOKUP(C40,MASTER!$C$2:$F55,{3,4},0)</f>
        <v>2680</v>
      </c>
      <c r="F40" s="221">
        <v>2850.0</v>
      </c>
      <c r="G40" s="10"/>
      <c r="H40" s="234"/>
    </row>
    <row r="41">
      <c r="A41" s="225" t="s">
        <v>73</v>
      </c>
      <c r="B41" s="120"/>
      <c r="C41" s="218" t="s">
        <v>73</v>
      </c>
      <c r="D41" s="220" t="str">
        <f>VLOOKUP(TEXT(A41,"#"),Main!$A$2:$C55,3,0)</f>
        <v>Concealed Pillar Cock Body 15mm</v>
      </c>
      <c r="E41" s="221">
        <f t="array" ref="E41:F41">VLOOKUP(C41,MASTER!$C$2:$F55,{3,4},0)</f>
        <v>1390</v>
      </c>
      <c r="F41" s="221">
        <v>1490.0</v>
      </c>
      <c r="G41" s="10"/>
      <c r="H41" s="10"/>
    </row>
    <row r="42">
      <c r="A42" s="225" t="s">
        <v>77</v>
      </c>
      <c r="B42" s="145"/>
      <c r="C42" s="218" t="s">
        <v>603</v>
      </c>
      <c r="D42" s="220" t="str">
        <f>VLOOKUP(TEXT(A42,"#"),Main!$A$2:$C55,3,0)</f>
        <v>Exposed Parts (Wall Flange, Handle &amp; Spout)</v>
      </c>
      <c r="E42" s="221">
        <f t="array" ref="E42:F42">VLOOKUP(C42,MASTER!$C$2:$F55,{3,4},0)</f>
        <v>1290</v>
      </c>
      <c r="F42" s="221">
        <v>1360.0</v>
      </c>
      <c r="G42" s="10"/>
      <c r="H42" s="10"/>
    </row>
    <row r="43">
      <c r="A43" s="56" t="str">
        <f t="shared" ref="A43:A49" si="4">RIGHT(C43,2)</f>
        <v>08</v>
      </c>
      <c r="B43" s="224">
        <v>24.0</v>
      </c>
      <c r="C43" s="218">
        <v>5508.0</v>
      </c>
      <c r="D43" s="220" t="str">
        <f>VLOOKUP(TEXT(A43,"#"),Main!$A$2:$C55,3,0)</f>
        <v>Bib Cock Long Body with Wall Flange</v>
      </c>
      <c r="E43" s="221">
        <f t="array" ref="E43:F43">VLOOKUP(C43,MASTER!$C$2:$F55,{3,4},0)</f>
        <v>1490</v>
      </c>
      <c r="F43" s="221">
        <v>1590.0</v>
      </c>
      <c r="G43" s="10"/>
      <c r="H43" s="10"/>
    </row>
    <row r="44">
      <c r="A44" s="56" t="str">
        <f t="shared" si="4"/>
        <v>10</v>
      </c>
      <c r="B44" s="224">
        <v>25.0</v>
      </c>
      <c r="C44" s="218">
        <v>5510.0</v>
      </c>
      <c r="D44" s="220" t="str">
        <f>VLOOKUP(TEXT(A44,"#"),Main!$A$2:$C55,3,0)</f>
        <v>Angular Stop Cock with Wall Flange</v>
      </c>
      <c r="E44" s="221">
        <f t="array" ref="E44:F44">VLOOKUP(C44,MASTER!$C$2:$F55,{3,4},0)</f>
        <v>820</v>
      </c>
      <c r="F44" s="221">
        <v>860.0</v>
      </c>
      <c r="G44" s="10"/>
      <c r="H44" s="10"/>
    </row>
    <row r="45">
      <c r="A45" s="56" t="str">
        <f t="shared" si="4"/>
        <v>11</v>
      </c>
      <c r="B45" s="224">
        <v>26.0</v>
      </c>
      <c r="C45" s="218">
        <v>5511.0</v>
      </c>
      <c r="D45" s="220" t="str">
        <f>VLOOKUP(TEXT(A45,"#"),Main!$A$2:$C55,3,0)</f>
        <v>2-Way Angular Stop Cock with Wall Flange</v>
      </c>
      <c r="E45" s="221">
        <f t="array" ref="E45:F45">VLOOKUP(C45,MASTER!$C$2:$F55,{3,4},0)</f>
        <v>1690</v>
      </c>
      <c r="F45" s="221">
        <v>1840.0</v>
      </c>
      <c r="G45" s="10"/>
      <c r="H45" s="10"/>
    </row>
    <row r="46">
      <c r="A46" s="56" t="str">
        <f t="shared" si="4"/>
        <v>12</v>
      </c>
      <c r="B46" s="224">
        <v>27.0</v>
      </c>
      <c r="C46" s="218">
        <v>5512.0</v>
      </c>
      <c r="D46" s="220" t="str">
        <f>VLOOKUP(TEXT(A46,"#"),Main!$A$2:$C55,3,0)</f>
        <v>2-Way Bib Cock Double Handle with Wall Flange</v>
      </c>
      <c r="E46" s="221">
        <f t="array" ref="E46:F46">VLOOKUP(C46,MASTER!$C$2:$F55,{3,4},0)</f>
        <v>1990</v>
      </c>
      <c r="F46" s="221">
        <v>2180.0</v>
      </c>
      <c r="G46" s="223"/>
      <c r="H46" s="223"/>
    </row>
    <row r="47">
      <c r="A47" s="56" t="str">
        <f t="shared" si="4"/>
        <v>18</v>
      </c>
      <c r="B47" s="218">
        <v>28.0</v>
      </c>
      <c r="C47" s="218">
        <v>5518.0</v>
      </c>
      <c r="D47" s="220" t="str">
        <f>VLOOKUP(TEXT(A47,"#"),Main!$A$2:$C55,3,0)</f>
        <v>Concealed Stop Cock 15mm with Wall Flange</v>
      </c>
      <c r="E47" s="221">
        <f t="array" ref="E47:F47">VLOOKUP(C47,MASTER!$C$2:$F55,{3,4},0)</f>
        <v>1320</v>
      </c>
      <c r="F47" s="221">
        <v>1470.0</v>
      </c>
      <c r="G47" s="223"/>
      <c r="H47" s="223"/>
    </row>
    <row r="48">
      <c r="A48" s="56" t="str">
        <f t="shared" si="4"/>
        <v>20</v>
      </c>
      <c r="B48" s="218">
        <v>29.0</v>
      </c>
      <c r="C48" s="218">
        <v>5520.0</v>
      </c>
      <c r="D48" s="220" t="str">
        <f>VLOOKUP(TEXT(A48,"#"),Main!$A$2:$C55,3,0)</f>
        <v>Concealed Stop Cock 20mm with Wall Flange</v>
      </c>
      <c r="E48" s="221">
        <f t="array" ref="E48:F48">VLOOKUP(C48,MASTER!$C$2:$F55,{3,4},0)</f>
        <v>1360</v>
      </c>
      <c r="F48" s="221">
        <v>1510.0</v>
      </c>
      <c r="G48" s="223"/>
      <c r="H48" s="223"/>
    </row>
    <row r="49">
      <c r="A49" s="56" t="str">
        <f t="shared" si="4"/>
        <v>98</v>
      </c>
      <c r="B49" s="218">
        <v>30.0</v>
      </c>
      <c r="C49" s="218">
        <v>5598.0</v>
      </c>
      <c r="D49" s="220" t="str">
        <f>VLOOKUP(TEXT(A49,"#"),Main!$A$2:$C55,3,0)</f>
        <v>Flush Cock 25mm Half Turn with Adjustable Flange</v>
      </c>
      <c r="E49" s="221">
        <f t="array" ref="E49:F49">VLOOKUP(C49,MASTER!$C$2:$F55,{3,4},0)</f>
        <v>2150</v>
      </c>
      <c r="F49" s="221">
        <v>2340.0</v>
      </c>
      <c r="G49" s="223"/>
      <c r="H49" s="223"/>
    </row>
    <row r="50">
      <c r="A50" s="3"/>
      <c r="B50" s="3"/>
      <c r="C50" s="3"/>
      <c r="D50" s="3"/>
      <c r="E50" s="10"/>
      <c r="F50" s="249"/>
      <c r="G50" s="10"/>
      <c r="H50" s="10"/>
    </row>
    <row r="51">
      <c r="A51" s="3"/>
      <c r="B51" s="3"/>
      <c r="C51" s="3"/>
      <c r="D51" s="3"/>
      <c r="E51" s="10"/>
      <c r="F51" s="249"/>
      <c r="G51" s="10"/>
      <c r="H51" s="10"/>
    </row>
    <row r="52">
      <c r="A52" s="3"/>
      <c r="B52" s="3"/>
      <c r="C52" s="3"/>
      <c r="D52" s="3"/>
      <c r="E52" s="10"/>
      <c r="F52" s="249"/>
      <c r="G52" s="10"/>
      <c r="H52" s="10"/>
    </row>
    <row r="53">
      <c r="A53" s="3"/>
      <c r="B53" s="3"/>
      <c r="C53" s="3"/>
      <c r="D53" s="3"/>
      <c r="E53" s="10"/>
      <c r="F53" s="249"/>
      <c r="G53" s="10"/>
      <c r="H53" s="10"/>
    </row>
    <row r="54">
      <c r="A54" s="3"/>
      <c r="B54" s="3"/>
      <c r="C54" s="3"/>
      <c r="D54" s="3"/>
      <c r="E54" s="10"/>
      <c r="F54" s="249"/>
      <c r="G54" s="10"/>
      <c r="H54" s="10"/>
    </row>
    <row r="55">
      <c r="A55" s="3"/>
      <c r="B55" s="3"/>
      <c r="C55" s="3"/>
      <c r="D55" s="3"/>
      <c r="E55" s="10"/>
      <c r="F55" s="249"/>
      <c r="G55" s="10"/>
      <c r="H55" s="10"/>
    </row>
  </sheetData>
  <mergeCells count="9">
    <mergeCell ref="B34:B36"/>
    <mergeCell ref="B40:B42"/>
    <mergeCell ref="B4:B6"/>
    <mergeCell ref="B16:B18"/>
    <mergeCell ref="B19:B21"/>
    <mergeCell ref="B22:B24"/>
    <mergeCell ref="B25:B27"/>
    <mergeCell ref="B28:B30"/>
    <mergeCell ref="B31:B33"/>
  </mergeCells>
  <printOptions horizontalCentered="1"/>
  <pageMargins bottom="0.75" footer="0.0" header="0.0" left="0.25" right="0.25" top="0.75"/>
  <pageSetup cellComments="atEnd" orientation="portrait" pageOrder="overThenDown"/>
  <headerFooter>
    <oddHeader>&amp;L&amp;F&amp;R&amp;A</oddHeader>
    <oddFooter>&amp;L&amp;D &amp;T&amp;R&amp;P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6.63"/>
    <col customWidth="1" min="2" max="2" width="7.13"/>
    <col customWidth="1" min="3" max="3" width="19.75"/>
    <col customWidth="1" min="4" max="4" width="83.63"/>
    <col customWidth="1" min="5" max="5" width="11.63"/>
    <col customWidth="1" min="6" max="6" width="12.25"/>
    <col customWidth="1" hidden="1" min="7" max="7" width="9.63"/>
  </cols>
  <sheetData>
    <row r="1" ht="79.5" customHeight="1">
      <c r="A1" s="217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  <c r="H1" s="236"/>
    </row>
    <row r="2">
      <c r="A2" s="56" t="str">
        <f t="shared" ref="A2:A4" si="1">RIGHT(C2,2)</f>
        <v>50</v>
      </c>
      <c r="B2" s="218">
        <v>1.0</v>
      </c>
      <c r="C2" s="218">
        <v>6250.0</v>
      </c>
      <c r="D2" s="220" t="str">
        <f>VLOOKUP(TEXT(A2,"#"),Main!$A$2:$C54,3,0)</f>
        <v>Center Hole Basin Mixer without Popup</v>
      </c>
      <c r="E2" s="221">
        <f t="array" ref="E2:F2">VLOOKUP(C2,MASTER!$C$2:$F54,{3,4},0)</f>
        <v>3480</v>
      </c>
      <c r="F2" s="221">
        <v>3780.0</v>
      </c>
      <c r="G2" s="240"/>
      <c r="H2" s="240"/>
    </row>
    <row r="3">
      <c r="A3" s="56" t="str">
        <f t="shared" si="1"/>
        <v>51</v>
      </c>
      <c r="B3" s="218">
        <v>2.0</v>
      </c>
      <c r="C3" s="218">
        <v>6251.0</v>
      </c>
      <c r="D3" s="220" t="str">
        <f>VLOOKUP(TEXT(A3,"#"),Main!$A$2:$C54,3,0)</f>
        <v>Single Lever Basin Mixer without Popup Waste System</v>
      </c>
      <c r="E3" s="221">
        <f t="array" ref="E3:F3">VLOOKUP(C3,MASTER!$C$2:$F54,{3,4},0)</f>
        <v>3760</v>
      </c>
      <c r="F3" s="221">
        <v>3980.0</v>
      </c>
      <c r="G3" s="240"/>
      <c r="H3" s="240"/>
    </row>
    <row r="4">
      <c r="A4" s="56" t="str">
        <f t="shared" si="1"/>
        <v>54</v>
      </c>
      <c r="B4" s="224">
        <v>3.0</v>
      </c>
      <c r="C4" s="218">
        <v>6254.0</v>
      </c>
      <c r="D4" s="220" t="s">
        <v>152</v>
      </c>
      <c r="E4" s="221">
        <f t="array" ref="E4:F4">VLOOKUP(C4,MASTER!$C$2:$F54,{3,4},0)</f>
        <v>6140</v>
      </c>
      <c r="F4" s="221">
        <v>6570.0</v>
      </c>
      <c r="G4" s="240"/>
      <c r="H4" s="240"/>
    </row>
    <row r="5">
      <c r="A5" s="225" t="s">
        <v>154</v>
      </c>
      <c r="B5" s="120"/>
      <c r="C5" s="218" t="s">
        <v>154</v>
      </c>
      <c r="D5" s="220" t="str">
        <f>VLOOKUP(TEXT(A5,"#"),Main!$A$2:$C54,3,0)</f>
        <v>Single Lever Basin Mixer Wall Mount (Body, Cartridge, Sleeve &amp; Nipple)</v>
      </c>
      <c r="E5" s="221">
        <f t="array" ref="E5:F5">VLOOKUP(C5,MASTER!$C$2:$F54,{3,4},0)</f>
        <v>3680</v>
      </c>
      <c r="F5" s="221">
        <v>3990.0</v>
      </c>
      <c r="G5" s="240"/>
      <c r="H5" s="240"/>
    </row>
    <row r="6">
      <c r="A6" s="225" t="s">
        <v>346</v>
      </c>
      <c r="B6" s="145"/>
      <c r="C6" s="218" t="s">
        <v>803</v>
      </c>
      <c r="D6" s="220" t="s">
        <v>78</v>
      </c>
      <c r="E6" s="221">
        <f t="array" ref="E6:F6">VLOOKUP(C6,MASTER!$C$2:$F54,{3,4},0)</f>
        <v>2460</v>
      </c>
      <c r="F6" s="221">
        <v>2580.0</v>
      </c>
      <c r="G6" s="236"/>
      <c r="H6" s="236"/>
    </row>
    <row r="7">
      <c r="A7" s="56" t="str">
        <f t="shared" ref="A7:A15" si="2">RIGHT(C7,2)</f>
        <v>70</v>
      </c>
      <c r="B7" s="218">
        <v>4.0</v>
      </c>
      <c r="C7" s="218">
        <v>6270.0</v>
      </c>
      <c r="D7" s="220" t="str">
        <f>VLOOKUP(TEXT(A7,"#"),Main!$A$2:$C54,3,0)</f>
        <v>Wall Mixer Telephonic with Crutch &amp; Wall Flange (Provision For Hand Shower)</v>
      </c>
      <c r="E7" s="221">
        <f t="array" ref="E7:F7">VLOOKUP(C7,MASTER!$C$2:$F54,{3,4},0)</f>
        <v>5690</v>
      </c>
      <c r="F7" s="221">
        <v>6180.0</v>
      </c>
      <c r="G7" s="240"/>
      <c r="H7" s="240"/>
    </row>
    <row r="8">
      <c r="A8" s="56" t="str">
        <f t="shared" si="2"/>
        <v>75</v>
      </c>
      <c r="B8" s="218">
        <v>5.0</v>
      </c>
      <c r="C8" s="218">
        <v>6275.0</v>
      </c>
      <c r="D8" s="220" t="str">
        <f>VLOOKUP(TEXT(A8,"#"),Main!$A$2:$C54,3,0)</f>
        <v>Wall Mixer "L" Bend with Wall Flange (Provision For Over Head Shower)</v>
      </c>
      <c r="E8" s="221">
        <f t="array" ref="E8:F8">VLOOKUP(C8,MASTER!$C$2:$F54,{3,4},0)</f>
        <v>5690</v>
      </c>
      <c r="F8" s="221">
        <v>6180.0</v>
      </c>
      <c r="G8" s="240"/>
      <c r="H8" s="240"/>
    </row>
    <row r="9">
      <c r="A9" s="56" t="str">
        <f t="shared" si="2"/>
        <v>80</v>
      </c>
      <c r="B9" s="218">
        <v>6.0</v>
      </c>
      <c r="C9" s="218">
        <v>6280.0</v>
      </c>
      <c r="D9" s="220" t="str">
        <f>VLOOKUP(TEXT(A9,"#"),Main!$A$2:$C54,3,0)</f>
        <v>Wall Mixer 3 In 1 with Wall Flange (Provision For Over Head Shower &amp; Hand Shower)</v>
      </c>
      <c r="E9" s="221">
        <f t="array" ref="E9:F9">VLOOKUP(C9,MASTER!$C$2:$F54,{3,4},0)</f>
        <v>6460</v>
      </c>
      <c r="F9" s="221">
        <v>6980.0</v>
      </c>
      <c r="G9" s="240"/>
      <c r="H9" s="240"/>
    </row>
    <row r="10">
      <c r="A10" s="56" t="str">
        <f t="shared" si="2"/>
        <v>55</v>
      </c>
      <c r="B10" s="218">
        <v>7.0</v>
      </c>
      <c r="C10" s="218">
        <v>6255.0</v>
      </c>
      <c r="D10" s="220" t="str">
        <f>VLOOKUP(TEXT(A10,"#"),Main!$A$2:$C54,3,0)</f>
        <v>Sink Mixer with Regular Spout Wall Mounted with Flange</v>
      </c>
      <c r="E10" s="221">
        <f t="array" ref="E10:F10">VLOOKUP(C10,MASTER!$C$2:$F54,{3,4},0)</f>
        <v>3980</v>
      </c>
      <c r="F10" s="221">
        <v>4260.0</v>
      </c>
      <c r="G10" s="240"/>
      <c r="H10" s="240"/>
    </row>
    <row r="11">
      <c r="A11" s="56" t="str">
        <f t="shared" si="2"/>
        <v>14</v>
      </c>
      <c r="B11" s="218">
        <v>8.0</v>
      </c>
      <c r="C11" s="218">
        <v>6214.0</v>
      </c>
      <c r="D11" s="220" t="str">
        <f>VLOOKUP(TEXT(A11,"#"),Main!$A$2:$C54,3,0)</f>
        <v>Swan Neck Table Mounted</v>
      </c>
      <c r="E11" s="221">
        <f t="array" ref="E11:F11">VLOOKUP(C11,MASTER!$C$2:$F54,{3,4},0)</f>
        <v>1980</v>
      </c>
      <c r="F11" s="221">
        <v>2090.0</v>
      </c>
      <c r="G11" s="240"/>
      <c r="H11" s="240"/>
    </row>
    <row r="12">
      <c r="A12" s="56" t="str">
        <f t="shared" si="2"/>
        <v>16</v>
      </c>
      <c r="B12" s="218">
        <v>9.0</v>
      </c>
      <c r="C12" s="218">
        <v>6216.0</v>
      </c>
      <c r="D12" s="220" t="str">
        <f>VLOOKUP(TEXT(A12,"#"),Main!$A$2:$C54,3,0)</f>
        <v>Sink Cock Wall Mounted with Flange</v>
      </c>
      <c r="E12" s="221">
        <f t="array" ref="E12:F12">VLOOKUP(C12,MASTER!$C$2:$F54,{3,4},0)</f>
        <v>1790</v>
      </c>
      <c r="F12" s="221">
        <v>1940.0</v>
      </c>
      <c r="G12" s="240"/>
      <c r="H12" s="240"/>
    </row>
    <row r="13">
      <c r="A13" s="56" t="str">
        <f t="shared" si="2"/>
        <v>95</v>
      </c>
      <c r="B13" s="218">
        <v>10.0</v>
      </c>
      <c r="C13" s="218">
        <v>6295.0</v>
      </c>
      <c r="D13" s="220" t="str">
        <f>VLOOKUP(TEXT(A13,"#"),Main!$A$2:$C54,3,0)</f>
        <v>Bath Tub Spout with Flange</v>
      </c>
      <c r="E13" s="221">
        <f t="array" ref="E13:F13">VLOOKUP(C13,MASTER!$C$2:$F54,{3,4},0)</f>
        <v>1380</v>
      </c>
      <c r="F13" s="221">
        <v>1490.0</v>
      </c>
      <c r="G13" s="236"/>
      <c r="H13" s="236"/>
    </row>
    <row r="14">
      <c r="A14" s="56" t="str">
        <f t="shared" si="2"/>
        <v>96</v>
      </c>
      <c r="B14" s="218">
        <v>11.0</v>
      </c>
      <c r="C14" s="218">
        <v>6296.0</v>
      </c>
      <c r="D14" s="220" t="str">
        <f>VLOOKUP(TEXT(A14,"#"),Main!$A$2:$C54,3,0)</f>
        <v>Bath Tub Spout Tip Ton with Flange</v>
      </c>
      <c r="E14" s="221">
        <f t="array" ref="E14:F14">VLOOKUP(C14,MASTER!$C$2:$F54,{3,4},0)</f>
        <v>2030</v>
      </c>
      <c r="F14" s="221">
        <v>2180.0</v>
      </c>
      <c r="G14" s="236"/>
      <c r="H14" s="236"/>
    </row>
    <row r="15">
      <c r="A15" s="56" t="str">
        <f t="shared" si="2"/>
        <v>10</v>
      </c>
      <c r="B15" s="218">
        <v>12.0</v>
      </c>
      <c r="C15" s="218">
        <v>6210.0</v>
      </c>
      <c r="D15" s="220" t="str">
        <f>VLOOKUP(TEXT(A15,"#"),Main!$A$2:$C54,3,0)</f>
        <v>Angular Stop Cock with Wall Flange</v>
      </c>
      <c r="E15" s="221">
        <f t="array" ref="E15:F15">VLOOKUP(C15,MASTER!$C$2:$F54,{3,4},0)</f>
        <v>1040</v>
      </c>
      <c r="F15" s="221">
        <v>1090.0</v>
      </c>
      <c r="G15" s="236"/>
      <c r="H15" s="236"/>
    </row>
    <row r="16">
      <c r="A16" s="227" t="s">
        <v>209</v>
      </c>
      <c r="B16" s="224">
        <v>13.0</v>
      </c>
      <c r="C16" s="218" t="s">
        <v>810</v>
      </c>
      <c r="D16" s="220" t="str">
        <f>VLOOKUP(TEXT(A16,"#"),Main!$A$2:$C54,3,0)</f>
        <v>Single Lever Concealed Diverter Bath &amp; Shower 40mm</v>
      </c>
      <c r="E16" s="221">
        <f t="array" ref="E16:F16">VLOOKUP(C16,MASTER!$C$2:$F54,{3,4},0)</f>
        <v>5990</v>
      </c>
      <c r="F16" s="221">
        <v>6420.0</v>
      </c>
      <c r="G16" s="240"/>
      <c r="H16" s="240"/>
    </row>
    <row r="17">
      <c r="A17" s="225" t="s">
        <v>212</v>
      </c>
      <c r="B17" s="120"/>
      <c r="C17" s="218" t="s">
        <v>212</v>
      </c>
      <c r="D17" s="220" t="str">
        <f>VLOOKUP(TEXT(A17,"#"),Main!$A$2:$C54,3,0)</f>
        <v>Concealed Diverter Body 40mm (Cartridge, Sleeve, Tipton Assembly)</v>
      </c>
      <c r="E17" s="221">
        <f t="array" ref="E17:F17">VLOOKUP(C17,MASTER!$C$2:$F54,{3,4},0)</f>
        <v>4240</v>
      </c>
      <c r="F17" s="221">
        <v>4580.0</v>
      </c>
      <c r="G17" s="240"/>
      <c r="H17" s="240"/>
    </row>
    <row r="18">
      <c r="A18" s="225" t="s">
        <v>216</v>
      </c>
      <c r="B18" s="145"/>
      <c r="C18" s="218" t="s">
        <v>813</v>
      </c>
      <c r="D18" s="220" t="str">
        <f>VLOOKUP(TEXT(A18,"#"),Main!$A$2:$C54,3,0)</f>
        <v>Exposed Parts (Wall Flange &amp; Handle)</v>
      </c>
      <c r="E18" s="221">
        <f t="array" ref="E18:F18">VLOOKUP(C18,MASTER!$C$2:$F54,{3,4},0)</f>
        <v>1750</v>
      </c>
      <c r="F18" s="221">
        <v>1840.0</v>
      </c>
      <c r="G18" s="236"/>
      <c r="H18" s="236"/>
    </row>
    <row r="19">
      <c r="A19" s="227" t="s">
        <v>219</v>
      </c>
      <c r="B19" s="224">
        <v>14.0</v>
      </c>
      <c r="C19" s="218" t="s">
        <v>816</v>
      </c>
      <c r="D19" s="220" t="str">
        <f>VLOOKUP(TEXT(A19,"#"),Main!$A$2:$C54,3,0)</f>
        <v>Single Lever High Flow Concealed Diverter Bath &amp; Shower 46mm</v>
      </c>
      <c r="E19" s="221">
        <f t="array" ref="E19:F19">VLOOKUP(C19,MASTER!$C$2:$F54,{3,4},0)</f>
        <v>6730</v>
      </c>
      <c r="F19" s="221">
        <v>7330.0</v>
      </c>
      <c r="G19" s="240"/>
      <c r="H19" s="240"/>
    </row>
    <row r="20">
      <c r="A20" s="225" t="s">
        <v>223</v>
      </c>
      <c r="B20" s="120"/>
      <c r="C20" s="218" t="s">
        <v>223</v>
      </c>
      <c r="D20" s="220" t="str">
        <f>VLOOKUP(TEXT(A20,"#"),Main!$A$2:$C54,3,0)</f>
        <v>High Flow Concealed Diverter Body 46mm (Cartridge, Sleeve, Tipton Assembly)</v>
      </c>
      <c r="E20" s="221">
        <f t="array" ref="E20:F20">VLOOKUP(C20,MASTER!$C$2:$F54,{3,4},0)</f>
        <v>4980</v>
      </c>
      <c r="F20" s="221">
        <v>5490.0</v>
      </c>
      <c r="G20" s="240"/>
      <c r="H20" s="240"/>
    </row>
    <row r="21">
      <c r="A21" s="225" t="s">
        <v>226</v>
      </c>
      <c r="B21" s="145"/>
      <c r="C21" s="218" t="s">
        <v>819</v>
      </c>
      <c r="D21" s="220" t="str">
        <f>VLOOKUP(TEXT(A21,"#"),Main!$A$2:$C54,3,0)</f>
        <v>Exposed Parts (Wall Flange &amp; Handle)</v>
      </c>
      <c r="E21" s="221">
        <f t="array" ref="E21:F21">VLOOKUP(C21,MASTER!$C$2:$F54,{3,4},0)</f>
        <v>1750</v>
      </c>
      <c r="F21" s="221">
        <v>1840.0</v>
      </c>
      <c r="G21" s="236"/>
      <c r="H21" s="236"/>
    </row>
    <row r="22">
      <c r="A22" s="225"/>
      <c r="B22" s="224">
        <v>15.0</v>
      </c>
      <c r="C22" s="218" t="s">
        <v>830</v>
      </c>
      <c r="D22" s="229" t="s">
        <v>220</v>
      </c>
      <c r="E22" s="231" t="str">
        <f t="array" ref="E22:F22">VLOOKUP(C22,MASTER!$C$2:$F54,{3,4},0)</f>
        <v>NEW</v>
      </c>
      <c r="F22" s="221">
        <v>7330.0</v>
      </c>
      <c r="G22" s="236"/>
      <c r="H22" s="232" t="s">
        <v>377</v>
      </c>
    </row>
    <row r="23">
      <c r="A23" s="225"/>
      <c r="B23" s="120"/>
      <c r="C23" s="218" t="s">
        <v>381</v>
      </c>
      <c r="D23" s="229" t="s">
        <v>1252</v>
      </c>
      <c r="E23" s="231" t="str">
        <f t="array" ref="E23:F23">VLOOKUP(C23,MASTER!$C$2:$F54,{3,4},0)</f>
        <v>NEW</v>
      </c>
      <c r="F23" s="221">
        <v>4990.0</v>
      </c>
      <c r="G23" s="236"/>
      <c r="H23" s="232" t="s">
        <v>377</v>
      </c>
    </row>
    <row r="24">
      <c r="A24" s="225"/>
      <c r="B24" s="145"/>
      <c r="C24" s="218" t="s">
        <v>833</v>
      </c>
      <c r="D24" s="229" t="s">
        <v>386</v>
      </c>
      <c r="E24" s="231" t="str">
        <f t="array" ref="E24:F24">VLOOKUP(C24,MASTER!$C$2:$F54,{3,4},0)</f>
        <v>NEW</v>
      </c>
      <c r="F24" s="221">
        <v>2340.0</v>
      </c>
      <c r="G24" s="236"/>
      <c r="H24" s="232" t="s">
        <v>377</v>
      </c>
    </row>
    <row r="25">
      <c r="A25" s="227" t="s">
        <v>239</v>
      </c>
      <c r="B25" s="224">
        <v>16.0</v>
      </c>
      <c r="C25" s="218" t="s">
        <v>838</v>
      </c>
      <c r="D25" s="220" t="str">
        <f>VLOOKUP(TEXT(A25,"#"),Main!$A$2:$C54,3,0)</f>
        <v>Single Lever 3 In Let Concealed Diverter Bath &amp; Shower 46mm</v>
      </c>
      <c r="E25" s="221">
        <f t="array" ref="E25:F25">VLOOKUP(C25,MASTER!$C$2:$F54,{3,4},0)</f>
        <v>6730</v>
      </c>
      <c r="F25" s="221">
        <v>7330.0</v>
      </c>
      <c r="G25" s="240"/>
      <c r="H25" s="240"/>
    </row>
    <row r="26">
      <c r="A26" s="225" t="s">
        <v>243</v>
      </c>
      <c r="B26" s="120"/>
      <c r="C26" s="233" t="s">
        <v>243</v>
      </c>
      <c r="D26" s="220" t="str">
        <f>VLOOKUP(TEXT(A26,"#"),Main!$A$2:$C54,3,0)</f>
        <v>3 In Let Concealed Diverter Body 46mm (Cartridge, Sleeve, Tipton Assembly)</v>
      </c>
      <c r="E26" s="221">
        <f t="array" ref="E26:F26">VLOOKUP(C26,MASTER!$C$2:$F54,{3,4},0)</f>
        <v>4980</v>
      </c>
      <c r="F26" s="221">
        <v>5490.0</v>
      </c>
      <c r="G26" s="240"/>
      <c r="H26" s="240"/>
    </row>
    <row r="27">
      <c r="A27" s="225" t="s">
        <v>247</v>
      </c>
      <c r="B27" s="145"/>
      <c r="C27" s="233" t="s">
        <v>843</v>
      </c>
      <c r="D27" s="220" t="str">
        <f>VLOOKUP(TEXT(A27,"#"),Main!$A$2:$C54,3,0)</f>
        <v>Exposed Parts (Wall Flange &amp; Handle)</v>
      </c>
      <c r="E27" s="221">
        <f t="array" ref="E27:F27">VLOOKUP(C27,MASTER!$C$2:$F54,{3,4},0)</f>
        <v>1750</v>
      </c>
      <c r="F27" s="221">
        <v>1840.0</v>
      </c>
      <c r="G27" s="236"/>
      <c r="H27" s="236"/>
    </row>
    <row r="28">
      <c r="A28" s="225" t="s">
        <v>228</v>
      </c>
      <c r="B28" s="224">
        <v>17.0</v>
      </c>
      <c r="C28" s="218" t="s">
        <v>822</v>
      </c>
      <c r="D28" s="220" t="str">
        <f>VLOOKUP(TEXT(A28,"#"),Main!$A$2:$C54,3,0)</f>
        <v>Single Lever High Flow Concealed Diverter Bath &amp; Shower 46mm (ON-OFF)</v>
      </c>
      <c r="E28" s="221">
        <f t="array" ref="E28:F28">VLOOKUP(C28,MASTER!$C$2:$F54,{3,4},0)</f>
        <v>6730</v>
      </c>
      <c r="F28" s="221">
        <v>7330.0</v>
      </c>
      <c r="G28" s="240"/>
      <c r="H28" s="240"/>
    </row>
    <row r="29">
      <c r="A29" s="225" t="s">
        <v>234</v>
      </c>
      <c r="B29" s="120"/>
      <c r="C29" s="218" t="s">
        <v>234</v>
      </c>
      <c r="D29" s="220" t="str">
        <f>VLOOKUP(TEXT(A29,"#"),Main!$A$2:$C54,3,0)</f>
        <v>High Flow Concealed Diverter Body 46mm (Cartridge, Sleeve, On-Off Assembly)</v>
      </c>
      <c r="E29" s="221">
        <f t="array" ref="E29:F29">VLOOKUP(C29,MASTER!$C$2:$F54,{3,4},0)</f>
        <v>4740</v>
      </c>
      <c r="F29" s="221">
        <v>5250.0</v>
      </c>
      <c r="G29" s="240"/>
      <c r="H29" s="240"/>
    </row>
    <row r="30">
      <c r="A30" s="225" t="s">
        <v>237</v>
      </c>
      <c r="B30" s="145"/>
      <c r="C30" s="218" t="s">
        <v>827</v>
      </c>
      <c r="D30" s="220" t="str">
        <f>VLOOKUP(TEXT(A30,"#"),Main!$A$2:$C54,3,0)</f>
        <v>Exposed Parts (Wall Flange &amp; Handle)</v>
      </c>
      <c r="E30" s="221">
        <f t="array" ref="E30:F30">VLOOKUP(C30,MASTER!$C$2:$F54,{3,4},0)</f>
        <v>1990</v>
      </c>
      <c r="F30" s="221">
        <v>2080.0</v>
      </c>
      <c r="G30" s="236"/>
      <c r="H30" s="236"/>
    </row>
    <row r="31">
      <c r="A31" s="225"/>
      <c r="B31" s="224">
        <v>18.0</v>
      </c>
      <c r="C31" s="218" t="s">
        <v>834</v>
      </c>
      <c r="D31" s="229" t="s">
        <v>229</v>
      </c>
      <c r="E31" s="231" t="str">
        <f t="array" ref="E31:F31">VLOOKUP(C31,MASTER!$C$2:$F54,{3,4},0)</f>
        <v>NEW</v>
      </c>
      <c r="F31" s="221">
        <v>7330.0</v>
      </c>
      <c r="G31" s="236"/>
      <c r="H31" s="232" t="s">
        <v>377</v>
      </c>
    </row>
    <row r="32">
      <c r="A32" s="225"/>
      <c r="B32" s="120"/>
      <c r="C32" s="218" t="s">
        <v>392</v>
      </c>
      <c r="D32" s="229" t="s">
        <v>1254</v>
      </c>
      <c r="E32" s="231" t="str">
        <f t="array" ref="E32:F32">VLOOKUP(C32,MASTER!$C$2:$F54,{3,4},0)</f>
        <v>NEW</v>
      </c>
      <c r="F32" s="221">
        <v>4750.0</v>
      </c>
      <c r="G32" s="236"/>
      <c r="H32" s="232" t="s">
        <v>377</v>
      </c>
    </row>
    <row r="33">
      <c r="A33" s="225"/>
      <c r="B33" s="145"/>
      <c r="C33" s="218" t="s">
        <v>837</v>
      </c>
      <c r="D33" s="229" t="s">
        <v>386</v>
      </c>
      <c r="E33" s="231" t="str">
        <f t="array" ref="E33:F33">VLOOKUP(C33,MASTER!$C$2:$F54,{3,4},0)</f>
        <v>NEW</v>
      </c>
      <c r="F33" s="221">
        <v>2580.0</v>
      </c>
      <c r="G33" s="236"/>
      <c r="H33" s="232" t="s">
        <v>377</v>
      </c>
    </row>
    <row r="34">
      <c r="A34" s="225" t="s">
        <v>249</v>
      </c>
      <c r="B34" s="224">
        <v>19.0</v>
      </c>
      <c r="C34" s="218" t="s">
        <v>846</v>
      </c>
      <c r="D34" s="220" t="str">
        <f>VLOOKUP(TEXT(A34,"#"),Main!$A$2:$C54,3,0)</f>
        <v>Single Lever 3 In Let Concealed Diverter Bath &amp; Shower 46mm (ON-OFF)</v>
      </c>
      <c r="E34" s="221">
        <f t="array" ref="E34:F34">VLOOKUP(C34,MASTER!$C$2:$F54,{3,4},0)</f>
        <v>6730</v>
      </c>
      <c r="F34" s="221">
        <v>7330.0</v>
      </c>
      <c r="G34" s="240"/>
      <c r="H34" s="242"/>
    </row>
    <row r="35">
      <c r="A35" s="225" t="s">
        <v>253</v>
      </c>
      <c r="B35" s="120"/>
      <c r="C35" s="218" t="s">
        <v>253</v>
      </c>
      <c r="D35" s="220" t="str">
        <f>VLOOKUP(TEXT(A35,"#"),Main!$A$2:$C54,3,0)</f>
        <v>3 In Let Concealed Diverter Body 46mm (Cartridge, Sleeve, On-Off Assembly)</v>
      </c>
      <c r="E35" s="221">
        <f t="array" ref="E35:F35">VLOOKUP(C35,MASTER!$C$2:$F54,{3,4},0)</f>
        <v>4740</v>
      </c>
      <c r="F35" s="221">
        <v>5250.0</v>
      </c>
      <c r="G35" s="240"/>
      <c r="H35" s="242"/>
    </row>
    <row r="36">
      <c r="A36" s="225" t="s">
        <v>258</v>
      </c>
      <c r="B36" s="145"/>
      <c r="C36" s="218" t="s">
        <v>849</v>
      </c>
      <c r="D36" s="220" t="str">
        <f>VLOOKUP(TEXT(A36,"#"),Main!$A$2:$C54,3,0)</f>
        <v>Exposed Parts (Wall Flange &amp; Handle)</v>
      </c>
      <c r="E36" s="221">
        <f t="array" ref="E36:F36">VLOOKUP(C36,MASTER!$C$2:$F54,{3,4},0)</f>
        <v>1990</v>
      </c>
      <c r="F36" s="221">
        <v>2080.0</v>
      </c>
      <c r="G36" s="236"/>
      <c r="H36" s="248"/>
    </row>
    <row r="37">
      <c r="A37" s="56" t="str">
        <f t="shared" ref="A37:A40" si="3">RIGHT(C37,2)</f>
        <v>02</v>
      </c>
      <c r="B37" s="218">
        <v>20.0</v>
      </c>
      <c r="C37" s="218">
        <v>6202.0</v>
      </c>
      <c r="D37" s="220" t="str">
        <f>VLOOKUP(TEXT(A37,"#"),Main!$A$2:$C54,3,0)</f>
        <v>Pillar Cock</v>
      </c>
      <c r="E37" s="221">
        <f t="array" ref="E37:F37">VLOOKUP(C37,MASTER!$C$2:$F54,{3,4},0)</f>
        <v>1770</v>
      </c>
      <c r="F37" s="221">
        <v>1880.0</v>
      </c>
      <c r="G37" s="240"/>
      <c r="H37" s="242"/>
    </row>
    <row r="38">
      <c r="A38" s="56" t="str">
        <f t="shared" si="3"/>
        <v>04</v>
      </c>
      <c r="B38" s="218">
        <v>21.0</v>
      </c>
      <c r="C38" s="218">
        <v>6204.0</v>
      </c>
      <c r="D38" s="220" t="str">
        <f>VLOOKUP(TEXT(A38,"#"),Main!$A$2:$C54,3,0)</f>
        <v>Pillar Cock Extended Body</v>
      </c>
      <c r="E38" s="221">
        <f t="array" ref="E38:F38">VLOOKUP(C38,MASTER!$C$2:$F54,{3,4},0)</f>
        <v>2420</v>
      </c>
      <c r="F38" s="221">
        <v>2580.0</v>
      </c>
      <c r="G38" s="240"/>
      <c r="H38" s="242"/>
    </row>
    <row r="39">
      <c r="A39" s="56" t="str">
        <f t="shared" si="3"/>
        <v>06</v>
      </c>
      <c r="B39" s="218">
        <v>22.0</v>
      </c>
      <c r="C39" s="218">
        <v>6206.0</v>
      </c>
      <c r="D39" s="220" t="str">
        <f>VLOOKUP(TEXT(A39,"#"),Main!$A$2:$C54,3,0)</f>
        <v>Bib Cock with Wall Flange</v>
      </c>
      <c r="E39" s="221">
        <f t="array" ref="E39:F39">VLOOKUP(C39,MASTER!$C$2:$F54,{3,4},0)</f>
        <v>1450</v>
      </c>
      <c r="F39" s="221">
        <v>1580.0</v>
      </c>
      <c r="G39" s="236"/>
      <c r="H39" s="248"/>
    </row>
    <row r="40">
      <c r="A40" s="56" t="str">
        <f t="shared" si="3"/>
        <v>07</v>
      </c>
      <c r="B40" s="224">
        <v>23.0</v>
      </c>
      <c r="C40" s="218">
        <v>6207.0</v>
      </c>
      <c r="D40" s="220" t="str">
        <f>VLOOKUP(TEXT(A40,"#"),Main!$A$2:$C54,3,0)</f>
        <v>Concealed Wall Mount Pillar Cock</v>
      </c>
      <c r="E40" s="221">
        <f t="array" ref="E40:F40">VLOOKUP(C40,MASTER!$C$2:$F54,{3,4},0)</f>
        <v>2730</v>
      </c>
      <c r="F40" s="221">
        <v>2880.0</v>
      </c>
      <c r="G40" s="236"/>
      <c r="H40" s="236"/>
    </row>
    <row r="41">
      <c r="A41" s="225" t="s">
        <v>73</v>
      </c>
      <c r="B41" s="120"/>
      <c r="C41" s="218" t="s">
        <v>73</v>
      </c>
      <c r="D41" s="220" t="str">
        <f>VLOOKUP(TEXT(A41,"#"),Main!$A$2:$C54,3,0)</f>
        <v>Concealed Pillar Cock Body 15mm</v>
      </c>
      <c r="E41" s="221">
        <f t="array" ref="E41:F41">VLOOKUP(C41,MASTER!$C$2:$F54,{3,4},0)</f>
        <v>1390</v>
      </c>
      <c r="F41" s="221">
        <v>1490.0</v>
      </c>
      <c r="G41" s="236"/>
      <c r="H41" s="236"/>
    </row>
    <row r="42">
      <c r="A42" s="225" t="s">
        <v>77</v>
      </c>
      <c r="B42" s="145"/>
      <c r="C42" s="218" t="s">
        <v>792</v>
      </c>
      <c r="D42" s="220" t="str">
        <f>VLOOKUP(TEXT(A42,"#"),Main!$A$2:$C54,3,0)</f>
        <v>Exposed Parts (Wall Flange, Handle &amp; Spout)</v>
      </c>
      <c r="E42" s="221">
        <f t="array" ref="E42:F42">VLOOKUP(C42,MASTER!$C$2:$F54,{3,4},0)</f>
        <v>1340</v>
      </c>
      <c r="F42" s="221">
        <v>1390.0</v>
      </c>
      <c r="G42" s="236"/>
      <c r="H42" s="236"/>
    </row>
    <row r="43">
      <c r="A43" s="56" t="str">
        <f t="shared" ref="A43:A48" si="4">RIGHT(C43,2)</f>
        <v>08</v>
      </c>
      <c r="B43" s="218">
        <v>24.0</v>
      </c>
      <c r="C43" s="218">
        <v>6208.0</v>
      </c>
      <c r="D43" s="220" t="str">
        <f>VLOOKUP(TEXT(A43,"#"),Main!$A$2:$C54,3,0)</f>
        <v>Bib Cock Long Body with Wall Flange</v>
      </c>
      <c r="E43" s="221">
        <f t="array" ref="E43:F43">VLOOKUP(C43,MASTER!$C$2:$F54,{3,4},0)</f>
        <v>1690</v>
      </c>
      <c r="F43" s="221">
        <v>1780.0</v>
      </c>
      <c r="G43" s="236"/>
      <c r="H43" s="236"/>
    </row>
    <row r="44">
      <c r="A44" s="56" t="str">
        <f t="shared" si="4"/>
        <v>11</v>
      </c>
      <c r="B44" s="218">
        <v>25.0</v>
      </c>
      <c r="C44" s="218">
        <v>6211.0</v>
      </c>
      <c r="D44" s="220" t="str">
        <f>VLOOKUP(TEXT(A44,"#"),Main!$A$2:$C54,3,0)</f>
        <v>2-Way Angular Stop Cock with Wall Flange</v>
      </c>
      <c r="E44" s="221">
        <f t="array" ref="E44:F44">VLOOKUP(C44,MASTER!$C$2:$F54,{3,4},0)</f>
        <v>1790</v>
      </c>
      <c r="F44" s="221">
        <v>1880.0</v>
      </c>
      <c r="G44" s="236"/>
      <c r="H44" s="236"/>
    </row>
    <row r="45">
      <c r="A45" s="56" t="str">
        <f t="shared" si="4"/>
        <v>12</v>
      </c>
      <c r="B45" s="218">
        <v>26.0</v>
      </c>
      <c r="C45" s="218">
        <v>6212.0</v>
      </c>
      <c r="D45" s="220" t="str">
        <f>VLOOKUP(TEXT(A45,"#"),Main!$A$2:$C54,3,0)</f>
        <v>2-Way Bib Cock Double Handle with Wall Flange</v>
      </c>
      <c r="E45" s="221">
        <f t="array" ref="E45:F45">VLOOKUP(C45,MASTER!$C$2:$F54,{3,4},0)</f>
        <v>2040</v>
      </c>
      <c r="F45" s="221">
        <v>2180.0</v>
      </c>
      <c r="G45" s="240"/>
      <c r="H45" s="240"/>
    </row>
    <row r="46">
      <c r="A46" s="56" t="str">
        <f t="shared" si="4"/>
        <v>18</v>
      </c>
      <c r="B46" s="218">
        <v>27.0</v>
      </c>
      <c r="C46" s="218">
        <v>6218.0</v>
      </c>
      <c r="D46" s="220" t="str">
        <f>VLOOKUP(TEXT(A46,"#"),Main!$A$2:$C54,3,0)</f>
        <v>Concealed Stop Cock 15mm with Wall Flange</v>
      </c>
      <c r="E46" s="221">
        <f t="array" ref="E46:F46">VLOOKUP(C46,MASTER!$C$2:$F54,{3,4},0)</f>
        <v>1250</v>
      </c>
      <c r="F46" s="221">
        <v>1420.0</v>
      </c>
      <c r="G46" s="240"/>
      <c r="H46" s="240"/>
    </row>
    <row r="47">
      <c r="A47" s="56" t="str">
        <f t="shared" si="4"/>
        <v>20</v>
      </c>
      <c r="B47" s="218">
        <v>28.0</v>
      </c>
      <c r="C47" s="218">
        <v>6220.0</v>
      </c>
      <c r="D47" s="220" t="str">
        <f>VLOOKUP(TEXT(A47,"#"),Main!$A$2:$C54,3,0)</f>
        <v>Concealed Stop Cock 20mm with Wall Flange</v>
      </c>
      <c r="E47" s="221">
        <f t="array" ref="E47:F47">VLOOKUP(C47,MASTER!$C$2:$F54,{3,4},0)</f>
        <v>1290</v>
      </c>
      <c r="F47" s="221">
        <v>1460.0</v>
      </c>
      <c r="G47" s="240"/>
      <c r="H47" s="240"/>
    </row>
    <row r="48">
      <c r="A48" s="56" t="str">
        <f t="shared" si="4"/>
        <v>98</v>
      </c>
      <c r="B48" s="218">
        <v>29.0</v>
      </c>
      <c r="C48" s="218">
        <v>6298.0</v>
      </c>
      <c r="D48" s="220" t="str">
        <f>VLOOKUP(TEXT(A48,"#"),Main!$A$2:$C54,3,0)</f>
        <v>Flush Cock 25mm Half Turn with Adjustable Flange</v>
      </c>
      <c r="E48" s="221">
        <f t="array" ref="E48:F48">VLOOKUP(C48,MASTER!$C$2:$F54,{3,4},0)</f>
        <v>2240</v>
      </c>
      <c r="F48" s="221">
        <v>2350.0</v>
      </c>
      <c r="G48" s="240"/>
      <c r="H48" s="240"/>
    </row>
    <row r="49">
      <c r="A49" s="3"/>
      <c r="B49" s="3"/>
      <c r="C49" s="3"/>
      <c r="D49" s="3"/>
      <c r="E49" s="10"/>
      <c r="F49" s="249"/>
      <c r="G49" s="236"/>
      <c r="H49" s="236"/>
    </row>
    <row r="50">
      <c r="A50" s="3"/>
      <c r="B50" s="3"/>
      <c r="C50" s="3"/>
      <c r="D50" s="3"/>
      <c r="E50" s="10"/>
      <c r="F50" s="249"/>
      <c r="G50" s="236"/>
      <c r="H50" s="236"/>
    </row>
    <row r="51">
      <c r="A51" s="3"/>
      <c r="B51" s="3"/>
      <c r="C51" s="3"/>
      <c r="D51" s="3"/>
      <c r="E51" s="10"/>
      <c r="F51" s="249"/>
      <c r="G51" s="236"/>
      <c r="H51" s="236"/>
    </row>
    <row r="52">
      <c r="A52" s="3"/>
      <c r="B52" s="3"/>
      <c r="C52" s="3"/>
      <c r="D52" s="3"/>
      <c r="E52" s="10"/>
      <c r="F52" s="249"/>
      <c r="G52" s="236"/>
      <c r="H52" s="236"/>
    </row>
    <row r="53">
      <c r="A53" s="3"/>
      <c r="B53" s="3"/>
      <c r="C53" s="3"/>
      <c r="D53" s="3"/>
      <c r="E53" s="10"/>
      <c r="F53" s="249"/>
      <c r="G53" s="236"/>
      <c r="H53" s="236"/>
    </row>
    <row r="54">
      <c r="A54" s="3"/>
      <c r="B54" s="3"/>
      <c r="C54" s="3"/>
      <c r="D54" s="3"/>
      <c r="E54" s="10"/>
      <c r="F54" s="249"/>
      <c r="G54" s="236"/>
      <c r="H54" s="236"/>
    </row>
  </sheetData>
  <mergeCells count="9">
    <mergeCell ref="B34:B36"/>
    <mergeCell ref="B40:B42"/>
    <mergeCell ref="B4:B6"/>
    <mergeCell ref="B16:B18"/>
    <mergeCell ref="B19:B21"/>
    <mergeCell ref="B22:B24"/>
    <mergeCell ref="B25:B27"/>
    <mergeCell ref="B28:B30"/>
    <mergeCell ref="B31:B33"/>
  </mergeCells>
  <printOptions horizontalCentered="1"/>
  <pageMargins bottom="0.75" footer="0.0" header="0.0" left="0.25" right="0.25" top="0.75"/>
  <pageSetup paperSize="9" cellComments="atEnd" orientation="portrait" pageOrder="overThenDown"/>
  <headerFooter>
    <oddHeader>&amp;L&amp;F&amp;R&amp;A</oddHeader>
    <oddFooter>&amp;L&amp;D &amp;T&amp;R&amp;P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6.63"/>
    <col customWidth="1" min="2" max="2" width="7.13"/>
    <col customWidth="1" min="3" max="3" width="19.75"/>
    <col customWidth="1" min="4" max="4" width="83.63"/>
    <col customWidth="1" min="5" max="5" width="11.63"/>
    <col customWidth="1" min="6" max="6" width="13.0"/>
    <col customWidth="1" hidden="1" min="7" max="7" width="9.75"/>
  </cols>
  <sheetData>
    <row r="1" ht="85.5" customHeight="1">
      <c r="A1" s="217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  <c r="H1" s="10"/>
    </row>
    <row r="2">
      <c r="A2" s="56" t="str">
        <f t="shared" ref="A2:A4" si="1">RIGHT(C2,2)</f>
        <v>50</v>
      </c>
      <c r="B2" s="218">
        <v>1.0</v>
      </c>
      <c r="C2" s="218">
        <v>6050.0</v>
      </c>
      <c r="D2" s="220" t="str">
        <f>VLOOKUP(TEXT(A2,"#"),Main!$A$2:$C54,3,0)</f>
        <v>Center Hole Basin Mixer without Popup</v>
      </c>
      <c r="E2" s="221">
        <f t="array" ref="E2:F2">VLOOKUP(C2,MASTER!$C$2:$F54,{3,4},0)</f>
        <v>3980</v>
      </c>
      <c r="F2" s="221">
        <v>4480.0</v>
      </c>
      <c r="G2" s="223"/>
      <c r="H2" s="223"/>
    </row>
    <row r="3">
      <c r="A3" s="56" t="str">
        <f t="shared" si="1"/>
        <v>51</v>
      </c>
      <c r="B3" s="218">
        <v>2.0</v>
      </c>
      <c r="C3" s="218">
        <v>6051.0</v>
      </c>
      <c r="D3" s="220" t="str">
        <f>VLOOKUP(TEXT(A3,"#"),Main!$A$2:$C54,3,0)</f>
        <v>Single Lever Basin Mixer without Popup Waste System</v>
      </c>
      <c r="E3" s="221">
        <f t="array" ref="E3:F3">VLOOKUP(C3,MASTER!$C$2:$F54,{3,4},0)</f>
        <v>4290</v>
      </c>
      <c r="F3" s="221">
        <v>4780.0</v>
      </c>
      <c r="G3" s="223"/>
      <c r="H3" s="223"/>
    </row>
    <row r="4">
      <c r="A4" s="56" t="str">
        <f t="shared" si="1"/>
        <v>54</v>
      </c>
      <c r="B4" s="224">
        <v>3.0</v>
      </c>
      <c r="C4" s="218">
        <v>6054.0</v>
      </c>
      <c r="D4" s="220" t="s">
        <v>152</v>
      </c>
      <c r="E4" s="221">
        <f t="array" ref="E4:F4">VLOOKUP(C4,MASTER!$C$2:$F54,{3,4},0)</f>
        <v>6140</v>
      </c>
      <c r="F4" s="221">
        <v>6680.0</v>
      </c>
      <c r="G4" s="223"/>
      <c r="H4" s="223"/>
    </row>
    <row r="5">
      <c r="A5" s="225" t="s">
        <v>154</v>
      </c>
      <c r="B5" s="120"/>
      <c r="C5" s="218" t="s">
        <v>154</v>
      </c>
      <c r="D5" s="220" t="str">
        <f>VLOOKUP(TEXT(A5,"#"),Main!$A$2:$C54,3,0)</f>
        <v>Single Lever Basin Mixer Wall Mount (Body, Cartridge, Sleeve &amp; Nipple)</v>
      </c>
      <c r="E5" s="221">
        <f t="array" ref="E5:F5">VLOOKUP(C5,MASTER!$C$2:$F54,{3,4},0)</f>
        <v>3680</v>
      </c>
      <c r="F5" s="221">
        <v>3990.0</v>
      </c>
      <c r="G5" s="223"/>
      <c r="H5" s="223"/>
    </row>
    <row r="6">
      <c r="A6" s="225" t="s">
        <v>346</v>
      </c>
      <c r="B6" s="145"/>
      <c r="C6" s="218" t="s">
        <v>738</v>
      </c>
      <c r="D6" s="220" t="s">
        <v>78</v>
      </c>
      <c r="E6" s="221">
        <f t="array" ref="E6:F6">VLOOKUP(C6,MASTER!$C$2:$F54,{3,4},0)</f>
        <v>2460</v>
      </c>
      <c r="F6" s="221">
        <v>2690.0</v>
      </c>
      <c r="G6" s="10"/>
      <c r="H6" s="10"/>
    </row>
    <row r="7">
      <c r="A7" s="56" t="str">
        <f t="shared" ref="A7:A15" si="2">RIGHT(C7,2)</f>
        <v>70</v>
      </c>
      <c r="B7" s="218">
        <v>4.0</v>
      </c>
      <c r="C7" s="218">
        <v>6070.0</v>
      </c>
      <c r="D7" s="220" t="str">
        <f>VLOOKUP(TEXT(A7,"#"),Main!$A$2:$C54,3,0)</f>
        <v>Wall Mixer Telephonic with Crutch &amp; Wall Flange (Provision For Hand Shower)</v>
      </c>
      <c r="E7" s="221">
        <f t="array" ref="E7:F7">VLOOKUP(C7,MASTER!$C$2:$F54,{3,4},0)</f>
        <v>5980</v>
      </c>
      <c r="F7" s="221">
        <v>6480.0</v>
      </c>
      <c r="G7" s="223"/>
      <c r="H7" s="223"/>
    </row>
    <row r="8">
      <c r="A8" s="56" t="str">
        <f t="shared" si="2"/>
        <v>75</v>
      </c>
      <c r="B8" s="218">
        <v>5.0</v>
      </c>
      <c r="C8" s="218">
        <v>6075.0</v>
      </c>
      <c r="D8" s="220" t="str">
        <f>VLOOKUP(TEXT(A8,"#"),Main!$A$2:$C54,3,0)</f>
        <v>Wall Mixer "L" Bend with Wall Flange (Provision For Over Head Shower)</v>
      </c>
      <c r="E8" s="221">
        <f t="array" ref="E8:F8">VLOOKUP(C8,MASTER!$C$2:$F54,{3,4},0)</f>
        <v>5980</v>
      </c>
      <c r="F8" s="221">
        <v>6480.0</v>
      </c>
      <c r="G8" s="223"/>
      <c r="H8" s="223"/>
    </row>
    <row r="9">
      <c r="A9" s="56" t="str">
        <f t="shared" si="2"/>
        <v>80</v>
      </c>
      <c r="B9" s="218">
        <v>6.0</v>
      </c>
      <c r="C9" s="218">
        <v>6080.0</v>
      </c>
      <c r="D9" s="220" t="str">
        <f>VLOOKUP(TEXT(A9,"#"),Main!$A$2:$C54,3,0)</f>
        <v>Wall Mixer 3 In 1 with Wall Flange (Provision For Over Head Shower &amp; Hand Shower)</v>
      </c>
      <c r="E9" s="221">
        <f t="array" ref="E9:F9">VLOOKUP(C9,MASTER!$C$2:$F54,{3,4},0)</f>
        <v>6980</v>
      </c>
      <c r="F9" s="221">
        <v>7540.0</v>
      </c>
      <c r="G9" s="223"/>
      <c r="H9" s="223"/>
    </row>
    <row r="10">
      <c r="A10" s="56" t="str">
        <f t="shared" si="2"/>
        <v>55</v>
      </c>
      <c r="B10" s="218">
        <v>7.0</v>
      </c>
      <c r="C10" s="218">
        <v>6055.0</v>
      </c>
      <c r="D10" s="220" t="str">
        <f>VLOOKUP(TEXT(A10,"#"),Main!$A$2:$C54,3,0)</f>
        <v>Sink Mixer with Regular Spout Wall Mounted with Flange</v>
      </c>
      <c r="E10" s="221">
        <f t="array" ref="E10:F10">VLOOKUP(C10,MASTER!$C$2:$F54,{3,4},0)</f>
        <v>4260</v>
      </c>
      <c r="F10" s="221">
        <v>4640.0</v>
      </c>
      <c r="G10" s="223"/>
      <c r="H10" s="223"/>
    </row>
    <row r="11">
      <c r="A11" s="56" t="str">
        <f t="shared" si="2"/>
        <v>14</v>
      </c>
      <c r="B11" s="218">
        <v>8.0</v>
      </c>
      <c r="C11" s="218">
        <v>6014.0</v>
      </c>
      <c r="D11" s="220" t="str">
        <f>VLOOKUP(TEXT(A11,"#"),Main!$A$2:$C54,3,0)</f>
        <v>Swan Neck Table Mounted</v>
      </c>
      <c r="E11" s="221">
        <f t="array" ref="E11:F11">VLOOKUP(C11,MASTER!$C$2:$F54,{3,4},0)</f>
        <v>2240</v>
      </c>
      <c r="F11" s="221">
        <v>2440.0</v>
      </c>
      <c r="G11" s="223"/>
      <c r="H11" s="223"/>
    </row>
    <row r="12">
      <c r="A12" s="56" t="str">
        <f t="shared" si="2"/>
        <v>16</v>
      </c>
      <c r="B12" s="218">
        <v>9.0</v>
      </c>
      <c r="C12" s="218">
        <v>6016.0</v>
      </c>
      <c r="D12" s="220" t="str">
        <f>VLOOKUP(TEXT(A12,"#"),Main!$A$2:$C54,3,0)</f>
        <v>Sink Cock Wall Mounted with Flange</v>
      </c>
      <c r="E12" s="221">
        <f t="array" ref="E12:F12">VLOOKUP(C12,MASTER!$C$2:$F54,{3,4},0)</f>
        <v>1990</v>
      </c>
      <c r="F12" s="221">
        <v>2180.0</v>
      </c>
      <c r="G12" s="223"/>
      <c r="H12" s="223"/>
    </row>
    <row r="13">
      <c r="A13" s="56" t="str">
        <f t="shared" si="2"/>
        <v>95</v>
      </c>
      <c r="B13" s="218">
        <v>10.0</v>
      </c>
      <c r="C13" s="218">
        <v>6095.0</v>
      </c>
      <c r="D13" s="220" t="str">
        <f>VLOOKUP(TEXT(A13,"#"),Main!$A$2:$C54,3,0)</f>
        <v>Bath Tub Spout with Flange</v>
      </c>
      <c r="E13" s="221">
        <f t="array" ref="E13:F13">VLOOKUP(C13,MASTER!$C$2:$F54,{3,4},0)</f>
        <v>1590</v>
      </c>
      <c r="F13" s="221">
        <v>1760.0</v>
      </c>
      <c r="G13" s="10"/>
      <c r="H13" s="10"/>
    </row>
    <row r="14">
      <c r="A14" s="56" t="str">
        <f t="shared" si="2"/>
        <v>96</v>
      </c>
      <c r="B14" s="218">
        <v>11.0</v>
      </c>
      <c r="C14" s="218">
        <v>6096.0</v>
      </c>
      <c r="D14" s="220" t="str">
        <f>VLOOKUP(TEXT(A14,"#"),Main!$A$2:$C54,3,0)</f>
        <v>Bath Tub Spout Tip Ton with Flange</v>
      </c>
      <c r="E14" s="221">
        <f t="array" ref="E14:F14">VLOOKUP(C14,MASTER!$C$2:$F54,{3,4},0)</f>
        <v>2240</v>
      </c>
      <c r="F14" s="221">
        <v>2480.0</v>
      </c>
      <c r="G14" s="10"/>
      <c r="H14" s="10"/>
    </row>
    <row r="15">
      <c r="A15" s="56" t="str">
        <f t="shared" si="2"/>
        <v>10</v>
      </c>
      <c r="B15" s="218">
        <v>12.0</v>
      </c>
      <c r="C15" s="218">
        <v>6010.0</v>
      </c>
      <c r="D15" s="220" t="str">
        <f>VLOOKUP(TEXT(A15,"#"),Main!$A$2:$C54,3,0)</f>
        <v>Angular Stop Cock with Wall Flange</v>
      </c>
      <c r="E15" s="221">
        <f t="array" ref="E15:F15">VLOOKUP(C15,MASTER!$C$2:$F54,{3,4},0)</f>
        <v>1070</v>
      </c>
      <c r="F15" s="221">
        <v>1160.0</v>
      </c>
      <c r="G15" s="10"/>
      <c r="H15" s="10"/>
    </row>
    <row r="16">
      <c r="A16" s="227" t="s">
        <v>209</v>
      </c>
      <c r="B16" s="224">
        <v>13.0</v>
      </c>
      <c r="C16" s="218" t="s">
        <v>743</v>
      </c>
      <c r="D16" s="220" t="str">
        <f>VLOOKUP(TEXT(A16,"#"),Main!$A$2:$C54,3,0)</f>
        <v>Single Lever Concealed Diverter Bath &amp; Shower 40mm</v>
      </c>
      <c r="E16" s="221">
        <f t="array" ref="E16:F16">VLOOKUP(C16,MASTER!$C$2:$F54,{3,4},0)</f>
        <v>6180</v>
      </c>
      <c r="F16" s="221">
        <v>6660.0</v>
      </c>
      <c r="G16" s="223"/>
      <c r="H16" s="223"/>
    </row>
    <row r="17">
      <c r="A17" s="225" t="s">
        <v>212</v>
      </c>
      <c r="B17" s="120"/>
      <c r="C17" s="218" t="s">
        <v>212</v>
      </c>
      <c r="D17" s="220" t="str">
        <f>VLOOKUP(TEXT(A17,"#"),Main!$A$2:$C54,3,0)</f>
        <v>Concealed Diverter Body 40mm (Cartridge, Sleeve, Tipton Assembly)</v>
      </c>
      <c r="E17" s="221">
        <f t="array" ref="E17:F17">VLOOKUP(C17,MASTER!$C$2:$F54,{3,4},0)</f>
        <v>4240</v>
      </c>
      <c r="F17" s="221">
        <v>4580.0</v>
      </c>
      <c r="G17" s="223"/>
      <c r="H17" s="223"/>
    </row>
    <row r="18">
      <c r="A18" s="225" t="s">
        <v>216</v>
      </c>
      <c r="B18" s="145"/>
      <c r="C18" s="218" t="s">
        <v>748</v>
      </c>
      <c r="D18" s="220" t="str">
        <f>VLOOKUP(TEXT(A18,"#"),Main!$A$2:$C54,3,0)</f>
        <v>Exposed Parts (Wall Flange &amp; Handle)</v>
      </c>
      <c r="E18" s="221">
        <f t="array" ref="E18:F18">VLOOKUP(C18,MASTER!$C$2:$F54,{3,4},0)</f>
        <v>1940</v>
      </c>
      <c r="F18" s="221">
        <v>2080.0</v>
      </c>
      <c r="G18" s="10"/>
      <c r="H18" s="10"/>
    </row>
    <row r="19">
      <c r="A19" s="227" t="s">
        <v>219</v>
      </c>
      <c r="B19" s="224">
        <v>14.0</v>
      </c>
      <c r="C19" s="218" t="s">
        <v>749</v>
      </c>
      <c r="D19" s="220" t="str">
        <f>VLOOKUP(TEXT(A19,"#"),Main!$A$2:$C54,3,0)</f>
        <v>Single Lever High Flow Concealed Diverter Bath &amp; Shower 46mm</v>
      </c>
      <c r="E19" s="221">
        <f t="array" ref="E19:F19">VLOOKUP(C19,MASTER!$C$2:$F54,{3,4},0)</f>
        <v>6920</v>
      </c>
      <c r="F19" s="221">
        <v>7570.0</v>
      </c>
      <c r="G19" s="223"/>
      <c r="H19" s="223"/>
    </row>
    <row r="20">
      <c r="A20" s="225" t="s">
        <v>223</v>
      </c>
      <c r="B20" s="120"/>
      <c r="C20" s="218" t="s">
        <v>223</v>
      </c>
      <c r="D20" s="220" t="str">
        <f>VLOOKUP(TEXT(A20,"#"),Main!$A$2:$C54,3,0)</f>
        <v>High Flow Concealed Diverter Body 46mm (Cartridge, Sleeve, Tipton Assembly)</v>
      </c>
      <c r="E20" s="221">
        <f t="array" ref="E20:F20">VLOOKUP(C20,MASTER!$C$2:$F54,{3,4},0)</f>
        <v>4980</v>
      </c>
      <c r="F20" s="221">
        <v>5490.0</v>
      </c>
      <c r="G20" s="223"/>
      <c r="H20" s="223"/>
    </row>
    <row r="21">
      <c r="A21" s="225" t="s">
        <v>226</v>
      </c>
      <c r="B21" s="145"/>
      <c r="C21" s="218" t="s">
        <v>752</v>
      </c>
      <c r="D21" s="220" t="str">
        <f>VLOOKUP(TEXT(A21,"#"),Main!$A$2:$C54,3,0)</f>
        <v>Exposed Parts (Wall Flange &amp; Handle)</v>
      </c>
      <c r="E21" s="221">
        <f t="array" ref="E21:F21">VLOOKUP(C21,MASTER!$C$2:$F54,{3,4},0)</f>
        <v>1940</v>
      </c>
      <c r="F21" s="221">
        <v>2080.0</v>
      </c>
      <c r="G21" s="10"/>
      <c r="H21" s="10"/>
    </row>
    <row r="22">
      <c r="A22" s="225"/>
      <c r="B22" s="224">
        <v>15.0</v>
      </c>
      <c r="C22" s="218" t="s">
        <v>761</v>
      </c>
      <c r="D22" s="229" t="s">
        <v>220</v>
      </c>
      <c r="E22" s="231" t="str">
        <f t="array" ref="E22:F22">VLOOKUP(C22,MASTER!$C$2:$F54,{3,4},0)</f>
        <v>NEW</v>
      </c>
      <c r="F22" s="221">
        <v>7570.0</v>
      </c>
      <c r="G22" s="10"/>
      <c r="H22" s="232" t="s">
        <v>377</v>
      </c>
    </row>
    <row r="23">
      <c r="A23" s="225"/>
      <c r="B23" s="120"/>
      <c r="C23" s="218" t="s">
        <v>381</v>
      </c>
      <c r="D23" s="229" t="s">
        <v>1252</v>
      </c>
      <c r="E23" s="231" t="str">
        <f t="array" ref="E23:F23">VLOOKUP(C23,MASTER!$C$2:$F54,{3,4},0)</f>
        <v>NEW</v>
      </c>
      <c r="F23" s="221">
        <v>4990.0</v>
      </c>
      <c r="G23" s="10"/>
      <c r="H23" s="232" t="s">
        <v>377</v>
      </c>
    </row>
    <row r="24">
      <c r="A24" s="225"/>
      <c r="B24" s="145"/>
      <c r="C24" s="218" t="s">
        <v>766</v>
      </c>
      <c r="D24" s="229" t="s">
        <v>386</v>
      </c>
      <c r="E24" s="231" t="str">
        <f t="array" ref="E24:F24">VLOOKUP(C24,MASTER!$C$2:$F54,{3,4},0)</f>
        <v>NEW</v>
      </c>
      <c r="F24" s="221">
        <v>2580.0</v>
      </c>
      <c r="G24" s="10"/>
      <c r="H24" s="232" t="s">
        <v>377</v>
      </c>
    </row>
    <row r="25">
      <c r="A25" s="227" t="s">
        <v>239</v>
      </c>
      <c r="B25" s="224">
        <v>16.0</v>
      </c>
      <c r="C25" s="218" t="s">
        <v>771</v>
      </c>
      <c r="D25" s="220" t="str">
        <f>VLOOKUP(TEXT(A25,"#"),Main!$A$2:$C54,3,0)</f>
        <v>Single Lever 3 In Let Concealed Diverter Bath &amp; Shower 46mm</v>
      </c>
      <c r="E25" s="221">
        <f t="array" ref="E25:F25">VLOOKUP(C25,MASTER!$C$2:$F54,{3,4},0)</f>
        <v>6920</v>
      </c>
      <c r="F25" s="221">
        <v>7570.0</v>
      </c>
      <c r="G25" s="223"/>
      <c r="H25" s="223"/>
    </row>
    <row r="26">
      <c r="A26" s="225" t="s">
        <v>243</v>
      </c>
      <c r="B26" s="120"/>
      <c r="C26" s="233" t="s">
        <v>243</v>
      </c>
      <c r="D26" s="220" t="str">
        <f>VLOOKUP(TEXT(A26,"#"),Main!$A$2:$C54,3,0)</f>
        <v>3 In Let Concealed Diverter Body 46mm (Cartridge, Sleeve, Tipton Assembly)</v>
      </c>
      <c r="E26" s="221">
        <f t="array" ref="E26:F26">VLOOKUP(C26,MASTER!$C$2:$F54,{3,4},0)</f>
        <v>4980</v>
      </c>
      <c r="F26" s="221">
        <v>5490.0</v>
      </c>
      <c r="G26" s="223"/>
      <c r="H26" s="223"/>
    </row>
    <row r="27">
      <c r="A27" s="225" t="s">
        <v>247</v>
      </c>
      <c r="B27" s="145"/>
      <c r="C27" s="233" t="s">
        <v>776</v>
      </c>
      <c r="D27" s="220" t="str">
        <f>VLOOKUP(TEXT(A27,"#"),Main!$A$2:$C54,3,0)</f>
        <v>Exposed Parts (Wall Flange &amp; Handle)</v>
      </c>
      <c r="E27" s="221">
        <f t="array" ref="E27:F27">VLOOKUP(C27,MASTER!$C$2:$F54,{3,4},0)</f>
        <v>1940</v>
      </c>
      <c r="F27" s="221">
        <v>2080.0</v>
      </c>
      <c r="G27" s="10"/>
      <c r="H27" s="10"/>
    </row>
    <row r="28">
      <c r="A28" s="225" t="s">
        <v>228</v>
      </c>
      <c r="B28" s="224">
        <v>17.0</v>
      </c>
      <c r="C28" s="218" t="s">
        <v>755</v>
      </c>
      <c r="D28" s="220" t="str">
        <f>VLOOKUP(TEXT(A28,"#"),Main!$A$2:$C54,3,0)</f>
        <v>Single Lever High Flow Concealed Diverter Bath &amp; Shower 46mm (ON-OFF)</v>
      </c>
      <c r="E28" s="221">
        <f t="array" ref="E28:F28">VLOOKUP(C28,MASTER!$C$2:$F54,{3,4},0)</f>
        <v>6920</v>
      </c>
      <c r="F28" s="221">
        <v>7570.0</v>
      </c>
      <c r="G28" s="223"/>
      <c r="H28" s="223"/>
    </row>
    <row r="29">
      <c r="A29" s="225" t="s">
        <v>234</v>
      </c>
      <c r="B29" s="120"/>
      <c r="C29" s="218" t="s">
        <v>234</v>
      </c>
      <c r="D29" s="220" t="str">
        <f>VLOOKUP(TEXT(A29,"#"),Main!$A$2:$C54,3,0)</f>
        <v>High Flow Concealed Diverter Body 46mm (Cartridge, Sleeve, On-Off Assembly)</v>
      </c>
      <c r="E29" s="221">
        <f t="array" ref="E29:F29">VLOOKUP(C29,MASTER!$C$2:$F54,{3,4},0)</f>
        <v>4740</v>
      </c>
      <c r="F29" s="221">
        <v>5250.0</v>
      </c>
      <c r="G29" s="223"/>
      <c r="H29" s="223"/>
    </row>
    <row r="30">
      <c r="A30" s="225" t="s">
        <v>237</v>
      </c>
      <c r="B30" s="145"/>
      <c r="C30" s="218" t="s">
        <v>758</v>
      </c>
      <c r="D30" s="220" t="str">
        <f>VLOOKUP(TEXT(A30,"#"),Main!$A$2:$C54,3,0)</f>
        <v>Exposed Parts (Wall Flange &amp; Handle)</v>
      </c>
      <c r="E30" s="221">
        <f t="array" ref="E30:F30">VLOOKUP(C30,MASTER!$C$2:$F54,{3,4},0)</f>
        <v>2180</v>
      </c>
      <c r="F30" s="221">
        <v>2320.0</v>
      </c>
      <c r="G30" s="10"/>
      <c r="H30" s="10"/>
    </row>
    <row r="31">
      <c r="A31" s="225"/>
      <c r="B31" s="224">
        <v>18.0</v>
      </c>
      <c r="C31" s="218" t="s">
        <v>768</v>
      </c>
      <c r="D31" s="229" t="s">
        <v>229</v>
      </c>
      <c r="E31" s="231" t="str">
        <f t="array" ref="E31:F31">VLOOKUP(C31,MASTER!$C$2:$F54,{3,4},0)</f>
        <v>NEW</v>
      </c>
      <c r="F31" s="221">
        <v>7570.0</v>
      </c>
      <c r="G31" s="10"/>
      <c r="H31" s="232" t="s">
        <v>377</v>
      </c>
    </row>
    <row r="32">
      <c r="A32" s="225"/>
      <c r="B32" s="120"/>
      <c r="C32" s="218" t="s">
        <v>392</v>
      </c>
      <c r="D32" s="229" t="s">
        <v>1254</v>
      </c>
      <c r="E32" s="231" t="str">
        <f t="array" ref="E32:F32">VLOOKUP(C32,MASTER!$C$2:$F54,{3,4},0)</f>
        <v>NEW</v>
      </c>
      <c r="F32" s="221">
        <v>4750.0</v>
      </c>
      <c r="G32" s="10"/>
      <c r="H32" s="232" t="s">
        <v>377</v>
      </c>
    </row>
    <row r="33">
      <c r="A33" s="225"/>
      <c r="B33" s="145"/>
      <c r="C33" s="218" t="s">
        <v>770</v>
      </c>
      <c r="D33" s="229" t="s">
        <v>386</v>
      </c>
      <c r="E33" s="231" t="str">
        <f t="array" ref="E33:F33">VLOOKUP(C33,MASTER!$C$2:$F54,{3,4},0)</f>
        <v>NEW</v>
      </c>
      <c r="F33" s="221">
        <v>2820.0</v>
      </c>
      <c r="G33" s="10"/>
      <c r="H33" s="232" t="s">
        <v>377</v>
      </c>
    </row>
    <row r="34">
      <c r="A34" s="225" t="s">
        <v>249</v>
      </c>
      <c r="B34" s="224">
        <v>19.0</v>
      </c>
      <c r="C34" s="218" t="s">
        <v>777</v>
      </c>
      <c r="D34" s="220" t="str">
        <f>VLOOKUP(TEXT(A34,"#"),Main!$A$2:$C54,3,0)</f>
        <v>Single Lever 3 In Let Concealed Diverter Bath &amp; Shower 46mm (ON-OFF)</v>
      </c>
      <c r="E34" s="221">
        <f t="array" ref="E34:F34">VLOOKUP(C34,MASTER!$C$2:$F54,{3,4},0)</f>
        <v>6920</v>
      </c>
      <c r="F34" s="221">
        <v>7570.0</v>
      </c>
      <c r="G34" s="223"/>
      <c r="H34" s="235"/>
    </row>
    <row r="35">
      <c r="A35" s="225" t="s">
        <v>253</v>
      </c>
      <c r="B35" s="120"/>
      <c r="C35" s="218" t="s">
        <v>253</v>
      </c>
      <c r="D35" s="220" t="str">
        <f>VLOOKUP(TEXT(A35,"#"),Main!$A$2:$C54,3,0)</f>
        <v>3 In Let Concealed Diverter Body 46mm (Cartridge, Sleeve, On-Off Assembly)</v>
      </c>
      <c r="E35" s="221">
        <f t="array" ref="E35:F35">VLOOKUP(C35,MASTER!$C$2:$F54,{3,4},0)</f>
        <v>4740</v>
      </c>
      <c r="F35" s="221">
        <v>5250.0</v>
      </c>
      <c r="G35" s="223"/>
      <c r="H35" s="235"/>
    </row>
    <row r="36">
      <c r="A36" s="225" t="s">
        <v>258</v>
      </c>
      <c r="B36" s="145"/>
      <c r="C36" s="218" t="s">
        <v>782</v>
      </c>
      <c r="D36" s="220" t="str">
        <f>VLOOKUP(TEXT(A36,"#"),Main!$A$2:$C54,3,0)</f>
        <v>Exposed Parts (Wall Flange &amp; Handle)</v>
      </c>
      <c r="E36" s="221">
        <f t="array" ref="E36:F36">VLOOKUP(C36,MASTER!$C$2:$F54,{3,4},0)</f>
        <v>2180</v>
      </c>
      <c r="F36" s="221">
        <v>2320.0</v>
      </c>
      <c r="G36" s="10"/>
      <c r="H36" s="234"/>
    </row>
    <row r="37">
      <c r="A37" s="56" t="str">
        <f t="shared" ref="A37:A40" si="3">RIGHT(C37,2)</f>
        <v>02</v>
      </c>
      <c r="B37" s="218">
        <v>20.0</v>
      </c>
      <c r="C37" s="218">
        <v>6002.0</v>
      </c>
      <c r="D37" s="220" t="str">
        <f>VLOOKUP(TEXT(A37,"#"),Main!$A$2:$C54,3,0)</f>
        <v>Pillar Cock</v>
      </c>
      <c r="E37" s="221">
        <f t="array" ref="E37:F37">VLOOKUP(C37,MASTER!$C$2:$F54,{3,4},0)</f>
        <v>1740</v>
      </c>
      <c r="F37" s="221">
        <v>1940.0</v>
      </c>
      <c r="G37" s="223"/>
      <c r="H37" s="235"/>
    </row>
    <row r="38">
      <c r="A38" s="56" t="str">
        <f t="shared" si="3"/>
        <v>04</v>
      </c>
      <c r="B38" s="218">
        <v>21.0</v>
      </c>
      <c r="C38" s="218">
        <v>6004.0</v>
      </c>
      <c r="D38" s="220" t="str">
        <f>VLOOKUP(TEXT(A38,"#"),Main!$A$2:$C54,3,0)</f>
        <v>Pillar Cock Extended Body</v>
      </c>
      <c r="E38" s="221">
        <f t="array" ref="E38:F38">VLOOKUP(C38,MASTER!$C$2:$F54,{3,4},0)</f>
        <v>2380</v>
      </c>
      <c r="F38" s="221">
        <v>2680.0</v>
      </c>
      <c r="G38" s="223"/>
      <c r="H38" s="235"/>
    </row>
    <row r="39">
      <c r="A39" s="56" t="str">
        <f t="shared" si="3"/>
        <v>06</v>
      </c>
      <c r="B39" s="218">
        <v>22.0</v>
      </c>
      <c r="C39" s="218">
        <v>6006.0</v>
      </c>
      <c r="D39" s="220" t="str">
        <f>VLOOKUP(TEXT(A39,"#"),Main!$A$2:$C54,3,0)</f>
        <v>Bib Cock with Wall Flange</v>
      </c>
      <c r="E39" s="221">
        <f t="array" ref="E39:F39">VLOOKUP(C39,MASTER!$C$2:$F54,{3,4},0)</f>
        <v>1420</v>
      </c>
      <c r="F39" s="221">
        <v>1580.0</v>
      </c>
      <c r="G39" s="10"/>
      <c r="H39" s="234"/>
    </row>
    <row r="40">
      <c r="A40" s="56" t="str">
        <f t="shared" si="3"/>
        <v>07</v>
      </c>
      <c r="B40" s="218">
        <v>23.0</v>
      </c>
      <c r="C40" s="218">
        <v>6007.0</v>
      </c>
      <c r="D40" s="220" t="str">
        <f>VLOOKUP(TEXT(A40,"#"),Main!$A$2:$C54,3,0)</f>
        <v>Concealed Wall Mount Pillar Cock</v>
      </c>
      <c r="E40" s="221">
        <f t="array" ref="E40:F40">VLOOKUP(C40,MASTER!$C$2:$F54,{3,4},0)</f>
        <v>2730</v>
      </c>
      <c r="F40" s="221">
        <v>2880.0</v>
      </c>
      <c r="G40" s="10"/>
      <c r="H40" s="10"/>
    </row>
    <row r="41">
      <c r="A41" s="225" t="s">
        <v>73</v>
      </c>
      <c r="B41" s="224">
        <v>23.0</v>
      </c>
      <c r="C41" s="218" t="s">
        <v>73</v>
      </c>
      <c r="D41" s="220" t="str">
        <f>VLOOKUP(TEXT(A41,"#"),Main!$A$2:$C54,3,0)</f>
        <v>Concealed Pillar Cock Body 15mm</v>
      </c>
      <c r="E41" s="221">
        <f t="array" ref="E41:F41">VLOOKUP(C41,MASTER!$C$2:$F54,{3,4},0)</f>
        <v>1390</v>
      </c>
      <c r="F41" s="221">
        <v>1490.0</v>
      </c>
      <c r="G41" s="10"/>
      <c r="H41" s="10"/>
    </row>
    <row r="42">
      <c r="A42" s="225" t="s">
        <v>77</v>
      </c>
      <c r="B42" s="120"/>
      <c r="C42" s="218" t="s">
        <v>723</v>
      </c>
      <c r="D42" s="220" t="str">
        <f>VLOOKUP(TEXT(A42,"#"),Main!$A$2:$C54,3,0)</f>
        <v>Exposed Parts (Wall Flange, Handle &amp; Spout)</v>
      </c>
      <c r="E42" s="221">
        <f t="array" ref="E42:F42">VLOOKUP(C42,MASTER!$C$2:$F54,{3,4},0)</f>
        <v>1340</v>
      </c>
      <c r="F42" s="221">
        <v>1390.0</v>
      </c>
      <c r="G42" s="10"/>
      <c r="H42" s="10"/>
    </row>
    <row r="43">
      <c r="A43" s="56" t="str">
        <f t="shared" ref="A43:A48" si="4">RIGHT(C43,2)</f>
        <v>08</v>
      </c>
      <c r="B43" s="145"/>
      <c r="C43" s="218">
        <v>6008.0</v>
      </c>
      <c r="D43" s="220" t="str">
        <f>VLOOKUP(TEXT(A43,"#"),Main!$A$2:$C54,3,0)</f>
        <v>Bib Cock Long Body with Wall Flange</v>
      </c>
      <c r="E43" s="221">
        <f t="array" ref="E43:F43">VLOOKUP(C43,MASTER!$C$2:$F54,{3,4},0)</f>
        <v>1690</v>
      </c>
      <c r="F43" s="221">
        <v>1880.0</v>
      </c>
      <c r="G43" s="10"/>
      <c r="H43" s="10"/>
    </row>
    <row r="44">
      <c r="A44" s="56" t="str">
        <f t="shared" si="4"/>
        <v>11</v>
      </c>
      <c r="B44" s="218">
        <v>25.0</v>
      </c>
      <c r="C44" s="218">
        <v>6011.0</v>
      </c>
      <c r="D44" s="220" t="str">
        <f>VLOOKUP(TEXT(A44,"#"),Main!$A$2:$C54,3,0)</f>
        <v>2-Way Angular Stop Cock with Wall Flange</v>
      </c>
      <c r="E44" s="221">
        <f t="array" ref="E44:F44">VLOOKUP(C44,MASTER!$C$2:$F54,{3,4},0)</f>
        <v>1990</v>
      </c>
      <c r="F44" s="221">
        <v>2140.0</v>
      </c>
      <c r="G44" s="10"/>
      <c r="H44" s="10"/>
    </row>
    <row r="45">
      <c r="A45" s="56" t="str">
        <f t="shared" si="4"/>
        <v>12</v>
      </c>
      <c r="B45" s="218">
        <v>26.0</v>
      </c>
      <c r="C45" s="218">
        <v>6012.0</v>
      </c>
      <c r="D45" s="220" t="str">
        <f>VLOOKUP(TEXT(A45,"#"),Main!$A$2:$C54,3,0)</f>
        <v>2-Way Bib Cock Double Handle with Wall Flange</v>
      </c>
      <c r="E45" s="221">
        <f t="array" ref="E45:F45">VLOOKUP(C45,MASTER!$C$2:$F54,{3,4},0)</f>
        <v>2190</v>
      </c>
      <c r="F45" s="221">
        <v>2380.0</v>
      </c>
      <c r="G45" s="223"/>
      <c r="H45" s="223"/>
    </row>
    <row r="46">
      <c r="A46" s="56" t="str">
        <f t="shared" si="4"/>
        <v>18</v>
      </c>
      <c r="B46" s="218">
        <v>27.0</v>
      </c>
      <c r="C46" s="218">
        <v>6018.0</v>
      </c>
      <c r="D46" s="220" t="str">
        <f>VLOOKUP(TEXT(A46,"#"),Main!$A$2:$C54,3,0)</f>
        <v>Concealed Stop Cock 15mm with Wall Flange</v>
      </c>
      <c r="E46" s="221">
        <f t="array" ref="E46:F46">VLOOKUP(C46,MASTER!$C$2:$F54,{3,4},0)</f>
        <v>1240</v>
      </c>
      <c r="F46" s="221">
        <v>1410.0</v>
      </c>
      <c r="G46" s="223"/>
      <c r="H46" s="223"/>
    </row>
    <row r="47">
      <c r="A47" s="56" t="str">
        <f t="shared" si="4"/>
        <v>20</v>
      </c>
      <c r="B47" s="218">
        <v>28.0</v>
      </c>
      <c r="C47" s="218">
        <v>6020.0</v>
      </c>
      <c r="D47" s="220" t="str">
        <f>VLOOKUP(TEXT(A47,"#"),Main!$A$2:$C54,3,0)</f>
        <v>Concealed Stop Cock 20mm with Wall Flange</v>
      </c>
      <c r="E47" s="221">
        <f t="array" ref="E47:F47">VLOOKUP(C47,MASTER!$C$2:$F54,{3,4},0)</f>
        <v>1280</v>
      </c>
      <c r="F47" s="221">
        <v>1450.0</v>
      </c>
      <c r="G47" s="223"/>
      <c r="H47" s="223"/>
    </row>
    <row r="48">
      <c r="A48" s="56" t="str">
        <f t="shared" si="4"/>
        <v>98</v>
      </c>
      <c r="B48" s="218">
        <v>29.0</v>
      </c>
      <c r="C48" s="218">
        <v>6098.0</v>
      </c>
      <c r="D48" s="220" t="str">
        <f>VLOOKUP(TEXT(A48,"#"),Main!$A$2:$C54,3,0)</f>
        <v>Flush Cock 25mm Half Turn with Adjustable Flange</v>
      </c>
      <c r="E48" s="221">
        <f t="array" ref="E48:F48">VLOOKUP(C48,MASTER!$C$2:$F54,{3,4},0)</f>
        <v>2350</v>
      </c>
      <c r="F48" s="221">
        <v>2640.0</v>
      </c>
      <c r="G48" s="223"/>
      <c r="H48" s="223"/>
    </row>
    <row r="49">
      <c r="A49" s="3"/>
      <c r="B49" s="3"/>
      <c r="C49" s="3"/>
      <c r="D49" s="3"/>
      <c r="E49" s="10"/>
      <c r="F49" s="3"/>
      <c r="G49" s="10"/>
      <c r="H49" s="10"/>
    </row>
    <row r="50">
      <c r="A50" s="3"/>
      <c r="B50" s="3"/>
      <c r="C50" s="3"/>
      <c r="D50" s="3"/>
      <c r="E50" s="10"/>
      <c r="F50" s="3"/>
      <c r="G50" s="10"/>
      <c r="H50" s="10"/>
    </row>
    <row r="51">
      <c r="A51" s="3"/>
      <c r="B51" s="3"/>
      <c r="C51" s="3"/>
      <c r="D51" s="3"/>
      <c r="E51" s="10"/>
      <c r="F51" s="3"/>
      <c r="G51" s="10"/>
      <c r="H51" s="10"/>
    </row>
    <row r="52">
      <c r="A52" s="3"/>
      <c r="B52" s="3"/>
      <c r="C52" s="3"/>
      <c r="D52" s="3"/>
      <c r="E52" s="10"/>
      <c r="F52" s="3"/>
      <c r="G52" s="10"/>
      <c r="H52" s="10"/>
    </row>
    <row r="53">
      <c r="A53" s="3"/>
      <c r="B53" s="3"/>
      <c r="C53" s="3"/>
      <c r="D53" s="3"/>
      <c r="E53" s="10"/>
      <c r="F53" s="3"/>
      <c r="G53" s="10"/>
      <c r="H53" s="10"/>
    </row>
    <row r="54">
      <c r="A54" s="3"/>
      <c r="B54" s="3"/>
      <c r="C54" s="3"/>
      <c r="D54" s="3"/>
      <c r="E54" s="10"/>
      <c r="F54" s="3"/>
      <c r="G54" s="10"/>
      <c r="H54" s="10"/>
    </row>
  </sheetData>
  <mergeCells count="9">
    <mergeCell ref="B34:B36"/>
    <mergeCell ref="B41:B43"/>
    <mergeCell ref="B4:B6"/>
    <mergeCell ref="B16:B18"/>
    <mergeCell ref="B19:B21"/>
    <mergeCell ref="B22:B24"/>
    <mergeCell ref="B25:B27"/>
    <mergeCell ref="B28:B30"/>
    <mergeCell ref="B31:B33"/>
  </mergeCells>
  <printOptions horizontalCentered="1"/>
  <pageMargins bottom="0.75" footer="0.0" header="0.0" left="0.25" right="0.25" top="0.75"/>
  <pageSetup fitToHeight="0" paperSize="9" cellComments="atEnd" orientation="portrait" pageOrder="overThenDown"/>
  <headerFooter>
    <oddHeader>&amp;L&amp;F&amp;R&amp;A</oddHeader>
    <oddFooter>&amp;L&amp;D &amp;T&amp;R&amp;P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4.88"/>
    <col customWidth="1" min="2" max="2" width="5.75"/>
    <col customWidth="1" hidden="1" min="3" max="3" width="18.75"/>
    <col customWidth="1" min="4" max="4" width="20.88"/>
    <col customWidth="1" min="5" max="5" width="83.63"/>
    <col customWidth="1" min="6" max="6" width="11.5"/>
    <col customWidth="1" min="7" max="7" width="11.63"/>
    <col customWidth="1" min="8" max="8" width="8.0"/>
    <col customWidth="1" min="9" max="9" width="8.88"/>
    <col customWidth="1" min="10" max="10" width="9.13"/>
  </cols>
  <sheetData>
    <row r="1">
      <c r="A1" s="10"/>
      <c r="B1" s="250" t="s">
        <v>1338</v>
      </c>
      <c r="C1" s="251" t="s">
        <v>1249</v>
      </c>
      <c r="D1" s="251" t="s">
        <v>1249</v>
      </c>
      <c r="E1" s="252" t="s">
        <v>6</v>
      </c>
      <c r="F1" s="19" t="str">
        <f t="array" ref="F1">#REF!</f>
        <v>#REF!</v>
      </c>
      <c r="G1" s="19"/>
      <c r="H1" s="165" t="s">
        <v>20</v>
      </c>
      <c r="I1" s="253">
        <v>1.8</v>
      </c>
      <c r="J1" s="254"/>
      <c r="K1" s="255"/>
      <c r="L1" s="255"/>
    </row>
    <row r="2">
      <c r="A2" s="56" t="str">
        <f t="shared" ref="A2:A16" si="1">RIGHT(C2,2)</f>
        <v>02</v>
      </c>
      <c r="B2" s="256">
        <v>1.0</v>
      </c>
      <c r="C2" s="257">
        <v>6102.0</v>
      </c>
      <c r="D2" s="233" t="s">
        <v>1339</v>
      </c>
      <c r="E2" s="259" t="str">
        <f>VLOOKUP(TEXT(A2,"#"),Main!$A$2:$C45,3,0)</f>
        <v>Pillar Cock</v>
      </c>
      <c r="F2" s="221">
        <v>2490.0</v>
      </c>
      <c r="G2" s="221">
        <v>2860.0</v>
      </c>
      <c r="H2" s="261">
        <f t="shared" ref="H2:H37" si="2">IFERROR(DIVIDE(MINUS(G2,F2),G2),)</f>
        <v>0.1293706294</v>
      </c>
      <c r="I2" s="263" t="str">
        <f t="shared" ref="I2:I37" si="3">VLOOKUP(C2,'EMERALD 61'!$D$2:$E45,4,0)</f>
        <v>#REF!</v>
      </c>
      <c r="J2" s="254" t="str">
        <f t="shared" ref="J2:J37" si="4">G2/I2</f>
        <v>#REF!</v>
      </c>
      <c r="K2" s="264"/>
      <c r="L2" s="264"/>
    </row>
    <row r="3">
      <c r="A3" s="56" t="str">
        <f t="shared" si="1"/>
        <v>03</v>
      </c>
      <c r="B3" s="256">
        <v>2.0</v>
      </c>
      <c r="C3" s="262">
        <v>6103.0</v>
      </c>
      <c r="D3" s="233" t="s">
        <v>1342</v>
      </c>
      <c r="E3" s="259" t="str">
        <f>VLOOKUP(TEXT(A3,"#"),Main!$A$2:$C45,3,0)</f>
        <v>Pillar Cock Tall Body</v>
      </c>
      <c r="F3" s="221">
        <v>5360.0</v>
      </c>
      <c r="G3" s="221">
        <v>6260.0</v>
      </c>
      <c r="H3" s="261">
        <f t="shared" si="2"/>
        <v>0.1437699681</v>
      </c>
      <c r="I3" s="263" t="str">
        <f t="shared" si="3"/>
        <v>#REF!</v>
      </c>
      <c r="J3" s="254" t="str">
        <f t="shared" si="4"/>
        <v>#REF!</v>
      </c>
      <c r="K3" s="264"/>
      <c r="L3" s="264"/>
    </row>
    <row r="4">
      <c r="A4" s="56" t="str">
        <f t="shared" si="1"/>
        <v>04</v>
      </c>
      <c r="B4" s="256">
        <v>3.0</v>
      </c>
      <c r="C4" s="262">
        <v>6104.0</v>
      </c>
      <c r="D4" s="233" t="s">
        <v>1343</v>
      </c>
      <c r="E4" s="259" t="str">
        <f>VLOOKUP(TEXT(A4,"#"),Main!$A$2:$C45,3,0)</f>
        <v>Pillar Cock Extended Body</v>
      </c>
      <c r="F4" s="221">
        <v>3230.0</v>
      </c>
      <c r="G4" s="221">
        <v>3940.0</v>
      </c>
      <c r="H4" s="261">
        <f t="shared" si="2"/>
        <v>0.1802030457</v>
      </c>
      <c r="I4" s="263" t="str">
        <f t="shared" si="3"/>
        <v>#REF!</v>
      </c>
      <c r="J4" s="254" t="str">
        <f t="shared" si="4"/>
        <v>#REF!</v>
      </c>
      <c r="K4" s="264"/>
      <c r="L4" s="264"/>
    </row>
    <row r="5">
      <c r="A5" s="56" t="str">
        <f t="shared" si="1"/>
        <v>06</v>
      </c>
      <c r="B5" s="256">
        <v>4.0</v>
      </c>
      <c r="C5" s="262">
        <v>6106.0</v>
      </c>
      <c r="D5" s="233" t="s">
        <v>1345</v>
      </c>
      <c r="E5" s="259" t="str">
        <f>VLOOKUP(TEXT(A5,"#"),Main!$A$2:$C45,3,0)</f>
        <v>Bib Cock with Wall Flange</v>
      </c>
      <c r="F5" s="221">
        <v>1960.0</v>
      </c>
      <c r="G5" s="221">
        <v>2290.0</v>
      </c>
      <c r="H5" s="261">
        <f t="shared" si="2"/>
        <v>0.1441048035</v>
      </c>
      <c r="I5" s="263" t="str">
        <f t="shared" si="3"/>
        <v>#REF!</v>
      </c>
      <c r="J5" s="254" t="str">
        <f t="shared" si="4"/>
        <v>#REF!</v>
      </c>
      <c r="K5" s="264"/>
      <c r="L5" s="264"/>
    </row>
    <row r="6">
      <c r="A6" s="56" t="str">
        <f t="shared" si="1"/>
        <v>08</v>
      </c>
      <c r="B6" s="256">
        <v>5.0</v>
      </c>
      <c r="C6" s="262">
        <v>6108.0</v>
      </c>
      <c r="D6" s="233" t="s">
        <v>1347</v>
      </c>
      <c r="E6" s="259" t="str">
        <f>VLOOKUP(TEXT(A6,"#"),Main!$A$2:$C45,3,0)</f>
        <v>Bib Cock Long Body with Wall Flange</v>
      </c>
      <c r="F6" s="221">
        <v>2320.0</v>
      </c>
      <c r="G6" s="221">
        <v>2660.0</v>
      </c>
      <c r="H6" s="261">
        <f t="shared" si="2"/>
        <v>0.1278195489</v>
      </c>
      <c r="I6" s="263" t="str">
        <f t="shared" si="3"/>
        <v>#REF!</v>
      </c>
      <c r="J6" s="254" t="str">
        <f t="shared" si="4"/>
        <v>#REF!</v>
      </c>
      <c r="K6" s="264"/>
      <c r="L6" s="264"/>
    </row>
    <row r="7">
      <c r="A7" s="56" t="str">
        <f t="shared" si="1"/>
        <v>10</v>
      </c>
      <c r="B7" s="256">
        <v>6.0</v>
      </c>
      <c r="C7" s="262">
        <v>6110.0</v>
      </c>
      <c r="D7" s="233" t="s">
        <v>1349</v>
      </c>
      <c r="E7" s="259" t="str">
        <f>VLOOKUP(TEXT(A7,"#"),Main!$A$2:$C45,3,0)</f>
        <v>Angular Stop Cock with Wall Flange</v>
      </c>
      <c r="F7" s="221">
        <v>1420.0</v>
      </c>
      <c r="G7" s="221">
        <v>1690.0</v>
      </c>
      <c r="H7" s="261">
        <f t="shared" si="2"/>
        <v>0.1597633136</v>
      </c>
      <c r="I7" s="263" t="str">
        <f t="shared" si="3"/>
        <v>#REF!</v>
      </c>
      <c r="J7" s="254" t="str">
        <f t="shared" si="4"/>
        <v>#REF!</v>
      </c>
      <c r="K7" s="264"/>
      <c r="L7" s="264"/>
    </row>
    <row r="8">
      <c r="A8" s="56" t="str">
        <f t="shared" si="1"/>
        <v>11</v>
      </c>
      <c r="B8" s="256">
        <v>7.0</v>
      </c>
      <c r="C8" s="262">
        <v>6111.0</v>
      </c>
      <c r="D8" s="233" t="s">
        <v>1351</v>
      </c>
      <c r="E8" s="259" t="str">
        <f>VLOOKUP(TEXT(A8,"#"),Main!$A$2:$C45,3,0)</f>
        <v>2-Way Angular Stop Cock with Wall Flange</v>
      </c>
      <c r="F8" s="221">
        <v>2490.0</v>
      </c>
      <c r="G8" s="221">
        <v>2860.0</v>
      </c>
      <c r="H8" s="261">
        <f t="shared" si="2"/>
        <v>0.1293706294</v>
      </c>
      <c r="I8" s="263" t="str">
        <f t="shared" si="3"/>
        <v>#REF!</v>
      </c>
      <c r="J8" s="254" t="str">
        <f t="shared" si="4"/>
        <v>#REF!</v>
      </c>
      <c r="K8" s="264"/>
      <c r="L8" s="264"/>
    </row>
    <row r="9">
      <c r="A9" s="56" t="str">
        <f t="shared" si="1"/>
        <v>12</v>
      </c>
      <c r="B9" s="256">
        <v>8.0</v>
      </c>
      <c r="C9" s="262">
        <v>6112.0</v>
      </c>
      <c r="D9" s="233" t="s">
        <v>1353</v>
      </c>
      <c r="E9" s="259" t="str">
        <f>VLOOKUP(TEXT(A9,"#"),Main!$A$2:$C45,3,0)</f>
        <v>2-Way Bib Cock Double Handle with Wall Flange</v>
      </c>
      <c r="F9" s="221">
        <v>3410.0</v>
      </c>
      <c r="G9" s="221">
        <v>3940.0</v>
      </c>
      <c r="H9" s="261">
        <f t="shared" si="2"/>
        <v>0.1345177665</v>
      </c>
      <c r="I9" s="263" t="str">
        <f t="shared" si="3"/>
        <v>#REF!</v>
      </c>
      <c r="J9" s="254" t="str">
        <f t="shared" si="4"/>
        <v>#REF!</v>
      </c>
      <c r="K9" s="264"/>
      <c r="L9" s="264"/>
    </row>
    <row r="10">
      <c r="A10" s="56" t="str">
        <f t="shared" si="1"/>
        <v>13</v>
      </c>
      <c r="B10" s="256">
        <v>9.0</v>
      </c>
      <c r="C10" s="233">
        <v>6113.0</v>
      </c>
      <c r="D10" s="233" t="s">
        <v>1354</v>
      </c>
      <c r="E10" s="259" t="str">
        <f>VLOOKUP(TEXT(A10,"#"),Main!$A$2:$C45,3,0)</f>
        <v>2-Way Bib Cock Single Handle with Wall Flange</v>
      </c>
      <c r="F10" s="221">
        <v>3050.0</v>
      </c>
      <c r="G10" s="221">
        <v>3390.0</v>
      </c>
      <c r="H10" s="261">
        <f t="shared" si="2"/>
        <v>0.1002949853</v>
      </c>
      <c r="I10" s="263" t="str">
        <f t="shared" si="3"/>
        <v>#REF!</v>
      </c>
      <c r="J10" s="254" t="str">
        <f t="shared" si="4"/>
        <v>#REF!</v>
      </c>
      <c r="K10" s="264"/>
      <c r="L10" s="264"/>
    </row>
    <row r="11">
      <c r="A11" s="56" t="str">
        <f t="shared" si="1"/>
        <v>14</v>
      </c>
      <c r="B11" s="256">
        <v>10.0</v>
      </c>
      <c r="C11" s="262">
        <v>6114.0</v>
      </c>
      <c r="D11" s="233" t="s">
        <v>1356</v>
      </c>
      <c r="E11" s="259" t="str">
        <f>VLOOKUP(TEXT(A11,"#"),Main!$A$2:$C45,3,0)</f>
        <v>Swan Neck Table Mounted</v>
      </c>
      <c r="F11" s="221">
        <v>3220.0</v>
      </c>
      <c r="G11" s="221">
        <v>3740.0</v>
      </c>
      <c r="H11" s="261">
        <f t="shared" si="2"/>
        <v>0.1390374332</v>
      </c>
      <c r="I11" s="263" t="str">
        <f t="shared" si="3"/>
        <v>#REF!</v>
      </c>
      <c r="J11" s="254" t="str">
        <f t="shared" si="4"/>
        <v>#REF!</v>
      </c>
      <c r="K11" s="264"/>
      <c r="L11" s="264"/>
    </row>
    <row r="12">
      <c r="A12" s="56" t="str">
        <f t="shared" si="1"/>
        <v>16</v>
      </c>
      <c r="B12" s="256">
        <v>11.0</v>
      </c>
      <c r="C12" s="262">
        <v>6116.0</v>
      </c>
      <c r="D12" s="233" t="s">
        <v>1358</v>
      </c>
      <c r="E12" s="259" t="str">
        <f>VLOOKUP(TEXT(A12,"#"),Main!$A$2:$C45,3,0)</f>
        <v>Sink Cock Wall Mounted with Flange</v>
      </c>
      <c r="F12" s="221">
        <v>3040.0</v>
      </c>
      <c r="G12" s="221">
        <v>3390.0</v>
      </c>
      <c r="H12" s="261">
        <f t="shared" si="2"/>
        <v>0.1032448378</v>
      </c>
      <c r="I12" s="263" t="str">
        <f t="shared" si="3"/>
        <v>#REF!</v>
      </c>
      <c r="J12" s="254" t="str">
        <f t="shared" si="4"/>
        <v>#REF!</v>
      </c>
      <c r="K12" s="264"/>
      <c r="L12" s="264"/>
    </row>
    <row r="13">
      <c r="A13" s="56" t="str">
        <f t="shared" si="1"/>
        <v>18</v>
      </c>
      <c r="B13" s="256">
        <v>12.0</v>
      </c>
      <c r="C13" s="262">
        <v>6118.0</v>
      </c>
      <c r="D13" s="233" t="s">
        <v>1360</v>
      </c>
      <c r="E13" s="259" t="str">
        <f>VLOOKUP(TEXT(A13,"#"),Main!$A$2:$C45,3,0)</f>
        <v>Concealed Stop Cock 15mm with Wall Flange</v>
      </c>
      <c r="F13" s="221">
        <v>1960.0</v>
      </c>
      <c r="G13" s="221">
        <v>2290.0</v>
      </c>
      <c r="H13" s="261">
        <f t="shared" si="2"/>
        <v>0.1441048035</v>
      </c>
      <c r="I13" s="263" t="str">
        <f t="shared" si="3"/>
        <v>#REF!</v>
      </c>
      <c r="J13" s="254" t="str">
        <f t="shared" si="4"/>
        <v>#REF!</v>
      </c>
      <c r="K13" s="264"/>
      <c r="L13" s="264"/>
    </row>
    <row r="14">
      <c r="A14" s="56" t="str">
        <f t="shared" si="1"/>
        <v>20</v>
      </c>
      <c r="B14" s="256">
        <v>13.0</v>
      </c>
      <c r="C14" s="262">
        <v>6120.0</v>
      </c>
      <c r="D14" s="233" t="s">
        <v>1362</v>
      </c>
      <c r="E14" s="259" t="str">
        <f>VLOOKUP(TEXT(A14,"#"),Main!$A$2:$C45,3,0)</f>
        <v>Concealed Stop Cock 20mm with Wall Flange</v>
      </c>
      <c r="F14" s="221">
        <v>2010.0</v>
      </c>
      <c r="G14" s="221">
        <v>2370.0</v>
      </c>
      <c r="H14" s="261">
        <f t="shared" si="2"/>
        <v>0.1518987342</v>
      </c>
      <c r="I14" s="263" t="str">
        <f t="shared" si="3"/>
        <v>#REF!</v>
      </c>
      <c r="J14" s="254" t="str">
        <f t="shared" si="4"/>
        <v>#REF!</v>
      </c>
      <c r="K14" s="264"/>
      <c r="L14" s="264"/>
    </row>
    <row r="15">
      <c r="A15" s="56" t="str">
        <f t="shared" si="1"/>
        <v>51</v>
      </c>
      <c r="B15" s="256">
        <v>14.0</v>
      </c>
      <c r="C15" s="262">
        <v>6151.0</v>
      </c>
      <c r="D15" s="233" t="s">
        <v>1364</v>
      </c>
      <c r="E15" s="259" t="str">
        <f>VLOOKUP(TEXT(A15,"#"),Main!$A$2:$C45,3,0)</f>
        <v>Single Lever Basin Mixer without Popup Waste System</v>
      </c>
      <c r="F15" s="221">
        <v>5680.0</v>
      </c>
      <c r="G15" s="221">
        <v>6630.0</v>
      </c>
      <c r="H15" s="261">
        <f t="shared" si="2"/>
        <v>0.1432880845</v>
      </c>
      <c r="I15" s="263" t="str">
        <f t="shared" si="3"/>
        <v>#REF!</v>
      </c>
      <c r="J15" s="254" t="str">
        <f t="shared" si="4"/>
        <v>#REF!</v>
      </c>
      <c r="K15" s="264"/>
      <c r="L15" s="264"/>
    </row>
    <row r="16">
      <c r="A16" s="56" t="str">
        <f t="shared" si="1"/>
        <v>54</v>
      </c>
      <c r="B16" s="267">
        <v>15.0</v>
      </c>
      <c r="C16" s="262">
        <v>6154.0</v>
      </c>
      <c r="D16" s="233" t="s">
        <v>1366</v>
      </c>
      <c r="E16" s="259" t="str">
        <f>VLOOKUP(TEXT(A16,"#"),Main!$A$2:$C45,3,0)</f>
        <v>Single Lever Basin Mixer Wall Mount (Concealed)</v>
      </c>
      <c r="F16" s="221">
        <v>8000.0</v>
      </c>
      <c r="G16" s="221" t="str">
        <f>G17+G18</f>
        <v>#REF!</v>
      </c>
      <c r="H16" s="261" t="str">
        <f t="shared" si="2"/>
        <v/>
      </c>
      <c r="I16" s="263" t="str">
        <f t="shared" si="3"/>
        <v>#REF!</v>
      </c>
      <c r="J16" s="254" t="str">
        <f t="shared" si="4"/>
        <v>#REF!</v>
      </c>
      <c r="K16" s="264"/>
      <c r="L16" s="264"/>
    </row>
    <row r="17">
      <c r="A17" s="13" t="s">
        <v>154</v>
      </c>
      <c r="B17" s="120"/>
      <c r="C17" s="233" t="s">
        <v>154</v>
      </c>
      <c r="D17" s="233" t="s">
        <v>154</v>
      </c>
      <c r="E17" s="259" t="str">
        <f>VLOOKUP(TEXT(A17,"#"),Main!$A$2:$C45,3,0)</f>
        <v>Single Lever Basin Mixer Wall Mount (Body, Cartridge, Sleeve &amp; Nipple)</v>
      </c>
      <c r="F17" s="221">
        <v>3980.0</v>
      </c>
      <c r="G17" s="268" t="str">
        <f>VLOOKUP(D17,MASTER!$C$2:$D45,4,0)</f>
        <v>#REF!</v>
      </c>
      <c r="H17" s="261" t="str">
        <f t="shared" si="2"/>
        <v/>
      </c>
      <c r="I17" s="263" t="str">
        <f t="shared" si="3"/>
        <v>#REF!</v>
      </c>
      <c r="J17" s="254" t="str">
        <f t="shared" si="4"/>
        <v>#REF!</v>
      </c>
      <c r="K17" s="264"/>
      <c r="L17" s="264"/>
    </row>
    <row r="18">
      <c r="A18" s="13" t="s">
        <v>159</v>
      </c>
      <c r="B18" s="145"/>
      <c r="C18" s="233" t="s">
        <v>883</v>
      </c>
      <c r="D18" s="233" t="s">
        <v>1369</v>
      </c>
      <c r="E18" s="259" t="str">
        <f>VLOOKUP(TEXT(A18,"#"),Main!$A$2:$C45,3,0)</f>
        <v>Exposed Parts (Wall Flange, Handle &amp; Spout)</v>
      </c>
      <c r="F18" s="221">
        <v>4020.0</v>
      </c>
      <c r="G18" s="221">
        <v>4390.0</v>
      </c>
      <c r="H18" s="261">
        <f t="shared" si="2"/>
        <v>0.08428246014</v>
      </c>
      <c r="I18" s="263" t="str">
        <f t="shared" si="3"/>
        <v>#REF!</v>
      </c>
      <c r="J18" s="254" t="str">
        <f t="shared" si="4"/>
        <v>#REF!</v>
      </c>
      <c r="K18" s="264"/>
      <c r="L18" s="264"/>
    </row>
    <row r="19">
      <c r="A19" s="56" t="str">
        <f t="shared" ref="A19:A20" si="5">RIGHT(C19,2)</f>
        <v>55</v>
      </c>
      <c r="B19" s="256">
        <v>16.0</v>
      </c>
      <c r="C19" s="219">
        <v>6155.0</v>
      </c>
      <c r="D19" s="218" t="s">
        <v>1371</v>
      </c>
      <c r="E19" s="259" t="str">
        <f>VLOOKUP(TEXT(A19,"#"),Main!$A$2:$C45,3,0)</f>
        <v>Sink Mixer with Regular Spout Wall Mounted with Flange</v>
      </c>
      <c r="F19" s="221">
        <v>5740.0</v>
      </c>
      <c r="G19" s="221">
        <v>6690.0</v>
      </c>
      <c r="H19" s="261">
        <f t="shared" si="2"/>
        <v>0.1420029895</v>
      </c>
      <c r="I19" s="263" t="str">
        <f t="shared" si="3"/>
        <v>#REF!</v>
      </c>
      <c r="J19" s="254" t="str">
        <f t="shared" si="4"/>
        <v>#REF!</v>
      </c>
      <c r="K19" s="264"/>
      <c r="L19" s="264"/>
    </row>
    <row r="20" ht="21.0" customHeight="1">
      <c r="A20" s="56" t="str">
        <f t="shared" si="5"/>
        <v>75</v>
      </c>
      <c r="B20" s="256">
        <v>17.0</v>
      </c>
      <c r="C20" s="262">
        <v>6175.0</v>
      </c>
      <c r="D20" s="233" t="s">
        <v>1372</v>
      </c>
      <c r="E20" s="259" t="str">
        <f>VLOOKUP(TEXT(A20,"#"),Main!$A$2:$C45,3,0)</f>
        <v>Wall Mixer "L" Bend with Wall Flange (Provision For Over Head Shower)</v>
      </c>
      <c r="F20" s="221">
        <v>8960.0</v>
      </c>
      <c r="G20" s="221">
        <v>10190.0</v>
      </c>
      <c r="H20" s="261">
        <f t="shared" si="2"/>
        <v>0.1207065751</v>
      </c>
      <c r="I20" s="263" t="str">
        <f t="shared" si="3"/>
        <v>#REF!</v>
      </c>
      <c r="J20" s="254" t="str">
        <f t="shared" si="4"/>
        <v>#REF!</v>
      </c>
      <c r="K20" s="264"/>
      <c r="L20" s="264"/>
    </row>
    <row r="21">
      <c r="A21" s="227" t="s">
        <v>209</v>
      </c>
      <c r="B21" s="267">
        <v>18.0</v>
      </c>
      <c r="C21" s="219" t="s">
        <v>894</v>
      </c>
      <c r="D21" s="270" t="s">
        <v>1375</v>
      </c>
      <c r="E21" s="259" t="str">
        <f>VLOOKUP(TEXT(A21,"#"),Main!$A$2:$C45,3,0)</f>
        <v>Single Lever Concealed Diverter Bath &amp; Shower 40mm</v>
      </c>
      <c r="F21" s="221">
        <v>5980.0</v>
      </c>
      <c r="G21" s="221" t="str">
        <f>G22+G23</f>
        <v>#REF!</v>
      </c>
      <c r="H21" s="261" t="str">
        <f t="shared" si="2"/>
        <v/>
      </c>
      <c r="I21" s="263" t="str">
        <f t="shared" si="3"/>
        <v>#REF!</v>
      </c>
      <c r="J21" s="254" t="str">
        <f t="shared" si="4"/>
        <v>#REF!</v>
      </c>
      <c r="K21" s="264"/>
      <c r="L21" s="264"/>
    </row>
    <row r="22">
      <c r="A22" s="13" t="s">
        <v>212</v>
      </c>
      <c r="B22" s="120"/>
      <c r="C22" s="257" t="s">
        <v>212</v>
      </c>
      <c r="D22" s="271" t="str">
        <f>C22</f>
        <v>PD-40-N</v>
      </c>
      <c r="E22" s="259" t="str">
        <f>VLOOKUP(TEXT(A22,"#"),Main!$A$2:$C45,3,0)</f>
        <v>Concealed Diverter Body 40mm (Cartridge, Sleeve, Tipton Assembly)</v>
      </c>
      <c r="F22" s="221">
        <v>3140.0</v>
      </c>
      <c r="G22" s="268" t="str">
        <f>VLOOKUP(D22,MASTER!$C$2:$D45,4,0)</f>
        <v>#REF!</v>
      </c>
      <c r="H22" s="261" t="str">
        <f t="shared" si="2"/>
        <v/>
      </c>
      <c r="I22" s="263" t="str">
        <f t="shared" si="3"/>
        <v>#REF!</v>
      </c>
      <c r="J22" s="254" t="str">
        <f t="shared" si="4"/>
        <v>#REF!</v>
      </c>
      <c r="K22" s="264"/>
      <c r="L22" s="264"/>
    </row>
    <row r="23">
      <c r="A23" s="13" t="s">
        <v>216</v>
      </c>
      <c r="B23" s="145"/>
      <c r="C23" s="257" t="s">
        <v>897</v>
      </c>
      <c r="D23" s="272" t="s">
        <v>1378</v>
      </c>
      <c r="E23" s="259" t="str">
        <f>VLOOKUP(TEXT(A23,"#"),Main!$A$2:$C45,3,0)</f>
        <v>Exposed Parts (Wall Flange &amp; Handle)</v>
      </c>
      <c r="F23" s="221">
        <v>2840.0</v>
      </c>
      <c r="G23" s="221">
        <v>3090.0</v>
      </c>
      <c r="H23" s="261">
        <f t="shared" si="2"/>
        <v>0.08090614887</v>
      </c>
      <c r="I23" s="263" t="str">
        <f t="shared" si="3"/>
        <v>#REF!</v>
      </c>
      <c r="J23" s="254" t="str">
        <f t="shared" si="4"/>
        <v>#REF!</v>
      </c>
      <c r="K23" s="264"/>
      <c r="L23" s="264"/>
    </row>
    <row r="24">
      <c r="A24" s="227" t="s">
        <v>219</v>
      </c>
      <c r="B24" s="267">
        <v>19.0</v>
      </c>
      <c r="C24" s="219" t="s">
        <v>900</v>
      </c>
      <c r="D24" s="270" t="s">
        <v>1379</v>
      </c>
      <c r="E24" s="259" t="str">
        <f>VLOOKUP(TEXT(A24,"#"),Main!$A$2:$C45,3,0)</f>
        <v>Single Lever High Flow Concealed Diverter Bath &amp; Shower 46mm</v>
      </c>
      <c r="F24" s="221">
        <v>6830.0</v>
      </c>
      <c r="G24" s="221" t="str">
        <f>G25+G26</f>
        <v>#REF!</v>
      </c>
      <c r="H24" s="261" t="str">
        <f t="shared" si="2"/>
        <v/>
      </c>
      <c r="I24" s="263" t="str">
        <f t="shared" si="3"/>
        <v>#REF!</v>
      </c>
      <c r="J24" s="254" t="str">
        <f t="shared" si="4"/>
        <v>#REF!</v>
      </c>
      <c r="K24" s="264"/>
      <c r="L24" s="264"/>
    </row>
    <row r="25">
      <c r="A25" s="13" t="s">
        <v>223</v>
      </c>
      <c r="B25" s="120"/>
      <c r="C25" s="262" t="s">
        <v>223</v>
      </c>
      <c r="D25" s="273" t="str">
        <f>C25</f>
        <v>PD-46-H-N</v>
      </c>
      <c r="E25" s="259" t="str">
        <f>VLOOKUP(TEXT(A25,"#"),Main!$A$2:$C45,3,0)</f>
        <v>High Flow Concealed Diverter Body 46mm (Cartridge, Sleeve, Tipton Assembly)</v>
      </c>
      <c r="F25" s="221">
        <v>3990.0</v>
      </c>
      <c r="G25" s="268" t="str">
        <f>VLOOKUP(D25,MASTER!$C$2:$D45,4,0)</f>
        <v>#REF!</v>
      </c>
      <c r="H25" s="261" t="str">
        <f t="shared" si="2"/>
        <v/>
      </c>
      <c r="I25" s="263" t="str">
        <f t="shared" si="3"/>
        <v>#REF!</v>
      </c>
      <c r="J25" s="254" t="str">
        <f t="shared" si="4"/>
        <v>#REF!</v>
      </c>
      <c r="K25" s="264"/>
      <c r="L25" s="264"/>
    </row>
    <row r="26">
      <c r="A26" s="13" t="s">
        <v>226</v>
      </c>
      <c r="B26" s="145"/>
      <c r="C26" s="262" t="s">
        <v>903</v>
      </c>
      <c r="D26" s="272" t="s">
        <v>1383</v>
      </c>
      <c r="E26" s="259" t="str">
        <f>VLOOKUP(TEXT(A26,"#"),Main!$A$2:$C45,3,0)</f>
        <v>Exposed Parts (Wall Flange &amp; Handle)</v>
      </c>
      <c r="F26" s="221">
        <v>2840.0</v>
      </c>
      <c r="G26" s="221">
        <f>G23</f>
        <v>3090</v>
      </c>
      <c r="H26" s="261">
        <f t="shared" si="2"/>
        <v>0.08090614887</v>
      </c>
      <c r="I26" s="263" t="str">
        <f t="shared" si="3"/>
        <v>#REF!</v>
      </c>
      <c r="J26" s="254" t="str">
        <f t="shared" si="4"/>
        <v>#REF!</v>
      </c>
      <c r="K26" s="264"/>
      <c r="L26" s="264"/>
    </row>
    <row r="27">
      <c r="A27" s="13" t="s">
        <v>228</v>
      </c>
      <c r="B27" s="267">
        <v>20.0</v>
      </c>
      <c r="C27" s="262" t="s">
        <v>906</v>
      </c>
      <c r="D27" s="272" t="s">
        <v>1385</v>
      </c>
      <c r="E27" s="259" t="str">
        <f>VLOOKUP(TEXT(A27,"#"),Main!$A$2:$C45,3,0)</f>
        <v>Single Lever High Flow Concealed Diverter Bath &amp; Shower 46mm (ON-OFF)</v>
      </c>
      <c r="F27" s="221">
        <v>6830.0</v>
      </c>
      <c r="G27" s="221" t="str">
        <f>G28+G29</f>
        <v>#REF!</v>
      </c>
      <c r="H27" s="261" t="str">
        <f t="shared" si="2"/>
        <v/>
      </c>
      <c r="I27" s="263" t="str">
        <f t="shared" si="3"/>
        <v>#REF!</v>
      </c>
      <c r="J27" s="254" t="str">
        <f t="shared" si="4"/>
        <v>#REF!</v>
      </c>
      <c r="K27" s="264"/>
      <c r="L27" s="264"/>
    </row>
    <row r="28">
      <c r="A28" s="13" t="s">
        <v>234</v>
      </c>
      <c r="B28" s="120"/>
      <c r="C28" s="262" t="s">
        <v>234</v>
      </c>
      <c r="D28" s="273" t="str">
        <f>C28</f>
        <v>PD-46-H-ON-OFF-N</v>
      </c>
      <c r="E28" s="259" t="str">
        <f>VLOOKUP(TEXT(A28,"#"),Main!$A$2:$C45,3,0)</f>
        <v>High Flow Concealed Diverter Body 46mm (Cartridge, Sleeve, On-Off Assembly)</v>
      </c>
      <c r="F28" s="221">
        <v>3990.0</v>
      </c>
      <c r="G28" s="268" t="str">
        <f>VLOOKUP(D28,MASTER!$C$2:$D45,4,0)</f>
        <v>#REF!</v>
      </c>
      <c r="H28" s="261" t="str">
        <f t="shared" si="2"/>
        <v/>
      </c>
      <c r="I28" s="263" t="str">
        <f t="shared" si="3"/>
        <v>#REF!</v>
      </c>
      <c r="J28" s="254" t="str">
        <f t="shared" si="4"/>
        <v>#REF!</v>
      </c>
      <c r="K28" s="264"/>
      <c r="L28" s="264"/>
    </row>
    <row r="29">
      <c r="A29" s="13" t="s">
        <v>237</v>
      </c>
      <c r="B29" s="145"/>
      <c r="C29" s="262" t="s">
        <v>909</v>
      </c>
      <c r="D29" s="272" t="s">
        <v>1387</v>
      </c>
      <c r="E29" s="259" t="str">
        <f>VLOOKUP(TEXT(A29,"#"),Main!$A$2:$C45,3,0)</f>
        <v>Exposed Parts (Wall Flange &amp; Handle)</v>
      </c>
      <c r="F29" s="221">
        <v>2840.0</v>
      </c>
      <c r="G29" s="221">
        <f>G26</f>
        <v>3090</v>
      </c>
      <c r="H29" s="261">
        <f t="shared" si="2"/>
        <v>0.08090614887</v>
      </c>
      <c r="I29" s="263" t="str">
        <f t="shared" si="3"/>
        <v>#REF!</v>
      </c>
      <c r="J29" s="254" t="str">
        <f t="shared" si="4"/>
        <v>#REF!</v>
      </c>
      <c r="K29" s="264"/>
      <c r="L29" s="264"/>
    </row>
    <row r="30">
      <c r="A30" s="227" t="s">
        <v>239</v>
      </c>
      <c r="B30" s="267">
        <v>21.0</v>
      </c>
      <c r="C30" s="262" t="s">
        <v>911</v>
      </c>
      <c r="D30" s="272" t="s">
        <v>1389</v>
      </c>
      <c r="E30" s="259" t="str">
        <f>VLOOKUP(TEXT(A30,"#"),Main!$A$2:$C45,3,0)</f>
        <v>Single Lever 3 In Let Concealed Diverter Bath &amp; Shower 46mm</v>
      </c>
      <c r="F30" s="221">
        <v>6830.0</v>
      </c>
      <c r="G30" s="221" t="str">
        <f>G31+G32</f>
        <v>#REF!</v>
      </c>
      <c r="H30" s="261" t="str">
        <f t="shared" si="2"/>
        <v/>
      </c>
      <c r="I30" s="263" t="str">
        <f t="shared" si="3"/>
        <v>#REF!</v>
      </c>
      <c r="J30" s="254" t="str">
        <f t="shared" si="4"/>
        <v>#REF!</v>
      </c>
      <c r="K30" s="264"/>
      <c r="L30" s="264"/>
    </row>
    <row r="31">
      <c r="A31" s="13" t="s">
        <v>243</v>
      </c>
      <c r="B31" s="120"/>
      <c r="C31" s="262" t="s">
        <v>243</v>
      </c>
      <c r="D31" s="273" t="str">
        <f>C31</f>
        <v>PD-3 IN-N</v>
      </c>
      <c r="E31" s="259" t="str">
        <f>VLOOKUP(TEXT(A31,"#"),Main!$A$2:$C45,3,0)</f>
        <v>3 In Let Concealed Diverter Body 46mm (Cartridge, Sleeve, Tipton Assembly)</v>
      </c>
      <c r="F31" s="221">
        <v>3990.0</v>
      </c>
      <c r="G31" s="268" t="str">
        <f>VLOOKUP(D31,MASTER!$C$2:$D45,4,0)</f>
        <v>#REF!</v>
      </c>
      <c r="H31" s="261" t="str">
        <f t="shared" si="2"/>
        <v/>
      </c>
      <c r="I31" s="263" t="str">
        <f t="shared" si="3"/>
        <v>#REF!</v>
      </c>
      <c r="J31" s="254" t="str">
        <f t="shared" si="4"/>
        <v>#REF!</v>
      </c>
      <c r="K31" s="264"/>
      <c r="L31" s="264"/>
    </row>
    <row r="32">
      <c r="A32" s="13" t="s">
        <v>247</v>
      </c>
      <c r="B32" s="145"/>
      <c r="C32" s="262" t="s">
        <v>916</v>
      </c>
      <c r="D32" s="272" t="s">
        <v>1392</v>
      </c>
      <c r="E32" s="259" t="str">
        <f>VLOOKUP(TEXT(A32,"#"),Main!$A$2:$C45,3,0)</f>
        <v>Exposed Parts (Wall Flange &amp; Handle)</v>
      </c>
      <c r="F32" s="221">
        <v>2840.0</v>
      </c>
      <c r="G32" s="221">
        <f>G29</f>
        <v>3090</v>
      </c>
      <c r="H32" s="261">
        <f t="shared" si="2"/>
        <v>0.08090614887</v>
      </c>
      <c r="I32" s="263" t="str">
        <f t="shared" si="3"/>
        <v>#REF!</v>
      </c>
      <c r="J32" s="254" t="str">
        <f t="shared" si="4"/>
        <v>#REF!</v>
      </c>
      <c r="K32" s="264"/>
      <c r="L32" s="264"/>
    </row>
    <row r="33">
      <c r="A33" s="13" t="s">
        <v>249</v>
      </c>
      <c r="B33" s="267">
        <v>22.0</v>
      </c>
      <c r="C33" s="262" t="s">
        <v>919</v>
      </c>
      <c r="D33" s="272" t="s">
        <v>1393</v>
      </c>
      <c r="E33" s="259" t="str">
        <f>VLOOKUP(TEXT(A33,"#"),Main!$A$2:$C45,3,0)</f>
        <v>Single Lever 3 In Let Concealed Diverter Bath &amp; Shower 46mm (ON-OFF)</v>
      </c>
      <c r="F33" s="221">
        <v>6830.0</v>
      </c>
      <c r="G33" s="221" t="str">
        <f>G34+G35</f>
        <v>#REF!</v>
      </c>
      <c r="H33" s="261" t="str">
        <f t="shared" si="2"/>
        <v/>
      </c>
      <c r="I33" s="263" t="str">
        <f t="shared" si="3"/>
        <v>#REF!</v>
      </c>
      <c r="J33" s="254" t="str">
        <f t="shared" si="4"/>
        <v>#REF!</v>
      </c>
      <c r="K33" s="264"/>
      <c r="L33" s="264"/>
    </row>
    <row r="34">
      <c r="A34" s="13" t="s">
        <v>253</v>
      </c>
      <c r="B34" s="120"/>
      <c r="C34" s="262" t="s">
        <v>253</v>
      </c>
      <c r="D34" s="273" t="str">
        <f>C34</f>
        <v>PD-3 IN-ON-OFF-N</v>
      </c>
      <c r="E34" s="259" t="str">
        <f>VLOOKUP(TEXT(A34,"#"),Main!$A$2:$C45,3,0)</f>
        <v>3 In Let Concealed Diverter Body 46mm (Cartridge, Sleeve, On-Off Assembly)</v>
      </c>
      <c r="F34" s="221">
        <v>3990.0</v>
      </c>
      <c r="G34" s="268" t="str">
        <f>VLOOKUP(D34,MASTER!$C$2:$D45,4,0)</f>
        <v>#REF!</v>
      </c>
      <c r="H34" s="261" t="str">
        <f t="shared" si="2"/>
        <v/>
      </c>
      <c r="I34" s="263" t="str">
        <f t="shared" si="3"/>
        <v>#REF!</v>
      </c>
      <c r="J34" s="254" t="str">
        <f t="shared" si="4"/>
        <v>#REF!</v>
      </c>
      <c r="K34" s="264"/>
      <c r="L34" s="264"/>
    </row>
    <row r="35">
      <c r="A35" s="13" t="s">
        <v>258</v>
      </c>
      <c r="B35" s="145"/>
      <c r="C35" s="262" t="s">
        <v>922</v>
      </c>
      <c r="D35" s="272" t="s">
        <v>1396</v>
      </c>
      <c r="E35" s="259" t="str">
        <f>VLOOKUP(TEXT(A35,"#"),Main!$A$2:$C45,3,0)</f>
        <v>Exposed Parts (Wall Flange &amp; Handle)</v>
      </c>
      <c r="F35" s="221">
        <v>2840.0</v>
      </c>
      <c r="G35" s="221">
        <f>G32</f>
        <v>3090</v>
      </c>
      <c r="H35" s="261">
        <f t="shared" si="2"/>
        <v>0.08090614887</v>
      </c>
      <c r="I35" s="263" t="str">
        <f t="shared" si="3"/>
        <v>#REF!</v>
      </c>
      <c r="J35" s="254" t="str">
        <f t="shared" si="4"/>
        <v>#REF!</v>
      </c>
      <c r="K35" s="264"/>
      <c r="L35" s="264"/>
    </row>
    <row r="36">
      <c r="A36" s="56" t="str">
        <f t="shared" ref="A36:A37" si="6">RIGHT(C36,2)</f>
        <v>95</v>
      </c>
      <c r="B36" s="256">
        <v>23.0</v>
      </c>
      <c r="C36" s="219">
        <v>6195.0</v>
      </c>
      <c r="D36" s="218" t="s">
        <v>1398</v>
      </c>
      <c r="E36" s="259" t="str">
        <f>VLOOKUP(TEXT(A36,"#"),Main!$A$2:$C45,3,0)</f>
        <v>Bath Tub Spout with Flange</v>
      </c>
      <c r="F36" s="221">
        <v>1820.0</v>
      </c>
      <c r="G36" s="221">
        <v>2180.0</v>
      </c>
      <c r="H36" s="261">
        <f t="shared" si="2"/>
        <v>0.1651376147</v>
      </c>
      <c r="I36" s="263" t="str">
        <f t="shared" si="3"/>
        <v>#REF!</v>
      </c>
      <c r="J36" s="254" t="str">
        <f t="shared" si="4"/>
        <v>#REF!</v>
      </c>
      <c r="K36" s="264"/>
      <c r="L36" s="264"/>
    </row>
    <row r="37">
      <c r="A37" s="56" t="str">
        <f t="shared" si="6"/>
        <v>96</v>
      </c>
      <c r="B37" s="256">
        <v>24.0</v>
      </c>
      <c r="C37" s="219">
        <v>6196.0</v>
      </c>
      <c r="D37" s="218" t="s">
        <v>1399</v>
      </c>
      <c r="E37" s="259" t="str">
        <f>VLOOKUP(TEXT(A37,"#"),Main!$A$2:$C45,3,0)</f>
        <v>Bath Tub Spout Tip Ton with Flange</v>
      </c>
      <c r="F37" s="221">
        <v>2740.0</v>
      </c>
      <c r="G37" s="221">
        <v>3310.0</v>
      </c>
      <c r="H37" s="261">
        <f t="shared" si="2"/>
        <v>0.1722054381</v>
      </c>
      <c r="I37" s="263" t="str">
        <f t="shared" si="3"/>
        <v>#REF!</v>
      </c>
      <c r="J37" s="254" t="str">
        <f t="shared" si="4"/>
        <v>#REF!</v>
      </c>
      <c r="K37" s="264"/>
      <c r="L37" s="264"/>
    </row>
    <row r="38">
      <c r="A38" s="56"/>
      <c r="B38" s="10"/>
      <c r="C38" s="56"/>
      <c r="D38" s="56"/>
      <c r="E38" s="3"/>
      <c r="F38" s="89"/>
      <c r="G38" s="89"/>
      <c r="H38" s="90"/>
      <c r="I38" s="275"/>
      <c r="J38" s="254"/>
      <c r="K38" s="255"/>
      <c r="L38" s="255"/>
    </row>
    <row r="39">
      <c r="A39" s="56"/>
      <c r="B39" s="10"/>
      <c r="C39" s="56"/>
      <c r="D39" s="56"/>
      <c r="E39" s="3"/>
      <c r="F39" s="89"/>
      <c r="G39" s="89"/>
      <c r="H39" s="90"/>
      <c r="I39" s="275"/>
      <c r="J39" s="254"/>
      <c r="K39" s="255"/>
      <c r="L39" s="255"/>
    </row>
    <row r="40">
      <c r="A40" s="56"/>
      <c r="B40" s="10"/>
      <c r="C40" s="56"/>
      <c r="D40" s="56"/>
      <c r="E40" s="3"/>
      <c r="F40" s="89"/>
      <c r="G40" s="89"/>
      <c r="H40" s="90"/>
      <c r="I40" s="275"/>
      <c r="J40" s="254"/>
      <c r="K40" s="255"/>
      <c r="L40" s="255"/>
    </row>
    <row r="41">
      <c r="A41" s="56"/>
      <c r="B41" s="10"/>
      <c r="C41" s="56"/>
      <c r="D41" s="56"/>
      <c r="E41" s="3"/>
      <c r="F41" s="89"/>
      <c r="G41" s="89"/>
      <c r="H41" s="90"/>
      <c r="I41" s="275"/>
      <c r="J41" s="254"/>
      <c r="K41" s="255"/>
      <c r="L41" s="255"/>
    </row>
    <row r="42">
      <c r="A42" s="56"/>
      <c r="B42" s="10"/>
      <c r="C42" s="56"/>
      <c r="D42" s="56"/>
      <c r="E42" s="3"/>
      <c r="F42" s="89"/>
      <c r="G42" s="89"/>
      <c r="H42" s="90"/>
      <c r="I42" s="275"/>
      <c r="J42" s="254"/>
      <c r="K42" s="255"/>
      <c r="L42" s="255"/>
    </row>
    <row r="43">
      <c r="A43" s="56"/>
      <c r="B43" s="10"/>
      <c r="C43" s="56"/>
      <c r="D43" s="56"/>
      <c r="E43" s="3"/>
      <c r="F43" s="89"/>
      <c r="G43" s="89"/>
      <c r="H43" s="90"/>
      <c r="I43" s="275"/>
      <c r="J43" s="254"/>
      <c r="K43" s="255"/>
      <c r="L43" s="255"/>
    </row>
    <row r="44">
      <c r="A44" s="56"/>
      <c r="B44" s="10"/>
      <c r="C44" s="56"/>
      <c r="D44" s="56"/>
      <c r="E44" s="3"/>
      <c r="F44" s="89"/>
      <c r="G44" s="89"/>
      <c r="H44" s="90"/>
      <c r="I44" s="275"/>
      <c r="J44" s="254"/>
      <c r="K44" s="255"/>
      <c r="L44" s="255"/>
    </row>
    <row r="45">
      <c r="A45" s="56"/>
      <c r="B45" s="10"/>
      <c r="C45" s="56"/>
      <c r="D45" s="56"/>
      <c r="E45" s="3"/>
      <c r="F45" s="89"/>
      <c r="G45" s="89"/>
      <c r="H45" s="90"/>
      <c r="I45" s="275"/>
      <c r="J45" s="254"/>
      <c r="K45" s="255"/>
      <c r="L45" s="255"/>
    </row>
  </sheetData>
  <mergeCells count="6">
    <mergeCell ref="B16:B18"/>
    <mergeCell ref="B21:B23"/>
    <mergeCell ref="B24:B26"/>
    <mergeCell ref="B27:B29"/>
    <mergeCell ref="B30:B32"/>
    <mergeCell ref="B33:B3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4.88"/>
    <col customWidth="1" min="2" max="2" width="5.75"/>
    <col customWidth="1" hidden="1" min="3" max="3" width="18.75"/>
    <col customWidth="1" min="4" max="4" width="19.75"/>
    <col customWidth="1" min="5" max="5" width="83.63"/>
    <col customWidth="1" min="6" max="6" width="11.38"/>
    <col customWidth="1" min="7" max="7" width="10.88"/>
    <col customWidth="1" min="8" max="8" width="8.0"/>
    <col customWidth="1" min="9" max="9" width="10.38"/>
    <col customWidth="1" hidden="1" min="10" max="10" width="34.75"/>
  </cols>
  <sheetData>
    <row r="1">
      <c r="A1" s="10"/>
      <c r="B1" s="250" t="s">
        <v>1340</v>
      </c>
      <c r="C1" s="251" t="s">
        <v>1249</v>
      </c>
      <c r="D1" s="251" t="s">
        <v>1249</v>
      </c>
      <c r="E1" s="258" t="s">
        <v>1077</v>
      </c>
      <c r="F1" s="19" t="str">
        <f t="array" ref="F1">#REF!</f>
        <v>#REF!</v>
      </c>
      <c r="G1" s="19"/>
      <c r="H1" s="165" t="s">
        <v>20</v>
      </c>
      <c r="I1" s="260"/>
      <c r="J1" s="258" t="s">
        <v>8</v>
      </c>
      <c r="K1" s="3"/>
      <c r="L1" s="3"/>
    </row>
    <row r="2">
      <c r="A2" s="56" t="str">
        <f t="shared" ref="A2:A16" si="1">RIGHT(C2,2)</f>
        <v>02</v>
      </c>
      <c r="B2" s="256">
        <v>1.0</v>
      </c>
      <c r="C2" s="262">
        <v>6102.0</v>
      </c>
      <c r="D2" s="233" t="s">
        <v>1341</v>
      </c>
      <c r="E2" s="259" t="str">
        <f>VLOOKUP(TEXT(A2,"#"),Main!$A$2:$C45,3,0)</f>
        <v>Pillar Cock</v>
      </c>
      <c r="F2" s="221">
        <f>'LAGOON (ROSE GOLD)'!F2</f>
        <v>2490</v>
      </c>
      <c r="G2" s="221">
        <f>'LAGOON (ROSE GOLD)'!G2</f>
        <v>2860</v>
      </c>
      <c r="H2" s="261">
        <f t="shared" ref="H2:H37" si="2">IFERROR(DIVIDE(MINUS(G2,F2),G2),)</f>
        <v>0.1293706294</v>
      </c>
      <c r="I2" s="225"/>
      <c r="J2" s="265" t="str">
        <f>VLOOKUP(TEXT(A2,"#"),Main!$A$2:$D45,4,0)</f>
        <v>Pillar Cock</v>
      </c>
      <c r="K2" s="3"/>
      <c r="L2" s="3"/>
    </row>
    <row r="3">
      <c r="A3" s="56" t="str">
        <f t="shared" si="1"/>
        <v>03</v>
      </c>
      <c r="B3" s="256">
        <v>2.0</v>
      </c>
      <c r="C3" s="262">
        <v>6103.0</v>
      </c>
      <c r="D3" s="233" t="s">
        <v>1344</v>
      </c>
      <c r="E3" s="259" t="str">
        <f>VLOOKUP(TEXT(A3,"#"),Main!$A$2:$C45,3,0)</f>
        <v>Pillar Cock Tall Body</v>
      </c>
      <c r="F3" s="221">
        <f>'LAGOON (ROSE GOLD)'!F3</f>
        <v>5360</v>
      </c>
      <c r="G3" s="221">
        <f>'LAGOON (ROSE GOLD)'!G3</f>
        <v>6260</v>
      </c>
      <c r="H3" s="261">
        <f t="shared" si="2"/>
        <v>0.1437699681</v>
      </c>
      <c r="I3" s="225"/>
      <c r="J3" s="265" t="str">
        <f>VLOOKUP(TEXT(A3,"#"),Main!$A$2:$D45,4,0)</f>
        <v>Pillar Cock Tall Hight</v>
      </c>
      <c r="K3" s="3"/>
      <c r="L3" s="3"/>
    </row>
    <row r="4">
      <c r="A4" s="56" t="str">
        <f t="shared" si="1"/>
        <v>04</v>
      </c>
      <c r="B4" s="256">
        <v>3.0</v>
      </c>
      <c r="C4" s="262">
        <v>6104.0</v>
      </c>
      <c r="D4" s="233" t="s">
        <v>1346</v>
      </c>
      <c r="E4" s="259" t="str">
        <f>VLOOKUP(TEXT(A4,"#"),Main!$A$2:$C45,3,0)</f>
        <v>Pillar Cock Extended Body</v>
      </c>
      <c r="F4" s="221">
        <f>'LAGOON (ROSE GOLD)'!F4</f>
        <v>3230</v>
      </c>
      <c r="G4" s="221">
        <f>'LAGOON (ROSE GOLD)'!G4</f>
        <v>3940</v>
      </c>
      <c r="H4" s="261">
        <f t="shared" si="2"/>
        <v>0.1802030457</v>
      </c>
      <c r="I4" s="225"/>
      <c r="J4" s="265" t="str">
        <f>VLOOKUP(TEXT(A4,"#"),Main!$A$2:$D45,4,0)</f>
        <v>Pillar Cock Extended Body</v>
      </c>
      <c r="K4" s="3"/>
      <c r="L4" s="3"/>
    </row>
    <row r="5">
      <c r="A5" s="56" t="str">
        <f t="shared" si="1"/>
        <v>06</v>
      </c>
      <c r="B5" s="256">
        <v>4.0</v>
      </c>
      <c r="C5" s="262">
        <v>6106.0</v>
      </c>
      <c r="D5" s="233" t="s">
        <v>1348</v>
      </c>
      <c r="E5" s="259" t="str">
        <f>VLOOKUP(TEXT(A5,"#"),Main!$A$2:$C45,3,0)</f>
        <v>Bib Cock with Wall Flange</v>
      </c>
      <c r="F5" s="221">
        <f>'LAGOON (ROSE GOLD)'!F5</f>
        <v>1960</v>
      </c>
      <c r="G5" s="221">
        <f>'LAGOON (ROSE GOLD)'!G5</f>
        <v>2290</v>
      </c>
      <c r="H5" s="261">
        <f t="shared" si="2"/>
        <v>0.1441048035</v>
      </c>
      <c r="I5" s="225"/>
      <c r="J5" s="265" t="str">
        <f>VLOOKUP(TEXT(A5,"#"),Main!$A$2:$D45,4,0)</f>
        <v>Bib Cock with Flange</v>
      </c>
      <c r="K5" s="3"/>
      <c r="L5" s="3"/>
    </row>
    <row r="6">
      <c r="A6" s="56" t="str">
        <f t="shared" si="1"/>
        <v>08</v>
      </c>
      <c r="B6" s="256">
        <v>5.0</v>
      </c>
      <c r="C6" s="262">
        <v>6108.0</v>
      </c>
      <c r="D6" s="233" t="s">
        <v>1350</v>
      </c>
      <c r="E6" s="259" t="str">
        <f>VLOOKUP(TEXT(A6,"#"),Main!$A$2:$C45,3,0)</f>
        <v>Bib Cock Long Body with Wall Flange</v>
      </c>
      <c r="F6" s="221">
        <f>'LAGOON (ROSE GOLD)'!F6</f>
        <v>2320</v>
      </c>
      <c r="G6" s="221">
        <f>'LAGOON (ROSE GOLD)'!G6</f>
        <v>2660</v>
      </c>
      <c r="H6" s="261">
        <f t="shared" si="2"/>
        <v>0.1278195489</v>
      </c>
      <c r="I6" s="225"/>
      <c r="J6" s="265" t="str">
        <f>VLOOKUP(TEXT(A6,"#"),Main!$A$2:$D45,4,0)</f>
        <v>Bib Cock Long Body with Flange</v>
      </c>
      <c r="K6" s="3"/>
      <c r="L6" s="3"/>
    </row>
    <row r="7">
      <c r="A7" s="56" t="str">
        <f t="shared" si="1"/>
        <v>10</v>
      </c>
      <c r="B7" s="256">
        <v>6.0</v>
      </c>
      <c r="C7" s="262">
        <v>6110.0</v>
      </c>
      <c r="D7" s="233" t="s">
        <v>1352</v>
      </c>
      <c r="E7" s="259" t="str">
        <f>VLOOKUP(TEXT(A7,"#"),Main!$A$2:$C45,3,0)</f>
        <v>Angular Stop Cock with Wall Flange</v>
      </c>
      <c r="F7" s="221">
        <f>'LAGOON (ROSE GOLD)'!F7</f>
        <v>1420</v>
      </c>
      <c r="G7" s="221">
        <f>'LAGOON (ROSE GOLD)'!G7</f>
        <v>1690</v>
      </c>
      <c r="H7" s="261">
        <f t="shared" si="2"/>
        <v>0.1597633136</v>
      </c>
      <c r="I7" s="225"/>
      <c r="J7" s="8" t="str">
        <f>VLOOKUP(TEXT(A7,"#"),Main!$A$2:$D45,4,0)</f>
        <v>Angle Cock with Flange</v>
      </c>
      <c r="K7" s="3"/>
      <c r="L7" s="3"/>
    </row>
    <row r="8">
      <c r="A8" s="56" t="str">
        <f t="shared" si="1"/>
        <v>11</v>
      </c>
      <c r="B8" s="256">
        <v>7.0</v>
      </c>
      <c r="C8" s="262">
        <v>6111.0</v>
      </c>
      <c r="D8" s="233" t="s">
        <v>1355</v>
      </c>
      <c r="E8" s="259" t="str">
        <f>VLOOKUP(TEXT(A8,"#"),Main!$A$2:$C45,3,0)</f>
        <v>2-Way Angular Stop Cock with Wall Flange</v>
      </c>
      <c r="F8" s="221">
        <f>'LAGOON (ROSE GOLD)'!F8</f>
        <v>2490</v>
      </c>
      <c r="G8" s="221">
        <f>'LAGOON (ROSE GOLD)'!G8</f>
        <v>2860</v>
      </c>
      <c r="H8" s="261">
        <f t="shared" si="2"/>
        <v>0.1293706294</v>
      </c>
      <c r="I8" s="225"/>
      <c r="J8" s="8" t="str">
        <f>VLOOKUP(TEXT(A8,"#"),Main!$A$2:$D45,4,0)</f>
        <v>2-Way Angle Cock with Flange</v>
      </c>
      <c r="K8" s="3"/>
      <c r="L8" s="3"/>
    </row>
    <row r="9">
      <c r="A9" s="56" t="str">
        <f t="shared" si="1"/>
        <v>12</v>
      </c>
      <c r="B9" s="256">
        <v>8.0</v>
      </c>
      <c r="C9" s="262">
        <v>6112.0</v>
      </c>
      <c r="D9" s="233" t="s">
        <v>1357</v>
      </c>
      <c r="E9" s="259" t="str">
        <f>VLOOKUP(TEXT(A9,"#"),Main!$A$2:$C45,3,0)</f>
        <v>2-Way Bib Cock Double Handle with Wall Flange</v>
      </c>
      <c r="F9" s="221">
        <f>'LAGOON (ROSE GOLD)'!F9</f>
        <v>3410</v>
      </c>
      <c r="G9" s="221">
        <f>'LAGOON (ROSE GOLD)'!G9</f>
        <v>3940</v>
      </c>
      <c r="H9" s="261">
        <f t="shared" si="2"/>
        <v>0.1345177665</v>
      </c>
      <c r="I9" s="225"/>
      <c r="J9" s="8" t="str">
        <f>VLOOKUP(TEXT(A9,"#"),Main!$A$2:$D45,4,0)</f>
        <v>2-Way Bib Cock Double Handle with Flange</v>
      </c>
      <c r="K9" s="3"/>
      <c r="L9" s="3"/>
    </row>
    <row r="10">
      <c r="A10" s="56" t="str">
        <f t="shared" si="1"/>
        <v>13</v>
      </c>
      <c r="B10" s="256">
        <v>9.0</v>
      </c>
      <c r="C10" s="233">
        <v>6113.0</v>
      </c>
      <c r="D10" s="233" t="s">
        <v>1359</v>
      </c>
      <c r="E10" s="259" t="str">
        <f>VLOOKUP(TEXT(A10,"#"),Main!$A$2:$C45,3,0)</f>
        <v>2-Way Bib Cock Single Handle with Wall Flange</v>
      </c>
      <c r="F10" s="221">
        <f>'LAGOON (ROSE GOLD)'!F10</f>
        <v>3050</v>
      </c>
      <c r="G10" s="221">
        <f>'LAGOON (ROSE GOLD)'!G10</f>
        <v>3390</v>
      </c>
      <c r="H10" s="261">
        <f t="shared" si="2"/>
        <v>0.1002949853</v>
      </c>
      <c r="I10" s="266"/>
      <c r="J10" s="8" t="str">
        <f>VLOOKUP(TEXT(A10,"#"),Main!$A$2:$D45,4,0)</f>
        <v>2-Way Bib Cock Single Handle with Flange</v>
      </c>
      <c r="K10" s="3"/>
      <c r="L10" s="3"/>
    </row>
    <row r="11">
      <c r="A11" s="56" t="str">
        <f t="shared" si="1"/>
        <v>14</v>
      </c>
      <c r="B11" s="256">
        <v>10.0</v>
      </c>
      <c r="C11" s="262">
        <v>6114.0</v>
      </c>
      <c r="D11" s="233" t="s">
        <v>1361</v>
      </c>
      <c r="E11" s="259" t="str">
        <f>VLOOKUP(TEXT(A11,"#"),Main!$A$2:$C45,3,0)</f>
        <v>Swan Neck Table Mounted</v>
      </c>
      <c r="F11" s="221">
        <f>'LAGOON (ROSE GOLD)'!F11</f>
        <v>3220</v>
      </c>
      <c r="G11" s="221">
        <f>'LAGOON (ROSE GOLD)'!G11</f>
        <v>3740</v>
      </c>
      <c r="H11" s="261">
        <f t="shared" si="2"/>
        <v>0.1390374332</v>
      </c>
      <c r="I11" s="225"/>
      <c r="J11" s="8" t="str">
        <f>VLOOKUP(TEXT(A11,"#"),Main!$A$2:$D45,4,0)</f>
        <v>Pillar Cock Swan Neck T/M</v>
      </c>
      <c r="K11" s="3"/>
      <c r="L11" s="3"/>
    </row>
    <row r="12">
      <c r="A12" s="56" t="str">
        <f t="shared" si="1"/>
        <v>16</v>
      </c>
      <c r="B12" s="256">
        <v>11.0</v>
      </c>
      <c r="C12" s="262">
        <v>6116.0</v>
      </c>
      <c r="D12" s="233" t="s">
        <v>1363</v>
      </c>
      <c r="E12" s="259" t="str">
        <f>VLOOKUP(TEXT(A12,"#"),Main!$A$2:$C45,3,0)</f>
        <v>Sink Cock Wall Mounted with Flange</v>
      </c>
      <c r="F12" s="221">
        <f>'LAGOON (ROSE GOLD)'!F12</f>
        <v>3040</v>
      </c>
      <c r="G12" s="221">
        <f>'LAGOON (ROSE GOLD)'!G12</f>
        <v>3390</v>
      </c>
      <c r="H12" s="261">
        <f t="shared" si="2"/>
        <v>0.1032448378</v>
      </c>
      <c r="I12" s="225"/>
      <c r="J12" s="8" t="str">
        <f>VLOOKUP(TEXT(A12,"#"),Main!$A$2:$D45,4,0)</f>
        <v>Bib Tap Sink Cock Regular Spout W/M</v>
      </c>
      <c r="K12" s="3"/>
      <c r="L12" s="3"/>
    </row>
    <row r="13">
      <c r="A13" s="56" t="str">
        <f t="shared" si="1"/>
        <v>18</v>
      </c>
      <c r="B13" s="256">
        <v>12.0</v>
      </c>
      <c r="C13" s="262">
        <v>6118.0</v>
      </c>
      <c r="D13" s="233" t="s">
        <v>1365</v>
      </c>
      <c r="E13" s="259" t="str">
        <f>VLOOKUP(TEXT(A13,"#"),Main!$A$2:$C45,3,0)</f>
        <v>Concealed Stop Cock 15mm with Wall Flange</v>
      </c>
      <c r="F13" s="221">
        <f>'LAGOON (ROSE GOLD)'!F13</f>
        <v>1960</v>
      </c>
      <c r="G13" s="221">
        <f>'LAGOON (ROSE GOLD)'!G13</f>
        <v>2290</v>
      </c>
      <c r="H13" s="261">
        <f t="shared" si="2"/>
        <v>0.1441048035</v>
      </c>
      <c r="I13" s="225"/>
      <c r="J13" s="8" t="str">
        <f>VLOOKUP(TEXT(A13,"#"),Main!$A$2:$D45,4,0)</f>
        <v>Concealed Stop Cock 15mm with Flange</v>
      </c>
      <c r="K13" s="3"/>
      <c r="L13" s="3"/>
    </row>
    <row r="14">
      <c r="A14" s="56" t="str">
        <f t="shared" si="1"/>
        <v>20</v>
      </c>
      <c r="B14" s="256">
        <v>13.0</v>
      </c>
      <c r="C14" s="262">
        <v>6120.0</v>
      </c>
      <c r="D14" s="233" t="s">
        <v>1367</v>
      </c>
      <c r="E14" s="259" t="str">
        <f>VLOOKUP(TEXT(A14,"#"),Main!$A$2:$C45,3,0)</f>
        <v>Concealed Stop Cock 20mm with Wall Flange</v>
      </c>
      <c r="F14" s="221">
        <f>'LAGOON (ROSE GOLD)'!F14</f>
        <v>2010</v>
      </c>
      <c r="G14" s="221">
        <f>'LAGOON (ROSE GOLD)'!G14</f>
        <v>2370</v>
      </c>
      <c r="H14" s="261">
        <f t="shared" si="2"/>
        <v>0.1518987342</v>
      </c>
      <c r="I14" s="225"/>
      <c r="J14" s="8" t="str">
        <f>VLOOKUP(TEXT(A14,"#"),Main!$A$2:$D45,4,0)</f>
        <v>Concealed Stop Cock 20mm with Flange</v>
      </c>
      <c r="K14" s="3"/>
      <c r="L14" s="3"/>
    </row>
    <row r="15">
      <c r="A15" s="56" t="str">
        <f t="shared" si="1"/>
        <v>51</v>
      </c>
      <c r="B15" s="256">
        <v>14.0</v>
      </c>
      <c r="C15" s="262">
        <v>6151.0</v>
      </c>
      <c r="D15" s="233" t="s">
        <v>1368</v>
      </c>
      <c r="E15" s="259" t="str">
        <f>VLOOKUP(TEXT(A15,"#"),Main!$A$2:$C45,3,0)</f>
        <v>Single Lever Basin Mixer without Popup Waste System</v>
      </c>
      <c r="F15" s="221">
        <f>'LAGOON (ROSE GOLD)'!F15</f>
        <v>5680</v>
      </c>
      <c r="G15" s="221">
        <f>'LAGOON (ROSE GOLD)'!G15</f>
        <v>6630</v>
      </c>
      <c r="H15" s="261">
        <f t="shared" si="2"/>
        <v>0.1432880845</v>
      </c>
      <c r="I15" s="225"/>
      <c r="J15" s="8" t="str">
        <f>VLOOKUP(TEXT(A15,"#"),Main!$A$2:$D45,4,0)</f>
        <v>Single Lever Basin Mixer</v>
      </c>
      <c r="K15" s="3"/>
      <c r="L15" s="3"/>
    </row>
    <row r="16">
      <c r="A16" s="56" t="str">
        <f t="shared" si="1"/>
        <v>54</v>
      </c>
      <c r="B16" s="267">
        <v>15.0</v>
      </c>
      <c r="C16" s="262">
        <v>6154.0</v>
      </c>
      <c r="D16" s="233" t="s">
        <v>1370</v>
      </c>
      <c r="E16" s="259" t="str">
        <f>VLOOKUP(TEXT(A16,"#"),Main!$A$2:$C45,3,0)</f>
        <v>Single Lever Basin Mixer Wall Mount (Concealed)</v>
      </c>
      <c r="F16" s="221">
        <f>'LAGOON (ROSE GOLD)'!F16</f>
        <v>8000</v>
      </c>
      <c r="G16" s="221" t="str">
        <f>'LAGOON (ROSE GOLD)'!G16</f>
        <v>#REF!</v>
      </c>
      <c r="H16" s="261" t="str">
        <f t="shared" si="2"/>
        <v/>
      </c>
      <c r="I16" s="225"/>
      <c r="J16" s="8" t="str">
        <f>VLOOKUP(TEXT(A16,"#"),Main!$A$2:$D45,4,0)</f>
        <v>Single Lever Basin Mixer W/M Concealed</v>
      </c>
      <c r="K16" s="58"/>
      <c r="L16" s="3"/>
    </row>
    <row r="17">
      <c r="A17" s="269" t="s">
        <v>154</v>
      </c>
      <c r="B17" s="120"/>
      <c r="C17" s="233" t="s">
        <v>154</v>
      </c>
      <c r="D17" s="233" t="s">
        <v>154</v>
      </c>
      <c r="E17" s="259" t="str">
        <f>VLOOKUP(TEXT(A17,"#"),Main!$A$2:$C45,3,0)</f>
        <v>Single Lever Basin Mixer Wall Mount (Body, Cartridge, Sleeve &amp; Nipple)</v>
      </c>
      <c r="F17" s="221">
        <f>'LAGOON (ROSE GOLD)'!F17</f>
        <v>3980</v>
      </c>
      <c r="G17" s="221" t="str">
        <f>'LAGOON (ROSE GOLD)'!G17</f>
        <v>#REF!</v>
      </c>
      <c r="H17" s="261" t="str">
        <f t="shared" si="2"/>
        <v/>
      </c>
      <c r="I17" s="225"/>
      <c r="J17" s="8" t="str">
        <f>VLOOKUP(TEXT(A17,"#"),Main!$A$2:$D45,4,0)</f>
        <v>Single Lever Basin Mixer W/M Conc. Body</v>
      </c>
      <c r="K17" s="3"/>
      <c r="L17" s="3"/>
    </row>
    <row r="18">
      <c r="A18" s="269" t="s">
        <v>159</v>
      </c>
      <c r="B18" s="145"/>
      <c r="C18" s="233" t="s">
        <v>883</v>
      </c>
      <c r="D18" s="233" t="s">
        <v>1373</v>
      </c>
      <c r="E18" s="259" t="str">
        <f>VLOOKUP(TEXT(A18,"#"),Main!$A$2:$C45,3,0)</f>
        <v>Exposed Parts (Wall Flange, Handle &amp; Spout)</v>
      </c>
      <c r="F18" s="221">
        <f>'LAGOON (ROSE GOLD)'!F18</f>
        <v>4020</v>
      </c>
      <c r="G18" s="221">
        <f>'LAGOON (ROSE GOLD)'!G18</f>
        <v>4390</v>
      </c>
      <c r="H18" s="261">
        <f t="shared" si="2"/>
        <v>0.08428246014</v>
      </c>
      <c r="I18" s="225"/>
      <c r="J18" s="8" t="str">
        <f>VLOOKUP(TEXT(A18,"#"),Main!$A$2:$D45,4,0)</f>
        <v>Single Lever Basin Mixer W/M Upper Part</v>
      </c>
      <c r="K18" s="3"/>
      <c r="L18" s="3"/>
    </row>
    <row r="19">
      <c r="A19" s="56" t="str">
        <f t="shared" ref="A19:A20" si="3">RIGHT(C19,2)</f>
        <v>55</v>
      </c>
      <c r="B19" s="256">
        <v>16.0</v>
      </c>
      <c r="C19" s="262">
        <v>6155.0</v>
      </c>
      <c r="D19" s="233" t="s">
        <v>1374</v>
      </c>
      <c r="E19" s="259" t="str">
        <f>VLOOKUP(TEXT(A19,"#"),Main!$A$2:$C45,3,0)</f>
        <v>Sink Mixer with Regular Spout Wall Mounted with Flange</v>
      </c>
      <c r="F19" s="221">
        <f>'LAGOON (ROSE GOLD)'!F19</f>
        <v>5740</v>
      </c>
      <c r="G19" s="221">
        <f>'LAGOON (ROSE GOLD)'!G19</f>
        <v>6690</v>
      </c>
      <c r="H19" s="261">
        <f t="shared" si="2"/>
        <v>0.1420029895</v>
      </c>
      <c r="I19" s="225"/>
      <c r="J19" s="8" t="str">
        <f>VLOOKUP(TEXT(A19,"#"),Main!$A$2:$D45,4,0)</f>
        <v>Sink Mixer with Regular Spout W/M</v>
      </c>
      <c r="K19" s="3"/>
      <c r="L19" s="3"/>
    </row>
    <row r="20">
      <c r="A20" s="56" t="str">
        <f t="shared" si="3"/>
        <v>75</v>
      </c>
      <c r="B20" s="256">
        <v>17.0</v>
      </c>
      <c r="C20" s="262">
        <v>6175.0</v>
      </c>
      <c r="D20" s="233" t="s">
        <v>1376</v>
      </c>
      <c r="E20" s="259" t="str">
        <f>VLOOKUP(TEXT(A20,"#"),Main!$A$2:$C45,3,0)</f>
        <v>Wall Mixer "L" Bend with Wall Flange (Provision For Over Head Shower)</v>
      </c>
      <c r="F20" s="221">
        <f>'LAGOON (ROSE GOLD)'!F20</f>
        <v>8960</v>
      </c>
      <c r="G20" s="221">
        <f>'LAGOON (ROSE GOLD)'!G20</f>
        <v>10190</v>
      </c>
      <c r="H20" s="261">
        <f t="shared" si="2"/>
        <v>0.1207065751</v>
      </c>
      <c r="I20" s="225"/>
      <c r="J20" s="8" t="str">
        <f>VLOOKUP(TEXT(A20,"#"),Main!$A$2:$D45,4,0)</f>
        <v>Wall Mixer with "L" Bend</v>
      </c>
      <c r="K20" s="3"/>
      <c r="L20" s="3"/>
    </row>
    <row r="21">
      <c r="A21" s="227" t="s">
        <v>209</v>
      </c>
      <c r="B21" s="267">
        <v>18.0</v>
      </c>
      <c r="C21" s="233" t="s">
        <v>894</v>
      </c>
      <c r="D21" s="233" t="s">
        <v>1377</v>
      </c>
      <c r="E21" s="259" t="str">
        <f>VLOOKUP(TEXT(A21,"#"),Main!$A$2:$C45,3,0)</f>
        <v>Single Lever Concealed Diverter Bath &amp; Shower 40mm</v>
      </c>
      <c r="F21" s="221">
        <f>'LAGOON (ROSE GOLD)'!F21</f>
        <v>5980</v>
      </c>
      <c r="G21" s="221" t="str">
        <f>'LAGOON (ROSE GOLD)'!G21</f>
        <v>#REF!</v>
      </c>
      <c r="H21" s="261" t="str">
        <f t="shared" si="2"/>
        <v/>
      </c>
      <c r="I21" s="266"/>
      <c r="J21" s="8" t="str">
        <f>VLOOKUP(TEXT(A21,"#"),Main!$A$2:$D45,4,0)</f>
        <v>Single Lever Conc. Div 40mm</v>
      </c>
      <c r="K21" s="3"/>
      <c r="L21" s="3"/>
    </row>
    <row r="22">
      <c r="A22" s="269" t="s">
        <v>212</v>
      </c>
      <c r="B22" s="120"/>
      <c r="C22" s="233" t="s">
        <v>212</v>
      </c>
      <c r="D22" s="233" t="str">
        <f>C22</f>
        <v>PD-40-N</v>
      </c>
      <c r="E22" s="259" t="str">
        <f>VLOOKUP(TEXT(A22,"#"),Main!$A$2:$C45,3,0)</f>
        <v>Concealed Diverter Body 40mm (Cartridge, Sleeve, Tipton Assembly)</v>
      </c>
      <c r="F22" s="221">
        <f>'LAGOON (ROSE GOLD)'!F22</f>
        <v>3140</v>
      </c>
      <c r="G22" s="221" t="str">
        <f>'LAGOON (ROSE GOLD)'!G22</f>
        <v>#REF!</v>
      </c>
      <c r="H22" s="261" t="str">
        <f t="shared" si="2"/>
        <v/>
      </c>
      <c r="I22" s="266"/>
      <c r="J22" s="8" t="str">
        <f>VLOOKUP(TEXT(A22,"#"),Main!$A$2:$D45,4,0)</f>
        <v>Single Lever Conc. Div 40mm Body</v>
      </c>
      <c r="K22" s="3"/>
      <c r="L22" s="3"/>
    </row>
    <row r="23">
      <c r="A23" s="269" t="s">
        <v>216</v>
      </c>
      <c r="B23" s="145"/>
      <c r="C23" s="233" t="s">
        <v>897</v>
      </c>
      <c r="D23" s="233" t="s">
        <v>1380</v>
      </c>
      <c r="E23" s="259" t="str">
        <f>VLOOKUP(TEXT(A23,"#"),Main!$A$2:$C45,3,0)</f>
        <v>Exposed Parts (Wall Flange &amp; Handle)</v>
      </c>
      <c r="F23" s="221">
        <f>'LAGOON (ROSE GOLD)'!F23</f>
        <v>2840</v>
      </c>
      <c r="G23" s="221">
        <f>'LAGOON (ROSE GOLD)'!G23</f>
        <v>3090</v>
      </c>
      <c r="H23" s="261">
        <f t="shared" si="2"/>
        <v>0.08090614887</v>
      </c>
      <c r="I23" s="266"/>
      <c r="J23" s="8" t="str">
        <f>VLOOKUP(TEXT(A23,"#"),Main!$A$2:$D45,4,0)</f>
        <v>Single Lever Conc. Div 40mm Upper Part</v>
      </c>
      <c r="K23" s="3"/>
      <c r="L23" s="3"/>
    </row>
    <row r="24">
      <c r="A24" s="227" t="s">
        <v>219</v>
      </c>
      <c r="B24" s="267">
        <v>19.0</v>
      </c>
      <c r="C24" s="233" t="s">
        <v>900</v>
      </c>
      <c r="D24" s="233" t="s">
        <v>1381</v>
      </c>
      <c r="E24" s="259" t="str">
        <f>VLOOKUP(TEXT(A24,"#"),Main!$A$2:$C45,3,0)</f>
        <v>Single Lever High Flow Concealed Diverter Bath &amp; Shower 46mm</v>
      </c>
      <c r="F24" s="221">
        <f>'LAGOON (ROSE GOLD)'!F24</f>
        <v>6830</v>
      </c>
      <c r="G24" s="221" t="str">
        <f>'LAGOON (ROSE GOLD)'!G24</f>
        <v>#REF!</v>
      </c>
      <c r="H24" s="261" t="str">
        <f t="shared" si="2"/>
        <v/>
      </c>
      <c r="I24" s="266"/>
      <c r="J24" s="8" t="str">
        <f>VLOOKUP(TEXT(A24,"#"),Main!$A$2:$D45,4,0)</f>
        <v>Single Lever H F Conc. Div 46mm</v>
      </c>
      <c r="K24" s="3"/>
      <c r="L24" s="3"/>
    </row>
    <row r="25">
      <c r="A25" s="269" t="s">
        <v>223</v>
      </c>
      <c r="B25" s="120"/>
      <c r="C25" s="218" t="s">
        <v>223</v>
      </c>
      <c r="D25" s="233" t="str">
        <f>C25</f>
        <v>PD-46-H-N</v>
      </c>
      <c r="E25" s="259" t="str">
        <f>VLOOKUP(TEXT(A25,"#"),Main!$A$2:$C45,3,0)</f>
        <v>High Flow Concealed Diverter Body 46mm (Cartridge, Sleeve, Tipton Assembly)</v>
      </c>
      <c r="F25" s="221">
        <f>'LAGOON (ROSE GOLD)'!F25</f>
        <v>3990</v>
      </c>
      <c r="G25" s="221" t="str">
        <f>'LAGOON (ROSE GOLD)'!G25</f>
        <v>#REF!</v>
      </c>
      <c r="H25" s="261" t="str">
        <f t="shared" si="2"/>
        <v/>
      </c>
      <c r="I25" s="266"/>
      <c r="J25" s="8" t="str">
        <f>VLOOKUP(TEXT(A25,"#"),Main!$A$2:$D45,4,0)</f>
        <v>Single Lever H F Conc. Div 46mm Body</v>
      </c>
      <c r="K25" s="3"/>
      <c r="L25" s="3"/>
    </row>
    <row r="26">
      <c r="A26" s="269" t="s">
        <v>226</v>
      </c>
      <c r="B26" s="145"/>
      <c r="C26" s="233" t="s">
        <v>903</v>
      </c>
      <c r="D26" s="233" t="s">
        <v>1382</v>
      </c>
      <c r="E26" s="259" t="str">
        <f>VLOOKUP(TEXT(A26,"#"),Main!$A$2:$C45,3,0)</f>
        <v>Exposed Parts (Wall Flange &amp; Handle)</v>
      </c>
      <c r="F26" s="221">
        <f>'LAGOON (ROSE GOLD)'!F26</f>
        <v>2840</v>
      </c>
      <c r="G26" s="221">
        <f>'LAGOON (ROSE GOLD)'!G26</f>
        <v>3090</v>
      </c>
      <c r="H26" s="261">
        <f t="shared" si="2"/>
        <v>0.08090614887</v>
      </c>
      <c r="I26" s="266"/>
      <c r="J26" s="8" t="str">
        <f>VLOOKUP(TEXT(A26,"#"),Main!$A$2:$D45,4,0)</f>
        <v>S L H F Conc. Div 46mm Upper Part</v>
      </c>
      <c r="K26" s="3"/>
      <c r="L26" s="3"/>
    </row>
    <row r="27">
      <c r="A27" s="269" t="s">
        <v>228</v>
      </c>
      <c r="B27" s="267">
        <v>20.0</v>
      </c>
      <c r="C27" s="218" t="s">
        <v>906</v>
      </c>
      <c r="D27" s="233" t="s">
        <v>1384</v>
      </c>
      <c r="E27" s="259" t="str">
        <f>VLOOKUP(TEXT(A27,"#"),Main!$A$2:$C45,3,0)</f>
        <v>Single Lever High Flow Concealed Diverter Bath &amp; Shower 46mm (ON-OFF)</v>
      </c>
      <c r="F27" s="221">
        <f>'LAGOON (ROSE GOLD)'!F27</f>
        <v>6830</v>
      </c>
      <c r="G27" s="221" t="str">
        <f>'LAGOON (ROSE GOLD)'!G27</f>
        <v>#REF!</v>
      </c>
      <c r="H27" s="261" t="str">
        <f t="shared" si="2"/>
        <v/>
      </c>
      <c r="I27" s="266"/>
      <c r="J27" s="8" t="str">
        <f>VLOOKUP(TEXT(A27,"#"),Main!$A$2:$D45,4,0)</f>
        <v>Single Lever H F Conc. Div 46mm (ON-OFF)</v>
      </c>
      <c r="K27" s="3"/>
      <c r="L27" s="3"/>
    </row>
    <row r="28">
      <c r="A28" s="269" t="s">
        <v>234</v>
      </c>
      <c r="B28" s="120"/>
      <c r="C28" s="233" t="s">
        <v>234</v>
      </c>
      <c r="D28" s="233" t="str">
        <f>C28</f>
        <v>PD-46-H-ON-OFF-N</v>
      </c>
      <c r="E28" s="259" t="str">
        <f>VLOOKUP(TEXT(A28,"#"),Main!$A$2:$C45,3,0)</f>
        <v>High Flow Concealed Diverter Body 46mm (Cartridge, Sleeve, On-Off Assembly)</v>
      </c>
      <c r="F28" s="221">
        <f>'LAGOON (ROSE GOLD)'!F28</f>
        <v>3990</v>
      </c>
      <c r="G28" s="221" t="str">
        <f>'LAGOON (ROSE GOLD)'!G28</f>
        <v>#REF!</v>
      </c>
      <c r="H28" s="261" t="str">
        <f t="shared" si="2"/>
        <v/>
      </c>
      <c r="I28" s="266"/>
      <c r="J28" s="8" t="str">
        <f>VLOOKUP(TEXT(A28,"#"),Main!$A$2:$D45,4,0)</f>
        <v>S L H F Conc. Div 46mm (ON-OFF) Body</v>
      </c>
      <c r="K28" s="3"/>
      <c r="L28" s="3"/>
    </row>
    <row r="29">
      <c r="A29" s="269" t="s">
        <v>237</v>
      </c>
      <c r="B29" s="145"/>
      <c r="C29" s="233" t="s">
        <v>909</v>
      </c>
      <c r="D29" s="233" t="s">
        <v>1386</v>
      </c>
      <c r="E29" s="259" t="str">
        <f>VLOOKUP(TEXT(A29,"#"),Main!$A$2:$C45,3,0)</f>
        <v>Exposed Parts (Wall Flange &amp; Handle)</v>
      </c>
      <c r="F29" s="221">
        <f>'LAGOON (ROSE GOLD)'!F29</f>
        <v>2840</v>
      </c>
      <c r="G29" s="221">
        <f>'LAGOON (ROSE GOLD)'!G29</f>
        <v>3090</v>
      </c>
      <c r="H29" s="261">
        <f t="shared" si="2"/>
        <v>0.08090614887</v>
      </c>
      <c r="I29" s="266"/>
      <c r="J29" s="8" t="str">
        <f>VLOOKUP(TEXT(A29,"#"),Main!$A$2:$D45,4,0)</f>
        <v>S L H F Conc. Div 46mm ON-OFF Upper Part</v>
      </c>
      <c r="K29" s="3"/>
      <c r="L29" s="3"/>
    </row>
    <row r="30">
      <c r="A30" s="227" t="s">
        <v>239</v>
      </c>
      <c r="B30" s="267">
        <v>21.0</v>
      </c>
      <c r="C30" s="233" t="s">
        <v>911</v>
      </c>
      <c r="D30" s="233" t="s">
        <v>1388</v>
      </c>
      <c r="E30" s="259" t="str">
        <f>VLOOKUP(TEXT(A30,"#"),Main!$A$2:$C45,3,0)</f>
        <v>Single Lever 3 In Let Concealed Diverter Bath &amp; Shower 46mm</v>
      </c>
      <c r="F30" s="221">
        <f>'LAGOON (ROSE GOLD)'!F30</f>
        <v>6830</v>
      </c>
      <c r="G30" s="221" t="str">
        <f>'LAGOON (ROSE GOLD)'!G30</f>
        <v>#REF!</v>
      </c>
      <c r="H30" s="261" t="str">
        <f t="shared" si="2"/>
        <v/>
      </c>
      <c r="I30" s="266"/>
      <c r="J30" s="8" t="str">
        <f>VLOOKUP(TEXT(A30,"#"),Main!$A$2:$D45,4,0)</f>
        <v>Single Lever 3IN Let Conc. Div 46mm</v>
      </c>
      <c r="K30" s="3"/>
      <c r="L30" s="3"/>
    </row>
    <row r="31">
      <c r="A31" s="269" t="s">
        <v>243</v>
      </c>
      <c r="B31" s="120"/>
      <c r="C31" s="218" t="s">
        <v>243</v>
      </c>
      <c r="D31" s="233" t="str">
        <f>C31</f>
        <v>PD-3 IN-N</v>
      </c>
      <c r="E31" s="259" t="str">
        <f>VLOOKUP(TEXT(A31,"#"),Main!$A$2:$C45,3,0)</f>
        <v>3 In Let Concealed Diverter Body 46mm (Cartridge, Sleeve, Tipton Assembly)</v>
      </c>
      <c r="F31" s="221">
        <f>'LAGOON (ROSE GOLD)'!F31</f>
        <v>3990</v>
      </c>
      <c r="G31" s="221" t="str">
        <f>'LAGOON (ROSE GOLD)'!G31</f>
        <v>#REF!</v>
      </c>
      <c r="H31" s="261" t="str">
        <f t="shared" si="2"/>
        <v/>
      </c>
      <c r="I31" s="266"/>
      <c r="J31" s="8" t="str">
        <f>VLOOKUP(TEXT(A31,"#"),Main!$A$2:$D45,4,0)</f>
        <v>Single Lever 3IN Let Conc. Div 46mm Body</v>
      </c>
      <c r="K31" s="3"/>
      <c r="L31" s="3"/>
    </row>
    <row r="32">
      <c r="A32" s="269" t="s">
        <v>247</v>
      </c>
      <c r="B32" s="145"/>
      <c r="C32" s="233" t="s">
        <v>916</v>
      </c>
      <c r="D32" s="233" t="s">
        <v>1390</v>
      </c>
      <c r="E32" s="259" t="str">
        <f>VLOOKUP(TEXT(A32,"#"),Main!$A$2:$C45,3,0)</f>
        <v>Exposed Parts (Wall Flange &amp; Handle)</v>
      </c>
      <c r="F32" s="221">
        <f>'LAGOON (ROSE GOLD)'!F32</f>
        <v>2840</v>
      </c>
      <c r="G32" s="221">
        <f>'LAGOON (ROSE GOLD)'!G32</f>
        <v>3090</v>
      </c>
      <c r="H32" s="261">
        <f t="shared" si="2"/>
        <v>0.08090614887</v>
      </c>
      <c r="I32" s="266"/>
      <c r="J32" s="8" t="str">
        <f>VLOOKUP(TEXT(A32,"#"),Main!$A$2:$D45,4,0)</f>
        <v>S L 3IN Let Conc. Div 46mm Upper Part</v>
      </c>
      <c r="K32" s="3"/>
      <c r="L32" s="3"/>
    </row>
    <row r="33">
      <c r="A33" s="269" t="s">
        <v>249</v>
      </c>
      <c r="B33" s="267">
        <v>22.0</v>
      </c>
      <c r="C33" s="218" t="s">
        <v>919</v>
      </c>
      <c r="D33" s="233" t="s">
        <v>1391</v>
      </c>
      <c r="E33" s="259" t="str">
        <f>VLOOKUP(TEXT(A33,"#"),Main!$A$2:$C45,3,0)</f>
        <v>Single Lever 3 In Let Concealed Diverter Bath &amp; Shower 46mm (ON-OFF)</v>
      </c>
      <c r="F33" s="221">
        <f>'LAGOON (ROSE GOLD)'!F33</f>
        <v>6830</v>
      </c>
      <c r="G33" s="221" t="str">
        <f>'LAGOON (ROSE GOLD)'!G33</f>
        <v>#REF!</v>
      </c>
      <c r="H33" s="261" t="str">
        <f t="shared" si="2"/>
        <v/>
      </c>
      <c r="I33" s="266"/>
      <c r="J33" s="8" t="str">
        <f>VLOOKUP(TEXT(A33,"#"),Main!$A$2:$D45,4,0)</f>
        <v>Single Lever 3IN Conc. Div 46mm (ON-OFF)</v>
      </c>
      <c r="K33" s="3"/>
      <c r="L33" s="3"/>
    </row>
    <row r="34">
      <c r="A34" s="269" t="s">
        <v>253</v>
      </c>
      <c r="B34" s="120"/>
      <c r="C34" s="233" t="s">
        <v>253</v>
      </c>
      <c r="D34" s="233" t="str">
        <f>C34</f>
        <v>PD-3 IN-ON-OFF-N</v>
      </c>
      <c r="E34" s="259" t="str">
        <f>VLOOKUP(TEXT(A34,"#"),Main!$A$2:$C45,3,0)</f>
        <v>3 In Let Concealed Diverter Body 46mm (Cartridge, Sleeve, On-Off Assembly)</v>
      </c>
      <c r="F34" s="221">
        <f>'LAGOON (ROSE GOLD)'!F34</f>
        <v>3990</v>
      </c>
      <c r="G34" s="221" t="str">
        <f>'LAGOON (ROSE GOLD)'!G34</f>
        <v>#REF!</v>
      </c>
      <c r="H34" s="261" t="str">
        <f t="shared" si="2"/>
        <v/>
      </c>
      <c r="I34" s="266"/>
      <c r="J34" s="8" t="str">
        <f>VLOOKUP(TEXT(A34,"#"),Main!$A$2:$D45,4,0)</f>
        <v>S L 3IN Conc. Div 46mm (ON-OFF) Body</v>
      </c>
      <c r="K34" s="3"/>
      <c r="L34" s="3"/>
    </row>
    <row r="35">
      <c r="A35" s="269" t="s">
        <v>258</v>
      </c>
      <c r="B35" s="145"/>
      <c r="C35" s="233" t="s">
        <v>922</v>
      </c>
      <c r="D35" s="233" t="s">
        <v>1394</v>
      </c>
      <c r="E35" s="259" t="str">
        <f>VLOOKUP(TEXT(A35,"#"),Main!$A$2:$C45,3,0)</f>
        <v>Exposed Parts (Wall Flange &amp; Handle)</v>
      </c>
      <c r="F35" s="221">
        <f>'LAGOON (ROSE GOLD)'!F35</f>
        <v>2840</v>
      </c>
      <c r="G35" s="221">
        <f>'LAGOON (ROSE GOLD)'!G35</f>
        <v>3090</v>
      </c>
      <c r="H35" s="261">
        <f t="shared" si="2"/>
        <v>0.08090614887</v>
      </c>
      <c r="I35" s="266"/>
      <c r="J35" s="8" t="str">
        <f>VLOOKUP(TEXT(A35,"#"),Main!$A$2:$D45,4,0)</f>
        <v>S L 3IN Conc. Div 46mm ON-OFF Upper Part</v>
      </c>
      <c r="K35" s="274"/>
      <c r="L35" s="3"/>
    </row>
    <row r="36">
      <c r="A36" s="56" t="str">
        <f t="shared" ref="A36:A37" si="4">RIGHT(C36,2)</f>
        <v>95</v>
      </c>
      <c r="B36" s="256">
        <v>23.0</v>
      </c>
      <c r="C36" s="219">
        <v>6195.0</v>
      </c>
      <c r="D36" s="218" t="s">
        <v>1395</v>
      </c>
      <c r="E36" s="259" t="str">
        <f>VLOOKUP(TEXT(A36,"#"),Main!$A$2:$C45,3,0)</f>
        <v>Bath Tub Spout with Flange</v>
      </c>
      <c r="F36" s="221">
        <f>'LAGOON (ROSE GOLD)'!F36</f>
        <v>1820</v>
      </c>
      <c r="G36" s="221">
        <f>'LAGOON (ROSE GOLD)'!G36</f>
        <v>2180</v>
      </c>
      <c r="H36" s="261">
        <f t="shared" si="2"/>
        <v>0.1651376147</v>
      </c>
      <c r="I36" s="225"/>
      <c r="J36" s="8" t="str">
        <f>VLOOKUP(TEXT(A36,"#"),Main!$A$2:$D45,4,0)</f>
        <v>Spout with Flange</v>
      </c>
      <c r="K36" s="3"/>
      <c r="L36" s="3"/>
    </row>
    <row r="37">
      <c r="A37" s="56" t="str">
        <f t="shared" si="4"/>
        <v>96</v>
      </c>
      <c r="B37" s="256">
        <v>24.0</v>
      </c>
      <c r="C37" s="219">
        <v>6196.0</v>
      </c>
      <c r="D37" s="218" t="s">
        <v>1397</v>
      </c>
      <c r="E37" s="259" t="str">
        <f>VLOOKUP(TEXT(A37,"#"),Main!$A$2:$C45,3,0)</f>
        <v>Bath Tub Spout Tip Ton with Flange</v>
      </c>
      <c r="F37" s="221">
        <f>'LAGOON (ROSE GOLD)'!F37</f>
        <v>2740</v>
      </c>
      <c r="G37" s="221">
        <f>'LAGOON (ROSE GOLD)'!G37</f>
        <v>3310</v>
      </c>
      <c r="H37" s="261">
        <f t="shared" si="2"/>
        <v>0.1722054381</v>
      </c>
      <c r="I37" s="225"/>
      <c r="J37" s="8" t="str">
        <f>VLOOKUP(TEXT(A37,"#"),Main!$A$2:$D45,4,0)</f>
        <v>Spout Tip Ton with Flange</v>
      </c>
      <c r="K37" s="3"/>
      <c r="L37" s="3"/>
    </row>
    <row r="38">
      <c r="A38" s="10"/>
      <c r="B38" s="10"/>
      <c r="C38" s="3"/>
      <c r="D38" s="3"/>
      <c r="E38" s="3"/>
      <c r="F38" s="89"/>
      <c r="G38" s="89"/>
      <c r="H38" s="90"/>
      <c r="I38" s="90"/>
      <c r="J38" s="10"/>
      <c r="K38" s="3"/>
      <c r="L38" s="3"/>
    </row>
    <row r="39">
      <c r="A39" s="10"/>
      <c r="B39" s="10"/>
      <c r="C39" s="3"/>
      <c r="D39" s="3"/>
      <c r="E39" s="3"/>
      <c r="F39" s="89"/>
      <c r="G39" s="89"/>
      <c r="H39" s="90"/>
      <c r="I39" s="90"/>
      <c r="J39" s="10"/>
      <c r="K39" s="3"/>
      <c r="L39" s="3"/>
    </row>
    <row r="40">
      <c r="A40" s="10"/>
      <c r="B40" s="10"/>
      <c r="C40" s="3"/>
      <c r="D40" s="3"/>
      <c r="E40" s="3"/>
      <c r="F40" s="89"/>
      <c r="G40" s="89"/>
      <c r="H40" s="90"/>
      <c r="I40" s="90"/>
      <c r="J40" s="10"/>
      <c r="K40" s="3"/>
      <c r="L40" s="3"/>
    </row>
    <row r="41">
      <c r="A41" s="10"/>
      <c r="B41" s="10"/>
      <c r="C41" s="3"/>
      <c r="D41" s="3"/>
      <c r="E41" s="3"/>
      <c r="F41" s="89"/>
      <c r="G41" s="89"/>
      <c r="H41" s="90"/>
      <c r="I41" s="90"/>
      <c r="J41" s="10"/>
      <c r="K41" s="3"/>
      <c r="L41" s="3"/>
    </row>
    <row r="42">
      <c r="A42" s="10"/>
      <c r="B42" s="10"/>
      <c r="C42" s="3"/>
      <c r="D42" s="3"/>
      <c r="E42" s="3"/>
      <c r="F42" s="89"/>
      <c r="G42" s="89"/>
      <c r="H42" s="90"/>
      <c r="I42" s="90"/>
      <c r="J42" s="10"/>
      <c r="K42" s="3"/>
      <c r="L42" s="3"/>
    </row>
    <row r="43">
      <c r="A43" s="10"/>
      <c r="B43" s="10"/>
      <c r="C43" s="3"/>
      <c r="D43" s="3"/>
      <c r="E43" s="3"/>
      <c r="F43" s="89"/>
      <c r="G43" s="89"/>
      <c r="H43" s="90"/>
      <c r="I43" s="90"/>
      <c r="J43" s="10"/>
      <c r="K43" s="3"/>
      <c r="L43" s="3"/>
    </row>
    <row r="44">
      <c r="A44" s="10"/>
      <c r="B44" s="10"/>
      <c r="C44" s="3"/>
      <c r="D44" s="3"/>
      <c r="E44" s="3"/>
      <c r="F44" s="89"/>
      <c r="G44" s="89"/>
      <c r="H44" s="90"/>
      <c r="I44" s="90"/>
      <c r="J44" s="10"/>
      <c r="K44" s="3"/>
      <c r="L44" s="3"/>
    </row>
    <row r="45">
      <c r="A45" s="10"/>
      <c r="B45" s="10"/>
      <c r="C45" s="3"/>
      <c r="D45" s="3"/>
      <c r="E45" s="3"/>
      <c r="F45" s="89"/>
      <c r="G45" s="89"/>
      <c r="H45" s="90"/>
      <c r="I45" s="90"/>
      <c r="J45" s="10"/>
      <c r="K45" s="3"/>
      <c r="L45" s="3"/>
    </row>
  </sheetData>
  <mergeCells count="6">
    <mergeCell ref="B16:B18"/>
    <mergeCell ref="B21:B23"/>
    <mergeCell ref="B24:B26"/>
    <mergeCell ref="B27:B29"/>
    <mergeCell ref="B30:B32"/>
    <mergeCell ref="B33:B3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4.88"/>
    <col customWidth="1" min="2" max="2" width="5.75"/>
    <col customWidth="1" hidden="1" min="3" max="3" width="18.75"/>
    <col customWidth="1" min="4" max="4" width="20.38"/>
    <col customWidth="1" min="5" max="5" width="83.63"/>
    <col customWidth="1" min="6" max="6" width="11.25"/>
    <col customWidth="1" min="7" max="7" width="11.5"/>
    <col customWidth="1" min="8" max="8" width="8.75"/>
    <col customWidth="1" min="9" max="10" width="8.63"/>
  </cols>
  <sheetData>
    <row r="1">
      <c r="A1" s="10"/>
      <c r="B1" s="250" t="s">
        <v>1400</v>
      </c>
      <c r="C1" s="251" t="s">
        <v>1249</v>
      </c>
      <c r="D1" s="251" t="s">
        <v>1249</v>
      </c>
      <c r="E1" s="252" t="s">
        <v>6</v>
      </c>
      <c r="F1" s="19" t="str">
        <f t="array" ref="F1">#REF!</f>
        <v>#REF!</v>
      </c>
      <c r="G1" s="19"/>
      <c r="H1" s="165" t="s">
        <v>20</v>
      </c>
      <c r="I1" s="253">
        <v>2.0</v>
      </c>
      <c r="J1" s="254"/>
      <c r="K1" s="184"/>
    </row>
    <row r="2">
      <c r="A2" s="56" t="str">
        <f t="shared" ref="A2:A16" si="1">RIGHT(C2,2)</f>
        <v>02</v>
      </c>
      <c r="B2" s="256">
        <v>1.0</v>
      </c>
      <c r="C2" s="262">
        <v>6102.0</v>
      </c>
      <c r="D2" s="233" t="s">
        <v>1402</v>
      </c>
      <c r="E2" s="259" t="str">
        <f>VLOOKUP(TEXT(A2,"#"),Main!$A$2:$C45,3,0)</f>
        <v>Pillar Cock</v>
      </c>
      <c r="F2" s="276">
        <v>2780.0</v>
      </c>
      <c r="G2" s="276">
        <v>3230.0</v>
      </c>
      <c r="H2" s="261">
        <f t="shared" ref="H2:H37" si="2">IFERROR(DIVIDE(MINUS(G2,F2),G2),)</f>
        <v>0.1393188854</v>
      </c>
      <c r="I2" s="277" t="str">
        <f>'LAGOON (ROSE GOLD)'!I2</f>
        <v>#REF!</v>
      </c>
      <c r="J2" s="254" t="str">
        <f t="shared" ref="J2:J37" si="3">G2/I2</f>
        <v>#REF!</v>
      </c>
      <c r="K2" s="184" t="str">
        <f t="shared" ref="K2:K37" si="4">I2*2</f>
        <v>#REF!</v>
      </c>
    </row>
    <row r="3">
      <c r="A3" s="56" t="str">
        <f t="shared" si="1"/>
        <v>03</v>
      </c>
      <c r="B3" s="256">
        <v>2.0</v>
      </c>
      <c r="C3" s="262">
        <v>6103.0</v>
      </c>
      <c r="D3" s="233" t="s">
        <v>1404</v>
      </c>
      <c r="E3" s="259" t="str">
        <f>VLOOKUP(TEXT(A3,"#"),Main!$A$2:$C45,3,0)</f>
        <v>Pillar Cock Tall Body</v>
      </c>
      <c r="F3" s="276">
        <v>5960.0</v>
      </c>
      <c r="G3" s="276">
        <v>6990.0</v>
      </c>
      <c r="H3" s="261">
        <f t="shared" si="2"/>
        <v>0.1473533619</v>
      </c>
      <c r="I3" s="277" t="str">
        <f>'LAGOON (ROSE GOLD)'!I3</f>
        <v>#REF!</v>
      </c>
      <c r="J3" s="254" t="str">
        <f t="shared" si="3"/>
        <v>#REF!</v>
      </c>
      <c r="K3" s="184" t="str">
        <f t="shared" si="4"/>
        <v>#REF!</v>
      </c>
    </row>
    <row r="4">
      <c r="A4" s="56" t="str">
        <f t="shared" si="1"/>
        <v>04</v>
      </c>
      <c r="B4" s="256">
        <v>3.0</v>
      </c>
      <c r="C4" s="262">
        <v>6104.0</v>
      </c>
      <c r="D4" s="233" t="s">
        <v>1405</v>
      </c>
      <c r="E4" s="259" t="str">
        <f>VLOOKUP(TEXT(A4,"#"),Main!$A$2:$C45,3,0)</f>
        <v>Pillar Cock Extended Body</v>
      </c>
      <c r="F4" s="276">
        <v>3580.0</v>
      </c>
      <c r="G4" s="276">
        <v>4390.0</v>
      </c>
      <c r="H4" s="261">
        <f t="shared" si="2"/>
        <v>0.1845102506</v>
      </c>
      <c r="I4" s="277" t="str">
        <f>'LAGOON (ROSE GOLD)'!I4</f>
        <v>#REF!</v>
      </c>
      <c r="J4" s="254" t="str">
        <f t="shared" si="3"/>
        <v>#REF!</v>
      </c>
      <c r="K4" s="184" t="str">
        <f t="shared" si="4"/>
        <v>#REF!</v>
      </c>
    </row>
    <row r="5">
      <c r="A5" s="56" t="str">
        <f t="shared" si="1"/>
        <v>06</v>
      </c>
      <c r="B5" s="256">
        <v>4.0</v>
      </c>
      <c r="C5" s="262">
        <v>6106.0</v>
      </c>
      <c r="D5" s="233" t="s">
        <v>1406</v>
      </c>
      <c r="E5" s="259" t="str">
        <f>VLOOKUP(TEXT(A5,"#"),Main!$A$2:$C45,3,0)</f>
        <v>Bib Cock with Wall Flange</v>
      </c>
      <c r="F5" s="276">
        <v>2180.0</v>
      </c>
      <c r="G5" s="276">
        <v>2590.0</v>
      </c>
      <c r="H5" s="261">
        <f t="shared" si="2"/>
        <v>0.1583011583</v>
      </c>
      <c r="I5" s="277" t="str">
        <f>'LAGOON (ROSE GOLD)'!I5</f>
        <v>#REF!</v>
      </c>
      <c r="J5" s="254" t="str">
        <f t="shared" si="3"/>
        <v>#REF!</v>
      </c>
      <c r="K5" s="184" t="str">
        <f t="shared" si="4"/>
        <v>#REF!</v>
      </c>
    </row>
    <row r="6">
      <c r="A6" s="56" t="str">
        <f t="shared" si="1"/>
        <v>08</v>
      </c>
      <c r="B6" s="256">
        <v>5.0</v>
      </c>
      <c r="C6" s="262">
        <v>6108.0</v>
      </c>
      <c r="D6" s="233" t="s">
        <v>1407</v>
      </c>
      <c r="E6" s="259" t="str">
        <f>VLOOKUP(TEXT(A6,"#"),Main!$A$2:$C45,3,0)</f>
        <v>Bib Cock Long Body with Wall Flange</v>
      </c>
      <c r="F6" s="276">
        <v>2580.0</v>
      </c>
      <c r="G6" s="276">
        <v>2990.0</v>
      </c>
      <c r="H6" s="261">
        <f t="shared" si="2"/>
        <v>0.1371237458</v>
      </c>
      <c r="I6" s="277" t="str">
        <f>'LAGOON (ROSE GOLD)'!I6</f>
        <v>#REF!</v>
      </c>
      <c r="J6" s="254" t="str">
        <f t="shared" si="3"/>
        <v>#REF!</v>
      </c>
      <c r="K6" s="184" t="str">
        <f t="shared" si="4"/>
        <v>#REF!</v>
      </c>
    </row>
    <row r="7">
      <c r="A7" s="56" t="str">
        <f t="shared" si="1"/>
        <v>10</v>
      </c>
      <c r="B7" s="256">
        <v>6.0</v>
      </c>
      <c r="C7" s="262">
        <v>6110.0</v>
      </c>
      <c r="D7" s="233" t="s">
        <v>1408</v>
      </c>
      <c r="E7" s="259" t="str">
        <f>VLOOKUP(TEXT(A7,"#"),Main!$A$2:$C45,3,0)</f>
        <v>Angular Stop Cock with Wall Flange</v>
      </c>
      <c r="F7" s="276">
        <v>1580.0</v>
      </c>
      <c r="G7" s="276">
        <v>1890.0</v>
      </c>
      <c r="H7" s="261">
        <f t="shared" si="2"/>
        <v>0.164021164</v>
      </c>
      <c r="I7" s="277" t="str">
        <f>'LAGOON (ROSE GOLD)'!I7</f>
        <v>#REF!</v>
      </c>
      <c r="J7" s="254" t="str">
        <f t="shared" si="3"/>
        <v>#REF!</v>
      </c>
      <c r="K7" s="184" t="str">
        <f t="shared" si="4"/>
        <v>#REF!</v>
      </c>
    </row>
    <row r="8">
      <c r="A8" s="56" t="str">
        <f t="shared" si="1"/>
        <v>11</v>
      </c>
      <c r="B8" s="256">
        <v>7.0</v>
      </c>
      <c r="C8" s="262">
        <v>6111.0</v>
      </c>
      <c r="D8" s="233" t="s">
        <v>1409</v>
      </c>
      <c r="E8" s="259" t="str">
        <f>VLOOKUP(TEXT(A8,"#"),Main!$A$2:$C45,3,0)</f>
        <v>2-Way Angular Stop Cock with Wall Flange</v>
      </c>
      <c r="F8" s="276">
        <v>2780.0</v>
      </c>
      <c r="G8" s="276">
        <v>3190.0</v>
      </c>
      <c r="H8" s="261">
        <f t="shared" si="2"/>
        <v>0.1285266458</v>
      </c>
      <c r="I8" s="277" t="str">
        <f>'LAGOON (ROSE GOLD)'!I8</f>
        <v>#REF!</v>
      </c>
      <c r="J8" s="254" t="str">
        <f t="shared" si="3"/>
        <v>#REF!</v>
      </c>
      <c r="K8" s="184" t="str">
        <f t="shared" si="4"/>
        <v>#REF!</v>
      </c>
    </row>
    <row r="9">
      <c r="A9" s="56" t="str">
        <f t="shared" si="1"/>
        <v>12</v>
      </c>
      <c r="B9" s="256">
        <v>8.0</v>
      </c>
      <c r="C9" s="262">
        <v>6112.0</v>
      </c>
      <c r="D9" s="233" t="s">
        <v>1410</v>
      </c>
      <c r="E9" s="259" t="str">
        <f>VLOOKUP(TEXT(A9,"#"),Main!$A$2:$C45,3,0)</f>
        <v>2-Way Bib Cock Double Handle with Wall Flange</v>
      </c>
      <c r="F9" s="276">
        <v>3780.0</v>
      </c>
      <c r="G9" s="276">
        <v>4390.0</v>
      </c>
      <c r="H9" s="261">
        <f t="shared" si="2"/>
        <v>0.138952164</v>
      </c>
      <c r="I9" s="277" t="str">
        <f>'LAGOON (ROSE GOLD)'!I9</f>
        <v>#REF!</v>
      </c>
      <c r="J9" s="254" t="str">
        <f t="shared" si="3"/>
        <v>#REF!</v>
      </c>
      <c r="K9" s="184" t="str">
        <f t="shared" si="4"/>
        <v>#REF!</v>
      </c>
    </row>
    <row r="10">
      <c r="A10" s="56" t="str">
        <f t="shared" si="1"/>
        <v>13</v>
      </c>
      <c r="B10" s="256">
        <v>9.0</v>
      </c>
      <c r="C10" s="233">
        <v>6113.0</v>
      </c>
      <c r="D10" s="233" t="s">
        <v>1411</v>
      </c>
      <c r="E10" s="259" t="str">
        <f>VLOOKUP(TEXT(A10,"#"),Main!$A$2:$C45,3,0)</f>
        <v>2-Way Bib Cock Single Handle with Wall Flange</v>
      </c>
      <c r="F10" s="276">
        <v>3380.0</v>
      </c>
      <c r="G10" s="276">
        <v>3790.0</v>
      </c>
      <c r="H10" s="261">
        <f t="shared" si="2"/>
        <v>0.1081794195</v>
      </c>
      <c r="I10" s="277" t="str">
        <f>'LAGOON (ROSE GOLD)'!I10</f>
        <v>#REF!</v>
      </c>
      <c r="J10" s="254" t="str">
        <f t="shared" si="3"/>
        <v>#REF!</v>
      </c>
      <c r="K10" s="184" t="str">
        <f t="shared" si="4"/>
        <v>#REF!</v>
      </c>
    </row>
    <row r="11">
      <c r="A11" s="56" t="str">
        <f t="shared" si="1"/>
        <v>14</v>
      </c>
      <c r="B11" s="256">
        <v>10.0</v>
      </c>
      <c r="C11" s="262">
        <v>6114.0</v>
      </c>
      <c r="D11" s="233" t="s">
        <v>1412</v>
      </c>
      <c r="E11" s="259" t="str">
        <f>VLOOKUP(TEXT(A11,"#"),Main!$A$2:$C45,3,0)</f>
        <v>Swan Neck Table Mounted</v>
      </c>
      <c r="F11" s="276">
        <v>3580.0</v>
      </c>
      <c r="G11" s="276">
        <v>4190.0</v>
      </c>
      <c r="H11" s="261">
        <f t="shared" si="2"/>
        <v>0.1455847255</v>
      </c>
      <c r="I11" s="277" t="str">
        <f>'LAGOON (ROSE GOLD)'!I11</f>
        <v>#REF!</v>
      </c>
      <c r="J11" s="254" t="str">
        <f t="shared" si="3"/>
        <v>#REF!</v>
      </c>
      <c r="K11" s="184" t="str">
        <f t="shared" si="4"/>
        <v>#REF!</v>
      </c>
    </row>
    <row r="12">
      <c r="A12" s="56" t="str">
        <f t="shared" si="1"/>
        <v>16</v>
      </c>
      <c r="B12" s="256">
        <v>11.0</v>
      </c>
      <c r="C12" s="262">
        <v>6116.0</v>
      </c>
      <c r="D12" s="233" t="s">
        <v>1413</v>
      </c>
      <c r="E12" s="259" t="str">
        <f>VLOOKUP(TEXT(A12,"#"),Main!$A$2:$C45,3,0)</f>
        <v>Sink Cock Wall Mounted with Flange</v>
      </c>
      <c r="F12" s="276">
        <v>3380.0</v>
      </c>
      <c r="G12" s="276">
        <v>3790.0</v>
      </c>
      <c r="H12" s="261">
        <f t="shared" si="2"/>
        <v>0.1081794195</v>
      </c>
      <c r="I12" s="277" t="str">
        <f>'LAGOON (ROSE GOLD)'!I12</f>
        <v>#REF!</v>
      </c>
      <c r="J12" s="254" t="str">
        <f t="shared" si="3"/>
        <v>#REF!</v>
      </c>
      <c r="K12" s="184" t="str">
        <f t="shared" si="4"/>
        <v>#REF!</v>
      </c>
    </row>
    <row r="13">
      <c r="A13" s="56" t="str">
        <f t="shared" si="1"/>
        <v>18</v>
      </c>
      <c r="B13" s="256">
        <v>12.0</v>
      </c>
      <c r="C13" s="262">
        <v>6118.0</v>
      </c>
      <c r="D13" s="233" t="s">
        <v>1414</v>
      </c>
      <c r="E13" s="259" t="str">
        <f>VLOOKUP(TEXT(A13,"#"),Main!$A$2:$C45,3,0)</f>
        <v>Concealed Stop Cock 15mm with Wall Flange</v>
      </c>
      <c r="F13" s="276">
        <v>2180.0</v>
      </c>
      <c r="G13" s="276">
        <v>2590.0</v>
      </c>
      <c r="H13" s="261">
        <f t="shared" si="2"/>
        <v>0.1583011583</v>
      </c>
      <c r="I13" s="277" t="str">
        <f>'LAGOON (ROSE GOLD)'!I13</f>
        <v>#REF!</v>
      </c>
      <c r="J13" s="254" t="str">
        <f t="shared" si="3"/>
        <v>#REF!</v>
      </c>
      <c r="K13" s="184" t="str">
        <f t="shared" si="4"/>
        <v>#REF!</v>
      </c>
    </row>
    <row r="14">
      <c r="A14" s="56" t="str">
        <f t="shared" si="1"/>
        <v>20</v>
      </c>
      <c r="B14" s="256">
        <v>13.0</v>
      </c>
      <c r="C14" s="262">
        <v>6120.0</v>
      </c>
      <c r="D14" s="233" t="s">
        <v>1415</v>
      </c>
      <c r="E14" s="259" t="str">
        <f>VLOOKUP(TEXT(A14,"#"),Main!$A$2:$C45,3,0)</f>
        <v>Concealed Stop Cock 20mm with Wall Flange</v>
      </c>
      <c r="F14" s="276">
        <v>2240.0</v>
      </c>
      <c r="G14" s="276">
        <v>2690.0</v>
      </c>
      <c r="H14" s="261">
        <f t="shared" si="2"/>
        <v>0.1672862454</v>
      </c>
      <c r="I14" s="277" t="str">
        <f>'LAGOON (ROSE GOLD)'!I14</f>
        <v>#REF!</v>
      </c>
      <c r="J14" s="254" t="str">
        <f t="shared" si="3"/>
        <v>#REF!</v>
      </c>
      <c r="K14" s="184" t="str">
        <f t="shared" si="4"/>
        <v>#REF!</v>
      </c>
    </row>
    <row r="15">
      <c r="A15" s="56" t="str">
        <f t="shared" si="1"/>
        <v>51</v>
      </c>
      <c r="B15" s="256">
        <v>14.0</v>
      </c>
      <c r="C15" s="262">
        <v>6151.0</v>
      </c>
      <c r="D15" s="233" t="s">
        <v>1416</v>
      </c>
      <c r="E15" s="259" t="str">
        <f>VLOOKUP(TEXT(A15,"#"),Main!$A$2:$C45,3,0)</f>
        <v>Single Lever Basin Mixer without Popup Waste System</v>
      </c>
      <c r="F15" s="276">
        <v>6320.0</v>
      </c>
      <c r="G15" s="276">
        <v>7390.0</v>
      </c>
      <c r="H15" s="261">
        <f t="shared" si="2"/>
        <v>0.1447902571</v>
      </c>
      <c r="I15" s="277" t="str">
        <f>'LAGOON (ROSE GOLD)'!I15</f>
        <v>#REF!</v>
      </c>
      <c r="J15" s="254" t="str">
        <f t="shared" si="3"/>
        <v>#REF!</v>
      </c>
      <c r="K15" s="184" t="str">
        <f t="shared" si="4"/>
        <v>#REF!</v>
      </c>
    </row>
    <row r="16">
      <c r="A16" s="56" t="str">
        <f t="shared" si="1"/>
        <v>54</v>
      </c>
      <c r="B16" s="267">
        <v>15.0</v>
      </c>
      <c r="C16" s="262">
        <v>6154.0</v>
      </c>
      <c r="D16" s="233" t="s">
        <v>1417</v>
      </c>
      <c r="E16" s="259" t="str">
        <f>VLOOKUP(TEXT(A16,"#"),Main!$A$2:$C45,3,0)</f>
        <v>Single Lever Basin Mixer Wall Mount (Concealed)</v>
      </c>
      <c r="F16" s="276">
        <v>8340.0</v>
      </c>
      <c r="G16" s="276" t="str">
        <f>G17+G18</f>
        <v>#REF!</v>
      </c>
      <c r="H16" s="261" t="str">
        <f t="shared" si="2"/>
        <v/>
      </c>
      <c r="I16" s="277" t="str">
        <f>'LAGOON (ROSE GOLD)'!I16</f>
        <v>#REF!</v>
      </c>
      <c r="J16" s="254" t="str">
        <f t="shared" si="3"/>
        <v>#REF!</v>
      </c>
      <c r="K16" s="184" t="str">
        <f t="shared" si="4"/>
        <v>#REF!</v>
      </c>
    </row>
    <row r="17">
      <c r="A17" s="269" t="s">
        <v>154</v>
      </c>
      <c r="B17" s="120"/>
      <c r="C17" s="233" t="s">
        <v>154</v>
      </c>
      <c r="D17" s="233" t="s">
        <v>154</v>
      </c>
      <c r="E17" s="259" t="str">
        <f>VLOOKUP(TEXT(A17,"#"),Main!$A$2:$C45,3,0)</f>
        <v>Single Lever Basin Mixer Wall Mount (Body, Cartridge, Sleeve &amp; Nipple)</v>
      </c>
      <c r="F17" s="276">
        <v>3980.0</v>
      </c>
      <c r="G17" s="268" t="str">
        <f>'LAGOON (GOLD)'!G17</f>
        <v>#REF!</v>
      </c>
      <c r="H17" s="261" t="str">
        <f t="shared" si="2"/>
        <v/>
      </c>
      <c r="I17" s="277" t="str">
        <f>'LAGOON (ROSE GOLD)'!I17</f>
        <v>#REF!</v>
      </c>
      <c r="J17" s="254" t="str">
        <f t="shared" si="3"/>
        <v>#REF!</v>
      </c>
      <c r="K17" s="184" t="str">
        <f t="shared" si="4"/>
        <v>#REF!</v>
      </c>
    </row>
    <row r="18">
      <c r="A18" s="269" t="s">
        <v>159</v>
      </c>
      <c r="B18" s="145"/>
      <c r="C18" s="233" t="s">
        <v>883</v>
      </c>
      <c r="D18" s="233" t="s">
        <v>1418</v>
      </c>
      <c r="E18" s="259" t="str">
        <f>VLOOKUP(TEXT(A18,"#"),Main!$A$2:$C45,3,0)</f>
        <v>Exposed Parts (Wall Flange, Handle &amp; Spout)</v>
      </c>
      <c r="F18" s="276">
        <v>4360.0</v>
      </c>
      <c r="G18" s="276">
        <v>4790.0</v>
      </c>
      <c r="H18" s="261">
        <f t="shared" si="2"/>
        <v>0.08977035491</v>
      </c>
      <c r="I18" s="277" t="str">
        <f>'LAGOON (ROSE GOLD)'!I18</f>
        <v>#REF!</v>
      </c>
      <c r="J18" s="254" t="str">
        <f t="shared" si="3"/>
        <v>#REF!</v>
      </c>
      <c r="K18" s="184" t="str">
        <f t="shared" si="4"/>
        <v>#REF!</v>
      </c>
    </row>
    <row r="19">
      <c r="A19" s="56" t="str">
        <f t="shared" ref="A19:A20" si="5">RIGHT(C19,2)</f>
        <v>55</v>
      </c>
      <c r="B19" s="256">
        <v>16.0</v>
      </c>
      <c r="C19" s="262">
        <v>6155.0</v>
      </c>
      <c r="D19" s="233" t="s">
        <v>1419</v>
      </c>
      <c r="E19" s="259" t="str">
        <f>VLOOKUP(TEXT(A19,"#"),Main!$A$2:$C45,3,0)</f>
        <v>Sink Mixer with Regular Spout Wall Mounted with Flange</v>
      </c>
      <c r="F19" s="276">
        <v>6380.0</v>
      </c>
      <c r="G19" s="276">
        <v>7390.0</v>
      </c>
      <c r="H19" s="261">
        <f t="shared" si="2"/>
        <v>0.1366711773</v>
      </c>
      <c r="I19" s="277" t="str">
        <f>'LAGOON (ROSE GOLD)'!I19</f>
        <v>#REF!</v>
      </c>
      <c r="J19" s="254" t="str">
        <f t="shared" si="3"/>
        <v>#REF!</v>
      </c>
      <c r="K19" s="184" t="str">
        <f t="shared" si="4"/>
        <v>#REF!</v>
      </c>
    </row>
    <row r="20">
      <c r="A20" s="56" t="str">
        <f t="shared" si="5"/>
        <v>75</v>
      </c>
      <c r="B20" s="256">
        <v>17.0</v>
      </c>
      <c r="C20" s="262">
        <v>6175.0</v>
      </c>
      <c r="D20" s="233" t="s">
        <v>1420</v>
      </c>
      <c r="E20" s="259" t="str">
        <f>VLOOKUP(TEXT(A20,"#"),Main!$A$2:$C45,3,0)</f>
        <v>Wall Mixer "L" Bend with Wall Flange (Provision For Over Head Shower)</v>
      </c>
      <c r="F20" s="276">
        <v>9960.0</v>
      </c>
      <c r="G20" s="276">
        <v>11390.0</v>
      </c>
      <c r="H20" s="261">
        <f t="shared" si="2"/>
        <v>0.125548727</v>
      </c>
      <c r="I20" s="277" t="str">
        <f>'LAGOON (ROSE GOLD)'!I20</f>
        <v>#REF!</v>
      </c>
      <c r="J20" s="254" t="str">
        <f t="shared" si="3"/>
        <v>#REF!</v>
      </c>
      <c r="K20" s="184" t="str">
        <f t="shared" si="4"/>
        <v>#REF!</v>
      </c>
    </row>
    <row r="21">
      <c r="A21" s="227" t="s">
        <v>209</v>
      </c>
      <c r="B21" s="267">
        <v>18.0</v>
      </c>
      <c r="C21" s="233" t="s">
        <v>894</v>
      </c>
      <c r="D21" s="233" t="s">
        <v>1421</v>
      </c>
      <c r="E21" s="259" t="str">
        <f>VLOOKUP(TEXT(A21,"#"),Main!$A$2:$C45,3,0)</f>
        <v>Single Lever Concealed Diverter Bath &amp; Shower 40mm</v>
      </c>
      <c r="F21" s="276">
        <v>6270.0</v>
      </c>
      <c r="G21" s="276" t="str">
        <f>G22+G23</f>
        <v>#REF!</v>
      </c>
      <c r="H21" s="261" t="str">
        <f t="shared" si="2"/>
        <v/>
      </c>
      <c r="I21" s="277" t="str">
        <f>'LAGOON (ROSE GOLD)'!I21</f>
        <v>#REF!</v>
      </c>
      <c r="J21" s="254" t="str">
        <f t="shared" si="3"/>
        <v>#REF!</v>
      </c>
      <c r="K21" s="184" t="str">
        <f t="shared" si="4"/>
        <v>#REF!</v>
      </c>
    </row>
    <row r="22">
      <c r="A22" s="269" t="s">
        <v>212</v>
      </c>
      <c r="B22" s="120"/>
      <c r="C22" s="233" t="s">
        <v>212</v>
      </c>
      <c r="D22" s="233" t="str">
        <f>C22</f>
        <v>PD-40-N</v>
      </c>
      <c r="E22" s="259" t="str">
        <f>VLOOKUP(TEXT(A22,"#"),Main!$A$2:$C45,3,0)</f>
        <v>Concealed Diverter Body 40mm (Cartridge, Sleeve, Tipton Assembly)</v>
      </c>
      <c r="F22" s="276">
        <v>3140.0</v>
      </c>
      <c r="G22" s="268" t="str">
        <f>'LAGOON (GOLD)'!G22</f>
        <v>#REF!</v>
      </c>
      <c r="H22" s="261" t="str">
        <f t="shared" si="2"/>
        <v/>
      </c>
      <c r="I22" s="277" t="str">
        <f>'LAGOON (ROSE GOLD)'!I22</f>
        <v>#REF!</v>
      </c>
      <c r="J22" s="254" t="str">
        <f t="shared" si="3"/>
        <v>#REF!</v>
      </c>
      <c r="K22" s="184" t="str">
        <f t="shared" si="4"/>
        <v>#REF!</v>
      </c>
    </row>
    <row r="23">
      <c r="A23" s="269" t="s">
        <v>216</v>
      </c>
      <c r="B23" s="145"/>
      <c r="C23" s="233" t="s">
        <v>897</v>
      </c>
      <c r="D23" s="233" t="s">
        <v>1422</v>
      </c>
      <c r="E23" s="259" t="str">
        <f>VLOOKUP(TEXT(A23,"#"),Main!$A$2:$C45,3,0)</f>
        <v>Exposed Parts (Wall Flange &amp; Handle)</v>
      </c>
      <c r="F23" s="276">
        <v>3130.0</v>
      </c>
      <c r="G23" s="276">
        <v>3390.0</v>
      </c>
      <c r="H23" s="261">
        <f t="shared" si="2"/>
        <v>0.07669616519</v>
      </c>
      <c r="I23" s="277" t="str">
        <f>'LAGOON (ROSE GOLD)'!I23</f>
        <v>#REF!</v>
      </c>
      <c r="J23" s="254" t="str">
        <f t="shared" si="3"/>
        <v>#REF!</v>
      </c>
      <c r="K23" s="184" t="str">
        <f t="shared" si="4"/>
        <v>#REF!</v>
      </c>
    </row>
    <row r="24">
      <c r="A24" s="227" t="s">
        <v>219</v>
      </c>
      <c r="B24" s="267">
        <v>19.0</v>
      </c>
      <c r="C24" s="233" t="s">
        <v>900</v>
      </c>
      <c r="D24" s="233" t="s">
        <v>1423</v>
      </c>
      <c r="E24" s="259" t="str">
        <f>VLOOKUP(TEXT(A24,"#"),Main!$A$2:$C45,3,0)</f>
        <v>Single Lever High Flow Concealed Diverter Bath &amp; Shower 46mm</v>
      </c>
      <c r="F24" s="276">
        <v>7120.0</v>
      </c>
      <c r="G24" s="276" t="str">
        <f>G25+G26</f>
        <v>#REF!</v>
      </c>
      <c r="H24" s="261" t="str">
        <f t="shared" si="2"/>
        <v/>
      </c>
      <c r="I24" s="277" t="str">
        <f>'LAGOON (ROSE GOLD)'!I24</f>
        <v>#REF!</v>
      </c>
      <c r="J24" s="254" t="str">
        <f t="shared" si="3"/>
        <v>#REF!</v>
      </c>
      <c r="K24" s="184" t="str">
        <f t="shared" si="4"/>
        <v>#REF!</v>
      </c>
    </row>
    <row r="25">
      <c r="A25" s="269" t="s">
        <v>223</v>
      </c>
      <c r="B25" s="120"/>
      <c r="C25" s="218" t="s">
        <v>223</v>
      </c>
      <c r="D25" s="233" t="str">
        <f>C25</f>
        <v>PD-46-H-N</v>
      </c>
      <c r="E25" s="259" t="str">
        <f>VLOOKUP(TEXT(A25,"#"),Main!$A$2:$C45,3,0)</f>
        <v>High Flow Concealed Diverter Body 46mm (Cartridge, Sleeve, Tipton Assembly)</v>
      </c>
      <c r="F25" s="276">
        <v>3990.0</v>
      </c>
      <c r="G25" s="268" t="str">
        <f>'LAGOON (GOLD)'!G25</f>
        <v>#REF!</v>
      </c>
      <c r="H25" s="261" t="str">
        <f t="shared" si="2"/>
        <v/>
      </c>
      <c r="I25" s="277" t="str">
        <f>'LAGOON (ROSE GOLD)'!I25</f>
        <v>#REF!</v>
      </c>
      <c r="J25" s="254" t="str">
        <f t="shared" si="3"/>
        <v>#REF!</v>
      </c>
      <c r="K25" s="184" t="str">
        <f t="shared" si="4"/>
        <v>#REF!</v>
      </c>
    </row>
    <row r="26">
      <c r="A26" s="269" t="s">
        <v>226</v>
      </c>
      <c r="B26" s="145"/>
      <c r="C26" s="233" t="s">
        <v>903</v>
      </c>
      <c r="D26" s="233" t="s">
        <v>1424</v>
      </c>
      <c r="E26" s="259" t="str">
        <f>VLOOKUP(TEXT(A26,"#"),Main!$A$2:$C45,3,0)</f>
        <v>Exposed Parts (Wall Flange &amp; Handle)</v>
      </c>
      <c r="F26" s="276">
        <v>3130.0</v>
      </c>
      <c r="G26" s="276">
        <v>3390.0</v>
      </c>
      <c r="H26" s="261">
        <f t="shared" si="2"/>
        <v>0.07669616519</v>
      </c>
      <c r="I26" s="277" t="str">
        <f>'LAGOON (ROSE GOLD)'!I26</f>
        <v>#REF!</v>
      </c>
      <c r="J26" s="254" t="str">
        <f t="shared" si="3"/>
        <v>#REF!</v>
      </c>
      <c r="K26" s="184" t="str">
        <f t="shared" si="4"/>
        <v>#REF!</v>
      </c>
    </row>
    <row r="27">
      <c r="A27" s="269" t="s">
        <v>228</v>
      </c>
      <c r="B27" s="267">
        <v>20.0</v>
      </c>
      <c r="C27" s="218" t="s">
        <v>906</v>
      </c>
      <c r="D27" s="233" t="s">
        <v>1425</v>
      </c>
      <c r="E27" s="259" t="str">
        <f>VLOOKUP(TEXT(A27,"#"),Main!$A$2:$C45,3,0)</f>
        <v>Single Lever High Flow Concealed Diverter Bath &amp; Shower 46mm (ON-OFF)</v>
      </c>
      <c r="F27" s="276">
        <v>7120.0</v>
      </c>
      <c r="G27" s="276" t="str">
        <f>G28+G29</f>
        <v>#REF!</v>
      </c>
      <c r="H27" s="261" t="str">
        <f t="shared" si="2"/>
        <v/>
      </c>
      <c r="I27" s="277" t="str">
        <f>'LAGOON (ROSE GOLD)'!I27</f>
        <v>#REF!</v>
      </c>
      <c r="J27" s="254" t="str">
        <f t="shared" si="3"/>
        <v>#REF!</v>
      </c>
      <c r="K27" s="184" t="str">
        <f t="shared" si="4"/>
        <v>#REF!</v>
      </c>
    </row>
    <row r="28">
      <c r="A28" s="269" t="s">
        <v>234</v>
      </c>
      <c r="B28" s="120"/>
      <c r="C28" s="233" t="s">
        <v>234</v>
      </c>
      <c r="D28" s="233" t="str">
        <f>C28</f>
        <v>PD-46-H-ON-OFF-N</v>
      </c>
      <c r="E28" s="259" t="str">
        <f>VLOOKUP(TEXT(A28,"#"),Main!$A$2:$C45,3,0)</f>
        <v>High Flow Concealed Diverter Body 46mm (Cartridge, Sleeve, On-Off Assembly)</v>
      </c>
      <c r="F28" s="276">
        <v>3990.0</v>
      </c>
      <c r="G28" s="268" t="str">
        <f>'LAGOON (GOLD)'!G28</f>
        <v>#REF!</v>
      </c>
      <c r="H28" s="261" t="str">
        <f t="shared" si="2"/>
        <v/>
      </c>
      <c r="I28" s="277" t="str">
        <f>'LAGOON (ROSE GOLD)'!I28</f>
        <v>#REF!</v>
      </c>
      <c r="J28" s="254" t="str">
        <f t="shared" si="3"/>
        <v>#REF!</v>
      </c>
      <c r="K28" s="184" t="str">
        <f t="shared" si="4"/>
        <v>#REF!</v>
      </c>
    </row>
    <row r="29">
      <c r="A29" s="269" t="s">
        <v>237</v>
      </c>
      <c r="B29" s="145"/>
      <c r="C29" s="233" t="s">
        <v>909</v>
      </c>
      <c r="D29" s="233" t="s">
        <v>1426</v>
      </c>
      <c r="E29" s="259" t="str">
        <f>VLOOKUP(TEXT(A29,"#"),Main!$A$2:$C45,3,0)</f>
        <v>Exposed Parts (Wall Flange &amp; Handle)</v>
      </c>
      <c r="F29" s="276">
        <v>3130.0</v>
      </c>
      <c r="G29" s="276">
        <v>3390.0</v>
      </c>
      <c r="H29" s="261">
        <f t="shared" si="2"/>
        <v>0.07669616519</v>
      </c>
      <c r="I29" s="277" t="str">
        <f>'LAGOON (ROSE GOLD)'!I29</f>
        <v>#REF!</v>
      </c>
      <c r="J29" s="254" t="str">
        <f t="shared" si="3"/>
        <v>#REF!</v>
      </c>
      <c r="K29" s="184" t="str">
        <f t="shared" si="4"/>
        <v>#REF!</v>
      </c>
    </row>
    <row r="30">
      <c r="A30" s="227" t="s">
        <v>239</v>
      </c>
      <c r="B30" s="267">
        <v>21.0</v>
      </c>
      <c r="C30" s="233" t="s">
        <v>911</v>
      </c>
      <c r="D30" s="233" t="s">
        <v>1427</v>
      </c>
      <c r="E30" s="259" t="str">
        <f>VLOOKUP(TEXT(A30,"#"),Main!$A$2:$C45,3,0)</f>
        <v>Single Lever 3 In Let Concealed Diverter Bath &amp; Shower 46mm</v>
      </c>
      <c r="F30" s="276">
        <v>7120.0</v>
      </c>
      <c r="G30" s="276" t="str">
        <f>G31+G32</f>
        <v>#REF!</v>
      </c>
      <c r="H30" s="261" t="str">
        <f t="shared" si="2"/>
        <v/>
      </c>
      <c r="I30" s="277" t="str">
        <f>'LAGOON (ROSE GOLD)'!I30</f>
        <v>#REF!</v>
      </c>
      <c r="J30" s="254" t="str">
        <f t="shared" si="3"/>
        <v>#REF!</v>
      </c>
      <c r="K30" s="184" t="str">
        <f t="shared" si="4"/>
        <v>#REF!</v>
      </c>
    </row>
    <row r="31">
      <c r="A31" s="269" t="s">
        <v>243</v>
      </c>
      <c r="B31" s="120"/>
      <c r="C31" s="218" t="s">
        <v>243</v>
      </c>
      <c r="D31" s="233" t="str">
        <f>C31</f>
        <v>PD-3 IN-N</v>
      </c>
      <c r="E31" s="259" t="str">
        <f>VLOOKUP(TEXT(A31,"#"),Main!$A$2:$C45,3,0)</f>
        <v>3 In Let Concealed Diverter Body 46mm (Cartridge, Sleeve, Tipton Assembly)</v>
      </c>
      <c r="F31" s="276">
        <v>3990.0</v>
      </c>
      <c r="G31" s="268" t="str">
        <f>'LAGOON (GOLD)'!G31</f>
        <v>#REF!</v>
      </c>
      <c r="H31" s="261" t="str">
        <f t="shared" si="2"/>
        <v/>
      </c>
      <c r="I31" s="277" t="str">
        <f>'LAGOON (ROSE GOLD)'!I31</f>
        <v>#REF!</v>
      </c>
      <c r="J31" s="254" t="str">
        <f t="shared" si="3"/>
        <v>#REF!</v>
      </c>
      <c r="K31" s="184" t="str">
        <f t="shared" si="4"/>
        <v>#REF!</v>
      </c>
    </row>
    <row r="32">
      <c r="A32" s="269" t="s">
        <v>247</v>
      </c>
      <c r="B32" s="145"/>
      <c r="C32" s="233" t="s">
        <v>916</v>
      </c>
      <c r="D32" s="233" t="s">
        <v>1428</v>
      </c>
      <c r="E32" s="259" t="str">
        <f>VLOOKUP(TEXT(A32,"#"),Main!$A$2:$C45,3,0)</f>
        <v>Exposed Parts (Wall Flange &amp; Handle)</v>
      </c>
      <c r="F32" s="276">
        <v>3130.0</v>
      </c>
      <c r="G32" s="276">
        <v>3390.0</v>
      </c>
      <c r="H32" s="261">
        <f t="shared" si="2"/>
        <v>0.07669616519</v>
      </c>
      <c r="I32" s="277" t="str">
        <f>'LAGOON (ROSE GOLD)'!I32</f>
        <v>#REF!</v>
      </c>
      <c r="J32" s="254" t="str">
        <f t="shared" si="3"/>
        <v>#REF!</v>
      </c>
      <c r="K32" s="184" t="str">
        <f t="shared" si="4"/>
        <v>#REF!</v>
      </c>
    </row>
    <row r="33">
      <c r="A33" s="269" t="s">
        <v>249</v>
      </c>
      <c r="B33" s="267">
        <v>22.0</v>
      </c>
      <c r="C33" s="218" t="s">
        <v>919</v>
      </c>
      <c r="D33" s="233" t="s">
        <v>1429</v>
      </c>
      <c r="E33" s="259" t="str">
        <f>VLOOKUP(TEXT(A33,"#"),Main!$A$2:$C45,3,0)</f>
        <v>Single Lever 3 In Let Concealed Diverter Bath &amp; Shower 46mm (ON-OFF)</v>
      </c>
      <c r="F33" s="276">
        <v>7120.0</v>
      </c>
      <c r="G33" s="276" t="str">
        <f>G34+G35</f>
        <v>#REF!</v>
      </c>
      <c r="H33" s="261" t="str">
        <f t="shared" si="2"/>
        <v/>
      </c>
      <c r="I33" s="277" t="str">
        <f>'LAGOON (ROSE GOLD)'!I33</f>
        <v>#REF!</v>
      </c>
      <c r="J33" s="254" t="str">
        <f t="shared" si="3"/>
        <v>#REF!</v>
      </c>
      <c r="K33" s="184" t="str">
        <f t="shared" si="4"/>
        <v>#REF!</v>
      </c>
    </row>
    <row r="34">
      <c r="A34" s="269" t="s">
        <v>253</v>
      </c>
      <c r="B34" s="120"/>
      <c r="C34" s="233" t="s">
        <v>253</v>
      </c>
      <c r="D34" s="233" t="str">
        <f>C34</f>
        <v>PD-3 IN-ON-OFF-N</v>
      </c>
      <c r="E34" s="259" t="str">
        <f>VLOOKUP(TEXT(A34,"#"),Main!$A$2:$C45,3,0)</f>
        <v>3 In Let Concealed Diverter Body 46mm (Cartridge, Sleeve, On-Off Assembly)</v>
      </c>
      <c r="F34" s="276">
        <v>3990.0</v>
      </c>
      <c r="G34" s="268" t="str">
        <f>'LAGOON (GOLD)'!G34</f>
        <v>#REF!</v>
      </c>
      <c r="H34" s="261" t="str">
        <f t="shared" si="2"/>
        <v/>
      </c>
      <c r="I34" s="277" t="str">
        <f>'LAGOON (ROSE GOLD)'!I34</f>
        <v>#REF!</v>
      </c>
      <c r="J34" s="254" t="str">
        <f t="shared" si="3"/>
        <v>#REF!</v>
      </c>
      <c r="K34" s="184" t="str">
        <f t="shared" si="4"/>
        <v>#REF!</v>
      </c>
    </row>
    <row r="35">
      <c r="A35" s="269" t="s">
        <v>258</v>
      </c>
      <c r="B35" s="145"/>
      <c r="C35" s="233" t="s">
        <v>922</v>
      </c>
      <c r="D35" s="233" t="s">
        <v>1430</v>
      </c>
      <c r="E35" s="259" t="str">
        <f>VLOOKUP(TEXT(A35,"#"),Main!$A$2:$C45,3,0)</f>
        <v>Exposed Parts (Wall Flange &amp; Handle)</v>
      </c>
      <c r="F35" s="276">
        <v>3130.0</v>
      </c>
      <c r="G35" s="276">
        <v>3390.0</v>
      </c>
      <c r="H35" s="261">
        <f t="shared" si="2"/>
        <v>0.07669616519</v>
      </c>
      <c r="I35" s="277" t="str">
        <f>'LAGOON (ROSE GOLD)'!I35</f>
        <v>#REF!</v>
      </c>
      <c r="J35" s="254" t="str">
        <f t="shared" si="3"/>
        <v>#REF!</v>
      </c>
      <c r="K35" s="184" t="str">
        <f t="shared" si="4"/>
        <v>#REF!</v>
      </c>
    </row>
    <row r="36">
      <c r="A36" s="56" t="str">
        <f t="shared" ref="A36:A37" si="6">RIGHT(C36,2)</f>
        <v>95</v>
      </c>
      <c r="B36" s="256">
        <v>23.0</v>
      </c>
      <c r="C36" s="219">
        <v>6195.0</v>
      </c>
      <c r="D36" s="218" t="s">
        <v>1431</v>
      </c>
      <c r="E36" s="259" t="str">
        <f>VLOOKUP(TEXT(A36,"#"),Main!$A$2:$C45,3,0)</f>
        <v>Bath Tub Spout with Flange</v>
      </c>
      <c r="F36" s="276">
        <v>1980.0</v>
      </c>
      <c r="G36" s="276">
        <v>2390.0</v>
      </c>
      <c r="H36" s="261">
        <f t="shared" si="2"/>
        <v>0.1715481172</v>
      </c>
      <c r="I36" s="277" t="str">
        <f>'LAGOON (ROSE GOLD)'!I36</f>
        <v>#REF!</v>
      </c>
      <c r="J36" s="254" t="str">
        <f t="shared" si="3"/>
        <v>#REF!</v>
      </c>
      <c r="K36" s="184" t="str">
        <f t="shared" si="4"/>
        <v>#REF!</v>
      </c>
    </row>
    <row r="37">
      <c r="A37" s="56" t="str">
        <f t="shared" si="6"/>
        <v>96</v>
      </c>
      <c r="B37" s="256">
        <v>24.0</v>
      </c>
      <c r="C37" s="219">
        <v>6196.0</v>
      </c>
      <c r="D37" s="218" t="s">
        <v>1432</v>
      </c>
      <c r="E37" s="259" t="str">
        <f>VLOOKUP(TEXT(A37,"#"),Main!$A$2:$C45,3,0)</f>
        <v>Bath Tub Spout Tip Ton with Flange</v>
      </c>
      <c r="F37" s="276">
        <v>2980.0</v>
      </c>
      <c r="G37" s="276">
        <v>3590.0</v>
      </c>
      <c r="H37" s="261">
        <f t="shared" si="2"/>
        <v>0.1699164345</v>
      </c>
      <c r="I37" s="277" t="str">
        <f>'LAGOON (ROSE GOLD)'!I37</f>
        <v>#REF!</v>
      </c>
      <c r="J37" s="254" t="str">
        <f t="shared" si="3"/>
        <v>#REF!</v>
      </c>
      <c r="K37" s="184" t="str">
        <f t="shared" si="4"/>
        <v>#REF!</v>
      </c>
    </row>
    <row r="38">
      <c r="A38" s="10"/>
      <c r="B38" s="10"/>
      <c r="C38" s="3"/>
      <c r="D38" s="3"/>
      <c r="E38" s="3"/>
      <c r="F38" s="89"/>
      <c r="G38" s="89"/>
      <c r="H38" s="89"/>
      <c r="I38" s="275"/>
      <c r="J38" s="254"/>
      <c r="K38" s="184"/>
    </row>
    <row r="39">
      <c r="A39" s="10"/>
      <c r="B39" s="10"/>
      <c r="C39" s="3"/>
      <c r="D39" s="3"/>
      <c r="E39" s="3"/>
      <c r="F39" s="89"/>
      <c r="G39" s="89"/>
      <c r="H39" s="89"/>
      <c r="I39" s="275"/>
      <c r="J39" s="254"/>
      <c r="K39" s="184"/>
    </row>
    <row r="40">
      <c r="A40" s="10"/>
      <c r="B40" s="10"/>
      <c r="C40" s="3"/>
      <c r="D40" s="3"/>
      <c r="E40" s="3"/>
      <c r="F40" s="89"/>
      <c r="G40" s="89"/>
      <c r="H40" s="89"/>
      <c r="I40" s="275"/>
      <c r="J40" s="254"/>
      <c r="K40" s="184"/>
    </row>
    <row r="41">
      <c r="A41" s="10"/>
      <c r="B41" s="10"/>
      <c r="C41" s="3"/>
      <c r="D41" s="3"/>
      <c r="E41" s="3"/>
      <c r="F41" s="89"/>
      <c r="G41" s="89"/>
      <c r="H41" s="89"/>
      <c r="I41" s="275"/>
      <c r="J41" s="254"/>
      <c r="K41" s="184"/>
    </row>
    <row r="42">
      <c r="A42" s="10"/>
      <c r="B42" s="10"/>
      <c r="C42" s="3"/>
      <c r="D42" s="3"/>
      <c r="E42" s="3"/>
      <c r="F42" s="89"/>
      <c r="G42" s="89"/>
      <c r="H42" s="89"/>
      <c r="I42" s="275"/>
      <c r="J42" s="254"/>
      <c r="K42" s="184"/>
    </row>
    <row r="43">
      <c r="A43" s="10"/>
      <c r="B43" s="10"/>
      <c r="C43" s="3"/>
      <c r="D43" s="3"/>
      <c r="E43" s="3"/>
      <c r="F43" s="89"/>
      <c r="G43" s="89"/>
      <c r="H43" s="89"/>
      <c r="I43" s="275"/>
      <c r="J43" s="254"/>
      <c r="K43" s="184"/>
    </row>
    <row r="44">
      <c r="A44" s="10"/>
      <c r="B44" s="10"/>
      <c r="C44" s="3"/>
      <c r="D44" s="3"/>
      <c r="E44" s="3"/>
      <c r="F44" s="89"/>
      <c r="G44" s="89"/>
      <c r="H44" s="89"/>
      <c r="I44" s="275"/>
      <c r="J44" s="254"/>
      <c r="K44" s="184"/>
    </row>
    <row r="45">
      <c r="A45" s="10"/>
      <c r="B45" s="10"/>
      <c r="C45" s="3"/>
      <c r="D45" s="3"/>
      <c r="E45" s="3"/>
      <c r="F45" s="89"/>
      <c r="G45" s="89"/>
      <c r="H45" s="89"/>
      <c r="I45" s="275"/>
      <c r="J45" s="254"/>
      <c r="K45" s="184"/>
    </row>
  </sheetData>
  <mergeCells count="6">
    <mergeCell ref="B16:B18"/>
    <mergeCell ref="B21:B23"/>
    <mergeCell ref="B24:B26"/>
    <mergeCell ref="B27:B29"/>
    <mergeCell ref="B30:B32"/>
    <mergeCell ref="B33:B3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5.38"/>
    <col customWidth="1" min="2" max="2" width="7.13"/>
    <col customWidth="1" hidden="1" min="3" max="3" width="19.75"/>
    <col customWidth="1" min="4" max="4" width="19.75"/>
    <col customWidth="1" min="5" max="5" width="83.63"/>
    <col customWidth="1" min="6" max="6" width="10.75"/>
    <col customWidth="1" min="7" max="7" width="12.0"/>
    <col customWidth="1" hidden="1" min="8" max="8" width="11.38"/>
  </cols>
  <sheetData>
    <row r="1" ht="76.5" customHeight="1">
      <c r="A1" s="3"/>
      <c r="B1" s="5" t="s">
        <v>1401</v>
      </c>
      <c r="C1" s="141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278" t="str">
        <f t="shared" ref="A2:A5" si="1">RIGHT(D2,2)</f>
        <v>50</v>
      </c>
      <c r="B2" s="256">
        <v>1.0</v>
      </c>
      <c r="C2" s="219" t="s">
        <v>959</v>
      </c>
      <c r="D2" s="219" t="s">
        <v>959</v>
      </c>
      <c r="E2" s="220" t="str">
        <f>VLOOKUP(TEXT(A2,"#"),Main!$A$2:$C50,3,0)</f>
        <v>Center Hole Basin Mixer without Popup</v>
      </c>
      <c r="F2" s="222">
        <f t="array" ref="F2:G2">VLOOKUP(D2,MASTER!$C$2:$F50,{3,4},0)</f>
        <v>3480</v>
      </c>
      <c r="G2" s="222">
        <v>3740.0</v>
      </c>
      <c r="H2" s="279"/>
    </row>
    <row r="3">
      <c r="A3" s="278" t="str">
        <f t="shared" si="1"/>
        <v>51</v>
      </c>
      <c r="B3" s="256">
        <v>2.0</v>
      </c>
      <c r="C3" s="219" t="s">
        <v>962</v>
      </c>
      <c r="D3" s="219" t="s">
        <v>962</v>
      </c>
      <c r="E3" s="220" t="str">
        <f>VLOOKUP(TEXT(A3,"#"),Main!$A$2:$C50,3,0)</f>
        <v>Single Lever Basin Mixer without Popup Waste System</v>
      </c>
      <c r="F3" s="222">
        <f t="array" ref="F3:G3">VLOOKUP(D3,MASTER!$C$2:$F50,{3,4},0)</f>
        <v>3580</v>
      </c>
      <c r="G3" s="222">
        <v>3880.0</v>
      </c>
      <c r="H3" s="279"/>
    </row>
    <row r="4">
      <c r="A4" s="278" t="str">
        <f t="shared" si="1"/>
        <v>52</v>
      </c>
      <c r="B4" s="256">
        <v>3.0</v>
      </c>
      <c r="C4" s="218" t="s">
        <v>965</v>
      </c>
      <c r="D4" s="218" t="s">
        <v>965</v>
      </c>
      <c r="E4" s="220" t="str">
        <f>VLOOKUP(TEXT(A4,"#"),Main!$A$2:$C50,3,0)</f>
        <v>Single Lever Basin Mixer Tall Body without Popup Waste System</v>
      </c>
      <c r="F4" s="222">
        <f t="array" ref="F4:G4">VLOOKUP(D4,MASTER!$C$2:$F50,{3,4},0)</f>
        <v>5680</v>
      </c>
      <c r="G4" s="222">
        <v>6480.0</v>
      </c>
      <c r="H4" s="279"/>
    </row>
    <row r="5">
      <c r="A5" s="278" t="str">
        <f t="shared" si="1"/>
        <v>54</v>
      </c>
      <c r="B5" s="267">
        <v>4.0</v>
      </c>
      <c r="C5" s="219" t="s">
        <v>968</v>
      </c>
      <c r="D5" s="219" t="s">
        <v>968</v>
      </c>
      <c r="E5" s="220" t="str">
        <f>VLOOKUP(TEXT(A5,"#"),Main!$A$2:$C50,3,0)</f>
        <v>Single Lever Basin Mixer Wall Mount (Concealed)</v>
      </c>
      <c r="F5" s="222">
        <f t="array" ref="F5:G5">VLOOKUP(D5,MASTER!$C$2:$F50,{3,4},0)</f>
        <v>5940</v>
      </c>
      <c r="G5" s="222">
        <v>6360.0</v>
      </c>
      <c r="H5" s="279"/>
    </row>
    <row r="6">
      <c r="A6" s="269" t="s">
        <v>154</v>
      </c>
      <c r="B6" s="120"/>
      <c r="C6" s="218" t="s">
        <v>154</v>
      </c>
      <c r="D6" s="218" t="s">
        <v>154</v>
      </c>
      <c r="E6" s="220" t="str">
        <f>VLOOKUP(TEXT(A6,"#"),Main!$A$2:$C50,3,0)</f>
        <v>Single Lever Basin Mixer Wall Mount (Body, Cartridge, Sleeve &amp; Nipple)</v>
      </c>
      <c r="F6" s="222">
        <f t="array" ref="F6:G6">VLOOKUP(D6,MASTER!$C$2:$F50,{3,4},0)</f>
        <v>3680</v>
      </c>
      <c r="G6" s="222">
        <v>3990.0</v>
      </c>
      <c r="H6" s="279"/>
    </row>
    <row r="7">
      <c r="A7" s="269" t="s">
        <v>159</v>
      </c>
      <c r="B7" s="145"/>
      <c r="C7" s="219" t="s">
        <v>971</v>
      </c>
      <c r="D7" s="219" t="s">
        <v>971</v>
      </c>
      <c r="E7" s="220" t="str">
        <f>VLOOKUP(TEXT(A7,"#"),Main!$A$2:$C50,3,0)</f>
        <v>Exposed Parts (Wall Flange, Handle &amp; Spout)</v>
      </c>
      <c r="F7" s="222">
        <f t="array" ref="F7:G7">VLOOKUP(D7,MASTER!$C$2:$F50,{3,4},0)</f>
        <v>2260</v>
      </c>
      <c r="G7" s="222">
        <v>2370.0</v>
      </c>
      <c r="H7" s="279"/>
    </row>
    <row r="8">
      <c r="A8" s="278" t="str">
        <f t="shared" ref="A8:A15" si="2">RIGHT(D8,2)</f>
        <v>70</v>
      </c>
      <c r="B8" s="267">
        <v>5.0</v>
      </c>
      <c r="C8" s="219" t="s">
        <v>981</v>
      </c>
      <c r="D8" s="219" t="s">
        <v>981</v>
      </c>
      <c r="E8" s="220" t="str">
        <f>VLOOKUP(TEXT(A8,"#"),Main!$A$2:$C50,3,0)</f>
        <v>Wall Mixer Telephonic with Crutch &amp; Wall Flange (Provision For Hand Shower)</v>
      </c>
      <c r="F8" s="222">
        <f t="array" ref="F8:G8">VLOOKUP(D8,MASTER!$C$2:$F50,{3,4},0)</f>
        <v>5390</v>
      </c>
      <c r="G8" s="222">
        <v>5940.0</v>
      </c>
      <c r="H8" s="279"/>
    </row>
    <row r="9">
      <c r="A9" s="278" t="str">
        <f t="shared" si="2"/>
        <v>75</v>
      </c>
      <c r="B9" s="256">
        <v>6.0</v>
      </c>
      <c r="C9" s="219" t="s">
        <v>984</v>
      </c>
      <c r="D9" s="219" t="s">
        <v>984</v>
      </c>
      <c r="E9" s="220" t="str">
        <f>VLOOKUP(TEXT(A9,"#"),Main!$A$2:$C50,3,0)</f>
        <v>Wall Mixer "L" Bend with Wall Flange (Provision For Over Head Shower)</v>
      </c>
      <c r="F9" s="222">
        <f t="array" ref="F9:G9">VLOOKUP(D9,MASTER!$C$2:$F50,{3,4},0)</f>
        <v>5390</v>
      </c>
      <c r="G9" s="222">
        <v>5940.0</v>
      </c>
      <c r="H9" s="279"/>
    </row>
    <row r="10">
      <c r="A10" s="278" t="str">
        <f t="shared" si="2"/>
        <v>80</v>
      </c>
      <c r="B10" s="256">
        <v>7.0</v>
      </c>
      <c r="C10" s="219" t="s">
        <v>986</v>
      </c>
      <c r="D10" s="219" t="s">
        <v>986</v>
      </c>
      <c r="E10" s="220" t="str">
        <f>VLOOKUP(TEXT(A10,"#"),Main!$A$2:$C50,3,0)</f>
        <v>Wall Mixer 3 In 1 with Wall Flange (Provision For Over Head Shower &amp; Hand Shower)</v>
      </c>
      <c r="F10" s="222">
        <f t="array" ref="F10:G10">VLOOKUP(D10,MASTER!$C$2:$F50,{3,4},0)</f>
        <v>6240</v>
      </c>
      <c r="G10" s="222">
        <v>6930.0</v>
      </c>
      <c r="H10" s="279"/>
    </row>
    <row r="11">
      <c r="A11" s="278" t="str">
        <f t="shared" si="2"/>
        <v>55</v>
      </c>
      <c r="B11" s="256">
        <v>8.0</v>
      </c>
      <c r="C11" s="219" t="s">
        <v>978</v>
      </c>
      <c r="D11" s="219" t="s">
        <v>978</v>
      </c>
      <c r="E11" s="220" t="str">
        <f>VLOOKUP(TEXT(A11,"#"),Main!$A$2:$C50,3,0)</f>
        <v>Sink Mixer with Regular Spout Wall Mounted with Flange</v>
      </c>
      <c r="F11" s="222">
        <f t="array" ref="F11:G11">VLOOKUP(D11,MASTER!$C$2:$F50,{3,4},0)</f>
        <v>3780</v>
      </c>
      <c r="G11" s="222">
        <v>4160.0</v>
      </c>
      <c r="H11" s="279"/>
    </row>
    <row r="12">
      <c r="A12" s="278" t="str">
        <f t="shared" si="2"/>
        <v>14</v>
      </c>
      <c r="B12" s="256">
        <v>9.0</v>
      </c>
      <c r="C12" s="219" t="s">
        <v>951</v>
      </c>
      <c r="D12" s="219" t="s">
        <v>951</v>
      </c>
      <c r="E12" s="220" t="str">
        <f>VLOOKUP(TEXT(A12,"#"),Main!$A$2:$C50,3,0)</f>
        <v>Swan Neck Table Mounted</v>
      </c>
      <c r="F12" s="222">
        <f t="array" ref="F12:G12">VLOOKUP(D12,MASTER!$C$2:$F50,{3,4},0)</f>
        <v>1890</v>
      </c>
      <c r="G12" s="222">
        <v>2080.0</v>
      </c>
      <c r="H12" s="279"/>
    </row>
    <row r="13">
      <c r="A13" s="278" t="str">
        <f t="shared" si="2"/>
        <v>16</v>
      </c>
      <c r="B13" s="256">
        <v>10.0</v>
      </c>
      <c r="C13" s="219" t="s">
        <v>954</v>
      </c>
      <c r="D13" s="219" t="s">
        <v>954</v>
      </c>
      <c r="E13" s="220" t="str">
        <f>VLOOKUP(TEXT(A13,"#"),Main!$A$2:$C50,3,0)</f>
        <v>Sink Cock Wall Mounted with Flange</v>
      </c>
      <c r="F13" s="222">
        <f t="array" ref="F13:G13">VLOOKUP(D13,MASTER!$C$2:$F50,{3,4},0)</f>
        <v>1780</v>
      </c>
      <c r="G13" s="222">
        <v>1960.0</v>
      </c>
      <c r="H13" s="279"/>
    </row>
    <row r="14">
      <c r="A14" s="278" t="str">
        <f t="shared" si="2"/>
        <v>95</v>
      </c>
      <c r="B14" s="256">
        <v>11.0</v>
      </c>
      <c r="C14" s="219" t="s">
        <v>1006</v>
      </c>
      <c r="D14" s="219" t="s">
        <v>1006</v>
      </c>
      <c r="E14" s="220" t="str">
        <f>VLOOKUP(TEXT(A14,"#"),Main!$A$2:$C50,3,0)</f>
        <v>Bath Tub Spout with Flange</v>
      </c>
      <c r="F14" s="222">
        <f t="array" ref="F14:G14">VLOOKUP(D14,MASTER!$C$2:$F50,{3,4},0)</f>
        <v>1180</v>
      </c>
      <c r="G14" s="222">
        <v>1290.0</v>
      </c>
      <c r="H14" s="279"/>
    </row>
    <row r="15">
      <c r="A15" s="278" t="str">
        <f t="shared" si="2"/>
        <v>96</v>
      </c>
      <c r="B15" s="256">
        <v>12.0</v>
      </c>
      <c r="C15" s="219" t="s">
        <v>1007</v>
      </c>
      <c r="D15" s="219" t="s">
        <v>1007</v>
      </c>
      <c r="E15" s="220" t="str">
        <f>VLOOKUP(TEXT(A15,"#"),Main!$A$2:$C50,3,0)</f>
        <v>Bath Tub Spout Tip Ton with Flange</v>
      </c>
      <c r="F15" s="222">
        <f t="array" ref="F15:G15">VLOOKUP(D15,MASTER!$C$2:$F50,{3,4},0)</f>
        <v>1880</v>
      </c>
      <c r="G15" s="222">
        <v>2080.0</v>
      </c>
      <c r="H15" s="279"/>
    </row>
    <row r="16">
      <c r="A16" s="280" t="s">
        <v>209</v>
      </c>
      <c r="B16" s="267">
        <v>13.0</v>
      </c>
      <c r="C16" s="281" t="s">
        <v>1434</v>
      </c>
      <c r="D16" s="281" t="s">
        <v>988</v>
      </c>
      <c r="E16" s="220" t="str">
        <f>VLOOKUP(TEXT(A16,"#"),Main!$A$2:$C50,3,0)</f>
        <v>Single Lever Concealed Diverter Bath &amp; Shower 40mm</v>
      </c>
      <c r="F16" s="222">
        <f t="array" ref="F16:G16">VLOOKUP(D16,MASTER!$C$2:$F50,{3,4},0)</f>
        <v>6020</v>
      </c>
      <c r="G16" s="222">
        <v>6560.0</v>
      </c>
      <c r="H16" s="279"/>
    </row>
    <row r="17">
      <c r="A17" s="269" t="s">
        <v>212</v>
      </c>
      <c r="B17" s="120"/>
      <c r="C17" s="281" t="s">
        <v>1435</v>
      </c>
      <c r="D17" s="281" t="s">
        <v>212</v>
      </c>
      <c r="E17" s="220" t="str">
        <f>VLOOKUP(TEXT(A17,"#"),Main!$A$2:$C50,3,0)</f>
        <v>Concealed Diverter Body 40mm (Cartridge, Sleeve, Tipton Assembly)</v>
      </c>
      <c r="F17" s="222">
        <f t="array" ref="F17:G17">VLOOKUP(D17,MASTER!$C$2:$F50,{3,4},0)</f>
        <v>4240</v>
      </c>
      <c r="G17" s="222">
        <v>4580.0</v>
      </c>
      <c r="H17" s="279"/>
    </row>
    <row r="18">
      <c r="A18" s="269" t="s">
        <v>216</v>
      </c>
      <c r="B18" s="145"/>
      <c r="C18" s="281" t="s">
        <v>1436</v>
      </c>
      <c r="D18" s="281" t="s">
        <v>990</v>
      </c>
      <c r="E18" s="220" t="str">
        <f>VLOOKUP(TEXT(A18,"#"),Main!$A$2:$C50,3,0)</f>
        <v>Exposed Parts (Wall Flange &amp; Handle)</v>
      </c>
      <c r="F18" s="222">
        <f t="array" ref="F18:G18">VLOOKUP(D18,MASTER!$C$2:$F50,{3,4},0)</f>
        <v>1780</v>
      </c>
      <c r="G18" s="222">
        <v>1980.0</v>
      </c>
      <c r="H18" s="279"/>
    </row>
    <row r="19">
      <c r="A19" s="280" t="s">
        <v>219</v>
      </c>
      <c r="B19" s="267">
        <v>14.0</v>
      </c>
      <c r="C19" s="218" t="s">
        <v>1437</v>
      </c>
      <c r="D19" s="218" t="s">
        <v>992</v>
      </c>
      <c r="E19" s="220" t="str">
        <f>VLOOKUP(TEXT(A19,"#"),Main!$A$2:$C50,3,0)</f>
        <v>Single Lever High Flow Concealed Diverter Bath &amp; Shower 46mm</v>
      </c>
      <c r="F19" s="222">
        <f t="array" ref="F19:G19">VLOOKUP(D19,MASTER!$C$2:$F50,{3,4},0)</f>
        <v>6760</v>
      </c>
      <c r="G19" s="222">
        <v>7470.0</v>
      </c>
      <c r="H19" s="279"/>
    </row>
    <row r="20">
      <c r="A20" s="269" t="s">
        <v>223</v>
      </c>
      <c r="B20" s="120"/>
      <c r="C20" s="218" t="s">
        <v>1438</v>
      </c>
      <c r="D20" s="218" t="s">
        <v>223</v>
      </c>
      <c r="E20" s="220" t="str">
        <f>VLOOKUP(TEXT(A20,"#"),Main!$A$2:$C50,3,0)</f>
        <v>High Flow Concealed Diverter Body 46mm (Cartridge, Sleeve, Tipton Assembly)</v>
      </c>
      <c r="F20" s="222">
        <f t="array" ref="F20:G20">VLOOKUP(D20,MASTER!$C$2:$F50,{3,4},0)</f>
        <v>4980</v>
      </c>
      <c r="G20" s="222">
        <v>5490.0</v>
      </c>
      <c r="H20" s="279"/>
    </row>
    <row r="21">
      <c r="A21" s="269" t="s">
        <v>226</v>
      </c>
      <c r="B21" s="145"/>
      <c r="C21" s="218" t="s">
        <v>1439</v>
      </c>
      <c r="D21" s="218" t="s">
        <v>994</v>
      </c>
      <c r="E21" s="220" t="str">
        <f>VLOOKUP(TEXT(A21,"#"),Main!$A$2:$C50,3,0)</f>
        <v>Exposed Parts (Wall Flange &amp; Handle)</v>
      </c>
      <c r="F21" s="222">
        <f t="array" ref="F21:G21">VLOOKUP(D21,MASTER!$C$2:$F50,{3,4},0)</f>
        <v>1780</v>
      </c>
      <c r="G21" s="222">
        <v>1980.0</v>
      </c>
      <c r="H21" s="279"/>
    </row>
    <row r="22">
      <c r="A22" s="280" t="s">
        <v>239</v>
      </c>
      <c r="B22" s="267">
        <v>15.0</v>
      </c>
      <c r="C22" s="233" t="s">
        <v>1440</v>
      </c>
      <c r="D22" s="233" t="s">
        <v>1000</v>
      </c>
      <c r="E22" s="220" t="str">
        <f>VLOOKUP(TEXT(A22,"#"),Main!$A$2:$C50,3,0)</f>
        <v>Single Lever 3 In Let Concealed Diverter Bath &amp; Shower 46mm</v>
      </c>
      <c r="F22" s="222">
        <f t="array" ref="F22:G22">VLOOKUP(D22,MASTER!$C$2:$F50,{3,4},0)</f>
        <v>6760</v>
      </c>
      <c r="G22" s="222">
        <v>7470.0</v>
      </c>
      <c r="H22" s="279"/>
    </row>
    <row r="23">
      <c r="A23" s="269" t="s">
        <v>243</v>
      </c>
      <c r="B23" s="120"/>
      <c r="C23" s="218" t="s">
        <v>1441</v>
      </c>
      <c r="D23" s="218" t="s">
        <v>243</v>
      </c>
      <c r="E23" s="220" t="str">
        <f>VLOOKUP(TEXT(A23,"#"),Main!$A$2:$C50,3,0)</f>
        <v>3 In Let Concealed Diverter Body 46mm (Cartridge, Sleeve, Tipton Assembly)</v>
      </c>
      <c r="F23" s="222">
        <f t="array" ref="F23:G23">VLOOKUP(D23,MASTER!$C$2:$F50,{3,4},0)</f>
        <v>4980</v>
      </c>
      <c r="G23" s="222">
        <v>5490.0</v>
      </c>
      <c r="H23" s="279"/>
    </row>
    <row r="24">
      <c r="A24" s="269" t="s">
        <v>247</v>
      </c>
      <c r="B24" s="145"/>
      <c r="C24" s="218" t="s">
        <v>1442</v>
      </c>
      <c r="D24" s="218" t="s">
        <v>1001</v>
      </c>
      <c r="E24" s="220" t="str">
        <f>VLOOKUP(TEXT(A24,"#"),Main!$A$2:$C50,3,0)</f>
        <v>Exposed Parts (Wall Flange &amp; Handle)</v>
      </c>
      <c r="F24" s="222">
        <f t="array" ref="F24:G24">VLOOKUP(D24,MASTER!$C$2:$F50,{3,4},0)</f>
        <v>1780</v>
      </c>
      <c r="G24" s="222">
        <v>1980.0</v>
      </c>
      <c r="H24" s="279"/>
    </row>
    <row r="25">
      <c r="A25" s="269" t="s">
        <v>228</v>
      </c>
      <c r="B25" s="267">
        <v>16.0</v>
      </c>
      <c r="C25" s="218" t="s">
        <v>1443</v>
      </c>
      <c r="D25" s="218" t="s">
        <v>996</v>
      </c>
      <c r="E25" s="220" t="str">
        <f>VLOOKUP(TEXT(A25,"#"),Main!$A$2:$C50,3,0)</f>
        <v>Single Lever High Flow Concealed Diverter Bath &amp; Shower 46mm (ON-OFF)</v>
      </c>
      <c r="F25" s="222">
        <f t="array" ref="F25:G25">VLOOKUP(D25,MASTER!$C$2:$F50,{3,4},0)</f>
        <v>6760</v>
      </c>
      <c r="G25" s="222">
        <v>7470.0</v>
      </c>
      <c r="H25" s="279"/>
    </row>
    <row r="26">
      <c r="A26" s="269" t="s">
        <v>234</v>
      </c>
      <c r="B26" s="120"/>
      <c r="C26" s="218" t="s">
        <v>1444</v>
      </c>
      <c r="D26" s="218" t="s">
        <v>234</v>
      </c>
      <c r="E26" s="220" t="str">
        <f>VLOOKUP(TEXT(A26,"#"),Main!$A$2:$C50,3,0)</f>
        <v>High Flow Concealed Diverter Body 46mm (Cartridge, Sleeve, On-Off Assembly)</v>
      </c>
      <c r="F26" s="222">
        <f t="array" ref="F26:G26">VLOOKUP(D26,MASTER!$C$2:$F50,{3,4},0)</f>
        <v>4740</v>
      </c>
      <c r="G26" s="222">
        <v>5250.0</v>
      </c>
      <c r="H26" s="279"/>
    </row>
    <row r="27">
      <c r="A27" s="269" t="s">
        <v>237</v>
      </c>
      <c r="B27" s="145"/>
      <c r="C27" s="218" t="s">
        <v>1445</v>
      </c>
      <c r="D27" s="218" t="s">
        <v>999</v>
      </c>
      <c r="E27" s="220" t="str">
        <f>VLOOKUP(TEXT(A27,"#"),Main!$A$2:$C50,3,0)</f>
        <v>Exposed Parts (Wall Flange &amp; Handle)</v>
      </c>
      <c r="F27" s="222">
        <f t="array" ref="F27:G27">VLOOKUP(D27,MASTER!$C$2:$F50,{3,4},0)</f>
        <v>2020</v>
      </c>
      <c r="G27" s="222">
        <v>2220.0</v>
      </c>
      <c r="H27" s="279"/>
    </row>
    <row r="28">
      <c r="A28" s="269" t="s">
        <v>249</v>
      </c>
      <c r="B28" s="267">
        <v>17.0</v>
      </c>
      <c r="C28" s="218" t="s">
        <v>1446</v>
      </c>
      <c r="D28" s="218" t="s">
        <v>1002</v>
      </c>
      <c r="E28" s="220" t="str">
        <f>VLOOKUP(TEXT(A28,"#"),Main!$A$2:$C50,3,0)</f>
        <v>Single Lever 3 In Let Concealed Diverter Bath &amp; Shower 46mm (ON-OFF)</v>
      </c>
      <c r="F28" s="222">
        <f t="array" ref="F28:G28">VLOOKUP(D28,MASTER!$C$2:$F50,{3,4},0)</f>
        <v>6760</v>
      </c>
      <c r="G28" s="222">
        <v>7470.0</v>
      </c>
      <c r="H28" s="279"/>
    </row>
    <row r="29">
      <c r="A29" s="269" t="s">
        <v>253</v>
      </c>
      <c r="B29" s="120"/>
      <c r="C29" s="233" t="s">
        <v>1447</v>
      </c>
      <c r="D29" s="233" t="s">
        <v>253</v>
      </c>
      <c r="E29" s="220" t="str">
        <f>VLOOKUP(TEXT(A29,"#"),Main!$A$2:$C50,3,0)</f>
        <v>3 In Let Concealed Diverter Body 46mm (Cartridge, Sleeve, On-Off Assembly)</v>
      </c>
      <c r="F29" s="222">
        <f t="array" ref="F29:G29">VLOOKUP(D29,MASTER!$C$2:$F50,{3,4},0)</f>
        <v>4740</v>
      </c>
      <c r="G29" s="222">
        <v>5250.0</v>
      </c>
      <c r="H29" s="279"/>
    </row>
    <row r="30">
      <c r="A30" s="269" t="s">
        <v>258</v>
      </c>
      <c r="B30" s="145"/>
      <c r="C30" s="233" t="s">
        <v>1449</v>
      </c>
      <c r="D30" s="233" t="s">
        <v>1004</v>
      </c>
      <c r="E30" s="220" t="str">
        <f>VLOOKUP(TEXT(A30,"#"),Main!$A$2:$C50,3,0)</f>
        <v>Exposed Parts (Wall Flange &amp; Handle)</v>
      </c>
      <c r="F30" s="222">
        <f t="array" ref="F30:G30">VLOOKUP(D30,MASTER!$C$2:$F50,{3,4},0)</f>
        <v>2020</v>
      </c>
      <c r="G30" s="222">
        <v>2220.0</v>
      </c>
      <c r="H30" s="279"/>
    </row>
    <row r="31">
      <c r="A31" s="278" t="str">
        <f t="shared" ref="A31:A35" si="3">RIGHT(D31,2)</f>
        <v>02</v>
      </c>
      <c r="B31" s="267">
        <v>18.0</v>
      </c>
      <c r="C31" s="262" t="s">
        <v>930</v>
      </c>
      <c r="D31" s="262" t="s">
        <v>930</v>
      </c>
      <c r="E31" s="220" t="str">
        <f>VLOOKUP(TEXT(A31,"#"),Main!$A$2:$C50,3,0)</f>
        <v>Pillar Cock</v>
      </c>
      <c r="F31" s="222">
        <f t="array" ref="F31:G31">VLOOKUP(D31,MASTER!$C$2:$F50,{3,4},0)</f>
        <v>1490</v>
      </c>
      <c r="G31" s="222">
        <v>1640.0</v>
      </c>
      <c r="H31" s="279"/>
    </row>
    <row r="32">
      <c r="A32" s="278" t="str">
        <f t="shared" si="3"/>
        <v>03</v>
      </c>
      <c r="B32" s="267">
        <v>19.0</v>
      </c>
      <c r="C32" s="233" t="s">
        <v>932</v>
      </c>
      <c r="D32" s="233" t="s">
        <v>932</v>
      </c>
      <c r="E32" s="220" t="str">
        <f>VLOOKUP(TEXT(A32,"#"),Main!$A$2:$C50,3,0)</f>
        <v>Pillar Cock Tall Body</v>
      </c>
      <c r="F32" s="222">
        <f t="array" ref="F32:G32">VLOOKUP(D32,MASTER!$C$2:$F50,{3,4},0)</f>
        <v>3690</v>
      </c>
      <c r="G32" s="222">
        <v>4110.0</v>
      </c>
      <c r="H32" s="279"/>
    </row>
    <row r="33">
      <c r="A33" s="278" t="str">
        <f t="shared" si="3"/>
        <v>05</v>
      </c>
      <c r="B33" s="267">
        <v>20.0</v>
      </c>
      <c r="C33" s="233" t="s">
        <v>934</v>
      </c>
      <c r="D33" s="233" t="s">
        <v>934</v>
      </c>
      <c r="E33" s="220" t="str">
        <f>VLOOKUP(TEXT(A33,"#"),Main!$A$2:$C50,3,0)</f>
        <v>Bib Cock Nozzle with Wall Flange</v>
      </c>
      <c r="F33" s="222">
        <f t="array" ref="F33:G33">VLOOKUP(D33,MASTER!$C$2:$F50,{3,4},0)</f>
        <v>1290</v>
      </c>
      <c r="G33" s="222">
        <v>1430.0</v>
      </c>
      <c r="H33" s="279"/>
    </row>
    <row r="34">
      <c r="A34" s="278" t="str">
        <f t="shared" si="3"/>
        <v>06</v>
      </c>
      <c r="B34" s="267">
        <v>21.0</v>
      </c>
      <c r="C34" s="262" t="s">
        <v>935</v>
      </c>
      <c r="D34" s="262" t="s">
        <v>935</v>
      </c>
      <c r="E34" s="220" t="str">
        <f>VLOOKUP(TEXT(A34,"#"),Main!$A$2:$C50,3,0)</f>
        <v>Bib Cock with Wall Flange</v>
      </c>
      <c r="F34" s="222">
        <f t="array" ref="F34:G34">VLOOKUP(D34,MASTER!$C$2:$F50,{3,4},0)</f>
        <v>1290</v>
      </c>
      <c r="G34" s="222">
        <v>1410.0</v>
      </c>
      <c r="H34" s="279"/>
    </row>
    <row r="35">
      <c r="A35" s="278" t="str">
        <f t="shared" si="3"/>
        <v>07</v>
      </c>
      <c r="B35" s="267">
        <v>22.0</v>
      </c>
      <c r="C35" s="262"/>
      <c r="D35" s="233" t="s">
        <v>937</v>
      </c>
      <c r="E35" s="220" t="str">
        <f>VLOOKUP(TEXT(A35,"#"),Main!$A$2:$C50,3,0)</f>
        <v>Concealed Wall Mount Pillar Cock</v>
      </c>
      <c r="F35" s="222">
        <f t="array" ref="F35:G35">VLOOKUP(D35,MASTER!$C$2:$F50,{3,4},0)</f>
        <v>2730</v>
      </c>
      <c r="G35" s="222">
        <v>2880.0</v>
      </c>
      <c r="H35" s="279"/>
    </row>
    <row r="36">
      <c r="A36" s="289" t="s">
        <v>73</v>
      </c>
      <c r="B36" s="120"/>
      <c r="C36" s="262"/>
      <c r="D36" s="233" t="s">
        <v>73</v>
      </c>
      <c r="E36" s="220" t="str">
        <f>VLOOKUP(TEXT(A36,"#"),Main!$A$2:$C50,3,0)</f>
        <v>Concealed Pillar Cock Body 15mm</v>
      </c>
      <c r="F36" s="222">
        <f t="array" ref="F36:G36">VLOOKUP(D36,MASTER!$C$2:$F50,{3,4},0)</f>
        <v>1390</v>
      </c>
      <c r="G36" s="222">
        <v>1490.0</v>
      </c>
      <c r="H36" s="279"/>
    </row>
    <row r="37">
      <c r="A37" s="289" t="s">
        <v>77</v>
      </c>
      <c r="B37" s="145"/>
      <c r="C37" s="219"/>
      <c r="D37" s="218" t="s">
        <v>939</v>
      </c>
      <c r="E37" s="220" t="str">
        <f>VLOOKUP(TEXT(A37,"#"),Main!$A$2:$C50,3,0)</f>
        <v>Exposed Parts (Wall Flange, Handle &amp; Spout)</v>
      </c>
      <c r="F37" s="222">
        <f t="array" ref="F37:G37">VLOOKUP(D37,MASTER!$C$2:$F50,{3,4},0)</f>
        <v>1340</v>
      </c>
      <c r="G37" s="222">
        <v>1390.0</v>
      </c>
      <c r="H37" s="279"/>
    </row>
    <row r="38">
      <c r="A38" s="278" t="str">
        <f t="shared" ref="A38:A45" si="4">RIGHT(D38,2)</f>
        <v>08</v>
      </c>
      <c r="B38" s="267">
        <v>23.0</v>
      </c>
      <c r="C38" s="219" t="s">
        <v>941</v>
      </c>
      <c r="D38" s="219" t="s">
        <v>941</v>
      </c>
      <c r="E38" s="220" t="str">
        <f>VLOOKUP(TEXT(A38,"#"),Main!$A$2:$C50,3,0)</f>
        <v>Bib Cock Long Body with Wall Flange</v>
      </c>
      <c r="F38" s="222">
        <f t="array" ref="F38:G38">VLOOKUP(D38,MASTER!$C$2:$F50,{3,4},0)</f>
        <v>1440</v>
      </c>
      <c r="G38" s="222">
        <v>1510.0</v>
      </c>
      <c r="H38" s="279"/>
    </row>
    <row r="39">
      <c r="A39" s="278" t="str">
        <f t="shared" si="4"/>
        <v>09</v>
      </c>
      <c r="B39" s="267">
        <v>24.0</v>
      </c>
      <c r="C39" s="262" t="s">
        <v>943</v>
      </c>
      <c r="D39" s="262" t="s">
        <v>943</v>
      </c>
      <c r="E39" s="220" t="str">
        <f>VLOOKUP(TEXT(A39,"#"),Main!$A$2:$C50,3,0)</f>
        <v>Bib Cock Long Nose with Wall Flange</v>
      </c>
      <c r="F39" s="222">
        <f t="array" ref="F39:G39">VLOOKUP(D39,MASTER!$C$2:$F50,{3,4},0)</f>
        <v>1590</v>
      </c>
      <c r="G39" s="222">
        <v>1750.0</v>
      </c>
      <c r="H39" s="279"/>
    </row>
    <row r="40">
      <c r="A40" s="278" t="str">
        <f t="shared" si="4"/>
        <v>10</v>
      </c>
      <c r="B40" s="267">
        <v>25.0</v>
      </c>
      <c r="C40" s="262" t="s">
        <v>944</v>
      </c>
      <c r="D40" s="262" t="s">
        <v>944</v>
      </c>
      <c r="E40" s="220" t="str">
        <f>VLOOKUP(TEXT(A40,"#"),Main!$A$2:$C50,3,0)</f>
        <v>Angular Stop Cock with Wall Flange</v>
      </c>
      <c r="F40" s="222">
        <f t="array" ref="F40:G40">VLOOKUP(D40,MASTER!$C$2:$F50,{3,4},0)</f>
        <v>990</v>
      </c>
      <c r="G40" s="222">
        <v>1090.0</v>
      </c>
      <c r="H40" s="279"/>
    </row>
    <row r="41">
      <c r="A41" s="278" t="str">
        <f t="shared" si="4"/>
        <v>11</v>
      </c>
      <c r="B41" s="267">
        <v>26.0</v>
      </c>
      <c r="C41" s="262" t="s">
        <v>947</v>
      </c>
      <c r="D41" s="262" t="s">
        <v>947</v>
      </c>
      <c r="E41" s="220" t="str">
        <f>VLOOKUP(TEXT(A41,"#"),Main!$A$2:$C50,3,0)</f>
        <v>2-Way Angular Stop Cock with Wall Flange</v>
      </c>
      <c r="F41" s="222">
        <f t="array" ref="F41:G41">VLOOKUP(D41,MASTER!$C$2:$F50,{3,4},0)</f>
        <v>1640</v>
      </c>
      <c r="G41" s="222">
        <v>1790.0</v>
      </c>
      <c r="H41" s="279"/>
    </row>
    <row r="42">
      <c r="A42" s="291" t="str">
        <f t="shared" si="4"/>
        <v>12</v>
      </c>
      <c r="B42" s="267">
        <v>27.0</v>
      </c>
      <c r="C42" s="262" t="s">
        <v>950</v>
      </c>
      <c r="D42" s="262" t="s">
        <v>950</v>
      </c>
      <c r="E42" s="220" t="str">
        <f>VLOOKUP(TEXT(A42,"#"),Main!$A$2:$C50,3,0)</f>
        <v>2-Way Bib Cock Double Handle with Wall Flange</v>
      </c>
      <c r="F42" s="222">
        <f t="array" ref="F42:G42">VLOOKUP(D42,MASTER!$C$2:$F50,{3,4},0)</f>
        <v>1990</v>
      </c>
      <c r="G42" s="222">
        <v>2180.0</v>
      </c>
      <c r="H42" s="279"/>
    </row>
    <row r="43">
      <c r="A43" s="278" t="str">
        <f t="shared" si="4"/>
        <v>18</v>
      </c>
      <c r="B43" s="256">
        <v>28.0</v>
      </c>
      <c r="C43" s="219" t="s">
        <v>955</v>
      </c>
      <c r="D43" s="219" t="s">
        <v>955</v>
      </c>
      <c r="E43" s="220" t="str">
        <f>VLOOKUP(TEXT(A43,"#"),Main!$A$2:$C50,3,0)</f>
        <v>Concealed Stop Cock 15mm with Wall Flange</v>
      </c>
      <c r="F43" s="222">
        <f t="array" ref="F43:G43">VLOOKUP(D43,MASTER!$C$2:$F50,{3,4},0)</f>
        <v>1180</v>
      </c>
      <c r="G43" s="222">
        <v>1390.0</v>
      </c>
      <c r="H43" s="279"/>
    </row>
    <row r="44">
      <c r="A44" s="278" t="str">
        <f t="shared" si="4"/>
        <v>20</v>
      </c>
      <c r="B44" s="256">
        <v>29.0</v>
      </c>
      <c r="C44" s="219" t="s">
        <v>958</v>
      </c>
      <c r="D44" s="219" t="s">
        <v>958</v>
      </c>
      <c r="E44" s="220" t="str">
        <f>VLOOKUP(TEXT(A44,"#"),Main!$A$2:$C50,3,0)</f>
        <v>Concealed Stop Cock 20mm with Wall Flange</v>
      </c>
      <c r="F44" s="222">
        <f t="array" ref="F44:G44">VLOOKUP(D44,MASTER!$C$2:$F50,{3,4},0)</f>
        <v>1220</v>
      </c>
      <c r="G44" s="222">
        <v>1430.0</v>
      </c>
      <c r="H44" s="279"/>
    </row>
    <row r="45">
      <c r="A45" s="278" t="str">
        <f t="shared" si="4"/>
        <v>98</v>
      </c>
      <c r="B45" s="256">
        <v>30.0</v>
      </c>
      <c r="C45" s="219" t="s">
        <v>1008</v>
      </c>
      <c r="D45" s="219" t="s">
        <v>1008</v>
      </c>
      <c r="E45" s="220" t="str">
        <f>VLOOKUP(TEXT(A45,"#"),Main!$A$2:$C50,3,0)</f>
        <v>Flush Cock 25mm Half Turn with Adjustable Flange</v>
      </c>
      <c r="F45" s="222">
        <f t="array" ref="F45:G45">VLOOKUP(D45,MASTER!$C$2:$F50,{3,4},0)</f>
        <v>2240</v>
      </c>
      <c r="G45" s="222">
        <v>2490.0</v>
      </c>
      <c r="H45" s="279"/>
    </row>
    <row r="46">
      <c r="A46" s="3"/>
      <c r="B46" s="10"/>
      <c r="C46" s="3"/>
      <c r="D46" s="89"/>
      <c r="E46" s="3"/>
      <c r="F46" s="295"/>
      <c r="G46" s="295"/>
      <c r="H46" s="3"/>
    </row>
    <row r="47">
      <c r="A47" s="3"/>
      <c r="B47" s="10"/>
      <c r="C47" s="3"/>
      <c r="D47" s="89"/>
      <c r="E47" s="3"/>
      <c r="F47" s="295"/>
      <c r="G47" s="295"/>
      <c r="H47" s="3"/>
    </row>
    <row r="48">
      <c r="A48" s="3"/>
      <c r="B48" s="10"/>
      <c r="C48" s="3"/>
      <c r="D48" s="89"/>
      <c r="E48" s="3"/>
      <c r="F48" s="295"/>
      <c r="G48" s="295"/>
      <c r="H48" s="3"/>
    </row>
    <row r="49">
      <c r="A49" s="3"/>
      <c r="B49" s="10"/>
      <c r="C49" s="3"/>
      <c r="D49" s="89"/>
      <c r="E49" s="3"/>
      <c r="F49" s="295"/>
      <c r="G49" s="295"/>
      <c r="H49" s="3"/>
    </row>
    <row r="50">
      <c r="A50" s="3"/>
      <c r="B50" s="10"/>
      <c r="C50" s="3"/>
      <c r="D50" s="89"/>
      <c r="E50" s="3"/>
      <c r="F50" s="295"/>
      <c r="G50" s="295"/>
      <c r="H50" s="3"/>
    </row>
  </sheetData>
  <mergeCells count="7">
    <mergeCell ref="B5:B7"/>
    <mergeCell ref="B16:B18"/>
    <mergeCell ref="B19:B21"/>
    <mergeCell ref="B22:B24"/>
    <mergeCell ref="B25:B27"/>
    <mergeCell ref="B28:B30"/>
    <mergeCell ref="B35:B37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5.38"/>
    <col customWidth="1" min="2" max="2" width="7.13"/>
    <col customWidth="1" hidden="1" min="3" max="3" width="18.5"/>
    <col customWidth="1" min="4" max="4" width="18.75"/>
    <col customWidth="1" min="5" max="5" width="83.63"/>
    <col customWidth="1" min="6" max="6" width="11.75"/>
    <col customWidth="1" min="7" max="7" width="11.63"/>
    <col customWidth="1" hidden="1" min="8" max="8" width="9.88"/>
  </cols>
  <sheetData>
    <row r="1" ht="83.25" customHeight="1">
      <c r="A1" s="217"/>
      <c r="B1" s="5" t="s">
        <v>1433</v>
      </c>
      <c r="C1" s="141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278" t="str">
        <f t="shared" ref="A2:A3" si="1">RIGHT(D2,2)</f>
        <v>50</v>
      </c>
      <c r="B2" s="24">
        <v>1.0</v>
      </c>
      <c r="C2" s="219">
        <v>6650.0</v>
      </c>
      <c r="D2" s="219">
        <v>6650.0</v>
      </c>
      <c r="E2" s="282" t="str">
        <f>VLOOKUP(TEXT(A2,"#"),Main!$A$2:$C55,3,0)</f>
        <v>Center Hole Basin Mixer without Popup</v>
      </c>
      <c r="F2" s="222">
        <f t="array" ref="F2:G2">VLOOKUP(D2,MASTER!$C$2:$F55,{3,4},0)</f>
        <v>3580</v>
      </c>
      <c r="G2" s="222">
        <v>3840.0</v>
      </c>
      <c r="H2" s="279"/>
    </row>
    <row r="3">
      <c r="A3" s="278" t="str">
        <f t="shared" si="1"/>
        <v>51</v>
      </c>
      <c r="B3" s="24">
        <v>2.0</v>
      </c>
      <c r="C3" s="257">
        <v>6651.0</v>
      </c>
      <c r="D3" s="283">
        <v>6651.0</v>
      </c>
      <c r="E3" s="282" t="str">
        <f>VLOOKUP(TEXT(A3,"#"),Main!$A$2:$C55,3,0)</f>
        <v>Single Lever Basin Mixer without Popup Waste System</v>
      </c>
      <c r="F3" s="222">
        <f t="array" ref="F3:G3">VLOOKUP(D3,MASTER!$C$2:$F55,{3,4},0)</f>
        <v>3980</v>
      </c>
      <c r="G3" s="222">
        <v>4240.0</v>
      </c>
      <c r="H3" s="279"/>
    </row>
    <row r="4">
      <c r="A4" s="280" t="s">
        <v>144</v>
      </c>
      <c r="B4" s="24">
        <v>3.0</v>
      </c>
      <c r="C4" s="233">
        <v>6652.0</v>
      </c>
      <c r="D4" s="233">
        <v>6652.0</v>
      </c>
      <c r="E4" s="282" t="str">
        <f>VLOOKUP(TEXT(A4,"#"),Main!$A$2:$C55,3,0)</f>
        <v>Single Lever Basin Mixer Tall Body without Popup Waste System</v>
      </c>
      <c r="F4" s="222">
        <f t="array" ref="F4:G4">VLOOKUP(D4,MASTER!$C$2:$F55,{3,4},0)</f>
        <v>6150</v>
      </c>
      <c r="G4" s="222">
        <v>6740.0</v>
      </c>
      <c r="H4" s="279"/>
    </row>
    <row r="5">
      <c r="A5" s="278" t="str">
        <f>RIGHT(D5,2)</f>
        <v>54</v>
      </c>
      <c r="B5" s="284">
        <v>4.0</v>
      </c>
      <c r="C5" s="257">
        <v>6654.0</v>
      </c>
      <c r="D5" s="262">
        <v>6654.0</v>
      </c>
      <c r="E5" s="282" t="str">
        <f>VLOOKUP(TEXT(A5,"#"),Main!$A$2:$C55,3,0)</f>
        <v>Single Lever Basin Mixer Wall Mount (Concealed)</v>
      </c>
      <c r="F5" s="222">
        <f t="array" ref="F5:G5">VLOOKUP(D5,MASTER!$C$2:$F55,{3,4},0)</f>
        <v>6140</v>
      </c>
      <c r="G5" s="222">
        <v>6450.0</v>
      </c>
      <c r="H5" s="279"/>
    </row>
    <row r="6">
      <c r="A6" s="269" t="s">
        <v>154</v>
      </c>
      <c r="B6" s="120"/>
      <c r="C6" s="233" t="s">
        <v>154</v>
      </c>
      <c r="D6" s="262" t="s">
        <v>154</v>
      </c>
      <c r="E6" s="282" t="str">
        <f>VLOOKUP(TEXT(A6,"#"),Main!$A$2:$C55,3,0)</f>
        <v>Single Lever Basin Mixer Wall Mount (Body, Cartridge, Sleeve &amp; Nipple)</v>
      </c>
      <c r="F6" s="222">
        <f t="array" ref="F6:G6">VLOOKUP(D6,MASTER!$C$2:$F55,{3,4},0)</f>
        <v>3680</v>
      </c>
      <c r="G6" s="222">
        <v>3990.0</v>
      </c>
      <c r="H6" s="279"/>
    </row>
    <row r="7">
      <c r="A7" s="269" t="s">
        <v>159</v>
      </c>
      <c r="B7" s="145"/>
      <c r="C7" s="233" t="s">
        <v>1022</v>
      </c>
      <c r="D7" s="262" t="s">
        <v>1022</v>
      </c>
      <c r="E7" s="282" t="str">
        <f>VLOOKUP(TEXT(A7,"#"),Main!$A$2:$C55,3,0)</f>
        <v>Exposed Parts (Wall Flange, Handle &amp; Spout)</v>
      </c>
      <c r="F7" s="222">
        <f t="array" ref="F7:G7">VLOOKUP(D7,MASTER!$C$2:$F55,{3,4},0)</f>
        <v>2460</v>
      </c>
      <c r="G7" s="222">
        <v>2460.0</v>
      </c>
      <c r="H7" s="279"/>
    </row>
    <row r="8">
      <c r="A8" s="278" t="str">
        <f t="shared" ref="A8:A16" si="2">RIGHT(D8,2)</f>
        <v>70</v>
      </c>
      <c r="B8" s="224">
        <v>5.0</v>
      </c>
      <c r="C8" s="262">
        <v>6670.0</v>
      </c>
      <c r="D8" s="262">
        <v>6670.0</v>
      </c>
      <c r="E8" s="282" t="str">
        <f>VLOOKUP(TEXT(A8,"#"),Main!$A$2:$C55,3,0)</f>
        <v>Wall Mixer Telephonic with Crutch &amp; Wall Flange (Provision For Hand Shower)</v>
      </c>
      <c r="F8" s="222">
        <f t="array" ref="F8:G8">VLOOKUP(D8,MASTER!$C$2:$F55,{3,4},0)</f>
        <v>5980</v>
      </c>
      <c r="G8" s="222">
        <v>6480.0</v>
      </c>
      <c r="H8" s="279"/>
    </row>
    <row r="9">
      <c r="A9" s="278" t="str">
        <f t="shared" si="2"/>
        <v>75</v>
      </c>
      <c r="B9" s="284">
        <v>6.0</v>
      </c>
      <c r="C9" s="262">
        <v>6675.0</v>
      </c>
      <c r="D9" s="262">
        <v>6675.0</v>
      </c>
      <c r="E9" s="282" t="str">
        <f>VLOOKUP(TEXT(A9,"#"),Main!$A$2:$C55,3,0)</f>
        <v>Wall Mixer "L" Bend with Wall Flange (Provision For Over Head Shower)</v>
      </c>
      <c r="F9" s="222">
        <f t="array" ref="F9:G9">VLOOKUP(D9,MASTER!$C$2:$F55,{3,4},0)</f>
        <v>5980</v>
      </c>
      <c r="G9" s="222">
        <v>6480.0</v>
      </c>
      <c r="H9" s="279"/>
    </row>
    <row r="10">
      <c r="A10" s="278" t="str">
        <f t="shared" si="2"/>
        <v>80</v>
      </c>
      <c r="B10" s="24">
        <v>7.0</v>
      </c>
      <c r="C10" s="262">
        <v>6680.0</v>
      </c>
      <c r="D10" s="262">
        <v>6680.0</v>
      </c>
      <c r="E10" s="282" t="str">
        <f>VLOOKUP(TEXT(A10,"#"),Main!$A$2:$C55,3,0)</f>
        <v>Wall Mixer 3 In 1 with Wall Flange (Provision For Over Head Shower &amp; Hand Shower)</v>
      </c>
      <c r="F10" s="222">
        <f t="array" ref="F10:G10">VLOOKUP(D10,MASTER!$C$2:$F55,{3,4},0)</f>
        <v>6780</v>
      </c>
      <c r="G10" s="222">
        <v>7480.0</v>
      </c>
      <c r="H10" s="279"/>
    </row>
    <row r="11">
      <c r="A11" s="278" t="str">
        <f t="shared" si="2"/>
        <v>65</v>
      </c>
      <c r="B11" s="284">
        <v>8.0</v>
      </c>
      <c r="C11" s="233">
        <v>6665.0</v>
      </c>
      <c r="D11" s="262">
        <v>6665.0</v>
      </c>
      <c r="E11" s="282" t="str">
        <f>VLOOKUP(TEXT(A11,"#"),Main!$A$2:$C55,3,0)</f>
        <v>Wall Mixer Non Telephonic with Flange</v>
      </c>
      <c r="F11" s="222">
        <f t="array" ref="F11:G11">VLOOKUP(D11,MASTER!$C$2:$F55,{3,4},0)</f>
        <v>4840</v>
      </c>
      <c r="G11" s="222">
        <v>5180.0</v>
      </c>
      <c r="H11" s="279"/>
    </row>
    <row r="12">
      <c r="A12" s="278" t="str">
        <f t="shared" si="2"/>
        <v>55</v>
      </c>
      <c r="B12" s="24">
        <v>9.0</v>
      </c>
      <c r="C12" s="257">
        <v>6655.0</v>
      </c>
      <c r="D12" s="257">
        <v>6655.0</v>
      </c>
      <c r="E12" s="282" t="str">
        <f>VLOOKUP(TEXT(A12,"#"),Main!$A$2:$C55,3,0)</f>
        <v>Sink Mixer with Regular Spout Wall Mounted with Flange</v>
      </c>
      <c r="F12" s="222">
        <f t="array" ref="F12:G12">VLOOKUP(D12,MASTER!$C$2:$F55,{3,4},0)</f>
        <v>3970</v>
      </c>
      <c r="G12" s="222">
        <v>4280.0</v>
      </c>
      <c r="H12" s="279"/>
    </row>
    <row r="13">
      <c r="A13" s="278" t="str">
        <f t="shared" si="2"/>
        <v>14</v>
      </c>
      <c r="B13" s="24">
        <v>10.0</v>
      </c>
      <c r="C13" s="262">
        <v>6614.0</v>
      </c>
      <c r="D13" s="262">
        <v>6614.0</v>
      </c>
      <c r="E13" s="282" t="str">
        <f>VLOOKUP(TEXT(A13,"#"),Main!$A$2:$C55,3,0)</f>
        <v>Swan Neck Table Mounted</v>
      </c>
      <c r="F13" s="222">
        <f t="array" ref="F13:G13">VLOOKUP(D13,MASTER!$C$2:$F55,{3,4},0)</f>
        <v>2090</v>
      </c>
      <c r="G13" s="222">
        <v>2180.0</v>
      </c>
      <c r="H13" s="279"/>
    </row>
    <row r="14">
      <c r="A14" s="278" t="str">
        <f t="shared" si="2"/>
        <v>16</v>
      </c>
      <c r="B14" s="24">
        <v>11.0</v>
      </c>
      <c r="C14" s="262">
        <v>6616.0</v>
      </c>
      <c r="D14" s="262">
        <v>6616.0</v>
      </c>
      <c r="E14" s="282" t="str">
        <f>VLOOKUP(TEXT(A14,"#"),Main!$A$2:$C55,3,0)</f>
        <v>Sink Cock Wall Mounted with Flange</v>
      </c>
      <c r="F14" s="222">
        <f t="array" ref="F14:G14">VLOOKUP(D14,MASTER!$C$2:$F55,{3,4},0)</f>
        <v>1890</v>
      </c>
      <c r="G14" s="222">
        <v>1990.0</v>
      </c>
      <c r="H14" s="279"/>
    </row>
    <row r="15">
      <c r="A15" s="278" t="str">
        <f t="shared" si="2"/>
        <v>95</v>
      </c>
      <c r="B15" s="24">
        <v>12.0</v>
      </c>
      <c r="C15" s="257">
        <v>6695.0</v>
      </c>
      <c r="D15" s="257">
        <v>6695.0</v>
      </c>
      <c r="E15" s="282" t="str">
        <f>VLOOKUP(TEXT(A15,"#"),Main!$A$2:$C55,3,0)</f>
        <v>Bath Tub Spout with Flange</v>
      </c>
      <c r="F15" s="222">
        <f t="array" ref="F15:G15">VLOOKUP(D15,MASTER!$C$2:$F55,{3,4},0)</f>
        <v>1290</v>
      </c>
      <c r="G15" s="222">
        <v>1390.0</v>
      </c>
      <c r="H15" s="279"/>
    </row>
    <row r="16">
      <c r="A16" s="278" t="str">
        <f t="shared" si="2"/>
        <v>96</v>
      </c>
      <c r="B16" s="24">
        <v>13.0</v>
      </c>
      <c r="C16" s="257">
        <v>6696.0</v>
      </c>
      <c r="D16" s="257">
        <v>6696.0</v>
      </c>
      <c r="E16" s="282" t="str">
        <f>VLOOKUP(TEXT(A16,"#"),Main!$A$2:$C55,3,0)</f>
        <v>Bath Tub Spout Tip Ton with Flange</v>
      </c>
      <c r="F16" s="222">
        <f t="array" ref="F16:G16">VLOOKUP(D16,MASTER!$C$2:$F55,{3,4},0)</f>
        <v>1930</v>
      </c>
      <c r="G16" s="222">
        <v>2080.0</v>
      </c>
      <c r="H16" s="279"/>
    </row>
    <row r="17">
      <c r="A17" s="280" t="s">
        <v>209</v>
      </c>
      <c r="B17" s="284">
        <v>14.0</v>
      </c>
      <c r="C17" s="286">
        <v>6691.0</v>
      </c>
      <c r="D17" s="262" t="s">
        <v>1031</v>
      </c>
      <c r="E17" s="282" t="str">
        <f>VLOOKUP(TEXT(A17,"#"),Main!$A$2:$C55,3,0)</f>
        <v>Single Lever Concealed Diverter Bath &amp; Shower 40mm</v>
      </c>
      <c r="F17" s="222">
        <f t="array" ref="F17:G17">VLOOKUP(D17,MASTER!$C$2:$F55,{3,4},0)</f>
        <v>6020</v>
      </c>
      <c r="G17" s="222">
        <v>6560.0</v>
      </c>
      <c r="H17" s="279"/>
    </row>
    <row r="18">
      <c r="A18" s="269" t="s">
        <v>212</v>
      </c>
      <c r="B18" s="120"/>
      <c r="C18" s="286" t="s">
        <v>1435</v>
      </c>
      <c r="D18" s="262" t="s">
        <v>212</v>
      </c>
      <c r="E18" s="282" t="str">
        <f>VLOOKUP(TEXT(A18,"#"),Main!$A$2:$C55,3,0)</f>
        <v>Concealed Diverter Body 40mm (Cartridge, Sleeve, Tipton Assembly)</v>
      </c>
      <c r="F18" s="222">
        <f t="array" ref="F18:G18">VLOOKUP(D18,MASTER!$C$2:$F55,{3,4},0)</f>
        <v>4240</v>
      </c>
      <c r="G18" s="222">
        <v>4580.0</v>
      </c>
      <c r="H18" s="279"/>
    </row>
    <row r="19">
      <c r="A19" s="269" t="s">
        <v>216</v>
      </c>
      <c r="B19" s="145"/>
      <c r="C19" s="286" t="s">
        <v>1448</v>
      </c>
      <c r="D19" s="262" t="s">
        <v>1032</v>
      </c>
      <c r="E19" s="282" t="str">
        <f>VLOOKUP(TEXT(A19,"#"),Main!$A$2:$C55,3,0)</f>
        <v>Exposed Parts (Wall Flange &amp; Handle)</v>
      </c>
      <c r="F19" s="222">
        <f t="array" ref="F19:G19">VLOOKUP(D19,MASTER!$C$2:$F55,{3,4},0)</f>
        <v>1780</v>
      </c>
      <c r="G19" s="222">
        <v>1980.0</v>
      </c>
      <c r="H19" s="279"/>
    </row>
    <row r="20">
      <c r="A20" s="280" t="s">
        <v>219</v>
      </c>
      <c r="B20" s="284">
        <v>15.0</v>
      </c>
      <c r="C20" s="287">
        <v>6692.0</v>
      </c>
      <c r="D20" s="262" t="s">
        <v>1034</v>
      </c>
      <c r="E20" s="282" t="str">
        <f>VLOOKUP(TEXT(A20,"#"),Main!$A$2:$C55,3,0)</f>
        <v>Single Lever High Flow Concealed Diverter Bath &amp; Shower 46mm</v>
      </c>
      <c r="F20" s="222">
        <f t="array" ref="F20:G20">VLOOKUP(D20,MASTER!$C$2:$F55,{3,4},0)</f>
        <v>6760</v>
      </c>
      <c r="G20" s="222">
        <v>7470.0</v>
      </c>
      <c r="H20" s="279"/>
    </row>
    <row r="21">
      <c r="A21" s="269" t="s">
        <v>223</v>
      </c>
      <c r="B21" s="120"/>
      <c r="C21" s="288" t="s">
        <v>1438</v>
      </c>
      <c r="D21" s="262" t="s">
        <v>223</v>
      </c>
      <c r="E21" s="282" t="str">
        <f>VLOOKUP(TEXT(A21,"#"),Main!$A$2:$C55,3,0)</f>
        <v>High Flow Concealed Diverter Body 46mm (Cartridge, Sleeve, Tipton Assembly)</v>
      </c>
      <c r="F21" s="222">
        <f t="array" ref="F21:G21">VLOOKUP(D21,MASTER!$C$2:$F55,{3,4},0)</f>
        <v>4980</v>
      </c>
      <c r="G21" s="222">
        <v>5490.0</v>
      </c>
      <c r="H21" s="279"/>
    </row>
    <row r="22">
      <c r="A22" s="269" t="s">
        <v>226</v>
      </c>
      <c r="B22" s="145"/>
      <c r="C22" s="288" t="s">
        <v>1450</v>
      </c>
      <c r="D22" s="262" t="s">
        <v>1036</v>
      </c>
      <c r="E22" s="282" t="str">
        <f>VLOOKUP(TEXT(A22,"#"),Main!$A$2:$C55,3,0)</f>
        <v>Exposed Parts (Wall Flange &amp; Handle)</v>
      </c>
      <c r="F22" s="222">
        <f t="array" ref="F22:G22">VLOOKUP(D22,MASTER!$C$2:$F55,{3,4},0)</f>
        <v>1780</v>
      </c>
      <c r="G22" s="222">
        <v>1980.0</v>
      </c>
      <c r="H22" s="279"/>
    </row>
    <row r="23">
      <c r="A23" s="280" t="s">
        <v>239</v>
      </c>
      <c r="B23" s="284">
        <v>16.0</v>
      </c>
      <c r="C23" s="287">
        <v>6693.0</v>
      </c>
      <c r="D23" s="262" t="s">
        <v>1041</v>
      </c>
      <c r="E23" s="282" t="str">
        <f>VLOOKUP(TEXT(A23,"#"),Main!$A$2:$C55,3,0)</f>
        <v>Single Lever 3 In Let Concealed Diverter Bath &amp; Shower 46mm</v>
      </c>
      <c r="F23" s="222">
        <f t="array" ref="F23:G23">VLOOKUP(D23,MASTER!$C$2:$F55,{3,4},0)</f>
        <v>6760</v>
      </c>
      <c r="G23" s="222">
        <v>7470.0</v>
      </c>
      <c r="H23" s="279"/>
    </row>
    <row r="24">
      <c r="A24" s="269" t="s">
        <v>243</v>
      </c>
      <c r="B24" s="120"/>
      <c r="C24" s="288" t="s">
        <v>1441</v>
      </c>
      <c r="D24" s="262" t="s">
        <v>243</v>
      </c>
      <c r="E24" s="282" t="str">
        <f>VLOOKUP(TEXT(A24,"#"),Main!$A$2:$C55,3,0)</f>
        <v>3 In Let Concealed Diverter Body 46mm (Cartridge, Sleeve, Tipton Assembly)</v>
      </c>
      <c r="F24" s="222">
        <f t="array" ref="F24:G24">VLOOKUP(D24,MASTER!$C$2:$F55,{3,4},0)</f>
        <v>4980</v>
      </c>
      <c r="G24" s="222">
        <v>5490.0</v>
      </c>
      <c r="H24" s="279"/>
    </row>
    <row r="25">
      <c r="A25" s="269" t="s">
        <v>247</v>
      </c>
      <c r="B25" s="145"/>
      <c r="C25" s="288" t="s">
        <v>1451</v>
      </c>
      <c r="D25" s="262" t="s">
        <v>1043</v>
      </c>
      <c r="E25" s="282" t="str">
        <f>VLOOKUP(TEXT(A25,"#"),Main!$A$2:$C55,3,0)</f>
        <v>Exposed Parts (Wall Flange &amp; Handle)</v>
      </c>
      <c r="F25" s="222">
        <f t="array" ref="F25:G25">VLOOKUP(D25,MASTER!$C$2:$F55,{3,4},0)</f>
        <v>1780</v>
      </c>
      <c r="G25" s="222">
        <v>1980.0</v>
      </c>
      <c r="H25" s="279"/>
    </row>
    <row r="26">
      <c r="A26" s="269" t="s">
        <v>228</v>
      </c>
      <c r="B26" s="284">
        <v>17.0</v>
      </c>
      <c r="C26" s="288" t="s">
        <v>1452</v>
      </c>
      <c r="D26" s="262" t="s">
        <v>1037</v>
      </c>
      <c r="E26" s="282" t="str">
        <f>VLOOKUP(TEXT(A26,"#"),Main!$A$2:$C55,3,0)</f>
        <v>Single Lever High Flow Concealed Diverter Bath &amp; Shower 46mm (ON-OFF)</v>
      </c>
      <c r="F26" s="222">
        <f t="array" ref="F26:G26">VLOOKUP(D26,MASTER!$C$2:$F55,{3,4},0)</f>
        <v>6760</v>
      </c>
      <c r="G26" s="222">
        <v>7470.0</v>
      </c>
      <c r="H26" s="279"/>
    </row>
    <row r="27">
      <c r="A27" s="269" t="s">
        <v>234</v>
      </c>
      <c r="B27" s="120"/>
      <c r="C27" s="288" t="s">
        <v>1444</v>
      </c>
      <c r="D27" s="262" t="s">
        <v>234</v>
      </c>
      <c r="E27" s="282" t="str">
        <f>VLOOKUP(TEXT(A27,"#"),Main!$A$2:$C55,3,0)</f>
        <v>High Flow Concealed Diverter Body 46mm (Cartridge, Sleeve, On-Off Assembly)</v>
      </c>
      <c r="F27" s="222">
        <f t="array" ref="F27:G27">VLOOKUP(D27,MASTER!$C$2:$F55,{3,4},0)</f>
        <v>4740</v>
      </c>
      <c r="G27" s="222">
        <v>5250.0</v>
      </c>
      <c r="H27" s="279"/>
    </row>
    <row r="28">
      <c r="A28" s="269" t="s">
        <v>237</v>
      </c>
      <c r="B28" s="145"/>
      <c r="C28" s="288" t="s">
        <v>1453</v>
      </c>
      <c r="D28" s="262" t="s">
        <v>1039</v>
      </c>
      <c r="E28" s="282" t="str">
        <f>VLOOKUP(TEXT(A28,"#"),Main!$A$2:$C55,3,0)</f>
        <v>Exposed Parts (Wall Flange &amp; Handle)</v>
      </c>
      <c r="F28" s="222">
        <f t="array" ref="F28:G28">VLOOKUP(D28,MASTER!$C$2:$F55,{3,4},0)</f>
        <v>2020</v>
      </c>
      <c r="G28" s="222">
        <v>2220.0</v>
      </c>
      <c r="H28" s="279"/>
    </row>
    <row r="29">
      <c r="A29" s="269" t="s">
        <v>249</v>
      </c>
      <c r="B29" s="284">
        <v>18.0</v>
      </c>
      <c r="C29" s="288" t="s">
        <v>1454</v>
      </c>
      <c r="D29" s="262" t="s">
        <v>1044</v>
      </c>
      <c r="E29" s="282" t="str">
        <f>VLOOKUP(TEXT(A29,"#"),Main!$A$2:$C55,3,0)</f>
        <v>Single Lever 3 In Let Concealed Diverter Bath &amp; Shower 46mm (ON-OFF)</v>
      </c>
      <c r="F29" s="222">
        <f t="array" ref="F29:G29">VLOOKUP(D29,MASTER!$C$2:$F55,{3,4},0)</f>
        <v>6760</v>
      </c>
      <c r="G29" s="222">
        <v>7470.0</v>
      </c>
      <c r="H29" s="279"/>
    </row>
    <row r="30">
      <c r="A30" s="269" t="s">
        <v>253</v>
      </c>
      <c r="B30" s="120"/>
      <c r="C30" s="288" t="s">
        <v>1447</v>
      </c>
      <c r="D30" s="262" t="s">
        <v>253</v>
      </c>
      <c r="E30" s="282" t="str">
        <f>VLOOKUP(TEXT(A30,"#"),Main!$A$2:$C55,3,0)</f>
        <v>3 In Let Concealed Diverter Body 46mm (Cartridge, Sleeve, On-Off Assembly)</v>
      </c>
      <c r="F30" s="222">
        <f t="array" ref="F30:G30">VLOOKUP(D30,MASTER!$C$2:$F55,{3,4},0)</f>
        <v>4740</v>
      </c>
      <c r="G30" s="222">
        <v>5250.0</v>
      </c>
      <c r="H30" s="279"/>
    </row>
    <row r="31">
      <c r="A31" s="269" t="s">
        <v>258</v>
      </c>
      <c r="B31" s="145"/>
      <c r="C31" s="290" t="s">
        <v>1455</v>
      </c>
      <c r="D31" s="262" t="s">
        <v>1046</v>
      </c>
      <c r="E31" s="282" t="str">
        <f>VLOOKUP(TEXT(A31,"#"),Main!$A$2:$C55,3,0)</f>
        <v>Exposed Parts (Wall Flange &amp; Handle)</v>
      </c>
      <c r="F31" s="222">
        <f t="array" ref="F31:G31">VLOOKUP(D31,MASTER!$C$2:$F55,{3,4},0)</f>
        <v>2020</v>
      </c>
      <c r="G31" s="222">
        <v>2220.0</v>
      </c>
      <c r="H31" s="279"/>
    </row>
    <row r="32">
      <c r="A32" s="278" t="str">
        <f t="shared" ref="A32:A33" si="3">RIGHT(D32,2)</f>
        <v>02</v>
      </c>
      <c r="B32" s="284">
        <v>19.0</v>
      </c>
      <c r="C32" s="262">
        <v>6602.0</v>
      </c>
      <c r="D32" s="262">
        <v>6602.0</v>
      </c>
      <c r="E32" s="282" t="str">
        <f>VLOOKUP(TEXT(A32,"#"),Main!$A$2:$C55,3,0)</f>
        <v>Pillar Cock</v>
      </c>
      <c r="F32" s="222">
        <f t="array" ref="F32:G32">VLOOKUP(D32,MASTER!$C$2:$F55,{3,4},0)</f>
        <v>1770</v>
      </c>
      <c r="G32" s="222">
        <v>1960.0</v>
      </c>
      <c r="H32" s="279"/>
    </row>
    <row r="33">
      <c r="A33" s="278" t="str">
        <f t="shared" si="3"/>
        <v>03</v>
      </c>
      <c r="B33" s="284">
        <v>20.0</v>
      </c>
      <c r="C33" s="292" t="s">
        <v>1014</v>
      </c>
      <c r="D33" s="262" t="s">
        <v>1014</v>
      </c>
      <c r="E33" s="282" t="str">
        <f>VLOOKUP(TEXT(A33,"#"),Main!$A$2:$C55,3,0)</f>
        <v>Pillar Cock Tall Body</v>
      </c>
      <c r="F33" s="222">
        <f t="array" ref="F33:G33">VLOOKUP(D33,MASTER!$C$2:$F55,{3,4},0)</f>
        <v>3760</v>
      </c>
      <c r="G33" s="222">
        <v>3930.0</v>
      </c>
      <c r="H33" s="279"/>
    </row>
    <row r="34">
      <c r="A34" s="278" t="str">
        <f>RIGHT(D34,4)</f>
        <v>03-S</v>
      </c>
      <c r="B34" s="284">
        <v>21.0</v>
      </c>
      <c r="C34" s="293"/>
      <c r="D34" s="294" t="s">
        <v>1016</v>
      </c>
      <c r="E34" s="282" t="s">
        <v>39</v>
      </c>
      <c r="F34" s="222">
        <f t="array" ref="F34:G34">VLOOKUP(D34,MASTER!$C$2:$F55,{3,4},0)</f>
        <v>3550</v>
      </c>
      <c r="G34" s="222">
        <v>3940.0</v>
      </c>
      <c r="H34" s="279"/>
    </row>
    <row r="35">
      <c r="A35" s="278" t="str">
        <f t="shared" ref="A35:A38" si="4">RIGHT(D35,2)</f>
        <v>04</v>
      </c>
      <c r="B35" s="284">
        <v>22.0</v>
      </c>
      <c r="C35" s="294" t="s">
        <v>1456</v>
      </c>
      <c r="D35" s="262">
        <v>6604.0</v>
      </c>
      <c r="E35" s="282" t="str">
        <f>VLOOKUP(TEXT(A35,"#"),Main!$A$2:$C55,3,0)</f>
        <v>Pillar Cock Extended Body</v>
      </c>
      <c r="F35" s="222">
        <f t="array" ref="F35:G35">VLOOKUP(D35,MASTER!$C$2:$F55,{3,4},0)</f>
        <v>2370</v>
      </c>
      <c r="G35" s="222">
        <v>2640.0</v>
      </c>
      <c r="H35" s="279"/>
    </row>
    <row r="36">
      <c r="A36" s="278" t="str">
        <f t="shared" si="4"/>
        <v>05</v>
      </c>
      <c r="B36" s="284">
        <v>23.0</v>
      </c>
      <c r="C36" s="262">
        <v>6605.0</v>
      </c>
      <c r="D36" s="262">
        <v>6605.0</v>
      </c>
      <c r="E36" s="282" t="str">
        <f>VLOOKUP(TEXT(A36,"#"),Main!$A$2:$C55,3,0)</f>
        <v>Bib Cock Nozzle with Wall Flange</v>
      </c>
      <c r="F36" s="222">
        <f t="array" ref="F36:G36">VLOOKUP(D36,MASTER!$C$2:$F55,{3,4},0)</f>
        <v>1270</v>
      </c>
      <c r="G36" s="222">
        <v>1390.0</v>
      </c>
      <c r="H36" s="279"/>
    </row>
    <row r="37">
      <c r="A37" s="278" t="str">
        <f t="shared" si="4"/>
        <v>06</v>
      </c>
      <c r="B37" s="284">
        <v>24.0</v>
      </c>
      <c r="C37" s="262">
        <v>6606.0</v>
      </c>
      <c r="D37" s="262">
        <v>6606.0</v>
      </c>
      <c r="E37" s="282" t="str">
        <f>VLOOKUP(TEXT(A37,"#"),Main!$A$2:$C55,3,0)</f>
        <v>Bib Cock with Wall Flange</v>
      </c>
      <c r="F37" s="222">
        <f t="array" ref="F37:G37">VLOOKUP(D37,MASTER!$C$2:$F55,{3,4},0)</f>
        <v>1490</v>
      </c>
      <c r="G37" s="222">
        <v>1640.0</v>
      </c>
      <c r="H37" s="279"/>
    </row>
    <row r="38">
      <c r="A38" s="278" t="str">
        <f t="shared" si="4"/>
        <v>07</v>
      </c>
      <c r="B38" s="284">
        <v>25.0</v>
      </c>
      <c r="C38" s="262"/>
      <c r="D38" s="233">
        <v>6607.0</v>
      </c>
      <c r="E38" s="282" t="str">
        <f>VLOOKUP(TEXT(A38,"#"),Main!$A$2:$C55,3,0)</f>
        <v>Concealed Wall Mount Pillar Cock</v>
      </c>
      <c r="F38" s="222">
        <f t="array" ref="F38:G38">VLOOKUP(D38,MASTER!$C$2:$F55,{3,4},0)</f>
        <v>2730</v>
      </c>
      <c r="G38" s="222">
        <v>2880.0</v>
      </c>
      <c r="H38" s="279"/>
    </row>
    <row r="39">
      <c r="A39" s="289" t="s">
        <v>73</v>
      </c>
      <c r="B39" s="120"/>
      <c r="C39" s="262"/>
      <c r="D39" s="233" t="s">
        <v>73</v>
      </c>
      <c r="E39" s="282" t="str">
        <f>VLOOKUP(TEXT(A39,"#"),Main!$A$2:$C55,3,0)</f>
        <v>Concealed Pillar Cock Body 15mm</v>
      </c>
      <c r="F39" s="222">
        <f t="array" ref="F39:G39">VLOOKUP(D39,MASTER!$C$2:$F55,{3,4},0)</f>
        <v>1390</v>
      </c>
      <c r="G39" s="222">
        <v>1490.0</v>
      </c>
      <c r="H39" s="279"/>
    </row>
    <row r="40">
      <c r="A40" s="289" t="s">
        <v>77</v>
      </c>
      <c r="B40" s="145"/>
      <c r="C40" s="262"/>
      <c r="D40" s="233" t="s">
        <v>1018</v>
      </c>
      <c r="E40" s="282" t="str">
        <f>VLOOKUP(TEXT(A40,"#"),Main!$A$2:$C55,3,0)</f>
        <v>Exposed Parts (Wall Flange, Handle &amp; Spout)</v>
      </c>
      <c r="F40" s="222">
        <f t="array" ref="F40:G40">VLOOKUP(D40,MASTER!$C$2:$F55,{3,4},0)</f>
        <v>1340</v>
      </c>
      <c r="G40" s="222">
        <v>1390.0</v>
      </c>
      <c r="H40" s="279"/>
    </row>
    <row r="41">
      <c r="A41" s="278" t="str">
        <f t="shared" ref="A41:A48" si="5">RIGHT(D41,2)</f>
        <v>08</v>
      </c>
      <c r="B41" s="284">
        <v>26.0</v>
      </c>
      <c r="C41" s="262">
        <v>6608.0</v>
      </c>
      <c r="D41" s="262">
        <v>6608.0</v>
      </c>
      <c r="E41" s="282" t="str">
        <f>VLOOKUP(TEXT(A41,"#"),Main!$A$2:$C55,3,0)</f>
        <v>Bib Cock Long Body with Wall Flange</v>
      </c>
      <c r="F41" s="222">
        <f t="array" ref="F41:G41">VLOOKUP(D41,MASTER!$C$2:$F55,{3,4},0)</f>
        <v>1590</v>
      </c>
      <c r="G41" s="222">
        <v>1720.0</v>
      </c>
      <c r="H41" s="279"/>
    </row>
    <row r="42">
      <c r="A42" s="278" t="str">
        <f t="shared" si="5"/>
        <v>10</v>
      </c>
      <c r="B42" s="284">
        <v>27.0</v>
      </c>
      <c r="C42" s="262">
        <v>6610.0</v>
      </c>
      <c r="D42" s="262">
        <v>6610.0</v>
      </c>
      <c r="E42" s="282" t="str">
        <f>VLOOKUP(TEXT(A42,"#"),Main!$A$2:$C55,3,0)</f>
        <v>Angular Stop Cock with Wall Flange</v>
      </c>
      <c r="F42" s="222">
        <f t="array" ref="F42:G42">VLOOKUP(D42,MASTER!$C$2:$F55,{3,4},0)</f>
        <v>1020</v>
      </c>
      <c r="G42" s="222">
        <v>1090.0</v>
      </c>
      <c r="H42" s="279"/>
    </row>
    <row r="43">
      <c r="A43" s="278" t="str">
        <f t="shared" si="5"/>
        <v>11</v>
      </c>
      <c r="B43" s="284">
        <v>28.0</v>
      </c>
      <c r="C43" s="262">
        <v>6611.0</v>
      </c>
      <c r="D43" s="262">
        <v>6611.0</v>
      </c>
      <c r="E43" s="282" t="str">
        <f>VLOOKUP(TEXT(A43,"#"),Main!$A$2:$C55,3,0)</f>
        <v>2-Way Angular Stop Cock with Wall Flange</v>
      </c>
      <c r="F43" s="222">
        <f t="array" ref="F43:G43">VLOOKUP(D43,MASTER!$C$2:$F55,{3,4},0)</f>
        <v>1770</v>
      </c>
      <c r="G43" s="222">
        <v>1890.0</v>
      </c>
      <c r="H43" s="279"/>
    </row>
    <row r="44">
      <c r="A44" s="278" t="str">
        <f t="shared" si="5"/>
        <v>12</v>
      </c>
      <c r="B44" s="284">
        <v>29.0</v>
      </c>
      <c r="C44" s="262">
        <v>6612.0</v>
      </c>
      <c r="D44" s="262">
        <v>6612.0</v>
      </c>
      <c r="E44" s="282" t="str">
        <f>VLOOKUP(TEXT(A44,"#"),Main!$A$2:$C55,3,0)</f>
        <v>2-Way Bib Cock Double Handle with Wall Flange</v>
      </c>
      <c r="F44" s="222">
        <f t="array" ref="F44:G44">VLOOKUP(D44,MASTER!$C$2:$F55,{3,4},0)</f>
        <v>2390</v>
      </c>
      <c r="G44" s="222">
        <v>2580.0</v>
      </c>
      <c r="H44" s="279"/>
    </row>
    <row r="45">
      <c r="A45" s="278" t="str">
        <f t="shared" si="5"/>
        <v>13</v>
      </c>
      <c r="B45" s="284">
        <v>30.0</v>
      </c>
      <c r="C45" s="233">
        <v>6613.0</v>
      </c>
      <c r="D45" s="233">
        <v>6613.0</v>
      </c>
      <c r="E45" s="282" t="str">
        <f>VLOOKUP(TEXT(A45,"#"),Main!$A$2:$C55,3,0)</f>
        <v>2-Way Bib Cock Single Handle with Wall Flange</v>
      </c>
      <c r="F45" s="222">
        <f t="array" ref="F45:G45">VLOOKUP(D45,MASTER!$C$2:$F55,{3,4},0)</f>
        <v>2190</v>
      </c>
      <c r="G45" s="222">
        <v>2360.0</v>
      </c>
      <c r="H45" s="279"/>
    </row>
    <row r="46">
      <c r="A46" s="278" t="str">
        <f t="shared" si="5"/>
        <v>18</v>
      </c>
      <c r="B46" s="24">
        <v>31.0</v>
      </c>
      <c r="C46" s="262">
        <v>6618.0</v>
      </c>
      <c r="D46" s="262">
        <v>6618.0</v>
      </c>
      <c r="E46" s="282" t="str">
        <f>VLOOKUP(TEXT(A46,"#"),Main!$A$2:$C55,3,0)</f>
        <v>Concealed Stop Cock 15mm with Wall Flange</v>
      </c>
      <c r="F46" s="222">
        <f t="array" ref="F46:G46">VLOOKUP(D46,MASTER!$C$2:$F55,{3,4},0)</f>
        <v>1350</v>
      </c>
      <c r="G46" s="222">
        <v>1450.0</v>
      </c>
      <c r="H46" s="279"/>
    </row>
    <row r="47">
      <c r="A47" s="278" t="str">
        <f t="shared" si="5"/>
        <v>20</v>
      </c>
      <c r="B47" s="24">
        <v>32.0</v>
      </c>
      <c r="C47" s="262">
        <v>6620.0</v>
      </c>
      <c r="D47" s="262">
        <v>6620.0</v>
      </c>
      <c r="E47" s="282" t="str">
        <f>VLOOKUP(TEXT(A47,"#"),Main!$A$2:$C55,3,0)</f>
        <v>Concealed Stop Cock 20mm with Wall Flange</v>
      </c>
      <c r="F47" s="222">
        <f t="array" ref="F47:G47">VLOOKUP(D47,MASTER!$C$2:$F55,{3,4},0)</f>
        <v>1390</v>
      </c>
      <c r="G47" s="222">
        <v>1490.0</v>
      </c>
      <c r="H47" s="279"/>
    </row>
    <row r="48">
      <c r="A48" s="278" t="str">
        <f t="shared" si="5"/>
        <v>98</v>
      </c>
      <c r="B48" s="24">
        <v>33.0</v>
      </c>
      <c r="C48" s="296">
        <v>6698.0</v>
      </c>
      <c r="D48" s="257">
        <v>6698.0</v>
      </c>
      <c r="E48" s="282" t="str">
        <f>VLOOKUP(TEXT(A48,"#"),Main!$A$2:$C55,3,0)</f>
        <v>Flush Cock 25mm Half Turn with Adjustable Flange</v>
      </c>
      <c r="F48" s="222">
        <f t="array" ref="F48:G48">VLOOKUP(D48,MASTER!$C$2:$F55,{3,4},0)</f>
        <v>2350</v>
      </c>
      <c r="G48" s="222">
        <v>2580.0</v>
      </c>
      <c r="H48" s="279"/>
    </row>
    <row r="49">
      <c r="A49" s="278"/>
      <c r="B49" s="297"/>
      <c r="C49" s="297"/>
      <c r="D49" s="298"/>
      <c r="E49" s="295"/>
      <c r="F49" s="295"/>
      <c r="G49" s="295"/>
      <c r="H49" s="295"/>
    </row>
    <row r="50">
      <c r="A50" s="278"/>
      <c r="B50" s="297"/>
      <c r="C50" s="297"/>
      <c r="D50" s="298"/>
      <c r="E50" s="295"/>
      <c r="F50" s="295"/>
      <c r="G50" s="295"/>
      <c r="H50" s="295"/>
    </row>
    <row r="51">
      <c r="A51" s="278"/>
      <c r="B51" s="297"/>
      <c r="C51" s="297"/>
      <c r="D51" s="298"/>
      <c r="E51" s="295"/>
      <c r="F51" s="295"/>
      <c r="G51" s="295"/>
      <c r="H51" s="295"/>
    </row>
    <row r="52">
      <c r="A52" s="278"/>
      <c r="B52" s="297"/>
      <c r="C52" s="297"/>
      <c r="D52" s="298"/>
      <c r="E52" s="295"/>
      <c r="F52" s="295"/>
      <c r="G52" s="295"/>
      <c r="H52" s="295"/>
    </row>
    <row r="53">
      <c r="A53" s="278"/>
      <c r="B53" s="297"/>
      <c r="C53" s="297"/>
      <c r="D53" s="298"/>
      <c r="E53" s="295"/>
      <c r="F53" s="295"/>
      <c r="G53" s="295"/>
      <c r="H53" s="295"/>
    </row>
    <row r="54">
      <c r="A54" s="278"/>
      <c r="B54" s="297"/>
      <c r="C54" s="297"/>
      <c r="D54" s="298"/>
      <c r="E54" s="295"/>
      <c r="F54" s="295"/>
      <c r="G54" s="295"/>
      <c r="H54" s="295"/>
    </row>
    <row r="55">
      <c r="A55" s="278"/>
      <c r="B55" s="297"/>
      <c r="C55" s="297"/>
      <c r="D55" s="298"/>
      <c r="E55" s="295"/>
      <c r="F55" s="295"/>
      <c r="G55" s="295"/>
      <c r="H55" s="295"/>
    </row>
  </sheetData>
  <mergeCells count="7">
    <mergeCell ref="B5:B7"/>
    <mergeCell ref="B17:B19"/>
    <mergeCell ref="B20:B22"/>
    <mergeCell ref="B23:B25"/>
    <mergeCell ref="B26:B28"/>
    <mergeCell ref="B29:B31"/>
    <mergeCell ref="B38:B40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7.75"/>
    <col customWidth="1" min="2" max="2" width="7.13"/>
    <col customWidth="1" hidden="1" min="3" max="3" width="16.88"/>
    <col customWidth="1" min="4" max="4" width="18.75"/>
    <col customWidth="1" min="5" max="5" width="83.63"/>
    <col customWidth="1" min="6" max="6" width="11.25"/>
    <col customWidth="1" min="7" max="7" width="13.0"/>
    <col customWidth="1" hidden="1" min="8" max="8" width="9.13"/>
    <col customWidth="1" min="9" max="9" width="9.13"/>
  </cols>
  <sheetData>
    <row r="1" ht="78.75" customHeight="1">
      <c r="A1" s="217"/>
      <c r="B1" s="5" t="s">
        <v>3</v>
      </c>
      <c r="C1" s="141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  <c r="I1" s="130"/>
    </row>
    <row r="2">
      <c r="A2" s="56" t="str">
        <f t="shared" ref="A2:A5" si="1">RIGHT(D2,2)</f>
        <v>50</v>
      </c>
      <c r="B2" s="218">
        <v>1.0</v>
      </c>
      <c r="C2" s="262">
        <v>6850.0</v>
      </c>
      <c r="D2" s="262">
        <v>6850.0</v>
      </c>
      <c r="E2" s="220" t="str">
        <f>VLOOKUP(TEXT(A2,"#"),Main!$A$2:$C60,3,0)</f>
        <v>Center Hole Basin Mixer without Popup</v>
      </c>
      <c r="F2" s="222">
        <f t="array" ref="F2:G2">VLOOKUP(D2,MASTER!$C$2:$F60,{3,4},0)</f>
        <v>3580</v>
      </c>
      <c r="G2" s="222">
        <v>3880.0</v>
      </c>
      <c r="H2" s="279"/>
      <c r="I2" s="279"/>
    </row>
    <row r="3">
      <c r="A3" s="56" t="str">
        <f t="shared" si="1"/>
        <v>51</v>
      </c>
      <c r="B3" s="218">
        <v>2.0</v>
      </c>
      <c r="C3" s="262">
        <v>6851.0</v>
      </c>
      <c r="D3" s="262">
        <v>6851.0</v>
      </c>
      <c r="E3" s="220" t="str">
        <f>VLOOKUP(TEXT(A3,"#"),Main!$A$2:$C60,3,0)</f>
        <v>Single Lever Basin Mixer without Popup Waste System</v>
      </c>
      <c r="F3" s="222">
        <f t="array" ref="F3:G3">VLOOKUP(D3,MASTER!$C$2:$F60,{3,4},0)</f>
        <v>3950</v>
      </c>
      <c r="G3" s="222">
        <v>4180.0</v>
      </c>
      <c r="H3" s="279"/>
      <c r="I3" s="279"/>
    </row>
    <row r="4">
      <c r="A4" s="56" t="str">
        <f t="shared" si="1"/>
        <v>52</v>
      </c>
      <c r="B4" s="218">
        <v>3.0</v>
      </c>
      <c r="C4" s="262">
        <v>6852.0</v>
      </c>
      <c r="D4" s="262">
        <v>6852.0</v>
      </c>
      <c r="E4" s="220" t="str">
        <f>VLOOKUP(TEXT(A4,"#"),Main!$A$2:$C60,3,0)</f>
        <v>Single Lever Basin Mixer Tall Body without Popup Waste System</v>
      </c>
      <c r="F4" s="222">
        <f t="array" ref="F4:G4">VLOOKUP(D4,MASTER!$C$2:$F60,{3,4},0)</f>
        <v>6190</v>
      </c>
      <c r="G4" s="222">
        <v>6640.0</v>
      </c>
      <c r="H4" s="279"/>
      <c r="I4" s="279"/>
    </row>
    <row r="5">
      <c r="A5" s="56" t="str">
        <f t="shared" si="1"/>
        <v>54</v>
      </c>
      <c r="B5" s="224">
        <v>4.0</v>
      </c>
      <c r="C5" s="262">
        <v>6854.0</v>
      </c>
      <c r="D5" s="262">
        <v>6854.0</v>
      </c>
      <c r="E5" s="220" t="str">
        <f>VLOOKUP(TEXT(A5,"#"),Main!$A$2:$C60,3,0)</f>
        <v>Single Lever Basin Mixer Wall Mount (Concealed)</v>
      </c>
      <c r="F5" s="222">
        <f t="array" ref="F5:G5">VLOOKUP(D5,MASTER!$C$2:$F60,{3,4},0)</f>
        <v>6140</v>
      </c>
      <c r="G5" s="222">
        <v>6450.0</v>
      </c>
      <c r="H5" s="279"/>
      <c r="I5" s="279"/>
    </row>
    <row r="6">
      <c r="A6" s="269" t="s">
        <v>154</v>
      </c>
      <c r="B6" s="120"/>
      <c r="C6" s="233" t="s">
        <v>154</v>
      </c>
      <c r="D6" s="233" t="s">
        <v>154</v>
      </c>
      <c r="E6" s="220" t="str">
        <f>VLOOKUP(TEXT(A6,"#"),Main!$A$2:$C60,3,0)</f>
        <v>Single Lever Basin Mixer Wall Mount (Body, Cartridge, Sleeve &amp; Nipple)</v>
      </c>
      <c r="F6" s="222">
        <f t="array" ref="F6:G6">VLOOKUP(D6,MASTER!$C$2:$F60,{3,4},0)</f>
        <v>3680</v>
      </c>
      <c r="G6" s="222">
        <v>3990.0</v>
      </c>
      <c r="H6" s="279"/>
      <c r="I6" s="279"/>
    </row>
    <row r="7">
      <c r="A7" s="269" t="s">
        <v>159</v>
      </c>
      <c r="B7" s="145"/>
      <c r="C7" s="233" t="s">
        <v>1063</v>
      </c>
      <c r="D7" s="233" t="s">
        <v>1063</v>
      </c>
      <c r="E7" s="220" t="str">
        <f>VLOOKUP(TEXT(A7,"#"),Main!$A$2:$C60,3,0)</f>
        <v>Exposed Parts (Wall Flange, Handle &amp; Spout)</v>
      </c>
      <c r="F7" s="222">
        <f t="array" ref="F7:G7">VLOOKUP(D7,MASTER!$C$2:$F60,{3,4},0)</f>
        <v>2460</v>
      </c>
      <c r="G7" s="222">
        <v>2460.0</v>
      </c>
      <c r="H7" s="279"/>
      <c r="I7" s="279"/>
    </row>
    <row r="8">
      <c r="A8" s="56" t="str">
        <f t="shared" ref="A8:A16" si="2">RIGHT(D8,2)</f>
        <v>70</v>
      </c>
      <c r="B8" s="224">
        <v>5.0</v>
      </c>
      <c r="C8" s="262">
        <v>6870.0</v>
      </c>
      <c r="D8" s="262">
        <v>6870.0</v>
      </c>
      <c r="E8" s="220" t="str">
        <f>VLOOKUP(TEXT(A8,"#"),Main!$A$2:$C60,3,0)</f>
        <v>Wall Mixer Telephonic with Crutch &amp; Wall Flange (Provision For Hand Shower)</v>
      </c>
      <c r="F8" s="222">
        <f t="array" ref="F8:G8">VLOOKUP(D8,MASTER!$C$2:$F60,{3,4},0)</f>
        <v>5980</v>
      </c>
      <c r="G8" s="222">
        <v>6440.0</v>
      </c>
      <c r="H8" s="279"/>
      <c r="I8" s="279"/>
    </row>
    <row r="9">
      <c r="A9" s="56" t="str">
        <f t="shared" si="2"/>
        <v>75</v>
      </c>
      <c r="B9" s="224">
        <v>6.0</v>
      </c>
      <c r="C9" s="262">
        <v>6875.0</v>
      </c>
      <c r="D9" s="262">
        <v>6875.0</v>
      </c>
      <c r="E9" s="220" t="str">
        <f>VLOOKUP(TEXT(A9,"#"),Main!$A$2:$C60,3,0)</f>
        <v>Wall Mixer "L" Bend with Wall Flange (Provision For Over Head Shower)</v>
      </c>
      <c r="F9" s="222">
        <f t="array" ref="F9:G9">VLOOKUP(D9,MASTER!$C$2:$F60,{3,4},0)</f>
        <v>5980</v>
      </c>
      <c r="G9" s="222">
        <v>6440.0</v>
      </c>
      <c r="H9" s="279"/>
      <c r="I9" s="279"/>
    </row>
    <row r="10">
      <c r="A10" s="56" t="str">
        <f t="shared" si="2"/>
        <v>80</v>
      </c>
      <c r="B10" s="224">
        <v>7.0</v>
      </c>
      <c r="C10" s="262">
        <v>6880.0</v>
      </c>
      <c r="D10" s="262">
        <v>6880.0</v>
      </c>
      <c r="E10" s="220" t="str">
        <f>VLOOKUP(TEXT(A10,"#"),Main!$A$2:$C60,3,0)</f>
        <v>Wall Mixer 3 In 1 with Wall Flange (Provision For Over Head Shower &amp; Hand Shower)</v>
      </c>
      <c r="F10" s="222">
        <f t="array" ref="F10:G10">VLOOKUP(D10,MASTER!$C$2:$F60,{3,4},0)</f>
        <v>6760</v>
      </c>
      <c r="G10" s="222">
        <v>7440.0</v>
      </c>
      <c r="H10" s="279"/>
      <c r="I10" s="279"/>
    </row>
    <row r="11">
      <c r="A11" s="56" t="str">
        <f t="shared" si="2"/>
        <v>55</v>
      </c>
      <c r="B11" s="218">
        <v>8.0</v>
      </c>
      <c r="C11" s="262">
        <v>6855.0</v>
      </c>
      <c r="D11" s="262">
        <v>6855.0</v>
      </c>
      <c r="E11" s="220" t="str">
        <f>VLOOKUP(TEXT(A11,"#"),Main!$A$2:$C60,3,0)</f>
        <v>Sink Mixer with Regular Spout Wall Mounted with Flange</v>
      </c>
      <c r="F11" s="222">
        <f t="array" ref="F11:G11">VLOOKUP(D11,MASTER!$C$2:$F60,{3,4},0)</f>
        <v>3950</v>
      </c>
      <c r="G11" s="222">
        <v>4240.0</v>
      </c>
      <c r="H11" s="279"/>
      <c r="I11" s="279"/>
    </row>
    <row r="12">
      <c r="A12" s="56" t="str">
        <f t="shared" si="2"/>
        <v>65</v>
      </c>
      <c r="B12" s="218">
        <v>9.0</v>
      </c>
      <c r="C12" s="262">
        <v>6865.0</v>
      </c>
      <c r="D12" s="262">
        <v>6865.0</v>
      </c>
      <c r="E12" s="220" t="str">
        <f>VLOOKUP(TEXT(A12,"#"),Main!$A$2:$C60,3,0)</f>
        <v>Wall Mixer Non Telephonic with Flange</v>
      </c>
      <c r="F12" s="222">
        <f t="array" ref="F12:G12">VLOOKUP(D12,MASTER!$C$2:$F60,{3,4},0)</f>
        <v>4190</v>
      </c>
      <c r="G12" s="222">
        <v>4580.0</v>
      </c>
      <c r="H12" s="279"/>
      <c r="I12" s="279"/>
    </row>
    <row r="13">
      <c r="A13" s="56" t="str">
        <f t="shared" si="2"/>
        <v>14</v>
      </c>
      <c r="B13" s="218">
        <v>10.0</v>
      </c>
      <c r="C13" s="262">
        <v>6814.0</v>
      </c>
      <c r="D13" s="262">
        <v>6814.0</v>
      </c>
      <c r="E13" s="220" t="str">
        <f>VLOOKUP(TEXT(A13,"#"),Main!$A$2:$C60,3,0)</f>
        <v>Swan Neck Table Mounted</v>
      </c>
      <c r="F13" s="222">
        <f t="array" ref="F13:G13">VLOOKUP(D13,MASTER!$C$2:$F60,{3,4},0)</f>
        <v>1980</v>
      </c>
      <c r="G13" s="222">
        <v>2180.0</v>
      </c>
      <c r="H13" s="279"/>
      <c r="I13" s="279"/>
    </row>
    <row r="14">
      <c r="A14" s="56" t="str">
        <f t="shared" si="2"/>
        <v>16</v>
      </c>
      <c r="B14" s="218">
        <v>11.0</v>
      </c>
      <c r="C14" s="262">
        <v>6816.0</v>
      </c>
      <c r="D14" s="262">
        <v>6816.0</v>
      </c>
      <c r="E14" s="220" t="str">
        <f>VLOOKUP(TEXT(A14,"#"),Main!$A$2:$C60,3,0)</f>
        <v>Sink Cock Wall Mounted with Flange</v>
      </c>
      <c r="F14" s="222">
        <f t="array" ref="F14:G14">VLOOKUP(D14,MASTER!$C$2:$F60,{3,4},0)</f>
        <v>1880</v>
      </c>
      <c r="G14" s="222">
        <v>1980.0</v>
      </c>
      <c r="H14" s="279"/>
      <c r="I14" s="279"/>
    </row>
    <row r="15">
      <c r="A15" s="56" t="str">
        <f t="shared" si="2"/>
        <v>95</v>
      </c>
      <c r="B15" s="224">
        <v>12.0</v>
      </c>
      <c r="C15" s="262">
        <v>6895.0</v>
      </c>
      <c r="D15" s="262">
        <v>6895.0</v>
      </c>
      <c r="E15" s="220" t="str">
        <f>VLOOKUP(TEXT(A15,"#"),Main!$A$2:$C60,3,0)</f>
        <v>Bath Tub Spout with Flange</v>
      </c>
      <c r="F15" s="222">
        <f t="array" ref="F15:G15">VLOOKUP(D15,MASTER!$C$2:$F60,{3,4},0)</f>
        <v>1320</v>
      </c>
      <c r="G15" s="222">
        <v>1390.0</v>
      </c>
      <c r="H15" s="279"/>
      <c r="I15" s="279"/>
    </row>
    <row r="16">
      <c r="A16" s="56" t="str">
        <f t="shared" si="2"/>
        <v>96</v>
      </c>
      <c r="B16" s="224">
        <v>13.0</v>
      </c>
      <c r="C16" s="262">
        <v>6896.0</v>
      </c>
      <c r="D16" s="262">
        <v>6896.0</v>
      </c>
      <c r="E16" s="220" t="str">
        <f>VLOOKUP(TEXT(A16,"#"),Main!$A$2:$C60,3,0)</f>
        <v>Bath Tub Spout Tip Ton with Flange</v>
      </c>
      <c r="F16" s="222">
        <f t="array" ref="F16:G16">VLOOKUP(D16,MASTER!$C$2:$F60,{3,4},0)</f>
        <v>2030</v>
      </c>
      <c r="G16" s="222">
        <v>2140.0</v>
      </c>
      <c r="H16" s="279"/>
      <c r="I16" s="279"/>
    </row>
    <row r="17">
      <c r="A17" s="300" t="s">
        <v>209</v>
      </c>
      <c r="B17" s="224">
        <v>14.0</v>
      </c>
      <c r="C17" s="233">
        <v>6891.0</v>
      </c>
      <c r="D17" s="233" t="s">
        <v>1070</v>
      </c>
      <c r="E17" s="220" t="str">
        <f>VLOOKUP(TEXT(A17,"#"),Main!$A$2:$C60,3,0)</f>
        <v>Single Lever Concealed Diverter Bath &amp; Shower 40mm</v>
      </c>
      <c r="F17" s="222">
        <f t="array" ref="F17:G17">VLOOKUP(D17,MASTER!$C$2:$F60,{3,4},0)</f>
        <v>6020</v>
      </c>
      <c r="G17" s="222">
        <v>6360.0</v>
      </c>
      <c r="H17" s="279"/>
      <c r="I17" s="279"/>
    </row>
    <row r="18">
      <c r="A18" s="269" t="s">
        <v>212</v>
      </c>
      <c r="B18" s="120"/>
      <c r="C18" s="233" t="s">
        <v>1435</v>
      </c>
      <c r="D18" s="233" t="s">
        <v>212</v>
      </c>
      <c r="E18" s="220" t="str">
        <f>VLOOKUP(TEXT(A18,"#"),Main!$A$2:$C60,3,0)</f>
        <v>Concealed Diverter Body 40mm (Cartridge, Sleeve, Tipton Assembly)</v>
      </c>
      <c r="F18" s="222">
        <f t="array" ref="F18:G18">VLOOKUP(D18,MASTER!$C$2:$F60,{3,4},0)</f>
        <v>4240</v>
      </c>
      <c r="G18" s="222">
        <v>4580.0</v>
      </c>
      <c r="H18" s="279"/>
      <c r="I18" s="279"/>
    </row>
    <row r="19">
      <c r="A19" s="269" t="s">
        <v>216</v>
      </c>
      <c r="B19" s="145"/>
      <c r="C19" s="233" t="s">
        <v>1457</v>
      </c>
      <c r="D19" s="233" t="s">
        <v>1072</v>
      </c>
      <c r="E19" s="220" t="str">
        <f>VLOOKUP(TEXT(A19,"#"),Main!$A$2:$C60,3,0)</f>
        <v>Exposed Parts (Wall Flange &amp; Handle)</v>
      </c>
      <c r="F19" s="222">
        <f t="array" ref="F19:G19">VLOOKUP(D19,MASTER!$C$2:$F60,{3,4},0)</f>
        <v>1780</v>
      </c>
      <c r="G19" s="222">
        <v>1780.0</v>
      </c>
      <c r="H19" s="279"/>
      <c r="I19" s="279"/>
    </row>
    <row r="20">
      <c r="A20" s="227" t="s">
        <v>219</v>
      </c>
      <c r="B20" s="224">
        <v>15.0</v>
      </c>
      <c r="C20" s="288">
        <v>6892.0</v>
      </c>
      <c r="D20" s="233" t="s">
        <v>1073</v>
      </c>
      <c r="E20" s="220" t="str">
        <f>VLOOKUP(TEXT(A20,"#"),Main!$A$2:$C60,3,0)</f>
        <v>Single Lever High Flow Concealed Diverter Bath &amp; Shower 46mm</v>
      </c>
      <c r="F20" s="222">
        <f t="array" ref="F20:G20">VLOOKUP(D20,MASTER!$C$2:$F60,{3,4},0)</f>
        <v>6760</v>
      </c>
      <c r="G20" s="222">
        <v>7270.0</v>
      </c>
      <c r="H20" s="279"/>
      <c r="I20" s="279"/>
    </row>
    <row r="21">
      <c r="A21" s="269" t="s">
        <v>223</v>
      </c>
      <c r="B21" s="120"/>
      <c r="C21" s="288" t="s">
        <v>1438</v>
      </c>
      <c r="D21" s="233" t="s">
        <v>223</v>
      </c>
      <c r="E21" s="220" t="str">
        <f>VLOOKUP(TEXT(A21,"#"),Main!$A$2:$C60,3,0)</f>
        <v>High Flow Concealed Diverter Body 46mm (Cartridge, Sleeve, Tipton Assembly)</v>
      </c>
      <c r="F21" s="222">
        <f t="array" ref="F21:G21">VLOOKUP(D21,MASTER!$C$2:$F60,{3,4},0)</f>
        <v>4980</v>
      </c>
      <c r="G21" s="222">
        <v>5490.0</v>
      </c>
      <c r="H21" s="279"/>
      <c r="I21" s="279"/>
    </row>
    <row r="22">
      <c r="A22" s="269" t="s">
        <v>226</v>
      </c>
      <c r="B22" s="145"/>
      <c r="C22" s="288" t="s">
        <v>1458</v>
      </c>
      <c r="D22" s="233" t="s">
        <v>1074</v>
      </c>
      <c r="E22" s="220" t="str">
        <f>VLOOKUP(TEXT(A22,"#"),Main!$A$2:$C60,3,0)</f>
        <v>Exposed Parts (Wall Flange &amp; Handle)</v>
      </c>
      <c r="F22" s="222">
        <f t="array" ref="F22:G22">VLOOKUP(D22,MASTER!$C$2:$F60,{3,4},0)</f>
        <v>1780</v>
      </c>
      <c r="G22" s="222">
        <v>1780.0</v>
      </c>
      <c r="H22" s="279"/>
      <c r="I22" s="279"/>
    </row>
    <row r="23">
      <c r="A23" s="269"/>
      <c r="B23" s="224">
        <v>16.0</v>
      </c>
      <c r="C23" s="288"/>
      <c r="D23" s="233" t="s">
        <v>1083</v>
      </c>
      <c r="E23" s="229" t="s">
        <v>220</v>
      </c>
      <c r="F23" s="301" t="str">
        <f t="array" ref="F23:G23">VLOOKUP(D23,MASTER!$C$2:$F60,{3,4},0)</f>
        <v>NEW</v>
      </c>
      <c r="G23" s="222">
        <v>7270.0</v>
      </c>
      <c r="H23" s="279"/>
      <c r="I23" s="232" t="s">
        <v>377</v>
      </c>
    </row>
    <row r="24">
      <c r="A24" s="269"/>
      <c r="B24" s="120"/>
      <c r="C24" s="288"/>
      <c r="D24" s="233" t="s">
        <v>381</v>
      </c>
      <c r="E24" s="229" t="s">
        <v>1252</v>
      </c>
      <c r="F24" s="301" t="str">
        <f t="array" ref="F24:G24">VLOOKUP(D24,MASTER!$C$2:$F60,{3,4},0)</f>
        <v>NEW</v>
      </c>
      <c r="G24" s="222">
        <v>4990.0</v>
      </c>
      <c r="H24" s="279"/>
      <c r="I24" s="232" t="s">
        <v>377</v>
      </c>
    </row>
    <row r="25">
      <c r="A25" s="269"/>
      <c r="B25" s="145"/>
      <c r="C25" s="288"/>
      <c r="D25" s="233" t="s">
        <v>1086</v>
      </c>
      <c r="E25" s="229" t="s">
        <v>386</v>
      </c>
      <c r="F25" s="301" t="str">
        <f t="array" ref="F25:G25">VLOOKUP(D25,MASTER!$C$2:$F60,{3,4},0)</f>
        <v>NEW</v>
      </c>
      <c r="G25" s="222">
        <v>2280.0</v>
      </c>
      <c r="H25" s="279"/>
      <c r="I25" s="232" t="s">
        <v>377</v>
      </c>
    </row>
    <row r="26">
      <c r="A26" s="227" t="s">
        <v>239</v>
      </c>
      <c r="B26" s="224">
        <v>17.0</v>
      </c>
      <c r="C26" s="288">
        <v>6893.0</v>
      </c>
      <c r="D26" s="233" t="s">
        <v>1095</v>
      </c>
      <c r="E26" s="220" t="str">
        <f>VLOOKUP(TEXT(A26,"#"),Main!$A$2:$C60,3,0)</f>
        <v>Single Lever 3 In Let Concealed Diverter Bath &amp; Shower 46mm</v>
      </c>
      <c r="F26" s="222">
        <f t="array" ref="F26:G26">VLOOKUP(D26,MASTER!$C$2:$F60,{3,4},0)</f>
        <v>6760</v>
      </c>
      <c r="G26" s="222">
        <v>7270.0</v>
      </c>
      <c r="H26" s="279"/>
      <c r="I26" s="279"/>
    </row>
    <row r="27">
      <c r="A27" s="269" t="s">
        <v>243</v>
      </c>
      <c r="B27" s="120"/>
      <c r="C27" s="288" t="s">
        <v>1441</v>
      </c>
      <c r="D27" s="233" t="s">
        <v>243</v>
      </c>
      <c r="E27" s="220" t="str">
        <f>VLOOKUP(TEXT(A27,"#"),Main!$A$2:$C60,3,0)</f>
        <v>3 In Let Concealed Diverter Body 46mm (Cartridge, Sleeve, Tipton Assembly)</v>
      </c>
      <c r="F27" s="222">
        <f t="array" ref="F27:G27">VLOOKUP(D27,MASTER!$C$2:$F60,{3,4},0)</f>
        <v>4980</v>
      </c>
      <c r="G27" s="222">
        <v>5490.0</v>
      </c>
      <c r="H27" s="279"/>
      <c r="I27" s="279"/>
    </row>
    <row r="28">
      <c r="A28" s="269" t="s">
        <v>247</v>
      </c>
      <c r="B28" s="145"/>
      <c r="C28" s="288" t="s">
        <v>1459</v>
      </c>
      <c r="D28" s="233" t="s">
        <v>1102</v>
      </c>
      <c r="E28" s="220" t="str">
        <f>VLOOKUP(TEXT(A28,"#"),Main!$A$2:$C60,3,0)</f>
        <v>Exposed Parts (Wall Flange &amp; Handle)</v>
      </c>
      <c r="F28" s="222">
        <f t="array" ref="F28:G28">VLOOKUP(D28,MASTER!$C$2:$F60,{3,4},0)</f>
        <v>1780</v>
      </c>
      <c r="G28" s="222">
        <v>1780.0</v>
      </c>
      <c r="H28" s="279"/>
      <c r="I28" s="279"/>
    </row>
    <row r="29">
      <c r="A29" s="269" t="s">
        <v>228</v>
      </c>
      <c r="B29" s="224">
        <v>18.0</v>
      </c>
      <c r="C29" s="288" t="s">
        <v>1460</v>
      </c>
      <c r="D29" s="233" t="s">
        <v>1075</v>
      </c>
      <c r="E29" s="220" t="str">
        <f>VLOOKUP(TEXT(A29,"#"),Main!$A$2:$C60,3,0)</f>
        <v>Single Lever High Flow Concealed Diverter Bath &amp; Shower 46mm (ON-OFF)</v>
      </c>
      <c r="F29" s="222">
        <f t="array" ref="F29:G29">VLOOKUP(D29,MASTER!$C$2:$F60,{3,4},0)</f>
        <v>6760</v>
      </c>
      <c r="G29" s="222">
        <v>7270.0</v>
      </c>
      <c r="H29" s="279"/>
      <c r="I29" s="279"/>
    </row>
    <row r="30">
      <c r="A30" s="269" t="s">
        <v>234</v>
      </c>
      <c r="B30" s="120"/>
      <c r="C30" s="288" t="s">
        <v>1444</v>
      </c>
      <c r="D30" s="233" t="s">
        <v>234</v>
      </c>
      <c r="E30" s="220" t="str">
        <f>VLOOKUP(TEXT(A30,"#"),Main!$A$2:$C60,3,0)</f>
        <v>High Flow Concealed Diverter Body 46mm (Cartridge, Sleeve, On-Off Assembly)</v>
      </c>
      <c r="F30" s="222">
        <f t="array" ref="F30:G30">VLOOKUP(D30,MASTER!$C$2:$F60,{3,4},0)</f>
        <v>4740</v>
      </c>
      <c r="G30" s="222">
        <v>5250.0</v>
      </c>
      <c r="H30" s="279"/>
      <c r="I30" s="279"/>
    </row>
    <row r="31">
      <c r="A31" s="269" t="s">
        <v>237</v>
      </c>
      <c r="B31" s="145"/>
      <c r="C31" s="288" t="s">
        <v>1461</v>
      </c>
      <c r="D31" s="233" t="s">
        <v>1079</v>
      </c>
      <c r="E31" s="220" t="str">
        <f>VLOOKUP(TEXT(A31,"#"),Main!$A$2:$C60,3,0)</f>
        <v>Exposed Parts (Wall Flange &amp; Handle)</v>
      </c>
      <c r="F31" s="222">
        <f t="array" ref="F31:G31">VLOOKUP(D31,MASTER!$C$2:$F60,{3,4},0)</f>
        <v>2020</v>
      </c>
      <c r="G31" s="222">
        <v>2020.0</v>
      </c>
      <c r="H31" s="279"/>
      <c r="I31" s="279"/>
    </row>
    <row r="32">
      <c r="A32" s="269"/>
      <c r="B32" s="224">
        <v>19.0</v>
      </c>
      <c r="C32" s="288"/>
      <c r="D32" s="233" t="s">
        <v>1087</v>
      </c>
      <c r="E32" s="229" t="s">
        <v>229</v>
      </c>
      <c r="F32" s="301" t="str">
        <f t="array" ref="F32:G32">VLOOKUP(D32,MASTER!$C$2:$F60,{3,4},0)</f>
        <v>NEW</v>
      </c>
      <c r="G32" s="222">
        <v>7270.0</v>
      </c>
      <c r="H32" s="279"/>
      <c r="I32" s="232" t="s">
        <v>377</v>
      </c>
    </row>
    <row r="33">
      <c r="A33" s="269"/>
      <c r="B33" s="120"/>
      <c r="C33" s="290"/>
      <c r="D33" s="233" t="s">
        <v>392</v>
      </c>
      <c r="E33" s="229" t="s">
        <v>1254</v>
      </c>
      <c r="F33" s="301" t="str">
        <f t="array" ref="F33:G33">VLOOKUP(D33,MASTER!$C$2:$F60,{3,4},0)</f>
        <v>NEW</v>
      </c>
      <c r="G33" s="222">
        <v>4750.0</v>
      </c>
      <c r="H33" s="279"/>
      <c r="I33" s="232" t="s">
        <v>377</v>
      </c>
    </row>
    <row r="34">
      <c r="A34" s="269"/>
      <c r="B34" s="145"/>
      <c r="C34" s="288"/>
      <c r="D34" s="233" t="s">
        <v>1090</v>
      </c>
      <c r="E34" s="229" t="s">
        <v>386</v>
      </c>
      <c r="F34" s="301" t="str">
        <f t="array" ref="F34:G34">VLOOKUP(D34,MASTER!$C$2:$F60,{3,4},0)</f>
        <v>NEW</v>
      </c>
      <c r="G34" s="222">
        <v>2520.0</v>
      </c>
      <c r="H34" s="279"/>
      <c r="I34" s="232" t="s">
        <v>377</v>
      </c>
    </row>
    <row r="35">
      <c r="A35" s="269" t="s">
        <v>249</v>
      </c>
      <c r="B35" s="224">
        <v>20.0</v>
      </c>
      <c r="C35" s="288" t="s">
        <v>1464</v>
      </c>
      <c r="D35" s="233" t="s">
        <v>1108</v>
      </c>
      <c r="E35" s="220" t="str">
        <f>VLOOKUP(TEXT(A35,"#"),Main!$A$2:$C60,3,0)</f>
        <v>Single Lever 3 In Let Concealed Diverter Bath &amp; Shower 46mm (ON-OFF)</v>
      </c>
      <c r="F35" s="222">
        <f t="array" ref="F35:G35">VLOOKUP(D35,MASTER!$C$2:$F60,{3,4},0)</f>
        <v>6760</v>
      </c>
      <c r="G35" s="222">
        <v>7270.0</v>
      </c>
      <c r="H35" s="279"/>
      <c r="I35" s="279"/>
    </row>
    <row r="36">
      <c r="A36" s="269" t="s">
        <v>253</v>
      </c>
      <c r="B36" s="120"/>
      <c r="C36" s="288" t="s">
        <v>1447</v>
      </c>
      <c r="D36" s="233" t="s">
        <v>253</v>
      </c>
      <c r="E36" s="220" t="str">
        <f>VLOOKUP(TEXT(A36,"#"),Main!$A$2:$C60,3,0)</f>
        <v>3 In Let Concealed Diverter Body 46mm (Cartridge, Sleeve, On-Off Assembly)</v>
      </c>
      <c r="F36" s="222">
        <f t="array" ref="F36:G36">VLOOKUP(D36,MASTER!$C$2:$F60,{3,4},0)</f>
        <v>4740</v>
      </c>
      <c r="G36" s="222">
        <v>5250.0</v>
      </c>
      <c r="H36" s="279"/>
      <c r="I36" s="279"/>
    </row>
    <row r="37">
      <c r="A37" s="269" t="s">
        <v>258</v>
      </c>
      <c r="B37" s="145"/>
      <c r="C37" s="288" t="s">
        <v>1467</v>
      </c>
      <c r="D37" s="233" t="s">
        <v>1112</v>
      </c>
      <c r="E37" s="220" t="str">
        <f>VLOOKUP(TEXT(A37,"#"),Main!$A$2:$C60,3,0)</f>
        <v>Exposed Parts (Wall Flange &amp; Handle)</v>
      </c>
      <c r="F37" s="222">
        <f t="array" ref="F37:G37">VLOOKUP(D37,MASTER!$C$2:$F60,{3,4},0)</f>
        <v>2020</v>
      </c>
      <c r="G37" s="222">
        <v>2020.0</v>
      </c>
      <c r="H37" s="279"/>
      <c r="I37" s="279"/>
    </row>
    <row r="38">
      <c r="A38" s="56" t="str">
        <f t="shared" ref="A38:A39" si="3">RIGHT(D38,2)</f>
        <v>02</v>
      </c>
      <c r="B38" s="224">
        <v>21.0</v>
      </c>
      <c r="C38" s="262">
        <v>6802.0</v>
      </c>
      <c r="D38" s="262">
        <v>6802.0</v>
      </c>
      <c r="E38" s="220" t="str">
        <f>VLOOKUP(TEXT(A38,"#"),Main!$A$2:$C60,3,0)</f>
        <v>Pillar Cock</v>
      </c>
      <c r="F38" s="222">
        <f t="array" ref="F38:G38">VLOOKUP(D38,MASTER!$C$2:$F60,{3,4},0)</f>
        <v>1770</v>
      </c>
      <c r="G38" s="222">
        <v>1920.0</v>
      </c>
      <c r="H38" s="279"/>
      <c r="I38" s="279"/>
    </row>
    <row r="39">
      <c r="A39" s="56" t="str">
        <f t="shared" si="3"/>
        <v>03</v>
      </c>
      <c r="B39" s="224">
        <v>22.0</v>
      </c>
      <c r="C39" s="262">
        <v>6803.0</v>
      </c>
      <c r="D39" s="262">
        <v>6803.0</v>
      </c>
      <c r="E39" s="220" t="str">
        <f>VLOOKUP(TEXT(A39,"#"),Main!$A$2:$C60,3,0)</f>
        <v>Pillar Cock Tall Body</v>
      </c>
      <c r="F39" s="222">
        <f t="array" ref="F39:G39">VLOOKUP(D39,MASTER!$C$2:$F60,{3,4},0)</f>
        <v>3680</v>
      </c>
      <c r="G39" s="222">
        <v>3980.0</v>
      </c>
      <c r="H39" s="279"/>
      <c r="I39" s="279"/>
    </row>
    <row r="40">
      <c r="A40" s="56" t="str">
        <f>RIGHT(D40,4)</f>
        <v>03-S</v>
      </c>
      <c r="B40" s="224">
        <v>23.0</v>
      </c>
      <c r="C40" s="262"/>
      <c r="D40" s="233" t="s">
        <v>1050</v>
      </c>
      <c r="E40" s="229" t="s">
        <v>39</v>
      </c>
      <c r="F40" s="222">
        <f t="array" ref="F40:G40">VLOOKUP(D40,MASTER!$C$2:$F60,{3,4},0)</f>
        <v>3330</v>
      </c>
      <c r="G40" s="222">
        <v>3680.0</v>
      </c>
      <c r="H40" s="279"/>
      <c r="I40" s="302"/>
    </row>
    <row r="41">
      <c r="A41" s="56" t="str">
        <f t="shared" ref="A41:A43" si="4">RIGHT(D41,2)</f>
        <v>04</v>
      </c>
      <c r="B41" s="224">
        <v>24.0</v>
      </c>
      <c r="C41" s="233">
        <v>6804.0</v>
      </c>
      <c r="D41" s="233">
        <v>6804.0</v>
      </c>
      <c r="E41" s="220" t="str">
        <f>VLOOKUP(TEXT(A41,"#"),Main!$A$2:$C60,3,0)</f>
        <v>Pillar Cock Extended Body</v>
      </c>
      <c r="F41" s="222">
        <f t="array" ref="F41:G41">VLOOKUP(D41,MASTER!$C$2:$F60,{3,4},0)</f>
        <v>2190</v>
      </c>
      <c r="G41" s="222">
        <v>2440.0</v>
      </c>
      <c r="H41" s="279"/>
      <c r="I41" s="302"/>
    </row>
    <row r="42">
      <c r="A42" s="56" t="str">
        <f t="shared" si="4"/>
        <v>05</v>
      </c>
      <c r="B42" s="224">
        <v>25.0</v>
      </c>
      <c r="C42" s="233">
        <v>6805.0</v>
      </c>
      <c r="D42" s="233">
        <v>6805.0</v>
      </c>
      <c r="E42" s="220" t="str">
        <f>VLOOKUP(TEXT(A42,"#"),Main!$A$2:$C60,3,0)</f>
        <v>Bib Cock Nozzle with Wall Flange</v>
      </c>
      <c r="F42" s="222">
        <f t="array" ref="F42:G42">VLOOKUP(D42,MASTER!$C$2:$F60,{3,4},0)</f>
        <v>1590</v>
      </c>
      <c r="G42" s="222">
        <v>1690.0</v>
      </c>
      <c r="H42" s="279"/>
      <c r="I42" s="302"/>
    </row>
    <row r="43">
      <c r="A43" s="56" t="str">
        <f t="shared" si="4"/>
        <v>07</v>
      </c>
      <c r="B43" s="224">
        <v>26.0</v>
      </c>
      <c r="C43" s="262"/>
      <c r="D43" s="233">
        <v>6807.0</v>
      </c>
      <c r="E43" s="220" t="str">
        <f>VLOOKUP(TEXT(A43,"#"),Main!$A$2:$C60,3,0)</f>
        <v>Concealed Wall Mount Pillar Cock</v>
      </c>
      <c r="F43" s="222">
        <f t="array" ref="F43:G43">VLOOKUP(D43,MASTER!$C$2:$F60,{3,4},0)</f>
        <v>2730</v>
      </c>
      <c r="G43" s="222">
        <v>2880.0</v>
      </c>
      <c r="H43" s="279"/>
      <c r="I43" s="302"/>
    </row>
    <row r="44">
      <c r="A44" s="225" t="s">
        <v>73</v>
      </c>
      <c r="B44" s="120"/>
      <c r="C44" s="262"/>
      <c r="D44" s="233" t="s">
        <v>73</v>
      </c>
      <c r="E44" s="220" t="str">
        <f>VLOOKUP(TEXT(A44,"#"),Main!$A$2:$C60,3,0)</f>
        <v>Concealed Pillar Cock Body 15mm</v>
      </c>
      <c r="F44" s="222">
        <f t="array" ref="F44:G44">VLOOKUP(D44,MASTER!$C$2:$F60,{3,4},0)</f>
        <v>1390</v>
      </c>
      <c r="G44" s="222">
        <v>1490.0</v>
      </c>
      <c r="H44" s="279"/>
      <c r="I44" s="302"/>
    </row>
    <row r="45">
      <c r="A45" s="225" t="s">
        <v>77</v>
      </c>
      <c r="B45" s="120"/>
      <c r="C45" s="262"/>
      <c r="D45" s="233" t="s">
        <v>1054</v>
      </c>
      <c r="E45" s="220" t="str">
        <f>VLOOKUP(TEXT(A45,"#"),Main!$A$2:$C60,3,0)</f>
        <v>Exposed Parts (Wall Flange, Handle &amp; Spout)</v>
      </c>
      <c r="F45" s="222">
        <f t="array" ref="F45:G45">VLOOKUP(D45,MASTER!$C$2:$F60,{3,4},0)</f>
        <v>1340</v>
      </c>
      <c r="G45" s="222">
        <v>1390.0</v>
      </c>
      <c r="H45" s="279"/>
      <c r="I45" s="302"/>
    </row>
    <row r="46">
      <c r="A46" s="56" t="str">
        <f t="shared" ref="A46:A54" si="5">RIGHT(D46,2)</f>
        <v>06</v>
      </c>
      <c r="B46" s="224">
        <v>27.0</v>
      </c>
      <c r="C46" s="262">
        <v>6806.0</v>
      </c>
      <c r="D46" s="262">
        <v>6806.0</v>
      </c>
      <c r="E46" s="220" t="str">
        <f>VLOOKUP(TEXT(A46,"#"),Main!$A$2:$C60,3,0)</f>
        <v>Bib Cock with Wall Flange</v>
      </c>
      <c r="F46" s="222">
        <f t="array" ref="F46:G46">VLOOKUP(D46,MASTER!$C$2:$F60,{3,4},0)</f>
        <v>1450</v>
      </c>
      <c r="G46" s="222">
        <v>1580.0</v>
      </c>
      <c r="H46" s="279"/>
      <c r="I46" s="279"/>
    </row>
    <row r="47">
      <c r="A47" s="56" t="str">
        <f t="shared" si="5"/>
        <v>08</v>
      </c>
      <c r="B47" s="224">
        <v>28.0</v>
      </c>
      <c r="C47" s="262">
        <v>6808.0</v>
      </c>
      <c r="D47" s="219">
        <v>6808.0</v>
      </c>
      <c r="E47" s="220" t="str">
        <f>VLOOKUP(TEXT(A47,"#"),Main!$A$2:$C60,3,0)</f>
        <v>Bib Cock Long Body with Wall Flange</v>
      </c>
      <c r="F47" s="222">
        <f t="array" ref="F47:G47">VLOOKUP(D47,MASTER!$C$2:$F60,{3,4},0)</f>
        <v>1590</v>
      </c>
      <c r="G47" s="222">
        <v>1740.0</v>
      </c>
      <c r="H47" s="279"/>
      <c r="I47" s="279"/>
    </row>
    <row r="48">
      <c r="A48" s="56" t="str">
        <f t="shared" si="5"/>
        <v>10</v>
      </c>
      <c r="B48" s="224">
        <v>29.0</v>
      </c>
      <c r="C48" s="262">
        <v>6810.0</v>
      </c>
      <c r="D48" s="262">
        <v>6810.0</v>
      </c>
      <c r="E48" s="220" t="str">
        <f>VLOOKUP(TEXT(A48,"#"),Main!$A$2:$C60,3,0)</f>
        <v>Angular Stop Cock with Wall Flange</v>
      </c>
      <c r="F48" s="222">
        <f t="array" ref="F48:G48">VLOOKUP(D48,MASTER!$C$2:$F60,{3,4},0)</f>
        <v>1020</v>
      </c>
      <c r="G48" s="222">
        <v>1140.0</v>
      </c>
      <c r="H48" s="279"/>
      <c r="I48" s="279"/>
    </row>
    <row r="49">
      <c r="A49" s="56" t="str">
        <f t="shared" si="5"/>
        <v>11</v>
      </c>
      <c r="B49" s="224">
        <v>30.0</v>
      </c>
      <c r="C49" s="262">
        <v>6811.0</v>
      </c>
      <c r="D49" s="262">
        <v>6811.0</v>
      </c>
      <c r="E49" s="220" t="str">
        <f>VLOOKUP(TEXT(A49,"#"),Main!$A$2:$C60,3,0)</f>
        <v>2-Way Angular Stop Cock with Wall Flange</v>
      </c>
      <c r="F49" s="222">
        <f t="array" ref="F49:G49">VLOOKUP(D49,MASTER!$C$2:$F60,{3,4},0)</f>
        <v>1790</v>
      </c>
      <c r="G49" s="222">
        <v>1940.0</v>
      </c>
      <c r="H49" s="279"/>
      <c r="I49" s="279"/>
    </row>
    <row r="50">
      <c r="A50" s="56" t="str">
        <f t="shared" si="5"/>
        <v>12</v>
      </c>
      <c r="B50" s="224">
        <v>31.0</v>
      </c>
      <c r="C50" s="262">
        <v>6812.0</v>
      </c>
      <c r="D50" s="262">
        <v>6812.0</v>
      </c>
      <c r="E50" s="220" t="str">
        <f>VLOOKUP(TEXT(A50,"#"),Main!$A$2:$C60,3,0)</f>
        <v>2-Way Bib Cock Double Handle with Wall Flange</v>
      </c>
      <c r="F50" s="222">
        <f t="array" ref="F50:G50">VLOOKUP(D50,MASTER!$C$2:$F60,{3,4},0)</f>
        <v>2390</v>
      </c>
      <c r="G50" s="222">
        <v>2590.0</v>
      </c>
      <c r="H50" s="279"/>
      <c r="I50" s="279"/>
    </row>
    <row r="51">
      <c r="A51" s="56" t="str">
        <f t="shared" si="5"/>
        <v>13</v>
      </c>
      <c r="B51" s="224">
        <v>32.0</v>
      </c>
      <c r="C51" s="233">
        <v>6813.0</v>
      </c>
      <c r="D51" s="233">
        <v>6813.0</v>
      </c>
      <c r="E51" s="220" t="str">
        <f>VLOOKUP(TEXT(A51,"#"),Main!$A$2:$C60,3,0)</f>
        <v>2-Way Bib Cock Single Handle with Wall Flange</v>
      </c>
      <c r="F51" s="222">
        <f t="array" ref="F51:G51">VLOOKUP(D51,MASTER!$C$2:$F60,{3,4},0)</f>
        <v>2090</v>
      </c>
      <c r="G51" s="222">
        <v>2340.0</v>
      </c>
      <c r="H51" s="279"/>
      <c r="I51" s="279"/>
    </row>
    <row r="52">
      <c r="A52" s="56" t="str">
        <f t="shared" si="5"/>
        <v>18</v>
      </c>
      <c r="B52" s="218">
        <v>33.0</v>
      </c>
      <c r="C52" s="262">
        <v>6818.0</v>
      </c>
      <c r="D52" s="262">
        <v>6818.0</v>
      </c>
      <c r="E52" s="220" t="str">
        <f>VLOOKUP(TEXT(A52,"#"),Main!$A$2:$C60,3,0)</f>
        <v>Concealed Stop Cock 15mm with Wall Flange</v>
      </c>
      <c r="F52" s="222">
        <f t="array" ref="F52:G52">VLOOKUP(D52,MASTER!$C$2:$F60,{3,4},0)</f>
        <v>1340</v>
      </c>
      <c r="G52" s="222">
        <v>1450.0</v>
      </c>
      <c r="H52" s="279"/>
      <c r="I52" s="279"/>
    </row>
    <row r="53">
      <c r="A53" s="56" t="str">
        <f t="shared" si="5"/>
        <v>20</v>
      </c>
      <c r="B53" s="218">
        <v>34.0</v>
      </c>
      <c r="C53" s="262">
        <v>6820.0</v>
      </c>
      <c r="D53" s="262">
        <v>6820.0</v>
      </c>
      <c r="E53" s="220" t="str">
        <f>VLOOKUP(TEXT(A53,"#"),Main!$A$2:$C60,3,0)</f>
        <v>Concealed Stop Cock 20mm with Wall Flange</v>
      </c>
      <c r="F53" s="222">
        <f t="array" ref="F53:G53">VLOOKUP(D53,MASTER!$C$2:$F60,{3,4},0)</f>
        <v>1380</v>
      </c>
      <c r="G53" s="222">
        <v>1490.0</v>
      </c>
      <c r="H53" s="279"/>
      <c r="I53" s="279"/>
    </row>
    <row r="54">
      <c r="A54" s="56" t="str">
        <f t="shared" si="5"/>
        <v>98</v>
      </c>
      <c r="B54" s="218">
        <v>35.0</v>
      </c>
      <c r="C54" s="262">
        <v>6898.0</v>
      </c>
      <c r="D54" s="262">
        <v>6898.0</v>
      </c>
      <c r="E54" s="220" t="str">
        <f>VLOOKUP(TEXT(A54,"#"),Main!$A$2:$C60,3,0)</f>
        <v>Flush Cock 25mm Half Turn with Adjustable Flange</v>
      </c>
      <c r="F54" s="222">
        <f t="array" ref="F54:G54">VLOOKUP(D54,MASTER!$C$2:$F60,{3,4},0)</f>
        <v>2310</v>
      </c>
      <c r="G54" s="222">
        <v>2490.0</v>
      </c>
      <c r="H54" s="279"/>
      <c r="I54" s="279"/>
    </row>
    <row r="55">
      <c r="A55" s="304"/>
      <c r="B55" s="298"/>
      <c r="C55" s="298"/>
      <c r="D55" s="298"/>
      <c r="E55" s="305"/>
      <c r="F55" s="304"/>
      <c r="G55" s="304"/>
      <c r="H55" s="304"/>
      <c r="I55" s="304"/>
    </row>
    <row r="56">
      <c r="A56" s="304"/>
      <c r="B56" s="298"/>
      <c r="C56" s="298"/>
      <c r="D56" s="298"/>
      <c r="E56" s="305"/>
      <c r="F56" s="304"/>
      <c r="G56" s="304"/>
      <c r="H56" s="304"/>
      <c r="I56" s="304"/>
    </row>
    <row r="57">
      <c r="A57" s="304"/>
      <c r="B57" s="298"/>
      <c r="C57" s="298"/>
      <c r="D57" s="298"/>
      <c r="E57" s="305"/>
      <c r="F57" s="304"/>
      <c r="G57" s="304"/>
      <c r="H57" s="304"/>
      <c r="I57" s="304"/>
    </row>
    <row r="58">
      <c r="A58" s="304"/>
      <c r="B58" s="298"/>
      <c r="C58" s="298"/>
      <c r="D58" s="298"/>
      <c r="E58" s="305"/>
      <c r="F58" s="304"/>
      <c r="G58" s="304"/>
      <c r="H58" s="304"/>
      <c r="I58" s="304"/>
    </row>
    <row r="59">
      <c r="A59" s="304"/>
      <c r="B59" s="298"/>
      <c r="C59" s="298"/>
      <c r="D59" s="298"/>
      <c r="E59" s="305"/>
      <c r="F59" s="304"/>
      <c r="G59" s="304"/>
      <c r="H59" s="304"/>
      <c r="I59" s="304"/>
    </row>
    <row r="60">
      <c r="A60" s="304"/>
      <c r="B60" s="298"/>
      <c r="C60" s="298"/>
      <c r="D60" s="298"/>
      <c r="E60" s="305"/>
      <c r="F60" s="304"/>
      <c r="G60" s="304"/>
      <c r="H60" s="304"/>
      <c r="I60" s="304"/>
    </row>
  </sheetData>
  <mergeCells count="9">
    <mergeCell ref="B35:B37"/>
    <mergeCell ref="B43:B45"/>
    <mergeCell ref="B5:B7"/>
    <mergeCell ref="B17:B19"/>
    <mergeCell ref="B20:B22"/>
    <mergeCell ref="B23:B25"/>
    <mergeCell ref="B26:B28"/>
    <mergeCell ref="B29:B31"/>
    <mergeCell ref="B32:B34"/>
  </mergeCells>
  <printOptions gridLines="1"/>
  <pageMargins bottom="0.75" footer="0.0" header="0.0" left="0.25" right="0.25" top="0.75"/>
  <pageSetup paperSize="9" cellComments="atEnd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5.63"/>
    <col customWidth="1" min="2" max="2" width="7.13"/>
    <col customWidth="1" min="3" max="3" width="9.38"/>
    <col customWidth="1" min="4" max="4" width="71.38"/>
    <col customWidth="1" min="5" max="5" width="11.38"/>
    <col customWidth="1" min="6" max="6" width="13.0"/>
    <col customWidth="1" hidden="1" min="7" max="7" width="8.13"/>
  </cols>
  <sheetData>
    <row r="1" ht="75.0" customHeight="1">
      <c r="A1" s="3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</row>
    <row r="2">
      <c r="A2" s="299" t="str">
        <f t="shared" ref="A2:A13" si="1">RIGHT(C2,2)</f>
        <v>50</v>
      </c>
      <c r="B2" s="256">
        <v>1.0</v>
      </c>
      <c r="C2" s="219">
        <v>7450.0</v>
      </c>
      <c r="D2" s="259" t="str">
        <f>VLOOKUP(TEXT(A2,"#"),Main!$A$2:$C27,3,0)</f>
        <v>Center Hole Basin Mixer without Popup</v>
      </c>
      <c r="E2" s="222">
        <f t="array" ref="E2:F2">VLOOKUP(C2,MASTER!$C$2:$F27,{3,4},0)</f>
        <v>4980</v>
      </c>
      <c r="F2" s="222">
        <v>5480.0</v>
      </c>
      <c r="G2" s="3"/>
    </row>
    <row r="3">
      <c r="A3" s="299" t="str">
        <f t="shared" si="1"/>
        <v>70</v>
      </c>
      <c r="B3" s="256">
        <v>2.0</v>
      </c>
      <c r="C3" s="219">
        <v>7470.0</v>
      </c>
      <c r="D3" s="259" t="str">
        <f>VLOOKUP(TEXT(A3,"#"),Main!$A$2:$C27,3,0)</f>
        <v>Wall Mixer Telephonic with Crutch &amp; Wall Flange (Provision For Hand Shower)</v>
      </c>
      <c r="E3" s="222">
        <f t="array" ref="E3:F3">VLOOKUP(C3,MASTER!$C$2:$F27,{3,4},0)</f>
        <v>6980</v>
      </c>
      <c r="F3" s="222">
        <v>7680.0</v>
      </c>
      <c r="G3" s="3"/>
    </row>
    <row r="4">
      <c r="A4" s="299" t="str">
        <f t="shared" si="1"/>
        <v>75</v>
      </c>
      <c r="B4" s="256">
        <v>3.0</v>
      </c>
      <c r="C4" s="219">
        <v>7475.0</v>
      </c>
      <c r="D4" s="259" t="str">
        <f>VLOOKUP(TEXT(A4,"#"),Main!$A$2:$C27,3,0)</f>
        <v>Wall Mixer "L" Bend with Wall Flange (Provision For Over Head Shower)</v>
      </c>
      <c r="E4" s="222">
        <f t="array" ref="E4:F4">VLOOKUP(C4,MASTER!$C$2:$F27,{3,4},0)</f>
        <v>6980</v>
      </c>
      <c r="F4" s="222">
        <v>7680.0</v>
      </c>
      <c r="G4" s="3"/>
    </row>
    <row r="5">
      <c r="A5" s="299" t="str">
        <f t="shared" si="1"/>
        <v>80</v>
      </c>
      <c r="B5" s="256">
        <v>4.0</v>
      </c>
      <c r="C5" s="219">
        <v>7480.0</v>
      </c>
      <c r="D5" s="259" t="str">
        <f>VLOOKUP(TEXT(A5,"#"),Main!$A$2:$C27,3,0)</f>
        <v>Wall Mixer 3 In 1 with Wall Flange (Provision For Over Head Shower &amp; Hand Shower)</v>
      </c>
      <c r="E5" s="222">
        <f t="array" ref="E5:F5">VLOOKUP(C5,MASTER!$C$2:$F27,{3,4},0)</f>
        <v>7790</v>
      </c>
      <c r="F5" s="222">
        <v>8540.0</v>
      </c>
      <c r="G5" s="3"/>
    </row>
    <row r="6">
      <c r="A6" s="299" t="str">
        <f t="shared" si="1"/>
        <v>55</v>
      </c>
      <c r="B6" s="267">
        <v>5.0</v>
      </c>
      <c r="C6" s="219">
        <v>7455.0</v>
      </c>
      <c r="D6" s="259" t="str">
        <f>VLOOKUP(TEXT(A6,"#"),Main!$A$2:$C27,3,0)</f>
        <v>Sink Mixer with Regular Spout Wall Mounted with Flange</v>
      </c>
      <c r="E6" s="222">
        <f t="array" ref="E6:F6">VLOOKUP(C6,MASTER!$C$2:$F27,{3,4},0)</f>
        <v>5490</v>
      </c>
      <c r="F6" s="222">
        <v>5990.0</v>
      </c>
      <c r="G6" s="3"/>
    </row>
    <row r="7">
      <c r="A7" s="299" t="str">
        <f t="shared" si="1"/>
        <v>14</v>
      </c>
      <c r="B7" s="267">
        <v>6.0</v>
      </c>
      <c r="C7" s="219">
        <v>7414.0</v>
      </c>
      <c r="D7" s="259" t="str">
        <f>VLOOKUP(TEXT(A7,"#"),Main!$A$2:$C27,3,0)</f>
        <v>Swan Neck Table Mounted</v>
      </c>
      <c r="E7" s="222">
        <f t="array" ref="E7:F7">VLOOKUP(C7,MASTER!$C$2:$F27,{3,4},0)</f>
        <v>2690</v>
      </c>
      <c r="F7" s="222">
        <v>2950.0</v>
      </c>
      <c r="G7" s="3"/>
    </row>
    <row r="8">
      <c r="A8" s="299" t="str">
        <f t="shared" si="1"/>
        <v>16</v>
      </c>
      <c r="B8" s="267">
        <v>7.0</v>
      </c>
      <c r="C8" s="219">
        <v>7416.0</v>
      </c>
      <c r="D8" s="259" t="str">
        <f>VLOOKUP(TEXT(A8,"#"),Main!$A$2:$C27,3,0)</f>
        <v>Sink Cock Wall Mounted with Flange</v>
      </c>
      <c r="E8" s="222">
        <f t="array" ref="E8:F8">VLOOKUP(C8,MASTER!$C$2:$F27,{3,4},0)</f>
        <v>2390</v>
      </c>
      <c r="F8" s="222">
        <v>2580.0</v>
      </c>
      <c r="G8" s="3"/>
    </row>
    <row r="9">
      <c r="A9" s="299" t="str">
        <f t="shared" si="1"/>
        <v>02</v>
      </c>
      <c r="B9" s="256">
        <v>8.0</v>
      </c>
      <c r="C9" s="219">
        <v>7402.0</v>
      </c>
      <c r="D9" s="259" t="str">
        <f>VLOOKUP(TEXT(A9,"#"),Main!$A$2:$C27,3,0)</f>
        <v>Pillar Cock</v>
      </c>
      <c r="E9" s="222">
        <f t="array" ref="E9:F9">VLOOKUP(C9,MASTER!$C$2:$F27,{3,4},0)</f>
        <v>1790</v>
      </c>
      <c r="F9" s="222">
        <v>1990.0</v>
      </c>
      <c r="G9" s="3"/>
    </row>
    <row r="10">
      <c r="A10" s="299" t="str">
        <f t="shared" si="1"/>
        <v>03</v>
      </c>
      <c r="B10" s="256">
        <v>9.0</v>
      </c>
      <c r="C10" s="219">
        <v>7403.0</v>
      </c>
      <c r="D10" s="259" t="str">
        <f>VLOOKUP(TEXT(A10,"#"),Main!$A$2:$C27,3,0)</f>
        <v>Pillar Cock Tall Body</v>
      </c>
      <c r="E10" s="222">
        <f t="array" ref="E10:F10">VLOOKUP(C10,MASTER!$C$2:$F27,{3,4},0)</f>
        <v>3770</v>
      </c>
      <c r="F10" s="222">
        <v>3990.0</v>
      </c>
      <c r="G10" s="3"/>
    </row>
    <row r="11">
      <c r="A11" s="299" t="str">
        <f t="shared" si="1"/>
        <v>04</v>
      </c>
      <c r="B11" s="256">
        <v>10.0</v>
      </c>
      <c r="C11" s="219">
        <v>7404.0</v>
      </c>
      <c r="D11" s="259" t="str">
        <f>VLOOKUP(TEXT(A11,"#"),Main!$A$2:$C27,3,0)</f>
        <v>Pillar Cock Extended Body</v>
      </c>
      <c r="E11" s="222">
        <f t="array" ref="E11:F11">VLOOKUP(C11,MASTER!$C$2:$F27,{3,4},0)</f>
        <v>2390</v>
      </c>
      <c r="F11" s="222">
        <v>2690.0</v>
      </c>
      <c r="G11" s="3"/>
    </row>
    <row r="12">
      <c r="A12" s="299" t="str">
        <f t="shared" si="1"/>
        <v>06</v>
      </c>
      <c r="B12" s="256">
        <v>11.0</v>
      </c>
      <c r="C12" s="219">
        <v>7406.0</v>
      </c>
      <c r="D12" s="259" t="str">
        <f>VLOOKUP(TEXT(A12,"#"),Main!$A$2:$C27,3,0)</f>
        <v>Bib Cock with Wall Flange</v>
      </c>
      <c r="E12" s="222">
        <f t="array" ref="E12:F12">VLOOKUP(C12,MASTER!$C$2:$F27,{3,4},0)</f>
        <v>1590</v>
      </c>
      <c r="F12" s="222">
        <v>1740.0</v>
      </c>
      <c r="G12" s="3"/>
    </row>
    <row r="13">
      <c r="A13" s="299" t="str">
        <f t="shared" si="1"/>
        <v>07</v>
      </c>
      <c r="B13" s="267">
        <v>12.0</v>
      </c>
      <c r="C13" s="218">
        <v>7407.0</v>
      </c>
      <c r="D13" s="259" t="str">
        <f>VLOOKUP(TEXT(A13,"#"),Main!$A$2:$C27,3,0)</f>
        <v>Concealed Wall Mount Pillar Cock</v>
      </c>
      <c r="E13" s="222">
        <f t="array" ref="E13:F13">VLOOKUP(C13,MASTER!$C$2:$F27,{3,4},0)</f>
        <v>2680</v>
      </c>
      <c r="F13" s="222">
        <v>2880.0</v>
      </c>
      <c r="G13" s="3"/>
    </row>
    <row r="14">
      <c r="A14" s="289" t="s">
        <v>73</v>
      </c>
      <c r="B14" s="120"/>
      <c r="C14" s="218" t="s">
        <v>73</v>
      </c>
      <c r="D14" s="259" t="str">
        <f>VLOOKUP(TEXT(A14,"#"),Main!$A$2:$C27,3,0)</f>
        <v>Concealed Pillar Cock Body 15mm</v>
      </c>
      <c r="E14" s="222">
        <f t="array" ref="E14:F14">VLOOKUP(C14,MASTER!$C$2:$F27,{3,4},0)</f>
        <v>1390</v>
      </c>
      <c r="F14" s="222">
        <v>1490.0</v>
      </c>
      <c r="G14" s="3"/>
    </row>
    <row r="15">
      <c r="A15" s="289" t="s">
        <v>77</v>
      </c>
      <c r="B15" s="145"/>
      <c r="C15" s="218" t="s">
        <v>1122</v>
      </c>
      <c r="D15" s="259" t="str">
        <f>VLOOKUP(TEXT(A15,"#"),Main!$A$2:$C27,3,0)</f>
        <v>Exposed Parts (Wall Flange, Handle &amp; Spout)</v>
      </c>
      <c r="E15" s="222">
        <f t="array" ref="E15:F15">VLOOKUP(C15,MASTER!$C$2:$F27,{3,4},0)</f>
        <v>1290</v>
      </c>
      <c r="F15" s="222">
        <v>1390.0</v>
      </c>
      <c r="G15" s="3"/>
    </row>
    <row r="16">
      <c r="A16" s="299" t="str">
        <f t="shared" ref="A16:A22" si="2">RIGHT(C16,2)</f>
        <v>08</v>
      </c>
      <c r="B16" s="256">
        <v>13.0</v>
      </c>
      <c r="C16" s="219">
        <v>7408.0</v>
      </c>
      <c r="D16" s="259" t="str">
        <f>VLOOKUP(TEXT(A16,"#"),Main!$A$2:$C27,3,0)</f>
        <v>Bib Cock Long Body with Wall Flange</v>
      </c>
      <c r="E16" s="222">
        <f t="array" ref="E16:F16">VLOOKUP(C16,MASTER!$C$2:$F27,{3,4},0)</f>
        <v>1930</v>
      </c>
      <c r="F16" s="222">
        <v>2080.0</v>
      </c>
      <c r="G16" s="3"/>
    </row>
    <row r="17">
      <c r="A17" s="299" t="str">
        <f t="shared" si="2"/>
        <v>10</v>
      </c>
      <c r="B17" s="256">
        <v>14.0</v>
      </c>
      <c r="C17" s="219">
        <v>7410.0</v>
      </c>
      <c r="D17" s="259" t="str">
        <f>VLOOKUP(TEXT(A17,"#"),Main!$A$2:$C27,3,0)</f>
        <v>Angular Stop Cock with Wall Flange</v>
      </c>
      <c r="E17" s="222">
        <f t="array" ref="E17:F17">VLOOKUP(C17,MASTER!$C$2:$F27,{3,4},0)</f>
        <v>1360</v>
      </c>
      <c r="F17" s="222">
        <v>1460.0</v>
      </c>
      <c r="G17" s="3"/>
    </row>
    <row r="18">
      <c r="A18" s="299" t="str">
        <f t="shared" si="2"/>
        <v>11</v>
      </c>
      <c r="B18" s="256">
        <v>15.0</v>
      </c>
      <c r="C18" s="219">
        <v>7411.0</v>
      </c>
      <c r="D18" s="259" t="str">
        <f>VLOOKUP(TEXT(A18,"#"),Main!$A$2:$C27,3,0)</f>
        <v>2-Way Angular Stop Cock with Wall Flange</v>
      </c>
      <c r="E18" s="222">
        <f t="array" ref="E18:F18">VLOOKUP(C18,MASTER!$C$2:$F27,{3,4},0)</f>
        <v>2290</v>
      </c>
      <c r="F18" s="222">
        <v>2620.0</v>
      </c>
      <c r="G18" s="3"/>
    </row>
    <row r="19">
      <c r="A19" s="299" t="str">
        <f t="shared" si="2"/>
        <v>12</v>
      </c>
      <c r="B19" s="256">
        <v>16.0</v>
      </c>
      <c r="C19" s="219">
        <v>7412.0</v>
      </c>
      <c r="D19" s="259" t="str">
        <f>VLOOKUP(TEXT(A19,"#"),Main!$A$2:$C27,3,0)</f>
        <v>2-Way Bib Cock Double Handle with Wall Flange</v>
      </c>
      <c r="E19" s="222">
        <f t="array" ref="E19:F19">VLOOKUP(C19,MASTER!$C$2:$F27,{3,4},0)</f>
        <v>2490</v>
      </c>
      <c r="F19" s="222">
        <v>2830.0</v>
      </c>
      <c r="G19" s="3"/>
    </row>
    <row r="20">
      <c r="A20" s="299" t="str">
        <f t="shared" si="2"/>
        <v>18</v>
      </c>
      <c r="B20" s="256">
        <v>17.0</v>
      </c>
      <c r="C20" s="219">
        <v>7418.0</v>
      </c>
      <c r="D20" s="259" t="str">
        <f>VLOOKUP(TEXT(A20,"#"),Main!$A$2:$C27,3,0)</f>
        <v>Concealed Stop Cock 15mm with Wall Flange</v>
      </c>
      <c r="E20" s="222">
        <f t="array" ref="E20:F20">VLOOKUP(C20,MASTER!$C$2:$F27,{3,4},0)</f>
        <v>1640</v>
      </c>
      <c r="F20" s="222">
        <v>1780.0</v>
      </c>
      <c r="G20" s="3"/>
    </row>
    <row r="21">
      <c r="A21" s="299" t="str">
        <f t="shared" si="2"/>
        <v>20</v>
      </c>
      <c r="B21" s="256">
        <v>18.0</v>
      </c>
      <c r="C21" s="219">
        <v>7420.0</v>
      </c>
      <c r="D21" s="259" t="str">
        <f>VLOOKUP(TEXT(A21,"#"),Main!$A$2:$C27,3,0)</f>
        <v>Concealed Stop Cock 20mm with Wall Flange</v>
      </c>
      <c r="E21" s="222">
        <f t="array" ref="E21:F21">VLOOKUP(C21,MASTER!$C$2:$F27,{3,4},0)</f>
        <v>1690</v>
      </c>
      <c r="F21" s="222">
        <v>1830.0</v>
      </c>
      <c r="G21" s="3"/>
    </row>
    <row r="22">
      <c r="A22" s="299" t="str">
        <f t="shared" si="2"/>
        <v>98</v>
      </c>
      <c r="B22" s="256">
        <v>19.0</v>
      </c>
      <c r="C22" s="219">
        <v>7498.0</v>
      </c>
      <c r="D22" s="259" t="str">
        <f>VLOOKUP(TEXT(A22,"#"),Main!$A$2:$C27,3,0)</f>
        <v>Flush Cock 25mm Half Turn with Adjustable Flange</v>
      </c>
      <c r="E22" s="222">
        <f t="array" ref="E22:F22">VLOOKUP(C22,MASTER!$C$2:$F27,{3,4},0)</f>
        <v>2180</v>
      </c>
      <c r="F22" s="222">
        <v>2380.0</v>
      </c>
      <c r="G22" s="3"/>
    </row>
    <row r="23">
      <c r="A23" s="3"/>
      <c r="B23" s="10"/>
      <c r="C23" s="89"/>
      <c r="D23" s="3"/>
      <c r="E23" s="3"/>
      <c r="F23" s="3"/>
      <c r="G23" s="3"/>
    </row>
    <row r="24">
      <c r="A24" s="3"/>
      <c r="B24" s="10"/>
      <c r="C24" s="89"/>
      <c r="D24" s="3"/>
      <c r="E24" s="3"/>
      <c r="F24" s="3"/>
      <c r="G24" s="3"/>
    </row>
    <row r="25">
      <c r="A25" s="3"/>
      <c r="B25" s="10"/>
      <c r="C25" s="89"/>
      <c r="D25" s="3"/>
      <c r="E25" s="3"/>
      <c r="F25" s="3"/>
      <c r="G25" s="3"/>
    </row>
    <row r="26">
      <c r="A26" s="3"/>
      <c r="B26" s="10"/>
      <c r="C26" s="89"/>
      <c r="D26" s="3"/>
      <c r="E26" s="3"/>
      <c r="F26" s="3"/>
      <c r="G26" s="3"/>
    </row>
    <row r="27">
      <c r="A27" s="3"/>
      <c r="B27" s="10"/>
      <c r="C27" s="89"/>
      <c r="D27" s="3"/>
      <c r="E27" s="3"/>
      <c r="F27" s="3"/>
      <c r="G27" s="3"/>
    </row>
  </sheetData>
  <mergeCells count="1">
    <mergeCell ref="B13:B15"/>
  </mergeCells>
  <printOptions gridLines="1"/>
  <pageMargins bottom="0.75" footer="0.0" header="0.0" left="0.25" right="0.25" top="0.75"/>
  <pageSetup paperSize="9" cellComments="atEnd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5.38"/>
    <col customWidth="1" min="2" max="2" width="7.13"/>
    <col customWidth="1" hidden="1" min="3" max="3" width="18.5"/>
    <col customWidth="1" min="4" max="4" width="18.5"/>
    <col customWidth="1" min="5" max="5" width="83.63"/>
    <col customWidth="1" min="6" max="6" width="12.38"/>
    <col customWidth="1" min="7" max="7" width="12.5"/>
    <col customWidth="1" hidden="1" min="8" max="8" width="8.88"/>
  </cols>
  <sheetData>
    <row r="1" ht="70.5" customHeight="1">
      <c r="A1" s="3"/>
      <c r="B1" s="5" t="s">
        <v>3</v>
      </c>
      <c r="C1" s="141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299" t="str">
        <f t="shared" ref="A2:A5" si="1">RIGHT(D2,2)</f>
        <v>50</v>
      </c>
      <c r="B2" s="256">
        <v>1.0</v>
      </c>
      <c r="C2" s="219">
        <v>7650.0</v>
      </c>
      <c r="D2" s="219">
        <v>7650.0</v>
      </c>
      <c r="E2" s="220" t="str">
        <f>VLOOKUP(TEXT(A2,"#"),Main!$A$2:$C53,3,0)</f>
        <v>Center Hole Basin Mixer without Popup</v>
      </c>
      <c r="F2" s="222">
        <f t="array" ref="F2:G2">VLOOKUP(D2,MASTER!$C$2:$F53,{3,4},0)</f>
        <v>4790</v>
      </c>
      <c r="G2" s="222">
        <v>4990.0</v>
      </c>
      <c r="H2" s="89"/>
    </row>
    <row r="3">
      <c r="A3" s="299" t="str">
        <f t="shared" si="1"/>
        <v>51</v>
      </c>
      <c r="B3" s="256">
        <v>2.0</v>
      </c>
      <c r="C3" s="219">
        <v>7651.0</v>
      </c>
      <c r="D3" s="219">
        <v>7651.0</v>
      </c>
      <c r="E3" s="220" t="str">
        <f>VLOOKUP(TEXT(A3,"#"),Main!$A$2:$C53,3,0)</f>
        <v>Single Lever Basin Mixer without Popup Waste System</v>
      </c>
      <c r="F3" s="222">
        <f t="array" ref="F3:G3">VLOOKUP(D3,MASTER!$C$2:$F53,{3,4},0)</f>
        <v>4290</v>
      </c>
      <c r="G3" s="222">
        <v>4680.0</v>
      </c>
      <c r="H3" s="89"/>
    </row>
    <row r="4">
      <c r="A4" s="299" t="str">
        <f t="shared" si="1"/>
        <v>52</v>
      </c>
      <c r="B4" s="256">
        <v>3.0</v>
      </c>
      <c r="C4" s="219">
        <v>7652.0</v>
      </c>
      <c r="D4" s="219">
        <v>7652.0</v>
      </c>
      <c r="E4" s="220" t="str">
        <f>VLOOKUP(TEXT(A4,"#"),Main!$A$2:$C53,3,0)</f>
        <v>Single Lever Basin Mixer Tall Body without Popup Waste System</v>
      </c>
      <c r="F4" s="222">
        <f t="array" ref="F4:G4">VLOOKUP(D4,MASTER!$C$2:$F53,{3,4},0)</f>
        <v>5990</v>
      </c>
      <c r="G4" s="222">
        <v>6680.0</v>
      </c>
      <c r="H4" s="89"/>
    </row>
    <row r="5">
      <c r="A5" s="299" t="str">
        <f t="shared" si="1"/>
        <v>54</v>
      </c>
      <c r="B5" s="267">
        <v>4.0</v>
      </c>
      <c r="C5" s="219">
        <v>7654.0</v>
      </c>
      <c r="D5" s="219">
        <v>7654.0</v>
      </c>
      <c r="E5" s="220" t="str">
        <f>VLOOKUP(TEXT(A5,"#"),Main!$A$2:$C53,3,0)</f>
        <v>Single Lever Basin Mixer Wall Mount (Concealed)</v>
      </c>
      <c r="F5" s="222">
        <f t="array" ref="F5:G5">VLOOKUP(D5,MASTER!$C$2:$F53,{3,4},0)</f>
        <v>6140</v>
      </c>
      <c r="G5" s="222">
        <v>6680.0</v>
      </c>
      <c r="H5" s="89"/>
    </row>
    <row r="6">
      <c r="A6" s="13" t="s">
        <v>154</v>
      </c>
      <c r="B6" s="120"/>
      <c r="C6" s="219" t="s">
        <v>154</v>
      </c>
      <c r="D6" s="219" t="s">
        <v>154</v>
      </c>
      <c r="E6" s="220" t="str">
        <f>VLOOKUP(TEXT(A6,"#"),Main!$A$2:$C53,3,0)</f>
        <v>Single Lever Basin Mixer Wall Mount (Body, Cartridge, Sleeve &amp; Nipple)</v>
      </c>
      <c r="F6" s="222">
        <f t="array" ref="F6:G6">VLOOKUP(D6,MASTER!$C$2:$F53,{3,4},0)</f>
        <v>3680</v>
      </c>
      <c r="G6" s="222">
        <v>3990.0</v>
      </c>
      <c r="H6" s="89"/>
    </row>
    <row r="7">
      <c r="A7" s="13" t="s">
        <v>159</v>
      </c>
      <c r="B7" s="145"/>
      <c r="C7" s="218" t="s">
        <v>1140</v>
      </c>
      <c r="D7" s="218" t="s">
        <v>1140</v>
      </c>
      <c r="E7" s="220" t="str">
        <f>VLOOKUP(TEXT(A7,"#"),Main!$A$2:$C53,3,0)</f>
        <v>Exposed Parts (Wall Flange, Handle &amp; Spout)</v>
      </c>
      <c r="F7" s="222">
        <f t="array" ref="F7:G7">VLOOKUP(D7,MASTER!$C$2:$F53,{3,4},0)</f>
        <v>2460</v>
      </c>
      <c r="G7" s="222">
        <v>2690.0</v>
      </c>
      <c r="H7" s="89"/>
    </row>
    <row r="8">
      <c r="A8" s="299" t="str">
        <f t="shared" ref="A8:A16" si="2">RIGHT(D8,2)</f>
        <v>70</v>
      </c>
      <c r="B8" s="267">
        <v>5.0</v>
      </c>
      <c r="C8" s="219">
        <v>7670.0</v>
      </c>
      <c r="D8" s="219">
        <v>7670.0</v>
      </c>
      <c r="E8" s="220" t="str">
        <f>VLOOKUP(TEXT(A8,"#"),Main!$A$2:$C53,3,0)</f>
        <v>Wall Mixer Telephonic with Crutch &amp; Wall Flange (Provision For Hand Shower)</v>
      </c>
      <c r="F8" s="222">
        <f t="array" ref="F8:G8">VLOOKUP(D8,MASTER!$C$2:$F53,{3,4},0)</f>
        <v>6680</v>
      </c>
      <c r="G8" s="222">
        <v>7380.0</v>
      </c>
      <c r="H8" s="89"/>
    </row>
    <row r="9">
      <c r="A9" s="299" t="str">
        <f t="shared" si="2"/>
        <v>71</v>
      </c>
      <c r="B9" s="256">
        <v>6.0</v>
      </c>
      <c r="C9" s="219">
        <v>7671.0</v>
      </c>
      <c r="D9" s="219">
        <v>7671.0</v>
      </c>
      <c r="E9" s="220" t="str">
        <f>VLOOKUP(TEXT(A9,"#"),Main!$A$2:$C53,3,0)</f>
        <v>Single Lever Wall Mixer with Wall Flange</v>
      </c>
      <c r="F9" s="222">
        <f t="array" ref="F9:G9">VLOOKUP(D9,MASTER!$C$2:$F53,{3,4},0)</f>
        <v>5980</v>
      </c>
      <c r="G9" s="222">
        <v>6840.0</v>
      </c>
      <c r="H9" s="89"/>
    </row>
    <row r="10">
      <c r="A10" s="299" t="str">
        <f t="shared" si="2"/>
        <v>75</v>
      </c>
      <c r="B10" s="256">
        <v>7.0</v>
      </c>
      <c r="C10" s="219">
        <v>7675.0</v>
      </c>
      <c r="D10" s="219">
        <v>7675.0</v>
      </c>
      <c r="E10" s="220" t="str">
        <f>VLOOKUP(TEXT(A10,"#"),Main!$A$2:$C53,3,0)</f>
        <v>Wall Mixer "L" Bend with Wall Flange (Provision For Over Head Shower)</v>
      </c>
      <c r="F10" s="222">
        <f t="array" ref="F10:G10">VLOOKUP(D10,MASTER!$C$2:$F53,{3,4},0)</f>
        <v>6680</v>
      </c>
      <c r="G10" s="222">
        <v>7380.0</v>
      </c>
      <c r="H10" s="89"/>
    </row>
    <row r="11">
      <c r="A11" s="299" t="str">
        <f t="shared" si="2"/>
        <v>76</v>
      </c>
      <c r="B11" s="256">
        <v>8.0</v>
      </c>
      <c r="C11" s="218">
        <v>7676.0</v>
      </c>
      <c r="D11" s="218">
        <v>7676.0</v>
      </c>
      <c r="E11" s="220" t="str">
        <f>VLOOKUP(TEXT(A11,"#"),Main!$A$2:$C53,3,0)</f>
        <v>Single Lever Wall Mixer "L" Bend with Wall Flange (Expose Type)</v>
      </c>
      <c r="F11" s="222">
        <f t="array" ref="F11:G11">VLOOKUP(D11,MASTER!$C$2:$F53,{3,4},0)</f>
        <v>9480</v>
      </c>
      <c r="G11" s="222">
        <v>10980.0</v>
      </c>
      <c r="H11" s="89"/>
    </row>
    <row r="12">
      <c r="A12" s="299" t="str">
        <f t="shared" si="2"/>
        <v>80</v>
      </c>
      <c r="B12" s="256">
        <v>9.0</v>
      </c>
      <c r="C12" s="219">
        <v>7680.0</v>
      </c>
      <c r="D12" s="219">
        <v>7680.0</v>
      </c>
      <c r="E12" s="220" t="str">
        <f>VLOOKUP(TEXT(A12,"#"),Main!$A$2:$C53,3,0)</f>
        <v>Wall Mixer 3 In 1 with Wall Flange (Provision For Over Head Shower &amp; Hand Shower)</v>
      </c>
      <c r="F12" s="222">
        <f t="array" ref="F12:G12">VLOOKUP(D12,MASTER!$C$2:$F53,{3,4},0)</f>
        <v>7440</v>
      </c>
      <c r="G12" s="222">
        <v>8260.0</v>
      </c>
      <c r="H12" s="89"/>
    </row>
    <row r="13">
      <c r="A13" s="299" t="str">
        <f t="shared" si="2"/>
        <v>55</v>
      </c>
      <c r="B13" s="256">
        <v>10.0</v>
      </c>
      <c r="C13" s="219">
        <v>7655.0</v>
      </c>
      <c r="D13" s="219">
        <v>7655.0</v>
      </c>
      <c r="E13" s="220" t="str">
        <f>VLOOKUP(TEXT(A13,"#"),Main!$A$2:$C53,3,0)</f>
        <v>Sink Mixer with Regular Spout Wall Mounted with Flange</v>
      </c>
      <c r="F13" s="222">
        <f t="array" ref="F13:G13">VLOOKUP(D13,MASTER!$C$2:$F53,{3,4},0)</f>
        <v>4980</v>
      </c>
      <c r="G13" s="222">
        <v>5480.0</v>
      </c>
      <c r="H13" s="89"/>
    </row>
    <row r="14">
      <c r="A14" s="299" t="str">
        <f t="shared" si="2"/>
        <v>14</v>
      </c>
      <c r="B14" s="256">
        <v>11.0</v>
      </c>
      <c r="C14" s="219">
        <v>7614.0</v>
      </c>
      <c r="D14" s="219">
        <v>7614.0</v>
      </c>
      <c r="E14" s="220" t="str">
        <f>VLOOKUP(TEXT(A14,"#"),Main!$A$2:$C53,3,0)</f>
        <v>Swan Neck Table Mounted</v>
      </c>
      <c r="F14" s="222">
        <f t="array" ref="F14:G14">VLOOKUP(D14,MASTER!$C$2:$F53,{3,4},0)</f>
        <v>2490</v>
      </c>
      <c r="G14" s="222">
        <v>2710.0</v>
      </c>
      <c r="H14" s="89"/>
    </row>
    <row r="15">
      <c r="A15" s="299" t="str">
        <f t="shared" si="2"/>
        <v>16</v>
      </c>
      <c r="B15" s="256">
        <v>12.0</v>
      </c>
      <c r="C15" s="219">
        <v>7616.0</v>
      </c>
      <c r="D15" s="219">
        <v>7616.0</v>
      </c>
      <c r="E15" s="220" t="str">
        <f>VLOOKUP(TEXT(A15,"#"),Main!$A$2:$C53,3,0)</f>
        <v>Sink Cock Wall Mounted with Flange</v>
      </c>
      <c r="F15" s="222">
        <f t="array" ref="F15:G15">VLOOKUP(D15,MASTER!$C$2:$F53,{3,4},0)</f>
        <v>2280</v>
      </c>
      <c r="G15" s="222">
        <v>2490.0</v>
      </c>
      <c r="H15" s="89"/>
    </row>
    <row r="16">
      <c r="A16" s="299" t="str">
        <f t="shared" si="2"/>
        <v>94</v>
      </c>
      <c r="B16" s="256">
        <v>13.0</v>
      </c>
      <c r="C16" s="218">
        <v>7694.0</v>
      </c>
      <c r="D16" s="218">
        <v>7694.0</v>
      </c>
      <c r="E16" s="220" t="str">
        <f>VLOOKUP(TEXT(A16,"#"),Main!$A$2:$C53,3,0)</f>
        <v>Concealed 4 Way Diverter Set Hot &amp; Cold with Built-In Non Return Valves Complete Set</v>
      </c>
      <c r="F16" s="222">
        <f t="array" ref="F16:G16">VLOOKUP(D16,MASTER!$C$2:$F53,{3,4},0)</f>
        <v>8880</v>
      </c>
      <c r="G16" s="222">
        <v>9690.0</v>
      </c>
      <c r="H16" s="89"/>
    </row>
    <row r="17">
      <c r="A17" s="13" t="s">
        <v>209</v>
      </c>
      <c r="B17" s="267">
        <v>14.0</v>
      </c>
      <c r="C17" s="218">
        <v>7691.0</v>
      </c>
      <c r="D17" s="218" t="s">
        <v>1143</v>
      </c>
      <c r="E17" s="220" t="str">
        <f>VLOOKUP(TEXT(A17,"#"),Main!$A$2:$C53,3,0)</f>
        <v>Single Lever Concealed Diverter Bath &amp; Shower 40mm</v>
      </c>
      <c r="F17" s="222">
        <f t="array" ref="F17:G17">VLOOKUP(D17,MASTER!$C$2:$F53,{3,4},0)</f>
        <v>6280</v>
      </c>
      <c r="G17" s="222">
        <v>6620.0</v>
      </c>
      <c r="H17" s="89"/>
    </row>
    <row r="18">
      <c r="A18" s="13" t="s">
        <v>212</v>
      </c>
      <c r="B18" s="120"/>
      <c r="C18" s="218" t="s">
        <v>1435</v>
      </c>
      <c r="D18" s="218" t="s">
        <v>212</v>
      </c>
      <c r="E18" s="220" t="str">
        <f>VLOOKUP(TEXT(A18,"#"),Main!$A$2:$C53,3,0)</f>
        <v>Concealed Diverter Body 40mm (Cartridge, Sleeve, Tipton Assembly)</v>
      </c>
      <c r="F18" s="222">
        <f t="array" ref="F18:G18">VLOOKUP(D18,MASTER!$C$2:$F53,{3,4},0)</f>
        <v>4240</v>
      </c>
      <c r="G18" s="222">
        <v>4580.0</v>
      </c>
      <c r="H18" s="89"/>
    </row>
    <row r="19">
      <c r="A19" s="13" t="s">
        <v>216</v>
      </c>
      <c r="B19" s="145"/>
      <c r="C19" s="218" t="s">
        <v>1462</v>
      </c>
      <c r="D19" s="218" t="s">
        <v>1145</v>
      </c>
      <c r="E19" s="220" t="str">
        <f>VLOOKUP(TEXT(A19,"#"),Main!$A$2:$C53,3,0)</f>
        <v>Exposed Parts (Wall Flange &amp; Handle)</v>
      </c>
      <c r="F19" s="222">
        <f t="array" ref="F19:G19">VLOOKUP(D19,MASTER!$C$2:$F53,{3,4},0)</f>
        <v>2040</v>
      </c>
      <c r="G19" s="222">
        <v>2040.0</v>
      </c>
      <c r="H19" s="89"/>
    </row>
    <row r="20">
      <c r="A20" s="13" t="s">
        <v>219</v>
      </c>
      <c r="B20" s="267">
        <v>15.0</v>
      </c>
      <c r="C20" s="283">
        <v>7692.0</v>
      </c>
      <c r="D20" s="218" t="s">
        <v>1146</v>
      </c>
      <c r="E20" s="220" t="str">
        <f>VLOOKUP(TEXT(A20,"#"),Main!$A$2:$C53,3,0)</f>
        <v>Single Lever High Flow Concealed Diverter Bath &amp; Shower 46mm</v>
      </c>
      <c r="F20" s="222">
        <f t="array" ref="F20:G20">VLOOKUP(D20,MASTER!$C$2:$F53,{3,4},0)</f>
        <v>7020</v>
      </c>
      <c r="G20" s="222">
        <v>7530.0</v>
      </c>
      <c r="H20" s="89"/>
    </row>
    <row r="21">
      <c r="A21" s="13" t="s">
        <v>223</v>
      </c>
      <c r="B21" s="120"/>
      <c r="C21" s="283" t="s">
        <v>1438</v>
      </c>
      <c r="D21" s="218" t="s">
        <v>223</v>
      </c>
      <c r="E21" s="220" t="str">
        <f>VLOOKUP(TEXT(A21,"#"),Main!$A$2:$C53,3,0)</f>
        <v>High Flow Concealed Diverter Body 46mm (Cartridge, Sleeve, Tipton Assembly)</v>
      </c>
      <c r="F21" s="222">
        <f t="array" ref="F21:G21">VLOOKUP(D21,MASTER!$C$2:$F53,{3,4},0)</f>
        <v>4980</v>
      </c>
      <c r="G21" s="222">
        <v>5490.0</v>
      </c>
      <c r="H21" s="89"/>
    </row>
    <row r="22">
      <c r="A22" s="13" t="s">
        <v>226</v>
      </c>
      <c r="B22" s="120"/>
      <c r="C22" s="257" t="s">
        <v>1463</v>
      </c>
      <c r="D22" s="233" t="s">
        <v>1147</v>
      </c>
      <c r="E22" s="220" t="str">
        <f>VLOOKUP(TEXT(A22,"#"),Main!$A$2:$C53,3,0)</f>
        <v>Exposed Parts (Wall Flange &amp; Handle)</v>
      </c>
      <c r="F22" s="222">
        <f t="array" ref="F22:G22">VLOOKUP(D22,MASTER!$C$2:$F53,{3,4},0)</f>
        <v>2040</v>
      </c>
      <c r="G22" s="222">
        <v>2040.0</v>
      </c>
      <c r="H22" s="89"/>
    </row>
    <row r="23">
      <c r="A23" s="13" t="s">
        <v>239</v>
      </c>
      <c r="B23" s="267">
        <v>16.0</v>
      </c>
      <c r="C23" s="283">
        <v>7693.0</v>
      </c>
      <c r="D23" s="218" t="s">
        <v>1156</v>
      </c>
      <c r="E23" s="220" t="str">
        <f>VLOOKUP(TEXT(A23,"#"),Main!$A$2:$C53,3,0)</f>
        <v>Single Lever 3 In Let Concealed Diverter Bath &amp; Shower 46mm</v>
      </c>
      <c r="F23" s="222">
        <f t="array" ref="F23:G23">VLOOKUP(D23,MASTER!$C$2:$F53,{3,4},0)</f>
        <v>7020</v>
      </c>
      <c r="G23" s="222">
        <v>7530.0</v>
      </c>
      <c r="H23" s="89"/>
    </row>
    <row r="24">
      <c r="A24" s="13" t="s">
        <v>243</v>
      </c>
      <c r="B24" s="120"/>
      <c r="C24" s="283" t="s">
        <v>1441</v>
      </c>
      <c r="D24" s="218" t="s">
        <v>243</v>
      </c>
      <c r="E24" s="220" t="str">
        <f>VLOOKUP(TEXT(A24,"#"),Main!$A$2:$C53,3,0)</f>
        <v>3 In Let Concealed Diverter Body 46mm (Cartridge, Sleeve, Tipton Assembly)</v>
      </c>
      <c r="F24" s="222">
        <f t="array" ref="F24:G24">VLOOKUP(D24,MASTER!$C$2:$F53,{3,4},0)</f>
        <v>4980</v>
      </c>
      <c r="G24" s="222">
        <v>5490.0</v>
      </c>
      <c r="H24" s="89"/>
    </row>
    <row r="25">
      <c r="A25" s="13" t="s">
        <v>247</v>
      </c>
      <c r="B25" s="145"/>
      <c r="C25" s="283" t="s">
        <v>1465</v>
      </c>
      <c r="D25" s="218" t="s">
        <v>1161</v>
      </c>
      <c r="E25" s="220" t="str">
        <f>VLOOKUP(TEXT(A25,"#"),Main!$A$2:$C53,3,0)</f>
        <v>Exposed Parts (Wall Flange &amp; Handle)</v>
      </c>
      <c r="F25" s="222">
        <f t="array" ref="F25:G25">VLOOKUP(D25,MASTER!$C$2:$F53,{3,4},0)</f>
        <v>2040</v>
      </c>
      <c r="G25" s="222">
        <v>2040.0</v>
      </c>
      <c r="H25" s="89"/>
    </row>
    <row r="26">
      <c r="A26" s="13" t="s">
        <v>228</v>
      </c>
      <c r="B26" s="267">
        <v>17.0</v>
      </c>
      <c r="C26" s="283" t="s">
        <v>1466</v>
      </c>
      <c r="D26" s="218" t="s">
        <v>1150</v>
      </c>
      <c r="E26" s="220" t="str">
        <f>VLOOKUP(TEXT(A26,"#"),Main!$A$2:$C53,3,0)</f>
        <v>Single Lever High Flow Concealed Diverter Bath &amp; Shower 46mm (ON-OFF)</v>
      </c>
      <c r="F26" s="222">
        <f t="array" ref="F26:G26">VLOOKUP(D26,MASTER!$C$2:$F53,{3,4},0)</f>
        <v>7020</v>
      </c>
      <c r="G26" s="222">
        <v>7530.0</v>
      </c>
      <c r="H26" s="89"/>
    </row>
    <row r="27">
      <c r="A27" s="13" t="s">
        <v>234</v>
      </c>
      <c r="B27" s="120"/>
      <c r="C27" s="283" t="s">
        <v>1444</v>
      </c>
      <c r="D27" s="218" t="s">
        <v>234</v>
      </c>
      <c r="E27" s="220" t="str">
        <f>VLOOKUP(TEXT(A27,"#"),Main!$A$2:$C53,3,0)</f>
        <v>High Flow Concealed Diverter Body 46mm (Cartridge, Sleeve, On-Off Assembly)</v>
      </c>
      <c r="F27" s="222">
        <f t="array" ref="F27:G27">VLOOKUP(D27,MASTER!$C$2:$F53,{3,4},0)</f>
        <v>4740</v>
      </c>
      <c r="G27" s="222">
        <v>5250.0</v>
      </c>
      <c r="H27" s="89"/>
    </row>
    <row r="28">
      <c r="A28" s="13" t="s">
        <v>237</v>
      </c>
      <c r="B28" s="145"/>
      <c r="C28" s="283" t="s">
        <v>1468</v>
      </c>
      <c r="D28" s="218" t="s">
        <v>1151</v>
      </c>
      <c r="E28" s="220" t="str">
        <f>VLOOKUP(TEXT(A28,"#"),Main!$A$2:$C53,3,0)</f>
        <v>Exposed Parts (Wall Flange &amp; Handle)</v>
      </c>
      <c r="F28" s="222">
        <f t="array" ref="F28:G28">VLOOKUP(D28,MASTER!$C$2:$F53,{3,4},0)</f>
        <v>2280</v>
      </c>
      <c r="G28" s="222">
        <v>2280.0</v>
      </c>
      <c r="H28" s="89"/>
    </row>
    <row r="29">
      <c r="A29" s="13" t="s">
        <v>249</v>
      </c>
      <c r="B29" s="267">
        <v>18.0</v>
      </c>
      <c r="C29" s="283" t="s">
        <v>1469</v>
      </c>
      <c r="D29" s="218" t="s">
        <v>1164</v>
      </c>
      <c r="E29" s="220" t="str">
        <f>VLOOKUP(TEXT(A29,"#"),Main!$A$2:$C53,3,0)</f>
        <v>Single Lever 3 In Let Concealed Diverter Bath &amp; Shower 46mm (ON-OFF)</v>
      </c>
      <c r="F29" s="222">
        <f t="array" ref="F29:G29">VLOOKUP(D29,MASTER!$C$2:$F53,{3,4},0)</f>
        <v>7020</v>
      </c>
      <c r="G29" s="222">
        <v>7530.0</v>
      </c>
      <c r="H29" s="89"/>
    </row>
    <row r="30">
      <c r="A30" s="13" t="s">
        <v>253</v>
      </c>
      <c r="B30" s="120"/>
      <c r="C30" s="257" t="s">
        <v>1447</v>
      </c>
      <c r="D30" s="233" t="s">
        <v>253</v>
      </c>
      <c r="E30" s="220" t="str">
        <f>VLOOKUP(TEXT(A30,"#"),Main!$A$2:$C53,3,0)</f>
        <v>3 In Let Concealed Diverter Body 46mm (Cartridge, Sleeve, On-Off Assembly)</v>
      </c>
      <c r="F30" s="222">
        <f t="array" ref="F30:G30">VLOOKUP(D30,MASTER!$C$2:$F53,{3,4},0)</f>
        <v>4740</v>
      </c>
      <c r="G30" s="222">
        <v>5250.0</v>
      </c>
      <c r="H30" s="89"/>
    </row>
    <row r="31">
      <c r="A31" s="13" t="s">
        <v>258</v>
      </c>
      <c r="B31" s="120"/>
      <c r="C31" s="257" t="s">
        <v>1470</v>
      </c>
      <c r="D31" s="233" t="s">
        <v>1165</v>
      </c>
      <c r="E31" s="220" t="str">
        <f>VLOOKUP(TEXT(A31,"#"),Main!$A$2:$C53,3,0)</f>
        <v>Exposed Parts (Wall Flange &amp; Handle)</v>
      </c>
      <c r="F31" s="222">
        <f t="array" ref="F31:G31">VLOOKUP(D31,MASTER!$C$2:$F53,{3,4},0)</f>
        <v>2280</v>
      </c>
      <c r="G31" s="222">
        <v>2280.0</v>
      </c>
      <c r="H31" s="89"/>
    </row>
    <row r="32">
      <c r="A32" s="299" t="str">
        <f t="shared" ref="A32:A38" si="3">RIGHT(D32,2)</f>
        <v>95</v>
      </c>
      <c r="B32" s="267">
        <v>19.0</v>
      </c>
      <c r="C32" s="219">
        <v>7695.0</v>
      </c>
      <c r="D32" s="219">
        <v>7695.0</v>
      </c>
      <c r="E32" s="220" t="str">
        <f>VLOOKUP(TEXT(A32,"#"),Main!$A$2:$C53,3,0)</f>
        <v>Bath Tub Spout with Flange</v>
      </c>
      <c r="F32" s="222">
        <f t="array" ref="F32:G32">VLOOKUP(D32,MASTER!$C$2:$F53,{3,4},0)</f>
        <v>1290</v>
      </c>
      <c r="G32" s="222">
        <v>1390.0</v>
      </c>
      <c r="H32" s="225"/>
    </row>
    <row r="33">
      <c r="A33" s="299" t="str">
        <f t="shared" si="3"/>
        <v>96</v>
      </c>
      <c r="B33" s="267">
        <v>20.0</v>
      </c>
      <c r="C33" s="262">
        <v>7696.0</v>
      </c>
      <c r="D33" s="262">
        <v>7696.0</v>
      </c>
      <c r="E33" s="220" t="str">
        <f>VLOOKUP(TEXT(A33,"#"),Main!$A$2:$C53,3,0)</f>
        <v>Bath Tub Spout Tip Ton with Flange</v>
      </c>
      <c r="F33" s="222">
        <f t="array" ref="F33:G33">VLOOKUP(D33,MASTER!$C$2:$F53,{3,4},0)</f>
        <v>2140</v>
      </c>
      <c r="G33" s="222">
        <v>2290.0</v>
      </c>
      <c r="H33" s="225"/>
    </row>
    <row r="34">
      <c r="A34" s="299" t="str">
        <f t="shared" si="3"/>
        <v>02</v>
      </c>
      <c r="B34" s="267">
        <v>21.0</v>
      </c>
      <c r="C34" s="262">
        <v>7602.0</v>
      </c>
      <c r="D34" s="262">
        <v>7602.0</v>
      </c>
      <c r="E34" s="220" t="str">
        <f>VLOOKUP(TEXT(A34,"#"),Main!$A$2:$C53,3,0)</f>
        <v>Pillar Cock</v>
      </c>
      <c r="F34" s="222">
        <f t="array" ref="F34:G34">VLOOKUP(D34,MASTER!$C$2:$F53,{3,4},0)</f>
        <v>1690</v>
      </c>
      <c r="G34" s="222">
        <v>1880.0</v>
      </c>
      <c r="H34" s="225"/>
    </row>
    <row r="35">
      <c r="A35" s="299" t="str">
        <f t="shared" si="3"/>
        <v>03</v>
      </c>
      <c r="B35" s="267">
        <v>22.0</v>
      </c>
      <c r="C35" s="262">
        <v>7603.0</v>
      </c>
      <c r="D35" s="219">
        <v>7603.0</v>
      </c>
      <c r="E35" s="220" t="str">
        <f>VLOOKUP(TEXT(A35,"#"),Main!$A$2:$C53,3,0)</f>
        <v>Pillar Cock Tall Body</v>
      </c>
      <c r="F35" s="222">
        <f t="array" ref="F35:G35">VLOOKUP(D35,MASTER!$C$2:$F53,{3,4},0)</f>
        <v>3490</v>
      </c>
      <c r="G35" s="222">
        <v>3880.0</v>
      </c>
      <c r="H35" s="303"/>
    </row>
    <row r="36">
      <c r="A36" s="299" t="str">
        <f t="shared" si="3"/>
        <v>04</v>
      </c>
      <c r="B36" s="267">
        <v>23.0</v>
      </c>
      <c r="C36" s="262">
        <v>7604.0</v>
      </c>
      <c r="D36" s="262">
        <v>7604.0</v>
      </c>
      <c r="E36" s="220" t="str">
        <f>VLOOKUP(TEXT(A36,"#"),Main!$A$2:$C53,3,0)</f>
        <v>Pillar Cock Extended Body</v>
      </c>
      <c r="F36" s="222">
        <f t="array" ref="F36:G36">VLOOKUP(D36,MASTER!$C$2:$F53,{3,4},0)</f>
        <v>2280</v>
      </c>
      <c r="G36" s="222">
        <v>2490.0</v>
      </c>
      <c r="H36" s="303"/>
    </row>
    <row r="37">
      <c r="A37" s="299" t="str">
        <f t="shared" si="3"/>
        <v>06</v>
      </c>
      <c r="B37" s="267">
        <v>24.0</v>
      </c>
      <c r="C37" s="262">
        <v>7606.0</v>
      </c>
      <c r="D37" s="262">
        <v>7606.0</v>
      </c>
      <c r="E37" s="220" t="str">
        <f>VLOOKUP(TEXT(A37,"#"),Main!$A$2:$C53,3,0)</f>
        <v>Bib Cock with Wall Flange</v>
      </c>
      <c r="F37" s="222">
        <f t="array" ref="F37:G37">VLOOKUP(D37,MASTER!$C$2:$F53,{3,4},0)</f>
        <v>1390</v>
      </c>
      <c r="G37" s="222">
        <v>1490.0</v>
      </c>
      <c r="H37" s="303"/>
    </row>
    <row r="38">
      <c r="A38" s="299" t="str">
        <f t="shared" si="3"/>
        <v>07</v>
      </c>
      <c r="B38" s="267">
        <v>25.0</v>
      </c>
      <c r="C38" s="262"/>
      <c r="D38" s="218">
        <v>7607.0</v>
      </c>
      <c r="E38" s="220" t="str">
        <f>VLOOKUP(TEXT(A38,"#"),Main!$A$2:$C53,3,0)</f>
        <v>Concealed Wall Mount Pillar Cock</v>
      </c>
      <c r="F38" s="222">
        <f t="array" ref="F38:G38">VLOOKUP(D38,MASTER!$C$2:$F53,{3,4},0)</f>
        <v>2680</v>
      </c>
      <c r="G38" s="222">
        <v>2880.0</v>
      </c>
      <c r="H38" s="225"/>
    </row>
    <row r="39">
      <c r="A39" s="289" t="s">
        <v>73</v>
      </c>
      <c r="B39" s="120"/>
      <c r="C39" s="262"/>
      <c r="D39" s="233" t="s">
        <v>73</v>
      </c>
      <c r="E39" s="220" t="str">
        <f>VLOOKUP(TEXT(A39,"#"),Main!$A$2:$C53,3,0)</f>
        <v>Concealed Pillar Cock Body 15mm</v>
      </c>
      <c r="F39" s="222">
        <f t="array" ref="F39:G39">VLOOKUP(D39,MASTER!$C$2:$F53,{3,4},0)</f>
        <v>1390</v>
      </c>
      <c r="G39" s="222">
        <v>1490.0</v>
      </c>
      <c r="H39" s="225"/>
    </row>
    <row r="40">
      <c r="A40" s="289" t="s">
        <v>77</v>
      </c>
      <c r="B40" s="120"/>
      <c r="C40" s="262"/>
      <c r="D40" s="233" t="s">
        <v>1130</v>
      </c>
      <c r="E40" s="220" t="str">
        <f>VLOOKUP(TEXT(A40,"#"),Main!$A$2:$C53,3,0)</f>
        <v>Exposed Parts (Wall Flange, Handle &amp; Spout)</v>
      </c>
      <c r="F40" s="222">
        <f t="array" ref="F40:G40">VLOOKUP(D40,MASTER!$C$2:$F53,{3,4},0)</f>
        <v>1290</v>
      </c>
      <c r="G40" s="222">
        <v>1390.0</v>
      </c>
      <c r="H40" s="225"/>
    </row>
    <row r="41">
      <c r="A41" s="299" t="str">
        <f t="shared" ref="A41:A47" si="4">RIGHT(D41,2)</f>
        <v>08</v>
      </c>
      <c r="B41" s="267">
        <v>26.0</v>
      </c>
      <c r="C41" s="262">
        <v>7608.0</v>
      </c>
      <c r="D41" s="219">
        <v>7608.0</v>
      </c>
      <c r="E41" s="220" t="str">
        <f>VLOOKUP(TEXT(A41,"#"),Main!$A$2:$C53,3,0)</f>
        <v>Bib Cock Long Body with Wall Flange</v>
      </c>
      <c r="F41" s="222">
        <f t="array" ref="F41:G41">VLOOKUP(D41,MASTER!$C$2:$F53,{3,4},0)</f>
        <v>1640</v>
      </c>
      <c r="G41" s="222">
        <v>1790.0</v>
      </c>
      <c r="H41" s="303"/>
    </row>
    <row r="42">
      <c r="A42" s="299" t="str">
        <f t="shared" si="4"/>
        <v>10</v>
      </c>
      <c r="B42" s="267">
        <v>27.0</v>
      </c>
      <c r="C42" s="262">
        <v>7610.0</v>
      </c>
      <c r="D42" s="262">
        <v>7610.0</v>
      </c>
      <c r="E42" s="220" t="str">
        <f>VLOOKUP(TEXT(A42,"#"),Main!$A$2:$C53,3,0)</f>
        <v>Angular Stop Cock with Wall Flange</v>
      </c>
      <c r="F42" s="222">
        <f t="array" ref="F42:G42">VLOOKUP(D42,MASTER!$C$2:$F53,{3,4},0)</f>
        <v>1190</v>
      </c>
      <c r="G42" s="222">
        <v>1290.0</v>
      </c>
      <c r="H42" s="303"/>
    </row>
    <row r="43">
      <c r="A43" s="299" t="str">
        <f t="shared" si="4"/>
        <v>11</v>
      </c>
      <c r="B43" s="267">
        <v>28.0</v>
      </c>
      <c r="C43" s="262">
        <v>7611.0</v>
      </c>
      <c r="D43" s="262">
        <v>7611.0</v>
      </c>
      <c r="E43" s="220" t="str">
        <f>VLOOKUP(TEXT(A43,"#"),Main!$A$2:$C53,3,0)</f>
        <v>2-Way Angular Stop Cock with Wall Flange</v>
      </c>
      <c r="F43" s="222">
        <f t="array" ref="F43:G43">VLOOKUP(D43,MASTER!$C$2:$F53,{3,4},0)</f>
        <v>1880</v>
      </c>
      <c r="G43" s="222">
        <v>2080.0</v>
      </c>
      <c r="H43" s="303"/>
    </row>
    <row r="44">
      <c r="A44" s="299" t="str">
        <f t="shared" si="4"/>
        <v>12</v>
      </c>
      <c r="B44" s="256">
        <v>29.0</v>
      </c>
      <c r="C44" s="219">
        <v>7612.0</v>
      </c>
      <c r="D44" s="219">
        <v>7612.0</v>
      </c>
      <c r="E44" s="220" t="str">
        <f>VLOOKUP(TEXT(A44,"#"),Main!$A$2:$C53,3,0)</f>
        <v>2-Way Bib Cock Double Handle with Wall Flange</v>
      </c>
      <c r="F44" s="222">
        <f t="array" ref="F44:G44">VLOOKUP(D44,MASTER!$C$2:$F53,{3,4},0)</f>
        <v>2280</v>
      </c>
      <c r="G44" s="222">
        <v>2490.0</v>
      </c>
      <c r="H44" s="89"/>
    </row>
    <row r="45">
      <c r="A45" s="299" t="str">
        <f t="shared" si="4"/>
        <v>18</v>
      </c>
      <c r="B45" s="256">
        <v>30.0</v>
      </c>
      <c r="C45" s="219">
        <v>7618.0</v>
      </c>
      <c r="D45" s="219">
        <v>7618.0</v>
      </c>
      <c r="E45" s="220" t="str">
        <f>VLOOKUP(TEXT(A45,"#"),Main!$A$2:$C53,3,0)</f>
        <v>Concealed Stop Cock 15mm with Wall Flange</v>
      </c>
      <c r="F45" s="222">
        <f t="array" ref="F45:G45">VLOOKUP(D45,MASTER!$C$2:$F53,{3,4},0)</f>
        <v>1580</v>
      </c>
      <c r="G45" s="222">
        <v>1740.0</v>
      </c>
      <c r="H45" s="89"/>
    </row>
    <row r="46">
      <c r="A46" s="299" t="str">
        <f t="shared" si="4"/>
        <v>20</v>
      </c>
      <c r="B46" s="256">
        <v>31.0</v>
      </c>
      <c r="C46" s="219">
        <v>7620.0</v>
      </c>
      <c r="D46" s="219">
        <v>7620.0</v>
      </c>
      <c r="E46" s="220" t="str">
        <f>VLOOKUP(TEXT(A46,"#"),Main!$A$2:$C53,3,0)</f>
        <v>Concealed Stop Cock 20mm with Wall Flange</v>
      </c>
      <c r="F46" s="222">
        <f t="array" ref="F46:G46">VLOOKUP(D46,MASTER!$C$2:$F53,{3,4},0)</f>
        <v>1630</v>
      </c>
      <c r="G46" s="222">
        <v>1790.0</v>
      </c>
      <c r="H46" s="89"/>
    </row>
    <row r="47">
      <c r="A47" s="299" t="str">
        <f t="shared" si="4"/>
        <v>98</v>
      </c>
      <c r="B47" s="256">
        <v>32.0</v>
      </c>
      <c r="C47" s="219">
        <v>7698.0</v>
      </c>
      <c r="D47" s="219">
        <v>7698.0</v>
      </c>
      <c r="E47" s="220" t="str">
        <f>VLOOKUP(TEXT(A47,"#"),Main!$A$2:$C53,3,0)</f>
        <v>Flush Cock 25mm Half Turn with Adjustable Flange</v>
      </c>
      <c r="F47" s="222">
        <f t="array" ref="F47:G47">VLOOKUP(D47,MASTER!$C$2:$F53,{3,4},0)</f>
        <v>2120</v>
      </c>
      <c r="G47" s="222">
        <v>2350.0</v>
      </c>
      <c r="H47" s="89"/>
    </row>
    <row r="48">
      <c r="A48" s="3"/>
      <c r="B48" s="10"/>
      <c r="C48" s="3"/>
      <c r="D48" s="89"/>
      <c r="E48" s="3"/>
      <c r="F48" s="89"/>
      <c r="G48" s="89"/>
      <c r="H48" s="89"/>
    </row>
    <row r="49">
      <c r="A49" s="3"/>
      <c r="B49" s="10"/>
      <c r="C49" s="3"/>
      <c r="D49" s="89"/>
      <c r="E49" s="3"/>
      <c r="F49" s="89"/>
      <c r="G49" s="89"/>
      <c r="H49" s="89"/>
    </row>
    <row r="50">
      <c r="A50" s="3"/>
      <c r="B50" s="10"/>
      <c r="C50" s="3"/>
      <c r="D50" s="89"/>
      <c r="E50" s="3"/>
      <c r="F50" s="89"/>
      <c r="G50" s="89"/>
      <c r="H50" s="89"/>
    </row>
    <row r="51">
      <c r="A51" s="3"/>
      <c r="B51" s="10"/>
      <c r="C51" s="3"/>
      <c r="D51" s="89"/>
      <c r="E51" s="3"/>
      <c r="F51" s="89"/>
      <c r="G51" s="89"/>
      <c r="H51" s="89"/>
    </row>
    <row r="52">
      <c r="A52" s="3"/>
      <c r="B52" s="10"/>
      <c r="C52" s="3"/>
      <c r="D52" s="89"/>
      <c r="E52" s="3"/>
      <c r="F52" s="89"/>
      <c r="G52" s="89"/>
      <c r="H52" s="89"/>
    </row>
    <row r="53">
      <c r="A53" s="3"/>
      <c r="B53" s="10"/>
      <c r="C53" s="3"/>
      <c r="D53" s="89"/>
      <c r="E53" s="3"/>
      <c r="F53" s="89"/>
      <c r="G53" s="89"/>
      <c r="H53" s="89"/>
    </row>
  </sheetData>
  <mergeCells count="7">
    <mergeCell ref="B5:B7"/>
    <mergeCell ref="B17:B19"/>
    <mergeCell ref="B20:B22"/>
    <mergeCell ref="B23:B25"/>
    <mergeCell ref="B26:B28"/>
    <mergeCell ref="B29:B31"/>
    <mergeCell ref="B38:B40"/>
  </mergeCells>
  <printOptions gridLines="1"/>
  <pageMargins bottom="0.75" footer="0.0" header="0.0" left="0.25" right="0.25" top="0.75"/>
  <pageSetup paperSize="9" cellComments="atEnd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25"/>
    <col customWidth="1" min="2" max="2" width="7.13"/>
    <col customWidth="1" min="3" max="3" width="9.38"/>
    <col customWidth="1" min="4" max="4" width="71.38"/>
    <col customWidth="1" min="5" max="5" width="11.5"/>
    <col customWidth="1" min="6" max="6" width="11.75"/>
    <col customWidth="1" hidden="1" min="7" max="7" width="9.38"/>
  </cols>
  <sheetData>
    <row r="1" ht="76.5" customHeight="1">
      <c r="A1" s="3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</row>
    <row r="2">
      <c r="A2" s="299" t="str">
        <f t="shared" ref="A2:A21" si="1">RIGHT(C2,2)</f>
        <v>50</v>
      </c>
      <c r="B2" s="256">
        <v>1.0</v>
      </c>
      <c r="C2" s="219">
        <v>7250.0</v>
      </c>
      <c r="D2" s="259" t="str">
        <f>VLOOKUP(TEXT(A2,"#"),Main!$A$2:$C25,3,0)</f>
        <v>Center Hole Basin Mixer without Popup</v>
      </c>
      <c r="E2" s="222">
        <f t="array" ref="E2:F2">VLOOKUP(C2,MASTER!$C$2:$F25,{3,4},0)</f>
        <v>4980</v>
      </c>
      <c r="F2" s="222">
        <v>5490.0</v>
      </c>
      <c r="G2" s="3"/>
    </row>
    <row r="3">
      <c r="A3" s="299" t="str">
        <f t="shared" si="1"/>
        <v>70</v>
      </c>
      <c r="B3" s="256">
        <v>2.0</v>
      </c>
      <c r="C3" s="219">
        <v>7270.0</v>
      </c>
      <c r="D3" s="259" t="str">
        <f>VLOOKUP(TEXT(A3,"#"),Main!$A$2:$C25,3,0)</f>
        <v>Wall Mixer Telephonic with Crutch &amp; Wall Flange (Provision For Hand Shower)</v>
      </c>
      <c r="E3" s="222">
        <f t="array" ref="E3:F3">VLOOKUP(C3,MASTER!$C$2:$F25,{3,4},0)</f>
        <v>6980</v>
      </c>
      <c r="F3" s="222">
        <v>7680.0</v>
      </c>
      <c r="G3" s="3"/>
    </row>
    <row r="4">
      <c r="A4" s="299" t="str">
        <f t="shared" si="1"/>
        <v>75</v>
      </c>
      <c r="B4" s="256">
        <v>3.0</v>
      </c>
      <c r="C4" s="219">
        <v>7275.0</v>
      </c>
      <c r="D4" s="259" t="str">
        <f>VLOOKUP(TEXT(A4,"#"),Main!$A$2:$C25,3,0)</f>
        <v>Wall Mixer "L" Bend with Wall Flange (Provision For Over Head Shower)</v>
      </c>
      <c r="E4" s="222">
        <f t="array" ref="E4:F4">VLOOKUP(C4,MASTER!$C$2:$F25,{3,4},0)</f>
        <v>6980</v>
      </c>
      <c r="F4" s="222">
        <v>7680.0</v>
      </c>
      <c r="G4" s="3"/>
    </row>
    <row r="5">
      <c r="A5" s="299" t="str">
        <f t="shared" si="1"/>
        <v>80</v>
      </c>
      <c r="B5" s="256">
        <v>4.0</v>
      </c>
      <c r="C5" s="219">
        <v>7280.0</v>
      </c>
      <c r="D5" s="259" t="str">
        <f>VLOOKUP(TEXT(A5,"#"),Main!$A$2:$C25,3,0)</f>
        <v>Wall Mixer 3 In 1 with Wall Flange (Provision For Over Head Shower &amp; Hand Shower)</v>
      </c>
      <c r="E5" s="222">
        <f t="array" ref="E5:F5">VLOOKUP(C5,MASTER!$C$2:$F25,{3,4},0)</f>
        <v>7770</v>
      </c>
      <c r="F5" s="222">
        <v>8680.0</v>
      </c>
      <c r="G5" s="3"/>
    </row>
    <row r="6">
      <c r="A6" s="299" t="str">
        <f t="shared" si="1"/>
        <v>55</v>
      </c>
      <c r="B6" s="256">
        <v>5.0</v>
      </c>
      <c r="C6" s="219">
        <v>7255.0</v>
      </c>
      <c r="D6" s="259" t="str">
        <f>VLOOKUP(TEXT(A6,"#"),Main!$A$2:$C25,3,0)</f>
        <v>Sink Mixer with Regular Spout Wall Mounted with Flange</v>
      </c>
      <c r="E6" s="222">
        <f t="array" ref="E6:F6">VLOOKUP(C6,MASTER!$C$2:$F25,{3,4},0)</f>
        <v>5490</v>
      </c>
      <c r="F6" s="222">
        <v>5980.0</v>
      </c>
      <c r="G6" s="3"/>
    </row>
    <row r="7">
      <c r="A7" s="299" t="str">
        <f t="shared" si="1"/>
        <v>14</v>
      </c>
      <c r="B7" s="256">
        <v>6.0</v>
      </c>
      <c r="C7" s="219">
        <v>7214.0</v>
      </c>
      <c r="D7" s="259" t="str">
        <f>VLOOKUP(TEXT(A7,"#"),Main!$A$2:$C25,3,0)</f>
        <v>Swan Neck Table Mounted</v>
      </c>
      <c r="E7" s="222">
        <f t="array" ref="E7:F7">VLOOKUP(C7,MASTER!$C$2:$F25,{3,4},0)</f>
        <v>2690</v>
      </c>
      <c r="F7" s="222">
        <v>2970.0</v>
      </c>
      <c r="G7" s="3"/>
    </row>
    <row r="8">
      <c r="A8" s="299" t="str">
        <f t="shared" si="1"/>
        <v>16</v>
      </c>
      <c r="B8" s="256">
        <v>7.0</v>
      </c>
      <c r="C8" s="219">
        <v>7216.0</v>
      </c>
      <c r="D8" s="259" t="str">
        <f>VLOOKUP(TEXT(A8,"#"),Main!$A$2:$C25,3,0)</f>
        <v>Sink Cock Wall Mounted with Flange</v>
      </c>
      <c r="E8" s="222">
        <f t="array" ref="E8:F8">VLOOKUP(C8,MASTER!$C$2:$F25,{3,4},0)</f>
        <v>2490</v>
      </c>
      <c r="F8" s="222">
        <v>2770.0</v>
      </c>
      <c r="G8" s="3"/>
    </row>
    <row r="9">
      <c r="A9" s="299" t="str">
        <f t="shared" si="1"/>
        <v>02</v>
      </c>
      <c r="B9" s="256">
        <v>8.0</v>
      </c>
      <c r="C9" s="219">
        <v>7202.0</v>
      </c>
      <c r="D9" s="259" t="str">
        <f>VLOOKUP(TEXT(A9,"#"),Main!$A$2:$C25,3,0)</f>
        <v>Pillar Cock</v>
      </c>
      <c r="E9" s="222">
        <f t="array" ref="E9:F9">VLOOKUP(C9,MASTER!$C$2:$F25,{3,4},0)</f>
        <v>1490</v>
      </c>
      <c r="F9" s="222">
        <v>1640.0</v>
      </c>
      <c r="G9" s="3"/>
    </row>
    <row r="10">
      <c r="A10" s="299" t="str">
        <f t="shared" si="1"/>
        <v>05</v>
      </c>
      <c r="B10" s="256">
        <v>9.0</v>
      </c>
      <c r="C10" s="219">
        <v>7205.0</v>
      </c>
      <c r="D10" s="259" t="str">
        <f>VLOOKUP(TEXT(A10,"#"),Main!$A$2:$C25,3,0)</f>
        <v>Bib Cock Nozzle with Wall Flange</v>
      </c>
      <c r="E10" s="222">
        <f t="array" ref="E10:F10">VLOOKUP(C10,MASTER!$C$2:$F25,{3,4},0)</f>
        <v>1390</v>
      </c>
      <c r="F10" s="222">
        <v>1490.0</v>
      </c>
      <c r="G10" s="3"/>
    </row>
    <row r="11">
      <c r="A11" s="299" t="str">
        <f t="shared" si="1"/>
        <v>06</v>
      </c>
      <c r="B11" s="256">
        <v>10.0</v>
      </c>
      <c r="C11" s="219">
        <v>7206.0</v>
      </c>
      <c r="D11" s="259" t="str">
        <f>VLOOKUP(TEXT(A11,"#"),Main!$A$2:$C25,3,0)</f>
        <v>Bib Cock with Wall Flange</v>
      </c>
      <c r="E11" s="222">
        <f t="array" ref="E11:F11">VLOOKUP(C11,MASTER!$C$2:$F25,{3,4},0)</f>
        <v>1390</v>
      </c>
      <c r="F11" s="222">
        <v>1490.0</v>
      </c>
      <c r="G11" s="3"/>
    </row>
    <row r="12">
      <c r="A12" s="299" t="str">
        <f t="shared" si="1"/>
        <v>08</v>
      </c>
      <c r="B12" s="256">
        <v>11.0</v>
      </c>
      <c r="C12" s="219">
        <v>7208.0</v>
      </c>
      <c r="D12" s="259" t="str">
        <f>VLOOKUP(TEXT(A12,"#"),Main!$A$2:$C25,3,0)</f>
        <v>Bib Cock Long Body with Wall Flange</v>
      </c>
      <c r="E12" s="222">
        <f t="array" ref="E12:F12">VLOOKUP(C12,MASTER!$C$2:$F25,{3,4},0)</f>
        <v>1640</v>
      </c>
      <c r="F12" s="222">
        <v>1780.0</v>
      </c>
      <c r="G12" s="3"/>
    </row>
    <row r="13">
      <c r="A13" s="299" t="str">
        <f t="shared" si="1"/>
        <v>09</v>
      </c>
      <c r="B13" s="256">
        <v>12.0</v>
      </c>
      <c r="C13" s="219">
        <v>7209.0</v>
      </c>
      <c r="D13" s="259" t="str">
        <f>VLOOKUP(TEXT(A13,"#"),Main!$A$2:$C25,3,0)</f>
        <v>Bib Cock Long Nose with Wall Flange</v>
      </c>
      <c r="E13" s="222">
        <f t="array" ref="E13:F13">VLOOKUP(C13,MASTER!$C$2:$F25,{3,4},0)</f>
        <v>1740</v>
      </c>
      <c r="F13" s="222">
        <v>1890.0</v>
      </c>
      <c r="G13" s="3"/>
    </row>
    <row r="14">
      <c r="A14" s="299" t="str">
        <f t="shared" si="1"/>
        <v>10</v>
      </c>
      <c r="B14" s="256">
        <v>13.0</v>
      </c>
      <c r="C14" s="219">
        <v>7210.0</v>
      </c>
      <c r="D14" s="259" t="str">
        <f>VLOOKUP(TEXT(A14,"#"),Main!$A$2:$C25,3,0)</f>
        <v>Angular Stop Cock with Wall Flange</v>
      </c>
      <c r="E14" s="222">
        <f t="array" ref="E14:F14">VLOOKUP(C14,MASTER!$C$2:$F25,{3,4},0)</f>
        <v>1180</v>
      </c>
      <c r="F14" s="222">
        <v>1260.0</v>
      </c>
      <c r="G14" s="3"/>
    </row>
    <row r="15">
      <c r="A15" s="299" t="str">
        <f t="shared" si="1"/>
        <v>11</v>
      </c>
      <c r="B15" s="256">
        <v>14.0</v>
      </c>
      <c r="C15" s="219">
        <v>7211.0</v>
      </c>
      <c r="D15" s="259" t="str">
        <f>VLOOKUP(TEXT(A15,"#"),Main!$A$2:$C25,3,0)</f>
        <v>2-Way Angular Stop Cock with Wall Flange</v>
      </c>
      <c r="E15" s="222">
        <f t="array" ref="E15:F15">VLOOKUP(C15,MASTER!$C$2:$F25,{3,4},0)</f>
        <v>2190</v>
      </c>
      <c r="F15" s="222">
        <v>2390.0</v>
      </c>
      <c r="G15" s="3"/>
    </row>
    <row r="16">
      <c r="A16" s="299" t="str">
        <f t="shared" si="1"/>
        <v>12</v>
      </c>
      <c r="B16" s="256">
        <v>15.0</v>
      </c>
      <c r="C16" s="219">
        <v>7212.0</v>
      </c>
      <c r="D16" s="259" t="str">
        <f>VLOOKUP(TEXT(A16,"#"),Main!$A$2:$C25,3,0)</f>
        <v>2-Way Bib Cock Double Handle with Wall Flange</v>
      </c>
      <c r="E16" s="222">
        <f t="array" ref="E16:F16">VLOOKUP(C16,MASTER!$C$2:$F25,{3,4},0)</f>
        <v>2420</v>
      </c>
      <c r="F16" s="222">
        <v>2660.0</v>
      </c>
      <c r="G16" s="3"/>
    </row>
    <row r="17">
      <c r="A17" s="299" t="str">
        <f t="shared" si="1"/>
        <v>26</v>
      </c>
      <c r="B17" s="256">
        <v>16.0</v>
      </c>
      <c r="C17" s="219">
        <v>7226.0</v>
      </c>
      <c r="D17" s="259" t="str">
        <f>VLOOKUP(TEXT(A17,"#"),Main!$A$2:$C25,3,0)</f>
        <v>Stop Cock 15mm (Male Thread)</v>
      </c>
      <c r="E17" s="222">
        <f t="array" ref="E17:F17">VLOOKUP(C17,MASTER!$C$2:$F25,{3,4},0)</f>
        <v>1240</v>
      </c>
      <c r="F17" s="222">
        <v>1390.0</v>
      </c>
      <c r="G17" s="3"/>
    </row>
    <row r="18">
      <c r="A18" s="299" t="str">
        <f t="shared" si="1"/>
        <v>28</v>
      </c>
      <c r="B18" s="256">
        <v>17.0</v>
      </c>
      <c r="C18" s="219">
        <v>7228.0</v>
      </c>
      <c r="D18" s="259" t="str">
        <f>VLOOKUP(TEXT(A18,"#"),Main!$A$2:$C25,3,0)</f>
        <v>Stop Cock 15mm (Female Thread)</v>
      </c>
      <c r="E18" s="222">
        <f t="array" ref="E18:F18">VLOOKUP(C18,MASTER!$C$2:$F25,{3,4},0)</f>
        <v>1240</v>
      </c>
      <c r="F18" s="222">
        <v>1350.0</v>
      </c>
      <c r="G18" s="3"/>
    </row>
    <row r="19">
      <c r="A19" s="299" t="str">
        <f t="shared" si="1"/>
        <v>18</v>
      </c>
      <c r="B19" s="256">
        <v>18.0</v>
      </c>
      <c r="C19" s="219">
        <v>7218.0</v>
      </c>
      <c r="D19" s="259" t="str">
        <f>VLOOKUP(TEXT(A19,"#"),Main!$A$2:$C25,3,0)</f>
        <v>Concealed Stop Cock 15mm with Wall Flange</v>
      </c>
      <c r="E19" s="222">
        <f t="array" ref="E19:F19">VLOOKUP(C19,MASTER!$C$2:$F25,{3,4},0)</f>
        <v>1640</v>
      </c>
      <c r="F19" s="222">
        <v>1770.0</v>
      </c>
      <c r="G19" s="3"/>
    </row>
    <row r="20">
      <c r="A20" s="299" t="str">
        <f t="shared" si="1"/>
        <v>20</v>
      </c>
      <c r="B20" s="256">
        <v>19.0</v>
      </c>
      <c r="C20" s="219">
        <v>7220.0</v>
      </c>
      <c r="D20" s="259" t="str">
        <f>VLOOKUP(TEXT(A20,"#"),Main!$A$2:$C25,3,0)</f>
        <v>Concealed Stop Cock 20mm with Wall Flange</v>
      </c>
      <c r="E20" s="222">
        <f t="array" ref="E20:F20">VLOOKUP(C20,MASTER!$C$2:$F25,{3,4},0)</f>
        <v>1690</v>
      </c>
      <c r="F20" s="222">
        <v>1820.0</v>
      </c>
      <c r="G20" s="3"/>
    </row>
    <row r="21">
      <c r="A21" s="299" t="str">
        <f t="shared" si="1"/>
        <v>98</v>
      </c>
      <c r="B21" s="256">
        <v>20.0</v>
      </c>
      <c r="C21" s="219">
        <v>7298.0</v>
      </c>
      <c r="D21" s="259" t="str">
        <f>VLOOKUP(TEXT(A21,"#"),Main!$A$2:$C25,3,0)</f>
        <v>Flush Cock 25mm Half Turn with Adjustable Flange</v>
      </c>
      <c r="E21" s="222">
        <f t="array" ref="E21:F21">VLOOKUP(C21,MASTER!$C$2:$F25,{3,4},0)</f>
        <v>2280</v>
      </c>
      <c r="F21" s="222">
        <v>2520.0</v>
      </c>
      <c r="G21" s="3"/>
    </row>
    <row r="22">
      <c r="A22" s="3"/>
      <c r="B22" s="10"/>
      <c r="C22" s="89"/>
      <c r="D22" s="3"/>
      <c r="E22" s="3"/>
      <c r="F22" s="3"/>
      <c r="G22" s="3"/>
    </row>
    <row r="23">
      <c r="A23" s="3"/>
      <c r="B23" s="10"/>
      <c r="C23" s="89"/>
      <c r="D23" s="3"/>
      <c r="E23" s="3"/>
      <c r="F23" s="3"/>
      <c r="G23" s="3"/>
    </row>
    <row r="24">
      <c r="A24" s="3"/>
      <c r="B24" s="10"/>
      <c r="C24" s="89"/>
      <c r="D24" s="3"/>
      <c r="E24" s="3"/>
      <c r="F24" s="3"/>
      <c r="G24" s="3"/>
    </row>
    <row r="25">
      <c r="A25" s="3"/>
      <c r="B25" s="10"/>
      <c r="C25" s="89"/>
      <c r="D25" s="3"/>
      <c r="E25" s="3"/>
      <c r="F25" s="3"/>
      <c r="G25" s="3"/>
    </row>
  </sheetData>
  <printOptions gridLines="1"/>
  <pageMargins bottom="0.75" footer="0.0" header="0.0" left="0.25" right="0.25" top="0.75"/>
  <pageSetup paperSize="9" cellComments="atEnd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4.13"/>
    <col customWidth="1" min="2" max="2" width="7.13"/>
    <col customWidth="1" min="3" max="3" width="9.38"/>
    <col customWidth="1" min="4" max="4" width="71.38"/>
    <col customWidth="1" min="5" max="5" width="12.0"/>
    <col customWidth="1" min="6" max="6" width="11.75"/>
    <col customWidth="1" hidden="1" min="7" max="7" width="9.38"/>
  </cols>
  <sheetData>
    <row r="1" ht="69.75" customHeight="1"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</row>
    <row r="2">
      <c r="A2" s="299" t="str">
        <f t="shared" ref="A2:A21" si="1">RIGHT(C2,2)</f>
        <v>50</v>
      </c>
      <c r="B2" s="256">
        <v>1.0</v>
      </c>
      <c r="C2" s="219">
        <v>7350.0</v>
      </c>
      <c r="D2" s="259" t="str">
        <f>VLOOKUP(TEXT(A2,"#"),Main!$A$2:$C24,3,0)</f>
        <v>Center Hole Basin Mixer without Popup</v>
      </c>
      <c r="E2" s="222">
        <f t="array" ref="E2:F2">VLOOKUP(C2,MASTER!$C$2:$F24,{3,4},0)</f>
        <v>4980</v>
      </c>
      <c r="F2" s="222">
        <v>5480.0</v>
      </c>
    </row>
    <row r="3">
      <c r="A3" s="299" t="str">
        <f t="shared" si="1"/>
        <v>70</v>
      </c>
      <c r="B3" s="256">
        <v>2.0</v>
      </c>
      <c r="C3" s="219">
        <v>7370.0</v>
      </c>
      <c r="D3" s="259" t="str">
        <f>VLOOKUP(TEXT(A3,"#"),Main!$A$2:$C24,3,0)</f>
        <v>Wall Mixer Telephonic with Crutch &amp; Wall Flange (Provision For Hand Shower)</v>
      </c>
      <c r="E3" s="222">
        <f t="array" ref="E3:F3">VLOOKUP(C3,MASTER!$C$2:$F24,{3,4},0)</f>
        <v>6980</v>
      </c>
      <c r="F3" s="222">
        <v>7680.0</v>
      </c>
    </row>
    <row r="4">
      <c r="A4" s="299" t="str">
        <f t="shared" si="1"/>
        <v>75</v>
      </c>
      <c r="B4" s="256">
        <v>3.0</v>
      </c>
      <c r="C4" s="219">
        <v>7375.0</v>
      </c>
      <c r="D4" s="259" t="str">
        <f>VLOOKUP(TEXT(A4,"#"),Main!$A$2:$C24,3,0)</f>
        <v>Wall Mixer "L" Bend with Wall Flange (Provision For Over Head Shower)</v>
      </c>
      <c r="E4" s="222">
        <f t="array" ref="E4:F4">VLOOKUP(C4,MASTER!$C$2:$F24,{3,4},0)</f>
        <v>6980</v>
      </c>
      <c r="F4" s="222">
        <v>7680.0</v>
      </c>
    </row>
    <row r="5">
      <c r="A5" s="299" t="str">
        <f t="shared" si="1"/>
        <v>80</v>
      </c>
      <c r="B5" s="256">
        <v>4.0</v>
      </c>
      <c r="C5" s="219">
        <v>7380.0</v>
      </c>
      <c r="D5" s="259" t="str">
        <f>VLOOKUP(TEXT(A5,"#"),Main!$A$2:$C24,3,0)</f>
        <v>Wall Mixer 3 In 1 with Wall Flange (Provision For Over Head Shower &amp; Hand Shower)</v>
      </c>
      <c r="E5" s="222">
        <f t="array" ref="E5:F5">VLOOKUP(C5,MASTER!$C$2:$F24,{3,4},0)</f>
        <v>7740</v>
      </c>
      <c r="F5" s="222">
        <v>8680.0</v>
      </c>
    </row>
    <row r="6">
      <c r="A6" s="299" t="str">
        <f t="shared" si="1"/>
        <v>55</v>
      </c>
      <c r="B6" s="256">
        <v>5.0</v>
      </c>
      <c r="C6" s="219">
        <v>7355.0</v>
      </c>
      <c r="D6" s="259" t="str">
        <f>VLOOKUP(TEXT(A6,"#"),Main!$A$2:$C24,3,0)</f>
        <v>Sink Mixer with Regular Spout Wall Mounted with Flange</v>
      </c>
      <c r="E6" s="222">
        <f t="array" ref="E6:F6">VLOOKUP(C6,MASTER!$C$2:$F24,{3,4},0)</f>
        <v>5440</v>
      </c>
      <c r="F6" s="222">
        <v>5890.0</v>
      </c>
    </row>
    <row r="7">
      <c r="A7" s="299" t="str">
        <f t="shared" si="1"/>
        <v>14</v>
      </c>
      <c r="B7" s="256">
        <v>6.0</v>
      </c>
      <c r="C7" s="219">
        <v>7314.0</v>
      </c>
      <c r="D7" s="259" t="str">
        <f>VLOOKUP(TEXT(A7,"#"),Main!$A$2:$C24,3,0)</f>
        <v>Swan Neck Table Mounted</v>
      </c>
      <c r="E7" s="222">
        <f t="array" ref="E7:F7">VLOOKUP(C7,MASTER!$C$2:$F24,{3,4},0)</f>
        <v>2790</v>
      </c>
      <c r="F7" s="222">
        <v>3120.0</v>
      </c>
    </row>
    <row r="8">
      <c r="A8" s="299" t="str">
        <f t="shared" si="1"/>
        <v>16</v>
      </c>
      <c r="B8" s="256">
        <v>7.0</v>
      </c>
      <c r="C8" s="219">
        <v>7316.0</v>
      </c>
      <c r="D8" s="259" t="str">
        <f>VLOOKUP(TEXT(A8,"#"),Main!$A$2:$C24,3,0)</f>
        <v>Sink Cock Wall Mounted with Flange</v>
      </c>
      <c r="E8" s="222">
        <f t="array" ref="E8:F8">VLOOKUP(C8,MASTER!$C$2:$F24,{3,4},0)</f>
        <v>2480</v>
      </c>
      <c r="F8" s="222">
        <v>2790.0</v>
      </c>
    </row>
    <row r="9">
      <c r="A9" s="299" t="str">
        <f t="shared" si="1"/>
        <v>02</v>
      </c>
      <c r="B9" s="256">
        <v>8.0</v>
      </c>
      <c r="C9" s="219">
        <v>7302.0</v>
      </c>
      <c r="D9" s="259" t="str">
        <f>VLOOKUP(TEXT(A9,"#"),Main!$A$2:$C24,3,0)</f>
        <v>Pillar Cock</v>
      </c>
      <c r="E9" s="222">
        <f t="array" ref="E9:F9">VLOOKUP(C9,MASTER!$C$2:$F24,{3,4},0)</f>
        <v>1490</v>
      </c>
      <c r="F9" s="222">
        <v>1670.0</v>
      </c>
    </row>
    <row r="10">
      <c r="A10" s="299" t="str">
        <f t="shared" si="1"/>
        <v>05</v>
      </c>
      <c r="B10" s="256">
        <v>9.0</v>
      </c>
      <c r="C10" s="219">
        <v>7305.0</v>
      </c>
      <c r="D10" s="259" t="str">
        <f>VLOOKUP(TEXT(A10,"#"),Main!$A$2:$C24,3,0)</f>
        <v>Bib Cock Nozzle with Wall Flange</v>
      </c>
      <c r="E10" s="222">
        <f t="array" ref="E10:F10">VLOOKUP(C10,MASTER!$C$2:$F24,{3,4},0)</f>
        <v>1390</v>
      </c>
      <c r="F10" s="222">
        <v>1550.0</v>
      </c>
    </row>
    <row r="11">
      <c r="A11" s="299" t="str">
        <f t="shared" si="1"/>
        <v>06</v>
      </c>
      <c r="B11" s="256">
        <v>10.0</v>
      </c>
      <c r="C11" s="219">
        <v>7306.0</v>
      </c>
      <c r="D11" s="259" t="str">
        <f>VLOOKUP(TEXT(A11,"#"),Main!$A$2:$C24,3,0)</f>
        <v>Bib Cock with Wall Flange</v>
      </c>
      <c r="E11" s="222">
        <f t="array" ref="E11:F11">VLOOKUP(C11,MASTER!$C$2:$F24,{3,4},0)</f>
        <v>1390</v>
      </c>
      <c r="F11" s="222">
        <v>1540.0</v>
      </c>
    </row>
    <row r="12">
      <c r="A12" s="299" t="str">
        <f t="shared" si="1"/>
        <v>08</v>
      </c>
      <c r="B12" s="256">
        <v>11.0</v>
      </c>
      <c r="C12" s="219">
        <v>7308.0</v>
      </c>
      <c r="D12" s="259" t="str">
        <f>VLOOKUP(TEXT(A12,"#"),Main!$A$2:$C24,3,0)</f>
        <v>Bib Cock Long Body with Wall Flange</v>
      </c>
      <c r="E12" s="222">
        <f t="array" ref="E12:F12">VLOOKUP(C12,MASTER!$C$2:$F24,{3,4},0)</f>
        <v>1590</v>
      </c>
      <c r="F12" s="222">
        <v>1770.0</v>
      </c>
    </row>
    <row r="13">
      <c r="A13" s="299" t="str">
        <f t="shared" si="1"/>
        <v>09</v>
      </c>
      <c r="B13" s="256">
        <v>12.0</v>
      </c>
      <c r="C13" s="219">
        <v>7309.0</v>
      </c>
      <c r="D13" s="259" t="str">
        <f>VLOOKUP(TEXT(A13,"#"),Main!$A$2:$C24,3,0)</f>
        <v>Bib Cock Long Nose with Wall Flange</v>
      </c>
      <c r="E13" s="222">
        <f t="array" ref="E13:F13">VLOOKUP(C13,MASTER!$C$2:$F24,{3,4},0)</f>
        <v>1740</v>
      </c>
      <c r="F13" s="222">
        <v>1940.0</v>
      </c>
    </row>
    <row r="14">
      <c r="A14" s="299" t="str">
        <f t="shared" si="1"/>
        <v>10</v>
      </c>
      <c r="B14" s="256">
        <v>13.0</v>
      </c>
      <c r="C14" s="219">
        <v>7310.0</v>
      </c>
      <c r="D14" s="259" t="str">
        <f>VLOOKUP(TEXT(A14,"#"),Main!$A$2:$C24,3,0)</f>
        <v>Angular Stop Cock with Wall Flange</v>
      </c>
      <c r="E14" s="222">
        <f t="array" ref="E14:F14">VLOOKUP(C14,MASTER!$C$2:$F24,{3,4},0)</f>
        <v>1180</v>
      </c>
      <c r="F14" s="222">
        <v>1290.0</v>
      </c>
    </row>
    <row r="15">
      <c r="A15" s="299" t="str">
        <f t="shared" si="1"/>
        <v>11</v>
      </c>
      <c r="B15" s="256">
        <v>14.0</v>
      </c>
      <c r="C15" s="219">
        <v>7311.0</v>
      </c>
      <c r="D15" s="259" t="str">
        <f>VLOOKUP(TEXT(A15,"#"),Main!$A$2:$C24,3,0)</f>
        <v>2-Way Angular Stop Cock with Wall Flange</v>
      </c>
      <c r="E15" s="222">
        <f t="array" ref="E15:F15">VLOOKUP(C15,MASTER!$C$2:$F24,{3,4},0)</f>
        <v>2080</v>
      </c>
      <c r="F15" s="222">
        <v>2360.0</v>
      </c>
    </row>
    <row r="16">
      <c r="A16" s="299" t="str">
        <f t="shared" si="1"/>
        <v>12</v>
      </c>
      <c r="B16" s="256">
        <v>15.0</v>
      </c>
      <c r="C16" s="219">
        <v>7312.0</v>
      </c>
      <c r="D16" s="259" t="str">
        <f>VLOOKUP(TEXT(A16,"#"),Main!$A$2:$C24,3,0)</f>
        <v>2-Way Bib Cock Double Handle with Wall Flange</v>
      </c>
      <c r="E16" s="222">
        <f t="array" ref="E16:F16">VLOOKUP(C16,MASTER!$C$2:$F24,{3,4},0)</f>
        <v>2380</v>
      </c>
      <c r="F16" s="222">
        <v>2680.0</v>
      </c>
    </row>
    <row r="17">
      <c r="A17" s="299" t="str">
        <f t="shared" si="1"/>
        <v>26</v>
      </c>
      <c r="B17" s="256">
        <v>16.0</v>
      </c>
      <c r="C17" s="219">
        <v>7326.0</v>
      </c>
      <c r="D17" s="259" t="str">
        <f>VLOOKUP(TEXT(A17,"#"),Main!$A$2:$C24,3,0)</f>
        <v>Stop Cock 15mm (Male Thread)</v>
      </c>
      <c r="E17" s="222">
        <f t="array" ref="E17:F17">VLOOKUP(C17,MASTER!$C$2:$F24,{3,4},0)</f>
        <v>1270</v>
      </c>
      <c r="F17" s="222">
        <v>1380.0</v>
      </c>
    </row>
    <row r="18">
      <c r="A18" s="299" t="str">
        <f t="shared" si="1"/>
        <v>28</v>
      </c>
      <c r="B18" s="256">
        <v>17.0</v>
      </c>
      <c r="C18" s="219">
        <v>7328.0</v>
      </c>
      <c r="D18" s="259" t="str">
        <f>VLOOKUP(TEXT(A18,"#"),Main!$A$2:$C24,3,0)</f>
        <v>Stop Cock 15mm (Female Thread)</v>
      </c>
      <c r="E18" s="222">
        <f t="array" ref="E18:F18">VLOOKUP(C18,MASTER!$C$2:$F24,{3,4},0)</f>
        <v>1270</v>
      </c>
      <c r="F18" s="222">
        <v>1360.0</v>
      </c>
    </row>
    <row r="19">
      <c r="A19" s="299" t="str">
        <f t="shared" si="1"/>
        <v>18</v>
      </c>
      <c r="B19" s="256">
        <v>18.0</v>
      </c>
      <c r="C19" s="219">
        <v>7318.0</v>
      </c>
      <c r="D19" s="259" t="str">
        <f>VLOOKUP(TEXT(A19,"#"),Main!$A$2:$C24,3,0)</f>
        <v>Concealed Stop Cock 15mm with Wall Flange</v>
      </c>
      <c r="E19" s="222">
        <f t="array" ref="E19:F19">VLOOKUP(C19,MASTER!$C$2:$F24,{3,4},0)</f>
        <v>1640</v>
      </c>
      <c r="F19" s="222">
        <v>1840.0</v>
      </c>
    </row>
    <row r="20">
      <c r="A20" s="299" t="str">
        <f t="shared" si="1"/>
        <v>20</v>
      </c>
      <c r="B20" s="256">
        <v>19.0</v>
      </c>
      <c r="C20" s="219">
        <v>7320.0</v>
      </c>
      <c r="D20" s="259" t="str">
        <f>VLOOKUP(TEXT(A20,"#"),Main!$A$2:$C24,3,0)</f>
        <v>Concealed Stop Cock 20mm with Wall Flange</v>
      </c>
      <c r="E20" s="222">
        <f t="array" ref="E20:F20">VLOOKUP(C20,MASTER!$C$2:$F24,{3,4},0)</f>
        <v>1690</v>
      </c>
      <c r="F20" s="222">
        <v>1890.0</v>
      </c>
    </row>
    <row r="21">
      <c r="A21" s="299" t="str">
        <f t="shared" si="1"/>
        <v>98</v>
      </c>
      <c r="B21" s="256">
        <v>20.0</v>
      </c>
      <c r="C21" s="219">
        <v>7398.0</v>
      </c>
      <c r="D21" s="259" t="str">
        <f>VLOOKUP(TEXT(A21,"#"),Main!$A$2:$C24,3,0)</f>
        <v>Flush Cock 25mm Half Turn with Adjustable Flange</v>
      </c>
      <c r="E21" s="222">
        <f t="array" ref="E21:F21">VLOOKUP(C21,MASTER!$C$2:$F24,{3,4},0)</f>
        <v>2380</v>
      </c>
      <c r="F21" s="222">
        <v>2580.0</v>
      </c>
    </row>
    <row r="22">
      <c r="C22" s="306"/>
    </row>
    <row r="23">
      <c r="C23" s="306"/>
    </row>
    <row r="24">
      <c r="C24" s="306"/>
    </row>
  </sheetData>
  <printOptions gridLines="1"/>
  <pageMargins bottom="0.75" footer="0.0" header="0.0" left="0.25" right="0.25" top="0.75"/>
  <pageSetup paperSize="9" cellComments="atEnd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5.63"/>
    <col customWidth="1" min="2" max="2" width="7.13"/>
    <col customWidth="1" min="3" max="3" width="9.38"/>
    <col customWidth="1" min="4" max="4" width="71.38"/>
    <col customWidth="1" min="5" max="5" width="11.75"/>
    <col customWidth="1" min="6" max="6" width="11.88"/>
    <col customWidth="1" hidden="1" min="7" max="7" width="9.13"/>
  </cols>
  <sheetData>
    <row r="1" ht="75.75" customHeight="1">
      <c r="A1" s="3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</row>
    <row r="2">
      <c r="A2" s="299" t="str">
        <f t="shared" ref="A2:A14" si="1">RIGHT(C2,2)</f>
        <v>50</v>
      </c>
      <c r="B2" s="256">
        <v>1.0</v>
      </c>
      <c r="C2" s="219">
        <v>7750.0</v>
      </c>
      <c r="D2" s="259" t="str">
        <f>VLOOKUP(TEXT(A2,"#"),Main!$A$2:$C28,3,0)</f>
        <v>Center Hole Basin Mixer without Popup</v>
      </c>
      <c r="E2" s="222">
        <f t="array" ref="E2:F2">VLOOKUP(C2,MASTER!$C$2:$F28,{3,4},0)</f>
        <v>4980</v>
      </c>
      <c r="F2" s="222">
        <v>5380.0</v>
      </c>
      <c r="G2" s="3"/>
    </row>
    <row r="3">
      <c r="A3" s="299" t="str">
        <f t="shared" si="1"/>
        <v>70</v>
      </c>
      <c r="B3" s="256">
        <v>2.0</v>
      </c>
      <c r="C3" s="219">
        <v>7770.0</v>
      </c>
      <c r="D3" s="259" t="str">
        <f>VLOOKUP(TEXT(A3,"#"),Main!$A$2:$C28,3,0)</f>
        <v>Wall Mixer Telephonic with Crutch &amp; Wall Flange (Provision For Hand Shower)</v>
      </c>
      <c r="E3" s="222">
        <f t="array" ref="E3:F3">VLOOKUP(C3,MASTER!$C$2:$F28,{3,4},0)</f>
        <v>6990</v>
      </c>
      <c r="F3" s="222">
        <v>7480.0</v>
      </c>
      <c r="G3" s="3"/>
    </row>
    <row r="4">
      <c r="A4" s="299" t="str">
        <f t="shared" si="1"/>
        <v>75</v>
      </c>
      <c r="B4" s="256">
        <v>3.0</v>
      </c>
      <c r="C4" s="219">
        <v>7775.0</v>
      </c>
      <c r="D4" s="259" t="str">
        <f>VLOOKUP(TEXT(A4,"#"),Main!$A$2:$C28,3,0)</f>
        <v>Wall Mixer "L" Bend with Wall Flange (Provision For Over Head Shower)</v>
      </c>
      <c r="E4" s="222">
        <f t="array" ref="E4:F4">VLOOKUP(C4,MASTER!$C$2:$F28,{3,4},0)</f>
        <v>6990</v>
      </c>
      <c r="F4" s="222">
        <v>7480.0</v>
      </c>
      <c r="G4" s="3"/>
    </row>
    <row r="5">
      <c r="A5" s="299" t="str">
        <f t="shared" si="1"/>
        <v>80</v>
      </c>
      <c r="B5" s="256">
        <v>4.0</v>
      </c>
      <c r="C5" s="219">
        <v>7780.0</v>
      </c>
      <c r="D5" s="259" t="str">
        <f>VLOOKUP(TEXT(A5,"#"),Main!$A$2:$C28,3,0)</f>
        <v>Wall Mixer 3 In 1 with Wall Flange (Provision For Over Head Shower &amp; Hand Shower)</v>
      </c>
      <c r="E5" s="222">
        <f t="array" ref="E5:F5">VLOOKUP(C5,MASTER!$C$2:$F28,{3,4},0)</f>
        <v>7740</v>
      </c>
      <c r="F5" s="222">
        <v>8480.0</v>
      </c>
      <c r="G5" s="3"/>
    </row>
    <row r="6">
      <c r="A6" s="299" t="str">
        <f t="shared" si="1"/>
        <v>55</v>
      </c>
      <c r="B6" s="267">
        <v>5.0</v>
      </c>
      <c r="C6" s="219">
        <v>7755.0</v>
      </c>
      <c r="D6" s="259" t="str">
        <f>VLOOKUP(TEXT(A6,"#"),Main!$A$2:$C28,3,0)</f>
        <v>Sink Mixer with Regular Spout Wall Mounted with Flange</v>
      </c>
      <c r="E6" s="222">
        <f t="array" ref="E6:F6">VLOOKUP(C6,MASTER!$C$2:$F28,{3,4},0)</f>
        <v>5390</v>
      </c>
      <c r="F6" s="222">
        <v>5990.0</v>
      </c>
      <c r="G6" s="3"/>
    </row>
    <row r="7">
      <c r="A7" s="299" t="str">
        <f t="shared" si="1"/>
        <v>14</v>
      </c>
      <c r="B7" s="267">
        <v>6.0</v>
      </c>
      <c r="C7" s="219">
        <v>7714.0</v>
      </c>
      <c r="D7" s="259" t="str">
        <f>VLOOKUP(TEXT(A7,"#"),Main!$A$2:$C28,3,0)</f>
        <v>Swan Neck Table Mounted</v>
      </c>
      <c r="E7" s="222">
        <f t="array" ref="E7:F7">VLOOKUP(C7,MASTER!$C$2:$F28,{3,4},0)</f>
        <v>2680</v>
      </c>
      <c r="F7" s="222">
        <v>2940.0</v>
      </c>
      <c r="G7" s="3"/>
    </row>
    <row r="8">
      <c r="A8" s="299" t="str">
        <f t="shared" si="1"/>
        <v>16</v>
      </c>
      <c r="B8" s="267">
        <v>7.0</v>
      </c>
      <c r="C8" s="219">
        <v>7716.0</v>
      </c>
      <c r="D8" s="259" t="str">
        <f>VLOOKUP(TEXT(A8,"#"),Main!$A$2:$C28,3,0)</f>
        <v>Sink Cock Wall Mounted with Flange</v>
      </c>
      <c r="E8" s="222">
        <f t="array" ref="E8:F8">VLOOKUP(C8,MASTER!$C$2:$F28,{3,4},0)</f>
        <v>2380</v>
      </c>
      <c r="F8" s="222">
        <v>2580.0</v>
      </c>
      <c r="G8" s="3"/>
    </row>
    <row r="9">
      <c r="A9" s="299" t="str">
        <f t="shared" si="1"/>
        <v>94</v>
      </c>
      <c r="B9" s="256">
        <v>8.0</v>
      </c>
      <c r="C9" s="218">
        <v>7794.0</v>
      </c>
      <c r="D9" s="259" t="str">
        <f>VLOOKUP(TEXT(A9,"#"),Main!$A$2:$C28,3,0)</f>
        <v>Concealed 4 Way Diverter Set Hot &amp; Cold with Built-In Non Return Valves Complete Set</v>
      </c>
      <c r="E9" s="222">
        <f t="array" ref="E9:F9">VLOOKUP(C9,MASTER!$C$2:$F28,{3,4},0)</f>
        <v>8890</v>
      </c>
      <c r="F9" s="222">
        <v>9790.0</v>
      </c>
      <c r="G9" s="3"/>
    </row>
    <row r="10">
      <c r="A10" s="299" t="str">
        <f t="shared" si="1"/>
        <v>02</v>
      </c>
      <c r="B10" s="256">
        <v>9.0</v>
      </c>
      <c r="C10" s="219">
        <v>7702.0</v>
      </c>
      <c r="D10" s="259" t="str">
        <f>VLOOKUP(TEXT(A10,"#"),Main!$A$2:$C28,3,0)</f>
        <v>Pillar Cock</v>
      </c>
      <c r="E10" s="222">
        <f t="array" ref="E10:F10">VLOOKUP(C10,MASTER!$C$2:$F28,{3,4},0)</f>
        <v>1790</v>
      </c>
      <c r="F10" s="222">
        <v>1980.0</v>
      </c>
      <c r="G10" s="3"/>
    </row>
    <row r="11">
      <c r="A11" s="299" t="str">
        <f t="shared" si="1"/>
        <v>03</v>
      </c>
      <c r="B11" s="256">
        <v>10.0</v>
      </c>
      <c r="C11" s="219">
        <v>7703.0</v>
      </c>
      <c r="D11" s="259" t="str">
        <f>VLOOKUP(TEXT(A11,"#"),Main!$A$2:$C28,3,0)</f>
        <v>Pillar Cock Tall Body</v>
      </c>
      <c r="E11" s="222">
        <f t="array" ref="E11:F11">VLOOKUP(C11,MASTER!$C$2:$F28,{3,4},0)</f>
        <v>3680</v>
      </c>
      <c r="F11" s="222">
        <v>3990.0</v>
      </c>
      <c r="G11" s="3"/>
    </row>
    <row r="12">
      <c r="A12" s="299" t="str">
        <f t="shared" si="1"/>
        <v>04</v>
      </c>
      <c r="B12" s="256">
        <v>11.0</v>
      </c>
      <c r="C12" s="219">
        <v>7704.0</v>
      </c>
      <c r="D12" s="259" t="str">
        <f>VLOOKUP(TEXT(A12,"#"),Main!$A$2:$C28,3,0)</f>
        <v>Pillar Cock Extended Body</v>
      </c>
      <c r="E12" s="222">
        <f t="array" ref="E12:F12">VLOOKUP(C12,MASTER!$C$2:$F28,{3,4},0)</f>
        <v>2480</v>
      </c>
      <c r="F12" s="222">
        <v>2680.0</v>
      </c>
      <c r="G12" s="3"/>
    </row>
    <row r="13">
      <c r="A13" s="299" t="str">
        <f t="shared" si="1"/>
        <v>06</v>
      </c>
      <c r="B13" s="256">
        <v>12.0</v>
      </c>
      <c r="C13" s="219">
        <v>7706.0</v>
      </c>
      <c r="D13" s="259" t="str">
        <f>VLOOKUP(TEXT(A13,"#"),Main!$A$2:$C28,3,0)</f>
        <v>Bib Cock with Wall Flange</v>
      </c>
      <c r="E13" s="222">
        <f t="array" ref="E13:F13">VLOOKUP(C13,MASTER!$C$2:$F28,{3,4},0)</f>
        <v>1490</v>
      </c>
      <c r="F13" s="222">
        <v>1680.0</v>
      </c>
      <c r="G13" s="3"/>
    </row>
    <row r="14">
      <c r="A14" s="299" t="str">
        <f t="shared" si="1"/>
        <v>07</v>
      </c>
      <c r="B14" s="267">
        <v>13.0</v>
      </c>
      <c r="C14" s="218">
        <v>7707.0</v>
      </c>
      <c r="D14" s="259" t="str">
        <f>VLOOKUP(TEXT(A14,"#"),Main!$A$2:$C28,3,0)</f>
        <v>Concealed Wall Mount Pillar Cock</v>
      </c>
      <c r="E14" s="222">
        <f t="array" ref="E14:F14">VLOOKUP(C14,MASTER!$C$2:$F28,{3,4},0)</f>
        <v>2780</v>
      </c>
      <c r="F14" s="222">
        <v>2980.0</v>
      </c>
      <c r="G14" s="3"/>
    </row>
    <row r="15">
      <c r="A15" s="289" t="s">
        <v>73</v>
      </c>
      <c r="B15" s="120"/>
      <c r="C15" s="218" t="s">
        <v>73</v>
      </c>
      <c r="D15" s="259" t="str">
        <f>VLOOKUP(TEXT(A15,"#"),Main!$A$2:$C28,3,0)</f>
        <v>Concealed Pillar Cock Body 15mm</v>
      </c>
      <c r="E15" s="222">
        <f t="array" ref="E15:F15">VLOOKUP(C15,MASTER!$C$2:$F28,{3,4},0)</f>
        <v>1390</v>
      </c>
      <c r="F15" s="222">
        <v>1490.0</v>
      </c>
      <c r="G15" s="3"/>
    </row>
    <row r="16">
      <c r="A16" s="289" t="s">
        <v>77</v>
      </c>
      <c r="B16" s="145"/>
      <c r="C16" s="218" t="s">
        <v>1184</v>
      </c>
      <c r="D16" s="259" t="str">
        <f>VLOOKUP(TEXT(A16,"#"),Main!$A$2:$C28,3,0)</f>
        <v>Exposed Parts (Wall Flange, Handle &amp; Spout)</v>
      </c>
      <c r="E16" s="222">
        <f t="array" ref="E16:F16">VLOOKUP(C16,MASTER!$C$2:$F28,{3,4},0)</f>
        <v>1390</v>
      </c>
      <c r="F16" s="222">
        <v>1490.0</v>
      </c>
      <c r="G16" s="3"/>
    </row>
    <row r="17">
      <c r="A17" s="299" t="str">
        <f t="shared" ref="A17:A23" si="2">RIGHT(C17,2)</f>
        <v>08</v>
      </c>
      <c r="B17" s="256">
        <v>14.0</v>
      </c>
      <c r="C17" s="219">
        <v>7708.0</v>
      </c>
      <c r="D17" s="259" t="str">
        <f>VLOOKUP(TEXT(A17,"#"),Main!$A$2:$C28,3,0)</f>
        <v>Bib Cock Long Body with Wall Flange</v>
      </c>
      <c r="E17" s="222">
        <f t="array" ref="E17:F17">VLOOKUP(C17,MASTER!$C$2:$F28,{3,4},0)</f>
        <v>1880</v>
      </c>
      <c r="F17" s="222">
        <v>1990.0</v>
      </c>
      <c r="G17" s="3"/>
    </row>
    <row r="18">
      <c r="A18" s="299" t="str">
        <f t="shared" si="2"/>
        <v>10</v>
      </c>
      <c r="B18" s="256">
        <v>15.0</v>
      </c>
      <c r="C18" s="219">
        <v>7710.0</v>
      </c>
      <c r="D18" s="259" t="str">
        <f>VLOOKUP(TEXT(A18,"#"),Main!$A$2:$C28,3,0)</f>
        <v>Angular Stop Cock with Wall Flange</v>
      </c>
      <c r="E18" s="222">
        <f t="array" ref="E18:F18">VLOOKUP(C18,MASTER!$C$2:$F28,{3,4},0)</f>
        <v>1380</v>
      </c>
      <c r="F18" s="222">
        <v>1490.0</v>
      </c>
      <c r="G18" s="3"/>
    </row>
    <row r="19">
      <c r="A19" s="299" t="str">
        <f t="shared" si="2"/>
        <v>11</v>
      </c>
      <c r="B19" s="256">
        <v>16.0</v>
      </c>
      <c r="C19" s="219">
        <v>7711.0</v>
      </c>
      <c r="D19" s="259" t="str">
        <f>VLOOKUP(TEXT(A19,"#"),Main!$A$2:$C28,3,0)</f>
        <v>2-Way Angular Stop Cock with Wall Flange</v>
      </c>
      <c r="E19" s="222">
        <f t="array" ref="E19:F19">VLOOKUP(C19,MASTER!$C$2:$F28,{3,4},0)</f>
        <v>2080</v>
      </c>
      <c r="F19" s="222">
        <v>2340.0</v>
      </c>
      <c r="G19" s="3"/>
    </row>
    <row r="20">
      <c r="A20" s="299" t="str">
        <f t="shared" si="2"/>
        <v>12</v>
      </c>
      <c r="B20" s="256">
        <v>17.0</v>
      </c>
      <c r="C20" s="219">
        <v>7712.0</v>
      </c>
      <c r="D20" s="259" t="str">
        <f>VLOOKUP(TEXT(A20,"#"),Main!$A$2:$C28,3,0)</f>
        <v>2-Way Bib Cock Double Handle with Wall Flange</v>
      </c>
      <c r="E20" s="222">
        <f t="array" ref="E20:F20">VLOOKUP(C20,MASTER!$C$2:$F28,{3,4},0)</f>
        <v>2480</v>
      </c>
      <c r="F20" s="222">
        <v>2780.0</v>
      </c>
      <c r="G20" s="3"/>
    </row>
    <row r="21">
      <c r="A21" s="299" t="str">
        <f t="shared" si="2"/>
        <v>18</v>
      </c>
      <c r="B21" s="256">
        <v>18.0</v>
      </c>
      <c r="C21" s="219">
        <v>7718.0</v>
      </c>
      <c r="D21" s="259" t="str">
        <f>VLOOKUP(TEXT(A21,"#"),Main!$A$2:$C28,3,0)</f>
        <v>Concealed Stop Cock 15mm with Wall Flange</v>
      </c>
      <c r="E21" s="222">
        <f t="array" ref="E21:F21">VLOOKUP(C21,MASTER!$C$2:$F28,{3,4},0)</f>
        <v>1640</v>
      </c>
      <c r="F21" s="222">
        <v>1790.0</v>
      </c>
      <c r="G21" s="3"/>
    </row>
    <row r="22">
      <c r="A22" s="299" t="str">
        <f t="shared" si="2"/>
        <v>20</v>
      </c>
      <c r="B22" s="256">
        <v>19.0</v>
      </c>
      <c r="C22" s="219">
        <v>7720.0</v>
      </c>
      <c r="D22" s="259" t="str">
        <f>VLOOKUP(TEXT(A22,"#"),Main!$A$2:$C28,3,0)</f>
        <v>Concealed Stop Cock 20mm with Wall Flange</v>
      </c>
      <c r="E22" s="222">
        <f t="array" ref="E22:F22">VLOOKUP(C22,MASTER!$C$2:$F28,{3,4},0)</f>
        <v>1690</v>
      </c>
      <c r="F22" s="222">
        <v>1840.0</v>
      </c>
      <c r="G22" s="3"/>
    </row>
    <row r="23">
      <c r="A23" s="299" t="str">
        <f t="shared" si="2"/>
        <v>98</v>
      </c>
      <c r="B23" s="256">
        <v>20.0</v>
      </c>
      <c r="C23" s="219">
        <v>7798.0</v>
      </c>
      <c r="D23" s="259" t="str">
        <f>VLOOKUP(TEXT(A23,"#"),Main!$A$2:$C28,3,0)</f>
        <v>Flush Cock 25mm Half Turn with Adjustable Flange</v>
      </c>
      <c r="E23" s="222">
        <f t="array" ref="E23:F23">VLOOKUP(C23,MASTER!$C$2:$F28,{3,4},0)</f>
        <v>2260</v>
      </c>
      <c r="F23" s="222">
        <v>2480.0</v>
      </c>
      <c r="G23" s="3"/>
    </row>
    <row r="24">
      <c r="A24" s="3"/>
      <c r="B24" s="10"/>
      <c r="C24" s="89"/>
      <c r="D24" s="3"/>
      <c r="E24" s="3"/>
      <c r="F24" s="3"/>
      <c r="G24" s="3"/>
    </row>
    <row r="25">
      <c r="A25" s="3"/>
      <c r="B25" s="10"/>
      <c r="C25" s="89"/>
      <c r="D25" s="3"/>
      <c r="E25" s="3"/>
      <c r="F25" s="3"/>
      <c r="G25" s="3"/>
    </row>
    <row r="26">
      <c r="A26" s="3"/>
      <c r="B26" s="10"/>
      <c r="C26" s="89"/>
      <c r="D26" s="3"/>
      <c r="E26" s="3"/>
      <c r="F26" s="3"/>
      <c r="G26" s="3"/>
    </row>
    <row r="27">
      <c r="A27" s="3"/>
      <c r="B27" s="10"/>
      <c r="C27" s="89"/>
      <c r="D27" s="3"/>
      <c r="E27" s="3"/>
      <c r="F27" s="3"/>
      <c r="G27" s="3"/>
    </row>
    <row r="28">
      <c r="A28" s="3"/>
      <c r="B28" s="10"/>
      <c r="C28" s="89"/>
      <c r="D28" s="3"/>
      <c r="E28" s="3"/>
      <c r="F28" s="3"/>
      <c r="G28" s="3"/>
    </row>
  </sheetData>
  <mergeCells count="1">
    <mergeCell ref="B14:B16"/>
  </mergeCells>
  <printOptions gridLines="1"/>
  <pageMargins bottom="0.75" footer="0.0" header="0.0" left="0.25" right="0.25" top="0.75"/>
  <pageSetup fitToHeight="0" paperSize="9" cellComments="atEnd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5.38"/>
    <col customWidth="1" min="2" max="2" width="7.13"/>
    <col customWidth="1" hidden="1" min="3" max="3" width="18.5"/>
    <col customWidth="1" min="4" max="4" width="18.5"/>
    <col customWidth="1" min="5" max="5" width="83.63"/>
    <col customWidth="1" min="6" max="6" width="11.63"/>
    <col customWidth="1" min="7" max="7" width="12.75"/>
    <col customWidth="1" hidden="1" min="8" max="8" width="7.63"/>
  </cols>
  <sheetData>
    <row r="1" ht="66.75" customHeight="1">
      <c r="A1" s="307"/>
      <c r="B1" s="5" t="s">
        <v>3</v>
      </c>
      <c r="C1" s="141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299" t="str">
        <f t="shared" ref="A2:A5" si="1">RIGHT(D2,2)</f>
        <v>50</v>
      </c>
      <c r="B2" s="24">
        <v>1.0</v>
      </c>
      <c r="C2" s="219">
        <v>7850.0</v>
      </c>
      <c r="D2" s="219">
        <v>7850.0</v>
      </c>
      <c r="E2" s="220" t="str">
        <f>VLOOKUP(TEXT(A2,"#"),Main!$A$2:$C53,3,0)</f>
        <v>Center Hole Basin Mixer without Popup</v>
      </c>
      <c r="F2" s="226">
        <f t="array" ref="F2:G2">VLOOKUP(D2,MASTER!$C$2:$F53,{3,4},0)</f>
        <v>4980</v>
      </c>
      <c r="G2" s="226">
        <v>5480.0</v>
      </c>
      <c r="H2" s="304"/>
    </row>
    <row r="3">
      <c r="A3" s="299" t="str">
        <f t="shared" si="1"/>
        <v>51</v>
      </c>
      <c r="B3" s="24">
        <v>2.0</v>
      </c>
      <c r="C3" s="219">
        <v>7851.0</v>
      </c>
      <c r="D3" s="219">
        <v>7851.0</v>
      </c>
      <c r="E3" s="220" t="str">
        <f>VLOOKUP(TEXT(A3,"#"),Main!$A$2:$C53,3,0)</f>
        <v>Single Lever Basin Mixer without Popup Waste System</v>
      </c>
      <c r="F3" s="226">
        <f t="array" ref="F3:G3">VLOOKUP(D3,MASTER!$C$2:$F53,{3,4},0)</f>
        <v>4980</v>
      </c>
      <c r="G3" s="226">
        <v>5480.0</v>
      </c>
      <c r="H3" s="304"/>
    </row>
    <row r="4">
      <c r="A4" s="299" t="str">
        <f t="shared" si="1"/>
        <v>52</v>
      </c>
      <c r="B4" s="24">
        <v>3.0</v>
      </c>
      <c r="C4" s="219">
        <v>7852.0</v>
      </c>
      <c r="D4" s="219">
        <v>7852.0</v>
      </c>
      <c r="E4" s="220" t="str">
        <f>VLOOKUP(TEXT(A4,"#"),Main!$A$2:$C53,3,0)</f>
        <v>Single Lever Basin Mixer Tall Body without Popup Waste System</v>
      </c>
      <c r="F4" s="226">
        <f t="array" ref="F4:G4">VLOOKUP(D4,MASTER!$C$2:$F53,{3,4},0)</f>
        <v>6280</v>
      </c>
      <c r="G4" s="226">
        <v>6990.0</v>
      </c>
      <c r="H4" s="304"/>
    </row>
    <row r="5">
      <c r="A5" s="299" t="str">
        <f t="shared" si="1"/>
        <v>54</v>
      </c>
      <c r="B5" s="284">
        <v>4.0</v>
      </c>
      <c r="C5" s="219">
        <v>7854.0</v>
      </c>
      <c r="D5" s="219">
        <v>7854.0</v>
      </c>
      <c r="E5" s="220" t="str">
        <f>VLOOKUP(TEXT(A5,"#"),Main!$A$2:$C53,3,0)</f>
        <v>Single Lever Basin Mixer Wall Mount (Concealed)</v>
      </c>
      <c r="F5" s="226">
        <f t="array" ref="F5:G5">VLOOKUP(D5,MASTER!$C$2:$F53,{3,4},0)</f>
        <v>6140</v>
      </c>
      <c r="G5" s="226">
        <v>6680.0</v>
      </c>
      <c r="H5" s="304"/>
    </row>
    <row r="6">
      <c r="A6" s="289" t="s">
        <v>154</v>
      </c>
      <c r="B6" s="120"/>
      <c r="C6" s="219" t="s">
        <v>154</v>
      </c>
      <c r="D6" s="219" t="s">
        <v>154</v>
      </c>
      <c r="E6" s="220" t="str">
        <f>VLOOKUP(TEXT(A6,"#"),Main!$A$2:$C53,3,0)</f>
        <v>Single Lever Basin Mixer Wall Mount (Body, Cartridge, Sleeve &amp; Nipple)</v>
      </c>
      <c r="F6" s="226">
        <f t="array" ref="F6:G6">VLOOKUP(D6,MASTER!$C$2:$F53,{3,4},0)</f>
        <v>3680</v>
      </c>
      <c r="G6" s="226">
        <v>3990.0</v>
      </c>
      <c r="H6" s="304"/>
    </row>
    <row r="7">
      <c r="A7" s="289" t="s">
        <v>159</v>
      </c>
      <c r="B7" s="145"/>
      <c r="C7" s="218" t="s">
        <v>1191</v>
      </c>
      <c r="D7" s="218" t="s">
        <v>1191</v>
      </c>
      <c r="E7" s="220" t="str">
        <f>VLOOKUP(TEXT(A7,"#"),Main!$A$2:$C53,3,0)</f>
        <v>Exposed Parts (Wall Flange, Handle &amp; Spout)</v>
      </c>
      <c r="F7" s="226">
        <f t="array" ref="F7:G7">VLOOKUP(D7,MASTER!$C$2:$F53,{3,4},0)</f>
        <v>2460</v>
      </c>
      <c r="G7" s="226">
        <v>2690.0</v>
      </c>
      <c r="H7" s="304"/>
    </row>
    <row r="8">
      <c r="A8" s="299" t="str">
        <f t="shared" ref="A8:A15" si="2">RIGHT(D8,2)</f>
        <v>70</v>
      </c>
      <c r="B8" s="284">
        <v>5.0</v>
      </c>
      <c r="C8" s="219">
        <v>7870.0</v>
      </c>
      <c r="D8" s="219">
        <v>7870.0</v>
      </c>
      <c r="E8" s="220" t="str">
        <f>VLOOKUP(TEXT(A8,"#"),Main!$A$2:$C53,3,0)</f>
        <v>Wall Mixer Telephonic with Crutch &amp; Wall Flange (Provision For Hand Shower)</v>
      </c>
      <c r="F8" s="226">
        <f t="array" ref="F8:G8">VLOOKUP(D8,MASTER!$C$2:$F53,{3,4},0)</f>
        <v>6680</v>
      </c>
      <c r="G8" s="226">
        <v>7380.0</v>
      </c>
      <c r="H8" s="304"/>
    </row>
    <row r="9">
      <c r="A9" s="299" t="str">
        <f t="shared" si="2"/>
        <v>71</v>
      </c>
      <c r="B9" s="24">
        <v>6.0</v>
      </c>
      <c r="C9" s="219">
        <v>7871.0</v>
      </c>
      <c r="D9" s="219">
        <v>7871.0</v>
      </c>
      <c r="E9" s="220" t="str">
        <f>VLOOKUP(TEXT(A9,"#"),Main!$A$2:$C53,3,0)</f>
        <v>Single Lever Wall Mixer with Wall Flange</v>
      </c>
      <c r="F9" s="226">
        <f t="array" ref="F9:G9">VLOOKUP(D9,MASTER!$C$2:$F53,{3,4},0)</f>
        <v>5980</v>
      </c>
      <c r="G9" s="226">
        <v>6580.0</v>
      </c>
      <c r="H9" s="304"/>
    </row>
    <row r="10">
      <c r="A10" s="299" t="str">
        <f t="shared" si="2"/>
        <v>75</v>
      </c>
      <c r="B10" s="24">
        <v>7.0</v>
      </c>
      <c r="C10" s="219">
        <v>7875.0</v>
      </c>
      <c r="D10" s="219">
        <v>7875.0</v>
      </c>
      <c r="E10" s="220" t="str">
        <f>VLOOKUP(TEXT(A10,"#"),Main!$A$2:$C53,3,0)</f>
        <v>Wall Mixer "L" Bend with Wall Flange (Provision For Over Head Shower)</v>
      </c>
      <c r="F10" s="226">
        <f t="array" ref="F10:G10">VLOOKUP(D10,MASTER!$C$2:$F53,{3,4},0)</f>
        <v>6680</v>
      </c>
      <c r="G10" s="226">
        <v>7380.0</v>
      </c>
      <c r="H10" s="304"/>
    </row>
    <row r="11">
      <c r="A11" s="299" t="str">
        <f t="shared" si="2"/>
        <v>76</v>
      </c>
      <c r="B11" s="24">
        <v>8.0</v>
      </c>
      <c r="C11" s="219">
        <v>7876.0</v>
      </c>
      <c r="D11" s="219">
        <v>7876.0</v>
      </c>
      <c r="E11" s="220" t="str">
        <f>VLOOKUP(TEXT(A11,"#"),Main!$A$2:$C53,3,0)</f>
        <v>Single Lever Wall Mixer "L" Bend with Wall Flange (Expose Type)</v>
      </c>
      <c r="F11" s="226">
        <f t="array" ref="F11:G11">VLOOKUP(D11,MASTER!$C$2:$F53,{3,4},0)</f>
        <v>9240</v>
      </c>
      <c r="G11" s="226">
        <v>10980.0</v>
      </c>
      <c r="H11" s="304"/>
    </row>
    <row r="12">
      <c r="A12" s="299" t="str">
        <f t="shared" si="2"/>
        <v>80</v>
      </c>
      <c r="B12" s="24">
        <v>9.0</v>
      </c>
      <c r="C12" s="219">
        <v>7880.0</v>
      </c>
      <c r="D12" s="219">
        <v>7880.0</v>
      </c>
      <c r="E12" s="220" t="str">
        <f>VLOOKUP(TEXT(A12,"#"),Main!$A$2:$C53,3,0)</f>
        <v>Wall Mixer 3 In 1 with Wall Flange (Provision For Over Head Shower &amp; Hand Shower)</v>
      </c>
      <c r="F12" s="226">
        <f t="array" ref="F12:G12">VLOOKUP(D12,MASTER!$C$2:$F53,{3,4},0)</f>
        <v>7640</v>
      </c>
      <c r="G12" s="226">
        <v>8720.0</v>
      </c>
      <c r="H12" s="304"/>
    </row>
    <row r="13">
      <c r="A13" s="299" t="str">
        <f t="shared" si="2"/>
        <v>55</v>
      </c>
      <c r="B13" s="24">
        <v>10.0</v>
      </c>
      <c r="C13" s="219">
        <v>7855.0</v>
      </c>
      <c r="D13" s="219">
        <v>7855.0</v>
      </c>
      <c r="E13" s="220" t="str">
        <f>VLOOKUP(TEXT(A13,"#"),Main!$A$2:$C53,3,0)</f>
        <v>Sink Mixer with Regular Spout Wall Mounted with Flange</v>
      </c>
      <c r="F13" s="226">
        <f t="array" ref="F13:G13">VLOOKUP(D13,MASTER!$C$2:$F53,{3,4},0)</f>
        <v>4980</v>
      </c>
      <c r="G13" s="226">
        <v>5450.0</v>
      </c>
      <c r="H13" s="304"/>
    </row>
    <row r="14">
      <c r="A14" s="299" t="str">
        <f t="shared" si="2"/>
        <v>14</v>
      </c>
      <c r="B14" s="24">
        <v>11.0</v>
      </c>
      <c r="C14" s="219">
        <v>7814.0</v>
      </c>
      <c r="D14" s="219">
        <v>7814.0</v>
      </c>
      <c r="E14" s="220" t="str">
        <f>VLOOKUP(TEXT(A14,"#"),Main!$A$2:$C53,3,0)</f>
        <v>Swan Neck Table Mounted</v>
      </c>
      <c r="F14" s="226">
        <f t="array" ref="F14:G14">VLOOKUP(D14,MASTER!$C$2:$F53,{3,4},0)</f>
        <v>2580</v>
      </c>
      <c r="G14" s="226">
        <v>2790.0</v>
      </c>
      <c r="H14" s="304"/>
    </row>
    <row r="15">
      <c r="A15" s="299" t="str">
        <f t="shared" si="2"/>
        <v>16</v>
      </c>
      <c r="B15" s="24">
        <v>12.0</v>
      </c>
      <c r="C15" s="219">
        <v>7816.0</v>
      </c>
      <c r="D15" s="219">
        <v>7816.0</v>
      </c>
      <c r="E15" s="220" t="str">
        <f>VLOOKUP(TEXT(A15,"#"),Main!$A$2:$C53,3,0)</f>
        <v>Sink Cock Wall Mounted with Flange</v>
      </c>
      <c r="F15" s="226">
        <f t="array" ref="F15:G15">VLOOKUP(D15,MASTER!$C$2:$F53,{3,4},0)</f>
        <v>2280</v>
      </c>
      <c r="G15" s="226">
        <v>2490.0</v>
      </c>
      <c r="H15" s="304"/>
    </row>
    <row r="16">
      <c r="A16" s="269" t="s">
        <v>209</v>
      </c>
      <c r="B16" s="284">
        <v>13.0</v>
      </c>
      <c r="C16" s="218">
        <v>7891.0</v>
      </c>
      <c r="D16" s="218" t="s">
        <v>1192</v>
      </c>
      <c r="E16" s="220" t="str">
        <f>VLOOKUP(TEXT(A16,"#"),Main!$A$2:$C53,3,0)</f>
        <v>Single Lever Concealed Diverter Bath &amp; Shower 40mm</v>
      </c>
      <c r="F16" s="226">
        <f t="array" ref="F16:G16">VLOOKUP(D16,MASTER!$C$2:$F53,{3,4},0)</f>
        <v>6080</v>
      </c>
      <c r="G16" s="226">
        <v>6560.0</v>
      </c>
      <c r="H16" s="304"/>
    </row>
    <row r="17">
      <c r="A17" s="269" t="s">
        <v>212</v>
      </c>
      <c r="B17" s="120"/>
      <c r="C17" s="218" t="s">
        <v>1435</v>
      </c>
      <c r="D17" s="218" t="s">
        <v>212</v>
      </c>
      <c r="E17" s="220" t="str">
        <f>VLOOKUP(TEXT(A17,"#"),Main!$A$2:$C53,3,0)</f>
        <v>Concealed Diverter Body 40mm (Cartridge, Sleeve, Tipton Assembly)</v>
      </c>
      <c r="F17" s="226">
        <f t="array" ref="F17:G17">VLOOKUP(D17,MASTER!$C$2:$F53,{3,4},0)</f>
        <v>4240</v>
      </c>
      <c r="G17" s="226">
        <v>4580.0</v>
      </c>
      <c r="H17" s="304"/>
    </row>
    <row r="18">
      <c r="A18" s="269" t="s">
        <v>216</v>
      </c>
      <c r="B18" s="145"/>
      <c r="C18" s="218" t="s">
        <v>1477</v>
      </c>
      <c r="D18" s="218" t="s">
        <v>1193</v>
      </c>
      <c r="E18" s="220" t="str">
        <f>VLOOKUP(TEXT(A18,"#"),Main!$A$2:$C53,3,0)</f>
        <v>Exposed Parts (Wall Flange &amp; Handle)</v>
      </c>
      <c r="F18" s="226">
        <f t="array" ref="F18:G18">VLOOKUP(D18,MASTER!$C$2:$F53,{3,4},0)</f>
        <v>1840</v>
      </c>
      <c r="G18" s="226">
        <v>1980.0</v>
      </c>
      <c r="H18" s="304"/>
    </row>
    <row r="19">
      <c r="A19" s="269" t="s">
        <v>219</v>
      </c>
      <c r="B19" s="284">
        <v>14.0</v>
      </c>
      <c r="C19" s="290">
        <v>7892.0</v>
      </c>
      <c r="D19" s="218" t="s">
        <v>1194</v>
      </c>
      <c r="E19" s="220" t="str">
        <f>VLOOKUP(TEXT(A19,"#"),Main!$A$2:$C53,3,0)</f>
        <v>Single Lever High Flow Concealed Diverter Bath &amp; Shower 46mm</v>
      </c>
      <c r="F19" s="226">
        <f t="array" ref="F19:G19">VLOOKUP(D19,MASTER!$C$2:$F53,{3,4},0)</f>
        <v>6820</v>
      </c>
      <c r="G19" s="226">
        <v>7470.0</v>
      </c>
      <c r="H19" s="304"/>
    </row>
    <row r="20">
      <c r="A20" s="269" t="s">
        <v>223</v>
      </c>
      <c r="B20" s="120"/>
      <c r="C20" s="290" t="s">
        <v>1438</v>
      </c>
      <c r="D20" s="218" t="s">
        <v>223</v>
      </c>
      <c r="E20" s="220" t="str">
        <f>VLOOKUP(TEXT(A20,"#"),Main!$A$2:$C53,3,0)</f>
        <v>High Flow Concealed Diverter Body 46mm (Cartridge, Sleeve, Tipton Assembly)</v>
      </c>
      <c r="F20" s="226">
        <f t="array" ref="F20:G20">VLOOKUP(D20,MASTER!$C$2:$F53,{3,4},0)</f>
        <v>4980</v>
      </c>
      <c r="G20" s="226">
        <v>5490.0</v>
      </c>
      <c r="H20" s="304"/>
    </row>
    <row r="21">
      <c r="A21" s="269" t="s">
        <v>226</v>
      </c>
      <c r="B21" s="145"/>
      <c r="C21" s="290" t="s">
        <v>1480</v>
      </c>
      <c r="D21" s="218" t="s">
        <v>1195</v>
      </c>
      <c r="E21" s="220" t="str">
        <f>VLOOKUP(TEXT(A21,"#"),Main!$A$2:$C53,3,0)</f>
        <v>Exposed Parts (Wall Flange &amp; Handle)</v>
      </c>
      <c r="F21" s="226">
        <f t="array" ref="F21:G21">VLOOKUP(D21,MASTER!$C$2:$F53,{3,4},0)</f>
        <v>1840</v>
      </c>
      <c r="G21" s="226">
        <v>1980.0</v>
      </c>
      <c r="H21" s="304"/>
    </row>
    <row r="22">
      <c r="A22" s="269" t="s">
        <v>239</v>
      </c>
      <c r="B22" s="284">
        <v>15.0</v>
      </c>
      <c r="C22" s="288">
        <v>7893.0</v>
      </c>
      <c r="D22" s="233" t="s">
        <v>1198</v>
      </c>
      <c r="E22" s="220" t="str">
        <f>VLOOKUP(TEXT(A22,"#"),Main!$A$2:$C53,3,0)</f>
        <v>Single Lever 3 In Let Concealed Diverter Bath &amp; Shower 46mm</v>
      </c>
      <c r="F22" s="226">
        <f t="array" ref="F22:G22">VLOOKUP(D22,MASTER!$C$2:$F53,{3,4},0)</f>
        <v>6820</v>
      </c>
      <c r="G22" s="226">
        <v>7470.0</v>
      </c>
      <c r="H22" s="304"/>
    </row>
    <row r="23">
      <c r="A23" s="269" t="s">
        <v>243</v>
      </c>
      <c r="B23" s="120"/>
      <c r="C23" s="290" t="s">
        <v>1441</v>
      </c>
      <c r="D23" s="218" t="s">
        <v>243</v>
      </c>
      <c r="E23" s="220" t="str">
        <f>VLOOKUP(TEXT(A23,"#"),Main!$A$2:$C53,3,0)</f>
        <v>3 In Let Concealed Diverter Body 46mm (Cartridge, Sleeve, Tipton Assembly)</v>
      </c>
      <c r="F23" s="226">
        <f t="array" ref="F23:G23">VLOOKUP(D23,MASTER!$C$2:$F53,{3,4},0)</f>
        <v>4980</v>
      </c>
      <c r="G23" s="226">
        <v>5490.0</v>
      </c>
      <c r="H23" s="304"/>
    </row>
    <row r="24">
      <c r="A24" s="269" t="s">
        <v>247</v>
      </c>
      <c r="B24" s="145"/>
      <c r="C24" s="290" t="s">
        <v>1483</v>
      </c>
      <c r="D24" s="218" t="s">
        <v>1199</v>
      </c>
      <c r="E24" s="220" t="str">
        <f>VLOOKUP(TEXT(A24,"#"),Main!$A$2:$C53,3,0)</f>
        <v>Exposed Parts (Wall Flange &amp; Handle)</v>
      </c>
      <c r="F24" s="226">
        <f t="array" ref="F24:G24">VLOOKUP(D24,MASTER!$C$2:$F53,{3,4},0)</f>
        <v>1840</v>
      </c>
      <c r="G24" s="226">
        <v>1980.0</v>
      </c>
      <c r="H24" s="304"/>
    </row>
    <row r="25">
      <c r="A25" s="269" t="s">
        <v>228</v>
      </c>
      <c r="B25" s="284">
        <v>16.0</v>
      </c>
      <c r="C25" s="290" t="s">
        <v>1485</v>
      </c>
      <c r="D25" s="218" t="s">
        <v>1196</v>
      </c>
      <c r="E25" s="220" t="str">
        <f>VLOOKUP(TEXT(A25,"#"),Main!$A$2:$C53,3,0)</f>
        <v>Single Lever High Flow Concealed Diverter Bath &amp; Shower 46mm (ON-OFF)</v>
      </c>
      <c r="F25" s="226">
        <f t="array" ref="F25:G25">VLOOKUP(D25,MASTER!$C$2:$F53,{3,4},0)</f>
        <v>6820</v>
      </c>
      <c r="G25" s="226">
        <v>7470.0</v>
      </c>
      <c r="H25" s="304"/>
    </row>
    <row r="26">
      <c r="A26" s="269" t="s">
        <v>234</v>
      </c>
      <c r="B26" s="120"/>
      <c r="C26" s="290" t="s">
        <v>1444</v>
      </c>
      <c r="D26" s="218" t="s">
        <v>234</v>
      </c>
      <c r="E26" s="220" t="str">
        <f>VLOOKUP(TEXT(A26,"#"),Main!$A$2:$C53,3,0)</f>
        <v>High Flow Concealed Diverter Body 46mm (Cartridge, Sleeve, On-Off Assembly)</v>
      </c>
      <c r="F26" s="226">
        <f t="array" ref="F26:G26">VLOOKUP(D26,MASTER!$C$2:$F53,{3,4},0)</f>
        <v>4740</v>
      </c>
      <c r="G26" s="226">
        <v>5250.0</v>
      </c>
      <c r="H26" s="304"/>
    </row>
    <row r="27">
      <c r="A27" s="269" t="s">
        <v>237</v>
      </c>
      <c r="B27" s="145"/>
      <c r="C27" s="290" t="s">
        <v>1486</v>
      </c>
      <c r="D27" s="218" t="s">
        <v>1197</v>
      </c>
      <c r="E27" s="220" t="str">
        <f>VLOOKUP(TEXT(A27,"#"),Main!$A$2:$C53,3,0)</f>
        <v>Exposed Parts (Wall Flange &amp; Handle)</v>
      </c>
      <c r="F27" s="226">
        <f t="array" ref="F27:G27">VLOOKUP(D27,MASTER!$C$2:$F53,{3,4},0)</f>
        <v>2080</v>
      </c>
      <c r="G27" s="226">
        <v>2220.0</v>
      </c>
      <c r="H27" s="304"/>
    </row>
    <row r="28">
      <c r="A28" s="269" t="s">
        <v>249</v>
      </c>
      <c r="B28" s="284">
        <v>17.0</v>
      </c>
      <c r="C28" s="290" t="s">
        <v>1487</v>
      </c>
      <c r="D28" s="218" t="s">
        <v>1200</v>
      </c>
      <c r="E28" s="220" t="str">
        <f>VLOOKUP(TEXT(A28,"#"),Main!$A$2:$C53,3,0)</f>
        <v>Single Lever 3 In Let Concealed Diverter Bath &amp; Shower 46mm (ON-OFF)</v>
      </c>
      <c r="F28" s="226">
        <f t="array" ref="F28:G28">VLOOKUP(D28,MASTER!$C$2:$F53,{3,4},0)</f>
        <v>6820</v>
      </c>
      <c r="G28" s="226">
        <v>7470.0</v>
      </c>
      <c r="H28" s="304"/>
    </row>
    <row r="29">
      <c r="A29" s="269" t="s">
        <v>253</v>
      </c>
      <c r="B29" s="120"/>
      <c r="C29" s="290" t="s">
        <v>1447</v>
      </c>
      <c r="D29" s="218" t="s">
        <v>253</v>
      </c>
      <c r="E29" s="220" t="str">
        <f>VLOOKUP(TEXT(A29,"#"),Main!$A$2:$C53,3,0)</f>
        <v>3 In Let Concealed Diverter Body 46mm (Cartridge, Sleeve, On-Off Assembly)</v>
      </c>
      <c r="F29" s="226">
        <f t="array" ref="F29:G29">VLOOKUP(D29,MASTER!$C$2:$F53,{3,4},0)</f>
        <v>4740</v>
      </c>
      <c r="G29" s="226">
        <v>5250.0</v>
      </c>
      <c r="H29" s="304"/>
    </row>
    <row r="30">
      <c r="A30" s="269" t="s">
        <v>258</v>
      </c>
      <c r="B30" s="145"/>
      <c r="C30" s="288" t="s">
        <v>1488</v>
      </c>
      <c r="D30" s="233" t="s">
        <v>1201</v>
      </c>
      <c r="E30" s="220" t="str">
        <f>VLOOKUP(TEXT(A30,"#"),Main!$A$2:$C53,3,0)</f>
        <v>Exposed Parts (Wall Flange &amp; Handle)</v>
      </c>
      <c r="F30" s="226">
        <f t="array" ref="F30:G30">VLOOKUP(D30,MASTER!$C$2:$F53,{3,4},0)</f>
        <v>2080</v>
      </c>
      <c r="G30" s="226">
        <v>2220.0</v>
      </c>
      <c r="H30" s="304"/>
    </row>
    <row r="31">
      <c r="A31" s="299" t="str">
        <f t="shared" ref="A31:A38" si="3">RIGHT(D31,2)</f>
        <v>94</v>
      </c>
      <c r="B31" s="284">
        <v>18.0</v>
      </c>
      <c r="C31" s="233">
        <v>7894.0</v>
      </c>
      <c r="D31" s="233">
        <v>7894.0</v>
      </c>
      <c r="E31" s="220" t="str">
        <f>VLOOKUP(TEXT(A31,"#"),Main!$A$2:$C53,3,0)</f>
        <v>Concealed 4 Way Diverter Set Hot &amp; Cold with Built-In Non Return Valves Complete Set</v>
      </c>
      <c r="F31" s="226">
        <f t="array" ref="F31:G31">VLOOKUP(D31,MASTER!$C$2:$F53,{3,4},0)</f>
        <v>8890</v>
      </c>
      <c r="G31" s="226">
        <v>9690.0</v>
      </c>
      <c r="H31" s="304"/>
    </row>
    <row r="32">
      <c r="A32" s="299" t="str">
        <f t="shared" si="3"/>
        <v>95</v>
      </c>
      <c r="B32" s="284">
        <v>19.0</v>
      </c>
      <c r="C32" s="219">
        <v>7895.0</v>
      </c>
      <c r="D32" s="219">
        <v>7895.0</v>
      </c>
      <c r="E32" s="220" t="str">
        <f>VLOOKUP(TEXT(A32,"#"),Main!$A$2:$C53,3,0)</f>
        <v>Bath Tub Spout with Flange</v>
      </c>
      <c r="F32" s="226">
        <f t="array" ref="F32:G32">VLOOKUP(D32,MASTER!$C$2:$F53,{3,4},0)</f>
        <v>1380</v>
      </c>
      <c r="G32" s="226">
        <v>1530.0</v>
      </c>
      <c r="H32" s="225"/>
    </row>
    <row r="33">
      <c r="A33" s="299" t="str">
        <f t="shared" si="3"/>
        <v>96</v>
      </c>
      <c r="B33" s="284">
        <v>20.0</v>
      </c>
      <c r="C33" s="262">
        <v>7896.0</v>
      </c>
      <c r="D33" s="262">
        <v>7896.0</v>
      </c>
      <c r="E33" s="220" t="str">
        <f>VLOOKUP(TEXT(A33,"#"),Main!$A$2:$C53,3,0)</f>
        <v>Bath Tub Spout Tip Ton with Flange</v>
      </c>
      <c r="F33" s="226">
        <f t="array" ref="F33:G33">VLOOKUP(D33,MASTER!$C$2:$F53,{3,4},0)</f>
        <v>2090</v>
      </c>
      <c r="G33" s="226">
        <v>2320.0</v>
      </c>
      <c r="H33" s="225"/>
    </row>
    <row r="34">
      <c r="A34" s="299" t="str">
        <f t="shared" si="3"/>
        <v>02</v>
      </c>
      <c r="B34" s="284">
        <v>21.0</v>
      </c>
      <c r="C34" s="262">
        <v>7802.0</v>
      </c>
      <c r="D34" s="262">
        <v>7802.0</v>
      </c>
      <c r="E34" s="220" t="str">
        <f>VLOOKUP(TEXT(A34,"#"),Main!$A$2:$C53,3,0)</f>
        <v>Pillar Cock</v>
      </c>
      <c r="F34" s="226">
        <f t="array" ref="F34:G34">VLOOKUP(D34,MASTER!$C$2:$F53,{3,4},0)</f>
        <v>1790</v>
      </c>
      <c r="G34" s="226">
        <v>1990.0</v>
      </c>
      <c r="H34" s="225"/>
    </row>
    <row r="35">
      <c r="A35" s="299" t="str">
        <f t="shared" si="3"/>
        <v>03</v>
      </c>
      <c r="B35" s="284">
        <v>22.0</v>
      </c>
      <c r="C35" s="262">
        <v>7803.0</v>
      </c>
      <c r="D35" s="219">
        <v>7803.0</v>
      </c>
      <c r="E35" s="220" t="str">
        <f>VLOOKUP(TEXT(A35,"#"),Main!$A$2:$C53,3,0)</f>
        <v>Pillar Cock Tall Body</v>
      </c>
      <c r="F35" s="226">
        <f t="array" ref="F35:G35">VLOOKUP(D35,MASTER!$C$2:$F53,{3,4},0)</f>
        <v>3590</v>
      </c>
      <c r="G35" s="226">
        <v>3990.0</v>
      </c>
      <c r="H35" s="303"/>
    </row>
    <row r="36">
      <c r="A36" s="299" t="str">
        <f t="shared" si="3"/>
        <v>04</v>
      </c>
      <c r="B36" s="284">
        <v>23.0</v>
      </c>
      <c r="C36" s="262">
        <v>7804.0</v>
      </c>
      <c r="D36" s="262">
        <v>7804.0</v>
      </c>
      <c r="E36" s="220" t="str">
        <f>VLOOKUP(TEXT(A36,"#"),Main!$A$2:$C53,3,0)</f>
        <v>Pillar Cock Extended Body</v>
      </c>
      <c r="F36" s="226">
        <f t="array" ref="F36:G36">VLOOKUP(D36,MASTER!$C$2:$F53,{3,4},0)</f>
        <v>2420</v>
      </c>
      <c r="G36" s="226">
        <v>2690.0</v>
      </c>
      <c r="H36" s="303"/>
    </row>
    <row r="37">
      <c r="A37" s="299" t="str">
        <f t="shared" si="3"/>
        <v>06</v>
      </c>
      <c r="B37" s="284">
        <v>24.0</v>
      </c>
      <c r="C37" s="262">
        <v>7806.0</v>
      </c>
      <c r="D37" s="262">
        <v>7806.0</v>
      </c>
      <c r="E37" s="220" t="str">
        <f>VLOOKUP(TEXT(A37,"#"),Main!$A$2:$C53,3,0)</f>
        <v>Bib Cock with Wall Flange</v>
      </c>
      <c r="F37" s="226">
        <f t="array" ref="F37:G37">VLOOKUP(D37,MASTER!$C$2:$F53,{3,4},0)</f>
        <v>1390</v>
      </c>
      <c r="G37" s="226">
        <v>1530.0</v>
      </c>
      <c r="H37" s="303"/>
    </row>
    <row r="38">
      <c r="A38" s="299" t="str">
        <f t="shared" si="3"/>
        <v>07</v>
      </c>
      <c r="B38" s="284">
        <v>25.0</v>
      </c>
      <c r="C38" s="262"/>
      <c r="D38" s="218">
        <v>7807.0</v>
      </c>
      <c r="E38" s="220" t="str">
        <f>VLOOKUP(TEXT(A38,"#"),Main!$A$2:$C53,3,0)</f>
        <v>Concealed Wall Mount Pillar Cock</v>
      </c>
      <c r="F38" s="226">
        <f t="array" ref="F38:G38">VLOOKUP(D38,MASTER!$C$2:$F53,{3,4},0)</f>
        <v>2780</v>
      </c>
      <c r="G38" s="226">
        <v>2980.0</v>
      </c>
      <c r="H38" s="225"/>
    </row>
    <row r="39">
      <c r="A39" s="289" t="s">
        <v>73</v>
      </c>
      <c r="B39" s="120"/>
      <c r="C39" s="262"/>
      <c r="D39" s="233" t="s">
        <v>73</v>
      </c>
      <c r="E39" s="220" t="str">
        <f>VLOOKUP(TEXT(A39,"#"),Main!$A$2:$C53,3,0)</f>
        <v>Concealed Pillar Cock Body 15mm</v>
      </c>
      <c r="F39" s="226">
        <f t="array" ref="F39:G39">VLOOKUP(D39,MASTER!$C$2:$F53,{3,4},0)</f>
        <v>1390</v>
      </c>
      <c r="G39" s="226">
        <v>1490.0</v>
      </c>
      <c r="H39" s="225"/>
    </row>
    <row r="40">
      <c r="A40" s="289" t="s">
        <v>77</v>
      </c>
      <c r="B40" s="120"/>
      <c r="C40" s="262"/>
      <c r="D40" s="233" t="s">
        <v>1190</v>
      </c>
      <c r="E40" s="220" t="str">
        <f>VLOOKUP(TEXT(A40,"#"),Main!$A$2:$C53,3,0)</f>
        <v>Exposed Parts (Wall Flange, Handle &amp; Spout)</v>
      </c>
      <c r="F40" s="226">
        <f t="array" ref="F40:G40">VLOOKUP(D40,MASTER!$C$2:$F53,{3,4},0)</f>
        <v>1390</v>
      </c>
      <c r="G40" s="226">
        <v>1490.0</v>
      </c>
      <c r="H40" s="225"/>
    </row>
    <row r="41">
      <c r="A41" s="299" t="str">
        <f t="shared" ref="A41:A47" si="4">RIGHT(D41,2)</f>
        <v>08</v>
      </c>
      <c r="B41" s="284">
        <v>26.0</v>
      </c>
      <c r="C41" s="262">
        <v>7808.0</v>
      </c>
      <c r="D41" s="219">
        <v>7808.0</v>
      </c>
      <c r="E41" s="220" t="str">
        <f>VLOOKUP(TEXT(A41,"#"),Main!$A$2:$C53,3,0)</f>
        <v>Bib Cock Long Body with Wall Flange</v>
      </c>
      <c r="F41" s="226">
        <f t="array" ref="F41:G41">VLOOKUP(D41,MASTER!$C$2:$F53,{3,4},0)</f>
        <v>1770</v>
      </c>
      <c r="G41" s="226">
        <v>1940.0</v>
      </c>
      <c r="H41" s="303"/>
    </row>
    <row r="42">
      <c r="A42" s="299" t="str">
        <f t="shared" si="4"/>
        <v>10</v>
      </c>
      <c r="B42" s="284">
        <v>27.0</v>
      </c>
      <c r="C42" s="262">
        <v>7810.0</v>
      </c>
      <c r="D42" s="262">
        <v>7810.0</v>
      </c>
      <c r="E42" s="220" t="str">
        <f>VLOOKUP(TEXT(A42,"#"),Main!$A$2:$C53,3,0)</f>
        <v>Angular Stop Cock with Wall Flange</v>
      </c>
      <c r="F42" s="226">
        <f t="array" ref="F42:G42">VLOOKUP(D42,MASTER!$C$2:$F53,{3,4},0)</f>
        <v>1270</v>
      </c>
      <c r="G42" s="226">
        <v>1390.0</v>
      </c>
      <c r="H42" s="303"/>
    </row>
    <row r="43">
      <c r="A43" s="299" t="str">
        <f t="shared" si="4"/>
        <v>11</v>
      </c>
      <c r="B43" s="284">
        <v>28.0</v>
      </c>
      <c r="C43" s="262">
        <v>7811.0</v>
      </c>
      <c r="D43" s="262">
        <v>7811.0</v>
      </c>
      <c r="E43" s="220" t="str">
        <f>VLOOKUP(TEXT(A43,"#"),Main!$A$2:$C53,3,0)</f>
        <v>2-Way Angular Stop Cock with Wall Flange</v>
      </c>
      <c r="F43" s="226">
        <f t="array" ref="F43:G43">VLOOKUP(D43,MASTER!$C$2:$F53,{3,4},0)</f>
        <v>1990</v>
      </c>
      <c r="G43" s="226">
        <v>2180.0</v>
      </c>
      <c r="H43" s="303"/>
    </row>
    <row r="44">
      <c r="A44" s="299" t="str">
        <f t="shared" si="4"/>
        <v>12</v>
      </c>
      <c r="B44" s="24">
        <v>29.0</v>
      </c>
      <c r="C44" s="219">
        <v>7812.0</v>
      </c>
      <c r="D44" s="219">
        <v>7812.0</v>
      </c>
      <c r="E44" s="220" t="str">
        <f>VLOOKUP(TEXT(A44,"#"),Main!$A$2:$C53,3,0)</f>
        <v>2-Way Bib Cock Double Handle with Wall Flange</v>
      </c>
      <c r="F44" s="226">
        <f t="array" ref="F44:G44">VLOOKUP(D44,MASTER!$C$2:$F53,{3,4},0)</f>
        <v>2390</v>
      </c>
      <c r="G44" s="226">
        <v>2580.0</v>
      </c>
      <c r="H44" s="304"/>
    </row>
    <row r="45">
      <c r="A45" s="299" t="str">
        <f t="shared" si="4"/>
        <v>18</v>
      </c>
      <c r="B45" s="24">
        <v>30.0</v>
      </c>
      <c r="C45" s="219">
        <v>7818.0</v>
      </c>
      <c r="D45" s="219">
        <v>7818.0</v>
      </c>
      <c r="E45" s="220" t="str">
        <f>VLOOKUP(TEXT(A45,"#"),Main!$A$2:$C53,3,0)</f>
        <v>Concealed Stop Cock 15mm with Wall Flange</v>
      </c>
      <c r="F45" s="226">
        <f t="array" ref="F45:G45">VLOOKUP(D45,MASTER!$C$2:$F53,{3,4},0)</f>
        <v>1640</v>
      </c>
      <c r="G45" s="226">
        <v>1790.0</v>
      </c>
      <c r="H45" s="304"/>
    </row>
    <row r="46">
      <c r="A46" s="299" t="str">
        <f t="shared" si="4"/>
        <v>20</v>
      </c>
      <c r="B46" s="24">
        <v>31.0</v>
      </c>
      <c r="C46" s="219">
        <v>7820.0</v>
      </c>
      <c r="D46" s="219">
        <v>7820.0</v>
      </c>
      <c r="E46" s="220" t="str">
        <f>VLOOKUP(TEXT(A46,"#"),Main!$A$2:$C53,3,0)</f>
        <v>Concealed Stop Cock 20mm with Wall Flange</v>
      </c>
      <c r="F46" s="226">
        <f t="array" ref="F46:G46">VLOOKUP(D46,MASTER!$C$2:$F53,{3,4},0)</f>
        <v>1690</v>
      </c>
      <c r="G46" s="226">
        <v>1840.0</v>
      </c>
      <c r="H46" s="304"/>
    </row>
    <row r="47">
      <c r="A47" s="299" t="str">
        <f t="shared" si="4"/>
        <v>98</v>
      </c>
      <c r="B47" s="24">
        <v>32.0</v>
      </c>
      <c r="C47" s="219">
        <v>7898.0</v>
      </c>
      <c r="D47" s="219">
        <v>7898.0</v>
      </c>
      <c r="E47" s="220" t="str">
        <f>VLOOKUP(TEXT(A47,"#"),Main!$A$2:$C53,3,0)</f>
        <v>Flush Cock 25mm Half Turn with Adjustable Flange</v>
      </c>
      <c r="F47" s="226">
        <f t="array" ref="F47:G47">VLOOKUP(D47,MASTER!$C$2:$F53,{3,4},0)</f>
        <v>2240</v>
      </c>
      <c r="G47" s="226">
        <v>2480.0</v>
      </c>
      <c r="H47" s="304"/>
    </row>
    <row r="48">
      <c r="A48" s="299"/>
      <c r="B48" s="278"/>
      <c r="C48" s="295"/>
      <c r="D48" s="304"/>
      <c r="E48" s="295"/>
      <c r="F48" s="56"/>
      <c r="G48" s="56"/>
      <c r="H48" s="304"/>
    </row>
    <row r="49">
      <c r="A49" s="299"/>
      <c r="B49" s="278"/>
      <c r="C49" s="295"/>
      <c r="D49" s="304"/>
      <c r="E49" s="295"/>
      <c r="F49" s="56"/>
      <c r="G49" s="56"/>
      <c r="H49" s="304"/>
    </row>
    <row r="50">
      <c r="A50" s="299"/>
      <c r="B50" s="278"/>
      <c r="C50" s="295"/>
      <c r="D50" s="304"/>
      <c r="E50" s="295"/>
      <c r="F50" s="56"/>
      <c r="G50" s="56"/>
      <c r="H50" s="304"/>
    </row>
    <row r="51">
      <c r="A51" s="299"/>
      <c r="B51" s="278"/>
      <c r="C51" s="295"/>
      <c r="D51" s="304"/>
      <c r="E51" s="295"/>
      <c r="F51" s="56"/>
      <c r="G51" s="56"/>
      <c r="H51" s="304"/>
    </row>
    <row r="52">
      <c r="A52" s="299"/>
      <c r="B52" s="278"/>
      <c r="C52" s="295"/>
      <c r="D52" s="304"/>
      <c r="E52" s="295"/>
      <c r="F52" s="56"/>
      <c r="G52" s="56"/>
      <c r="H52" s="304"/>
    </row>
    <row r="53">
      <c r="A53" s="299"/>
      <c r="B53" s="278"/>
      <c r="C53" s="295"/>
      <c r="D53" s="304"/>
      <c r="E53" s="295"/>
      <c r="F53" s="56"/>
      <c r="G53" s="56"/>
      <c r="H53" s="304"/>
    </row>
  </sheetData>
  <mergeCells count="7">
    <mergeCell ref="B5:B7"/>
    <mergeCell ref="B16:B18"/>
    <mergeCell ref="B19:B21"/>
    <mergeCell ref="B22:B24"/>
    <mergeCell ref="B25:B27"/>
    <mergeCell ref="B28:B30"/>
    <mergeCell ref="B38:B40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6.0"/>
    <col customWidth="1" min="2" max="2" width="7.13"/>
    <col customWidth="1" hidden="1" min="3" max="3" width="19.88"/>
    <col customWidth="1" min="4" max="4" width="20.5"/>
    <col customWidth="1" min="5" max="5" width="83.63"/>
    <col customWidth="1" min="6" max="6" width="11.63"/>
    <col customWidth="1" min="7" max="7" width="13.13"/>
    <col customWidth="1" hidden="1" min="8" max="8" width="10.25"/>
  </cols>
  <sheetData>
    <row r="1" ht="80.25" customHeight="1">
      <c r="A1" s="54"/>
      <c r="B1" s="5" t="s">
        <v>1471</v>
      </c>
      <c r="C1" s="141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280" t="s">
        <v>134</v>
      </c>
      <c r="B2" s="24">
        <v>1.0</v>
      </c>
      <c r="C2" s="218" t="s">
        <v>1213</v>
      </c>
      <c r="D2" s="218" t="s">
        <v>1213</v>
      </c>
      <c r="E2" s="220" t="str">
        <f>VLOOKUP(TEXT(A2,"#"),Main!$A$2:$C45,3,0)</f>
        <v>Center Hole Basin Mixer without Popup</v>
      </c>
      <c r="F2" s="222">
        <f t="array" ref="F2:G2">VLOOKUP(D2,MASTER!$C$2:$F45,{3,4},0)</f>
        <v>4890</v>
      </c>
      <c r="G2" s="222">
        <v>5480.0</v>
      </c>
      <c r="H2" s="279"/>
    </row>
    <row r="3">
      <c r="A3" s="280" t="s">
        <v>139</v>
      </c>
      <c r="B3" s="24">
        <v>2.0</v>
      </c>
      <c r="C3" s="219" t="s">
        <v>1214</v>
      </c>
      <c r="D3" s="219" t="s">
        <v>1214</v>
      </c>
      <c r="E3" s="220" t="str">
        <f>VLOOKUP(TEXT(A3,"#"),Main!$A$2:$C45,3,0)</f>
        <v>Single Lever Basin Mixer without Popup Waste System</v>
      </c>
      <c r="F3" s="222">
        <f t="array" ref="F3:G3">VLOOKUP(D3,MASTER!$C$2:$F45,{3,4},0)</f>
        <v>6130</v>
      </c>
      <c r="G3" s="222">
        <v>6480.0</v>
      </c>
      <c r="H3" s="279"/>
    </row>
    <row r="4">
      <c r="A4" s="280" t="s">
        <v>144</v>
      </c>
      <c r="B4" s="24">
        <v>3.0</v>
      </c>
      <c r="C4" s="218" t="s">
        <v>1215</v>
      </c>
      <c r="D4" s="218" t="s">
        <v>1215</v>
      </c>
      <c r="E4" s="220" t="str">
        <f>VLOOKUP(TEXT(A4,"#"),Main!$A$2:$C45,3,0)</f>
        <v>Single Lever Basin Mixer Tall Body without Popup Waste System</v>
      </c>
      <c r="F4" s="222">
        <f t="array" ref="F4:G4">VLOOKUP(D4,MASTER!$C$2:$F45,{3,4},0)</f>
        <v>8510</v>
      </c>
      <c r="G4" s="222">
        <v>9490.0</v>
      </c>
      <c r="H4" s="279"/>
    </row>
    <row r="5">
      <c r="A5" s="280" t="s">
        <v>150</v>
      </c>
      <c r="B5" s="284">
        <v>4.0</v>
      </c>
      <c r="C5" s="219" t="s">
        <v>1216</v>
      </c>
      <c r="D5" s="219" t="s">
        <v>1216</v>
      </c>
      <c r="E5" s="220" t="str">
        <f>VLOOKUP(TEXT(A5,"#"),Main!$A$2:$C45,3,0)</f>
        <v>Single Lever Basin Mixer Wall Mount (Concealed)</v>
      </c>
      <c r="F5" s="222">
        <f t="array" ref="F5:G5">VLOOKUP(D5,MASTER!$C$2:$F45,{3,4},0)</f>
        <v>7440</v>
      </c>
      <c r="G5" s="222">
        <v>8170.0</v>
      </c>
      <c r="H5" s="279"/>
    </row>
    <row r="6">
      <c r="A6" s="269" t="s">
        <v>154</v>
      </c>
      <c r="B6" s="120"/>
      <c r="C6" s="218" t="s">
        <v>154</v>
      </c>
      <c r="D6" s="218" t="s">
        <v>154</v>
      </c>
      <c r="E6" s="220" t="str">
        <f>VLOOKUP(TEXT(A6,"#"),Main!$A$2:$C45,3,0)</f>
        <v>Single Lever Basin Mixer Wall Mount (Body, Cartridge, Sleeve &amp; Nipple)</v>
      </c>
      <c r="F6" s="222">
        <f t="array" ref="F6:G6">VLOOKUP(D6,MASTER!$C$2:$F45,{3,4},0)</f>
        <v>3680</v>
      </c>
      <c r="G6" s="222">
        <v>3990.0</v>
      </c>
      <c r="H6" s="279"/>
    </row>
    <row r="7">
      <c r="A7" s="269" t="s">
        <v>159</v>
      </c>
      <c r="B7" s="145"/>
      <c r="C7" s="218" t="s">
        <v>1217</v>
      </c>
      <c r="D7" s="218" t="s">
        <v>1217</v>
      </c>
      <c r="E7" s="220" t="str">
        <f>VLOOKUP(TEXT(A7,"#"),Main!$A$2:$C45,3,0)</f>
        <v>Exposed Parts (Wall Flange, Handle &amp; Spout)</v>
      </c>
      <c r="F7" s="222">
        <f t="array" ref="F7:G7">VLOOKUP(D7,MASTER!$C$2:$F45,{3,4},0)</f>
        <v>3760</v>
      </c>
      <c r="G7" s="222">
        <v>4180.0</v>
      </c>
      <c r="H7" s="279"/>
    </row>
    <row r="8">
      <c r="A8" s="280" t="s">
        <v>184</v>
      </c>
      <c r="B8" s="24">
        <v>5.0</v>
      </c>
      <c r="C8" s="218" t="s">
        <v>1219</v>
      </c>
      <c r="D8" s="218" t="s">
        <v>1219</v>
      </c>
      <c r="E8" s="220" t="str">
        <f>VLOOKUP(TEXT(A8,"#"),Main!$A$2:$C45,3,0)</f>
        <v>Wall Mixer Telephonic with Crutch &amp; Wall Flange (Provision For Hand Shower)</v>
      </c>
      <c r="F8" s="222">
        <f t="array" ref="F8:G8">VLOOKUP(D8,MASTER!$C$2:$F45,{3,4},0)</f>
        <v>7740</v>
      </c>
      <c r="G8" s="222">
        <v>8640.0</v>
      </c>
      <c r="H8" s="279"/>
    </row>
    <row r="9">
      <c r="A9" s="280" t="s">
        <v>194</v>
      </c>
      <c r="B9" s="24">
        <v>6.0</v>
      </c>
      <c r="C9" s="219" t="s">
        <v>1220</v>
      </c>
      <c r="D9" s="219" t="s">
        <v>1220</v>
      </c>
      <c r="E9" s="220" t="str">
        <f>VLOOKUP(TEXT(A9,"#"),Main!$A$2:$C45,3,0)</f>
        <v>Wall Mixer "L" Bend with Wall Flange (Provision For Over Head Shower)</v>
      </c>
      <c r="F9" s="222">
        <f t="array" ref="F9:G9">VLOOKUP(D9,MASTER!$C$2:$F45,{3,4},0)</f>
        <v>7740</v>
      </c>
      <c r="G9" s="222">
        <v>8640.0</v>
      </c>
      <c r="H9" s="279"/>
    </row>
    <row r="10">
      <c r="A10" s="280" t="s">
        <v>203</v>
      </c>
      <c r="B10" s="24">
        <v>7.0</v>
      </c>
      <c r="C10" s="219" t="s">
        <v>1221</v>
      </c>
      <c r="D10" s="219" t="s">
        <v>1221</v>
      </c>
      <c r="E10" s="220" t="str">
        <f>VLOOKUP(TEXT(A10,"#"),Main!$A$2:$C45,3,0)</f>
        <v>Wall Mixer 3 In 1 with Wall Flange (Provision For Over Head Shower &amp; Hand Shower)</v>
      </c>
      <c r="F10" s="222">
        <f t="array" ref="F10:G10">VLOOKUP(D10,MASTER!$C$2:$F45,{3,4},0)</f>
        <v>8680</v>
      </c>
      <c r="G10" s="222">
        <v>9680.0</v>
      </c>
      <c r="H10" s="279"/>
    </row>
    <row r="11">
      <c r="A11" s="280" t="s">
        <v>162</v>
      </c>
      <c r="B11" s="24">
        <v>8.0</v>
      </c>
      <c r="C11" s="219" t="s">
        <v>1218</v>
      </c>
      <c r="D11" s="219" t="s">
        <v>1218</v>
      </c>
      <c r="E11" s="220" t="str">
        <f>VLOOKUP(TEXT(A11,"#"),Main!$A$2:$C45,3,0)</f>
        <v>Sink Mixer with Regular Spout Wall Mounted with Flange</v>
      </c>
      <c r="F11" s="222">
        <f t="array" ref="F11:G11">VLOOKUP(D11,MASTER!$C$2:$F45,{3,4},0)</f>
        <v>5780</v>
      </c>
      <c r="G11" s="222">
        <v>6280.0</v>
      </c>
      <c r="H11" s="279"/>
    </row>
    <row r="12">
      <c r="A12" s="280" t="s">
        <v>104</v>
      </c>
      <c r="B12" s="24">
        <v>9.0</v>
      </c>
      <c r="C12" s="219" t="s">
        <v>1211</v>
      </c>
      <c r="D12" s="219" t="s">
        <v>1211</v>
      </c>
      <c r="E12" s="220" t="str">
        <f>VLOOKUP(TEXT(A12,"#"),Main!$A$2:$C45,3,0)</f>
        <v>Swan Neck Table Mounted</v>
      </c>
      <c r="F12" s="222">
        <f t="array" ref="F12:G12">VLOOKUP(D12,MASTER!$C$2:$F45,{3,4},0)</f>
        <v>2980</v>
      </c>
      <c r="G12" s="222">
        <v>3220.0</v>
      </c>
      <c r="H12" s="279"/>
    </row>
    <row r="13">
      <c r="A13" s="280" t="s">
        <v>110</v>
      </c>
      <c r="B13" s="24">
        <v>10.0</v>
      </c>
      <c r="C13" s="218" t="s">
        <v>1212</v>
      </c>
      <c r="D13" s="218" t="s">
        <v>1212</v>
      </c>
      <c r="E13" s="220" t="str">
        <f>VLOOKUP(TEXT(A13,"#"),Main!$A$2:$C45,3,0)</f>
        <v>Sink Cock Wall Mounted with Flange</v>
      </c>
      <c r="F13" s="222">
        <f t="array" ref="F13:G13">VLOOKUP(D13,MASTER!$C$2:$F45,{3,4},0)</f>
        <v>2640</v>
      </c>
      <c r="G13" s="222">
        <v>2880.0</v>
      </c>
      <c r="H13" s="279"/>
    </row>
    <row r="14">
      <c r="A14" s="280" t="s">
        <v>264</v>
      </c>
      <c r="B14" s="24">
        <v>11.0</v>
      </c>
      <c r="C14" s="218" t="s">
        <v>1232</v>
      </c>
      <c r="D14" s="218" t="s">
        <v>1232</v>
      </c>
      <c r="E14" s="220" t="str">
        <f>VLOOKUP(TEXT(A14,"#"),Main!$A$2:$C45,3,0)</f>
        <v>Bath Tub Spout with Flange</v>
      </c>
      <c r="F14" s="222">
        <f t="array" ref="F14:G14">VLOOKUP(D14,MASTER!$C$2:$F45,{3,4},0)</f>
        <v>1530</v>
      </c>
      <c r="G14" s="222">
        <v>1690.0</v>
      </c>
      <c r="H14" s="279"/>
    </row>
    <row r="15">
      <c r="A15" s="280" t="s">
        <v>267</v>
      </c>
      <c r="B15" s="24">
        <v>12.0</v>
      </c>
      <c r="C15" s="219" t="s">
        <v>1233</v>
      </c>
      <c r="D15" s="219" t="s">
        <v>1233</v>
      </c>
      <c r="E15" s="220" t="str">
        <f>VLOOKUP(TEXT(A15,"#"),Main!$A$2:$C45,3,0)</f>
        <v>Bath Tub Spout Tip Ton with Flange</v>
      </c>
      <c r="F15" s="222">
        <f t="array" ref="F15:G15">VLOOKUP(D15,MASTER!$C$2:$F45,{3,4},0)</f>
        <v>2470</v>
      </c>
      <c r="G15" s="222">
        <v>2720.0</v>
      </c>
      <c r="H15" s="279"/>
    </row>
    <row r="16">
      <c r="A16" s="280" t="s">
        <v>209</v>
      </c>
      <c r="B16" s="284">
        <v>13.0</v>
      </c>
      <c r="C16" s="218" t="s">
        <v>1472</v>
      </c>
      <c r="D16" s="218" t="s">
        <v>1222</v>
      </c>
      <c r="E16" s="220" t="str">
        <f>VLOOKUP(TEXT(A16,"#"),Main!$A$2:$C45,3,0)</f>
        <v>Single Lever Concealed Diverter Bath &amp; Shower 40mm</v>
      </c>
      <c r="F16" s="222">
        <f t="array" ref="F16:G16">VLOOKUP(D16,MASTER!$C$2:$F45,{3,4},0)</f>
        <v>6620</v>
      </c>
      <c r="G16" s="222">
        <v>7060.0</v>
      </c>
      <c r="H16" s="279"/>
    </row>
    <row r="17">
      <c r="A17" s="269" t="s">
        <v>212</v>
      </c>
      <c r="B17" s="120"/>
      <c r="C17" s="218" t="s">
        <v>1435</v>
      </c>
      <c r="D17" s="218" t="s">
        <v>212</v>
      </c>
      <c r="E17" s="220" t="str">
        <f>VLOOKUP(TEXT(A17,"#"),Main!$A$2:$C45,3,0)</f>
        <v>Concealed Diverter Body 40mm (Cartridge, Sleeve, Tipton Assembly)</v>
      </c>
      <c r="F17" s="222">
        <f t="array" ref="F17:G17">VLOOKUP(D17,MASTER!$C$2:$F45,{3,4},0)</f>
        <v>4240</v>
      </c>
      <c r="G17" s="222">
        <v>4580.0</v>
      </c>
      <c r="H17" s="279"/>
    </row>
    <row r="18">
      <c r="A18" s="269" t="s">
        <v>216</v>
      </c>
      <c r="B18" s="145"/>
      <c r="C18" s="218" t="s">
        <v>1473</v>
      </c>
      <c r="D18" s="218" t="s">
        <v>1223</v>
      </c>
      <c r="E18" s="220" t="str">
        <f>VLOOKUP(TEXT(A18,"#"),Main!$A$2:$C45,3,0)</f>
        <v>Exposed Parts (Wall Flange &amp; Handle)</v>
      </c>
      <c r="F18" s="222">
        <f t="array" ref="F18:G18">VLOOKUP(D18,MASTER!$C$2:$F45,{3,4},0)</f>
        <v>2380</v>
      </c>
      <c r="G18" s="222">
        <v>2480.0</v>
      </c>
      <c r="H18" s="279"/>
    </row>
    <row r="19">
      <c r="A19" s="280" t="s">
        <v>219</v>
      </c>
      <c r="B19" s="284">
        <v>14.0</v>
      </c>
      <c r="C19" s="290" t="s">
        <v>1474</v>
      </c>
      <c r="D19" s="218" t="s">
        <v>1224</v>
      </c>
      <c r="E19" s="220" t="str">
        <f>VLOOKUP(TEXT(A19,"#"),Main!$A$2:$C45,3,0)</f>
        <v>Single Lever High Flow Concealed Diverter Bath &amp; Shower 46mm</v>
      </c>
      <c r="F19" s="222">
        <f t="array" ref="F19:G19">VLOOKUP(D19,MASTER!$C$2:$F45,{3,4},0)</f>
        <v>7360</v>
      </c>
      <c r="G19" s="222">
        <v>7970.0</v>
      </c>
      <c r="H19" s="279"/>
    </row>
    <row r="20">
      <c r="A20" s="269" t="s">
        <v>223</v>
      </c>
      <c r="B20" s="120"/>
      <c r="C20" s="290" t="s">
        <v>1438</v>
      </c>
      <c r="D20" s="218" t="s">
        <v>223</v>
      </c>
      <c r="E20" s="220" t="str">
        <f>VLOOKUP(TEXT(A20,"#"),Main!$A$2:$C45,3,0)</f>
        <v>High Flow Concealed Diverter Body 46mm (Cartridge, Sleeve, Tipton Assembly)</v>
      </c>
      <c r="F20" s="222">
        <f t="array" ref="F20:G20">VLOOKUP(D20,MASTER!$C$2:$F45,{3,4},0)</f>
        <v>4980</v>
      </c>
      <c r="G20" s="222">
        <v>5490.0</v>
      </c>
      <c r="H20" s="279"/>
    </row>
    <row r="21">
      <c r="A21" s="269" t="s">
        <v>226</v>
      </c>
      <c r="B21" s="145"/>
      <c r="C21" s="290" t="s">
        <v>1475</v>
      </c>
      <c r="D21" s="218" t="s">
        <v>1225</v>
      </c>
      <c r="E21" s="220" t="str">
        <f>VLOOKUP(TEXT(A21,"#"),Main!$A$2:$C45,3,0)</f>
        <v>Exposed Parts (Wall Flange &amp; Handle)</v>
      </c>
      <c r="F21" s="222">
        <f t="array" ref="F21:G21">VLOOKUP(D21,MASTER!$C$2:$F45,{3,4},0)</f>
        <v>2380</v>
      </c>
      <c r="G21" s="222">
        <v>2480.0</v>
      </c>
      <c r="H21" s="279"/>
    </row>
    <row r="22">
      <c r="A22" s="280" t="s">
        <v>239</v>
      </c>
      <c r="B22" s="284">
        <v>15.0</v>
      </c>
      <c r="C22" s="290" t="s">
        <v>1476</v>
      </c>
      <c r="D22" s="218" t="s">
        <v>1228</v>
      </c>
      <c r="E22" s="220" t="str">
        <f>VLOOKUP(TEXT(A22,"#"),Main!$A$2:$C45,3,0)</f>
        <v>Single Lever 3 In Let Concealed Diverter Bath &amp; Shower 46mm</v>
      </c>
      <c r="F22" s="222">
        <f t="array" ref="F22:G22">VLOOKUP(D22,MASTER!$C$2:$F45,{3,4},0)</f>
        <v>7360</v>
      </c>
      <c r="G22" s="222">
        <v>7970.0</v>
      </c>
      <c r="H22" s="279"/>
    </row>
    <row r="23">
      <c r="A23" s="269" t="s">
        <v>243</v>
      </c>
      <c r="B23" s="120"/>
      <c r="C23" s="290" t="s">
        <v>1441</v>
      </c>
      <c r="D23" s="218" t="s">
        <v>243</v>
      </c>
      <c r="E23" s="220" t="str">
        <f>VLOOKUP(TEXT(A23,"#"),Main!$A$2:$C45,3,0)</f>
        <v>3 In Let Concealed Diverter Body 46mm (Cartridge, Sleeve, Tipton Assembly)</v>
      </c>
      <c r="F23" s="222">
        <f t="array" ref="F23:G23">VLOOKUP(D23,MASTER!$C$2:$F45,{3,4},0)</f>
        <v>4980</v>
      </c>
      <c r="G23" s="222">
        <v>5490.0</v>
      </c>
      <c r="H23" s="279"/>
    </row>
    <row r="24">
      <c r="A24" s="269" t="s">
        <v>247</v>
      </c>
      <c r="B24" s="145"/>
      <c r="C24" s="290" t="s">
        <v>1478</v>
      </c>
      <c r="D24" s="218" t="s">
        <v>1229</v>
      </c>
      <c r="E24" s="220" t="str">
        <f>VLOOKUP(TEXT(A24,"#"),Main!$A$2:$C45,3,0)</f>
        <v>Exposed Parts (Wall Flange &amp; Handle)</v>
      </c>
      <c r="F24" s="222">
        <f t="array" ref="F24:G24">VLOOKUP(D24,MASTER!$C$2:$F45,{3,4},0)</f>
        <v>2380</v>
      </c>
      <c r="G24" s="222">
        <v>2480.0</v>
      </c>
      <c r="H24" s="279"/>
    </row>
    <row r="25">
      <c r="A25" s="269" t="s">
        <v>228</v>
      </c>
      <c r="B25" s="284">
        <v>16.0</v>
      </c>
      <c r="C25" s="288" t="s">
        <v>1479</v>
      </c>
      <c r="D25" s="233" t="s">
        <v>1226</v>
      </c>
      <c r="E25" s="220" t="str">
        <f>VLOOKUP(TEXT(A25,"#"),Main!$A$2:$C45,3,0)</f>
        <v>Single Lever High Flow Concealed Diverter Bath &amp; Shower 46mm (ON-OFF)</v>
      </c>
      <c r="F25" s="222">
        <f t="array" ref="F25:G25">VLOOKUP(D25,MASTER!$C$2:$F45,{3,4},0)</f>
        <v>7360</v>
      </c>
      <c r="G25" s="222">
        <v>7970.0</v>
      </c>
      <c r="H25" s="279"/>
    </row>
    <row r="26">
      <c r="A26" s="269" t="s">
        <v>234</v>
      </c>
      <c r="B26" s="120"/>
      <c r="C26" s="288" t="s">
        <v>1444</v>
      </c>
      <c r="D26" s="233" t="s">
        <v>234</v>
      </c>
      <c r="E26" s="220" t="str">
        <f>VLOOKUP(TEXT(A26,"#"),Main!$A$2:$C45,3,0)</f>
        <v>High Flow Concealed Diverter Body 46mm (Cartridge, Sleeve, On-Off Assembly)</v>
      </c>
      <c r="F26" s="222">
        <f t="array" ref="F26:G26">VLOOKUP(D26,MASTER!$C$2:$F45,{3,4},0)</f>
        <v>4740</v>
      </c>
      <c r="G26" s="222">
        <v>5250.0</v>
      </c>
      <c r="H26" s="279"/>
    </row>
    <row r="27">
      <c r="A27" s="269" t="s">
        <v>237</v>
      </c>
      <c r="B27" s="145"/>
      <c r="C27" s="290" t="s">
        <v>1481</v>
      </c>
      <c r="D27" s="218" t="s">
        <v>1227</v>
      </c>
      <c r="E27" s="220" t="str">
        <f>VLOOKUP(TEXT(A27,"#"),Main!$A$2:$C45,3,0)</f>
        <v>Exposed Parts (Wall Flange &amp; Handle)</v>
      </c>
      <c r="F27" s="222">
        <f t="array" ref="F27:G27">VLOOKUP(D27,MASTER!$C$2:$F45,{3,4},0)</f>
        <v>2620</v>
      </c>
      <c r="G27" s="222">
        <v>2720.0</v>
      </c>
      <c r="H27" s="279"/>
    </row>
    <row r="28">
      <c r="A28" s="269" t="s">
        <v>249</v>
      </c>
      <c r="B28" s="284">
        <v>17.0</v>
      </c>
      <c r="C28" s="288" t="s">
        <v>1482</v>
      </c>
      <c r="D28" s="233" t="s">
        <v>1230</v>
      </c>
      <c r="E28" s="220" t="str">
        <f>VLOOKUP(TEXT(A28,"#"),Main!$A$2:$C45,3,0)</f>
        <v>Single Lever 3 In Let Concealed Diverter Bath &amp; Shower 46mm (ON-OFF)</v>
      </c>
      <c r="F28" s="222">
        <f t="array" ref="F28:G28">VLOOKUP(D28,MASTER!$C$2:$F45,{3,4},0)</f>
        <v>7360</v>
      </c>
      <c r="G28" s="222">
        <v>7970.0</v>
      </c>
      <c r="H28" s="279"/>
    </row>
    <row r="29">
      <c r="A29" s="269" t="s">
        <v>253</v>
      </c>
      <c r="B29" s="120"/>
      <c r="C29" s="288" t="s">
        <v>1447</v>
      </c>
      <c r="D29" s="233" t="s">
        <v>253</v>
      </c>
      <c r="E29" s="220" t="str">
        <f>VLOOKUP(TEXT(A29,"#"),Main!$A$2:$C45,3,0)</f>
        <v>3 In Let Concealed Diverter Body 46mm (Cartridge, Sleeve, On-Off Assembly)</v>
      </c>
      <c r="F29" s="222">
        <f t="array" ref="F29:G29">VLOOKUP(D29,MASTER!$C$2:$F45,{3,4},0)</f>
        <v>4740</v>
      </c>
      <c r="G29" s="222">
        <v>5250.0</v>
      </c>
      <c r="H29" s="279"/>
    </row>
    <row r="30">
      <c r="A30" s="269" t="s">
        <v>258</v>
      </c>
      <c r="B30" s="145"/>
      <c r="C30" s="288" t="s">
        <v>1484</v>
      </c>
      <c r="D30" s="218" t="s">
        <v>1231</v>
      </c>
      <c r="E30" s="220" t="str">
        <f>VLOOKUP(TEXT(A30,"#"),Main!$A$2:$C45,3,0)</f>
        <v>Exposed Parts (Wall Flange &amp; Handle)</v>
      </c>
      <c r="F30" s="222">
        <f t="array" ref="F30:G30">VLOOKUP(D30,MASTER!$C$2:$F45,{3,4},0)</f>
        <v>2620</v>
      </c>
      <c r="G30" s="222">
        <v>2720.0</v>
      </c>
      <c r="H30" s="279"/>
    </row>
    <row r="31">
      <c r="A31" s="280" t="s">
        <v>303</v>
      </c>
      <c r="B31" s="284">
        <v>18.0</v>
      </c>
      <c r="C31" s="262" t="s">
        <v>1203</v>
      </c>
      <c r="D31" s="262" t="s">
        <v>1203</v>
      </c>
      <c r="E31" s="220" t="str">
        <f>VLOOKUP(TEXT(A31,"#"),Main!$A$2:$C45,3,0)</f>
        <v>Pillar Cock</v>
      </c>
      <c r="F31" s="222">
        <f t="array" ref="F31:G31">VLOOKUP(D31,MASTER!$C$2:$F45,{3,4},0)</f>
        <v>2280</v>
      </c>
      <c r="G31" s="222">
        <v>2540.0</v>
      </c>
      <c r="H31" s="279"/>
    </row>
    <row r="32">
      <c r="A32" s="280" t="s">
        <v>306</v>
      </c>
      <c r="B32" s="284">
        <v>19.0</v>
      </c>
      <c r="C32" s="233" t="s">
        <v>1204</v>
      </c>
      <c r="D32" s="233" t="s">
        <v>1204</v>
      </c>
      <c r="E32" s="220" t="str">
        <f>VLOOKUP(TEXT(A32,"#"),Main!$A$2:$C45,3,0)</f>
        <v>Pillar Cock Tall Body</v>
      </c>
      <c r="F32" s="222">
        <f t="array" ref="F32:G32">VLOOKUP(D32,MASTER!$C$2:$F45,{3,4},0)</f>
        <v>4280</v>
      </c>
      <c r="G32" s="222">
        <v>4760.0</v>
      </c>
      <c r="H32" s="279"/>
    </row>
    <row r="33">
      <c r="A33" s="280" t="s">
        <v>309</v>
      </c>
      <c r="B33" s="284">
        <v>20.0</v>
      </c>
      <c r="C33" s="262" t="s">
        <v>1205</v>
      </c>
      <c r="D33" s="219" t="s">
        <v>1205</v>
      </c>
      <c r="E33" s="220" t="str">
        <f>VLOOKUP(TEXT(A33,"#"),Main!$A$2:$C45,3,0)</f>
        <v>Pillar Cock Extended Body</v>
      </c>
      <c r="F33" s="222">
        <f t="array" ref="F33:G33">VLOOKUP(D33,MASTER!$C$2:$F45,{3,4},0)</f>
        <v>2980</v>
      </c>
      <c r="G33" s="222">
        <v>3320.0</v>
      </c>
      <c r="H33" s="279"/>
    </row>
    <row r="34">
      <c r="A34" s="280" t="s">
        <v>311</v>
      </c>
      <c r="B34" s="284">
        <v>21.0</v>
      </c>
      <c r="C34" s="262" t="s">
        <v>1206</v>
      </c>
      <c r="D34" s="262" t="s">
        <v>1206</v>
      </c>
      <c r="E34" s="220" t="str">
        <f>VLOOKUP(TEXT(A34,"#"),Main!$A$2:$C45,3,0)</f>
        <v>Bib Cock with Wall Flange</v>
      </c>
      <c r="F34" s="222">
        <f t="array" ref="F34:G34">VLOOKUP(D34,MASTER!$C$2:$F45,{3,4},0)</f>
        <v>1840</v>
      </c>
      <c r="G34" s="222">
        <v>1990.0</v>
      </c>
      <c r="H34" s="279"/>
    </row>
    <row r="35">
      <c r="A35" s="280" t="s">
        <v>321</v>
      </c>
      <c r="B35" s="284">
        <v>22.0</v>
      </c>
      <c r="C35" s="262" t="s">
        <v>1207</v>
      </c>
      <c r="D35" s="262" t="s">
        <v>1207</v>
      </c>
      <c r="E35" s="220" t="str">
        <f>VLOOKUP(TEXT(A35,"#"),Main!$A$2:$C45,3,0)</f>
        <v>Bib Cock Long Body with Wall Flange</v>
      </c>
      <c r="F35" s="222">
        <f t="array" ref="F35:G35">VLOOKUP(D35,MASTER!$C$2:$F45,{3,4},0)</f>
        <v>1980</v>
      </c>
      <c r="G35" s="222">
        <v>2190.0</v>
      </c>
      <c r="H35" s="279"/>
    </row>
    <row r="36">
      <c r="A36" s="280" t="s">
        <v>87</v>
      </c>
      <c r="B36" s="284">
        <v>23.0</v>
      </c>
      <c r="C36" s="262" t="s">
        <v>1208</v>
      </c>
      <c r="D36" s="219" t="s">
        <v>1208</v>
      </c>
      <c r="E36" s="220" t="str">
        <f>VLOOKUP(TEXT(A36,"#"),Main!$A$2:$C45,3,0)</f>
        <v>Angular Stop Cock with Wall Flange</v>
      </c>
      <c r="F36" s="222">
        <f t="array" ref="F36:G36">VLOOKUP(D36,MASTER!$C$2:$F45,{3,4},0)</f>
        <v>1390</v>
      </c>
      <c r="G36" s="222">
        <v>1490.0</v>
      </c>
      <c r="H36" s="279"/>
    </row>
    <row r="37">
      <c r="A37" s="280" t="s">
        <v>91</v>
      </c>
      <c r="B37" s="284">
        <v>24.0</v>
      </c>
      <c r="C37" s="262" t="s">
        <v>1209</v>
      </c>
      <c r="D37" s="262" t="s">
        <v>1209</v>
      </c>
      <c r="E37" s="220" t="str">
        <f>VLOOKUP(TEXT(A37,"#"),Main!$A$2:$C45,3,0)</f>
        <v>2-Way Angular Stop Cock with Wall Flange</v>
      </c>
      <c r="F37" s="222">
        <f t="array" ref="F37:G37">VLOOKUP(D37,MASTER!$C$2:$F45,{3,4},0)</f>
        <v>2390</v>
      </c>
      <c r="G37" s="222">
        <v>2580.0</v>
      </c>
      <c r="H37" s="279"/>
    </row>
    <row r="38">
      <c r="A38" s="280" t="s">
        <v>100</v>
      </c>
      <c r="B38" s="284">
        <v>25.0</v>
      </c>
      <c r="C38" s="233" t="s">
        <v>1210</v>
      </c>
      <c r="D38" s="233" t="s">
        <v>1210</v>
      </c>
      <c r="E38" s="220" t="str">
        <f>VLOOKUP(TEXT(A38,"#"),Main!$A$2:$C45,3,0)</f>
        <v>2-Way Bib Cock Single Handle with Wall Flange</v>
      </c>
      <c r="F38" s="222">
        <f t="array" ref="F38:G38">VLOOKUP(D38,MASTER!$C$2:$F45,{3,4},0)</f>
        <v>2550</v>
      </c>
      <c r="G38" s="222">
        <v>2870.0</v>
      </c>
      <c r="H38" s="279"/>
    </row>
    <row r="39">
      <c r="A39" s="280" t="s">
        <v>117</v>
      </c>
      <c r="B39" s="24">
        <v>26.0</v>
      </c>
      <c r="C39" s="218" t="s">
        <v>1059</v>
      </c>
      <c r="D39" s="218" t="s">
        <v>1059</v>
      </c>
      <c r="E39" s="220" t="str">
        <f>VLOOKUP(TEXT(A39,"#"),Main!$A$2:$C45,3,0)</f>
        <v>Concealed Stop Cock 15mm with Wall Flange</v>
      </c>
      <c r="F39" s="222">
        <f t="array" ref="F39:G39">VLOOKUP(D39,MASTER!$C$2:$F45,{3,4},0)</f>
        <v>1740</v>
      </c>
      <c r="G39" s="222">
        <v>1920.0</v>
      </c>
      <c r="H39" s="279"/>
    </row>
    <row r="40">
      <c r="A40" s="280" t="s">
        <v>120</v>
      </c>
      <c r="B40" s="24">
        <v>27.0</v>
      </c>
      <c r="C40" s="219" t="s">
        <v>1060</v>
      </c>
      <c r="D40" s="219" t="s">
        <v>1060</v>
      </c>
      <c r="E40" s="220" t="str">
        <f>VLOOKUP(TEXT(A40,"#"),Main!$A$2:$C45,3,0)</f>
        <v>Concealed Stop Cock 20mm with Wall Flange</v>
      </c>
      <c r="F40" s="222">
        <f t="array" ref="F40:G40">VLOOKUP(D40,MASTER!$C$2:$F45,{3,4},0)</f>
        <v>1790</v>
      </c>
      <c r="G40" s="222">
        <v>1970.0</v>
      </c>
      <c r="H40" s="279"/>
    </row>
    <row r="41">
      <c r="A41" s="280" t="s">
        <v>271</v>
      </c>
      <c r="B41" s="24">
        <v>28.0</v>
      </c>
      <c r="C41" s="218" t="s">
        <v>1234</v>
      </c>
      <c r="D41" s="218" t="s">
        <v>1234</v>
      </c>
      <c r="E41" s="220" t="str">
        <f>VLOOKUP(TEXT(A41,"#"),Main!$A$2:$C45,3,0)</f>
        <v>Flush Cock 25mm Half Turn with Adjustable Flange</v>
      </c>
      <c r="F41" s="222">
        <f t="array" ref="F41:G41">VLOOKUP(D41,MASTER!$C$2:$F45,{3,4},0)</f>
        <v>2370</v>
      </c>
      <c r="G41" s="222">
        <v>2640.0</v>
      </c>
      <c r="H41" s="279"/>
    </row>
    <row r="42">
      <c r="A42" s="291"/>
      <c r="B42" s="278"/>
      <c r="C42" s="295"/>
      <c r="D42" s="304"/>
      <c r="E42" s="295"/>
      <c r="F42" s="295"/>
      <c r="G42" s="295"/>
      <c r="H42" s="295"/>
    </row>
    <row r="43">
      <c r="A43" s="291"/>
      <c r="B43" s="278"/>
      <c r="C43" s="295"/>
      <c r="D43" s="304"/>
      <c r="E43" s="295"/>
      <c r="F43" s="295"/>
      <c r="G43" s="295"/>
      <c r="H43" s="295"/>
    </row>
    <row r="44">
      <c r="A44" s="291"/>
      <c r="B44" s="278"/>
      <c r="C44" s="295"/>
      <c r="D44" s="304"/>
      <c r="E44" s="295"/>
      <c r="F44" s="295"/>
      <c r="G44" s="295"/>
      <c r="H44" s="295"/>
    </row>
    <row r="45">
      <c r="A45" s="291"/>
      <c r="B45" s="278"/>
      <c r="C45" s="295"/>
      <c r="D45" s="304"/>
      <c r="E45" s="295"/>
      <c r="F45" s="295"/>
      <c r="G45" s="295"/>
      <c r="H45" s="295"/>
    </row>
  </sheetData>
  <mergeCells count="6">
    <mergeCell ref="B5:B7"/>
    <mergeCell ref="B16:B18"/>
    <mergeCell ref="B19:B21"/>
    <mergeCell ref="B22:B24"/>
    <mergeCell ref="B25:B27"/>
    <mergeCell ref="B28:B30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6.63"/>
    <col customWidth="1" min="2" max="2" width="7.13"/>
    <col customWidth="1" hidden="1" min="3" max="3" width="18.5"/>
    <col customWidth="1" min="4" max="4" width="18.75"/>
    <col customWidth="1" min="5" max="5" width="83.63"/>
    <col customWidth="1" min="6" max="6" width="11.75"/>
    <col customWidth="1" min="7" max="7" width="12.75"/>
    <col customWidth="1" hidden="1" min="8" max="8" width="9.13"/>
  </cols>
  <sheetData>
    <row r="1" ht="78.75" customHeight="1">
      <c r="A1" s="3"/>
      <c r="B1" s="5" t="s">
        <v>1489</v>
      </c>
      <c r="C1" s="141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295" t="str">
        <f t="shared" ref="A2:A4" si="1">RIGHT(D2,2)</f>
        <v>51</v>
      </c>
      <c r="B2" s="218">
        <v>1.0</v>
      </c>
      <c r="C2" s="219">
        <v>7151.0</v>
      </c>
      <c r="D2" s="219">
        <v>7151.0</v>
      </c>
      <c r="E2" s="220" t="str">
        <f>VLOOKUP(TEXT(A2,"#"),Main!$A$2:$C50,3,0)</f>
        <v>Single Lever Basin Mixer without Popup Waste System</v>
      </c>
      <c r="F2" s="222">
        <f t="array" ref="F2:G2">VLOOKUP(D2,MASTER!$C$2:$F50,{3,4},0)</f>
        <v>5880</v>
      </c>
      <c r="G2" s="222">
        <v>6570.0</v>
      </c>
      <c r="H2" s="279"/>
    </row>
    <row r="3">
      <c r="A3" s="295" t="str">
        <f t="shared" si="1"/>
        <v>52</v>
      </c>
      <c r="B3" s="218">
        <v>2.0</v>
      </c>
      <c r="C3" s="219">
        <v>7152.0</v>
      </c>
      <c r="D3" s="219">
        <v>7152.0</v>
      </c>
      <c r="E3" s="220" t="str">
        <f>VLOOKUP(TEXT(A3,"#"),Main!$A$2:$C50,3,0)</f>
        <v>Single Lever Basin Mixer Tall Body without Popup Waste System</v>
      </c>
      <c r="F3" s="222">
        <f t="array" ref="F3:G3">VLOOKUP(D3,MASTER!$C$2:$F50,{3,4},0)</f>
        <v>8290</v>
      </c>
      <c r="G3" s="222">
        <v>9250.0</v>
      </c>
      <c r="H3" s="279"/>
    </row>
    <row r="4">
      <c r="A4" s="295" t="str">
        <f t="shared" si="1"/>
        <v>54</v>
      </c>
      <c r="B4" s="224">
        <v>3.0</v>
      </c>
      <c r="C4" s="219">
        <v>7154.0</v>
      </c>
      <c r="D4" s="219">
        <v>7154.0</v>
      </c>
      <c r="E4" s="220" t="str">
        <f>VLOOKUP(TEXT(A4,"#"),Main!$A$2:$C50,3,0)</f>
        <v>Single Lever Basin Mixer Wall Mount (Concealed)</v>
      </c>
      <c r="F4" s="222">
        <f t="array" ref="F4:G4">VLOOKUP(D4,MASTER!$C$2:$F50,{3,4},0)</f>
        <v>7440</v>
      </c>
      <c r="G4" s="222">
        <v>8170.0</v>
      </c>
      <c r="H4" s="279"/>
    </row>
    <row r="5">
      <c r="A5" s="310" t="s">
        <v>154</v>
      </c>
      <c r="B5" s="120"/>
      <c r="C5" s="233" t="s">
        <v>154</v>
      </c>
      <c r="D5" s="233" t="s">
        <v>154</v>
      </c>
      <c r="E5" s="220" t="str">
        <f>VLOOKUP(TEXT(A5,"#"),Main!$A$2:$C50,3,0)</f>
        <v>Single Lever Basin Mixer Wall Mount (Body, Cartridge, Sleeve &amp; Nipple)</v>
      </c>
      <c r="F5" s="222">
        <f t="array" ref="F5:G5">VLOOKUP(D5,MASTER!$C$2:$F50,{3,4},0)</f>
        <v>3680</v>
      </c>
      <c r="G5" s="222">
        <v>3990.0</v>
      </c>
      <c r="H5" s="279"/>
    </row>
    <row r="6">
      <c r="A6" s="310" t="s">
        <v>159</v>
      </c>
      <c r="B6" s="145"/>
      <c r="C6" s="233" t="s">
        <v>1236</v>
      </c>
      <c r="D6" s="233" t="s">
        <v>1236</v>
      </c>
      <c r="E6" s="220" t="str">
        <f>VLOOKUP(TEXT(A6,"#"),Main!$A$2:$C50,3,0)</f>
        <v>Exposed Parts (Wall Flange, Handle &amp; Spout)</v>
      </c>
      <c r="F6" s="222">
        <f t="array" ref="F6:G6">VLOOKUP(D6,MASTER!$C$2:$F50,{3,4},0)</f>
        <v>3760</v>
      </c>
      <c r="G6" s="222">
        <v>4180.0</v>
      </c>
      <c r="H6" s="279"/>
    </row>
    <row r="7">
      <c r="A7" s="295" t="str">
        <f t="shared" ref="A7:A15" si="2">RIGHT(D7,2)</f>
        <v>70</v>
      </c>
      <c r="B7" s="218">
        <v>4.0</v>
      </c>
      <c r="C7" s="262">
        <v>7170.0</v>
      </c>
      <c r="D7" s="262">
        <v>7170.0</v>
      </c>
      <c r="E7" s="220" t="str">
        <f>VLOOKUP(TEXT(A7,"#"),Main!$A$2:$C50,3,0)</f>
        <v>Wall Mixer Telephonic with Crutch &amp; Wall Flange (Provision For Hand Shower)</v>
      </c>
      <c r="F7" s="222">
        <f t="array" ref="F7:G7">VLOOKUP(D7,MASTER!$C$2:$F50,{3,4},0)</f>
        <v>7490</v>
      </c>
      <c r="G7" s="222">
        <v>8470.0</v>
      </c>
      <c r="H7" s="279"/>
    </row>
    <row r="8">
      <c r="A8" s="295" t="str">
        <f t="shared" si="2"/>
        <v>75</v>
      </c>
      <c r="B8" s="218">
        <v>5.0</v>
      </c>
      <c r="C8" s="262">
        <v>7175.0</v>
      </c>
      <c r="D8" s="262">
        <v>7175.0</v>
      </c>
      <c r="E8" s="220" t="str">
        <f>VLOOKUP(TEXT(A8,"#"),Main!$A$2:$C50,3,0)</f>
        <v>Wall Mixer "L" Bend with Wall Flange (Provision For Over Head Shower)</v>
      </c>
      <c r="F8" s="222">
        <f t="array" ref="F8:G8">VLOOKUP(D8,MASTER!$C$2:$F50,{3,4},0)</f>
        <v>7490</v>
      </c>
      <c r="G8" s="222">
        <v>8470.0</v>
      </c>
      <c r="H8" s="279"/>
    </row>
    <row r="9">
      <c r="A9" s="295" t="str">
        <f t="shared" si="2"/>
        <v>80</v>
      </c>
      <c r="B9" s="218">
        <v>6.0</v>
      </c>
      <c r="C9" s="262">
        <v>7180.0</v>
      </c>
      <c r="D9" s="262">
        <v>7180.0</v>
      </c>
      <c r="E9" s="220" t="str">
        <f>VLOOKUP(TEXT(A9,"#"),Main!$A$2:$C50,3,0)</f>
        <v>Wall Mixer 3 In 1 with Wall Flange (Provision For Over Head Shower &amp; Hand Shower)</v>
      </c>
      <c r="F9" s="222">
        <f t="array" ref="F9:G9">VLOOKUP(D9,MASTER!$C$2:$F50,{3,4},0)</f>
        <v>8480</v>
      </c>
      <c r="G9" s="222">
        <v>9650.0</v>
      </c>
      <c r="H9" s="279"/>
    </row>
    <row r="10">
      <c r="A10" s="295" t="str">
        <f t="shared" si="2"/>
        <v>55</v>
      </c>
      <c r="B10" s="218">
        <v>7.0</v>
      </c>
      <c r="C10" s="262">
        <v>7155.0</v>
      </c>
      <c r="D10" s="262">
        <v>7155.0</v>
      </c>
      <c r="E10" s="220" t="str">
        <f>VLOOKUP(TEXT(A10,"#"),Main!$A$2:$C50,3,0)</f>
        <v>Sink Mixer with Regular Spout Wall Mounted with Flange</v>
      </c>
      <c r="F10" s="222">
        <f t="array" ref="F10:G10">VLOOKUP(D10,MASTER!$C$2:$F50,{3,4},0)</f>
        <v>6340</v>
      </c>
      <c r="G10" s="222">
        <v>7180.0</v>
      </c>
      <c r="H10" s="279"/>
    </row>
    <row r="11">
      <c r="A11" s="295" t="str">
        <f t="shared" si="2"/>
        <v>14</v>
      </c>
      <c r="B11" s="218">
        <v>8.0</v>
      </c>
      <c r="C11" s="262">
        <v>7114.0</v>
      </c>
      <c r="D11" s="262">
        <v>7114.0</v>
      </c>
      <c r="E11" s="220" t="str">
        <f>VLOOKUP(TEXT(A11,"#"),Main!$A$2:$C50,3,0)</f>
        <v>Swan Neck Table Mounted</v>
      </c>
      <c r="F11" s="222">
        <f t="array" ref="F11:G11">VLOOKUP(D11,MASTER!$C$2:$F50,{3,4},0)</f>
        <v>3340</v>
      </c>
      <c r="G11" s="222">
        <v>3580.0</v>
      </c>
      <c r="H11" s="279"/>
    </row>
    <row r="12">
      <c r="A12" s="295" t="str">
        <f t="shared" si="2"/>
        <v>16</v>
      </c>
      <c r="B12" s="24">
        <v>9.0</v>
      </c>
      <c r="C12" s="262">
        <v>7116.0</v>
      </c>
      <c r="D12" s="262">
        <v>7116.0</v>
      </c>
      <c r="E12" s="220" t="str">
        <f>VLOOKUP(TEXT(A12,"#"),Main!$A$2:$C50,3,0)</f>
        <v>Sink Cock Wall Mounted with Flange</v>
      </c>
      <c r="F12" s="222">
        <f t="array" ref="F12:G12">VLOOKUP(D12,MASTER!$C$2:$F50,{3,4},0)</f>
        <v>2860</v>
      </c>
      <c r="G12" s="222">
        <v>3050.0</v>
      </c>
      <c r="H12" s="279"/>
    </row>
    <row r="13">
      <c r="A13" s="295" t="str">
        <f t="shared" si="2"/>
        <v>94</v>
      </c>
      <c r="B13" s="24">
        <v>10.0</v>
      </c>
      <c r="C13" s="233">
        <v>7194.0</v>
      </c>
      <c r="D13" s="233">
        <v>7194.0</v>
      </c>
      <c r="E13" s="220" t="str">
        <f>VLOOKUP(TEXT(A13,"#"),Main!$A$2:$C50,3,0)</f>
        <v>Concealed 4 Way Diverter Set Hot &amp; Cold with Built-In Non Return Valves Complete Set</v>
      </c>
      <c r="F13" s="222">
        <f t="array" ref="F13:G13">VLOOKUP(D13,MASTER!$C$2:$F50,{3,4},0)</f>
        <v>9240</v>
      </c>
      <c r="G13" s="222">
        <v>10160.0</v>
      </c>
      <c r="H13" s="279"/>
    </row>
    <row r="14">
      <c r="A14" s="295" t="str">
        <f t="shared" si="2"/>
        <v>95</v>
      </c>
      <c r="B14" s="24">
        <v>11.0</v>
      </c>
      <c r="C14" s="262">
        <v>7195.0</v>
      </c>
      <c r="D14" s="262">
        <v>7195.0</v>
      </c>
      <c r="E14" s="220" t="str">
        <f>VLOOKUP(TEXT(A14,"#"),Main!$A$2:$C50,3,0)</f>
        <v>Bath Tub Spout with Flange</v>
      </c>
      <c r="F14" s="222">
        <f t="array" ref="F14:G14">VLOOKUP(D14,MASTER!$C$2:$F50,{3,4},0)</f>
        <v>1770</v>
      </c>
      <c r="G14" s="222">
        <v>1940.0</v>
      </c>
      <c r="H14" s="279"/>
    </row>
    <row r="15">
      <c r="A15" s="295" t="str">
        <f t="shared" si="2"/>
        <v>96</v>
      </c>
      <c r="B15" s="24">
        <v>12.0</v>
      </c>
      <c r="C15" s="262">
        <v>7196.0</v>
      </c>
      <c r="D15" s="262">
        <v>7196.0</v>
      </c>
      <c r="E15" s="220" t="str">
        <f>VLOOKUP(TEXT(A15,"#"),Main!$A$2:$C50,3,0)</f>
        <v>Bath Tub Spout Tip Ton with Flange</v>
      </c>
      <c r="F15" s="222">
        <f t="array" ref="F15:G15">VLOOKUP(D15,MASTER!$C$2:$F50,{3,4},0)</f>
        <v>2480</v>
      </c>
      <c r="G15" s="222">
        <v>2730.0</v>
      </c>
      <c r="H15" s="279"/>
    </row>
    <row r="16">
      <c r="A16" s="311" t="s">
        <v>209</v>
      </c>
      <c r="B16" s="224">
        <v>13.0</v>
      </c>
      <c r="C16" s="233">
        <v>7191.0</v>
      </c>
      <c r="D16" s="233" t="s">
        <v>1237</v>
      </c>
      <c r="E16" s="220" t="str">
        <f>VLOOKUP(TEXT(A16,"#"),Main!$A$2:$C50,3,0)</f>
        <v>Single Lever Concealed Diverter Bath &amp; Shower 40mm</v>
      </c>
      <c r="F16" s="222">
        <f t="array" ref="F16:G16">VLOOKUP(D16,MASTER!$C$2:$F50,{3,4},0)</f>
        <v>6620</v>
      </c>
      <c r="G16" s="222">
        <v>7070.0</v>
      </c>
      <c r="H16" s="279"/>
    </row>
    <row r="17">
      <c r="A17" s="310" t="s">
        <v>212</v>
      </c>
      <c r="B17" s="120"/>
      <c r="C17" s="233" t="s">
        <v>1435</v>
      </c>
      <c r="D17" s="233" t="s">
        <v>212</v>
      </c>
      <c r="E17" s="220" t="str">
        <f>VLOOKUP(TEXT(A17,"#"),Main!$A$2:$C50,3,0)</f>
        <v>Concealed Diverter Body 40mm (Cartridge, Sleeve, Tipton Assembly)</v>
      </c>
      <c r="F17" s="222">
        <f t="array" ref="F17:G17">VLOOKUP(D17,MASTER!$C$2:$F50,{3,4},0)</f>
        <v>4240</v>
      </c>
      <c r="G17" s="222">
        <v>4580.0</v>
      </c>
      <c r="H17" s="279"/>
    </row>
    <row r="18">
      <c r="A18" s="310" t="s">
        <v>216</v>
      </c>
      <c r="B18" s="145"/>
      <c r="C18" s="233" t="s">
        <v>1491</v>
      </c>
      <c r="D18" s="233" t="s">
        <v>1238</v>
      </c>
      <c r="E18" s="220" t="str">
        <f>VLOOKUP(TEXT(A18,"#"),Main!$A$2:$C50,3,0)</f>
        <v>Exposed Parts (Wall Flange &amp; Handle)</v>
      </c>
      <c r="F18" s="222">
        <f t="array" ref="F18:G18">VLOOKUP(D18,MASTER!$C$2:$F50,{3,4},0)</f>
        <v>2380</v>
      </c>
      <c r="G18" s="222">
        <v>2490.0</v>
      </c>
      <c r="H18" s="279"/>
    </row>
    <row r="19">
      <c r="A19" s="311" t="s">
        <v>219</v>
      </c>
      <c r="B19" s="224">
        <v>14.0</v>
      </c>
      <c r="C19" s="257">
        <v>7192.0</v>
      </c>
      <c r="D19" s="233" t="s">
        <v>1239</v>
      </c>
      <c r="E19" s="220" t="str">
        <f>VLOOKUP(TEXT(A19,"#"),Main!$A$2:$C50,3,0)</f>
        <v>Single Lever High Flow Concealed Diverter Bath &amp; Shower 46mm</v>
      </c>
      <c r="F19" s="222">
        <f t="array" ref="F19:G19">VLOOKUP(D19,MASTER!$C$2:$F50,{3,4},0)</f>
        <v>7360</v>
      </c>
      <c r="G19" s="222">
        <v>7980.0</v>
      </c>
      <c r="H19" s="279"/>
    </row>
    <row r="20">
      <c r="A20" s="310" t="s">
        <v>223</v>
      </c>
      <c r="B20" s="120"/>
      <c r="C20" s="257" t="s">
        <v>1438</v>
      </c>
      <c r="D20" s="233" t="s">
        <v>223</v>
      </c>
      <c r="E20" s="220" t="str">
        <f>VLOOKUP(TEXT(A20,"#"),Main!$A$2:$C50,3,0)</f>
        <v>High Flow Concealed Diverter Body 46mm (Cartridge, Sleeve, Tipton Assembly)</v>
      </c>
      <c r="F20" s="222">
        <f t="array" ref="F20:G20">VLOOKUP(D20,MASTER!$C$2:$F50,{3,4},0)</f>
        <v>4980</v>
      </c>
      <c r="G20" s="222">
        <v>5490.0</v>
      </c>
      <c r="H20" s="279"/>
    </row>
    <row r="21">
      <c r="A21" s="310" t="s">
        <v>226</v>
      </c>
      <c r="B21" s="145"/>
      <c r="C21" s="257" t="s">
        <v>1494</v>
      </c>
      <c r="D21" s="233" t="s">
        <v>1240</v>
      </c>
      <c r="E21" s="220" t="str">
        <f>VLOOKUP(TEXT(A21,"#"),Main!$A$2:$C50,3,0)</f>
        <v>Exposed Parts (Wall Flange &amp; Handle)</v>
      </c>
      <c r="F21" s="222">
        <f t="array" ref="F21:G21">VLOOKUP(D21,MASTER!$C$2:$F50,{3,4},0)</f>
        <v>2380</v>
      </c>
      <c r="G21" s="222">
        <v>2490.0</v>
      </c>
      <c r="H21" s="279"/>
    </row>
    <row r="22">
      <c r="A22" s="311" t="s">
        <v>239</v>
      </c>
      <c r="B22" s="224">
        <v>15.0</v>
      </c>
      <c r="C22" s="257">
        <v>7193.0</v>
      </c>
      <c r="D22" s="233" t="s">
        <v>1243</v>
      </c>
      <c r="E22" s="220" t="str">
        <f>VLOOKUP(TEXT(A22,"#"),Main!$A$2:$C50,3,0)</f>
        <v>Single Lever 3 In Let Concealed Diverter Bath &amp; Shower 46mm</v>
      </c>
      <c r="F22" s="222">
        <f t="array" ref="F22:G22">VLOOKUP(D22,MASTER!$C$2:$F50,{3,4},0)</f>
        <v>7360</v>
      </c>
      <c r="G22" s="222">
        <v>7980.0</v>
      </c>
      <c r="H22" s="279"/>
    </row>
    <row r="23">
      <c r="A23" s="310" t="s">
        <v>243</v>
      </c>
      <c r="B23" s="120"/>
      <c r="C23" s="283" t="s">
        <v>1441</v>
      </c>
      <c r="D23" s="218" t="s">
        <v>243</v>
      </c>
      <c r="E23" s="220" t="str">
        <f>VLOOKUP(TEXT(A23,"#"),Main!$A$2:$C50,3,0)</f>
        <v>3 In Let Concealed Diverter Body 46mm (Cartridge, Sleeve, Tipton Assembly)</v>
      </c>
      <c r="F23" s="222">
        <f t="array" ref="F23:G23">VLOOKUP(D23,MASTER!$C$2:$F50,{3,4},0)</f>
        <v>4980</v>
      </c>
      <c r="G23" s="222">
        <v>5490.0</v>
      </c>
      <c r="H23" s="279"/>
    </row>
    <row r="24">
      <c r="A24" s="310" t="s">
        <v>247</v>
      </c>
      <c r="B24" s="145"/>
      <c r="C24" s="257" t="s">
        <v>1500</v>
      </c>
      <c r="D24" s="233" t="s">
        <v>1244</v>
      </c>
      <c r="E24" s="220" t="str">
        <f>VLOOKUP(TEXT(A24,"#"),Main!$A$2:$C50,3,0)</f>
        <v>Exposed Parts (Wall Flange &amp; Handle)</v>
      </c>
      <c r="F24" s="222">
        <f t="array" ref="F24:G24">VLOOKUP(D24,MASTER!$C$2:$F50,{3,4},0)</f>
        <v>2380</v>
      </c>
      <c r="G24" s="222">
        <v>2490.0</v>
      </c>
      <c r="H24" s="279"/>
    </row>
    <row r="25">
      <c r="A25" s="310" t="s">
        <v>228</v>
      </c>
      <c r="B25" s="224">
        <v>16.0</v>
      </c>
      <c r="C25" s="257" t="s">
        <v>1502</v>
      </c>
      <c r="D25" s="233" t="s">
        <v>1241</v>
      </c>
      <c r="E25" s="220" t="str">
        <f>VLOOKUP(TEXT(A25,"#"),Main!$A$2:$C50,3,0)</f>
        <v>Single Lever High Flow Concealed Diverter Bath &amp; Shower 46mm (ON-OFF)</v>
      </c>
      <c r="F25" s="222">
        <f t="array" ref="F25:G25">VLOOKUP(D25,MASTER!$C$2:$F50,{3,4},0)</f>
        <v>7360</v>
      </c>
      <c r="G25" s="222">
        <v>7980.0</v>
      </c>
      <c r="H25" s="279"/>
    </row>
    <row r="26">
      <c r="A26" s="310" t="s">
        <v>234</v>
      </c>
      <c r="B26" s="120"/>
      <c r="C26" s="283" t="s">
        <v>1444</v>
      </c>
      <c r="D26" s="218" t="s">
        <v>234</v>
      </c>
      <c r="E26" s="220" t="str">
        <f>VLOOKUP(TEXT(A26,"#"),Main!$A$2:$C50,3,0)</f>
        <v>High Flow Concealed Diverter Body 46mm (Cartridge, Sleeve, On-Off Assembly)</v>
      </c>
      <c r="F26" s="222">
        <f t="array" ref="F26:G26">VLOOKUP(D26,MASTER!$C$2:$F50,{3,4},0)</f>
        <v>4740</v>
      </c>
      <c r="G26" s="222">
        <v>5250.0</v>
      </c>
      <c r="H26" s="279"/>
    </row>
    <row r="27">
      <c r="A27" s="310" t="s">
        <v>237</v>
      </c>
      <c r="B27" s="145"/>
      <c r="C27" s="257" t="s">
        <v>1507</v>
      </c>
      <c r="D27" s="233" t="s">
        <v>1242</v>
      </c>
      <c r="E27" s="220" t="str">
        <f>VLOOKUP(TEXT(A27,"#"),Main!$A$2:$C50,3,0)</f>
        <v>Exposed Parts (Wall Flange &amp; Handle)</v>
      </c>
      <c r="F27" s="222">
        <f t="array" ref="F27:G27">VLOOKUP(D27,MASTER!$C$2:$F50,{3,4},0)</f>
        <v>2620</v>
      </c>
      <c r="G27" s="222">
        <v>2730.0</v>
      </c>
      <c r="H27" s="279"/>
    </row>
    <row r="28">
      <c r="A28" s="310" t="s">
        <v>249</v>
      </c>
      <c r="B28" s="224">
        <v>17.0</v>
      </c>
      <c r="C28" s="257" t="s">
        <v>1510</v>
      </c>
      <c r="D28" s="233" t="s">
        <v>1245</v>
      </c>
      <c r="E28" s="220" t="str">
        <f>VLOOKUP(TEXT(A28,"#"),Main!$A$2:$C50,3,0)</f>
        <v>Single Lever 3 In Let Concealed Diverter Bath &amp; Shower 46mm (ON-OFF)</v>
      </c>
      <c r="F28" s="222">
        <f t="array" ref="F28:G28">VLOOKUP(D28,MASTER!$C$2:$F50,{3,4},0)</f>
        <v>7360</v>
      </c>
      <c r="G28" s="222">
        <v>7980.0</v>
      </c>
      <c r="H28" s="279"/>
    </row>
    <row r="29">
      <c r="A29" s="310" t="s">
        <v>253</v>
      </c>
      <c r="B29" s="120"/>
      <c r="C29" s="257" t="s">
        <v>1447</v>
      </c>
      <c r="D29" s="218" t="s">
        <v>253</v>
      </c>
      <c r="E29" s="220" t="str">
        <f>VLOOKUP(TEXT(A29,"#"),Main!$A$2:$C50,3,0)</f>
        <v>3 In Let Concealed Diverter Body 46mm (Cartridge, Sleeve, On-Off Assembly)</v>
      </c>
      <c r="F29" s="222">
        <f t="array" ref="F29:G29">VLOOKUP(D29,MASTER!$C$2:$F50,{3,4},0)</f>
        <v>4740</v>
      </c>
      <c r="G29" s="222">
        <v>5250.0</v>
      </c>
      <c r="H29" s="279"/>
    </row>
    <row r="30">
      <c r="A30" s="310" t="s">
        <v>258</v>
      </c>
      <c r="B30" s="145"/>
      <c r="C30" s="257" t="s">
        <v>1515</v>
      </c>
      <c r="D30" s="233" t="s">
        <v>1246</v>
      </c>
      <c r="E30" s="220" t="str">
        <f>VLOOKUP(TEXT(A30,"#"),Main!$A$2:$C50,3,0)</f>
        <v>Exposed Parts (Wall Flange &amp; Handle)</v>
      </c>
      <c r="F30" s="222">
        <f t="array" ref="F30:G30">VLOOKUP(D30,MASTER!$C$2:$F50,{3,4},0)</f>
        <v>2620</v>
      </c>
      <c r="G30" s="222">
        <v>2730.0</v>
      </c>
      <c r="H30" s="279"/>
    </row>
    <row r="31">
      <c r="A31" s="295" t="str">
        <f t="shared" ref="A31:A41" si="3">RIGHT(D31,2)</f>
        <v>02</v>
      </c>
      <c r="B31" s="284">
        <v>18.0</v>
      </c>
      <c r="C31" s="262">
        <v>7102.0</v>
      </c>
      <c r="D31" s="262">
        <v>7102.0</v>
      </c>
      <c r="E31" s="220" t="str">
        <f>VLOOKUP(TEXT(A31,"#"),Main!$A$2:$C50,3,0)</f>
        <v>Pillar Cock</v>
      </c>
      <c r="F31" s="222">
        <f t="array" ref="F31:G31">VLOOKUP(D31,MASTER!$C$2:$F50,{3,4},0)</f>
        <v>2390</v>
      </c>
      <c r="G31" s="222">
        <v>2590.0</v>
      </c>
      <c r="H31" s="279"/>
    </row>
    <row r="32">
      <c r="A32" s="295" t="str">
        <f t="shared" si="3"/>
        <v>03</v>
      </c>
      <c r="B32" s="224">
        <v>19.0</v>
      </c>
      <c r="C32" s="262">
        <v>7103.0</v>
      </c>
      <c r="D32" s="219">
        <v>7103.0</v>
      </c>
      <c r="E32" s="220" t="str">
        <f>VLOOKUP(TEXT(A32,"#"),Main!$A$2:$C50,3,0)</f>
        <v>Pillar Cock Tall Body</v>
      </c>
      <c r="F32" s="222">
        <f t="array" ref="F32:G32">VLOOKUP(D32,MASTER!$C$2:$F50,{3,4},0)</f>
        <v>4780</v>
      </c>
      <c r="G32" s="222">
        <v>5480.0</v>
      </c>
      <c r="H32" s="279"/>
    </row>
    <row r="33">
      <c r="A33" s="295" t="str">
        <f t="shared" si="3"/>
        <v>04</v>
      </c>
      <c r="B33" s="224">
        <v>20.0</v>
      </c>
      <c r="C33" s="262">
        <v>7104.0</v>
      </c>
      <c r="D33" s="262">
        <v>7104.0</v>
      </c>
      <c r="E33" s="220" t="str">
        <f>VLOOKUP(TEXT(A33,"#"),Main!$A$2:$C50,3,0)</f>
        <v>Pillar Cock Extended Body</v>
      </c>
      <c r="F33" s="222">
        <f t="array" ref="F33:G33">VLOOKUP(D33,MASTER!$C$2:$F50,{3,4},0)</f>
        <v>2890</v>
      </c>
      <c r="G33" s="222">
        <v>3180.0</v>
      </c>
      <c r="H33" s="279"/>
    </row>
    <row r="34">
      <c r="A34" s="295" t="str">
        <f t="shared" si="3"/>
        <v>06</v>
      </c>
      <c r="B34" s="284">
        <v>21.0</v>
      </c>
      <c r="C34" s="262">
        <v>7106.0</v>
      </c>
      <c r="D34" s="262">
        <v>7106.0</v>
      </c>
      <c r="E34" s="220" t="str">
        <f>VLOOKUP(TEXT(A34,"#"),Main!$A$2:$C50,3,0)</f>
        <v>Bib Cock with Wall Flange</v>
      </c>
      <c r="F34" s="222">
        <f t="array" ref="F34:G34">VLOOKUP(D34,MASTER!$C$2:$F50,{3,4},0)</f>
        <v>2080</v>
      </c>
      <c r="G34" s="222">
        <v>2270.0</v>
      </c>
      <c r="H34" s="279"/>
    </row>
    <row r="35">
      <c r="A35" s="295" t="str">
        <f t="shared" si="3"/>
        <v>08</v>
      </c>
      <c r="B35" s="224">
        <v>22.0</v>
      </c>
      <c r="C35" s="233">
        <v>7108.0</v>
      </c>
      <c r="D35" s="218">
        <v>7108.0</v>
      </c>
      <c r="E35" s="220" t="str">
        <f>VLOOKUP(TEXT(A35,"#"),Main!$A$2:$C50,3,0)</f>
        <v>Bib Cock Long Body with Wall Flange</v>
      </c>
      <c r="F35" s="222">
        <f t="array" ref="F35:G35">VLOOKUP(D35,MASTER!$C$2:$F50,{3,4},0)</f>
        <v>2380</v>
      </c>
      <c r="G35" s="222">
        <v>2590.0</v>
      </c>
      <c r="H35" s="279"/>
    </row>
    <row r="36">
      <c r="A36" s="295" t="str">
        <f t="shared" si="3"/>
        <v>10</v>
      </c>
      <c r="B36" s="284">
        <v>23.0</v>
      </c>
      <c r="C36" s="262">
        <v>7110.0</v>
      </c>
      <c r="D36" s="262">
        <v>7110.0</v>
      </c>
      <c r="E36" s="220" t="str">
        <f>VLOOKUP(TEXT(A36,"#"),Main!$A$2:$C50,3,0)</f>
        <v>Angular Stop Cock with Wall Flange</v>
      </c>
      <c r="F36" s="222">
        <f t="array" ref="F36:G36">VLOOKUP(D36,MASTER!$C$2:$F50,{3,4},0)</f>
        <v>1660</v>
      </c>
      <c r="G36" s="222">
        <v>1790.0</v>
      </c>
      <c r="H36" s="279"/>
    </row>
    <row r="37">
      <c r="A37" s="295" t="str">
        <f t="shared" si="3"/>
        <v>11</v>
      </c>
      <c r="B37" s="224">
        <v>24.0</v>
      </c>
      <c r="C37" s="262">
        <v>7111.0</v>
      </c>
      <c r="D37" s="262">
        <v>7111.0</v>
      </c>
      <c r="E37" s="220" t="str">
        <f>VLOOKUP(TEXT(A37,"#"),Main!$A$2:$C50,3,0)</f>
        <v>2-Way Angular Stop Cock with Wall Flange</v>
      </c>
      <c r="F37" s="222">
        <f t="array" ref="F37:G37">VLOOKUP(D37,MASTER!$C$2:$F50,{3,4},0)</f>
        <v>2450</v>
      </c>
      <c r="G37" s="222">
        <v>2690.0</v>
      </c>
      <c r="H37" s="279"/>
    </row>
    <row r="38">
      <c r="A38" s="295" t="str">
        <f t="shared" si="3"/>
        <v>13</v>
      </c>
      <c r="B38" s="24">
        <v>25.0</v>
      </c>
      <c r="C38" s="233">
        <v>7113.0</v>
      </c>
      <c r="D38" s="233">
        <v>7113.0</v>
      </c>
      <c r="E38" s="220" t="str">
        <f>VLOOKUP(TEXT(A38,"#"),Main!$A$2:$C50,3,0)</f>
        <v>2-Way Bib Cock Single Handle with Wall Flange</v>
      </c>
      <c r="F38" s="222">
        <f t="array" ref="F38:G38">VLOOKUP(D38,MASTER!$C$2:$F50,{3,4},0)</f>
        <v>2790</v>
      </c>
      <c r="G38" s="222">
        <v>3080.0</v>
      </c>
      <c r="H38" s="279"/>
    </row>
    <row r="39">
      <c r="A39" s="295" t="str">
        <f t="shared" si="3"/>
        <v>18</v>
      </c>
      <c r="B39" s="218">
        <v>26.0</v>
      </c>
      <c r="C39" s="262">
        <v>7118.0</v>
      </c>
      <c r="D39" s="262">
        <v>7118.0</v>
      </c>
      <c r="E39" s="220" t="str">
        <f>VLOOKUP(TEXT(A39,"#"),Main!$A$2:$C50,3,0)</f>
        <v>Concealed Stop Cock 15mm with Wall Flange</v>
      </c>
      <c r="F39" s="222">
        <f t="array" ref="F39:G39">VLOOKUP(D39,MASTER!$C$2:$F50,{3,4},0)</f>
        <v>1940</v>
      </c>
      <c r="G39" s="222">
        <v>2140.0</v>
      </c>
      <c r="H39" s="279"/>
    </row>
    <row r="40">
      <c r="A40" s="295" t="str">
        <f t="shared" si="3"/>
        <v>20</v>
      </c>
      <c r="B40" s="218">
        <v>27.0</v>
      </c>
      <c r="C40" s="262">
        <v>7120.0</v>
      </c>
      <c r="D40" s="262">
        <v>7120.0</v>
      </c>
      <c r="E40" s="220" t="str">
        <f>VLOOKUP(TEXT(A40,"#"),Main!$A$2:$C50,3,0)</f>
        <v>Concealed Stop Cock 20mm with Wall Flange</v>
      </c>
      <c r="F40" s="222">
        <f t="array" ref="F40:G40">VLOOKUP(D40,MASTER!$C$2:$F50,{3,4},0)</f>
        <v>1990</v>
      </c>
      <c r="G40" s="222">
        <v>2190.0</v>
      </c>
      <c r="H40" s="279"/>
    </row>
    <row r="41">
      <c r="A41" s="295" t="str">
        <f t="shared" si="3"/>
        <v>98</v>
      </c>
      <c r="B41" s="24">
        <v>28.0</v>
      </c>
      <c r="C41" s="262">
        <v>7198.0</v>
      </c>
      <c r="D41" s="262">
        <v>7198.0</v>
      </c>
      <c r="E41" s="220" t="str">
        <f>VLOOKUP(TEXT(A41,"#"),Main!$A$2:$C50,3,0)</f>
        <v>Flush Cock 25mm Half Turn with Adjustable Flange</v>
      </c>
      <c r="F41" s="222">
        <f t="array" ref="F41:G41">VLOOKUP(D41,MASTER!$C$2:$F50,{3,4},0)</f>
        <v>2790</v>
      </c>
      <c r="G41" s="222">
        <v>3080.0</v>
      </c>
      <c r="H41" s="279"/>
    </row>
    <row r="42">
      <c r="A42" s="295"/>
      <c r="B42" s="295"/>
      <c r="C42" s="295"/>
      <c r="D42" s="304"/>
      <c r="E42" s="295"/>
      <c r="F42" s="295"/>
      <c r="G42" s="295"/>
      <c r="H42" s="295"/>
    </row>
    <row r="43">
      <c r="A43" s="295"/>
      <c r="B43" s="295"/>
      <c r="C43" s="295"/>
      <c r="D43" s="304"/>
      <c r="E43" s="295"/>
      <c r="F43" s="295"/>
      <c r="G43" s="295"/>
      <c r="H43" s="295"/>
    </row>
    <row r="44">
      <c r="A44" s="295"/>
      <c r="B44" s="295"/>
      <c r="C44" s="295"/>
      <c r="D44" s="304"/>
      <c r="E44" s="295"/>
      <c r="F44" s="295"/>
      <c r="G44" s="295"/>
      <c r="H44" s="295"/>
    </row>
    <row r="45">
      <c r="A45" s="295"/>
      <c r="B45" s="295"/>
      <c r="C45" s="295"/>
      <c r="D45" s="304"/>
      <c r="E45" s="295"/>
      <c r="F45" s="295"/>
      <c r="G45" s="295"/>
      <c r="H45" s="295"/>
    </row>
    <row r="46">
      <c r="A46" s="295"/>
      <c r="B46" s="295"/>
      <c r="C46" s="295"/>
      <c r="D46" s="304"/>
      <c r="E46" s="295"/>
      <c r="F46" s="295"/>
      <c r="G46" s="295"/>
      <c r="H46" s="295"/>
    </row>
    <row r="47">
      <c r="A47" s="295"/>
      <c r="B47" s="295"/>
      <c r="C47" s="295"/>
      <c r="D47" s="304"/>
      <c r="E47" s="295"/>
      <c r="F47" s="295"/>
      <c r="G47" s="295"/>
      <c r="H47" s="295"/>
    </row>
    <row r="48">
      <c r="A48" s="295"/>
      <c r="B48" s="295"/>
      <c r="C48" s="295"/>
      <c r="D48" s="304"/>
      <c r="E48" s="295"/>
      <c r="F48" s="295"/>
      <c r="G48" s="295"/>
      <c r="H48" s="295"/>
    </row>
    <row r="49">
      <c r="A49" s="295"/>
      <c r="B49" s="295"/>
      <c r="C49" s="295"/>
      <c r="D49" s="304"/>
      <c r="E49" s="295"/>
      <c r="F49" s="295"/>
      <c r="G49" s="295"/>
      <c r="H49" s="295"/>
    </row>
    <row r="50">
      <c r="A50" s="295"/>
      <c r="B50" s="295"/>
      <c r="C50" s="295"/>
      <c r="D50" s="304"/>
      <c r="E50" s="295"/>
      <c r="F50" s="295"/>
      <c r="G50" s="295"/>
      <c r="H50" s="295"/>
    </row>
  </sheetData>
  <mergeCells count="6">
    <mergeCell ref="B4:B6"/>
    <mergeCell ref="B16:B18"/>
    <mergeCell ref="B19:B21"/>
    <mergeCell ref="B22:B24"/>
    <mergeCell ref="B25:B27"/>
    <mergeCell ref="B28:B30"/>
  </mergeCells>
  <printOptions gridLines="1"/>
  <pageMargins bottom="0.75" footer="0.0" header="0.0" left="0.25" right="0.25" top="0.75"/>
  <pageSetup paperSize="9" cellComments="atEnd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63"/>
    <col customWidth="1" min="2" max="2" width="5.5"/>
    <col customWidth="1" hidden="1" min="3" max="3" width="18.75"/>
    <col customWidth="1" min="4" max="4" width="20.0"/>
    <col customWidth="1" min="5" max="5" width="83.63"/>
    <col customWidth="1" min="6" max="7" width="11.13"/>
    <col customWidth="1" min="8" max="8" width="8.0"/>
    <col customWidth="1" min="9" max="9" width="9.38"/>
    <col customWidth="1" min="10" max="11" width="10.63"/>
  </cols>
  <sheetData>
    <row r="1">
      <c r="A1" s="217"/>
      <c r="B1" s="250" t="s">
        <v>1490</v>
      </c>
      <c r="C1" s="251" t="s">
        <v>1249</v>
      </c>
      <c r="D1" s="251" t="s">
        <v>1249</v>
      </c>
      <c r="E1" s="252" t="s">
        <v>6</v>
      </c>
      <c r="F1" s="19" t="str">
        <f t="array" ref="F1">#REF!</f>
        <v>#REF!</v>
      </c>
      <c r="G1" s="19"/>
      <c r="H1" s="165" t="s">
        <v>20</v>
      </c>
      <c r="I1" s="253">
        <v>1.6</v>
      </c>
      <c r="J1" s="312"/>
      <c r="K1" s="313"/>
    </row>
    <row r="2">
      <c r="A2" s="278" t="str">
        <f t="shared" ref="A2:A8" si="1">RIGHT(C2,2)</f>
        <v>02</v>
      </c>
      <c r="B2" s="24">
        <v>1.0</v>
      </c>
      <c r="C2" s="26">
        <v>6602.0</v>
      </c>
      <c r="D2" s="218" t="s">
        <v>1492</v>
      </c>
      <c r="E2" s="259" t="str">
        <f>VLOOKUP(TEXT(A2,"#"),Main!$A$2:$C45,3,0)</f>
        <v>Pillar Cock</v>
      </c>
      <c r="F2" s="221">
        <v>2480.0</v>
      </c>
      <c r="G2" s="221">
        <v>2580.0</v>
      </c>
      <c r="H2" s="261">
        <f t="shared" ref="H2:H37" si="2">IFERROR(DIVIDE(MINUS(G2,F2),G2),)</f>
        <v>0.03875968992</v>
      </c>
      <c r="I2" s="263" t="str">
        <f>VLOOKUP(C2,'VINCENT 66'!$D$2:$E45,4,0)</f>
        <v>#REF!</v>
      </c>
      <c r="J2" s="314" t="str">
        <f t="shared" ref="J2:J37" si="3">(G2/I2)</f>
        <v>#REF!</v>
      </c>
      <c r="K2" s="315"/>
    </row>
    <row r="3">
      <c r="A3" s="278" t="str">
        <f t="shared" si="1"/>
        <v>03</v>
      </c>
      <c r="B3" s="24">
        <v>2.0</v>
      </c>
      <c r="C3" s="292" t="s">
        <v>1014</v>
      </c>
      <c r="D3" s="294" t="s">
        <v>1493</v>
      </c>
      <c r="E3" s="259" t="str">
        <f>VLOOKUP(TEXT(A3,"#"),Main!$A$2:$C45,3,0)</f>
        <v>Pillar Cock Tall Body</v>
      </c>
      <c r="F3" s="221">
        <v>5160.0</v>
      </c>
      <c r="G3" s="221">
        <v>5580.0</v>
      </c>
      <c r="H3" s="261">
        <f t="shared" si="2"/>
        <v>0.0752688172</v>
      </c>
      <c r="I3" s="263" t="str">
        <f>VLOOKUP(C3,'VINCENT 66'!$D$2:$E45,4,0)</f>
        <v>#REF!</v>
      </c>
      <c r="J3" s="314" t="str">
        <f t="shared" si="3"/>
        <v>#REF!</v>
      </c>
      <c r="K3" s="315"/>
    </row>
    <row r="4">
      <c r="A4" s="278" t="str">
        <f t="shared" si="1"/>
        <v>06</v>
      </c>
      <c r="B4" s="24">
        <v>3.0</v>
      </c>
      <c r="C4" s="37">
        <v>6606.0</v>
      </c>
      <c r="D4" s="233" t="s">
        <v>1495</v>
      </c>
      <c r="E4" s="259" t="str">
        <f>VLOOKUP(TEXT(A4,"#"),Main!$A$2:$C45,3,0)</f>
        <v>Bib Cock with Wall Flange</v>
      </c>
      <c r="F4" s="221">
        <v>2070.0</v>
      </c>
      <c r="G4" s="221">
        <v>2190.0</v>
      </c>
      <c r="H4" s="261">
        <f t="shared" si="2"/>
        <v>0.05479452055</v>
      </c>
      <c r="I4" s="263" t="str">
        <f>VLOOKUP(C4,'VINCENT 66'!$D$2:$E45,4,0)</f>
        <v>#REF!</v>
      </c>
      <c r="J4" s="314" t="str">
        <f t="shared" si="3"/>
        <v>#REF!</v>
      </c>
      <c r="K4" s="315"/>
    </row>
    <row r="5">
      <c r="A5" s="278" t="str">
        <f t="shared" si="1"/>
        <v>08</v>
      </c>
      <c r="B5" s="24">
        <v>4.0</v>
      </c>
      <c r="C5" s="37">
        <v>6608.0</v>
      </c>
      <c r="D5" s="233" t="s">
        <v>1496</v>
      </c>
      <c r="E5" s="259" t="str">
        <f>VLOOKUP(TEXT(A5,"#"),Main!$A$2:$C45,3,0)</f>
        <v>Bib Cock Long Body with Wall Flange</v>
      </c>
      <c r="F5" s="221">
        <v>2320.0</v>
      </c>
      <c r="G5" s="221">
        <v>2380.0</v>
      </c>
      <c r="H5" s="261">
        <f t="shared" si="2"/>
        <v>0.02521008403</v>
      </c>
      <c r="I5" s="263" t="str">
        <f>VLOOKUP(C5,'VINCENT 66'!$D$2:$E45,4,0)</f>
        <v>#REF!</v>
      </c>
      <c r="J5" s="314" t="str">
        <f t="shared" si="3"/>
        <v>#REF!</v>
      </c>
      <c r="K5" s="315"/>
    </row>
    <row r="6">
      <c r="A6" s="278" t="str">
        <f t="shared" si="1"/>
        <v>10</v>
      </c>
      <c r="B6" s="24">
        <v>5.0</v>
      </c>
      <c r="C6" s="37">
        <v>6610.0</v>
      </c>
      <c r="D6" s="233" t="s">
        <v>1497</v>
      </c>
      <c r="E6" s="259" t="str">
        <f>VLOOKUP(TEXT(A6,"#"),Main!$A$2:$C45,3,0)</f>
        <v>Angular Stop Cock with Wall Flange</v>
      </c>
      <c r="F6" s="221">
        <v>1590.0</v>
      </c>
      <c r="G6" s="221">
        <v>1590.0</v>
      </c>
      <c r="H6" s="261">
        <f t="shared" si="2"/>
        <v>0</v>
      </c>
      <c r="I6" s="263" t="str">
        <f>VLOOKUP(C6,'VINCENT 66'!$D$2:$E45,4,0)</f>
        <v>#REF!</v>
      </c>
      <c r="J6" s="314" t="str">
        <f t="shared" si="3"/>
        <v>#REF!</v>
      </c>
      <c r="K6" s="315"/>
    </row>
    <row r="7">
      <c r="A7" s="278" t="str">
        <f t="shared" si="1"/>
        <v>11</v>
      </c>
      <c r="B7" s="24">
        <v>6.0</v>
      </c>
      <c r="C7" s="37">
        <v>6611.0</v>
      </c>
      <c r="D7" s="233" t="s">
        <v>1498</v>
      </c>
      <c r="E7" s="259" t="str">
        <f>VLOOKUP(TEXT(A7,"#"),Main!$A$2:$C45,3,0)</f>
        <v>2-Way Angular Stop Cock with Wall Flange</v>
      </c>
      <c r="F7" s="221">
        <v>2520.0</v>
      </c>
      <c r="G7" s="221">
        <v>2590.0</v>
      </c>
      <c r="H7" s="261">
        <f t="shared" si="2"/>
        <v>0.02702702703</v>
      </c>
      <c r="I7" s="263" t="str">
        <f>VLOOKUP(C7,'VINCENT 66'!$D$2:$E45,4,0)</f>
        <v>#REF!</v>
      </c>
      <c r="J7" s="314" t="str">
        <f t="shared" si="3"/>
        <v>#REF!</v>
      </c>
      <c r="K7" s="315"/>
    </row>
    <row r="8">
      <c r="A8" s="278" t="str">
        <f t="shared" si="1"/>
        <v>12</v>
      </c>
      <c r="B8" s="24">
        <v>7.0</v>
      </c>
      <c r="C8" s="37">
        <v>6612.0</v>
      </c>
      <c r="D8" s="233" t="s">
        <v>1499</v>
      </c>
      <c r="E8" s="259" t="str">
        <f>VLOOKUP(TEXT(A8,"#"),Main!$A$2:$C45,3,0)</f>
        <v>2-Way Bib Cock Double Handle with Wall Flange</v>
      </c>
      <c r="F8" s="221">
        <v>3420.0</v>
      </c>
      <c r="G8" s="221">
        <v>3420.0</v>
      </c>
      <c r="H8" s="261">
        <f t="shared" si="2"/>
        <v>0</v>
      </c>
      <c r="I8" s="263" t="str">
        <f>VLOOKUP(C8,'VINCENT 66'!$D$2:$E45,4,0)</f>
        <v>#REF!</v>
      </c>
      <c r="J8" s="314" t="str">
        <f t="shared" si="3"/>
        <v>#REF!</v>
      </c>
      <c r="K8" s="315"/>
    </row>
    <row r="9">
      <c r="A9" s="280" t="s">
        <v>100</v>
      </c>
      <c r="B9" s="24">
        <v>8.0</v>
      </c>
      <c r="C9" s="40">
        <v>6613.0</v>
      </c>
      <c r="D9" s="233" t="s">
        <v>1501</v>
      </c>
      <c r="E9" s="259" t="str">
        <f>VLOOKUP(TEXT(A9,"#"),Main!$A$2:$C45,3,0)</f>
        <v>2-Way Bib Cock Single Handle with Wall Flange</v>
      </c>
      <c r="F9" s="221">
        <v>3060.0</v>
      </c>
      <c r="G9" s="221">
        <v>3060.0</v>
      </c>
      <c r="H9" s="261">
        <f t="shared" si="2"/>
        <v>0</v>
      </c>
      <c r="I9" s="263" t="str">
        <f>VLOOKUP(C9,'VINCENT 66'!$D$2:$E45,4,0)</f>
        <v>#REF!</v>
      </c>
      <c r="J9" s="314" t="str">
        <f t="shared" si="3"/>
        <v>#REF!</v>
      </c>
      <c r="K9" s="315"/>
    </row>
    <row r="10">
      <c r="A10" s="278" t="str">
        <f t="shared" ref="A10:A15" si="4">RIGHT(C10,2)</f>
        <v>14</v>
      </c>
      <c r="B10" s="24">
        <v>9.0</v>
      </c>
      <c r="C10" s="37">
        <v>6614.0</v>
      </c>
      <c r="D10" s="233" t="s">
        <v>1503</v>
      </c>
      <c r="E10" s="259" t="str">
        <f>VLOOKUP(TEXT(A10,"#"),Main!$A$2:$C45,3,0)</f>
        <v>Swan Neck Table Mounted</v>
      </c>
      <c r="F10" s="221">
        <v>3190.0</v>
      </c>
      <c r="G10" s="221">
        <v>3330.0</v>
      </c>
      <c r="H10" s="261">
        <f t="shared" si="2"/>
        <v>0.04204204204</v>
      </c>
      <c r="I10" s="263" t="str">
        <f>VLOOKUP(C10,'VINCENT 66'!$D$2:$E45,4,0)</f>
        <v>#REF!</v>
      </c>
      <c r="J10" s="314" t="str">
        <f t="shared" si="3"/>
        <v>#REF!</v>
      </c>
      <c r="K10" s="315"/>
    </row>
    <row r="11">
      <c r="A11" s="278" t="str">
        <f t="shared" si="4"/>
        <v>16</v>
      </c>
      <c r="B11" s="24">
        <v>10.0</v>
      </c>
      <c r="C11" s="37">
        <v>6616.0</v>
      </c>
      <c r="D11" s="233" t="s">
        <v>1504</v>
      </c>
      <c r="E11" s="259" t="str">
        <f>VLOOKUP(TEXT(A11,"#"),Main!$A$2:$C45,3,0)</f>
        <v>Sink Cock Wall Mounted with Flange</v>
      </c>
      <c r="F11" s="221">
        <v>2780.0</v>
      </c>
      <c r="G11" s="221">
        <v>2890.0</v>
      </c>
      <c r="H11" s="261">
        <f t="shared" si="2"/>
        <v>0.03806228374</v>
      </c>
      <c r="I11" s="263" t="str">
        <f>VLOOKUP(C11,'VINCENT 66'!$D$2:$E45,4,0)</f>
        <v>#REF!</v>
      </c>
      <c r="J11" s="314" t="str">
        <f t="shared" si="3"/>
        <v>#REF!</v>
      </c>
      <c r="K11" s="315"/>
    </row>
    <row r="12">
      <c r="A12" s="278" t="str">
        <f t="shared" si="4"/>
        <v>18</v>
      </c>
      <c r="B12" s="24">
        <v>11.0</v>
      </c>
      <c r="C12" s="37">
        <v>6618.0</v>
      </c>
      <c r="D12" s="233" t="s">
        <v>1505</v>
      </c>
      <c r="E12" s="259" t="str">
        <f>VLOOKUP(TEXT(A12,"#"),Main!$A$2:$C45,3,0)</f>
        <v>Concealed Stop Cock 15mm with Wall Flange</v>
      </c>
      <c r="F12" s="221">
        <v>1960.0</v>
      </c>
      <c r="G12" s="221">
        <v>2090.0</v>
      </c>
      <c r="H12" s="261">
        <f t="shared" si="2"/>
        <v>0.06220095694</v>
      </c>
      <c r="I12" s="263" t="str">
        <f>VLOOKUP(C12,'VINCENT 66'!$D$2:$E45,4,0)</f>
        <v>#REF!</v>
      </c>
      <c r="J12" s="314" t="str">
        <f t="shared" si="3"/>
        <v>#REF!</v>
      </c>
      <c r="K12" s="315"/>
    </row>
    <row r="13">
      <c r="A13" s="278" t="str">
        <f t="shared" si="4"/>
        <v>20</v>
      </c>
      <c r="B13" s="24">
        <v>12.0</v>
      </c>
      <c r="C13" s="37">
        <v>6620.0</v>
      </c>
      <c r="D13" s="233" t="s">
        <v>1506</v>
      </c>
      <c r="E13" s="259" t="str">
        <f>VLOOKUP(TEXT(A13,"#"),Main!$A$2:$C45,3,0)</f>
        <v>Concealed Stop Cock 20mm with Wall Flange</v>
      </c>
      <c r="F13" s="221">
        <v>2030.0</v>
      </c>
      <c r="G13" s="221">
        <v>2160.0</v>
      </c>
      <c r="H13" s="261">
        <f t="shared" si="2"/>
        <v>0.06018518519</v>
      </c>
      <c r="I13" s="263" t="str">
        <f>VLOOKUP(C13,'VINCENT 66'!$D$2:$E45,4,0)</f>
        <v>#REF!</v>
      </c>
      <c r="J13" s="314" t="str">
        <f t="shared" si="3"/>
        <v>#REF!</v>
      </c>
      <c r="K13" s="315"/>
    </row>
    <row r="14">
      <c r="A14" s="278" t="str">
        <f t="shared" si="4"/>
        <v>51</v>
      </c>
      <c r="B14" s="316" t="s">
        <v>100</v>
      </c>
      <c r="C14" s="296">
        <v>6651.0</v>
      </c>
      <c r="D14" s="233" t="s">
        <v>1508</v>
      </c>
      <c r="E14" s="259" t="str">
        <f>VLOOKUP(TEXT(A14,"#"),Main!$A$2:$C45,3,0)</f>
        <v>Single Lever Basin Mixer without Popup Waste System</v>
      </c>
      <c r="F14" s="221">
        <v>5690.0</v>
      </c>
      <c r="G14" s="221">
        <v>5790.0</v>
      </c>
      <c r="H14" s="261">
        <f t="shared" si="2"/>
        <v>0.01727115717</v>
      </c>
      <c r="I14" s="263" t="str">
        <f>VLOOKUP(C14,'VINCENT 66'!$D$2:$E45,4,0)</f>
        <v>#REF!</v>
      </c>
      <c r="J14" s="314" t="str">
        <f t="shared" si="3"/>
        <v>#REF!</v>
      </c>
      <c r="K14" s="315"/>
    </row>
    <row r="15">
      <c r="A15" s="278" t="str">
        <f t="shared" si="4"/>
        <v>54</v>
      </c>
      <c r="B15" s="284">
        <v>14.0</v>
      </c>
      <c r="C15" s="296">
        <v>6654.0</v>
      </c>
      <c r="D15" s="233" t="s">
        <v>1509</v>
      </c>
      <c r="E15" s="259" t="str">
        <f>VLOOKUP(TEXT(A15,"#"),Main!$A$2:$C45,3,0)</f>
        <v>Single Lever Basin Mixer Wall Mount (Concealed)</v>
      </c>
      <c r="F15" s="221">
        <v>8000.0</v>
      </c>
      <c r="G15" s="221" t="str">
        <f>G16+G17</f>
        <v>#REF!</v>
      </c>
      <c r="H15" s="261" t="str">
        <f t="shared" si="2"/>
        <v/>
      </c>
      <c r="I15" s="263" t="str">
        <f>VLOOKUP(C15,'VINCENT 66'!$D$2:$E45,4,0)</f>
        <v>#REF!</v>
      </c>
      <c r="J15" s="314" t="str">
        <f t="shared" si="3"/>
        <v>#REF!</v>
      </c>
      <c r="K15" s="315"/>
    </row>
    <row r="16">
      <c r="A16" s="13" t="s">
        <v>154</v>
      </c>
      <c r="B16" s="120"/>
      <c r="C16" s="40" t="s">
        <v>154</v>
      </c>
      <c r="D16" s="233" t="s">
        <v>154</v>
      </c>
      <c r="E16" s="259" t="str">
        <f>VLOOKUP(TEXT(A16,"#"),Main!$A$2:$C45,3,0)</f>
        <v>Single Lever Basin Mixer Wall Mount (Body, Cartridge, Sleeve &amp; Nipple)</v>
      </c>
      <c r="F16" s="221">
        <v>3980.0</v>
      </c>
      <c r="G16" s="268" t="str">
        <f>VLOOKUP(D16,MASTER!$C$2:$D45,4,0)</f>
        <v>#REF!</v>
      </c>
      <c r="H16" s="261" t="str">
        <f t="shared" si="2"/>
        <v/>
      </c>
      <c r="I16" s="263" t="str">
        <f>VLOOKUP(C16,'VINCENT 66'!$D$2:$E45,4,0)</f>
        <v>#REF!</v>
      </c>
      <c r="J16" s="314" t="str">
        <f t="shared" si="3"/>
        <v>#REF!</v>
      </c>
      <c r="K16" s="315"/>
    </row>
    <row r="17">
      <c r="A17" s="13" t="s">
        <v>159</v>
      </c>
      <c r="B17" s="145"/>
      <c r="C17" s="40" t="s">
        <v>1022</v>
      </c>
      <c r="D17" s="233" t="s">
        <v>1511</v>
      </c>
      <c r="E17" s="259" t="str">
        <f>VLOOKUP(TEXT(A17,"#"),Main!$A$2:$C45,3,0)</f>
        <v>Exposed Parts (Wall Flange, Handle &amp; Spout)</v>
      </c>
      <c r="F17" s="221">
        <v>4020.0</v>
      </c>
      <c r="G17" s="221">
        <v>4020.0</v>
      </c>
      <c r="H17" s="261">
        <f t="shared" si="2"/>
        <v>0</v>
      </c>
      <c r="I17" s="263" t="str">
        <f>VLOOKUP(C17,'VINCENT 66'!$D$2:$E45,4,0)</f>
        <v>#REF!</v>
      </c>
      <c r="J17" s="314" t="str">
        <f t="shared" si="3"/>
        <v>#REF!</v>
      </c>
      <c r="K17" s="315"/>
    </row>
    <row r="18">
      <c r="A18" s="278" t="str">
        <f t="shared" ref="A18:A20" si="5">RIGHT(C18,2)</f>
        <v>55</v>
      </c>
      <c r="B18" s="24">
        <v>15.0</v>
      </c>
      <c r="C18" s="40">
        <v>6655.0</v>
      </c>
      <c r="D18" s="233" t="s">
        <v>1512</v>
      </c>
      <c r="E18" s="259" t="str">
        <f>VLOOKUP(TEXT(A18,"#"),Main!$A$2:$C45,3,0)</f>
        <v>Sink Mixer with Regular Spout Wall Mounted with Flange</v>
      </c>
      <c r="F18" s="221">
        <v>5690.0</v>
      </c>
      <c r="G18" s="221">
        <v>5990.0</v>
      </c>
      <c r="H18" s="261">
        <f t="shared" si="2"/>
        <v>0.05008347245</v>
      </c>
      <c r="I18" s="263" t="str">
        <f>VLOOKUP(C18,'VINCENT 66'!$D$2:$E45,4,0)</f>
        <v>#REF!</v>
      </c>
      <c r="J18" s="314" t="str">
        <f t="shared" si="3"/>
        <v>#REF!</v>
      </c>
      <c r="K18" s="315"/>
    </row>
    <row r="19">
      <c r="A19" s="278" t="str">
        <f t="shared" si="5"/>
        <v>75</v>
      </c>
      <c r="B19" s="24">
        <v>16.0</v>
      </c>
      <c r="C19" s="40">
        <v>6675.0</v>
      </c>
      <c r="D19" s="233" t="s">
        <v>1513</v>
      </c>
      <c r="E19" s="259" t="str">
        <f>VLOOKUP(TEXT(A19,"#"),Main!$A$2:$C45,3,0)</f>
        <v>Wall Mixer "L" Bend with Wall Flange (Provision For Over Head Shower)</v>
      </c>
      <c r="F19" s="221">
        <v>8980.0</v>
      </c>
      <c r="G19" s="221">
        <v>9190.0</v>
      </c>
      <c r="H19" s="261">
        <f t="shared" si="2"/>
        <v>0.02285092492</v>
      </c>
      <c r="I19" s="263" t="str">
        <f>VLOOKUP(C19,'VINCENT 66'!$D$2:$E45,4,0)</f>
        <v>#REF!</v>
      </c>
      <c r="J19" s="314" t="str">
        <f t="shared" si="3"/>
        <v>#REF!</v>
      </c>
      <c r="K19" s="315"/>
    </row>
    <row r="20">
      <c r="A20" s="278" t="str">
        <f t="shared" si="5"/>
        <v>80</v>
      </c>
      <c r="B20" s="24">
        <v>17.0</v>
      </c>
      <c r="C20" s="40">
        <v>6680.0</v>
      </c>
      <c r="D20" s="233" t="s">
        <v>1514</v>
      </c>
      <c r="E20" s="259" t="str">
        <f>VLOOKUP(TEXT(A20,"#"),Main!$A$2:$C45,3,0)</f>
        <v>Wall Mixer 3 In 1 with Wall Flange (Provision For Over Head Shower &amp; Hand Shower)</v>
      </c>
      <c r="F20" s="221">
        <v>9990.0</v>
      </c>
      <c r="G20" s="221">
        <v>10490.0</v>
      </c>
      <c r="H20" s="261">
        <f t="shared" si="2"/>
        <v>0.04766444233</v>
      </c>
      <c r="I20" s="263" t="str">
        <f>VLOOKUP(C20,'VINCENT 66'!$D$2:$E45,4,0)</f>
        <v>#REF!</v>
      </c>
      <c r="J20" s="314" t="str">
        <f t="shared" si="3"/>
        <v>#REF!</v>
      </c>
      <c r="K20" s="315"/>
    </row>
    <row r="21">
      <c r="A21" s="280" t="s">
        <v>209</v>
      </c>
      <c r="B21" s="284">
        <v>18.0</v>
      </c>
      <c r="C21" s="283" t="s">
        <v>1031</v>
      </c>
      <c r="D21" s="218" t="s">
        <v>1516</v>
      </c>
      <c r="E21" s="259" t="str">
        <f>VLOOKUP(TEXT(A21,"#"),Main!$A$2:$C45,3,0)</f>
        <v>Single Lever Concealed Diverter Bath &amp; Shower 40mm</v>
      </c>
      <c r="F21" s="221">
        <v>6250.0</v>
      </c>
      <c r="G21" s="221" t="str">
        <f>G22+G23</f>
        <v>#REF!</v>
      </c>
      <c r="H21" s="261" t="str">
        <f t="shared" si="2"/>
        <v/>
      </c>
      <c r="I21" s="263" t="str">
        <f>VLOOKUP(C21,'VINCENT 66'!$D$2:$E45,4,0)</f>
        <v>#REF!</v>
      </c>
      <c r="J21" s="314" t="str">
        <f t="shared" si="3"/>
        <v>#REF!</v>
      </c>
      <c r="K21" s="315"/>
    </row>
    <row r="22">
      <c r="A22" s="13" t="s">
        <v>212</v>
      </c>
      <c r="B22" s="120"/>
      <c r="C22" s="257" t="s">
        <v>212</v>
      </c>
      <c r="D22" s="257" t="s">
        <v>212</v>
      </c>
      <c r="E22" s="259" t="str">
        <f>VLOOKUP(TEXT(A22,"#"),Main!$A$2:$C45,3,0)</f>
        <v>Concealed Diverter Body 40mm (Cartridge, Sleeve, Tipton Assembly)</v>
      </c>
      <c r="F22" s="221">
        <v>3140.0</v>
      </c>
      <c r="G22" s="268" t="str">
        <f>VLOOKUP(D22,MASTER!$C$2:$D45,4,0)</f>
        <v>#REF!</v>
      </c>
      <c r="H22" s="261" t="str">
        <f t="shared" si="2"/>
        <v/>
      </c>
      <c r="I22" s="263" t="str">
        <f>VLOOKUP(C22,'VINCENT 66'!$D$2:$E45,4,0)</f>
        <v>#REF!</v>
      </c>
      <c r="J22" s="314" t="str">
        <f t="shared" si="3"/>
        <v>#REF!</v>
      </c>
      <c r="K22" s="315"/>
    </row>
    <row r="23">
      <c r="A23" s="13" t="s">
        <v>216</v>
      </c>
      <c r="B23" s="145"/>
      <c r="C23" s="257" t="s">
        <v>1032</v>
      </c>
      <c r="D23" s="233" t="s">
        <v>1517</v>
      </c>
      <c r="E23" s="259" t="str">
        <f>VLOOKUP(TEXT(A23,"#"),Main!$A$2:$C45,3,0)</f>
        <v>Exposed Parts (Wall Flange &amp; Handle)</v>
      </c>
      <c r="F23" s="317">
        <v>3110.0</v>
      </c>
      <c r="G23" s="221">
        <v>2810.0</v>
      </c>
      <c r="H23" s="261">
        <f t="shared" si="2"/>
        <v>-0.1067615658</v>
      </c>
      <c r="I23" s="263" t="str">
        <f>VLOOKUP(C23,'VINCENT 66'!$D$2:$E45,4,0)</f>
        <v>#REF!</v>
      </c>
      <c r="J23" s="314" t="str">
        <f t="shared" si="3"/>
        <v>#REF!</v>
      </c>
      <c r="K23" s="315"/>
    </row>
    <row r="24">
      <c r="A24" s="280" t="s">
        <v>219</v>
      </c>
      <c r="B24" s="284">
        <v>19.0</v>
      </c>
      <c r="C24" s="257" t="s">
        <v>1034</v>
      </c>
      <c r="D24" s="233" t="s">
        <v>1518</v>
      </c>
      <c r="E24" s="259" t="str">
        <f>VLOOKUP(TEXT(A24,"#"),Main!$A$2:$C45,3,0)</f>
        <v>Single Lever High Flow Concealed Diverter Bath &amp; Shower 46mm</v>
      </c>
      <c r="F24" s="221">
        <v>7100.0</v>
      </c>
      <c r="G24" s="221" t="str">
        <f>G25+G26</f>
        <v>#REF!</v>
      </c>
      <c r="H24" s="261" t="str">
        <f t="shared" si="2"/>
        <v/>
      </c>
      <c r="I24" s="263" t="str">
        <f>VLOOKUP(C24,'VINCENT 66'!$D$2:$E45,4,0)</f>
        <v>#REF!</v>
      </c>
      <c r="J24" s="314" t="str">
        <f t="shared" si="3"/>
        <v>#REF!</v>
      </c>
      <c r="K24" s="315"/>
    </row>
    <row r="25">
      <c r="A25" s="13" t="s">
        <v>223</v>
      </c>
      <c r="B25" s="120"/>
      <c r="C25" s="262" t="s">
        <v>223</v>
      </c>
      <c r="D25" s="262" t="s">
        <v>223</v>
      </c>
      <c r="E25" s="259" t="str">
        <f>VLOOKUP(TEXT(A25,"#"),Main!$A$2:$C45,3,0)</f>
        <v>High Flow Concealed Diverter Body 46mm (Cartridge, Sleeve, Tipton Assembly)</v>
      </c>
      <c r="F25" s="221">
        <v>3990.0</v>
      </c>
      <c r="G25" s="268" t="str">
        <f>VLOOKUP(D25,MASTER!$C$2:$D45,4,0)</f>
        <v>#REF!</v>
      </c>
      <c r="H25" s="261" t="str">
        <f t="shared" si="2"/>
        <v/>
      </c>
      <c r="I25" s="263" t="str">
        <f>VLOOKUP(C25,'VINCENT 66'!$D$2:$E45,4,0)</f>
        <v>#REF!</v>
      </c>
      <c r="J25" s="314" t="str">
        <f t="shared" si="3"/>
        <v>#REF!</v>
      </c>
      <c r="K25" s="315"/>
    </row>
    <row r="26">
      <c r="A26" s="13" t="s">
        <v>226</v>
      </c>
      <c r="B26" s="145"/>
      <c r="C26" s="257" t="s">
        <v>1036</v>
      </c>
      <c r="D26" s="233" t="s">
        <v>1519</v>
      </c>
      <c r="E26" s="259" t="str">
        <f>VLOOKUP(TEXT(A26,"#"),Main!$A$2:$C45,3,0)</f>
        <v>Exposed Parts (Wall Flange &amp; Handle)</v>
      </c>
      <c r="F26" s="317">
        <v>3110.0</v>
      </c>
      <c r="G26" s="221">
        <v>2810.0</v>
      </c>
      <c r="H26" s="261">
        <f t="shared" si="2"/>
        <v>-0.1067615658</v>
      </c>
      <c r="I26" s="263" t="str">
        <f>VLOOKUP(C26,'VINCENT 66'!$D$2:$E45,4,0)</f>
        <v>#REF!</v>
      </c>
      <c r="J26" s="314" t="str">
        <f t="shared" si="3"/>
        <v>#REF!</v>
      </c>
      <c r="K26" s="315"/>
    </row>
    <row r="27">
      <c r="A27" s="13" t="s">
        <v>228</v>
      </c>
      <c r="B27" s="284">
        <v>20.0</v>
      </c>
      <c r="C27" s="257" t="s">
        <v>1037</v>
      </c>
      <c r="D27" s="233" t="s">
        <v>1520</v>
      </c>
      <c r="E27" s="259" t="str">
        <f>VLOOKUP(TEXT(A27,"#"),Main!$A$2:$C45,3,0)</f>
        <v>Single Lever High Flow Concealed Diverter Bath &amp; Shower 46mm (ON-OFF)</v>
      </c>
      <c r="F27" s="221">
        <v>7100.0</v>
      </c>
      <c r="G27" s="221" t="str">
        <f>G28+G29</f>
        <v>#REF!</v>
      </c>
      <c r="H27" s="261" t="str">
        <f t="shared" si="2"/>
        <v/>
      </c>
      <c r="I27" s="263" t="str">
        <f>VLOOKUP(C27,'VINCENT 66'!$D$2:$E45,4,0)</f>
        <v>#REF!</v>
      </c>
      <c r="J27" s="314" t="str">
        <f t="shared" si="3"/>
        <v>#REF!</v>
      </c>
      <c r="K27" s="315"/>
    </row>
    <row r="28">
      <c r="A28" s="13" t="s">
        <v>234</v>
      </c>
      <c r="B28" s="120"/>
      <c r="C28" s="257" t="s">
        <v>234</v>
      </c>
      <c r="D28" s="257" t="s">
        <v>234</v>
      </c>
      <c r="E28" s="259" t="str">
        <f>VLOOKUP(TEXT(A28,"#"),Main!$A$2:$C45,3,0)</f>
        <v>High Flow Concealed Diverter Body 46mm (Cartridge, Sleeve, On-Off Assembly)</v>
      </c>
      <c r="F28" s="221">
        <v>3990.0</v>
      </c>
      <c r="G28" s="268" t="str">
        <f>VLOOKUP(D28,MASTER!$C$2:$D45,4,0)</f>
        <v>#REF!</v>
      </c>
      <c r="H28" s="261" t="str">
        <f t="shared" si="2"/>
        <v/>
      </c>
      <c r="I28" s="263" t="str">
        <f>VLOOKUP(C28,'VINCENT 66'!$D$2:$E45,4,0)</f>
        <v>#REF!</v>
      </c>
      <c r="J28" s="314" t="str">
        <f t="shared" si="3"/>
        <v>#REF!</v>
      </c>
      <c r="K28" s="315"/>
    </row>
    <row r="29">
      <c r="A29" s="13" t="s">
        <v>237</v>
      </c>
      <c r="B29" s="145"/>
      <c r="C29" s="257" t="s">
        <v>1039</v>
      </c>
      <c r="D29" s="233" t="s">
        <v>1521</v>
      </c>
      <c r="E29" s="259" t="str">
        <f>VLOOKUP(TEXT(A29,"#"),Main!$A$2:$C45,3,0)</f>
        <v>Exposed Parts (Wall Flange &amp; Handle)</v>
      </c>
      <c r="F29" s="317">
        <v>3110.0</v>
      </c>
      <c r="G29" s="221">
        <v>2810.0</v>
      </c>
      <c r="H29" s="261">
        <f t="shared" si="2"/>
        <v>-0.1067615658</v>
      </c>
      <c r="I29" s="263" t="str">
        <f>VLOOKUP(C29,'VINCENT 66'!$D$2:$E45,4,0)</f>
        <v>#REF!</v>
      </c>
      <c r="J29" s="314" t="str">
        <f t="shared" si="3"/>
        <v>#REF!</v>
      </c>
      <c r="K29" s="315"/>
    </row>
    <row r="30">
      <c r="A30" s="280" t="s">
        <v>239</v>
      </c>
      <c r="B30" s="284">
        <v>21.0</v>
      </c>
      <c r="C30" s="257" t="s">
        <v>1041</v>
      </c>
      <c r="D30" s="233" t="s">
        <v>1522</v>
      </c>
      <c r="E30" s="259" t="str">
        <f>VLOOKUP(TEXT(A30,"#"),Main!$A$2:$C45,3,0)</f>
        <v>Single Lever 3 In Let Concealed Diverter Bath &amp; Shower 46mm</v>
      </c>
      <c r="F30" s="221">
        <v>7100.0</v>
      </c>
      <c r="G30" s="221" t="str">
        <f>G31+G32</f>
        <v>#REF!</v>
      </c>
      <c r="H30" s="261" t="str">
        <f t="shared" si="2"/>
        <v/>
      </c>
      <c r="I30" s="263" t="str">
        <f>VLOOKUP(C30,'VINCENT 66'!$D$2:$E45,4,0)</f>
        <v>#REF!</v>
      </c>
      <c r="J30" s="314" t="str">
        <f t="shared" si="3"/>
        <v>#REF!</v>
      </c>
      <c r="K30" s="315"/>
    </row>
    <row r="31">
      <c r="A31" s="13" t="s">
        <v>243</v>
      </c>
      <c r="B31" s="120"/>
      <c r="C31" s="262" t="s">
        <v>243</v>
      </c>
      <c r="D31" s="262" t="s">
        <v>243</v>
      </c>
      <c r="E31" s="259" t="str">
        <f>VLOOKUP(TEXT(A31,"#"),Main!$A$2:$C45,3,0)</f>
        <v>3 In Let Concealed Diverter Body 46mm (Cartridge, Sleeve, Tipton Assembly)</v>
      </c>
      <c r="F31" s="221">
        <v>3990.0</v>
      </c>
      <c r="G31" s="268" t="str">
        <f>VLOOKUP(D31,MASTER!$C$2:$D45,4,0)</f>
        <v>#REF!</v>
      </c>
      <c r="H31" s="261" t="str">
        <f t="shared" si="2"/>
        <v/>
      </c>
      <c r="I31" s="263" t="str">
        <f>VLOOKUP(C31,'VINCENT 66'!$D$2:$E45,4,0)</f>
        <v>#REF!</v>
      </c>
      <c r="J31" s="314" t="str">
        <f t="shared" si="3"/>
        <v>#REF!</v>
      </c>
      <c r="K31" s="315"/>
    </row>
    <row r="32">
      <c r="A32" s="13" t="s">
        <v>247</v>
      </c>
      <c r="B32" s="145"/>
      <c r="C32" s="257" t="s">
        <v>1043</v>
      </c>
      <c r="D32" s="233" t="s">
        <v>1523</v>
      </c>
      <c r="E32" s="259" t="str">
        <f>VLOOKUP(TEXT(A32,"#"),Main!$A$2:$C45,3,0)</f>
        <v>Exposed Parts (Wall Flange &amp; Handle)</v>
      </c>
      <c r="F32" s="317">
        <v>3110.0</v>
      </c>
      <c r="G32" s="221">
        <v>2810.0</v>
      </c>
      <c r="H32" s="261">
        <f t="shared" si="2"/>
        <v>-0.1067615658</v>
      </c>
      <c r="I32" s="263" t="str">
        <f>VLOOKUP(C32,'VINCENT 66'!$D$2:$E45,4,0)</f>
        <v>#REF!</v>
      </c>
      <c r="J32" s="314" t="str">
        <f t="shared" si="3"/>
        <v>#REF!</v>
      </c>
      <c r="K32" s="315"/>
    </row>
    <row r="33">
      <c r="A33" s="13" t="s">
        <v>249</v>
      </c>
      <c r="B33" s="284">
        <v>22.0</v>
      </c>
      <c r="C33" s="257" t="s">
        <v>1044</v>
      </c>
      <c r="D33" s="233" t="s">
        <v>1524</v>
      </c>
      <c r="E33" s="259" t="str">
        <f>VLOOKUP(TEXT(A33,"#"),Main!$A$2:$C45,3,0)</f>
        <v>Single Lever 3 In Let Concealed Diverter Bath &amp; Shower 46mm (ON-OFF)</v>
      </c>
      <c r="F33" s="221">
        <v>7100.0</v>
      </c>
      <c r="G33" s="221" t="str">
        <f>G34+G35</f>
        <v>#REF!</v>
      </c>
      <c r="H33" s="261" t="str">
        <f t="shared" si="2"/>
        <v/>
      </c>
      <c r="I33" s="263" t="str">
        <f>VLOOKUP(C33,'VINCENT 66'!$D$2:$E45,4,0)</f>
        <v>#REF!</v>
      </c>
      <c r="J33" s="314" t="str">
        <f t="shared" si="3"/>
        <v>#REF!</v>
      </c>
      <c r="K33" s="315"/>
    </row>
    <row r="34">
      <c r="A34" s="13" t="s">
        <v>253</v>
      </c>
      <c r="B34" s="120"/>
      <c r="C34" s="257" t="s">
        <v>253</v>
      </c>
      <c r="D34" s="257" t="s">
        <v>253</v>
      </c>
      <c r="E34" s="259" t="str">
        <f>VLOOKUP(TEXT(A34,"#"),Main!$A$2:$C45,3,0)</f>
        <v>3 In Let Concealed Diverter Body 46mm (Cartridge, Sleeve, On-Off Assembly)</v>
      </c>
      <c r="F34" s="221">
        <v>3990.0</v>
      </c>
      <c r="G34" s="268" t="str">
        <f>VLOOKUP(D34,MASTER!$C$2:$D45,4,0)</f>
        <v>#REF!</v>
      </c>
      <c r="H34" s="261" t="str">
        <f t="shared" si="2"/>
        <v/>
      </c>
      <c r="I34" s="263" t="str">
        <f>VLOOKUP(C34,'VINCENT 66'!$D$2:$E45,4,0)</f>
        <v>#REF!</v>
      </c>
      <c r="J34" s="314" t="str">
        <f t="shared" si="3"/>
        <v>#REF!</v>
      </c>
      <c r="K34" s="315"/>
    </row>
    <row r="35">
      <c r="A35" s="13" t="s">
        <v>258</v>
      </c>
      <c r="B35" s="145"/>
      <c r="C35" s="257" t="s">
        <v>1046</v>
      </c>
      <c r="D35" s="233" t="s">
        <v>1525</v>
      </c>
      <c r="E35" s="259" t="str">
        <f>VLOOKUP(TEXT(A35,"#"),Main!$A$2:$C45,3,0)</f>
        <v>Exposed Parts (Wall Flange &amp; Handle)</v>
      </c>
      <c r="F35" s="317">
        <v>3110.0</v>
      </c>
      <c r="G35" s="221">
        <v>2810.0</v>
      </c>
      <c r="H35" s="261">
        <f t="shared" si="2"/>
        <v>-0.1067615658</v>
      </c>
      <c r="I35" s="263" t="str">
        <f>VLOOKUP(C35,'VINCENT 66'!$D$2:$E45,4,0)</f>
        <v>#REF!</v>
      </c>
      <c r="J35" s="314" t="str">
        <f t="shared" si="3"/>
        <v>#REF!</v>
      </c>
      <c r="K35" s="315"/>
    </row>
    <row r="36">
      <c r="A36" s="278" t="str">
        <f t="shared" ref="A36:A37" si="6">RIGHT(C36,2)</f>
        <v>95</v>
      </c>
      <c r="B36" s="24">
        <v>23.0</v>
      </c>
      <c r="C36" s="257">
        <v>6695.0</v>
      </c>
      <c r="D36" s="233" t="s">
        <v>1526</v>
      </c>
      <c r="E36" s="259" t="str">
        <f>VLOOKUP(TEXT(A36,"#"),Main!$A$2:$C45,3,0)</f>
        <v>Bath Tub Spout with Flange</v>
      </c>
      <c r="F36" s="221">
        <v>1780.0</v>
      </c>
      <c r="G36" s="221">
        <v>1960.0</v>
      </c>
      <c r="H36" s="261">
        <f t="shared" si="2"/>
        <v>0.09183673469</v>
      </c>
      <c r="I36" s="263" t="str">
        <f>VLOOKUP(C36,'VINCENT 66'!$D$2:$E45,4,0)</f>
        <v>#REF!</v>
      </c>
      <c r="J36" s="314" t="str">
        <f t="shared" si="3"/>
        <v>#REF!</v>
      </c>
      <c r="K36" s="315"/>
    </row>
    <row r="37">
      <c r="A37" s="278" t="str">
        <f t="shared" si="6"/>
        <v>96</v>
      </c>
      <c r="B37" s="24">
        <v>24.0</v>
      </c>
      <c r="C37" s="262">
        <v>6696.0</v>
      </c>
      <c r="D37" s="233" t="s">
        <v>1527</v>
      </c>
      <c r="E37" s="259" t="str">
        <f>VLOOKUP(TEXT(A37,"#"),Main!$A$2:$C45,3,0)</f>
        <v>Bath Tub Spout Tip Ton with Flange</v>
      </c>
      <c r="F37" s="221">
        <v>2770.0</v>
      </c>
      <c r="G37" s="221">
        <v>2930.0</v>
      </c>
      <c r="H37" s="261">
        <f t="shared" si="2"/>
        <v>0.05460750853</v>
      </c>
      <c r="I37" s="263" t="str">
        <f>VLOOKUP(C37,'VINCENT 66'!$D$2:$E45,4,0)</f>
        <v>#REF!</v>
      </c>
      <c r="J37" s="314" t="str">
        <f t="shared" si="3"/>
        <v>#REF!</v>
      </c>
      <c r="K37" s="315"/>
    </row>
    <row r="38">
      <c r="A38" s="278"/>
      <c r="B38" s="297"/>
      <c r="C38" s="297"/>
      <c r="D38" s="298"/>
      <c r="E38" s="295"/>
      <c r="F38" s="56"/>
      <c r="G38" s="56"/>
      <c r="H38" s="278"/>
      <c r="I38" s="318"/>
      <c r="J38" s="314"/>
      <c r="K38" s="319"/>
    </row>
    <row r="39">
      <c r="A39" s="278"/>
      <c r="B39" s="297"/>
      <c r="C39" s="297"/>
      <c r="D39" s="298"/>
      <c r="E39" s="295"/>
      <c r="F39" s="56"/>
      <c r="G39" s="56"/>
      <c r="H39" s="278"/>
      <c r="I39" s="318"/>
      <c r="J39" s="314"/>
      <c r="K39" s="319"/>
    </row>
    <row r="40">
      <c r="A40" s="278"/>
      <c r="B40" s="297"/>
      <c r="C40" s="297"/>
      <c r="D40" s="298"/>
      <c r="E40" s="295"/>
      <c r="F40" s="56"/>
      <c r="G40" s="56"/>
      <c r="H40" s="278"/>
      <c r="I40" s="318"/>
      <c r="J40" s="314"/>
      <c r="K40" s="319"/>
    </row>
    <row r="41">
      <c r="A41" s="278"/>
      <c r="B41" s="297"/>
      <c r="C41" s="297"/>
      <c r="D41" s="298"/>
      <c r="E41" s="295"/>
      <c r="F41" s="56"/>
      <c r="G41" s="56"/>
      <c r="H41" s="278"/>
      <c r="I41" s="318"/>
      <c r="J41" s="314"/>
      <c r="K41" s="319"/>
    </row>
    <row r="42">
      <c r="A42" s="278"/>
      <c r="B42" s="297"/>
      <c r="C42" s="297"/>
      <c r="D42" s="298"/>
      <c r="E42" s="295"/>
      <c r="F42" s="56"/>
      <c r="G42" s="56"/>
      <c r="H42" s="278"/>
      <c r="I42" s="318"/>
      <c r="J42" s="314"/>
      <c r="K42" s="319"/>
    </row>
    <row r="43">
      <c r="A43" s="278"/>
      <c r="B43" s="297"/>
      <c r="C43" s="297"/>
      <c r="D43" s="298"/>
      <c r="E43" s="295"/>
      <c r="F43" s="56"/>
      <c r="G43" s="56"/>
      <c r="H43" s="278"/>
      <c r="I43" s="318"/>
      <c r="J43" s="314"/>
      <c r="K43" s="319"/>
    </row>
    <row r="44">
      <c r="A44" s="278"/>
      <c r="B44" s="297"/>
      <c r="C44" s="297"/>
      <c r="D44" s="298"/>
      <c r="E44" s="295"/>
      <c r="F44" s="56"/>
      <c r="G44" s="56"/>
      <c r="H44" s="278"/>
      <c r="I44" s="318"/>
      <c r="J44" s="314"/>
      <c r="K44" s="319"/>
    </row>
    <row r="45">
      <c r="A45" s="278"/>
      <c r="B45" s="297"/>
      <c r="C45" s="297"/>
      <c r="D45" s="298"/>
      <c r="E45" s="295"/>
      <c r="F45" s="56"/>
      <c r="G45" s="56"/>
      <c r="H45" s="278"/>
      <c r="I45" s="318"/>
      <c r="J45" s="314"/>
      <c r="K45" s="319"/>
    </row>
  </sheetData>
  <mergeCells count="6">
    <mergeCell ref="B15:B17"/>
    <mergeCell ref="B21:B23"/>
    <mergeCell ref="B24:B26"/>
    <mergeCell ref="B27:B29"/>
    <mergeCell ref="B30:B32"/>
    <mergeCell ref="B33:B3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5.75"/>
    <col customWidth="1" min="2" max="2" width="5.5"/>
    <col customWidth="1" hidden="1" min="3" max="3" width="18.75"/>
    <col customWidth="1" min="4" max="4" width="21.13"/>
    <col customWidth="1" min="5" max="5" width="83.63"/>
    <col customWidth="1" min="6" max="7" width="11.5"/>
    <col customWidth="1" min="8" max="8" width="7.88"/>
    <col customWidth="1" min="9" max="9" width="7.5"/>
    <col customWidth="1" min="10" max="10" width="7.13"/>
  </cols>
  <sheetData>
    <row r="1">
      <c r="A1" s="217"/>
      <c r="B1" s="250" t="s">
        <v>1528</v>
      </c>
      <c r="C1" s="251" t="s">
        <v>1249</v>
      </c>
      <c r="D1" s="251" t="s">
        <v>1249</v>
      </c>
      <c r="E1" s="252" t="s">
        <v>6</v>
      </c>
      <c r="F1" s="19" t="str">
        <f t="array" ref="F1">#REF!</f>
        <v>#REF!</v>
      </c>
      <c r="G1" s="19"/>
      <c r="H1" s="165" t="s">
        <v>20</v>
      </c>
      <c r="I1" s="98"/>
      <c r="J1" s="3"/>
      <c r="K1" s="3"/>
    </row>
    <row r="2">
      <c r="A2" s="278" t="str">
        <f t="shared" ref="A2:A15" si="1">RIGHT(C2,2)</f>
        <v>02</v>
      </c>
      <c r="B2" s="24">
        <v>1.0</v>
      </c>
      <c r="C2" s="26">
        <v>6602.0</v>
      </c>
      <c r="D2" s="24" t="s">
        <v>1529</v>
      </c>
      <c r="E2" s="259" t="str">
        <f>VLOOKUP(TEXT(A2,"#"),Main!$A$2:$C45,3,0)</f>
        <v>Pillar Cock</v>
      </c>
      <c r="F2" s="221">
        <v>2480.0</v>
      </c>
      <c r="G2" s="221">
        <f>'ZADE (GOLD)'!G2</f>
        <v>2580</v>
      </c>
      <c r="H2" s="261">
        <f t="shared" ref="H2:H37" si="2">IFERROR(DIVIDE(MINUS(G2,F2),G2),)</f>
        <v>0.03875968992</v>
      </c>
      <c r="I2" s="225"/>
      <c r="J2" s="295"/>
      <c r="K2" s="295"/>
    </row>
    <row r="3">
      <c r="A3" s="278" t="str">
        <f t="shared" si="1"/>
        <v>03</v>
      </c>
      <c r="B3" s="24">
        <v>2.0</v>
      </c>
      <c r="C3" s="292" t="s">
        <v>1014</v>
      </c>
      <c r="D3" s="294" t="s">
        <v>1531</v>
      </c>
      <c r="E3" s="259" t="str">
        <f>VLOOKUP(TEXT(A3,"#"),Main!$A$2:$C45,3,0)</f>
        <v>Pillar Cock Tall Body</v>
      </c>
      <c r="F3" s="221">
        <v>5160.0</v>
      </c>
      <c r="G3" s="221">
        <f>'ZADE (GOLD)'!G3</f>
        <v>5580</v>
      </c>
      <c r="H3" s="261">
        <f t="shared" si="2"/>
        <v>0.0752688172</v>
      </c>
      <c r="I3" s="225"/>
      <c r="J3" s="295"/>
      <c r="K3" s="295"/>
    </row>
    <row r="4">
      <c r="A4" s="278" t="str">
        <f t="shared" si="1"/>
        <v>06</v>
      </c>
      <c r="B4" s="24">
        <v>3.0</v>
      </c>
      <c r="C4" s="37">
        <v>6606.0</v>
      </c>
      <c r="D4" s="40" t="s">
        <v>1533</v>
      </c>
      <c r="E4" s="259" t="str">
        <f>VLOOKUP(TEXT(A4,"#"),Main!$A$2:$C45,3,0)</f>
        <v>Bib Cock with Wall Flange</v>
      </c>
      <c r="F4" s="221">
        <v>2070.0</v>
      </c>
      <c r="G4" s="221">
        <f>'ZADE (GOLD)'!G4</f>
        <v>2190</v>
      </c>
      <c r="H4" s="261">
        <f t="shared" si="2"/>
        <v>0.05479452055</v>
      </c>
      <c r="I4" s="225"/>
      <c r="J4" s="295"/>
      <c r="K4" s="295"/>
    </row>
    <row r="5">
      <c r="A5" s="278" t="str">
        <f t="shared" si="1"/>
        <v>08</v>
      </c>
      <c r="B5" s="24">
        <v>4.0</v>
      </c>
      <c r="C5" s="37">
        <v>6608.0</v>
      </c>
      <c r="D5" s="40" t="s">
        <v>1534</v>
      </c>
      <c r="E5" s="259" t="str">
        <f>VLOOKUP(TEXT(A5,"#"),Main!$A$2:$C45,3,0)</f>
        <v>Bib Cock Long Body with Wall Flange</v>
      </c>
      <c r="F5" s="221">
        <v>2320.0</v>
      </c>
      <c r="G5" s="221">
        <f>'ZADE (GOLD)'!G5</f>
        <v>2380</v>
      </c>
      <c r="H5" s="261">
        <f t="shared" si="2"/>
        <v>0.02521008403</v>
      </c>
      <c r="I5" s="225"/>
      <c r="J5" s="295"/>
      <c r="K5" s="295"/>
    </row>
    <row r="6">
      <c r="A6" s="278" t="str">
        <f t="shared" si="1"/>
        <v>10</v>
      </c>
      <c r="B6" s="24">
        <v>5.0</v>
      </c>
      <c r="C6" s="37">
        <v>6610.0</v>
      </c>
      <c r="D6" s="40" t="s">
        <v>1535</v>
      </c>
      <c r="E6" s="259" t="str">
        <f>VLOOKUP(TEXT(A6,"#"),Main!$A$2:$C45,3,0)</f>
        <v>Angular Stop Cock with Wall Flange</v>
      </c>
      <c r="F6" s="221">
        <v>1590.0</v>
      </c>
      <c r="G6" s="221">
        <f>'ZADE (GOLD)'!G6</f>
        <v>1590</v>
      </c>
      <c r="H6" s="261">
        <f t="shared" si="2"/>
        <v>0</v>
      </c>
      <c r="I6" s="225"/>
      <c r="J6" s="295"/>
      <c r="K6" s="295"/>
    </row>
    <row r="7">
      <c r="A7" s="278" t="str">
        <f t="shared" si="1"/>
        <v>11</v>
      </c>
      <c r="B7" s="24">
        <v>6.0</v>
      </c>
      <c r="C7" s="37">
        <v>6611.0</v>
      </c>
      <c r="D7" s="40" t="s">
        <v>1537</v>
      </c>
      <c r="E7" s="259" t="str">
        <f>VLOOKUP(TEXT(A7,"#"),Main!$A$2:$C45,3,0)</f>
        <v>2-Way Angular Stop Cock with Wall Flange</v>
      </c>
      <c r="F7" s="221">
        <v>2520.0</v>
      </c>
      <c r="G7" s="221">
        <f>'ZADE (GOLD)'!G7</f>
        <v>2590</v>
      </c>
      <c r="H7" s="261">
        <f t="shared" si="2"/>
        <v>0.02702702703</v>
      </c>
      <c r="I7" s="225"/>
      <c r="J7" s="295"/>
      <c r="K7" s="295"/>
    </row>
    <row r="8">
      <c r="A8" s="278" t="str">
        <f t="shared" si="1"/>
        <v>12</v>
      </c>
      <c r="B8" s="24">
        <v>7.0</v>
      </c>
      <c r="C8" s="37">
        <v>6612.0</v>
      </c>
      <c r="D8" s="40" t="s">
        <v>1538</v>
      </c>
      <c r="E8" s="259" t="str">
        <f>VLOOKUP(TEXT(A8,"#"),Main!$A$2:$C45,3,0)</f>
        <v>2-Way Bib Cock Double Handle with Wall Flange</v>
      </c>
      <c r="F8" s="221">
        <v>3420.0</v>
      </c>
      <c r="G8" s="221">
        <f>'ZADE (GOLD)'!G8</f>
        <v>3420</v>
      </c>
      <c r="H8" s="261">
        <f t="shared" si="2"/>
        <v>0</v>
      </c>
      <c r="I8" s="225"/>
      <c r="J8" s="295"/>
      <c r="K8" s="295"/>
    </row>
    <row r="9">
      <c r="A9" s="278" t="str">
        <f t="shared" si="1"/>
        <v>13</v>
      </c>
      <c r="B9" s="24">
        <v>8.0</v>
      </c>
      <c r="C9" s="40">
        <v>6613.0</v>
      </c>
      <c r="D9" s="40" t="s">
        <v>1540</v>
      </c>
      <c r="E9" s="259" t="str">
        <f>VLOOKUP(TEXT(A9,"#"),Main!$A$2:$C45,3,0)</f>
        <v>2-Way Bib Cock Single Handle with Wall Flange</v>
      </c>
      <c r="F9" s="221">
        <v>3060.0</v>
      </c>
      <c r="G9" s="221">
        <f>'ZADE (GOLD)'!G9</f>
        <v>3060</v>
      </c>
      <c r="H9" s="261">
        <f t="shared" si="2"/>
        <v>0</v>
      </c>
      <c r="I9" s="320"/>
      <c r="J9" s="295"/>
      <c r="K9" s="295"/>
    </row>
    <row r="10">
      <c r="A10" s="278" t="str">
        <f t="shared" si="1"/>
        <v>14</v>
      </c>
      <c r="B10" s="24">
        <v>9.0</v>
      </c>
      <c r="C10" s="37">
        <v>6614.0</v>
      </c>
      <c r="D10" s="40" t="s">
        <v>1542</v>
      </c>
      <c r="E10" s="259" t="str">
        <f>VLOOKUP(TEXT(A10,"#"),Main!$A$2:$C45,3,0)</f>
        <v>Swan Neck Table Mounted</v>
      </c>
      <c r="F10" s="221">
        <v>3190.0</v>
      </c>
      <c r="G10" s="221">
        <f>'ZADE (GOLD)'!G10</f>
        <v>3330</v>
      </c>
      <c r="H10" s="261">
        <f t="shared" si="2"/>
        <v>0.04204204204</v>
      </c>
      <c r="I10" s="225"/>
      <c r="J10" s="295"/>
      <c r="K10" s="295"/>
    </row>
    <row r="11">
      <c r="A11" s="278" t="str">
        <f t="shared" si="1"/>
        <v>16</v>
      </c>
      <c r="B11" s="24">
        <v>10.0</v>
      </c>
      <c r="C11" s="37">
        <v>6616.0</v>
      </c>
      <c r="D11" s="40" t="s">
        <v>1543</v>
      </c>
      <c r="E11" s="259" t="str">
        <f>VLOOKUP(TEXT(A11,"#"),Main!$A$2:$C45,3,0)</f>
        <v>Sink Cock Wall Mounted with Flange</v>
      </c>
      <c r="F11" s="221">
        <v>2780.0</v>
      </c>
      <c r="G11" s="221">
        <f>'ZADE (GOLD)'!G11</f>
        <v>2890</v>
      </c>
      <c r="H11" s="261">
        <f t="shared" si="2"/>
        <v>0.03806228374</v>
      </c>
      <c r="I11" s="225"/>
      <c r="J11" s="295"/>
      <c r="K11" s="295"/>
    </row>
    <row r="12">
      <c r="A12" s="278" t="str">
        <f t="shared" si="1"/>
        <v>18</v>
      </c>
      <c r="B12" s="24">
        <v>11.0</v>
      </c>
      <c r="C12" s="37">
        <v>6618.0</v>
      </c>
      <c r="D12" s="40" t="s">
        <v>1544</v>
      </c>
      <c r="E12" s="259" t="str">
        <f>VLOOKUP(TEXT(A12,"#"),Main!$A$2:$C45,3,0)</f>
        <v>Concealed Stop Cock 15mm with Wall Flange</v>
      </c>
      <c r="F12" s="221">
        <v>1960.0</v>
      </c>
      <c r="G12" s="221">
        <f>'ZADE (GOLD)'!G12</f>
        <v>2090</v>
      </c>
      <c r="H12" s="261">
        <f t="shared" si="2"/>
        <v>0.06220095694</v>
      </c>
      <c r="I12" s="225"/>
      <c r="J12" s="295"/>
      <c r="K12" s="295"/>
    </row>
    <row r="13">
      <c r="A13" s="278" t="str">
        <f t="shared" si="1"/>
        <v>20</v>
      </c>
      <c r="B13" s="24">
        <v>12.0</v>
      </c>
      <c r="C13" s="37">
        <v>6620.0</v>
      </c>
      <c r="D13" s="40" t="s">
        <v>1546</v>
      </c>
      <c r="E13" s="259" t="str">
        <f>VLOOKUP(TEXT(A13,"#"),Main!$A$2:$C45,3,0)</f>
        <v>Concealed Stop Cock 20mm with Wall Flange</v>
      </c>
      <c r="F13" s="221">
        <v>2030.0</v>
      </c>
      <c r="G13" s="221">
        <f>'ZADE (GOLD)'!G13</f>
        <v>2160</v>
      </c>
      <c r="H13" s="261">
        <f t="shared" si="2"/>
        <v>0.06018518519</v>
      </c>
      <c r="I13" s="225"/>
      <c r="J13" s="295"/>
      <c r="K13" s="295"/>
    </row>
    <row r="14">
      <c r="A14" s="278" t="str">
        <f t="shared" si="1"/>
        <v>51</v>
      </c>
      <c r="B14" s="24">
        <v>13.0</v>
      </c>
      <c r="C14" s="296">
        <v>6651.0</v>
      </c>
      <c r="D14" s="40" t="s">
        <v>1548</v>
      </c>
      <c r="E14" s="259" t="str">
        <f>VLOOKUP(TEXT(A14,"#"),Main!$A$2:$C45,3,0)</f>
        <v>Single Lever Basin Mixer without Popup Waste System</v>
      </c>
      <c r="F14" s="221">
        <v>5690.0</v>
      </c>
      <c r="G14" s="221">
        <f>'ZADE (GOLD)'!G14</f>
        <v>5790</v>
      </c>
      <c r="H14" s="261">
        <f t="shared" si="2"/>
        <v>0.01727115717</v>
      </c>
      <c r="I14" s="225"/>
      <c r="J14" s="295"/>
      <c r="K14" s="295"/>
    </row>
    <row r="15">
      <c r="A15" s="278" t="str">
        <f t="shared" si="1"/>
        <v>54</v>
      </c>
      <c r="B15" s="284">
        <v>14.0</v>
      </c>
      <c r="C15" s="296">
        <v>6654.0</v>
      </c>
      <c r="D15" s="40" t="s">
        <v>1550</v>
      </c>
      <c r="E15" s="259" t="str">
        <f>VLOOKUP(TEXT(A15,"#"),Main!$A$2:$C45,3,0)</f>
        <v>Single Lever Basin Mixer Wall Mount (Concealed)</v>
      </c>
      <c r="F15" s="221">
        <v>8000.0</v>
      </c>
      <c r="G15" s="221" t="str">
        <f>'ZADE (GOLD)'!G15</f>
        <v>#REF!</v>
      </c>
      <c r="H15" s="261" t="str">
        <f t="shared" si="2"/>
        <v/>
      </c>
      <c r="I15" s="225"/>
      <c r="J15" s="295"/>
      <c r="K15" s="295"/>
    </row>
    <row r="16">
      <c r="A16" s="269" t="s">
        <v>154</v>
      </c>
      <c r="B16" s="120"/>
      <c r="C16" s="40" t="s">
        <v>154</v>
      </c>
      <c r="D16" s="40" t="s">
        <v>154</v>
      </c>
      <c r="E16" s="259" t="str">
        <f>VLOOKUP(TEXT(A16,"#"),Main!$A$2:$C45,3,0)</f>
        <v>Single Lever Basin Mixer Wall Mount (Body, Cartridge, Sleeve &amp; Nipple)</v>
      </c>
      <c r="F16" s="221">
        <v>3980.0</v>
      </c>
      <c r="G16" s="221" t="str">
        <f>'ZADE (GOLD)'!G16</f>
        <v>#REF!</v>
      </c>
      <c r="H16" s="261" t="str">
        <f t="shared" si="2"/>
        <v/>
      </c>
      <c r="I16" s="225"/>
      <c r="J16" s="295"/>
      <c r="K16" s="295"/>
    </row>
    <row r="17">
      <c r="A17" s="269" t="s">
        <v>159</v>
      </c>
      <c r="B17" s="145"/>
      <c r="C17" s="40" t="s">
        <v>1022</v>
      </c>
      <c r="D17" s="40" t="s">
        <v>1552</v>
      </c>
      <c r="E17" s="259" t="str">
        <f>VLOOKUP(TEXT(A17,"#"),Main!$A$2:$C45,3,0)</f>
        <v>Exposed Parts (Wall Flange, Handle &amp; Spout)</v>
      </c>
      <c r="F17" s="221">
        <v>4020.0</v>
      </c>
      <c r="G17" s="221">
        <f>'ZADE (GOLD)'!G17</f>
        <v>4020</v>
      </c>
      <c r="H17" s="261">
        <f t="shared" si="2"/>
        <v>0</v>
      </c>
      <c r="I17" s="225"/>
      <c r="J17" s="295"/>
      <c r="K17" s="295"/>
    </row>
    <row r="18">
      <c r="A18" s="278" t="str">
        <f t="shared" ref="A18:A20" si="3">RIGHT(C18,2)</f>
        <v>55</v>
      </c>
      <c r="B18" s="24">
        <v>15.0</v>
      </c>
      <c r="C18" s="40">
        <v>6655.0</v>
      </c>
      <c r="D18" s="40" t="s">
        <v>1554</v>
      </c>
      <c r="E18" s="259" t="str">
        <f>VLOOKUP(TEXT(A18,"#"),Main!$A$2:$C45,3,0)</f>
        <v>Sink Mixer with Regular Spout Wall Mounted with Flange</v>
      </c>
      <c r="F18" s="221">
        <v>5690.0</v>
      </c>
      <c r="G18" s="221">
        <f>'ZADE (GOLD)'!G18</f>
        <v>5990</v>
      </c>
      <c r="H18" s="261">
        <f t="shared" si="2"/>
        <v>0.05008347245</v>
      </c>
      <c r="I18" s="225"/>
      <c r="J18" s="295"/>
      <c r="K18" s="295"/>
    </row>
    <row r="19">
      <c r="A19" s="278" t="str">
        <f t="shared" si="3"/>
        <v>75</v>
      </c>
      <c r="B19" s="24">
        <v>16.0</v>
      </c>
      <c r="C19" s="40">
        <v>6675.0</v>
      </c>
      <c r="D19" s="40" t="s">
        <v>1556</v>
      </c>
      <c r="E19" s="259" t="str">
        <f>VLOOKUP(TEXT(A19,"#"),Main!$A$2:$C45,3,0)</f>
        <v>Wall Mixer "L" Bend with Wall Flange (Provision For Over Head Shower)</v>
      </c>
      <c r="F19" s="221">
        <v>8980.0</v>
      </c>
      <c r="G19" s="221">
        <f>'ZADE (GOLD)'!G19</f>
        <v>9190</v>
      </c>
      <c r="H19" s="261">
        <f t="shared" si="2"/>
        <v>0.02285092492</v>
      </c>
      <c r="I19" s="225"/>
      <c r="J19" s="295"/>
      <c r="K19" s="295"/>
    </row>
    <row r="20">
      <c r="A20" s="278" t="str">
        <f t="shared" si="3"/>
        <v>80</v>
      </c>
      <c r="B20" s="24">
        <v>17.0</v>
      </c>
      <c r="C20" s="40">
        <v>6680.0</v>
      </c>
      <c r="D20" s="40" t="s">
        <v>1558</v>
      </c>
      <c r="E20" s="259" t="str">
        <f>VLOOKUP(TEXT(A20,"#"),Main!$A$2:$C45,3,0)</f>
        <v>Wall Mixer 3 In 1 with Wall Flange (Provision For Over Head Shower &amp; Hand Shower)</v>
      </c>
      <c r="F20" s="221">
        <v>9990.0</v>
      </c>
      <c r="G20" s="221">
        <f>'ZADE (GOLD)'!G20</f>
        <v>10490</v>
      </c>
      <c r="H20" s="261">
        <f t="shared" si="2"/>
        <v>0.04766444233</v>
      </c>
      <c r="I20" s="320"/>
      <c r="J20" s="295"/>
      <c r="K20" s="295"/>
    </row>
    <row r="21">
      <c r="A21" s="280" t="s">
        <v>209</v>
      </c>
      <c r="B21" s="284">
        <v>18.0</v>
      </c>
      <c r="C21" s="283" t="s">
        <v>1031</v>
      </c>
      <c r="D21" s="218" t="s">
        <v>1560</v>
      </c>
      <c r="E21" s="259" t="str">
        <f>VLOOKUP(TEXT(A21,"#"),Main!$A$2:$C45,3,0)</f>
        <v>Single Lever Concealed Diverter Bath &amp; Shower 40mm</v>
      </c>
      <c r="F21" s="221">
        <v>6250.0</v>
      </c>
      <c r="G21" s="221" t="str">
        <f>'ZADE (GOLD)'!G21</f>
        <v>#REF!</v>
      </c>
      <c r="H21" s="261" t="str">
        <f t="shared" si="2"/>
        <v/>
      </c>
      <c r="I21" s="266"/>
      <c r="J21" s="295"/>
      <c r="K21" s="295"/>
    </row>
    <row r="22">
      <c r="A22" s="269" t="s">
        <v>212</v>
      </c>
      <c r="B22" s="120"/>
      <c r="C22" s="257" t="s">
        <v>212</v>
      </c>
      <c r="D22" s="257" t="s">
        <v>212</v>
      </c>
      <c r="E22" s="259" t="str">
        <f>VLOOKUP(TEXT(A22,"#"),Main!$A$2:$C45,3,0)</f>
        <v>Concealed Diverter Body 40mm (Cartridge, Sleeve, Tipton Assembly)</v>
      </c>
      <c r="F22" s="221">
        <v>3140.0</v>
      </c>
      <c r="G22" s="221" t="str">
        <f>'ZADE (GOLD)'!G22</f>
        <v>#REF!</v>
      </c>
      <c r="H22" s="261" t="str">
        <f t="shared" si="2"/>
        <v/>
      </c>
      <c r="I22" s="266"/>
      <c r="J22" s="295"/>
      <c r="K22" s="295"/>
    </row>
    <row r="23">
      <c r="A23" s="269" t="s">
        <v>216</v>
      </c>
      <c r="B23" s="145"/>
      <c r="C23" s="257" t="s">
        <v>1032</v>
      </c>
      <c r="D23" s="233" t="s">
        <v>1562</v>
      </c>
      <c r="E23" s="259" t="str">
        <f>VLOOKUP(TEXT(A23,"#"),Main!$A$2:$C45,3,0)</f>
        <v>Exposed Parts (Wall Flange &amp; Handle)</v>
      </c>
      <c r="F23" s="221">
        <v>3110.0</v>
      </c>
      <c r="G23" s="221">
        <f>'ZADE (GOLD)'!G23</f>
        <v>2810</v>
      </c>
      <c r="H23" s="261">
        <f t="shared" si="2"/>
        <v>-0.1067615658</v>
      </c>
      <c r="I23" s="266"/>
      <c r="J23" s="295"/>
      <c r="K23" s="295"/>
    </row>
    <row r="24">
      <c r="A24" s="280" t="s">
        <v>219</v>
      </c>
      <c r="B24" s="284">
        <v>19.0</v>
      </c>
      <c r="C24" s="257" t="s">
        <v>1034</v>
      </c>
      <c r="D24" s="233" t="s">
        <v>1564</v>
      </c>
      <c r="E24" s="259" t="str">
        <f>VLOOKUP(TEXT(A24,"#"),Main!$A$2:$C45,3,0)</f>
        <v>Single Lever High Flow Concealed Diverter Bath &amp; Shower 46mm</v>
      </c>
      <c r="F24" s="221">
        <v>7100.0</v>
      </c>
      <c r="G24" s="221" t="str">
        <f>'ZADE (GOLD)'!G24</f>
        <v>#REF!</v>
      </c>
      <c r="H24" s="261" t="str">
        <f t="shared" si="2"/>
        <v/>
      </c>
      <c r="I24" s="266"/>
      <c r="J24" s="295"/>
      <c r="K24" s="295"/>
    </row>
    <row r="25">
      <c r="A25" s="269" t="s">
        <v>223</v>
      </c>
      <c r="B25" s="120"/>
      <c r="C25" s="262" t="s">
        <v>223</v>
      </c>
      <c r="D25" s="262" t="s">
        <v>223</v>
      </c>
      <c r="E25" s="259" t="str">
        <f>VLOOKUP(TEXT(A25,"#"),Main!$A$2:$C45,3,0)</f>
        <v>High Flow Concealed Diverter Body 46mm (Cartridge, Sleeve, Tipton Assembly)</v>
      </c>
      <c r="F25" s="221">
        <v>3990.0</v>
      </c>
      <c r="G25" s="221" t="str">
        <f>'ZADE (GOLD)'!G25</f>
        <v>#REF!</v>
      </c>
      <c r="H25" s="261" t="str">
        <f t="shared" si="2"/>
        <v/>
      </c>
      <c r="I25" s="266"/>
      <c r="J25" s="295"/>
      <c r="K25" s="295"/>
    </row>
    <row r="26">
      <c r="A26" s="269" t="s">
        <v>226</v>
      </c>
      <c r="B26" s="145"/>
      <c r="C26" s="257" t="s">
        <v>1036</v>
      </c>
      <c r="D26" s="233" t="s">
        <v>1565</v>
      </c>
      <c r="E26" s="259" t="str">
        <f>VLOOKUP(TEXT(A26,"#"),Main!$A$2:$C45,3,0)</f>
        <v>Exposed Parts (Wall Flange &amp; Handle)</v>
      </c>
      <c r="F26" s="221">
        <v>3110.0</v>
      </c>
      <c r="G26" s="221">
        <f>'ZADE (GOLD)'!G26</f>
        <v>2810</v>
      </c>
      <c r="H26" s="261">
        <f t="shared" si="2"/>
        <v>-0.1067615658</v>
      </c>
      <c r="I26" s="266"/>
      <c r="J26" s="295"/>
      <c r="K26" s="295"/>
    </row>
    <row r="27">
      <c r="A27" s="269" t="s">
        <v>228</v>
      </c>
      <c r="B27" s="284">
        <v>20.0</v>
      </c>
      <c r="C27" s="257" t="s">
        <v>1037</v>
      </c>
      <c r="D27" s="233" t="s">
        <v>1566</v>
      </c>
      <c r="E27" s="259" t="str">
        <f>VLOOKUP(TEXT(A27,"#"),Main!$A$2:$C45,3,0)</f>
        <v>Single Lever High Flow Concealed Diverter Bath &amp; Shower 46mm (ON-OFF)</v>
      </c>
      <c r="F27" s="221">
        <v>7100.0</v>
      </c>
      <c r="G27" s="221" t="str">
        <f>'ZADE (GOLD)'!G27</f>
        <v>#REF!</v>
      </c>
      <c r="H27" s="261" t="str">
        <f t="shared" si="2"/>
        <v/>
      </c>
      <c r="I27" s="266"/>
      <c r="J27" s="295"/>
      <c r="K27" s="295"/>
    </row>
    <row r="28">
      <c r="A28" s="269" t="s">
        <v>234</v>
      </c>
      <c r="B28" s="120"/>
      <c r="C28" s="257" t="s">
        <v>234</v>
      </c>
      <c r="D28" s="257" t="s">
        <v>234</v>
      </c>
      <c r="E28" s="259" t="str">
        <f>VLOOKUP(TEXT(A28,"#"),Main!$A$2:$C45,3,0)</f>
        <v>High Flow Concealed Diverter Body 46mm (Cartridge, Sleeve, On-Off Assembly)</v>
      </c>
      <c r="F28" s="221">
        <v>3990.0</v>
      </c>
      <c r="G28" s="221" t="str">
        <f>'ZADE (GOLD)'!G28</f>
        <v>#REF!</v>
      </c>
      <c r="H28" s="261" t="str">
        <f t="shared" si="2"/>
        <v/>
      </c>
      <c r="I28" s="266"/>
      <c r="J28" s="295"/>
      <c r="K28" s="295"/>
    </row>
    <row r="29">
      <c r="A29" s="269" t="s">
        <v>237</v>
      </c>
      <c r="B29" s="145"/>
      <c r="C29" s="257" t="s">
        <v>1039</v>
      </c>
      <c r="D29" s="233" t="s">
        <v>1568</v>
      </c>
      <c r="E29" s="259" t="str">
        <f>VLOOKUP(TEXT(A29,"#"),Main!$A$2:$C45,3,0)</f>
        <v>Exposed Parts (Wall Flange &amp; Handle)</v>
      </c>
      <c r="F29" s="221">
        <v>3110.0</v>
      </c>
      <c r="G29" s="221">
        <f>'ZADE (GOLD)'!G29</f>
        <v>2810</v>
      </c>
      <c r="H29" s="261">
        <f t="shared" si="2"/>
        <v>-0.1067615658</v>
      </c>
      <c r="I29" s="266"/>
      <c r="J29" s="295"/>
      <c r="K29" s="295"/>
    </row>
    <row r="30">
      <c r="A30" s="280" t="s">
        <v>239</v>
      </c>
      <c r="B30" s="284">
        <v>21.0</v>
      </c>
      <c r="C30" s="257" t="s">
        <v>1041</v>
      </c>
      <c r="D30" s="233" t="s">
        <v>1570</v>
      </c>
      <c r="E30" s="259" t="str">
        <f>VLOOKUP(TEXT(A30,"#"),Main!$A$2:$C45,3,0)</f>
        <v>Single Lever 3 In Let Concealed Diverter Bath &amp; Shower 46mm</v>
      </c>
      <c r="F30" s="221">
        <v>7100.0</v>
      </c>
      <c r="G30" s="221" t="str">
        <f>'ZADE (GOLD)'!G30</f>
        <v>#REF!</v>
      </c>
      <c r="H30" s="261" t="str">
        <f t="shared" si="2"/>
        <v/>
      </c>
      <c r="I30" s="266"/>
      <c r="J30" s="295"/>
      <c r="K30" s="295"/>
    </row>
    <row r="31">
      <c r="A31" s="269" t="s">
        <v>243</v>
      </c>
      <c r="B31" s="120"/>
      <c r="C31" s="262" t="s">
        <v>243</v>
      </c>
      <c r="D31" s="262" t="s">
        <v>243</v>
      </c>
      <c r="E31" s="259" t="str">
        <f>VLOOKUP(TEXT(A31,"#"),Main!$A$2:$C45,3,0)</f>
        <v>3 In Let Concealed Diverter Body 46mm (Cartridge, Sleeve, Tipton Assembly)</v>
      </c>
      <c r="F31" s="221">
        <v>3990.0</v>
      </c>
      <c r="G31" s="221" t="str">
        <f>'ZADE (GOLD)'!G31</f>
        <v>#REF!</v>
      </c>
      <c r="H31" s="261" t="str">
        <f t="shared" si="2"/>
        <v/>
      </c>
      <c r="I31" s="266"/>
      <c r="J31" s="295"/>
      <c r="K31" s="295"/>
    </row>
    <row r="32">
      <c r="A32" s="269" t="s">
        <v>247</v>
      </c>
      <c r="B32" s="145"/>
      <c r="C32" s="257" t="s">
        <v>1043</v>
      </c>
      <c r="D32" s="233" t="s">
        <v>1572</v>
      </c>
      <c r="E32" s="259" t="str">
        <f>VLOOKUP(TEXT(A32,"#"),Main!$A$2:$C45,3,0)</f>
        <v>Exposed Parts (Wall Flange &amp; Handle)</v>
      </c>
      <c r="F32" s="221">
        <v>3110.0</v>
      </c>
      <c r="G32" s="221">
        <f>'ZADE (GOLD)'!G32</f>
        <v>2810</v>
      </c>
      <c r="H32" s="261">
        <f t="shared" si="2"/>
        <v>-0.1067615658</v>
      </c>
      <c r="I32" s="266"/>
      <c r="J32" s="295"/>
      <c r="K32" s="295"/>
    </row>
    <row r="33">
      <c r="A33" s="269" t="s">
        <v>249</v>
      </c>
      <c r="B33" s="284">
        <v>22.0</v>
      </c>
      <c r="C33" s="257" t="s">
        <v>1044</v>
      </c>
      <c r="D33" s="233" t="s">
        <v>1573</v>
      </c>
      <c r="E33" s="259" t="str">
        <f>VLOOKUP(TEXT(A33,"#"),Main!$A$2:$C45,3,0)</f>
        <v>Single Lever 3 In Let Concealed Diverter Bath &amp; Shower 46mm (ON-OFF)</v>
      </c>
      <c r="F33" s="221">
        <v>7100.0</v>
      </c>
      <c r="G33" s="221" t="str">
        <f>'ZADE (GOLD)'!G33</f>
        <v>#REF!</v>
      </c>
      <c r="H33" s="261" t="str">
        <f t="shared" si="2"/>
        <v/>
      </c>
      <c r="I33" s="266"/>
      <c r="J33" s="295"/>
      <c r="K33" s="295"/>
    </row>
    <row r="34">
      <c r="A34" s="269" t="s">
        <v>253</v>
      </c>
      <c r="B34" s="120"/>
      <c r="C34" s="257" t="s">
        <v>253</v>
      </c>
      <c r="D34" s="257" t="s">
        <v>253</v>
      </c>
      <c r="E34" s="259" t="str">
        <f>VLOOKUP(TEXT(A34,"#"),Main!$A$2:$C45,3,0)</f>
        <v>3 In Let Concealed Diverter Body 46mm (Cartridge, Sleeve, On-Off Assembly)</v>
      </c>
      <c r="F34" s="221">
        <v>3990.0</v>
      </c>
      <c r="G34" s="221" t="str">
        <f>'ZADE (GOLD)'!G34</f>
        <v>#REF!</v>
      </c>
      <c r="H34" s="261" t="str">
        <f t="shared" si="2"/>
        <v/>
      </c>
      <c r="I34" s="266"/>
      <c r="J34" s="295"/>
      <c r="K34" s="295"/>
    </row>
    <row r="35">
      <c r="A35" s="269" t="s">
        <v>258</v>
      </c>
      <c r="B35" s="145"/>
      <c r="C35" s="257" t="s">
        <v>1046</v>
      </c>
      <c r="D35" s="233" t="s">
        <v>1575</v>
      </c>
      <c r="E35" s="259" t="str">
        <f>VLOOKUP(TEXT(A35,"#"),Main!$A$2:$C45,3,0)</f>
        <v>Exposed Parts (Wall Flange &amp; Handle)</v>
      </c>
      <c r="F35" s="221">
        <v>3110.0</v>
      </c>
      <c r="G35" s="221">
        <f>'ZADE (GOLD)'!G35</f>
        <v>2810</v>
      </c>
      <c r="H35" s="261">
        <f t="shared" si="2"/>
        <v>-0.1067615658</v>
      </c>
      <c r="I35" s="266"/>
      <c r="J35" s="295"/>
      <c r="K35" s="295"/>
    </row>
    <row r="36">
      <c r="A36" s="278" t="str">
        <f t="shared" ref="A36:A37" si="4">RIGHT(C36,2)</f>
        <v>95</v>
      </c>
      <c r="B36" s="24">
        <v>23.0</v>
      </c>
      <c r="C36" s="257">
        <v>6695.0</v>
      </c>
      <c r="D36" s="40" t="s">
        <v>1577</v>
      </c>
      <c r="E36" s="259" t="str">
        <f>VLOOKUP(TEXT(A36,"#"),Main!$A$2:$C45,3,0)</f>
        <v>Bath Tub Spout with Flange</v>
      </c>
      <c r="F36" s="221">
        <v>1780.0</v>
      </c>
      <c r="G36" s="221">
        <f>'ZADE (GOLD)'!G36</f>
        <v>1960</v>
      </c>
      <c r="H36" s="261">
        <f t="shared" si="2"/>
        <v>0.09183673469</v>
      </c>
      <c r="I36" s="225"/>
      <c r="J36" s="295"/>
      <c r="K36" s="295"/>
    </row>
    <row r="37">
      <c r="A37" s="278" t="str">
        <f t="shared" si="4"/>
        <v>96</v>
      </c>
      <c r="B37" s="24">
        <v>24.0</v>
      </c>
      <c r="C37" s="262">
        <v>6696.0</v>
      </c>
      <c r="D37" s="40" t="s">
        <v>1578</v>
      </c>
      <c r="E37" s="259" t="str">
        <f>VLOOKUP(TEXT(A37,"#"),Main!$A$2:$C45,3,0)</f>
        <v>Bath Tub Spout Tip Ton with Flange</v>
      </c>
      <c r="F37" s="221">
        <v>2770.0</v>
      </c>
      <c r="G37" s="221">
        <f>'ZADE (GOLD)'!G37</f>
        <v>2930</v>
      </c>
      <c r="H37" s="261">
        <f t="shared" si="2"/>
        <v>0.05460750853</v>
      </c>
      <c r="I37" s="56"/>
      <c r="J37" s="295"/>
      <c r="K37" s="295"/>
    </row>
    <row r="38">
      <c r="A38" s="278"/>
      <c r="B38" s="297"/>
      <c r="C38" s="297"/>
      <c r="D38" s="297"/>
      <c r="E38" s="295"/>
      <c r="F38" s="56"/>
      <c r="G38" s="56"/>
      <c r="H38" s="278"/>
      <c r="I38" s="56"/>
      <c r="J38" s="295"/>
      <c r="K38" s="295"/>
    </row>
    <row r="39">
      <c r="A39" s="278"/>
      <c r="B39" s="297"/>
      <c r="C39" s="297"/>
      <c r="D39" s="297"/>
      <c r="E39" s="295"/>
      <c r="F39" s="56"/>
      <c r="G39" s="56"/>
      <c r="H39" s="278"/>
      <c r="I39" s="56"/>
      <c r="J39" s="295"/>
      <c r="K39" s="295"/>
    </row>
    <row r="40">
      <c r="A40" s="278"/>
      <c r="B40" s="297"/>
      <c r="C40" s="297"/>
      <c r="D40" s="297"/>
      <c r="E40" s="295"/>
      <c r="F40" s="56"/>
      <c r="G40" s="56"/>
      <c r="H40" s="278"/>
      <c r="I40" s="56"/>
      <c r="J40" s="295"/>
      <c r="K40" s="295"/>
    </row>
    <row r="41">
      <c r="A41" s="278"/>
      <c r="B41" s="297"/>
      <c r="C41" s="297"/>
      <c r="D41" s="297"/>
      <c r="E41" s="295"/>
      <c r="F41" s="56"/>
      <c r="G41" s="56"/>
      <c r="H41" s="278"/>
      <c r="I41" s="56"/>
      <c r="J41" s="295"/>
      <c r="K41" s="295"/>
    </row>
    <row r="42">
      <c r="A42" s="278"/>
      <c r="B42" s="297"/>
      <c r="C42" s="297"/>
      <c r="D42" s="297"/>
      <c r="E42" s="295"/>
      <c r="F42" s="56"/>
      <c r="G42" s="56"/>
      <c r="H42" s="278"/>
      <c r="I42" s="56"/>
      <c r="J42" s="295"/>
      <c r="K42" s="295"/>
    </row>
    <row r="43">
      <c r="A43" s="278"/>
      <c r="B43" s="297"/>
      <c r="C43" s="297"/>
      <c r="D43" s="297"/>
      <c r="E43" s="295"/>
      <c r="F43" s="56"/>
      <c r="G43" s="56"/>
      <c r="H43" s="278"/>
      <c r="I43" s="56"/>
      <c r="J43" s="295"/>
      <c r="K43" s="295"/>
    </row>
    <row r="44">
      <c r="A44" s="278"/>
      <c r="B44" s="297"/>
      <c r="C44" s="297"/>
      <c r="D44" s="297"/>
      <c r="E44" s="295"/>
      <c r="F44" s="56"/>
      <c r="G44" s="56"/>
      <c r="H44" s="278"/>
      <c r="I44" s="56"/>
      <c r="J44" s="295"/>
      <c r="K44" s="295"/>
    </row>
    <row r="45">
      <c r="A45" s="278"/>
      <c r="B45" s="297"/>
      <c r="C45" s="297"/>
      <c r="D45" s="297"/>
      <c r="E45" s="295"/>
      <c r="F45" s="56"/>
      <c r="G45" s="56"/>
      <c r="H45" s="278"/>
      <c r="I45" s="56"/>
      <c r="J45" s="295"/>
      <c r="K45" s="295"/>
    </row>
  </sheetData>
  <mergeCells count="6">
    <mergeCell ref="B15:B17"/>
    <mergeCell ref="B21:B23"/>
    <mergeCell ref="B24:B26"/>
    <mergeCell ref="B27:B29"/>
    <mergeCell ref="B30:B32"/>
    <mergeCell ref="B33:B3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63"/>
    <col customWidth="1" min="2" max="2" width="5.5"/>
    <col customWidth="1" hidden="1" min="3" max="3" width="18.75"/>
    <col customWidth="1" min="4" max="4" width="19.88"/>
    <col customWidth="1" min="5" max="5" width="83.63"/>
    <col customWidth="1" min="6" max="6" width="11.25"/>
    <col customWidth="1" min="7" max="7" width="11.13"/>
    <col customWidth="1" min="8" max="8" width="7.5"/>
    <col customWidth="1" min="9" max="9" width="9.0"/>
    <col customWidth="1" min="10" max="11" width="9.13"/>
  </cols>
  <sheetData>
    <row r="1">
      <c r="A1" s="217"/>
      <c r="B1" s="250" t="s">
        <v>1530</v>
      </c>
      <c r="C1" s="251" t="s">
        <v>1249</v>
      </c>
      <c r="D1" s="251" t="s">
        <v>1249</v>
      </c>
      <c r="E1" s="252" t="s">
        <v>6</v>
      </c>
      <c r="F1" s="19" t="str">
        <f t="array" ref="F1">#REF!</f>
        <v>#REF!</v>
      </c>
      <c r="G1" s="19"/>
      <c r="H1" s="165" t="s">
        <v>20</v>
      </c>
      <c r="I1" s="253">
        <v>1.8</v>
      </c>
      <c r="J1" s="312"/>
      <c r="K1" s="10"/>
    </row>
    <row r="2">
      <c r="A2" s="278" t="str">
        <f t="shared" ref="A2:A15" si="1">RIGHT(C2,2)</f>
        <v>02</v>
      </c>
      <c r="B2" s="24">
        <v>1.0</v>
      </c>
      <c r="C2" s="26">
        <v>6602.0</v>
      </c>
      <c r="D2" s="24" t="s">
        <v>1532</v>
      </c>
      <c r="E2" s="259" t="str">
        <f>VLOOKUP(TEXT(A2,"#"),Main!$A$2:$C45,3,0)</f>
        <v>Pillar Cock</v>
      </c>
      <c r="F2" s="221">
        <v>2760.0</v>
      </c>
      <c r="G2" s="221">
        <v>2910.0</v>
      </c>
      <c r="H2" s="261">
        <f t="shared" ref="H2:H37" si="2">IFERROR(DIVIDE(MINUS(G2,F2),G2),)</f>
        <v>0.05154639175</v>
      </c>
      <c r="I2" s="263" t="str">
        <f>VLOOKUP(C2,'VINCENT 66'!$D$2:$E45,4,0)</f>
        <v>#REF!</v>
      </c>
      <c r="J2" s="314" t="str">
        <f t="shared" ref="J2:J37" si="3">G2/I2</f>
        <v>#REF!</v>
      </c>
      <c r="K2" s="278"/>
    </row>
    <row r="3">
      <c r="A3" s="278" t="str">
        <f t="shared" si="1"/>
        <v>03</v>
      </c>
      <c r="B3" s="24">
        <v>2.0</v>
      </c>
      <c r="C3" s="292" t="s">
        <v>1014</v>
      </c>
      <c r="D3" s="294" t="s">
        <v>1536</v>
      </c>
      <c r="E3" s="259" t="str">
        <f>VLOOKUP(TEXT(A3,"#"),Main!$A$2:$C45,3,0)</f>
        <v>Pillar Cock Tall Body</v>
      </c>
      <c r="F3" s="221">
        <v>5720.0</v>
      </c>
      <c r="G3" s="221">
        <v>6390.0</v>
      </c>
      <c r="H3" s="261">
        <f t="shared" si="2"/>
        <v>0.1048513302</v>
      </c>
      <c r="I3" s="263" t="str">
        <f>VLOOKUP(C3,'VINCENT 66'!$D$2:$E45,4,0)</f>
        <v>#REF!</v>
      </c>
      <c r="J3" s="314" t="str">
        <f t="shared" si="3"/>
        <v>#REF!</v>
      </c>
      <c r="K3" s="278"/>
    </row>
    <row r="4">
      <c r="A4" s="278" t="str">
        <f t="shared" si="1"/>
        <v>06</v>
      </c>
      <c r="B4" s="24">
        <v>3.0</v>
      </c>
      <c r="C4" s="37">
        <v>6606.0</v>
      </c>
      <c r="D4" s="40" t="s">
        <v>1539</v>
      </c>
      <c r="E4" s="259" t="str">
        <f>VLOOKUP(TEXT(A4,"#"),Main!$A$2:$C45,3,0)</f>
        <v>Bib Cock with Wall Flange</v>
      </c>
      <c r="F4" s="221">
        <v>2290.0</v>
      </c>
      <c r="G4" s="221">
        <v>2460.0</v>
      </c>
      <c r="H4" s="261">
        <f t="shared" si="2"/>
        <v>0.06910569106</v>
      </c>
      <c r="I4" s="263" t="str">
        <f>VLOOKUP(C4,'VINCENT 66'!$D$2:$E45,4,0)</f>
        <v>#REF!</v>
      </c>
      <c r="J4" s="314" t="str">
        <f t="shared" si="3"/>
        <v>#REF!</v>
      </c>
      <c r="K4" s="278"/>
    </row>
    <row r="5">
      <c r="A5" s="278" t="str">
        <f t="shared" si="1"/>
        <v>08</v>
      </c>
      <c r="B5" s="24">
        <v>4.0</v>
      </c>
      <c r="C5" s="37">
        <v>6608.0</v>
      </c>
      <c r="D5" s="40" t="s">
        <v>1541</v>
      </c>
      <c r="E5" s="259" t="str">
        <f>VLOOKUP(TEXT(A5,"#"),Main!$A$2:$C45,3,0)</f>
        <v>Bib Cock Long Body with Wall Flange</v>
      </c>
      <c r="F5" s="221">
        <v>2560.0</v>
      </c>
      <c r="G5" s="221">
        <v>2730.0</v>
      </c>
      <c r="H5" s="261">
        <f t="shared" si="2"/>
        <v>0.06227106227</v>
      </c>
      <c r="I5" s="263" t="str">
        <f>VLOOKUP(C5,'VINCENT 66'!$D$2:$E45,4,0)</f>
        <v>#REF!</v>
      </c>
      <c r="J5" s="314" t="str">
        <f t="shared" si="3"/>
        <v>#REF!</v>
      </c>
      <c r="K5" s="278"/>
    </row>
    <row r="6">
      <c r="A6" s="278" t="str">
        <f t="shared" si="1"/>
        <v>10</v>
      </c>
      <c r="B6" s="24">
        <v>5.0</v>
      </c>
      <c r="C6" s="37">
        <v>6610.0</v>
      </c>
      <c r="D6" s="40" t="s">
        <v>1545</v>
      </c>
      <c r="E6" s="259" t="str">
        <f>VLOOKUP(TEXT(A6,"#"),Main!$A$2:$C45,3,0)</f>
        <v>Angular Stop Cock with Wall Flange</v>
      </c>
      <c r="F6" s="221">
        <v>1760.0</v>
      </c>
      <c r="G6" s="221">
        <v>1760.0</v>
      </c>
      <c r="H6" s="261">
        <f t="shared" si="2"/>
        <v>0</v>
      </c>
      <c r="I6" s="263" t="str">
        <f>VLOOKUP(C6,'VINCENT 66'!$D$2:$E45,4,0)</f>
        <v>#REF!</v>
      </c>
      <c r="J6" s="314" t="str">
        <f t="shared" si="3"/>
        <v>#REF!</v>
      </c>
      <c r="K6" s="278"/>
    </row>
    <row r="7">
      <c r="A7" s="278" t="str">
        <f t="shared" si="1"/>
        <v>11</v>
      </c>
      <c r="B7" s="24">
        <v>6.0</v>
      </c>
      <c r="C7" s="37">
        <v>6611.0</v>
      </c>
      <c r="D7" s="40" t="s">
        <v>1547</v>
      </c>
      <c r="E7" s="259" t="str">
        <f>VLOOKUP(TEXT(A7,"#"),Main!$A$2:$C45,3,0)</f>
        <v>2-Way Angular Stop Cock with Wall Flange</v>
      </c>
      <c r="F7" s="221">
        <v>2780.0</v>
      </c>
      <c r="G7" s="221">
        <v>2930.0</v>
      </c>
      <c r="H7" s="261">
        <f t="shared" si="2"/>
        <v>0.05119453925</v>
      </c>
      <c r="I7" s="263" t="str">
        <f>VLOOKUP(C7,'VINCENT 66'!$D$2:$E45,4,0)</f>
        <v>#REF!</v>
      </c>
      <c r="J7" s="314" t="str">
        <f t="shared" si="3"/>
        <v>#REF!</v>
      </c>
      <c r="K7" s="278"/>
    </row>
    <row r="8">
      <c r="A8" s="278" t="str">
        <f t="shared" si="1"/>
        <v>12</v>
      </c>
      <c r="B8" s="24">
        <v>7.0</v>
      </c>
      <c r="C8" s="37">
        <v>6612.0</v>
      </c>
      <c r="D8" s="40" t="s">
        <v>1549</v>
      </c>
      <c r="E8" s="259" t="str">
        <f>VLOOKUP(TEXT(A8,"#"),Main!$A$2:$C45,3,0)</f>
        <v>2-Way Bib Cock Double Handle with Wall Flange</v>
      </c>
      <c r="F8" s="221">
        <v>3780.0</v>
      </c>
      <c r="G8" s="221">
        <v>3860.0</v>
      </c>
      <c r="H8" s="261">
        <f t="shared" si="2"/>
        <v>0.0207253886</v>
      </c>
      <c r="I8" s="263" t="str">
        <f>VLOOKUP(C8,'VINCENT 66'!$D$2:$E45,4,0)</f>
        <v>#REF!</v>
      </c>
      <c r="J8" s="314" t="str">
        <f t="shared" si="3"/>
        <v>#REF!</v>
      </c>
      <c r="K8" s="278"/>
    </row>
    <row r="9">
      <c r="A9" s="278" t="str">
        <f t="shared" si="1"/>
        <v>13</v>
      </c>
      <c r="B9" s="24">
        <v>8.0</v>
      </c>
      <c r="C9" s="40">
        <v>6613.0</v>
      </c>
      <c r="D9" s="40" t="s">
        <v>1551</v>
      </c>
      <c r="E9" s="259" t="str">
        <f>VLOOKUP(TEXT(A9,"#"),Main!$A$2:$C45,3,0)</f>
        <v>2-Way Bib Cock Single Handle with Wall Flange</v>
      </c>
      <c r="F9" s="221">
        <v>3380.0</v>
      </c>
      <c r="G9" s="221">
        <v>3490.0</v>
      </c>
      <c r="H9" s="261">
        <f t="shared" si="2"/>
        <v>0.03151862464</v>
      </c>
      <c r="I9" s="263" t="str">
        <f>VLOOKUP(C9,'VINCENT 66'!$D$2:$E45,4,0)</f>
        <v>#REF!</v>
      </c>
      <c r="J9" s="314" t="str">
        <f t="shared" si="3"/>
        <v>#REF!</v>
      </c>
      <c r="K9" s="278"/>
    </row>
    <row r="10">
      <c r="A10" s="278" t="str">
        <f t="shared" si="1"/>
        <v>14</v>
      </c>
      <c r="B10" s="24">
        <v>9.0</v>
      </c>
      <c r="C10" s="37">
        <v>6614.0</v>
      </c>
      <c r="D10" s="40" t="s">
        <v>1553</v>
      </c>
      <c r="E10" s="259" t="str">
        <f>VLOOKUP(TEXT(A10,"#"),Main!$A$2:$C45,3,0)</f>
        <v>Swan Neck Table Mounted</v>
      </c>
      <c r="F10" s="221">
        <v>3540.0</v>
      </c>
      <c r="G10" s="221">
        <v>3830.0</v>
      </c>
      <c r="H10" s="261">
        <f t="shared" si="2"/>
        <v>0.07571801567</v>
      </c>
      <c r="I10" s="263" t="str">
        <f>VLOOKUP(C10,'VINCENT 66'!$D$2:$E45,4,0)</f>
        <v>#REF!</v>
      </c>
      <c r="J10" s="314" t="str">
        <f t="shared" si="3"/>
        <v>#REF!</v>
      </c>
      <c r="K10" s="278"/>
    </row>
    <row r="11">
      <c r="A11" s="278" t="str">
        <f t="shared" si="1"/>
        <v>16</v>
      </c>
      <c r="B11" s="24">
        <v>10.0</v>
      </c>
      <c r="C11" s="37">
        <v>6616.0</v>
      </c>
      <c r="D11" s="40" t="s">
        <v>1555</v>
      </c>
      <c r="E11" s="259" t="str">
        <f>VLOOKUP(TEXT(A11,"#"),Main!$A$2:$C45,3,0)</f>
        <v>Sink Cock Wall Mounted with Flange</v>
      </c>
      <c r="F11" s="221">
        <v>3090.0</v>
      </c>
      <c r="G11" s="221">
        <v>3290.0</v>
      </c>
      <c r="H11" s="261">
        <f t="shared" si="2"/>
        <v>0.06079027356</v>
      </c>
      <c r="I11" s="263" t="str">
        <f>VLOOKUP(C11,'VINCENT 66'!$D$2:$E45,4,0)</f>
        <v>#REF!</v>
      </c>
      <c r="J11" s="314" t="str">
        <f t="shared" si="3"/>
        <v>#REF!</v>
      </c>
      <c r="K11" s="278"/>
    </row>
    <row r="12">
      <c r="A12" s="278" t="str">
        <f t="shared" si="1"/>
        <v>18</v>
      </c>
      <c r="B12" s="24">
        <v>11.0</v>
      </c>
      <c r="C12" s="37">
        <v>6618.0</v>
      </c>
      <c r="D12" s="40" t="s">
        <v>1557</v>
      </c>
      <c r="E12" s="259" t="str">
        <f>VLOOKUP(TEXT(A12,"#"),Main!$A$2:$C45,3,0)</f>
        <v>Concealed Stop Cock 15mm with Wall Flange</v>
      </c>
      <c r="F12" s="221">
        <v>2180.0</v>
      </c>
      <c r="G12" s="221">
        <v>2360.0</v>
      </c>
      <c r="H12" s="261">
        <f t="shared" si="2"/>
        <v>0.07627118644</v>
      </c>
      <c r="I12" s="263" t="str">
        <f>VLOOKUP(C12,'VINCENT 66'!$D$2:$E45,4,0)</f>
        <v>#REF!</v>
      </c>
      <c r="J12" s="314" t="str">
        <f t="shared" si="3"/>
        <v>#REF!</v>
      </c>
      <c r="K12" s="278"/>
    </row>
    <row r="13">
      <c r="A13" s="278" t="str">
        <f t="shared" si="1"/>
        <v>20</v>
      </c>
      <c r="B13" s="24">
        <v>12.0</v>
      </c>
      <c r="C13" s="37">
        <v>6620.0</v>
      </c>
      <c r="D13" s="40" t="s">
        <v>1559</v>
      </c>
      <c r="E13" s="259" t="str">
        <f>VLOOKUP(TEXT(A13,"#"),Main!$A$2:$C45,3,0)</f>
        <v>Concealed Stop Cock 20mm with Wall Flange</v>
      </c>
      <c r="F13" s="221">
        <v>2240.0</v>
      </c>
      <c r="G13" s="221">
        <v>2460.0</v>
      </c>
      <c r="H13" s="261">
        <f t="shared" si="2"/>
        <v>0.08943089431</v>
      </c>
      <c r="I13" s="263" t="str">
        <f>VLOOKUP(C13,'VINCENT 66'!$D$2:$E45,4,0)</f>
        <v>#REF!</v>
      </c>
      <c r="J13" s="314" t="str">
        <f t="shared" si="3"/>
        <v>#REF!</v>
      </c>
      <c r="K13" s="278"/>
    </row>
    <row r="14">
      <c r="A14" s="278" t="str">
        <f t="shared" si="1"/>
        <v>51</v>
      </c>
      <c r="B14" s="24">
        <v>13.0</v>
      </c>
      <c r="C14" s="296">
        <v>6651.0</v>
      </c>
      <c r="D14" s="40" t="s">
        <v>1561</v>
      </c>
      <c r="E14" s="259" t="str">
        <f>VLOOKUP(TEXT(A14,"#"),Main!$A$2:$C45,3,0)</f>
        <v>Single Lever Basin Mixer without Popup Waste System</v>
      </c>
      <c r="F14" s="221">
        <v>6320.0</v>
      </c>
      <c r="G14" s="221">
        <v>6630.0</v>
      </c>
      <c r="H14" s="261">
        <f t="shared" si="2"/>
        <v>0.0467571644</v>
      </c>
      <c r="I14" s="263" t="str">
        <f>VLOOKUP(C14,'VINCENT 66'!$D$2:$E45,4,0)</f>
        <v>#REF!</v>
      </c>
      <c r="J14" s="314" t="str">
        <f t="shared" si="3"/>
        <v>#REF!</v>
      </c>
      <c r="K14" s="278"/>
    </row>
    <row r="15">
      <c r="A15" s="278" t="str">
        <f t="shared" si="1"/>
        <v>54</v>
      </c>
      <c r="B15" s="284">
        <v>14.0</v>
      </c>
      <c r="C15" s="296">
        <v>6654.0</v>
      </c>
      <c r="D15" s="40" t="s">
        <v>1563</v>
      </c>
      <c r="E15" s="259" t="str">
        <f>VLOOKUP(TEXT(A15,"#"),Main!$A$2:$C45,3,0)</f>
        <v>Single Lever Basin Mixer Wall Mount (Concealed)</v>
      </c>
      <c r="F15" s="221">
        <v>8400.0</v>
      </c>
      <c r="G15" s="221" t="str">
        <f>G16+G17</f>
        <v>#REF!</v>
      </c>
      <c r="H15" s="261" t="str">
        <f t="shared" si="2"/>
        <v/>
      </c>
      <c r="I15" s="263" t="str">
        <f>VLOOKUP(C15,'VINCENT 66'!$D$2:$E45,4,0)</f>
        <v>#REF!</v>
      </c>
      <c r="J15" s="314" t="str">
        <f t="shared" si="3"/>
        <v>#REF!</v>
      </c>
      <c r="K15" s="278"/>
    </row>
    <row r="16">
      <c r="A16" s="269" t="s">
        <v>154</v>
      </c>
      <c r="B16" s="120"/>
      <c r="C16" s="40" t="s">
        <v>154</v>
      </c>
      <c r="D16" s="40" t="s">
        <v>154</v>
      </c>
      <c r="E16" s="259" t="str">
        <f>VLOOKUP(TEXT(A16,"#"),Main!$A$2:$C45,3,0)</f>
        <v>Single Lever Basin Mixer Wall Mount (Body, Cartridge, Sleeve &amp; Nipple)</v>
      </c>
      <c r="F16" s="221">
        <v>3980.0</v>
      </c>
      <c r="G16" s="268" t="str">
        <f>VLOOKUP(C16,'VINCENT 66'!$D$2:$E45,4,0)</f>
        <v>#REF!</v>
      </c>
      <c r="H16" s="261" t="str">
        <f t="shared" si="2"/>
        <v/>
      </c>
      <c r="I16" s="263" t="str">
        <f>VLOOKUP(C16,'VINCENT 66'!$D$2:$E45,4,0)</f>
        <v>#REF!</v>
      </c>
      <c r="J16" s="314" t="str">
        <f t="shared" si="3"/>
        <v>#REF!</v>
      </c>
      <c r="K16" s="278"/>
    </row>
    <row r="17">
      <c r="A17" s="269" t="s">
        <v>159</v>
      </c>
      <c r="B17" s="145"/>
      <c r="C17" s="40" t="s">
        <v>1022</v>
      </c>
      <c r="D17" s="40" t="s">
        <v>1567</v>
      </c>
      <c r="E17" s="259" t="str">
        <f>VLOOKUP(TEXT(A17,"#"),Main!$A$2:$C45,3,0)</f>
        <v>Exposed Parts (Wall Flange, Handle &amp; Spout)</v>
      </c>
      <c r="F17" s="221">
        <v>4420.0</v>
      </c>
      <c r="G17" s="221">
        <v>4420.0</v>
      </c>
      <c r="H17" s="261">
        <f t="shared" si="2"/>
        <v>0</v>
      </c>
      <c r="I17" s="263" t="str">
        <f>VLOOKUP(C17,'VINCENT 66'!$D$2:$E45,4,0)</f>
        <v>#REF!</v>
      </c>
      <c r="J17" s="314" t="str">
        <f t="shared" si="3"/>
        <v>#REF!</v>
      </c>
      <c r="K17" s="278"/>
    </row>
    <row r="18">
      <c r="A18" s="278" t="str">
        <f t="shared" ref="A18:A20" si="4">RIGHT(C18,2)</f>
        <v>55</v>
      </c>
      <c r="B18" s="24">
        <v>15.0</v>
      </c>
      <c r="C18" s="40">
        <v>6655.0</v>
      </c>
      <c r="D18" s="40" t="s">
        <v>1569</v>
      </c>
      <c r="E18" s="259" t="str">
        <f>VLOOKUP(TEXT(A18,"#"),Main!$A$2:$C45,3,0)</f>
        <v>Sink Mixer with Regular Spout Wall Mounted with Flange</v>
      </c>
      <c r="F18" s="221">
        <v>6320.0</v>
      </c>
      <c r="G18" s="221">
        <v>6790.0</v>
      </c>
      <c r="H18" s="261">
        <f t="shared" si="2"/>
        <v>0.06921944035</v>
      </c>
      <c r="I18" s="263" t="str">
        <f>VLOOKUP(C18,'VINCENT 66'!$D$2:$E45,4,0)</f>
        <v>#REF!</v>
      </c>
      <c r="J18" s="314" t="str">
        <f t="shared" si="3"/>
        <v>#REF!</v>
      </c>
      <c r="K18" s="278"/>
    </row>
    <row r="19">
      <c r="A19" s="278" t="str">
        <f t="shared" si="4"/>
        <v>75</v>
      </c>
      <c r="B19" s="24">
        <v>16.0</v>
      </c>
      <c r="C19" s="40">
        <v>6675.0</v>
      </c>
      <c r="D19" s="40" t="s">
        <v>1571</v>
      </c>
      <c r="E19" s="259" t="str">
        <f>VLOOKUP(TEXT(A19,"#"),Main!$A$2:$C45,3,0)</f>
        <v>Wall Mixer "L" Bend with Wall Flange (Provision For Over Head Shower)</v>
      </c>
      <c r="F19" s="221">
        <v>9980.0</v>
      </c>
      <c r="G19" s="221">
        <v>10490.0</v>
      </c>
      <c r="H19" s="261">
        <f t="shared" si="2"/>
        <v>0.04861773117</v>
      </c>
      <c r="I19" s="263" t="str">
        <f>VLOOKUP(C19,'VINCENT 66'!$D$2:$E45,4,0)</f>
        <v>#REF!</v>
      </c>
      <c r="J19" s="314" t="str">
        <f t="shared" si="3"/>
        <v>#REF!</v>
      </c>
      <c r="K19" s="278"/>
    </row>
    <row r="20">
      <c r="A20" s="278" t="str">
        <f t="shared" si="4"/>
        <v>80</v>
      </c>
      <c r="B20" s="24">
        <v>17.0</v>
      </c>
      <c r="C20" s="40">
        <v>6680.0</v>
      </c>
      <c r="D20" s="40" t="s">
        <v>1574</v>
      </c>
      <c r="E20" s="259" t="str">
        <f>VLOOKUP(TEXT(A20,"#"),Main!$A$2:$C45,3,0)</f>
        <v>Wall Mixer 3 In 1 with Wall Flange (Provision For Over Head Shower &amp; Hand Shower)</v>
      </c>
      <c r="F20" s="221">
        <v>11120.0</v>
      </c>
      <c r="G20" s="221">
        <v>11790.0</v>
      </c>
      <c r="H20" s="261">
        <f t="shared" si="2"/>
        <v>0.05682782019</v>
      </c>
      <c r="I20" s="263" t="str">
        <f>VLOOKUP(C20,'VINCENT 66'!$D$2:$E45,4,0)</f>
        <v>#REF!</v>
      </c>
      <c r="J20" s="314" t="str">
        <f t="shared" si="3"/>
        <v>#REF!</v>
      </c>
      <c r="K20" s="278"/>
    </row>
    <row r="21">
      <c r="A21" s="280" t="s">
        <v>209</v>
      </c>
      <c r="B21" s="284">
        <v>18.0</v>
      </c>
      <c r="C21" s="283" t="s">
        <v>1031</v>
      </c>
      <c r="D21" s="218" t="s">
        <v>1576</v>
      </c>
      <c r="E21" s="259" t="str">
        <f>VLOOKUP(TEXT(A21,"#"),Main!$A$2:$C45,3,0)</f>
        <v>Single Lever Concealed Diverter Bath &amp; Shower 40mm</v>
      </c>
      <c r="F21" s="221">
        <v>6470.0</v>
      </c>
      <c r="G21" s="221" t="str">
        <f>G22+G23</f>
        <v>#REF!</v>
      </c>
      <c r="H21" s="261" t="str">
        <f t="shared" si="2"/>
        <v/>
      </c>
      <c r="I21" s="263" t="str">
        <f>VLOOKUP(C21,'VINCENT 66'!$D$2:$E45,4,0)</f>
        <v>#REF!</v>
      </c>
      <c r="J21" s="314" t="str">
        <f t="shared" si="3"/>
        <v>#REF!</v>
      </c>
      <c r="K21" s="278"/>
    </row>
    <row r="22">
      <c r="A22" s="269" t="s">
        <v>212</v>
      </c>
      <c r="B22" s="120"/>
      <c r="C22" s="257" t="s">
        <v>212</v>
      </c>
      <c r="D22" s="257" t="s">
        <v>212</v>
      </c>
      <c r="E22" s="259" t="str">
        <f>VLOOKUP(TEXT(A22,"#"),Main!$A$2:$C45,3,0)</f>
        <v>Concealed Diverter Body 40mm (Cartridge, Sleeve, Tipton Assembly)</v>
      </c>
      <c r="F22" s="221">
        <v>3140.0</v>
      </c>
      <c r="G22" s="268" t="str">
        <f>VLOOKUP(C22,'VINCENT 66'!$D$2:$E45,4,0)</f>
        <v>#REF!</v>
      </c>
      <c r="H22" s="261" t="str">
        <f t="shared" si="2"/>
        <v/>
      </c>
      <c r="I22" s="263" t="str">
        <f>VLOOKUP(C22,'VINCENT 66'!$D$2:$E45,4,0)</f>
        <v>#REF!</v>
      </c>
      <c r="J22" s="314" t="str">
        <f t="shared" si="3"/>
        <v>#REF!</v>
      </c>
      <c r="K22" s="278"/>
    </row>
    <row r="23">
      <c r="A23" s="269" t="s">
        <v>216</v>
      </c>
      <c r="B23" s="145"/>
      <c r="C23" s="257" t="s">
        <v>1032</v>
      </c>
      <c r="D23" s="233" t="s">
        <v>1579</v>
      </c>
      <c r="E23" s="259" t="str">
        <f>VLOOKUP(TEXT(A23,"#"),Main!$A$2:$C45,3,0)</f>
        <v>Exposed Parts (Wall Flange &amp; Handle)</v>
      </c>
      <c r="F23" s="221">
        <v>3330.0</v>
      </c>
      <c r="G23" s="221">
        <v>3270.0</v>
      </c>
      <c r="H23" s="261">
        <f t="shared" si="2"/>
        <v>-0.01834862385</v>
      </c>
      <c r="I23" s="263" t="str">
        <f>VLOOKUP(C23,'VINCENT 66'!$D$2:$E45,4,0)</f>
        <v>#REF!</v>
      </c>
      <c r="J23" s="314" t="str">
        <f t="shared" si="3"/>
        <v>#REF!</v>
      </c>
      <c r="K23" s="278"/>
    </row>
    <row r="24">
      <c r="A24" s="280" t="s">
        <v>219</v>
      </c>
      <c r="B24" s="284">
        <v>19.0</v>
      </c>
      <c r="C24" s="257" t="s">
        <v>1034</v>
      </c>
      <c r="D24" s="233" t="s">
        <v>1580</v>
      </c>
      <c r="E24" s="259" t="str">
        <f>VLOOKUP(TEXT(A24,"#"),Main!$A$2:$C45,3,0)</f>
        <v>Single Lever High Flow Concealed Diverter Bath &amp; Shower 46mm</v>
      </c>
      <c r="F24" s="221">
        <v>7320.0</v>
      </c>
      <c r="G24" s="221" t="str">
        <f>G25+G26</f>
        <v>#REF!</v>
      </c>
      <c r="H24" s="261" t="str">
        <f t="shared" si="2"/>
        <v/>
      </c>
      <c r="I24" s="263" t="str">
        <f>VLOOKUP(C24,'VINCENT 66'!$D$2:$E45,4,0)</f>
        <v>#REF!</v>
      </c>
      <c r="J24" s="314" t="str">
        <f t="shared" si="3"/>
        <v>#REF!</v>
      </c>
      <c r="K24" s="278"/>
    </row>
    <row r="25">
      <c r="A25" s="269" t="s">
        <v>223</v>
      </c>
      <c r="B25" s="120"/>
      <c r="C25" s="262" t="s">
        <v>223</v>
      </c>
      <c r="D25" s="262" t="s">
        <v>223</v>
      </c>
      <c r="E25" s="259" t="str">
        <f>VLOOKUP(TEXT(A25,"#"),Main!$A$2:$C45,3,0)</f>
        <v>High Flow Concealed Diverter Body 46mm (Cartridge, Sleeve, Tipton Assembly)</v>
      </c>
      <c r="F25" s="221">
        <v>3990.0</v>
      </c>
      <c r="G25" s="268" t="str">
        <f>VLOOKUP(C25,'VINCENT 66'!$D$2:$E45,4,0)</f>
        <v>#REF!</v>
      </c>
      <c r="H25" s="261" t="str">
        <f t="shared" si="2"/>
        <v/>
      </c>
      <c r="I25" s="263" t="str">
        <f>VLOOKUP(C25,'VINCENT 66'!$D$2:$E45,4,0)</f>
        <v>#REF!</v>
      </c>
      <c r="J25" s="314" t="str">
        <f t="shared" si="3"/>
        <v>#REF!</v>
      </c>
      <c r="K25" s="278"/>
    </row>
    <row r="26">
      <c r="A26" s="269" t="s">
        <v>226</v>
      </c>
      <c r="B26" s="145"/>
      <c r="C26" s="257" t="s">
        <v>1036</v>
      </c>
      <c r="D26" s="233" t="s">
        <v>1582</v>
      </c>
      <c r="E26" s="259" t="str">
        <f>VLOOKUP(TEXT(A26,"#"),Main!$A$2:$C45,3,0)</f>
        <v>Exposed Parts (Wall Flange &amp; Handle)</v>
      </c>
      <c r="F26" s="221">
        <v>3330.0</v>
      </c>
      <c r="G26" s="221">
        <v>3270.0</v>
      </c>
      <c r="H26" s="261">
        <f t="shared" si="2"/>
        <v>-0.01834862385</v>
      </c>
      <c r="I26" s="263" t="str">
        <f>VLOOKUP(C26,'VINCENT 66'!$D$2:$E45,4,0)</f>
        <v>#REF!</v>
      </c>
      <c r="J26" s="314" t="str">
        <f t="shared" si="3"/>
        <v>#REF!</v>
      </c>
      <c r="K26" s="278"/>
    </row>
    <row r="27">
      <c r="A27" s="269" t="s">
        <v>228</v>
      </c>
      <c r="B27" s="284">
        <v>20.0</v>
      </c>
      <c r="C27" s="257" t="s">
        <v>1037</v>
      </c>
      <c r="D27" s="233" t="s">
        <v>1583</v>
      </c>
      <c r="E27" s="259" t="str">
        <f>VLOOKUP(TEXT(A27,"#"),Main!$A$2:$C45,3,0)</f>
        <v>Single Lever High Flow Concealed Diverter Bath &amp; Shower 46mm (ON-OFF)</v>
      </c>
      <c r="F27" s="221">
        <v>7320.0</v>
      </c>
      <c r="G27" s="221" t="str">
        <f>G28+G29</f>
        <v>#REF!</v>
      </c>
      <c r="H27" s="261" t="str">
        <f t="shared" si="2"/>
        <v/>
      </c>
      <c r="I27" s="263" t="str">
        <f>VLOOKUP(C27,'VINCENT 66'!$D$2:$E45,4,0)</f>
        <v>#REF!</v>
      </c>
      <c r="J27" s="314" t="str">
        <f t="shared" si="3"/>
        <v>#REF!</v>
      </c>
      <c r="K27" s="278"/>
    </row>
    <row r="28">
      <c r="A28" s="269" t="s">
        <v>234</v>
      </c>
      <c r="B28" s="120"/>
      <c r="C28" s="257" t="s">
        <v>234</v>
      </c>
      <c r="D28" s="257" t="s">
        <v>234</v>
      </c>
      <c r="E28" s="259" t="str">
        <f>VLOOKUP(TEXT(A28,"#"),Main!$A$2:$C45,3,0)</f>
        <v>High Flow Concealed Diverter Body 46mm (Cartridge, Sleeve, On-Off Assembly)</v>
      </c>
      <c r="F28" s="221">
        <v>3990.0</v>
      </c>
      <c r="G28" s="268" t="str">
        <f>VLOOKUP(C28,'VINCENT 66'!$D$2:$E45,4,0)</f>
        <v>#REF!</v>
      </c>
      <c r="H28" s="261" t="str">
        <f t="shared" si="2"/>
        <v/>
      </c>
      <c r="I28" s="263" t="str">
        <f>VLOOKUP(C28,'VINCENT 66'!$D$2:$E45,4,0)</f>
        <v>#REF!</v>
      </c>
      <c r="J28" s="314" t="str">
        <f t="shared" si="3"/>
        <v>#REF!</v>
      </c>
      <c r="K28" s="278"/>
    </row>
    <row r="29">
      <c r="A29" s="269" t="s">
        <v>237</v>
      </c>
      <c r="B29" s="145"/>
      <c r="C29" s="257" t="s">
        <v>1039</v>
      </c>
      <c r="D29" s="233" t="s">
        <v>1585</v>
      </c>
      <c r="E29" s="259" t="str">
        <f>VLOOKUP(TEXT(A29,"#"),Main!$A$2:$C45,3,0)</f>
        <v>Exposed Parts (Wall Flange &amp; Handle)</v>
      </c>
      <c r="F29" s="221">
        <v>3330.0</v>
      </c>
      <c r="G29" s="221">
        <v>3270.0</v>
      </c>
      <c r="H29" s="261">
        <f t="shared" si="2"/>
        <v>-0.01834862385</v>
      </c>
      <c r="I29" s="263" t="str">
        <f>VLOOKUP(C29,'VINCENT 66'!$D$2:$E45,4,0)</f>
        <v>#REF!</v>
      </c>
      <c r="J29" s="314" t="str">
        <f t="shared" si="3"/>
        <v>#REF!</v>
      </c>
      <c r="K29" s="278"/>
    </row>
    <row r="30">
      <c r="A30" s="280" t="s">
        <v>239</v>
      </c>
      <c r="B30" s="284">
        <v>21.0</v>
      </c>
      <c r="C30" s="257" t="s">
        <v>1041</v>
      </c>
      <c r="D30" s="233" t="s">
        <v>1587</v>
      </c>
      <c r="E30" s="259" t="str">
        <f>VLOOKUP(TEXT(A30,"#"),Main!$A$2:$C45,3,0)</f>
        <v>Single Lever 3 In Let Concealed Diverter Bath &amp; Shower 46mm</v>
      </c>
      <c r="F30" s="221">
        <v>7320.0</v>
      </c>
      <c r="G30" s="221" t="str">
        <f>G31+G32</f>
        <v>#REF!</v>
      </c>
      <c r="H30" s="261" t="str">
        <f t="shared" si="2"/>
        <v/>
      </c>
      <c r="I30" s="263" t="str">
        <f>VLOOKUP(C30,'VINCENT 66'!$D$2:$E45,4,0)</f>
        <v>#REF!</v>
      </c>
      <c r="J30" s="314" t="str">
        <f t="shared" si="3"/>
        <v>#REF!</v>
      </c>
      <c r="K30" s="278"/>
    </row>
    <row r="31">
      <c r="A31" s="269" t="s">
        <v>243</v>
      </c>
      <c r="B31" s="120"/>
      <c r="C31" s="262" t="s">
        <v>243</v>
      </c>
      <c r="D31" s="262" t="s">
        <v>243</v>
      </c>
      <c r="E31" s="259" t="str">
        <f>VLOOKUP(TEXT(A31,"#"),Main!$A$2:$C45,3,0)</f>
        <v>3 In Let Concealed Diverter Body 46mm (Cartridge, Sleeve, Tipton Assembly)</v>
      </c>
      <c r="F31" s="221">
        <v>3990.0</v>
      </c>
      <c r="G31" s="268" t="str">
        <f>VLOOKUP(C31,'VINCENT 66'!$D$2:$E45,4,0)</f>
        <v>#REF!</v>
      </c>
      <c r="H31" s="261" t="str">
        <f t="shared" si="2"/>
        <v/>
      </c>
      <c r="I31" s="263" t="str">
        <f>VLOOKUP(C31,'VINCENT 66'!$D$2:$E45,4,0)</f>
        <v>#REF!</v>
      </c>
      <c r="J31" s="314" t="str">
        <f t="shared" si="3"/>
        <v>#REF!</v>
      </c>
      <c r="K31" s="278"/>
    </row>
    <row r="32">
      <c r="A32" s="269" t="s">
        <v>247</v>
      </c>
      <c r="B32" s="145"/>
      <c r="C32" s="257" t="s">
        <v>1043</v>
      </c>
      <c r="D32" s="233" t="s">
        <v>1591</v>
      </c>
      <c r="E32" s="259" t="str">
        <f>VLOOKUP(TEXT(A32,"#"),Main!$A$2:$C45,3,0)</f>
        <v>Exposed Parts (Wall Flange &amp; Handle)</v>
      </c>
      <c r="F32" s="221">
        <v>3330.0</v>
      </c>
      <c r="G32" s="221">
        <v>3270.0</v>
      </c>
      <c r="H32" s="261">
        <f t="shared" si="2"/>
        <v>-0.01834862385</v>
      </c>
      <c r="I32" s="263" t="str">
        <f>VLOOKUP(C32,'VINCENT 66'!$D$2:$E45,4,0)</f>
        <v>#REF!</v>
      </c>
      <c r="J32" s="314" t="str">
        <f t="shared" si="3"/>
        <v>#REF!</v>
      </c>
      <c r="K32" s="278"/>
    </row>
    <row r="33">
      <c r="A33" s="269" t="s">
        <v>249</v>
      </c>
      <c r="B33" s="284">
        <v>22.0</v>
      </c>
      <c r="C33" s="257" t="s">
        <v>1044</v>
      </c>
      <c r="D33" s="233" t="s">
        <v>1594</v>
      </c>
      <c r="E33" s="259" t="str">
        <f>VLOOKUP(TEXT(A33,"#"),Main!$A$2:$C45,3,0)</f>
        <v>Single Lever 3 In Let Concealed Diverter Bath &amp; Shower 46mm (ON-OFF)</v>
      </c>
      <c r="F33" s="221">
        <v>7320.0</v>
      </c>
      <c r="G33" s="221" t="str">
        <f>G34+G35</f>
        <v>#REF!</v>
      </c>
      <c r="H33" s="261" t="str">
        <f t="shared" si="2"/>
        <v/>
      </c>
      <c r="I33" s="263" t="str">
        <f>VLOOKUP(C33,'VINCENT 66'!$D$2:$E45,4,0)</f>
        <v>#REF!</v>
      </c>
      <c r="J33" s="314" t="str">
        <f t="shared" si="3"/>
        <v>#REF!</v>
      </c>
      <c r="K33" s="278"/>
    </row>
    <row r="34">
      <c r="A34" s="269" t="s">
        <v>253</v>
      </c>
      <c r="B34" s="120"/>
      <c r="C34" s="257" t="s">
        <v>253</v>
      </c>
      <c r="D34" s="257" t="s">
        <v>253</v>
      </c>
      <c r="E34" s="259" t="str">
        <f>VLOOKUP(TEXT(A34,"#"),Main!$A$2:$C45,3,0)</f>
        <v>3 In Let Concealed Diverter Body 46mm (Cartridge, Sleeve, On-Off Assembly)</v>
      </c>
      <c r="F34" s="221">
        <v>3990.0</v>
      </c>
      <c r="G34" s="268" t="str">
        <f>VLOOKUP(C34,'VINCENT 66'!$D$2:$E45,4,0)</f>
        <v>#REF!</v>
      </c>
      <c r="H34" s="261" t="str">
        <f t="shared" si="2"/>
        <v/>
      </c>
      <c r="I34" s="263" t="str">
        <f>VLOOKUP(C34,'VINCENT 66'!$D$2:$E45,4,0)</f>
        <v>#REF!</v>
      </c>
      <c r="J34" s="314" t="str">
        <f t="shared" si="3"/>
        <v>#REF!</v>
      </c>
      <c r="K34" s="278"/>
    </row>
    <row r="35">
      <c r="A35" s="269" t="s">
        <v>258</v>
      </c>
      <c r="B35" s="145"/>
      <c r="C35" s="257" t="s">
        <v>1046</v>
      </c>
      <c r="D35" s="233" t="s">
        <v>1598</v>
      </c>
      <c r="E35" s="259" t="str">
        <f>VLOOKUP(TEXT(A35,"#"),Main!$A$2:$C45,3,0)</f>
        <v>Exposed Parts (Wall Flange &amp; Handle)</v>
      </c>
      <c r="F35" s="221">
        <v>3330.0</v>
      </c>
      <c r="G35" s="221">
        <v>3270.0</v>
      </c>
      <c r="H35" s="261">
        <f t="shared" si="2"/>
        <v>-0.01834862385</v>
      </c>
      <c r="I35" s="263" t="str">
        <f>VLOOKUP(C35,'VINCENT 66'!$D$2:$E45,4,0)</f>
        <v>#REF!</v>
      </c>
      <c r="J35" s="314" t="str">
        <f t="shared" si="3"/>
        <v>#REF!</v>
      </c>
      <c r="K35" s="278"/>
    </row>
    <row r="36">
      <c r="A36" s="278" t="str">
        <f t="shared" ref="A36:A37" si="5">RIGHT(C36,2)</f>
        <v>95</v>
      </c>
      <c r="B36" s="24">
        <v>23.0</v>
      </c>
      <c r="C36" s="257">
        <v>6695.0</v>
      </c>
      <c r="D36" s="40" t="s">
        <v>1599</v>
      </c>
      <c r="E36" s="259" t="str">
        <f>VLOOKUP(TEXT(A36,"#"),Main!$A$2:$C45,3,0)</f>
        <v>Bath Tub Spout with Flange</v>
      </c>
      <c r="F36" s="221">
        <v>1980.0</v>
      </c>
      <c r="G36" s="221">
        <v>2190.0</v>
      </c>
      <c r="H36" s="261">
        <f t="shared" si="2"/>
        <v>0.09589041096</v>
      </c>
      <c r="I36" s="263" t="str">
        <f>VLOOKUP(C36,'VINCENT 66'!$D$2:$E45,4,0)</f>
        <v>#REF!</v>
      </c>
      <c r="J36" s="314" t="str">
        <f t="shared" si="3"/>
        <v>#REF!</v>
      </c>
      <c r="K36" s="278"/>
    </row>
    <row r="37">
      <c r="A37" s="278" t="str">
        <f t="shared" si="5"/>
        <v>96</v>
      </c>
      <c r="B37" s="24">
        <v>24.0</v>
      </c>
      <c r="C37" s="262">
        <v>6696.0</v>
      </c>
      <c r="D37" s="40" t="s">
        <v>1602</v>
      </c>
      <c r="E37" s="259" t="str">
        <f>VLOOKUP(TEXT(A37,"#"),Main!$A$2:$C45,3,0)</f>
        <v>Bath Tub Spout Tip Ton with Flange</v>
      </c>
      <c r="F37" s="221">
        <v>3110.0</v>
      </c>
      <c r="G37" s="221">
        <v>3310.0</v>
      </c>
      <c r="H37" s="261">
        <f t="shared" si="2"/>
        <v>0.06042296073</v>
      </c>
      <c r="I37" s="263" t="str">
        <f>VLOOKUP(C37,'VINCENT 66'!$D$2:$E45,4,0)</f>
        <v>#REF!</v>
      </c>
      <c r="J37" s="314" t="str">
        <f t="shared" si="3"/>
        <v>#REF!</v>
      </c>
      <c r="K37" s="278"/>
    </row>
    <row r="38">
      <c r="A38" s="278"/>
      <c r="B38" s="297"/>
      <c r="C38" s="297"/>
      <c r="D38" s="297"/>
      <c r="E38" s="295"/>
      <c r="F38" s="56"/>
      <c r="G38" s="56"/>
      <c r="H38" s="56"/>
      <c r="I38" s="318"/>
      <c r="J38" s="314"/>
      <c r="K38" s="278"/>
    </row>
    <row r="39">
      <c r="A39" s="278"/>
      <c r="B39" s="297"/>
      <c r="C39" s="297"/>
      <c r="D39" s="297"/>
      <c r="E39" s="295"/>
      <c r="F39" s="56"/>
      <c r="G39" s="56"/>
      <c r="H39" s="56"/>
      <c r="I39" s="318"/>
      <c r="J39" s="314"/>
      <c r="K39" s="278"/>
    </row>
    <row r="40">
      <c r="A40" s="278"/>
      <c r="B40" s="297"/>
      <c r="C40" s="297"/>
      <c r="D40" s="297"/>
      <c r="E40" s="295"/>
      <c r="F40" s="56"/>
      <c r="G40" s="56"/>
      <c r="H40" s="56"/>
      <c r="I40" s="318"/>
      <c r="J40" s="314"/>
      <c r="K40" s="278"/>
    </row>
    <row r="41">
      <c r="A41" s="278"/>
      <c r="B41" s="297"/>
      <c r="C41" s="297"/>
      <c r="D41" s="297"/>
      <c r="E41" s="295"/>
      <c r="F41" s="56"/>
      <c r="G41" s="56"/>
      <c r="H41" s="56"/>
      <c r="I41" s="318"/>
      <c r="J41" s="314"/>
      <c r="K41" s="278"/>
    </row>
    <row r="42">
      <c r="A42" s="278"/>
      <c r="B42" s="297"/>
      <c r="C42" s="297"/>
      <c r="D42" s="297"/>
      <c r="E42" s="295"/>
      <c r="F42" s="56"/>
      <c r="G42" s="56"/>
      <c r="H42" s="56"/>
      <c r="I42" s="318"/>
      <c r="J42" s="314"/>
      <c r="K42" s="278"/>
    </row>
    <row r="43">
      <c r="A43" s="278"/>
      <c r="B43" s="297"/>
      <c r="C43" s="297"/>
      <c r="D43" s="297"/>
      <c r="E43" s="295"/>
      <c r="F43" s="56"/>
      <c r="G43" s="56"/>
      <c r="H43" s="56"/>
      <c r="I43" s="318"/>
      <c r="J43" s="314"/>
      <c r="K43" s="278"/>
    </row>
    <row r="44">
      <c r="A44" s="278"/>
      <c r="B44" s="297"/>
      <c r="C44" s="297"/>
      <c r="D44" s="297"/>
      <c r="E44" s="295"/>
      <c r="F44" s="56"/>
      <c r="G44" s="56"/>
      <c r="H44" s="56"/>
      <c r="I44" s="318"/>
      <c r="J44" s="314"/>
      <c r="K44" s="278"/>
    </row>
    <row r="45">
      <c r="A45" s="278"/>
      <c r="B45" s="297"/>
      <c r="C45" s="297"/>
      <c r="D45" s="297"/>
      <c r="E45" s="295"/>
      <c r="F45" s="56"/>
      <c r="G45" s="56"/>
      <c r="H45" s="56"/>
      <c r="I45" s="318"/>
      <c r="J45" s="314"/>
      <c r="K45" s="278"/>
    </row>
  </sheetData>
  <mergeCells count="6">
    <mergeCell ref="B15:B17"/>
    <mergeCell ref="B21:B23"/>
    <mergeCell ref="B24:B26"/>
    <mergeCell ref="B27:B29"/>
    <mergeCell ref="B30:B32"/>
    <mergeCell ref="B33:B3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1.63"/>
    <col customWidth="1" min="2" max="2" width="5.75"/>
    <col customWidth="1" hidden="1" min="3" max="3" width="18.75"/>
    <col customWidth="1" min="4" max="4" width="19.75"/>
    <col customWidth="1" min="5" max="5" width="83.63"/>
    <col customWidth="1" min="6" max="6" width="11.25"/>
    <col customWidth="1" min="7" max="7" width="11.0"/>
    <col customWidth="1" min="8" max="8" width="8.0"/>
    <col customWidth="1" min="9" max="9" width="8.5"/>
    <col customWidth="1" min="10" max="10" width="7.5"/>
    <col customWidth="1" min="11" max="11" width="8.13"/>
  </cols>
  <sheetData>
    <row r="1" ht="54.75" customHeight="1">
      <c r="A1" s="217"/>
      <c r="B1" s="250" t="s">
        <v>1581</v>
      </c>
      <c r="C1" s="251" t="s">
        <v>1249</v>
      </c>
      <c r="D1" s="251" t="s">
        <v>1249</v>
      </c>
      <c r="E1" s="252" t="s">
        <v>6</v>
      </c>
      <c r="F1" s="19" t="str">
        <f t="array" ref="F1">#REF!</f>
        <v>#REF!</v>
      </c>
      <c r="G1" s="19"/>
      <c r="H1" s="165" t="s">
        <v>20</v>
      </c>
      <c r="I1" s="253">
        <v>1.6</v>
      </c>
      <c r="J1" s="321"/>
      <c r="K1" s="322"/>
    </row>
    <row r="2">
      <c r="A2" s="56" t="str">
        <f t="shared" ref="A2:A17" si="1">RIGHT(C2,2)</f>
        <v>02</v>
      </c>
      <c r="B2" s="283">
        <v>1.0</v>
      </c>
      <c r="C2" s="219">
        <v>6802.0</v>
      </c>
      <c r="D2" s="218" t="s">
        <v>1584</v>
      </c>
      <c r="E2" s="259" t="str">
        <f>VLOOKUP(TEXT(A2,"#"),Main!$A$2:$C45,3,0)</f>
        <v>Pillar Cock</v>
      </c>
      <c r="F2" s="221">
        <v>2480.0</v>
      </c>
      <c r="G2" s="221">
        <v>2590.0</v>
      </c>
      <c r="H2" s="261">
        <f t="shared" ref="H2:H39" si="2">IFERROR(DIVIDE(MINUS(G2,F2),G2),)</f>
        <v>0.04247104247</v>
      </c>
      <c r="I2" s="263" t="str">
        <f>VLOOKUP(C2,'MARCUS 68'!$D$2:$E45,4,0)</f>
        <v>#REF!</v>
      </c>
      <c r="J2" s="323" t="str">
        <f t="shared" ref="J2:J39" si="3">(G2/I2)</f>
        <v>#REF!</v>
      </c>
      <c r="K2" s="324"/>
    </row>
    <row r="3">
      <c r="A3" s="56" t="str">
        <f t="shared" si="1"/>
        <v>03</v>
      </c>
      <c r="B3" s="257">
        <v>2.0</v>
      </c>
      <c r="C3" s="262">
        <v>6803.0</v>
      </c>
      <c r="D3" s="233" t="s">
        <v>1586</v>
      </c>
      <c r="E3" s="259" t="str">
        <f>VLOOKUP(TEXT(A3,"#"),Main!$A$2:$C45,3,0)</f>
        <v>Pillar Cock Tall Body</v>
      </c>
      <c r="F3" s="221">
        <v>4790.0</v>
      </c>
      <c r="G3" s="221">
        <v>5290.0</v>
      </c>
      <c r="H3" s="261">
        <f t="shared" si="2"/>
        <v>0.09451795841</v>
      </c>
      <c r="I3" s="263" t="str">
        <f>VLOOKUP(C3,'MARCUS 68'!$D$2:$E45,4,0)</f>
        <v>#REF!</v>
      </c>
      <c r="J3" s="323" t="str">
        <f t="shared" si="3"/>
        <v>#REF!</v>
      </c>
      <c r="K3" s="324"/>
    </row>
    <row r="4">
      <c r="A4" s="56" t="str">
        <f t="shared" si="1"/>
        <v>04</v>
      </c>
      <c r="B4" s="257">
        <v>3.0</v>
      </c>
      <c r="C4" s="257">
        <v>6804.0</v>
      </c>
      <c r="D4" s="233" t="s">
        <v>1588</v>
      </c>
      <c r="E4" s="259" t="str">
        <f>VLOOKUP(TEXT(A4,"#"),Main!$A$2:$C45,3,0)</f>
        <v>Pillar Cock Extended Body</v>
      </c>
      <c r="F4" s="221">
        <v>3060.0</v>
      </c>
      <c r="G4" s="221">
        <v>3430.0</v>
      </c>
      <c r="H4" s="261">
        <f t="shared" si="2"/>
        <v>0.1078717201</v>
      </c>
      <c r="I4" s="263" t="str">
        <f>VLOOKUP(C4,'MARCUS 68'!$D$2:$E45,4,0)</f>
        <v>#REF!</v>
      </c>
      <c r="J4" s="323" t="str">
        <f t="shared" si="3"/>
        <v>#REF!</v>
      </c>
      <c r="K4" s="324"/>
    </row>
    <row r="5">
      <c r="A5" s="56" t="str">
        <f t="shared" si="1"/>
        <v>06</v>
      </c>
      <c r="B5" s="283">
        <v>4.0</v>
      </c>
      <c r="C5" s="262">
        <v>6806.0</v>
      </c>
      <c r="D5" s="233" t="s">
        <v>1589</v>
      </c>
      <c r="E5" s="259" t="str">
        <f>VLOOKUP(TEXT(A5,"#"),Main!$A$2:$C45,3,0)</f>
        <v>Bib Cock with Wall Flange</v>
      </c>
      <c r="F5" s="221">
        <v>1960.0</v>
      </c>
      <c r="G5" s="221">
        <v>2110.0</v>
      </c>
      <c r="H5" s="261">
        <f t="shared" si="2"/>
        <v>0.07109004739</v>
      </c>
      <c r="I5" s="263" t="str">
        <f>VLOOKUP(C5,'MARCUS 68'!$D$2:$E45,4,0)</f>
        <v>#REF!</v>
      </c>
      <c r="J5" s="323" t="str">
        <f t="shared" si="3"/>
        <v>#REF!</v>
      </c>
      <c r="K5" s="324"/>
    </row>
    <row r="6">
      <c r="A6" s="56" t="str">
        <f t="shared" si="1"/>
        <v>08</v>
      </c>
      <c r="B6" s="257">
        <v>5.0</v>
      </c>
      <c r="C6" s="262">
        <v>6808.0</v>
      </c>
      <c r="D6" s="233" t="s">
        <v>1590</v>
      </c>
      <c r="E6" s="259" t="str">
        <f>VLOOKUP(TEXT(A6,"#"),Main!$A$2:$C45,3,0)</f>
        <v>Bib Cock Long Body with Wall Flange</v>
      </c>
      <c r="F6" s="221">
        <v>2330.0</v>
      </c>
      <c r="G6" s="221">
        <v>2430.0</v>
      </c>
      <c r="H6" s="261">
        <f t="shared" si="2"/>
        <v>0.04115226337</v>
      </c>
      <c r="I6" s="263" t="str">
        <f>VLOOKUP(C6,'MARCUS 68'!$D$2:$E45,4,0)</f>
        <v>#REF!</v>
      </c>
      <c r="J6" s="323" t="str">
        <f t="shared" si="3"/>
        <v>#REF!</v>
      </c>
      <c r="K6" s="324"/>
    </row>
    <row r="7">
      <c r="A7" s="56" t="str">
        <f t="shared" si="1"/>
        <v>10</v>
      </c>
      <c r="B7" s="257">
        <v>6.0</v>
      </c>
      <c r="C7" s="262">
        <v>6810.0</v>
      </c>
      <c r="D7" s="233" t="s">
        <v>1592</v>
      </c>
      <c r="E7" s="259" t="str">
        <f>VLOOKUP(TEXT(A7,"#"),Main!$A$2:$C45,3,0)</f>
        <v>Angular Stop Cock with Wall Flange</v>
      </c>
      <c r="F7" s="221">
        <v>1420.0</v>
      </c>
      <c r="G7" s="221">
        <v>1530.0</v>
      </c>
      <c r="H7" s="261">
        <f t="shared" si="2"/>
        <v>0.07189542484</v>
      </c>
      <c r="I7" s="263" t="str">
        <f>VLOOKUP(C7,'MARCUS 68'!$D$2:$E45,4,0)</f>
        <v>#REF!</v>
      </c>
      <c r="J7" s="323" t="str">
        <f t="shared" si="3"/>
        <v>#REF!</v>
      </c>
      <c r="K7" s="324"/>
    </row>
    <row r="8">
      <c r="A8" s="56" t="str">
        <f t="shared" si="1"/>
        <v>11</v>
      </c>
      <c r="B8" s="283">
        <v>7.0</v>
      </c>
      <c r="C8" s="262">
        <v>6811.0</v>
      </c>
      <c r="D8" s="233" t="s">
        <v>1593</v>
      </c>
      <c r="E8" s="259" t="str">
        <f>VLOOKUP(TEXT(A8,"#"),Main!$A$2:$C45,3,0)</f>
        <v>2-Way Angular Stop Cock with Wall Flange</v>
      </c>
      <c r="F8" s="221">
        <v>2590.0</v>
      </c>
      <c r="G8" s="221">
        <v>2760.0</v>
      </c>
      <c r="H8" s="261">
        <f t="shared" si="2"/>
        <v>0.0615942029</v>
      </c>
      <c r="I8" s="263" t="str">
        <f>VLOOKUP(C8,'MARCUS 68'!$D$2:$E45,4,0)</f>
        <v>#REF!</v>
      </c>
      <c r="J8" s="323" t="str">
        <f t="shared" si="3"/>
        <v>#REF!</v>
      </c>
      <c r="K8" s="324"/>
    </row>
    <row r="9">
      <c r="A9" s="56" t="str">
        <f t="shared" si="1"/>
        <v>12</v>
      </c>
      <c r="B9" s="257">
        <v>8.0</v>
      </c>
      <c r="C9" s="262">
        <v>6812.0</v>
      </c>
      <c r="D9" s="233" t="s">
        <v>1595</v>
      </c>
      <c r="E9" s="259" t="str">
        <f>VLOOKUP(TEXT(A9,"#"),Main!$A$2:$C45,3,0)</f>
        <v>2-Way Bib Cock Double Handle with Wall Flange</v>
      </c>
      <c r="F9" s="221">
        <v>3380.0</v>
      </c>
      <c r="G9" s="221">
        <v>3690.0</v>
      </c>
      <c r="H9" s="261">
        <f t="shared" si="2"/>
        <v>0.08401084011</v>
      </c>
      <c r="I9" s="263" t="str">
        <f>VLOOKUP(C9,'MARCUS 68'!$D$2:$E45,4,0)</f>
        <v>#REF!</v>
      </c>
      <c r="J9" s="323" t="str">
        <f t="shared" si="3"/>
        <v>#REF!</v>
      </c>
      <c r="K9" s="324"/>
    </row>
    <row r="10">
      <c r="A10" s="56" t="str">
        <f t="shared" si="1"/>
        <v>13</v>
      </c>
      <c r="B10" s="257">
        <v>9.0</v>
      </c>
      <c r="C10" s="233">
        <v>6813.0</v>
      </c>
      <c r="D10" s="233" t="s">
        <v>1596</v>
      </c>
      <c r="E10" s="259" t="str">
        <f>VLOOKUP(TEXT(A10,"#"),Main!$A$2:$C45,3,0)</f>
        <v>2-Way Bib Cock Single Handle with Wall Flange</v>
      </c>
      <c r="F10" s="221">
        <v>3040.0</v>
      </c>
      <c r="G10" s="221">
        <v>3110.0</v>
      </c>
      <c r="H10" s="261">
        <f t="shared" si="2"/>
        <v>0.02250803859</v>
      </c>
      <c r="I10" s="263" t="str">
        <f>VLOOKUP(C10,'MARCUS 68'!$D$2:$E45,4,0)</f>
        <v>#REF!</v>
      </c>
      <c r="J10" s="323" t="str">
        <f t="shared" si="3"/>
        <v>#REF!</v>
      </c>
      <c r="K10" s="324"/>
    </row>
    <row r="11">
      <c r="A11" s="56" t="str">
        <f t="shared" si="1"/>
        <v>14</v>
      </c>
      <c r="B11" s="283">
        <v>10.0</v>
      </c>
      <c r="C11" s="262">
        <v>6814.0</v>
      </c>
      <c r="D11" s="233" t="s">
        <v>1597</v>
      </c>
      <c r="E11" s="259" t="str">
        <f>VLOOKUP(TEXT(A11,"#"),Main!$A$2:$C45,3,0)</f>
        <v>Swan Neck Table Mounted</v>
      </c>
      <c r="F11" s="221">
        <v>3170.0</v>
      </c>
      <c r="G11" s="221">
        <v>3110.0</v>
      </c>
      <c r="H11" s="261">
        <f t="shared" si="2"/>
        <v>-0.0192926045</v>
      </c>
      <c r="I11" s="263" t="str">
        <f>VLOOKUP(C11,'MARCUS 68'!$D$2:$E45,4,0)</f>
        <v>#REF!</v>
      </c>
      <c r="J11" s="323" t="str">
        <f t="shared" si="3"/>
        <v>#REF!</v>
      </c>
      <c r="K11" s="324"/>
    </row>
    <row r="12">
      <c r="A12" s="56" t="str">
        <f t="shared" si="1"/>
        <v>16</v>
      </c>
      <c r="B12" s="257">
        <v>11.0</v>
      </c>
      <c r="C12" s="262">
        <v>6816.0</v>
      </c>
      <c r="D12" s="233" t="s">
        <v>1600</v>
      </c>
      <c r="E12" s="259" t="str">
        <f>VLOOKUP(TEXT(A12,"#"),Main!$A$2:$C45,3,0)</f>
        <v>Sink Cock Wall Mounted with Flange</v>
      </c>
      <c r="F12" s="221">
        <v>2770.0</v>
      </c>
      <c r="G12" s="221">
        <v>2930.0</v>
      </c>
      <c r="H12" s="261">
        <f t="shared" si="2"/>
        <v>0.05460750853</v>
      </c>
      <c r="I12" s="263" t="str">
        <f>VLOOKUP(C12,'MARCUS 68'!$D$2:$E45,4,0)</f>
        <v>#REF!</v>
      </c>
      <c r="J12" s="323" t="str">
        <f t="shared" si="3"/>
        <v>#REF!</v>
      </c>
      <c r="K12" s="324"/>
    </row>
    <row r="13">
      <c r="A13" s="56" t="str">
        <f t="shared" si="1"/>
        <v>18</v>
      </c>
      <c r="B13" s="257">
        <v>12.0</v>
      </c>
      <c r="C13" s="262">
        <v>6818.0</v>
      </c>
      <c r="D13" s="233" t="s">
        <v>1601</v>
      </c>
      <c r="E13" s="259" t="str">
        <f>VLOOKUP(TEXT(A13,"#"),Main!$A$2:$C45,3,0)</f>
        <v>Concealed Stop Cock 15mm with Wall Flange</v>
      </c>
      <c r="F13" s="221">
        <v>2110.0</v>
      </c>
      <c r="G13" s="221">
        <v>2210.0</v>
      </c>
      <c r="H13" s="261">
        <f t="shared" si="2"/>
        <v>0.04524886878</v>
      </c>
      <c r="I13" s="263" t="str">
        <f>VLOOKUP(C13,'MARCUS 68'!$D$2:$E45,4,0)</f>
        <v>#REF!</v>
      </c>
      <c r="J13" s="323" t="str">
        <f t="shared" si="3"/>
        <v>#REF!</v>
      </c>
      <c r="K13" s="324"/>
    </row>
    <row r="14">
      <c r="A14" s="56" t="str">
        <f t="shared" si="1"/>
        <v>20</v>
      </c>
      <c r="B14" s="283">
        <v>13.0</v>
      </c>
      <c r="C14" s="262">
        <v>6820.0</v>
      </c>
      <c r="D14" s="233" t="s">
        <v>1603</v>
      </c>
      <c r="E14" s="259" t="str">
        <f>VLOOKUP(TEXT(A14,"#"),Main!$A$2:$C45,3,0)</f>
        <v>Concealed Stop Cock 20mm with Wall Flange</v>
      </c>
      <c r="F14" s="221">
        <v>2160.0</v>
      </c>
      <c r="G14" s="221">
        <v>2260.0</v>
      </c>
      <c r="H14" s="261">
        <f t="shared" si="2"/>
        <v>0.04424778761</v>
      </c>
      <c r="I14" s="263" t="str">
        <f>VLOOKUP(C14,'MARCUS 68'!$D$2:$E45,4,0)</f>
        <v>#REF!</v>
      </c>
      <c r="J14" s="323" t="str">
        <f t="shared" si="3"/>
        <v>#REF!</v>
      </c>
      <c r="K14" s="324"/>
    </row>
    <row r="15">
      <c r="A15" s="56" t="str">
        <f t="shared" si="1"/>
        <v>51</v>
      </c>
      <c r="B15" s="257">
        <v>14.0</v>
      </c>
      <c r="C15" s="262">
        <v>6851.0</v>
      </c>
      <c r="D15" s="233" t="s">
        <v>1604</v>
      </c>
      <c r="E15" s="259" t="str">
        <f>VLOOKUP(TEXT(A15,"#"),Main!$A$2:$C45,3,0)</f>
        <v>Single Lever Basin Mixer without Popup Waste System</v>
      </c>
      <c r="F15" s="221">
        <v>5660.0</v>
      </c>
      <c r="G15" s="221">
        <v>5990.0</v>
      </c>
      <c r="H15" s="261">
        <f t="shared" si="2"/>
        <v>0.0550918197</v>
      </c>
      <c r="I15" s="263" t="str">
        <f>VLOOKUP(C15,'MARCUS 68'!$D$2:$E45,4,0)</f>
        <v>#REF!</v>
      </c>
      <c r="J15" s="323" t="str">
        <f t="shared" si="3"/>
        <v>#REF!</v>
      </c>
      <c r="K15" s="324"/>
    </row>
    <row r="16">
      <c r="A16" s="56" t="str">
        <f t="shared" si="1"/>
        <v>52</v>
      </c>
      <c r="B16" s="233">
        <v>15.0</v>
      </c>
      <c r="C16" s="257">
        <v>6852.0</v>
      </c>
      <c r="D16" s="233" t="s">
        <v>1605</v>
      </c>
      <c r="E16" s="259" t="str">
        <f>VLOOKUP(TEXT(A16,"#"),Main!$A$2:$C45,3,0)</f>
        <v>Single Lever Basin Mixer Tall Body without Popup Waste System</v>
      </c>
      <c r="F16" s="221">
        <v>8430.0</v>
      </c>
      <c r="G16" s="221">
        <v>9210.0</v>
      </c>
      <c r="H16" s="261">
        <f t="shared" si="2"/>
        <v>0.08469055375</v>
      </c>
      <c r="I16" s="263" t="str">
        <f>VLOOKUP(C16,'MARCUS 68'!$D$2:$E45,4,0)</f>
        <v>#REF!</v>
      </c>
      <c r="J16" s="323" t="str">
        <f t="shared" si="3"/>
        <v>#REF!</v>
      </c>
      <c r="K16" s="324"/>
    </row>
    <row r="17">
      <c r="A17" s="56" t="str">
        <f t="shared" si="1"/>
        <v>54</v>
      </c>
      <c r="B17" s="325">
        <v>16.0</v>
      </c>
      <c r="C17" s="257">
        <v>6854.0</v>
      </c>
      <c r="D17" s="233" t="s">
        <v>1606</v>
      </c>
      <c r="E17" s="259" t="str">
        <f>VLOOKUP(TEXT(A17,"#"),Main!$A$2:$C45,3,0)</f>
        <v>Single Lever Basin Mixer Wall Mount (Concealed)</v>
      </c>
      <c r="F17" s="221">
        <v>7990.0</v>
      </c>
      <c r="G17" s="221" t="str">
        <f>G18+G19</f>
        <v>#REF!</v>
      </c>
      <c r="H17" s="261" t="str">
        <f t="shared" si="2"/>
        <v/>
      </c>
      <c r="I17" s="263" t="str">
        <f>VLOOKUP(C17,'MARCUS 68'!$D$2:$E45,4,0)</f>
        <v>#REF!</v>
      </c>
      <c r="J17" s="323" t="str">
        <f t="shared" si="3"/>
        <v>#REF!</v>
      </c>
      <c r="K17" s="324"/>
    </row>
    <row r="18">
      <c r="A18" s="269" t="s">
        <v>154</v>
      </c>
      <c r="B18" s="120"/>
      <c r="C18" s="262" t="s">
        <v>154</v>
      </c>
      <c r="D18" s="262" t="s">
        <v>154</v>
      </c>
      <c r="E18" s="259" t="str">
        <f>VLOOKUP(TEXT(A18,"#"),Main!$A$2:$C45,3,0)</f>
        <v>Single Lever Basin Mixer Wall Mount (Body, Cartridge, Sleeve &amp; Nipple)</v>
      </c>
      <c r="F18" s="221">
        <v>3980.0</v>
      </c>
      <c r="G18" s="268" t="str">
        <f>VLOOKUP(D18,MASTER!$C$2:$D45,4,0)</f>
        <v>#REF!</v>
      </c>
      <c r="H18" s="261" t="str">
        <f t="shared" si="2"/>
        <v/>
      </c>
      <c r="I18" s="263" t="str">
        <f>VLOOKUP(C18,'MARCUS 68'!$D$2:$E45,4,0)</f>
        <v>#REF!</v>
      </c>
      <c r="J18" s="323" t="str">
        <f t="shared" si="3"/>
        <v>#REF!</v>
      </c>
      <c r="K18" s="324"/>
    </row>
    <row r="19">
      <c r="A19" s="269" t="s">
        <v>159</v>
      </c>
      <c r="B19" s="145"/>
      <c r="C19" s="262" t="s">
        <v>1063</v>
      </c>
      <c r="D19" s="233" t="s">
        <v>1608</v>
      </c>
      <c r="E19" s="259" t="str">
        <f>VLOOKUP(TEXT(A19,"#"),Main!$A$2:$C45,3,0)</f>
        <v>Exposed Parts (Wall Flange, Handle &amp; Spout)</v>
      </c>
      <c r="F19" s="221">
        <v>4010.0</v>
      </c>
      <c r="G19" s="221">
        <v>4160.0</v>
      </c>
      <c r="H19" s="261">
        <f t="shared" si="2"/>
        <v>0.03605769231</v>
      </c>
      <c r="I19" s="263" t="str">
        <f>VLOOKUP(C19,'MARCUS 68'!$D$2:$E45,4,0)</f>
        <v>#REF!</v>
      </c>
      <c r="J19" s="323" t="str">
        <f t="shared" si="3"/>
        <v>#REF!</v>
      </c>
      <c r="K19" s="324"/>
    </row>
    <row r="20">
      <c r="A20" s="56" t="str">
        <f t="shared" ref="A20:A22" si="4">RIGHT(C20,2)</f>
        <v>55</v>
      </c>
      <c r="B20" s="233">
        <v>17.0</v>
      </c>
      <c r="C20" s="262">
        <v>6855.0</v>
      </c>
      <c r="D20" s="233" t="s">
        <v>1610</v>
      </c>
      <c r="E20" s="259" t="str">
        <f>VLOOKUP(TEXT(A20,"#"),Main!$A$2:$C45,3,0)</f>
        <v>Sink Mixer with Regular Spout Wall Mounted with Flange</v>
      </c>
      <c r="F20" s="221">
        <v>5650.0</v>
      </c>
      <c r="G20" s="221">
        <v>5990.0</v>
      </c>
      <c r="H20" s="261">
        <f t="shared" si="2"/>
        <v>0.05676126878</v>
      </c>
      <c r="I20" s="263" t="str">
        <f>VLOOKUP(C20,'MARCUS 68'!$D$2:$E45,4,0)</f>
        <v>#REF!</v>
      </c>
      <c r="J20" s="323" t="str">
        <f t="shared" si="3"/>
        <v>#REF!</v>
      </c>
      <c r="K20" s="324"/>
    </row>
    <row r="21">
      <c r="A21" s="56" t="str">
        <f t="shared" si="4"/>
        <v>75</v>
      </c>
      <c r="B21" s="233">
        <v>18.0</v>
      </c>
      <c r="C21" s="257">
        <v>6875.0</v>
      </c>
      <c r="D21" s="233" t="s">
        <v>1611</v>
      </c>
      <c r="E21" s="259" t="str">
        <f>VLOOKUP(TEXT(A21,"#"),Main!$A$2:$C45,3,0)</f>
        <v>Wall Mixer "L" Bend with Wall Flange (Provision For Over Head Shower)</v>
      </c>
      <c r="F21" s="221">
        <v>8980.0</v>
      </c>
      <c r="G21" s="221">
        <v>9690.0</v>
      </c>
      <c r="H21" s="261">
        <f t="shared" si="2"/>
        <v>0.07327141383</v>
      </c>
      <c r="I21" s="263" t="str">
        <f>VLOOKUP(C21,'MARCUS 68'!$D$2:$E45,4,0)</f>
        <v>#REF!</v>
      </c>
      <c r="J21" s="323" t="str">
        <f t="shared" si="3"/>
        <v>#REF!</v>
      </c>
      <c r="K21" s="324"/>
    </row>
    <row r="22">
      <c r="A22" s="56" t="str">
        <f t="shared" si="4"/>
        <v>80</v>
      </c>
      <c r="B22" s="233">
        <v>19.0</v>
      </c>
      <c r="C22" s="257">
        <v>6880.0</v>
      </c>
      <c r="D22" s="233" t="s">
        <v>1612</v>
      </c>
      <c r="E22" s="259" t="str">
        <f>VLOOKUP(TEXT(A22,"#"),Main!$A$2:$C45,3,0)</f>
        <v>Wall Mixer 3 In 1 with Wall Flange (Provision For Over Head Shower &amp; Hand Shower)</v>
      </c>
      <c r="F22" s="221">
        <v>9860.0</v>
      </c>
      <c r="G22" s="221">
        <v>10610.0</v>
      </c>
      <c r="H22" s="261">
        <f t="shared" si="2"/>
        <v>0.07068803016</v>
      </c>
      <c r="I22" s="263" t="str">
        <f>VLOOKUP(C22,'MARCUS 68'!$D$2:$E45,4,0)</f>
        <v>#REF!</v>
      </c>
      <c r="J22" s="323" t="str">
        <f t="shared" si="3"/>
        <v>#REF!</v>
      </c>
      <c r="K22" s="324"/>
    </row>
    <row r="23">
      <c r="A23" s="227" t="s">
        <v>209</v>
      </c>
      <c r="B23" s="325">
        <v>20.0</v>
      </c>
      <c r="C23" s="257" t="s">
        <v>1070</v>
      </c>
      <c r="D23" s="233" t="s">
        <v>1614</v>
      </c>
      <c r="E23" s="259" t="str">
        <f>VLOOKUP(TEXT(A23,"#"),Main!$A$2:$C45,3,0)</f>
        <v>Single Lever Concealed Diverter Bath &amp; Shower 40mm</v>
      </c>
      <c r="F23" s="221">
        <v>6250.0</v>
      </c>
      <c r="G23" s="221" t="str">
        <f>G24+G25</f>
        <v>#REF!</v>
      </c>
      <c r="H23" s="261" t="str">
        <f t="shared" si="2"/>
        <v/>
      </c>
      <c r="I23" s="263" t="str">
        <f>VLOOKUP(C23,'MARCUS 68'!$D$2:$E45,4,0)</f>
        <v>#REF!</v>
      </c>
      <c r="J23" s="323" t="str">
        <f t="shared" si="3"/>
        <v>#REF!</v>
      </c>
      <c r="K23" s="324"/>
    </row>
    <row r="24">
      <c r="A24" s="269" t="s">
        <v>212</v>
      </c>
      <c r="B24" s="120"/>
      <c r="C24" s="257" t="s">
        <v>212</v>
      </c>
      <c r="D24" s="257" t="s">
        <v>212</v>
      </c>
      <c r="E24" s="259" t="str">
        <f>VLOOKUP(TEXT(A24,"#"),Main!$A$2:$C45,3,0)</f>
        <v>Concealed Diverter Body 40mm (Cartridge, Sleeve, Tipton Assembly)</v>
      </c>
      <c r="F24" s="221">
        <v>3140.0</v>
      </c>
      <c r="G24" s="268" t="str">
        <f>VLOOKUP(D24,MASTER!$C$2:$D45,4,0)</f>
        <v>#REF!</v>
      </c>
      <c r="H24" s="261" t="str">
        <f t="shared" si="2"/>
        <v/>
      </c>
      <c r="I24" s="263" t="str">
        <f>VLOOKUP(C24,'MARCUS 68'!$D$2:$E45,4,0)</f>
        <v>#REF!</v>
      </c>
      <c r="J24" s="323" t="str">
        <f t="shared" si="3"/>
        <v>#REF!</v>
      </c>
      <c r="K24" s="324"/>
    </row>
    <row r="25">
      <c r="A25" s="269" t="s">
        <v>216</v>
      </c>
      <c r="B25" s="145"/>
      <c r="C25" s="257" t="s">
        <v>1072</v>
      </c>
      <c r="D25" s="233" t="s">
        <v>1617</v>
      </c>
      <c r="E25" s="259" t="str">
        <f>VLOOKUP(TEXT(A25,"#"),Main!$A$2:$C45,3,0)</f>
        <v>Exposed Parts (Wall Flange &amp; Handle)</v>
      </c>
      <c r="F25" s="221">
        <v>3110.0</v>
      </c>
      <c r="G25" s="221">
        <v>2930.0</v>
      </c>
      <c r="H25" s="261">
        <f t="shared" si="2"/>
        <v>-0.0614334471</v>
      </c>
      <c r="I25" s="263" t="str">
        <f>VLOOKUP(C25,'MARCUS 68'!$D$2:$E45,4,0)</f>
        <v>#REF!</v>
      </c>
      <c r="J25" s="323" t="str">
        <f t="shared" si="3"/>
        <v>#REF!</v>
      </c>
      <c r="K25" s="324"/>
    </row>
    <row r="26">
      <c r="A26" s="227" t="s">
        <v>219</v>
      </c>
      <c r="B26" s="325">
        <v>21.0</v>
      </c>
      <c r="C26" s="257" t="s">
        <v>1073</v>
      </c>
      <c r="D26" s="233" t="s">
        <v>1619</v>
      </c>
      <c r="E26" s="259" t="str">
        <f>VLOOKUP(TEXT(A26,"#"),Main!$A$2:$C45,3,0)</f>
        <v>Single Lever High Flow Concealed Diverter Bath &amp; Shower 46mm</v>
      </c>
      <c r="F26" s="221">
        <v>7100.0</v>
      </c>
      <c r="G26" s="221" t="str">
        <f>G27+G28</f>
        <v>#REF!</v>
      </c>
      <c r="H26" s="261" t="str">
        <f t="shared" si="2"/>
        <v/>
      </c>
      <c r="I26" s="263" t="str">
        <f>VLOOKUP(C26,'MARCUS 68'!$D$2:$E45,4,0)</f>
        <v>#REF!</v>
      </c>
      <c r="J26" s="323" t="str">
        <f t="shared" si="3"/>
        <v>#REF!</v>
      </c>
      <c r="K26" s="324"/>
    </row>
    <row r="27">
      <c r="A27" s="269" t="s">
        <v>223</v>
      </c>
      <c r="B27" s="120"/>
      <c r="C27" s="257" t="s">
        <v>223</v>
      </c>
      <c r="D27" s="257" t="s">
        <v>223</v>
      </c>
      <c r="E27" s="259" t="str">
        <f>VLOOKUP(TEXT(A27,"#"),Main!$A$2:$C45,3,0)</f>
        <v>High Flow Concealed Diverter Body 46mm (Cartridge, Sleeve, Tipton Assembly)</v>
      </c>
      <c r="F27" s="221">
        <v>3990.0</v>
      </c>
      <c r="G27" s="268" t="str">
        <f>VLOOKUP(D27,MASTER!$C$2:$D45,4,0)</f>
        <v>#REF!</v>
      </c>
      <c r="H27" s="261" t="str">
        <f t="shared" si="2"/>
        <v/>
      </c>
      <c r="I27" s="263" t="str">
        <f>VLOOKUP(C27,'MARCUS 68'!$D$2:$E45,4,0)</f>
        <v>#REF!</v>
      </c>
      <c r="J27" s="323" t="str">
        <f t="shared" si="3"/>
        <v>#REF!</v>
      </c>
      <c r="K27" s="324"/>
    </row>
    <row r="28">
      <c r="A28" s="269" t="s">
        <v>226</v>
      </c>
      <c r="B28" s="145"/>
      <c r="C28" s="262" t="s">
        <v>1074</v>
      </c>
      <c r="D28" s="233" t="s">
        <v>1623</v>
      </c>
      <c r="E28" s="259" t="str">
        <f>VLOOKUP(TEXT(A28,"#"),Main!$A$2:$C45,3,0)</f>
        <v>Exposed Parts (Wall Flange &amp; Handle)</v>
      </c>
      <c r="F28" s="221">
        <v>3110.0</v>
      </c>
      <c r="G28" s="221">
        <v>2930.0</v>
      </c>
      <c r="H28" s="261">
        <f t="shared" si="2"/>
        <v>-0.0614334471</v>
      </c>
      <c r="I28" s="263" t="str">
        <f>VLOOKUP(C28,'MARCUS 68'!$D$2:$E45,4,0)</f>
        <v>#REF!</v>
      </c>
      <c r="J28" s="323" t="str">
        <f t="shared" si="3"/>
        <v>#REF!</v>
      </c>
      <c r="K28" s="324"/>
    </row>
    <row r="29">
      <c r="A29" s="269" t="s">
        <v>228</v>
      </c>
      <c r="B29" s="325">
        <v>22.0</v>
      </c>
      <c r="C29" s="262" t="s">
        <v>1075</v>
      </c>
      <c r="D29" s="233" t="s">
        <v>1625</v>
      </c>
      <c r="E29" s="259" t="str">
        <f>VLOOKUP(TEXT(A29,"#"),Main!$A$2:$C45,3,0)</f>
        <v>Single Lever High Flow Concealed Diverter Bath &amp; Shower 46mm (ON-OFF)</v>
      </c>
      <c r="F29" s="221">
        <v>7100.0</v>
      </c>
      <c r="G29" s="221" t="str">
        <f>G30+G31</f>
        <v>#REF!</v>
      </c>
      <c r="H29" s="261" t="str">
        <f t="shared" si="2"/>
        <v/>
      </c>
      <c r="I29" s="263" t="str">
        <f>VLOOKUP(C29,'MARCUS 68'!$D$2:$E45,4,0)</f>
        <v>#REF!</v>
      </c>
      <c r="J29" s="323" t="str">
        <f t="shared" si="3"/>
        <v>#REF!</v>
      </c>
      <c r="K29" s="324"/>
    </row>
    <row r="30">
      <c r="A30" s="269" t="s">
        <v>234</v>
      </c>
      <c r="B30" s="120"/>
      <c r="C30" s="262" t="s">
        <v>234</v>
      </c>
      <c r="D30" s="262" t="s">
        <v>234</v>
      </c>
      <c r="E30" s="259" t="str">
        <f>VLOOKUP(TEXT(A30,"#"),Main!$A$2:$C45,3,0)</f>
        <v>High Flow Concealed Diverter Body 46mm (Cartridge, Sleeve, On-Off Assembly)</v>
      </c>
      <c r="F30" s="221">
        <v>3990.0</v>
      </c>
      <c r="G30" s="268" t="str">
        <f>VLOOKUP(D30,MASTER!$C$2:$D45,4,0)</f>
        <v>#REF!</v>
      </c>
      <c r="H30" s="261" t="str">
        <f t="shared" si="2"/>
        <v/>
      </c>
      <c r="I30" s="263" t="str">
        <f>VLOOKUP(C30,'MARCUS 68'!$D$2:$E45,4,0)</f>
        <v>#REF!</v>
      </c>
      <c r="J30" s="323" t="str">
        <f t="shared" si="3"/>
        <v>#REF!</v>
      </c>
      <c r="K30" s="324"/>
    </row>
    <row r="31">
      <c r="A31" s="269" t="s">
        <v>237</v>
      </c>
      <c r="B31" s="145"/>
      <c r="C31" s="257" t="s">
        <v>1079</v>
      </c>
      <c r="D31" s="233" t="s">
        <v>1629</v>
      </c>
      <c r="E31" s="259" t="str">
        <f>VLOOKUP(TEXT(A31,"#"),Main!$A$2:$C45,3,0)</f>
        <v>Exposed Parts (Wall Flange &amp; Handle)</v>
      </c>
      <c r="F31" s="221">
        <v>3110.0</v>
      </c>
      <c r="G31" s="221">
        <v>2930.0</v>
      </c>
      <c r="H31" s="261">
        <f t="shared" si="2"/>
        <v>-0.0614334471</v>
      </c>
      <c r="I31" s="263" t="str">
        <f>VLOOKUP(C31,'MARCUS 68'!$D$2:$E45,4,0)</f>
        <v>#REF!</v>
      </c>
      <c r="J31" s="323" t="str">
        <f t="shared" si="3"/>
        <v>#REF!</v>
      </c>
      <c r="K31" s="324"/>
    </row>
    <row r="32">
      <c r="A32" s="227" t="s">
        <v>239</v>
      </c>
      <c r="B32" s="325">
        <v>23.0</v>
      </c>
      <c r="C32" s="257" t="s">
        <v>1095</v>
      </c>
      <c r="D32" s="233" t="s">
        <v>1631</v>
      </c>
      <c r="E32" s="259" t="str">
        <f>VLOOKUP(TEXT(A32,"#"),Main!$A$2:$C45,3,0)</f>
        <v>Single Lever 3 In Let Concealed Diverter Bath &amp; Shower 46mm</v>
      </c>
      <c r="F32" s="221">
        <v>7100.0</v>
      </c>
      <c r="G32" s="221" t="str">
        <f>G33+G34</f>
        <v>#REF!</v>
      </c>
      <c r="H32" s="261" t="str">
        <f t="shared" si="2"/>
        <v/>
      </c>
      <c r="I32" s="263" t="str">
        <f>VLOOKUP(C32,'MARCUS 68'!$D$2:$E45,4,0)</f>
        <v>#REF!</v>
      </c>
      <c r="J32" s="323" t="str">
        <f t="shared" si="3"/>
        <v>#REF!</v>
      </c>
      <c r="K32" s="324"/>
    </row>
    <row r="33">
      <c r="A33" s="269" t="s">
        <v>243</v>
      </c>
      <c r="B33" s="120"/>
      <c r="C33" s="257" t="s">
        <v>243</v>
      </c>
      <c r="D33" s="257" t="s">
        <v>243</v>
      </c>
      <c r="E33" s="259" t="str">
        <f>VLOOKUP(TEXT(A33,"#"),Main!$A$2:$C45,3,0)</f>
        <v>3 In Let Concealed Diverter Body 46mm (Cartridge, Sleeve, Tipton Assembly)</v>
      </c>
      <c r="F33" s="221">
        <v>3990.0</v>
      </c>
      <c r="G33" s="268" t="str">
        <f>VLOOKUP(D33,MASTER!$C$2:$D45,4,0)</f>
        <v>#REF!</v>
      </c>
      <c r="H33" s="261" t="str">
        <f t="shared" si="2"/>
        <v/>
      </c>
      <c r="I33" s="263" t="str">
        <f>VLOOKUP(C33,'MARCUS 68'!$D$2:$E45,4,0)</f>
        <v>#REF!</v>
      </c>
      <c r="J33" s="323" t="str">
        <f t="shared" si="3"/>
        <v>#REF!</v>
      </c>
      <c r="K33" s="324"/>
    </row>
    <row r="34">
      <c r="A34" s="269" t="s">
        <v>247</v>
      </c>
      <c r="B34" s="145"/>
      <c r="C34" s="257" t="s">
        <v>1102</v>
      </c>
      <c r="D34" s="233" t="s">
        <v>1635</v>
      </c>
      <c r="E34" s="259" t="str">
        <f>VLOOKUP(TEXT(A34,"#"),Main!$A$2:$C45,3,0)</f>
        <v>Exposed Parts (Wall Flange &amp; Handle)</v>
      </c>
      <c r="F34" s="221">
        <v>3110.0</v>
      </c>
      <c r="G34" s="221">
        <v>2930.0</v>
      </c>
      <c r="H34" s="261">
        <f t="shared" si="2"/>
        <v>-0.0614334471</v>
      </c>
      <c r="I34" s="263" t="str">
        <f>VLOOKUP(C34,'MARCUS 68'!$D$2:$E45,4,0)</f>
        <v>#REF!</v>
      </c>
      <c r="J34" s="323" t="str">
        <f t="shared" si="3"/>
        <v>#REF!</v>
      </c>
      <c r="K34" s="324"/>
    </row>
    <row r="35">
      <c r="A35" s="269" t="s">
        <v>249</v>
      </c>
      <c r="B35" s="325">
        <v>24.0</v>
      </c>
      <c r="C35" s="257" t="s">
        <v>1108</v>
      </c>
      <c r="D35" s="233" t="s">
        <v>1636</v>
      </c>
      <c r="E35" s="259" t="str">
        <f>VLOOKUP(TEXT(A35,"#"),Main!$A$2:$C45,3,0)</f>
        <v>Single Lever 3 In Let Concealed Diverter Bath &amp; Shower 46mm (ON-OFF)</v>
      </c>
      <c r="F35" s="221">
        <v>7100.0</v>
      </c>
      <c r="G35" s="221" t="str">
        <f>G36+G37</f>
        <v>#REF!</v>
      </c>
      <c r="H35" s="261" t="str">
        <f t="shared" si="2"/>
        <v/>
      </c>
      <c r="I35" s="263" t="str">
        <f>VLOOKUP(C35,'MARCUS 68'!$D$2:$E45,4,0)</f>
        <v>#REF!</v>
      </c>
      <c r="J35" s="323" t="str">
        <f t="shared" si="3"/>
        <v>#REF!</v>
      </c>
      <c r="K35" s="324"/>
    </row>
    <row r="36">
      <c r="A36" s="269" t="s">
        <v>253</v>
      </c>
      <c r="B36" s="120"/>
      <c r="C36" s="257" t="s">
        <v>253</v>
      </c>
      <c r="D36" s="257" t="s">
        <v>253</v>
      </c>
      <c r="E36" s="259" t="str">
        <f>VLOOKUP(TEXT(A36,"#"),Main!$A$2:$C45,3,0)</f>
        <v>3 In Let Concealed Diverter Body 46mm (Cartridge, Sleeve, On-Off Assembly)</v>
      </c>
      <c r="F36" s="221">
        <v>3990.0</v>
      </c>
      <c r="G36" s="268" t="str">
        <f>VLOOKUP(D36,MASTER!$C$2:$D45,4,0)</f>
        <v>#REF!</v>
      </c>
      <c r="H36" s="261" t="str">
        <f t="shared" si="2"/>
        <v/>
      </c>
      <c r="I36" s="263" t="str">
        <f>VLOOKUP(C36,'MARCUS 68'!$D$2:$E45,4,0)</f>
        <v>#REF!</v>
      </c>
      <c r="J36" s="323" t="str">
        <f t="shared" si="3"/>
        <v>#REF!</v>
      </c>
      <c r="K36" s="324"/>
    </row>
    <row r="37">
      <c r="A37" s="269" t="s">
        <v>258</v>
      </c>
      <c r="B37" s="145"/>
      <c r="C37" s="257" t="s">
        <v>1112</v>
      </c>
      <c r="D37" s="233" t="s">
        <v>1639</v>
      </c>
      <c r="E37" s="259" t="str">
        <f>VLOOKUP(TEXT(A37,"#"),Main!$A$2:$C45,3,0)</f>
        <v>Exposed Parts (Wall Flange &amp; Handle)</v>
      </c>
      <c r="F37" s="221">
        <v>3110.0</v>
      </c>
      <c r="G37" s="221">
        <v>2930.0</v>
      </c>
      <c r="H37" s="261">
        <f t="shared" si="2"/>
        <v>-0.0614334471</v>
      </c>
      <c r="I37" s="263" t="str">
        <f>VLOOKUP(C37,'MARCUS 68'!$D$2:$E45,4,0)</f>
        <v>#REF!</v>
      </c>
      <c r="J37" s="323" t="str">
        <f t="shared" si="3"/>
        <v>#REF!</v>
      </c>
      <c r="K37" s="324"/>
    </row>
    <row r="38">
      <c r="A38" s="56" t="str">
        <f t="shared" ref="A38:A39" si="5">RIGHT(C38,2)</f>
        <v>95</v>
      </c>
      <c r="B38" s="233">
        <v>25.0</v>
      </c>
      <c r="C38" s="257">
        <v>6895.0</v>
      </c>
      <c r="D38" s="233" t="s">
        <v>1642</v>
      </c>
      <c r="E38" s="259" t="str">
        <f>VLOOKUP(TEXT(A38,"#"),Main!$A$2:$C45,3,0)</f>
        <v>Bath Tub Spout with Flange</v>
      </c>
      <c r="F38" s="221">
        <v>1790.0</v>
      </c>
      <c r="G38" s="221">
        <v>1930.0</v>
      </c>
      <c r="H38" s="261">
        <f t="shared" si="2"/>
        <v>0.0725388601</v>
      </c>
      <c r="I38" s="263" t="str">
        <f>VLOOKUP(C38,'MARCUS 68'!$D$2:$E45,4,0)</f>
        <v>#REF!</v>
      </c>
      <c r="J38" s="323" t="str">
        <f t="shared" si="3"/>
        <v>#REF!</v>
      </c>
      <c r="K38" s="324"/>
    </row>
    <row r="39">
      <c r="A39" s="56" t="str">
        <f t="shared" si="5"/>
        <v>96</v>
      </c>
      <c r="B39" s="233">
        <v>26.0</v>
      </c>
      <c r="C39" s="262">
        <v>6896.0</v>
      </c>
      <c r="D39" s="233" t="s">
        <v>1644</v>
      </c>
      <c r="E39" s="259" t="str">
        <f>VLOOKUP(TEXT(A39,"#"),Main!$A$2:$C45,3,0)</f>
        <v>Bath Tub Spout Tip Ton with Flange</v>
      </c>
      <c r="F39" s="221">
        <v>2790.0</v>
      </c>
      <c r="G39" s="221">
        <v>3090.0</v>
      </c>
      <c r="H39" s="261">
        <f t="shared" si="2"/>
        <v>0.09708737864</v>
      </c>
      <c r="I39" s="263" t="str">
        <f>VLOOKUP(C39,'MARCUS 68'!$D$2:$E45,4,0)</f>
        <v>#REF!</v>
      </c>
      <c r="J39" s="323" t="str">
        <f t="shared" si="3"/>
        <v>#REF!</v>
      </c>
      <c r="K39" s="324"/>
    </row>
    <row r="40">
      <c r="A40" s="304"/>
      <c r="B40" s="298"/>
      <c r="C40" s="298"/>
      <c r="D40" s="298"/>
      <c r="E40" s="305"/>
      <c r="F40" s="304"/>
      <c r="G40" s="304"/>
      <c r="H40" s="56"/>
      <c r="I40" s="318"/>
      <c r="J40" s="323"/>
      <c r="K40" s="324"/>
    </row>
    <row r="41">
      <c r="A41" s="304"/>
      <c r="B41" s="298"/>
      <c r="C41" s="298"/>
      <c r="D41" s="298"/>
      <c r="E41" s="305"/>
      <c r="F41" s="304"/>
      <c r="G41" s="304"/>
      <c r="H41" s="56"/>
      <c r="I41" s="318"/>
      <c r="J41" s="323"/>
      <c r="K41" s="324"/>
    </row>
    <row r="42">
      <c r="A42" s="304"/>
      <c r="B42" s="298"/>
      <c r="C42" s="298"/>
      <c r="D42" s="298"/>
      <c r="E42" s="305"/>
      <c r="F42" s="304"/>
      <c r="G42" s="304"/>
      <c r="H42" s="56"/>
      <c r="I42" s="318"/>
      <c r="J42" s="323"/>
      <c r="K42" s="324"/>
    </row>
    <row r="43">
      <c r="A43" s="304"/>
      <c r="B43" s="298"/>
      <c r="C43" s="298"/>
      <c r="D43" s="298"/>
      <c r="E43" s="305"/>
      <c r="F43" s="304"/>
      <c r="G43" s="304"/>
      <c r="H43" s="56"/>
      <c r="I43" s="318"/>
      <c r="J43" s="323"/>
      <c r="K43" s="324"/>
    </row>
    <row r="44">
      <c r="A44" s="304"/>
      <c r="B44" s="298"/>
      <c r="C44" s="298"/>
      <c r="D44" s="298"/>
      <c r="E44" s="305"/>
      <c r="F44" s="304"/>
      <c r="G44" s="304"/>
      <c r="H44" s="56"/>
      <c r="I44" s="318"/>
      <c r="J44" s="323"/>
      <c r="K44" s="324"/>
    </row>
    <row r="45">
      <c r="A45" s="304"/>
      <c r="B45" s="298"/>
      <c r="C45" s="298"/>
      <c r="D45" s="298"/>
      <c r="E45" s="305"/>
      <c r="F45" s="304"/>
      <c r="G45" s="304"/>
      <c r="H45" s="56"/>
      <c r="I45" s="318"/>
      <c r="J45" s="323"/>
      <c r="K45" s="324"/>
    </row>
  </sheetData>
  <mergeCells count="6">
    <mergeCell ref="B17:B19"/>
    <mergeCell ref="B23:B25"/>
    <mergeCell ref="B26:B28"/>
    <mergeCell ref="B29:B31"/>
    <mergeCell ref="B32:B34"/>
    <mergeCell ref="B35:B37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75"/>
    <col customWidth="1" min="2" max="2" width="5.75"/>
    <col customWidth="1" hidden="1" min="3" max="3" width="18.75"/>
    <col customWidth="1" min="4" max="4" width="21.13"/>
    <col customWidth="1" min="5" max="5" width="83.63"/>
    <col customWidth="1" min="6" max="6" width="11.25"/>
    <col customWidth="1" min="7" max="7" width="11.63"/>
    <col customWidth="1" min="8" max="8" width="7.88"/>
    <col customWidth="1" min="9" max="9" width="8.5"/>
  </cols>
  <sheetData>
    <row r="1" ht="54.75" customHeight="1">
      <c r="A1" s="217"/>
      <c r="B1" s="250" t="s">
        <v>1607</v>
      </c>
      <c r="C1" s="251" t="s">
        <v>1249</v>
      </c>
      <c r="D1" s="251" t="s">
        <v>1249</v>
      </c>
      <c r="E1" s="252" t="s">
        <v>6</v>
      </c>
      <c r="F1" s="19" t="str">
        <f t="array" ref="F1">#REF!</f>
        <v>#REF!</v>
      </c>
      <c r="G1" s="19"/>
      <c r="H1" s="165" t="s">
        <v>20</v>
      </c>
      <c r="I1" s="98"/>
      <c r="J1" s="89"/>
      <c r="K1" s="89"/>
    </row>
    <row r="2">
      <c r="A2" s="56" t="str">
        <f t="shared" ref="A2:A17" si="1">RIGHT(C2,2)</f>
        <v>02</v>
      </c>
      <c r="B2" s="283">
        <v>1.0</v>
      </c>
      <c r="C2" s="219">
        <v>6802.0</v>
      </c>
      <c r="D2" s="218" t="s">
        <v>1609</v>
      </c>
      <c r="E2" s="259" t="str">
        <f>VLOOKUP(TEXT(A2,"#"),Main!$A$2:$C45,3,0)</f>
        <v>Pillar Cock</v>
      </c>
      <c r="F2" s="276">
        <v>2480.0</v>
      </c>
      <c r="G2" s="276">
        <f>'SAPPHIRE (GOLD)'!G2</f>
        <v>2590</v>
      </c>
      <c r="H2" s="261">
        <f t="shared" ref="H2:H39" si="2">IFERROR(DIVIDE(MINUS(G2,F2),G2),)</f>
        <v>0.04247104247</v>
      </c>
      <c r="I2" s="225"/>
      <c r="J2" s="304"/>
      <c r="K2" s="304"/>
    </row>
    <row r="3">
      <c r="A3" s="56" t="str">
        <f t="shared" si="1"/>
        <v>03</v>
      </c>
      <c r="B3" s="257">
        <v>2.0</v>
      </c>
      <c r="C3" s="262">
        <v>6803.0</v>
      </c>
      <c r="D3" s="233" t="s">
        <v>1613</v>
      </c>
      <c r="E3" s="259" t="str">
        <f>VLOOKUP(TEXT(A3,"#"),Main!$A$2:$C45,3,0)</f>
        <v>Pillar Cock Tall Body</v>
      </c>
      <c r="F3" s="276">
        <v>4790.0</v>
      </c>
      <c r="G3" s="276">
        <f>'SAPPHIRE (GOLD)'!G3</f>
        <v>5290</v>
      </c>
      <c r="H3" s="261">
        <f t="shared" si="2"/>
        <v>0.09451795841</v>
      </c>
      <c r="I3" s="225"/>
      <c r="J3" s="304"/>
      <c r="K3" s="304"/>
    </row>
    <row r="4">
      <c r="A4" s="56" t="str">
        <f t="shared" si="1"/>
        <v>04</v>
      </c>
      <c r="B4" s="257">
        <v>3.0</v>
      </c>
      <c r="C4" s="257">
        <v>6804.0</v>
      </c>
      <c r="D4" s="233" t="s">
        <v>1615</v>
      </c>
      <c r="E4" s="259" t="str">
        <f>VLOOKUP(TEXT(A4,"#"),Main!$A$2:$C45,3,0)</f>
        <v>Pillar Cock Extended Body</v>
      </c>
      <c r="F4" s="276">
        <v>3060.0</v>
      </c>
      <c r="G4" s="276">
        <f>'SAPPHIRE (GOLD)'!G4</f>
        <v>3430</v>
      </c>
      <c r="H4" s="261">
        <f t="shared" si="2"/>
        <v>0.1078717201</v>
      </c>
      <c r="I4" s="225"/>
      <c r="J4" s="304"/>
      <c r="K4" s="304"/>
    </row>
    <row r="5">
      <c r="A5" s="56" t="str">
        <f t="shared" si="1"/>
        <v>06</v>
      </c>
      <c r="B5" s="283">
        <v>4.0</v>
      </c>
      <c r="C5" s="262">
        <v>6806.0</v>
      </c>
      <c r="D5" s="233" t="s">
        <v>1616</v>
      </c>
      <c r="E5" s="259" t="str">
        <f>VLOOKUP(TEXT(A5,"#"),Main!$A$2:$C45,3,0)</f>
        <v>Bib Cock with Wall Flange</v>
      </c>
      <c r="F5" s="276">
        <v>1960.0</v>
      </c>
      <c r="G5" s="276">
        <f>'SAPPHIRE (GOLD)'!G5</f>
        <v>2110</v>
      </c>
      <c r="H5" s="261">
        <f t="shared" si="2"/>
        <v>0.07109004739</v>
      </c>
      <c r="I5" s="225"/>
      <c r="J5" s="304"/>
      <c r="K5" s="304"/>
    </row>
    <row r="6">
      <c r="A6" s="56" t="str">
        <f t="shared" si="1"/>
        <v>08</v>
      </c>
      <c r="B6" s="257">
        <v>5.0</v>
      </c>
      <c r="C6" s="262">
        <v>6808.0</v>
      </c>
      <c r="D6" s="233" t="s">
        <v>1618</v>
      </c>
      <c r="E6" s="259" t="str">
        <f>VLOOKUP(TEXT(A6,"#"),Main!$A$2:$C45,3,0)</f>
        <v>Bib Cock Long Body with Wall Flange</v>
      </c>
      <c r="F6" s="276">
        <v>2330.0</v>
      </c>
      <c r="G6" s="276">
        <f>'SAPPHIRE (GOLD)'!G6</f>
        <v>2430</v>
      </c>
      <c r="H6" s="261">
        <f t="shared" si="2"/>
        <v>0.04115226337</v>
      </c>
      <c r="I6" s="225"/>
      <c r="J6" s="304"/>
      <c r="K6" s="304"/>
    </row>
    <row r="7">
      <c r="A7" s="56" t="str">
        <f t="shared" si="1"/>
        <v>10</v>
      </c>
      <c r="B7" s="257">
        <v>6.0</v>
      </c>
      <c r="C7" s="262">
        <v>6810.0</v>
      </c>
      <c r="D7" s="233" t="s">
        <v>1620</v>
      </c>
      <c r="E7" s="259" t="str">
        <f>VLOOKUP(TEXT(A7,"#"),Main!$A$2:$C45,3,0)</f>
        <v>Angular Stop Cock with Wall Flange</v>
      </c>
      <c r="F7" s="276">
        <v>1420.0</v>
      </c>
      <c r="G7" s="276">
        <f>'SAPPHIRE (GOLD)'!G7</f>
        <v>1530</v>
      </c>
      <c r="H7" s="261">
        <f t="shared" si="2"/>
        <v>0.07189542484</v>
      </c>
      <c r="I7" s="225"/>
      <c r="J7" s="304"/>
      <c r="K7" s="304"/>
    </row>
    <row r="8">
      <c r="A8" s="56" t="str">
        <f t="shared" si="1"/>
        <v>11</v>
      </c>
      <c r="B8" s="283">
        <v>7.0</v>
      </c>
      <c r="C8" s="262">
        <v>6811.0</v>
      </c>
      <c r="D8" s="233" t="s">
        <v>1621</v>
      </c>
      <c r="E8" s="259" t="str">
        <f>VLOOKUP(TEXT(A8,"#"),Main!$A$2:$C45,3,0)</f>
        <v>2-Way Angular Stop Cock with Wall Flange</v>
      </c>
      <c r="F8" s="276">
        <v>2590.0</v>
      </c>
      <c r="G8" s="276">
        <f>'SAPPHIRE (GOLD)'!G8</f>
        <v>2760</v>
      </c>
      <c r="H8" s="261">
        <f t="shared" si="2"/>
        <v>0.0615942029</v>
      </c>
      <c r="I8" s="225"/>
      <c r="J8" s="304"/>
      <c r="K8" s="304"/>
    </row>
    <row r="9">
      <c r="A9" s="56" t="str">
        <f t="shared" si="1"/>
        <v>12</v>
      </c>
      <c r="B9" s="257">
        <v>8.0</v>
      </c>
      <c r="C9" s="262">
        <v>6812.0</v>
      </c>
      <c r="D9" s="233" t="s">
        <v>1622</v>
      </c>
      <c r="E9" s="259" t="str">
        <f>VLOOKUP(TEXT(A9,"#"),Main!$A$2:$C45,3,0)</f>
        <v>2-Way Bib Cock Double Handle with Wall Flange</v>
      </c>
      <c r="F9" s="276">
        <v>3380.0</v>
      </c>
      <c r="G9" s="276">
        <f>'SAPPHIRE (GOLD)'!G9</f>
        <v>3690</v>
      </c>
      <c r="H9" s="261">
        <f t="shared" si="2"/>
        <v>0.08401084011</v>
      </c>
      <c r="I9" s="225"/>
      <c r="J9" s="304"/>
      <c r="K9" s="304"/>
    </row>
    <row r="10">
      <c r="A10" s="56" t="str">
        <f t="shared" si="1"/>
        <v>13</v>
      </c>
      <c r="B10" s="257">
        <v>9.0</v>
      </c>
      <c r="C10" s="233">
        <v>6813.0</v>
      </c>
      <c r="D10" s="233" t="s">
        <v>1624</v>
      </c>
      <c r="E10" s="259" t="str">
        <f>VLOOKUP(TEXT(A10,"#"),Main!$A$2:$C45,3,0)</f>
        <v>2-Way Bib Cock Single Handle with Wall Flange</v>
      </c>
      <c r="F10" s="276">
        <v>3040.0</v>
      </c>
      <c r="G10" s="276">
        <f>'SAPPHIRE (GOLD)'!G10</f>
        <v>3110</v>
      </c>
      <c r="H10" s="261">
        <f t="shared" si="2"/>
        <v>0.02250803859</v>
      </c>
      <c r="I10" s="98"/>
      <c r="J10" s="304"/>
      <c r="K10" s="304"/>
    </row>
    <row r="11">
      <c r="A11" s="56" t="str">
        <f t="shared" si="1"/>
        <v>14</v>
      </c>
      <c r="B11" s="283">
        <v>10.0</v>
      </c>
      <c r="C11" s="262">
        <v>6814.0</v>
      </c>
      <c r="D11" s="233" t="s">
        <v>1626</v>
      </c>
      <c r="E11" s="259" t="str">
        <f>VLOOKUP(TEXT(A11,"#"),Main!$A$2:$C45,3,0)</f>
        <v>Swan Neck Table Mounted</v>
      </c>
      <c r="F11" s="276">
        <v>3170.0</v>
      </c>
      <c r="G11" s="276">
        <f>'SAPPHIRE (GOLD)'!G11</f>
        <v>3110</v>
      </c>
      <c r="H11" s="261">
        <f t="shared" si="2"/>
        <v>-0.0192926045</v>
      </c>
      <c r="I11" s="225"/>
      <c r="J11" s="304"/>
      <c r="K11" s="304"/>
    </row>
    <row r="12">
      <c r="A12" s="56" t="str">
        <f t="shared" si="1"/>
        <v>16</v>
      </c>
      <c r="B12" s="257">
        <v>11.0</v>
      </c>
      <c r="C12" s="262">
        <v>6816.0</v>
      </c>
      <c r="D12" s="233" t="s">
        <v>1627</v>
      </c>
      <c r="E12" s="259" t="str">
        <f>VLOOKUP(TEXT(A12,"#"),Main!$A$2:$C45,3,0)</f>
        <v>Sink Cock Wall Mounted with Flange</v>
      </c>
      <c r="F12" s="276">
        <v>2770.0</v>
      </c>
      <c r="G12" s="276">
        <f>'SAPPHIRE (GOLD)'!G12</f>
        <v>2930</v>
      </c>
      <c r="H12" s="261">
        <f t="shared" si="2"/>
        <v>0.05460750853</v>
      </c>
      <c r="I12" s="225"/>
      <c r="J12" s="304"/>
      <c r="K12" s="304"/>
    </row>
    <row r="13">
      <c r="A13" s="56" t="str">
        <f t="shared" si="1"/>
        <v>18</v>
      </c>
      <c r="B13" s="257">
        <v>12.0</v>
      </c>
      <c r="C13" s="262">
        <v>6818.0</v>
      </c>
      <c r="D13" s="233" t="s">
        <v>1628</v>
      </c>
      <c r="E13" s="259" t="str">
        <f>VLOOKUP(TEXT(A13,"#"),Main!$A$2:$C45,3,0)</f>
        <v>Concealed Stop Cock 15mm with Wall Flange</v>
      </c>
      <c r="F13" s="276">
        <v>2110.0</v>
      </c>
      <c r="G13" s="276">
        <f>'SAPPHIRE (GOLD)'!G13</f>
        <v>2210</v>
      </c>
      <c r="H13" s="261">
        <f t="shared" si="2"/>
        <v>0.04524886878</v>
      </c>
      <c r="I13" s="225"/>
      <c r="J13" s="304"/>
      <c r="K13" s="304"/>
    </row>
    <row r="14">
      <c r="A14" s="56" t="str">
        <f t="shared" si="1"/>
        <v>20</v>
      </c>
      <c r="B14" s="283">
        <v>13.0</v>
      </c>
      <c r="C14" s="262">
        <v>6820.0</v>
      </c>
      <c r="D14" s="233" t="s">
        <v>1630</v>
      </c>
      <c r="E14" s="259" t="str">
        <f>VLOOKUP(TEXT(A14,"#"),Main!$A$2:$C45,3,0)</f>
        <v>Concealed Stop Cock 20mm with Wall Flange</v>
      </c>
      <c r="F14" s="276">
        <v>2160.0</v>
      </c>
      <c r="G14" s="276">
        <f>'SAPPHIRE (GOLD)'!G14</f>
        <v>2260</v>
      </c>
      <c r="H14" s="261">
        <f t="shared" si="2"/>
        <v>0.04424778761</v>
      </c>
      <c r="I14" s="225"/>
      <c r="J14" s="304"/>
      <c r="K14" s="304"/>
    </row>
    <row r="15">
      <c r="A15" s="56" t="str">
        <f t="shared" si="1"/>
        <v>51</v>
      </c>
      <c r="B15" s="257">
        <v>14.0</v>
      </c>
      <c r="C15" s="262">
        <v>6851.0</v>
      </c>
      <c r="D15" s="233" t="s">
        <v>1632</v>
      </c>
      <c r="E15" s="259" t="str">
        <f>VLOOKUP(TEXT(A15,"#"),Main!$A$2:$C45,3,0)</f>
        <v>Single Lever Basin Mixer without Popup Waste System</v>
      </c>
      <c r="F15" s="276">
        <v>5660.0</v>
      </c>
      <c r="G15" s="276">
        <f>'SAPPHIRE (GOLD)'!G15</f>
        <v>5990</v>
      </c>
      <c r="H15" s="261">
        <f t="shared" si="2"/>
        <v>0.0550918197</v>
      </c>
      <c r="I15" s="225"/>
      <c r="J15" s="304"/>
      <c r="K15" s="304"/>
    </row>
    <row r="16">
      <c r="A16" s="56" t="str">
        <f t="shared" si="1"/>
        <v>52</v>
      </c>
      <c r="B16" s="233">
        <v>15.0</v>
      </c>
      <c r="C16" s="257">
        <v>6852.0</v>
      </c>
      <c r="D16" s="233" t="s">
        <v>1633</v>
      </c>
      <c r="E16" s="259" t="str">
        <f>VLOOKUP(TEXT(A16,"#"),Main!$A$2:$C45,3,0)</f>
        <v>Single Lever Basin Mixer Tall Body without Popup Waste System</v>
      </c>
      <c r="F16" s="276">
        <v>8430.0</v>
      </c>
      <c r="G16" s="276">
        <f>'SAPPHIRE (GOLD)'!G16</f>
        <v>9210</v>
      </c>
      <c r="H16" s="261">
        <f t="shared" si="2"/>
        <v>0.08469055375</v>
      </c>
      <c r="I16" s="225"/>
      <c r="J16" s="304"/>
      <c r="K16" s="304"/>
    </row>
    <row r="17">
      <c r="A17" s="56" t="str">
        <f t="shared" si="1"/>
        <v>54</v>
      </c>
      <c r="B17" s="325">
        <v>16.0</v>
      </c>
      <c r="C17" s="257">
        <v>6854.0</v>
      </c>
      <c r="D17" s="233" t="s">
        <v>1634</v>
      </c>
      <c r="E17" s="259" t="str">
        <f>VLOOKUP(TEXT(A17,"#"),Main!$A$2:$C45,3,0)</f>
        <v>Single Lever Basin Mixer Wall Mount (Concealed)</v>
      </c>
      <c r="F17" s="276">
        <v>7990.0</v>
      </c>
      <c r="G17" s="276" t="str">
        <f>'SAPPHIRE (GOLD)'!G17</f>
        <v>#REF!</v>
      </c>
      <c r="H17" s="261" t="str">
        <f t="shared" si="2"/>
        <v/>
      </c>
      <c r="I17" s="225"/>
      <c r="J17" s="304"/>
      <c r="K17" s="304"/>
    </row>
    <row r="18">
      <c r="A18" s="269" t="s">
        <v>154</v>
      </c>
      <c r="B18" s="120"/>
      <c r="C18" s="262" t="s">
        <v>154</v>
      </c>
      <c r="D18" s="262" t="s">
        <v>154</v>
      </c>
      <c r="E18" s="259" t="str">
        <f>VLOOKUP(TEXT(A18,"#"),Main!$A$2:$C45,3,0)</f>
        <v>Single Lever Basin Mixer Wall Mount (Body, Cartridge, Sleeve &amp; Nipple)</v>
      </c>
      <c r="F18" s="276">
        <v>3980.0</v>
      </c>
      <c r="G18" s="276" t="str">
        <f>'SAPPHIRE (GOLD)'!G18</f>
        <v>#REF!</v>
      </c>
      <c r="H18" s="261" t="str">
        <f t="shared" si="2"/>
        <v/>
      </c>
      <c r="I18" s="225"/>
      <c r="J18" s="304"/>
      <c r="K18" s="304"/>
    </row>
    <row r="19">
      <c r="A19" s="269" t="s">
        <v>159</v>
      </c>
      <c r="B19" s="145"/>
      <c r="C19" s="262" t="s">
        <v>1063</v>
      </c>
      <c r="D19" s="233" t="s">
        <v>1637</v>
      </c>
      <c r="E19" s="259" t="str">
        <f>VLOOKUP(TEXT(A19,"#"),Main!$A$2:$C45,3,0)</f>
        <v>Exposed Parts (Wall Flange, Handle &amp; Spout)</v>
      </c>
      <c r="F19" s="276">
        <v>4010.0</v>
      </c>
      <c r="G19" s="276">
        <f>'SAPPHIRE (GOLD)'!G19</f>
        <v>4160</v>
      </c>
      <c r="H19" s="261">
        <f t="shared" si="2"/>
        <v>0.03605769231</v>
      </c>
      <c r="I19" s="225"/>
      <c r="J19" s="304"/>
      <c r="K19" s="304"/>
    </row>
    <row r="20">
      <c r="A20" s="56" t="str">
        <f t="shared" ref="A20:A22" si="3">RIGHT(C20,2)</f>
        <v>55</v>
      </c>
      <c r="B20" s="233">
        <v>17.0</v>
      </c>
      <c r="C20" s="262">
        <v>6855.0</v>
      </c>
      <c r="D20" s="233" t="s">
        <v>1638</v>
      </c>
      <c r="E20" s="259" t="str">
        <f>VLOOKUP(TEXT(A20,"#"),Main!$A$2:$C45,3,0)</f>
        <v>Sink Mixer with Regular Spout Wall Mounted with Flange</v>
      </c>
      <c r="F20" s="276">
        <v>5650.0</v>
      </c>
      <c r="G20" s="276">
        <f>'SAPPHIRE (GOLD)'!G20</f>
        <v>5990</v>
      </c>
      <c r="H20" s="261">
        <f t="shared" si="2"/>
        <v>0.05676126878</v>
      </c>
      <c r="I20" s="225"/>
      <c r="J20" s="304"/>
      <c r="K20" s="304"/>
    </row>
    <row r="21">
      <c r="A21" s="56" t="str">
        <f t="shared" si="3"/>
        <v>75</v>
      </c>
      <c r="B21" s="233">
        <v>18.0</v>
      </c>
      <c r="C21" s="257">
        <v>6875.0</v>
      </c>
      <c r="D21" s="233" t="s">
        <v>1640</v>
      </c>
      <c r="E21" s="259" t="str">
        <f>VLOOKUP(TEXT(A21,"#"),Main!$A$2:$C45,3,0)</f>
        <v>Wall Mixer "L" Bend with Wall Flange (Provision For Over Head Shower)</v>
      </c>
      <c r="F21" s="276">
        <v>8980.0</v>
      </c>
      <c r="G21" s="276">
        <f>'SAPPHIRE (GOLD)'!G21</f>
        <v>9690</v>
      </c>
      <c r="H21" s="261">
        <f t="shared" si="2"/>
        <v>0.07327141383</v>
      </c>
      <c r="I21" s="225"/>
      <c r="J21" s="304"/>
      <c r="K21" s="304"/>
    </row>
    <row r="22">
      <c r="A22" s="56" t="str">
        <f t="shared" si="3"/>
        <v>80</v>
      </c>
      <c r="B22" s="233">
        <v>19.0</v>
      </c>
      <c r="C22" s="257">
        <v>6880.0</v>
      </c>
      <c r="D22" s="233" t="s">
        <v>1641</v>
      </c>
      <c r="E22" s="259" t="str">
        <f>VLOOKUP(TEXT(A22,"#"),Main!$A$2:$C45,3,0)</f>
        <v>Wall Mixer 3 In 1 with Wall Flange (Provision For Over Head Shower &amp; Hand Shower)</v>
      </c>
      <c r="F22" s="276">
        <v>9860.0</v>
      </c>
      <c r="G22" s="276">
        <f>'SAPPHIRE (GOLD)'!G22</f>
        <v>10610</v>
      </c>
      <c r="H22" s="261">
        <f t="shared" si="2"/>
        <v>0.07068803016</v>
      </c>
      <c r="I22" s="225"/>
      <c r="J22" s="304"/>
      <c r="K22" s="304"/>
    </row>
    <row r="23">
      <c r="A23" s="227" t="s">
        <v>209</v>
      </c>
      <c r="B23" s="325">
        <v>20.0</v>
      </c>
      <c r="C23" s="257" t="s">
        <v>1070</v>
      </c>
      <c r="D23" s="233" t="s">
        <v>1643</v>
      </c>
      <c r="E23" s="259" t="str">
        <f>VLOOKUP(TEXT(A23,"#"),Main!$A$2:$C45,3,0)</f>
        <v>Single Lever Concealed Diverter Bath &amp; Shower 40mm</v>
      </c>
      <c r="F23" s="276">
        <v>6250.0</v>
      </c>
      <c r="G23" s="276" t="str">
        <f>'SAPPHIRE (GOLD)'!G23</f>
        <v>#REF!</v>
      </c>
      <c r="H23" s="261" t="str">
        <f t="shared" si="2"/>
        <v/>
      </c>
      <c r="I23" s="98"/>
      <c r="J23" s="304"/>
      <c r="K23" s="304"/>
    </row>
    <row r="24">
      <c r="A24" s="269" t="s">
        <v>212</v>
      </c>
      <c r="B24" s="120"/>
      <c r="C24" s="257" t="s">
        <v>212</v>
      </c>
      <c r="D24" s="257" t="s">
        <v>212</v>
      </c>
      <c r="E24" s="259" t="str">
        <f>VLOOKUP(TEXT(A24,"#"),Main!$A$2:$C45,3,0)</f>
        <v>Concealed Diverter Body 40mm (Cartridge, Sleeve, Tipton Assembly)</v>
      </c>
      <c r="F24" s="276">
        <v>3140.0</v>
      </c>
      <c r="G24" s="276" t="str">
        <f>'SAPPHIRE (GOLD)'!G24</f>
        <v>#REF!</v>
      </c>
      <c r="H24" s="261" t="str">
        <f t="shared" si="2"/>
        <v/>
      </c>
      <c r="I24" s="98"/>
      <c r="J24" s="304"/>
      <c r="K24" s="304"/>
    </row>
    <row r="25">
      <c r="A25" s="269" t="s">
        <v>216</v>
      </c>
      <c r="B25" s="145"/>
      <c r="C25" s="257" t="s">
        <v>1072</v>
      </c>
      <c r="D25" s="233" t="s">
        <v>1645</v>
      </c>
      <c r="E25" s="259" t="str">
        <f>VLOOKUP(TEXT(A25,"#"),Main!$A$2:$C45,3,0)</f>
        <v>Exposed Parts (Wall Flange &amp; Handle)</v>
      </c>
      <c r="F25" s="276">
        <v>3110.0</v>
      </c>
      <c r="G25" s="276">
        <f>'SAPPHIRE (GOLD)'!G25</f>
        <v>2930</v>
      </c>
      <c r="H25" s="261">
        <f t="shared" si="2"/>
        <v>-0.0614334471</v>
      </c>
      <c r="I25" s="98"/>
      <c r="J25" s="304"/>
      <c r="K25" s="304"/>
    </row>
    <row r="26">
      <c r="A26" s="227" t="s">
        <v>219</v>
      </c>
      <c r="B26" s="325">
        <v>21.0</v>
      </c>
      <c r="C26" s="257" t="s">
        <v>1073</v>
      </c>
      <c r="D26" s="233" t="s">
        <v>1646</v>
      </c>
      <c r="E26" s="259" t="str">
        <f>VLOOKUP(TEXT(A26,"#"),Main!$A$2:$C45,3,0)</f>
        <v>Single Lever High Flow Concealed Diverter Bath &amp; Shower 46mm</v>
      </c>
      <c r="F26" s="276">
        <v>7100.0</v>
      </c>
      <c r="G26" s="276" t="str">
        <f>'SAPPHIRE (GOLD)'!G26</f>
        <v>#REF!</v>
      </c>
      <c r="H26" s="261" t="str">
        <f t="shared" si="2"/>
        <v/>
      </c>
      <c r="I26" s="98"/>
      <c r="J26" s="304"/>
      <c r="K26" s="304"/>
    </row>
    <row r="27">
      <c r="A27" s="269" t="s">
        <v>223</v>
      </c>
      <c r="B27" s="120"/>
      <c r="C27" s="257" t="s">
        <v>223</v>
      </c>
      <c r="D27" s="257" t="s">
        <v>223</v>
      </c>
      <c r="E27" s="259" t="str">
        <f>VLOOKUP(TEXT(A27,"#"),Main!$A$2:$C45,3,0)</f>
        <v>High Flow Concealed Diverter Body 46mm (Cartridge, Sleeve, Tipton Assembly)</v>
      </c>
      <c r="F27" s="276">
        <v>3990.0</v>
      </c>
      <c r="G27" s="276" t="str">
        <f>'SAPPHIRE (GOLD)'!G27</f>
        <v>#REF!</v>
      </c>
      <c r="H27" s="261" t="str">
        <f t="shared" si="2"/>
        <v/>
      </c>
      <c r="I27" s="98"/>
      <c r="J27" s="304"/>
      <c r="K27" s="304"/>
    </row>
    <row r="28">
      <c r="A28" s="269" t="s">
        <v>226</v>
      </c>
      <c r="B28" s="145"/>
      <c r="C28" s="262" t="s">
        <v>1074</v>
      </c>
      <c r="D28" s="233" t="s">
        <v>1647</v>
      </c>
      <c r="E28" s="259" t="str">
        <f>VLOOKUP(TEXT(A28,"#"),Main!$A$2:$C45,3,0)</f>
        <v>Exposed Parts (Wall Flange &amp; Handle)</v>
      </c>
      <c r="F28" s="276">
        <v>3110.0</v>
      </c>
      <c r="G28" s="276">
        <f>'SAPPHIRE (GOLD)'!G28</f>
        <v>2930</v>
      </c>
      <c r="H28" s="261">
        <f t="shared" si="2"/>
        <v>-0.0614334471</v>
      </c>
      <c r="I28" s="98"/>
      <c r="J28" s="304"/>
      <c r="K28" s="304"/>
    </row>
    <row r="29">
      <c r="A29" s="269" t="s">
        <v>228</v>
      </c>
      <c r="B29" s="325">
        <v>22.0</v>
      </c>
      <c r="C29" s="262" t="s">
        <v>1075</v>
      </c>
      <c r="D29" s="233" t="s">
        <v>1649</v>
      </c>
      <c r="E29" s="259" t="str">
        <f>VLOOKUP(TEXT(A29,"#"),Main!$A$2:$C45,3,0)</f>
        <v>Single Lever High Flow Concealed Diverter Bath &amp; Shower 46mm (ON-OFF)</v>
      </c>
      <c r="F29" s="276">
        <v>7100.0</v>
      </c>
      <c r="G29" s="276" t="str">
        <f>'SAPPHIRE (GOLD)'!G29</f>
        <v>#REF!</v>
      </c>
      <c r="H29" s="261" t="str">
        <f t="shared" si="2"/>
        <v/>
      </c>
      <c r="I29" s="98"/>
      <c r="J29" s="304"/>
      <c r="K29" s="304"/>
    </row>
    <row r="30">
      <c r="A30" s="269" t="s">
        <v>234</v>
      </c>
      <c r="B30" s="120"/>
      <c r="C30" s="262" t="s">
        <v>234</v>
      </c>
      <c r="D30" s="262" t="s">
        <v>234</v>
      </c>
      <c r="E30" s="259" t="str">
        <f>VLOOKUP(TEXT(A30,"#"),Main!$A$2:$C45,3,0)</f>
        <v>High Flow Concealed Diverter Body 46mm (Cartridge, Sleeve, On-Off Assembly)</v>
      </c>
      <c r="F30" s="276">
        <v>3990.0</v>
      </c>
      <c r="G30" s="276" t="str">
        <f>'SAPPHIRE (GOLD)'!G30</f>
        <v>#REF!</v>
      </c>
      <c r="H30" s="261" t="str">
        <f t="shared" si="2"/>
        <v/>
      </c>
      <c r="I30" s="98"/>
      <c r="J30" s="304"/>
      <c r="K30" s="304"/>
    </row>
    <row r="31">
      <c r="A31" s="269" t="s">
        <v>237</v>
      </c>
      <c r="B31" s="145"/>
      <c r="C31" s="257" t="s">
        <v>1079</v>
      </c>
      <c r="D31" s="233" t="s">
        <v>1650</v>
      </c>
      <c r="E31" s="259" t="str">
        <f>VLOOKUP(TEXT(A31,"#"),Main!$A$2:$C45,3,0)</f>
        <v>Exposed Parts (Wall Flange &amp; Handle)</v>
      </c>
      <c r="F31" s="276">
        <v>3110.0</v>
      </c>
      <c r="G31" s="276">
        <f>'SAPPHIRE (GOLD)'!G31</f>
        <v>2930</v>
      </c>
      <c r="H31" s="261">
        <f t="shared" si="2"/>
        <v>-0.0614334471</v>
      </c>
      <c r="I31" s="98"/>
      <c r="J31" s="304"/>
      <c r="K31" s="304"/>
    </row>
    <row r="32">
      <c r="A32" s="227" t="s">
        <v>239</v>
      </c>
      <c r="B32" s="325">
        <v>23.0</v>
      </c>
      <c r="C32" s="257" t="s">
        <v>1095</v>
      </c>
      <c r="D32" s="233" t="s">
        <v>1652</v>
      </c>
      <c r="E32" s="259" t="str">
        <f>VLOOKUP(TEXT(A32,"#"),Main!$A$2:$C45,3,0)</f>
        <v>Single Lever 3 In Let Concealed Diverter Bath &amp; Shower 46mm</v>
      </c>
      <c r="F32" s="276">
        <v>7100.0</v>
      </c>
      <c r="G32" s="276" t="str">
        <f>'SAPPHIRE (GOLD)'!G32</f>
        <v>#REF!</v>
      </c>
      <c r="H32" s="261" t="str">
        <f t="shared" si="2"/>
        <v/>
      </c>
      <c r="I32" s="98"/>
      <c r="J32" s="304"/>
      <c r="K32" s="304"/>
    </row>
    <row r="33">
      <c r="A33" s="269" t="s">
        <v>243</v>
      </c>
      <c r="B33" s="120"/>
      <c r="C33" s="257" t="s">
        <v>243</v>
      </c>
      <c r="D33" s="257" t="s">
        <v>243</v>
      </c>
      <c r="E33" s="259" t="str">
        <f>VLOOKUP(TEXT(A33,"#"),Main!$A$2:$C45,3,0)</f>
        <v>3 In Let Concealed Diverter Body 46mm (Cartridge, Sleeve, Tipton Assembly)</v>
      </c>
      <c r="F33" s="276">
        <v>3990.0</v>
      </c>
      <c r="G33" s="276" t="str">
        <f>'SAPPHIRE (GOLD)'!G33</f>
        <v>#REF!</v>
      </c>
      <c r="H33" s="261" t="str">
        <f t="shared" si="2"/>
        <v/>
      </c>
      <c r="I33" s="98"/>
      <c r="J33" s="304"/>
      <c r="K33" s="304"/>
    </row>
    <row r="34">
      <c r="A34" s="269" t="s">
        <v>247</v>
      </c>
      <c r="B34" s="145"/>
      <c r="C34" s="257" t="s">
        <v>1102</v>
      </c>
      <c r="D34" s="233" t="s">
        <v>1653</v>
      </c>
      <c r="E34" s="259" t="str">
        <f>VLOOKUP(TEXT(A34,"#"),Main!$A$2:$C45,3,0)</f>
        <v>Exposed Parts (Wall Flange &amp; Handle)</v>
      </c>
      <c r="F34" s="276">
        <v>3110.0</v>
      </c>
      <c r="G34" s="276">
        <f>'SAPPHIRE (GOLD)'!G34</f>
        <v>2930</v>
      </c>
      <c r="H34" s="261">
        <f t="shared" si="2"/>
        <v>-0.0614334471</v>
      </c>
      <c r="I34" s="98"/>
      <c r="J34" s="304"/>
      <c r="K34" s="304"/>
    </row>
    <row r="35">
      <c r="A35" s="269" t="s">
        <v>249</v>
      </c>
      <c r="B35" s="325">
        <v>24.0</v>
      </c>
      <c r="C35" s="257" t="s">
        <v>1108</v>
      </c>
      <c r="D35" s="233" t="s">
        <v>1654</v>
      </c>
      <c r="E35" s="259" t="str">
        <f>VLOOKUP(TEXT(A35,"#"),Main!$A$2:$C45,3,0)</f>
        <v>Single Lever 3 In Let Concealed Diverter Bath &amp; Shower 46mm (ON-OFF)</v>
      </c>
      <c r="F35" s="276">
        <v>7100.0</v>
      </c>
      <c r="G35" s="276" t="str">
        <f>'SAPPHIRE (GOLD)'!G35</f>
        <v>#REF!</v>
      </c>
      <c r="H35" s="261" t="str">
        <f t="shared" si="2"/>
        <v/>
      </c>
      <c r="I35" s="98"/>
      <c r="J35" s="304"/>
      <c r="K35" s="304"/>
    </row>
    <row r="36">
      <c r="A36" s="269" t="s">
        <v>253</v>
      </c>
      <c r="B36" s="120"/>
      <c r="C36" s="257" t="s">
        <v>253</v>
      </c>
      <c r="D36" s="257" t="s">
        <v>253</v>
      </c>
      <c r="E36" s="259" t="str">
        <f>VLOOKUP(TEXT(A36,"#"),Main!$A$2:$C45,3,0)</f>
        <v>3 In Let Concealed Diverter Body 46mm (Cartridge, Sleeve, On-Off Assembly)</v>
      </c>
      <c r="F36" s="276">
        <v>3990.0</v>
      </c>
      <c r="G36" s="276" t="str">
        <f>'SAPPHIRE (GOLD)'!G36</f>
        <v>#REF!</v>
      </c>
      <c r="H36" s="261" t="str">
        <f t="shared" si="2"/>
        <v/>
      </c>
      <c r="I36" s="98"/>
      <c r="J36" s="304"/>
      <c r="K36" s="304"/>
    </row>
    <row r="37">
      <c r="A37" s="269" t="s">
        <v>258</v>
      </c>
      <c r="B37" s="145"/>
      <c r="C37" s="257" t="s">
        <v>1112</v>
      </c>
      <c r="D37" s="233" t="s">
        <v>1656</v>
      </c>
      <c r="E37" s="259" t="str">
        <f>VLOOKUP(TEXT(A37,"#"),Main!$A$2:$C45,3,0)</f>
        <v>Exposed Parts (Wall Flange &amp; Handle)</v>
      </c>
      <c r="F37" s="276">
        <v>3110.0</v>
      </c>
      <c r="G37" s="276">
        <f>'SAPPHIRE (GOLD)'!G37</f>
        <v>2930</v>
      </c>
      <c r="H37" s="261">
        <f t="shared" si="2"/>
        <v>-0.0614334471</v>
      </c>
      <c r="I37" s="98"/>
      <c r="J37" s="304"/>
      <c r="K37" s="304"/>
    </row>
    <row r="38">
      <c r="A38" s="56" t="str">
        <f t="shared" ref="A38:A39" si="4">RIGHT(C38,2)</f>
        <v>95</v>
      </c>
      <c r="B38" s="233">
        <v>25.0</v>
      </c>
      <c r="C38" s="257">
        <v>6895.0</v>
      </c>
      <c r="D38" s="233" t="s">
        <v>1658</v>
      </c>
      <c r="E38" s="259" t="str">
        <f>VLOOKUP(TEXT(A38,"#"),Main!$A$2:$C45,3,0)</f>
        <v>Bath Tub Spout with Flange</v>
      </c>
      <c r="F38" s="276">
        <v>1790.0</v>
      </c>
      <c r="G38" s="276">
        <f>'SAPPHIRE (GOLD)'!G38</f>
        <v>1930</v>
      </c>
      <c r="H38" s="261">
        <f t="shared" si="2"/>
        <v>0.0725388601</v>
      </c>
      <c r="I38" s="225"/>
      <c r="J38" s="304"/>
      <c r="K38" s="304"/>
    </row>
    <row r="39">
      <c r="A39" s="56" t="str">
        <f t="shared" si="4"/>
        <v>96</v>
      </c>
      <c r="B39" s="233">
        <v>26.0</v>
      </c>
      <c r="C39" s="262">
        <v>6896.0</v>
      </c>
      <c r="D39" s="233" t="s">
        <v>1660</v>
      </c>
      <c r="E39" s="259" t="str">
        <f>VLOOKUP(TEXT(A39,"#"),Main!$A$2:$C45,3,0)</f>
        <v>Bath Tub Spout Tip Ton with Flange</v>
      </c>
      <c r="F39" s="276">
        <v>2790.0</v>
      </c>
      <c r="G39" s="276">
        <f>'SAPPHIRE (GOLD)'!G39</f>
        <v>3090</v>
      </c>
      <c r="H39" s="261">
        <f t="shared" si="2"/>
        <v>0.09708737864</v>
      </c>
      <c r="I39" s="225"/>
      <c r="J39" s="304"/>
      <c r="K39" s="304"/>
    </row>
    <row r="40">
      <c r="A40" s="304"/>
      <c r="B40" s="298"/>
      <c r="C40" s="298"/>
      <c r="D40" s="298"/>
      <c r="E40" s="305"/>
      <c r="F40" s="304"/>
      <c r="G40" s="304"/>
      <c r="H40" s="304"/>
      <c r="I40" s="56"/>
      <c r="J40" s="304"/>
      <c r="K40" s="304"/>
    </row>
    <row r="41">
      <c r="A41" s="304"/>
      <c r="B41" s="298"/>
      <c r="C41" s="298"/>
      <c r="D41" s="298"/>
      <c r="E41" s="305"/>
      <c r="F41" s="304"/>
      <c r="G41" s="304"/>
      <c r="H41" s="304"/>
      <c r="I41" s="56"/>
      <c r="J41" s="304"/>
      <c r="K41" s="304"/>
    </row>
    <row r="42">
      <c r="A42" s="304"/>
      <c r="B42" s="298"/>
      <c r="C42" s="298"/>
      <c r="D42" s="298"/>
      <c r="E42" s="305"/>
      <c r="F42" s="304"/>
      <c r="G42" s="304"/>
      <c r="H42" s="304"/>
      <c r="I42" s="56"/>
      <c r="J42" s="304"/>
      <c r="K42" s="304"/>
    </row>
    <row r="43">
      <c r="A43" s="304"/>
      <c r="B43" s="298"/>
      <c r="C43" s="298"/>
      <c r="D43" s="298"/>
      <c r="E43" s="305"/>
      <c r="F43" s="304"/>
      <c r="G43" s="304"/>
      <c r="H43" s="304"/>
      <c r="I43" s="56"/>
      <c r="J43" s="304"/>
      <c r="K43" s="304"/>
    </row>
    <row r="44">
      <c r="A44" s="304"/>
      <c r="B44" s="298"/>
      <c r="C44" s="298"/>
      <c r="D44" s="298"/>
      <c r="E44" s="305"/>
      <c r="F44" s="304"/>
      <c r="G44" s="304"/>
      <c r="H44" s="304"/>
      <c r="I44" s="56"/>
      <c r="J44" s="304"/>
      <c r="K44" s="304"/>
    </row>
    <row r="45">
      <c r="A45" s="304"/>
      <c r="B45" s="298"/>
      <c r="C45" s="298"/>
      <c r="D45" s="298"/>
      <c r="E45" s="305"/>
      <c r="F45" s="304"/>
      <c r="G45" s="304"/>
      <c r="H45" s="304"/>
      <c r="I45" s="56"/>
      <c r="J45" s="304"/>
      <c r="K45" s="304"/>
    </row>
  </sheetData>
  <mergeCells count="6">
    <mergeCell ref="B17:B19"/>
    <mergeCell ref="B23:B25"/>
    <mergeCell ref="B26:B28"/>
    <mergeCell ref="B29:B31"/>
    <mergeCell ref="B32:B34"/>
    <mergeCell ref="B35:B37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75"/>
    <col customWidth="1" min="2" max="2" width="5.75"/>
    <col customWidth="1" hidden="1" min="3" max="3" width="18.75"/>
    <col customWidth="1" min="4" max="4" width="19.75"/>
    <col customWidth="1" min="5" max="5" width="83.63"/>
    <col customWidth="1" min="6" max="6" width="11.13"/>
    <col customWidth="1" min="7" max="7" width="11.63"/>
    <col customWidth="1" min="8" max="8" width="8.0"/>
    <col customWidth="1" min="9" max="9" width="8.5"/>
    <col customWidth="1" min="10" max="10" width="8.0"/>
    <col customWidth="1" min="11" max="11" width="7.13"/>
  </cols>
  <sheetData>
    <row r="1" ht="54.75" customHeight="1">
      <c r="A1" s="217"/>
      <c r="B1" s="250" t="s">
        <v>1648</v>
      </c>
      <c r="C1" s="251" t="s">
        <v>1249</v>
      </c>
      <c r="D1" s="251" t="s">
        <v>1249</v>
      </c>
      <c r="E1" s="252" t="s">
        <v>6</v>
      </c>
      <c r="F1" s="19" t="str">
        <f t="array" ref="F1">#REF!</f>
        <v>#REF!</v>
      </c>
      <c r="G1" s="19"/>
      <c r="H1" s="165" t="s">
        <v>20</v>
      </c>
      <c r="I1" s="253">
        <v>1.8</v>
      </c>
      <c r="J1" s="326"/>
      <c r="K1" s="90"/>
    </row>
    <row r="2">
      <c r="A2" s="56" t="str">
        <f t="shared" ref="A2:A17" si="1">RIGHT(C2,2)</f>
        <v>02</v>
      </c>
      <c r="B2" s="283">
        <v>1.0</v>
      </c>
      <c r="C2" s="219">
        <v>6802.0</v>
      </c>
      <c r="D2" s="218" t="s">
        <v>1651</v>
      </c>
      <c r="E2" s="259" t="str">
        <f>VLOOKUP(TEXT(A2,"#"),Main!$A$2:$C45,3,0)</f>
        <v>Pillar Cock</v>
      </c>
      <c r="F2" s="276">
        <v>2760.0</v>
      </c>
      <c r="G2" s="276">
        <v>2930.0</v>
      </c>
      <c r="H2" s="261">
        <f t="shared" ref="H2:H39" si="2">IFERROR(DIVIDE(MINUS(G2,F2),G2),)</f>
        <v>0.05802047782</v>
      </c>
      <c r="I2" s="263" t="str">
        <f>VLOOKUP(C2,'MARCUS 68'!$D$2:$E45,4,0)</f>
        <v>#REF!</v>
      </c>
      <c r="J2" s="323" t="str">
        <f t="shared" ref="J2:J39" si="3">G2/I2</f>
        <v>#REF!</v>
      </c>
      <c r="K2" s="56"/>
    </row>
    <row r="3">
      <c r="A3" s="56" t="str">
        <f t="shared" si="1"/>
        <v>03</v>
      </c>
      <c r="B3" s="257">
        <v>2.0</v>
      </c>
      <c r="C3" s="262">
        <v>6803.0</v>
      </c>
      <c r="D3" s="233" t="s">
        <v>1655</v>
      </c>
      <c r="E3" s="259" t="str">
        <f>VLOOKUP(TEXT(A3,"#"),Main!$A$2:$C45,3,0)</f>
        <v>Pillar Cock Tall Body</v>
      </c>
      <c r="F3" s="276">
        <v>5320.0</v>
      </c>
      <c r="G3" s="276">
        <v>5990.0</v>
      </c>
      <c r="H3" s="261">
        <f t="shared" si="2"/>
        <v>0.1118530885</v>
      </c>
      <c r="I3" s="263" t="str">
        <f>VLOOKUP(C3,'MARCUS 68'!$D$2:$E45,4,0)</f>
        <v>#REF!</v>
      </c>
      <c r="J3" s="323" t="str">
        <f t="shared" si="3"/>
        <v>#REF!</v>
      </c>
      <c r="K3" s="56"/>
    </row>
    <row r="4">
      <c r="A4" s="56" t="str">
        <f t="shared" si="1"/>
        <v>04</v>
      </c>
      <c r="B4" s="257">
        <v>3.0</v>
      </c>
      <c r="C4" s="257">
        <v>6804.0</v>
      </c>
      <c r="D4" s="233" t="s">
        <v>1657</v>
      </c>
      <c r="E4" s="259" t="str">
        <f>VLOOKUP(TEXT(A4,"#"),Main!$A$2:$C45,3,0)</f>
        <v>Pillar Cock Extended Body</v>
      </c>
      <c r="F4" s="276">
        <v>3380.0</v>
      </c>
      <c r="G4" s="276">
        <v>3830.0</v>
      </c>
      <c r="H4" s="261">
        <f t="shared" si="2"/>
        <v>0.1174934726</v>
      </c>
      <c r="I4" s="263" t="str">
        <f>VLOOKUP(C4,'MARCUS 68'!$D$2:$E45,4,0)</f>
        <v>#REF!</v>
      </c>
      <c r="J4" s="323" t="str">
        <f t="shared" si="3"/>
        <v>#REF!</v>
      </c>
      <c r="K4" s="56"/>
    </row>
    <row r="5">
      <c r="A5" s="56" t="str">
        <f t="shared" si="1"/>
        <v>06</v>
      </c>
      <c r="B5" s="283">
        <v>4.0</v>
      </c>
      <c r="C5" s="262">
        <v>6806.0</v>
      </c>
      <c r="D5" s="233" t="s">
        <v>1659</v>
      </c>
      <c r="E5" s="259" t="str">
        <f>VLOOKUP(TEXT(A5,"#"),Main!$A$2:$C45,3,0)</f>
        <v>Bib Cock with Wall Flange</v>
      </c>
      <c r="F5" s="276">
        <v>2180.0</v>
      </c>
      <c r="G5" s="276">
        <v>2380.0</v>
      </c>
      <c r="H5" s="261">
        <f t="shared" si="2"/>
        <v>0.08403361345</v>
      </c>
      <c r="I5" s="263" t="str">
        <f>VLOOKUP(C5,'MARCUS 68'!$D$2:$E45,4,0)</f>
        <v>#REF!</v>
      </c>
      <c r="J5" s="323" t="str">
        <f t="shared" si="3"/>
        <v>#REF!</v>
      </c>
      <c r="K5" s="56"/>
    </row>
    <row r="6">
      <c r="A6" s="56" t="str">
        <f t="shared" si="1"/>
        <v>08</v>
      </c>
      <c r="B6" s="257">
        <v>5.0</v>
      </c>
      <c r="C6" s="262">
        <v>6808.0</v>
      </c>
      <c r="D6" s="233" t="s">
        <v>1661</v>
      </c>
      <c r="E6" s="259" t="str">
        <f>VLOOKUP(TEXT(A6,"#"),Main!$A$2:$C45,3,0)</f>
        <v>Bib Cock Long Body with Wall Flange</v>
      </c>
      <c r="F6" s="276">
        <v>2580.0</v>
      </c>
      <c r="G6" s="276">
        <v>2730.0</v>
      </c>
      <c r="H6" s="261">
        <f t="shared" si="2"/>
        <v>0.05494505495</v>
      </c>
      <c r="I6" s="263" t="str">
        <f>VLOOKUP(C6,'MARCUS 68'!$D$2:$E45,4,0)</f>
        <v>#REF!</v>
      </c>
      <c r="J6" s="323" t="str">
        <f t="shared" si="3"/>
        <v>#REF!</v>
      </c>
      <c r="K6" s="56"/>
    </row>
    <row r="7">
      <c r="A7" s="56" t="str">
        <f t="shared" si="1"/>
        <v>10</v>
      </c>
      <c r="B7" s="257">
        <v>6.0</v>
      </c>
      <c r="C7" s="262">
        <v>6810.0</v>
      </c>
      <c r="D7" s="233" t="s">
        <v>1662</v>
      </c>
      <c r="E7" s="259" t="str">
        <f>VLOOKUP(TEXT(A7,"#"),Main!$A$2:$C45,3,0)</f>
        <v>Angular Stop Cock with Wall Flange</v>
      </c>
      <c r="F7" s="276">
        <v>1580.0</v>
      </c>
      <c r="G7" s="276">
        <v>1730.0</v>
      </c>
      <c r="H7" s="261">
        <f t="shared" si="2"/>
        <v>0.08670520231</v>
      </c>
      <c r="I7" s="263" t="str">
        <f>VLOOKUP(C7,'MARCUS 68'!$D$2:$E45,4,0)</f>
        <v>#REF!</v>
      </c>
      <c r="J7" s="323" t="str">
        <f t="shared" si="3"/>
        <v>#REF!</v>
      </c>
      <c r="K7" s="56"/>
    </row>
    <row r="8">
      <c r="A8" s="56" t="str">
        <f t="shared" si="1"/>
        <v>11</v>
      </c>
      <c r="B8" s="283">
        <v>7.0</v>
      </c>
      <c r="C8" s="262">
        <v>6811.0</v>
      </c>
      <c r="D8" s="233" t="s">
        <v>1663</v>
      </c>
      <c r="E8" s="259" t="str">
        <f>VLOOKUP(TEXT(A8,"#"),Main!$A$2:$C45,3,0)</f>
        <v>2-Way Angular Stop Cock with Wall Flange</v>
      </c>
      <c r="F8" s="276">
        <v>2880.0</v>
      </c>
      <c r="G8" s="276">
        <v>3090.0</v>
      </c>
      <c r="H8" s="261">
        <f t="shared" si="2"/>
        <v>0.06796116505</v>
      </c>
      <c r="I8" s="263" t="str">
        <f>VLOOKUP(C8,'MARCUS 68'!$D$2:$E45,4,0)</f>
        <v>#REF!</v>
      </c>
      <c r="J8" s="323" t="str">
        <f t="shared" si="3"/>
        <v>#REF!</v>
      </c>
      <c r="K8" s="56"/>
    </row>
    <row r="9">
      <c r="A9" s="56" t="str">
        <f t="shared" si="1"/>
        <v>12</v>
      </c>
      <c r="B9" s="257">
        <v>8.0</v>
      </c>
      <c r="C9" s="262">
        <v>6812.0</v>
      </c>
      <c r="D9" s="233" t="s">
        <v>1664</v>
      </c>
      <c r="E9" s="259" t="str">
        <f>VLOOKUP(TEXT(A9,"#"),Main!$A$2:$C45,3,0)</f>
        <v>2-Way Bib Cock Double Handle with Wall Flange</v>
      </c>
      <c r="F9" s="276">
        <v>3760.0</v>
      </c>
      <c r="G9" s="276">
        <v>4130.0</v>
      </c>
      <c r="H9" s="261">
        <f t="shared" si="2"/>
        <v>0.08958837772</v>
      </c>
      <c r="I9" s="263" t="str">
        <f>VLOOKUP(C9,'MARCUS 68'!$D$2:$E45,4,0)</f>
        <v>#REF!</v>
      </c>
      <c r="J9" s="323" t="str">
        <f t="shared" si="3"/>
        <v>#REF!</v>
      </c>
      <c r="K9" s="56"/>
    </row>
    <row r="10">
      <c r="A10" s="56" t="str">
        <f t="shared" si="1"/>
        <v>13</v>
      </c>
      <c r="B10" s="257">
        <v>9.0</v>
      </c>
      <c r="C10" s="233">
        <v>6813.0</v>
      </c>
      <c r="D10" s="233" t="s">
        <v>1666</v>
      </c>
      <c r="E10" s="259" t="str">
        <f>VLOOKUP(TEXT(A10,"#"),Main!$A$2:$C45,3,0)</f>
        <v>2-Way Bib Cock Single Handle with Wall Flange</v>
      </c>
      <c r="F10" s="276">
        <v>3380.0</v>
      </c>
      <c r="G10" s="276">
        <v>3490.0</v>
      </c>
      <c r="H10" s="261">
        <f t="shared" si="2"/>
        <v>0.03151862464</v>
      </c>
      <c r="I10" s="263" t="str">
        <f>VLOOKUP(C10,'MARCUS 68'!$D$2:$E45,4,0)</f>
        <v>#REF!</v>
      </c>
      <c r="J10" s="323" t="str">
        <f t="shared" si="3"/>
        <v>#REF!</v>
      </c>
      <c r="K10" s="56"/>
    </row>
    <row r="11">
      <c r="A11" s="56" t="str">
        <f t="shared" si="1"/>
        <v>14</v>
      </c>
      <c r="B11" s="283">
        <v>10.0</v>
      </c>
      <c r="C11" s="262">
        <v>6814.0</v>
      </c>
      <c r="D11" s="233" t="s">
        <v>1667</v>
      </c>
      <c r="E11" s="259" t="str">
        <f>VLOOKUP(TEXT(A11,"#"),Main!$A$2:$C45,3,0)</f>
        <v>Swan Neck Table Mounted</v>
      </c>
      <c r="F11" s="276">
        <v>3520.0</v>
      </c>
      <c r="G11" s="276">
        <v>3490.0</v>
      </c>
      <c r="H11" s="261">
        <f t="shared" si="2"/>
        <v>-0.008595988539</v>
      </c>
      <c r="I11" s="263" t="str">
        <f>VLOOKUP(C11,'MARCUS 68'!$D$2:$E45,4,0)</f>
        <v>#REF!</v>
      </c>
      <c r="J11" s="323" t="str">
        <f t="shared" si="3"/>
        <v>#REF!</v>
      </c>
      <c r="K11" s="56"/>
    </row>
    <row r="12">
      <c r="A12" s="56" t="str">
        <f t="shared" si="1"/>
        <v>16</v>
      </c>
      <c r="B12" s="257">
        <v>11.0</v>
      </c>
      <c r="C12" s="262">
        <v>6816.0</v>
      </c>
      <c r="D12" s="233" t="s">
        <v>1668</v>
      </c>
      <c r="E12" s="259" t="str">
        <f>VLOOKUP(TEXT(A12,"#"),Main!$A$2:$C45,3,0)</f>
        <v>Sink Cock Wall Mounted with Flange</v>
      </c>
      <c r="F12" s="276">
        <v>3080.0</v>
      </c>
      <c r="G12" s="276">
        <v>3290.0</v>
      </c>
      <c r="H12" s="261">
        <f t="shared" si="2"/>
        <v>0.06382978723</v>
      </c>
      <c r="I12" s="263" t="str">
        <f>VLOOKUP(C12,'MARCUS 68'!$D$2:$E45,4,0)</f>
        <v>#REF!</v>
      </c>
      <c r="J12" s="323" t="str">
        <f t="shared" si="3"/>
        <v>#REF!</v>
      </c>
      <c r="K12" s="56"/>
    </row>
    <row r="13">
      <c r="A13" s="56" t="str">
        <f t="shared" si="1"/>
        <v>18</v>
      </c>
      <c r="B13" s="257">
        <v>12.0</v>
      </c>
      <c r="C13" s="262">
        <v>6818.0</v>
      </c>
      <c r="D13" s="233" t="s">
        <v>1669</v>
      </c>
      <c r="E13" s="259" t="str">
        <f>VLOOKUP(TEXT(A13,"#"),Main!$A$2:$C45,3,0)</f>
        <v>Concealed Stop Cock 15mm with Wall Flange</v>
      </c>
      <c r="F13" s="276">
        <v>2340.0</v>
      </c>
      <c r="G13" s="276">
        <v>2470.0</v>
      </c>
      <c r="H13" s="261">
        <f t="shared" si="2"/>
        <v>0.05263157895</v>
      </c>
      <c r="I13" s="263" t="str">
        <f>VLOOKUP(C13,'MARCUS 68'!$D$2:$E45,4,0)</f>
        <v>#REF!</v>
      </c>
      <c r="J13" s="323" t="str">
        <f t="shared" si="3"/>
        <v>#REF!</v>
      </c>
      <c r="K13" s="56"/>
    </row>
    <row r="14">
      <c r="A14" s="56" t="str">
        <f t="shared" si="1"/>
        <v>20</v>
      </c>
      <c r="B14" s="283">
        <v>13.0</v>
      </c>
      <c r="C14" s="262">
        <v>6820.0</v>
      </c>
      <c r="D14" s="233" t="s">
        <v>1671</v>
      </c>
      <c r="E14" s="259" t="str">
        <f>VLOOKUP(TEXT(A14,"#"),Main!$A$2:$C45,3,0)</f>
        <v>Concealed Stop Cock 20mm with Wall Flange</v>
      </c>
      <c r="F14" s="276">
        <v>2420.0</v>
      </c>
      <c r="G14" s="276">
        <v>2530.0</v>
      </c>
      <c r="H14" s="261">
        <f t="shared" si="2"/>
        <v>0.04347826087</v>
      </c>
      <c r="I14" s="263" t="str">
        <f>VLOOKUP(C14,'MARCUS 68'!$D$2:$E45,4,0)</f>
        <v>#REF!</v>
      </c>
      <c r="J14" s="323" t="str">
        <f t="shared" si="3"/>
        <v>#REF!</v>
      </c>
      <c r="K14" s="56"/>
    </row>
    <row r="15">
      <c r="A15" s="56" t="str">
        <f t="shared" si="1"/>
        <v>51</v>
      </c>
      <c r="B15" s="257">
        <v>14.0</v>
      </c>
      <c r="C15" s="262">
        <v>6851.0</v>
      </c>
      <c r="D15" s="233" t="s">
        <v>1672</v>
      </c>
      <c r="E15" s="259" t="str">
        <f>VLOOKUP(TEXT(A15,"#"),Main!$A$2:$C45,3,0)</f>
        <v>Single Lever Basin Mixer without Popup Waste System</v>
      </c>
      <c r="F15" s="276">
        <v>6280.0</v>
      </c>
      <c r="G15" s="276">
        <v>6760.0</v>
      </c>
      <c r="H15" s="261">
        <f t="shared" si="2"/>
        <v>0.07100591716</v>
      </c>
      <c r="I15" s="263" t="str">
        <f>VLOOKUP(C15,'MARCUS 68'!$D$2:$E45,4,0)</f>
        <v>#REF!</v>
      </c>
      <c r="J15" s="323" t="str">
        <f t="shared" si="3"/>
        <v>#REF!</v>
      </c>
      <c r="K15" s="56"/>
    </row>
    <row r="16">
      <c r="A16" s="56" t="str">
        <f t="shared" si="1"/>
        <v>52</v>
      </c>
      <c r="B16" s="233">
        <v>15.0</v>
      </c>
      <c r="C16" s="257">
        <v>6852.0</v>
      </c>
      <c r="D16" s="233" t="s">
        <v>1673</v>
      </c>
      <c r="E16" s="259" t="str">
        <f>VLOOKUP(TEXT(A16,"#"),Main!$A$2:$C45,3,0)</f>
        <v>Single Lever Basin Mixer Tall Body without Popup Waste System</v>
      </c>
      <c r="F16" s="276">
        <v>9360.0</v>
      </c>
      <c r="G16" s="276">
        <v>10330.0</v>
      </c>
      <c r="H16" s="261">
        <f t="shared" si="2"/>
        <v>0.09390125847</v>
      </c>
      <c r="I16" s="263" t="str">
        <f>VLOOKUP(C16,'MARCUS 68'!$D$2:$E45,4,0)</f>
        <v>#REF!</v>
      </c>
      <c r="J16" s="323" t="str">
        <f t="shared" si="3"/>
        <v>#REF!</v>
      </c>
      <c r="K16" s="56"/>
    </row>
    <row r="17">
      <c r="A17" s="56" t="str">
        <f t="shared" si="1"/>
        <v>54</v>
      </c>
      <c r="B17" s="325">
        <v>16.0</v>
      </c>
      <c r="C17" s="257">
        <v>6854.0</v>
      </c>
      <c r="D17" s="233" t="s">
        <v>1675</v>
      </c>
      <c r="E17" s="259" t="str">
        <f>VLOOKUP(TEXT(A17,"#"),Main!$A$2:$C45,3,0)</f>
        <v>Single Lever Basin Mixer Wall Mount (Concealed)</v>
      </c>
      <c r="F17" s="276">
        <v>8340.0</v>
      </c>
      <c r="G17" s="276" t="str">
        <f>G18+G19</f>
        <v>#REF!</v>
      </c>
      <c r="H17" s="261" t="str">
        <f t="shared" si="2"/>
        <v/>
      </c>
      <c r="I17" s="263" t="str">
        <f>VLOOKUP(C17,'MARCUS 68'!$D$2:$E45,4,0)</f>
        <v>#REF!</v>
      </c>
      <c r="J17" s="323" t="str">
        <f t="shared" si="3"/>
        <v>#REF!</v>
      </c>
      <c r="K17" s="56"/>
    </row>
    <row r="18">
      <c r="A18" s="269" t="s">
        <v>154</v>
      </c>
      <c r="B18" s="120"/>
      <c r="C18" s="262" t="s">
        <v>154</v>
      </c>
      <c r="D18" s="262" t="s">
        <v>154</v>
      </c>
      <c r="E18" s="259" t="str">
        <f>VLOOKUP(TEXT(A18,"#"),Main!$A$2:$C45,3,0)</f>
        <v>Single Lever Basin Mixer Wall Mount (Body, Cartridge, Sleeve &amp; Nipple)</v>
      </c>
      <c r="F18" s="276">
        <v>3980.0</v>
      </c>
      <c r="G18" s="268" t="str">
        <f>VLOOKUP(C18,'MARCUS 68'!$D$2:$E45,4,0)</f>
        <v>#REF!</v>
      </c>
      <c r="H18" s="261" t="str">
        <f t="shared" si="2"/>
        <v/>
      </c>
      <c r="I18" s="263" t="str">
        <f>VLOOKUP(C18,'MARCUS 68'!$D$2:$E45,4,0)</f>
        <v>#REF!</v>
      </c>
      <c r="J18" s="323" t="str">
        <f t="shared" si="3"/>
        <v>#REF!</v>
      </c>
      <c r="K18" s="56"/>
    </row>
    <row r="19">
      <c r="A19" s="269" t="s">
        <v>159</v>
      </c>
      <c r="B19" s="145"/>
      <c r="C19" s="262" t="s">
        <v>1063</v>
      </c>
      <c r="D19" s="233" t="s">
        <v>1678</v>
      </c>
      <c r="E19" s="259" t="str">
        <f>VLOOKUP(TEXT(A19,"#"),Main!$A$2:$C45,3,0)</f>
        <v>Exposed Parts (Wall Flange, Handle &amp; Spout)</v>
      </c>
      <c r="F19" s="276">
        <v>4360.0</v>
      </c>
      <c r="G19" s="276">
        <v>4490.0</v>
      </c>
      <c r="H19" s="261">
        <f t="shared" si="2"/>
        <v>0.0289532294</v>
      </c>
      <c r="I19" s="263" t="str">
        <f>VLOOKUP(C19,'MARCUS 68'!$D$2:$E45,4,0)</f>
        <v>#REF!</v>
      </c>
      <c r="J19" s="323" t="str">
        <f t="shared" si="3"/>
        <v>#REF!</v>
      </c>
      <c r="K19" s="56"/>
    </row>
    <row r="20">
      <c r="A20" s="56" t="str">
        <f t="shared" ref="A20:A22" si="4">RIGHT(C20,2)</f>
        <v>55</v>
      </c>
      <c r="B20" s="233">
        <v>17.0</v>
      </c>
      <c r="C20" s="262">
        <v>6855.0</v>
      </c>
      <c r="D20" s="233" t="s">
        <v>1680</v>
      </c>
      <c r="E20" s="259" t="str">
        <f>VLOOKUP(TEXT(A20,"#"),Main!$A$2:$C45,3,0)</f>
        <v>Sink Mixer with Regular Spout Wall Mounted with Flange</v>
      </c>
      <c r="F20" s="276">
        <v>6280.0</v>
      </c>
      <c r="G20" s="276">
        <v>6760.0</v>
      </c>
      <c r="H20" s="261">
        <f t="shared" si="2"/>
        <v>0.07100591716</v>
      </c>
      <c r="I20" s="263" t="str">
        <f>VLOOKUP(C20,'MARCUS 68'!$D$2:$E45,4,0)</f>
        <v>#REF!</v>
      </c>
      <c r="J20" s="323" t="str">
        <f t="shared" si="3"/>
        <v>#REF!</v>
      </c>
      <c r="K20" s="56"/>
    </row>
    <row r="21">
      <c r="A21" s="56" t="str">
        <f t="shared" si="4"/>
        <v>75</v>
      </c>
      <c r="B21" s="233">
        <v>18.0</v>
      </c>
      <c r="C21" s="257">
        <v>6875.0</v>
      </c>
      <c r="D21" s="233" t="s">
        <v>1682</v>
      </c>
      <c r="E21" s="259" t="str">
        <f>VLOOKUP(TEXT(A21,"#"),Main!$A$2:$C45,3,0)</f>
        <v>Wall Mixer "L" Bend with Wall Flange (Provision For Over Head Shower)</v>
      </c>
      <c r="F21" s="276">
        <v>9980.0</v>
      </c>
      <c r="G21" s="276">
        <v>10870.0</v>
      </c>
      <c r="H21" s="261">
        <f t="shared" si="2"/>
        <v>0.08187672493</v>
      </c>
      <c r="I21" s="263" t="str">
        <f>VLOOKUP(C21,'MARCUS 68'!$D$2:$E45,4,0)</f>
        <v>#REF!</v>
      </c>
      <c r="J21" s="323" t="str">
        <f t="shared" si="3"/>
        <v>#REF!</v>
      </c>
      <c r="K21" s="56"/>
    </row>
    <row r="22">
      <c r="A22" s="56" t="str">
        <f t="shared" si="4"/>
        <v>80</v>
      </c>
      <c r="B22" s="233">
        <v>19.0</v>
      </c>
      <c r="C22" s="257">
        <v>6880.0</v>
      </c>
      <c r="D22" s="233" t="s">
        <v>1683</v>
      </c>
      <c r="E22" s="259" t="str">
        <f>VLOOKUP(TEXT(A22,"#"),Main!$A$2:$C45,3,0)</f>
        <v>Wall Mixer 3 In 1 with Wall Flange (Provision For Over Head Shower &amp; Hand Shower)</v>
      </c>
      <c r="F22" s="276">
        <v>10960.0</v>
      </c>
      <c r="G22" s="276">
        <v>11910.0</v>
      </c>
      <c r="H22" s="261">
        <f t="shared" si="2"/>
        <v>0.07976490344</v>
      </c>
      <c r="I22" s="263" t="str">
        <f>VLOOKUP(C22,'MARCUS 68'!$D$2:$E45,4,0)</f>
        <v>#REF!</v>
      </c>
      <c r="J22" s="323" t="str">
        <f t="shared" si="3"/>
        <v>#REF!</v>
      </c>
      <c r="K22" s="56"/>
    </row>
    <row r="23">
      <c r="A23" s="227" t="s">
        <v>209</v>
      </c>
      <c r="B23" s="325">
        <v>20.0</v>
      </c>
      <c r="C23" s="257" t="s">
        <v>1070</v>
      </c>
      <c r="D23" s="233" t="s">
        <v>1685</v>
      </c>
      <c r="E23" s="259" t="str">
        <f>VLOOKUP(TEXT(A23,"#"),Main!$A$2:$C45,3,0)</f>
        <v>Single Lever Concealed Diverter Bath &amp; Shower 40mm</v>
      </c>
      <c r="F23" s="276">
        <v>6590.0</v>
      </c>
      <c r="G23" s="276" t="str">
        <f>G24+G25</f>
        <v>#REF!</v>
      </c>
      <c r="H23" s="261" t="str">
        <f t="shared" si="2"/>
        <v/>
      </c>
      <c r="I23" s="263" t="str">
        <f>VLOOKUP(C23,'MARCUS 68'!$D$2:$E45,4,0)</f>
        <v>#REF!</v>
      </c>
      <c r="J23" s="323" t="str">
        <f t="shared" si="3"/>
        <v>#REF!</v>
      </c>
      <c r="K23" s="56"/>
    </row>
    <row r="24">
      <c r="A24" s="269" t="s">
        <v>212</v>
      </c>
      <c r="B24" s="120"/>
      <c r="C24" s="257" t="s">
        <v>212</v>
      </c>
      <c r="D24" s="257" t="s">
        <v>212</v>
      </c>
      <c r="E24" s="259" t="str">
        <f>VLOOKUP(TEXT(A24,"#"),Main!$A$2:$C45,3,0)</f>
        <v>Concealed Diverter Body 40mm (Cartridge, Sleeve, Tipton Assembly)</v>
      </c>
      <c r="F24" s="276">
        <v>3140.0</v>
      </c>
      <c r="G24" s="268" t="str">
        <f>VLOOKUP(C24,'MARCUS 68'!$D$2:$E45,4,0)</f>
        <v>#REF!</v>
      </c>
      <c r="H24" s="261" t="str">
        <f t="shared" si="2"/>
        <v/>
      </c>
      <c r="I24" s="263" t="str">
        <f>VLOOKUP(C24,'MARCUS 68'!$D$2:$E45,4,0)</f>
        <v>#REF!</v>
      </c>
      <c r="J24" s="323" t="str">
        <f t="shared" si="3"/>
        <v>#REF!</v>
      </c>
      <c r="K24" s="56"/>
    </row>
    <row r="25">
      <c r="A25" s="269" t="s">
        <v>216</v>
      </c>
      <c r="B25" s="145"/>
      <c r="C25" s="257" t="s">
        <v>1072</v>
      </c>
      <c r="D25" s="233" t="s">
        <v>1689</v>
      </c>
      <c r="E25" s="259" t="str">
        <f>VLOOKUP(TEXT(A25,"#"),Main!$A$2:$C45,3,0)</f>
        <v>Exposed Parts (Wall Flange &amp; Handle)</v>
      </c>
      <c r="F25" s="276">
        <v>3450.0</v>
      </c>
      <c r="G25" s="276">
        <v>3430.0</v>
      </c>
      <c r="H25" s="261">
        <f t="shared" si="2"/>
        <v>-0.00583090379</v>
      </c>
      <c r="I25" s="263" t="str">
        <f>VLOOKUP(C25,'MARCUS 68'!$D$2:$E45,4,0)</f>
        <v>#REF!</v>
      </c>
      <c r="J25" s="323" t="str">
        <f t="shared" si="3"/>
        <v>#REF!</v>
      </c>
      <c r="K25" s="56"/>
    </row>
    <row r="26">
      <c r="A26" s="227" t="s">
        <v>219</v>
      </c>
      <c r="B26" s="325">
        <v>21.0</v>
      </c>
      <c r="C26" s="257" t="s">
        <v>1073</v>
      </c>
      <c r="D26" s="233" t="s">
        <v>1691</v>
      </c>
      <c r="E26" s="259" t="str">
        <f>VLOOKUP(TEXT(A26,"#"),Main!$A$2:$C45,3,0)</f>
        <v>Single Lever High Flow Concealed Diverter Bath &amp; Shower 46mm</v>
      </c>
      <c r="F26" s="276">
        <v>7440.0</v>
      </c>
      <c r="G26" s="276" t="str">
        <f>G27+G28</f>
        <v>#REF!</v>
      </c>
      <c r="H26" s="261" t="str">
        <f t="shared" si="2"/>
        <v/>
      </c>
      <c r="I26" s="263" t="str">
        <f>VLOOKUP(C26,'MARCUS 68'!$D$2:$E45,4,0)</f>
        <v>#REF!</v>
      </c>
      <c r="J26" s="323" t="str">
        <f t="shared" si="3"/>
        <v>#REF!</v>
      </c>
      <c r="K26" s="56"/>
    </row>
    <row r="27">
      <c r="A27" s="269" t="s">
        <v>223</v>
      </c>
      <c r="B27" s="120"/>
      <c r="C27" s="257" t="s">
        <v>223</v>
      </c>
      <c r="D27" s="257" t="s">
        <v>223</v>
      </c>
      <c r="E27" s="259" t="str">
        <f>VLOOKUP(TEXT(A27,"#"),Main!$A$2:$C45,3,0)</f>
        <v>High Flow Concealed Diverter Body 46mm (Cartridge, Sleeve, Tipton Assembly)</v>
      </c>
      <c r="F27" s="276">
        <v>3990.0</v>
      </c>
      <c r="G27" s="268" t="str">
        <f>VLOOKUP(C27,'MARCUS 68'!$D$2:$E45,4,0)</f>
        <v>#REF!</v>
      </c>
      <c r="H27" s="261" t="str">
        <f t="shared" si="2"/>
        <v/>
      </c>
      <c r="I27" s="263" t="str">
        <f>VLOOKUP(C27,'MARCUS 68'!$D$2:$E45,4,0)</f>
        <v>#REF!</v>
      </c>
      <c r="J27" s="323" t="str">
        <f t="shared" si="3"/>
        <v>#REF!</v>
      </c>
      <c r="K27" s="56"/>
    </row>
    <row r="28">
      <c r="A28" s="269" t="s">
        <v>226</v>
      </c>
      <c r="B28" s="145"/>
      <c r="C28" s="262" t="s">
        <v>1074</v>
      </c>
      <c r="D28" s="233" t="s">
        <v>1695</v>
      </c>
      <c r="E28" s="259" t="str">
        <f>VLOOKUP(TEXT(A28,"#"),Main!$A$2:$C45,3,0)</f>
        <v>Exposed Parts (Wall Flange &amp; Handle)</v>
      </c>
      <c r="F28" s="276">
        <v>3450.0</v>
      </c>
      <c r="G28" s="276">
        <v>3430.0</v>
      </c>
      <c r="H28" s="261">
        <f t="shared" si="2"/>
        <v>-0.00583090379</v>
      </c>
      <c r="I28" s="263" t="str">
        <f>VLOOKUP(C28,'MARCUS 68'!$D$2:$E45,4,0)</f>
        <v>#REF!</v>
      </c>
      <c r="J28" s="323" t="str">
        <f t="shared" si="3"/>
        <v>#REF!</v>
      </c>
      <c r="K28" s="56"/>
    </row>
    <row r="29">
      <c r="A29" s="269" t="s">
        <v>228</v>
      </c>
      <c r="B29" s="325">
        <v>22.0</v>
      </c>
      <c r="C29" s="262" t="s">
        <v>1075</v>
      </c>
      <c r="D29" s="233" t="s">
        <v>1696</v>
      </c>
      <c r="E29" s="259" t="str">
        <f>VLOOKUP(TEXT(A29,"#"),Main!$A$2:$C45,3,0)</f>
        <v>Single Lever High Flow Concealed Diverter Bath &amp; Shower 46mm (ON-OFF)</v>
      </c>
      <c r="F29" s="276">
        <v>7440.0</v>
      </c>
      <c r="G29" s="276" t="str">
        <f>G30+G31</f>
        <v>#REF!</v>
      </c>
      <c r="H29" s="261" t="str">
        <f t="shared" si="2"/>
        <v/>
      </c>
      <c r="I29" s="263" t="str">
        <f>VLOOKUP(C29,'MARCUS 68'!$D$2:$E45,4,0)</f>
        <v>#REF!</v>
      </c>
      <c r="J29" s="323" t="str">
        <f t="shared" si="3"/>
        <v>#REF!</v>
      </c>
      <c r="K29" s="56"/>
    </row>
    <row r="30">
      <c r="A30" s="269" t="s">
        <v>234</v>
      </c>
      <c r="B30" s="120"/>
      <c r="C30" s="262" t="s">
        <v>234</v>
      </c>
      <c r="D30" s="262" t="s">
        <v>234</v>
      </c>
      <c r="E30" s="259" t="str">
        <f>VLOOKUP(TEXT(A30,"#"),Main!$A$2:$C45,3,0)</f>
        <v>High Flow Concealed Diverter Body 46mm (Cartridge, Sleeve, On-Off Assembly)</v>
      </c>
      <c r="F30" s="276">
        <v>3990.0</v>
      </c>
      <c r="G30" s="268" t="str">
        <f>VLOOKUP(C30,'MARCUS 68'!$D$2:$E45,4,0)</f>
        <v>#REF!</v>
      </c>
      <c r="H30" s="261" t="str">
        <f t="shared" si="2"/>
        <v/>
      </c>
      <c r="I30" s="263" t="str">
        <f>VLOOKUP(C30,'MARCUS 68'!$D$2:$E45,4,0)</f>
        <v>#REF!</v>
      </c>
      <c r="J30" s="323" t="str">
        <f t="shared" si="3"/>
        <v>#REF!</v>
      </c>
      <c r="K30" s="56"/>
    </row>
    <row r="31">
      <c r="A31" s="269" t="s">
        <v>237</v>
      </c>
      <c r="B31" s="145"/>
      <c r="C31" s="257" t="s">
        <v>1079</v>
      </c>
      <c r="D31" s="233" t="s">
        <v>1698</v>
      </c>
      <c r="E31" s="259" t="str">
        <f>VLOOKUP(TEXT(A31,"#"),Main!$A$2:$C45,3,0)</f>
        <v>Exposed Parts (Wall Flange &amp; Handle)</v>
      </c>
      <c r="F31" s="276">
        <v>3450.0</v>
      </c>
      <c r="G31" s="276">
        <v>3430.0</v>
      </c>
      <c r="H31" s="261">
        <f t="shared" si="2"/>
        <v>-0.00583090379</v>
      </c>
      <c r="I31" s="263" t="str">
        <f>VLOOKUP(C31,'MARCUS 68'!$D$2:$E45,4,0)</f>
        <v>#REF!</v>
      </c>
      <c r="J31" s="323" t="str">
        <f t="shared" si="3"/>
        <v>#REF!</v>
      </c>
      <c r="K31" s="56"/>
    </row>
    <row r="32">
      <c r="A32" s="227" t="s">
        <v>239</v>
      </c>
      <c r="B32" s="325">
        <v>23.0</v>
      </c>
      <c r="C32" s="257" t="s">
        <v>1095</v>
      </c>
      <c r="D32" s="233" t="s">
        <v>1699</v>
      </c>
      <c r="E32" s="259" t="str">
        <f>VLOOKUP(TEXT(A32,"#"),Main!$A$2:$C45,3,0)</f>
        <v>Single Lever 3 In Let Concealed Diverter Bath &amp; Shower 46mm</v>
      </c>
      <c r="F32" s="276">
        <v>7440.0</v>
      </c>
      <c r="G32" s="276" t="str">
        <f>G33+G34</f>
        <v>#REF!</v>
      </c>
      <c r="H32" s="261" t="str">
        <f t="shared" si="2"/>
        <v/>
      </c>
      <c r="I32" s="263" t="str">
        <f>VLOOKUP(C32,'MARCUS 68'!$D$2:$E45,4,0)</f>
        <v>#REF!</v>
      </c>
      <c r="J32" s="323" t="str">
        <f t="shared" si="3"/>
        <v>#REF!</v>
      </c>
      <c r="K32" s="56"/>
    </row>
    <row r="33">
      <c r="A33" s="269" t="s">
        <v>243</v>
      </c>
      <c r="B33" s="120"/>
      <c r="C33" s="257" t="s">
        <v>243</v>
      </c>
      <c r="D33" s="257" t="s">
        <v>243</v>
      </c>
      <c r="E33" s="259" t="str">
        <f>VLOOKUP(TEXT(A33,"#"),Main!$A$2:$C45,3,0)</f>
        <v>3 In Let Concealed Diverter Body 46mm (Cartridge, Sleeve, Tipton Assembly)</v>
      </c>
      <c r="F33" s="276">
        <v>3990.0</v>
      </c>
      <c r="G33" s="268" t="str">
        <f>VLOOKUP(C33,'MARCUS 68'!$D$2:$E45,4,0)</f>
        <v>#REF!</v>
      </c>
      <c r="H33" s="261" t="str">
        <f t="shared" si="2"/>
        <v/>
      </c>
      <c r="I33" s="263" t="str">
        <f>VLOOKUP(C33,'MARCUS 68'!$D$2:$E45,4,0)</f>
        <v>#REF!</v>
      </c>
      <c r="J33" s="323" t="str">
        <f t="shared" si="3"/>
        <v>#REF!</v>
      </c>
      <c r="K33" s="56"/>
    </row>
    <row r="34">
      <c r="A34" s="269" t="s">
        <v>247</v>
      </c>
      <c r="B34" s="145"/>
      <c r="C34" s="257" t="s">
        <v>1102</v>
      </c>
      <c r="D34" s="233" t="s">
        <v>1701</v>
      </c>
      <c r="E34" s="259" t="str">
        <f>VLOOKUP(TEXT(A34,"#"),Main!$A$2:$C45,3,0)</f>
        <v>Exposed Parts (Wall Flange &amp; Handle)</v>
      </c>
      <c r="F34" s="276">
        <v>3450.0</v>
      </c>
      <c r="G34" s="276">
        <v>3430.0</v>
      </c>
      <c r="H34" s="261">
        <f t="shared" si="2"/>
        <v>-0.00583090379</v>
      </c>
      <c r="I34" s="263" t="str">
        <f>VLOOKUP(C34,'MARCUS 68'!$D$2:$E45,4,0)</f>
        <v>#REF!</v>
      </c>
      <c r="J34" s="323" t="str">
        <f t="shared" si="3"/>
        <v>#REF!</v>
      </c>
      <c r="K34" s="56"/>
    </row>
    <row r="35">
      <c r="A35" s="269" t="s">
        <v>249</v>
      </c>
      <c r="B35" s="325">
        <v>24.0</v>
      </c>
      <c r="C35" s="257" t="s">
        <v>1108</v>
      </c>
      <c r="D35" s="233" t="s">
        <v>1702</v>
      </c>
      <c r="E35" s="259" t="str">
        <f>VLOOKUP(TEXT(A35,"#"),Main!$A$2:$C45,3,0)</f>
        <v>Single Lever 3 In Let Concealed Diverter Bath &amp; Shower 46mm (ON-OFF)</v>
      </c>
      <c r="F35" s="276">
        <v>7440.0</v>
      </c>
      <c r="G35" s="276" t="str">
        <f>G36+G37</f>
        <v>#REF!</v>
      </c>
      <c r="H35" s="261" t="str">
        <f t="shared" si="2"/>
        <v/>
      </c>
      <c r="I35" s="263" t="str">
        <f>VLOOKUP(C35,'MARCUS 68'!$D$2:$E45,4,0)</f>
        <v>#REF!</v>
      </c>
      <c r="J35" s="323" t="str">
        <f t="shared" si="3"/>
        <v>#REF!</v>
      </c>
      <c r="K35" s="56"/>
    </row>
    <row r="36">
      <c r="A36" s="269" t="s">
        <v>253</v>
      </c>
      <c r="B36" s="120"/>
      <c r="C36" s="257" t="s">
        <v>253</v>
      </c>
      <c r="D36" s="257" t="s">
        <v>253</v>
      </c>
      <c r="E36" s="259" t="str">
        <f>VLOOKUP(TEXT(A36,"#"),Main!$A$2:$C45,3,0)</f>
        <v>3 In Let Concealed Diverter Body 46mm (Cartridge, Sleeve, On-Off Assembly)</v>
      </c>
      <c r="F36" s="276">
        <v>3990.0</v>
      </c>
      <c r="G36" s="268" t="str">
        <f>VLOOKUP(C36,'MARCUS 68'!$D$2:$E45,4,0)</f>
        <v>#REF!</v>
      </c>
      <c r="H36" s="261" t="str">
        <f t="shared" si="2"/>
        <v/>
      </c>
      <c r="I36" s="263" t="str">
        <f>VLOOKUP(C36,'MARCUS 68'!$D$2:$E45,4,0)</f>
        <v>#REF!</v>
      </c>
      <c r="J36" s="323" t="str">
        <f t="shared" si="3"/>
        <v>#REF!</v>
      </c>
      <c r="K36" s="56"/>
    </row>
    <row r="37">
      <c r="A37" s="269" t="s">
        <v>258</v>
      </c>
      <c r="B37" s="145"/>
      <c r="C37" s="257" t="s">
        <v>1112</v>
      </c>
      <c r="D37" s="233" t="s">
        <v>1705</v>
      </c>
      <c r="E37" s="259" t="str">
        <f>VLOOKUP(TEXT(A37,"#"),Main!$A$2:$C45,3,0)</f>
        <v>Exposed Parts (Wall Flange &amp; Handle)</v>
      </c>
      <c r="F37" s="276">
        <v>3450.0</v>
      </c>
      <c r="G37" s="276">
        <v>3430.0</v>
      </c>
      <c r="H37" s="261">
        <f t="shared" si="2"/>
        <v>-0.00583090379</v>
      </c>
      <c r="I37" s="263" t="str">
        <f>VLOOKUP(C37,'MARCUS 68'!$D$2:$E45,4,0)</f>
        <v>#REF!</v>
      </c>
      <c r="J37" s="323" t="str">
        <f t="shared" si="3"/>
        <v>#REF!</v>
      </c>
      <c r="K37" s="56"/>
    </row>
    <row r="38">
      <c r="A38" s="56" t="str">
        <f t="shared" ref="A38:A39" si="5">RIGHT(C38,2)</f>
        <v>95</v>
      </c>
      <c r="B38" s="233">
        <v>25.0</v>
      </c>
      <c r="C38" s="257">
        <v>6895.0</v>
      </c>
      <c r="D38" s="233" t="s">
        <v>1707</v>
      </c>
      <c r="E38" s="259" t="str">
        <f>VLOOKUP(TEXT(A38,"#"),Main!$A$2:$C45,3,0)</f>
        <v>Bath Tub Spout with Flange</v>
      </c>
      <c r="F38" s="276">
        <v>1980.0</v>
      </c>
      <c r="G38" s="276">
        <v>2160.0</v>
      </c>
      <c r="H38" s="261">
        <f t="shared" si="2"/>
        <v>0.08333333333</v>
      </c>
      <c r="I38" s="263" t="str">
        <f>VLOOKUP(C38,'MARCUS 68'!$D$2:$E45,4,0)</f>
        <v>#REF!</v>
      </c>
      <c r="J38" s="323" t="str">
        <f t="shared" si="3"/>
        <v>#REF!</v>
      </c>
      <c r="K38" s="56"/>
    </row>
    <row r="39">
      <c r="A39" s="56" t="str">
        <f t="shared" si="5"/>
        <v>96</v>
      </c>
      <c r="B39" s="233">
        <v>26.0</v>
      </c>
      <c r="C39" s="262">
        <v>6896.0</v>
      </c>
      <c r="D39" s="233" t="s">
        <v>1708</v>
      </c>
      <c r="E39" s="259" t="str">
        <f>VLOOKUP(TEXT(A39,"#"),Main!$A$2:$C45,3,0)</f>
        <v>Bath Tub Spout Tip Ton with Flange</v>
      </c>
      <c r="F39" s="276">
        <v>3090.0</v>
      </c>
      <c r="G39" s="276">
        <v>3430.0</v>
      </c>
      <c r="H39" s="261">
        <f t="shared" si="2"/>
        <v>0.09912536443</v>
      </c>
      <c r="I39" s="263" t="str">
        <f>VLOOKUP(C39,'MARCUS 68'!$D$2:$E45,4,0)</f>
        <v>#REF!</v>
      </c>
      <c r="J39" s="323" t="str">
        <f t="shared" si="3"/>
        <v>#REF!</v>
      </c>
      <c r="K39" s="56"/>
    </row>
    <row r="40">
      <c r="A40" s="304"/>
      <c r="B40" s="298"/>
      <c r="C40" s="298"/>
      <c r="D40" s="298"/>
      <c r="E40" s="305"/>
      <c r="F40" s="304"/>
      <c r="G40" s="304"/>
      <c r="H40" s="56"/>
      <c r="I40" s="318"/>
      <c r="J40" s="323"/>
      <c r="K40" s="56"/>
    </row>
    <row r="41">
      <c r="A41" s="304"/>
      <c r="B41" s="298"/>
      <c r="C41" s="298"/>
      <c r="D41" s="298"/>
      <c r="E41" s="305"/>
      <c r="F41" s="304"/>
      <c r="G41" s="304"/>
      <c r="H41" s="56"/>
      <c r="I41" s="318"/>
      <c r="J41" s="323"/>
      <c r="K41" s="56"/>
    </row>
    <row r="42">
      <c r="A42" s="304"/>
      <c r="B42" s="298"/>
      <c r="C42" s="298"/>
      <c r="D42" s="298"/>
      <c r="E42" s="305"/>
      <c r="F42" s="304"/>
      <c r="G42" s="304"/>
      <c r="H42" s="56"/>
      <c r="I42" s="318"/>
      <c r="J42" s="323"/>
      <c r="K42" s="56"/>
    </row>
    <row r="43">
      <c r="A43" s="304"/>
      <c r="B43" s="298"/>
      <c r="C43" s="298"/>
      <c r="D43" s="298"/>
      <c r="E43" s="305"/>
      <c r="F43" s="304"/>
      <c r="G43" s="304"/>
      <c r="H43" s="56"/>
      <c r="I43" s="318"/>
      <c r="J43" s="323"/>
      <c r="K43" s="56"/>
    </row>
    <row r="44">
      <c r="A44" s="304"/>
      <c r="B44" s="298"/>
      <c r="C44" s="298"/>
      <c r="D44" s="298"/>
      <c r="E44" s="305"/>
      <c r="F44" s="304"/>
      <c r="G44" s="304"/>
      <c r="H44" s="56"/>
      <c r="I44" s="318"/>
      <c r="J44" s="323"/>
      <c r="K44" s="56"/>
    </row>
    <row r="45">
      <c r="A45" s="304"/>
      <c r="B45" s="298"/>
      <c r="C45" s="298"/>
      <c r="D45" s="298"/>
      <c r="E45" s="305"/>
      <c r="F45" s="304"/>
      <c r="G45" s="304"/>
      <c r="H45" s="56"/>
      <c r="I45" s="318"/>
      <c r="J45" s="323"/>
      <c r="K45" s="56"/>
    </row>
  </sheetData>
  <mergeCells count="6">
    <mergeCell ref="B17:B19"/>
    <mergeCell ref="B23:B25"/>
    <mergeCell ref="B26:B28"/>
    <mergeCell ref="B29:B31"/>
    <mergeCell ref="B32:B34"/>
    <mergeCell ref="B35:B37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0"/>
    <col customWidth="1" min="2" max="2" width="5.38"/>
    <col customWidth="1" hidden="1" min="3" max="3" width="18.75"/>
    <col customWidth="1" min="4" max="4" width="20.0"/>
    <col customWidth="1" min="5" max="5" width="83.63"/>
    <col customWidth="1" min="6" max="6" width="11.13"/>
    <col customWidth="1" min="7" max="7" width="11.63"/>
    <col customWidth="1" min="8" max="8" width="8.0"/>
    <col customWidth="1" min="9" max="9" width="12.75"/>
    <col customWidth="1" min="10" max="10" width="7.0"/>
  </cols>
  <sheetData>
    <row r="1">
      <c r="A1" s="3"/>
      <c r="B1" s="250" t="s">
        <v>1665</v>
      </c>
      <c r="C1" s="251" t="s">
        <v>1249</v>
      </c>
      <c r="D1" s="251" t="s">
        <v>1249</v>
      </c>
      <c r="E1" s="252" t="s">
        <v>6</v>
      </c>
      <c r="F1" s="327" t="str">
        <f t="array" ref="F1">#REF!</f>
        <v>#REF!</v>
      </c>
      <c r="G1" s="19"/>
      <c r="H1" s="165" t="s">
        <v>20</v>
      </c>
      <c r="I1" s="253">
        <v>1.6</v>
      </c>
      <c r="J1" s="328"/>
      <c r="K1" s="329"/>
    </row>
    <row r="2">
      <c r="A2" s="295" t="str">
        <f t="shared" ref="A2:A16" si="1">RIGHT(C2,2)</f>
        <v>02</v>
      </c>
      <c r="B2" s="51">
        <v>1.0</v>
      </c>
      <c r="C2" s="330">
        <v>7102.0</v>
      </c>
      <c r="D2" s="218" t="s">
        <v>1670</v>
      </c>
      <c r="E2" s="259" t="str">
        <f>VLOOKUP(TEXT(A2,"#"),Main!$A$2:$C45,3,0)</f>
        <v>Pillar Cock</v>
      </c>
      <c r="F2" s="276">
        <v>3580.0</v>
      </c>
      <c r="G2" s="276">
        <v>3760.0</v>
      </c>
      <c r="H2" s="261">
        <f t="shared" ref="H2:H39" si="2">IFERROR(DIVIDE(MINUS(G2,F2),G2),)</f>
        <v>0.04787234043</v>
      </c>
      <c r="I2" s="263" t="str">
        <f>VLOOKUP(C2,'CYGNUS 71'!$D$2:$E45,4,0)</f>
        <v>#REF!</v>
      </c>
      <c r="J2" s="314" t="str">
        <f t="shared" ref="J2:J39" si="3">G2/I2</f>
        <v>#REF!</v>
      </c>
      <c r="K2" s="331"/>
    </row>
    <row r="3">
      <c r="A3" s="295" t="str">
        <f t="shared" si="1"/>
        <v>03</v>
      </c>
      <c r="B3" s="257">
        <v>2.0</v>
      </c>
      <c r="C3" s="273">
        <v>7103.0</v>
      </c>
      <c r="D3" s="218" t="s">
        <v>1674</v>
      </c>
      <c r="E3" s="259" t="str">
        <f>VLOOKUP(TEXT(A3,"#"),Main!$A$2:$C45,3,0)</f>
        <v>Pillar Cock Tall Body</v>
      </c>
      <c r="F3" s="276">
        <v>6630.0</v>
      </c>
      <c r="G3" s="276">
        <v>6990.0</v>
      </c>
      <c r="H3" s="261">
        <f t="shared" si="2"/>
        <v>0.05150214592</v>
      </c>
      <c r="I3" s="263" t="str">
        <f>VLOOKUP(C3,'CYGNUS 71'!$D$2:$E45,4,0)</f>
        <v>#REF!</v>
      </c>
      <c r="J3" s="314" t="str">
        <f t="shared" si="3"/>
        <v>#REF!</v>
      </c>
      <c r="K3" s="331"/>
    </row>
    <row r="4">
      <c r="A4" s="295" t="str">
        <f t="shared" si="1"/>
        <v>04</v>
      </c>
      <c r="B4" s="257">
        <v>3.0</v>
      </c>
      <c r="C4" s="273">
        <v>7104.0</v>
      </c>
      <c r="D4" s="218" t="s">
        <v>1676</v>
      </c>
      <c r="E4" s="259" t="str">
        <f>VLOOKUP(TEXT(A4,"#"),Main!$A$2:$C45,3,0)</f>
        <v>Pillar Cock Extended Body</v>
      </c>
      <c r="F4" s="276">
        <v>4110.0</v>
      </c>
      <c r="G4" s="276">
        <v>4230.0</v>
      </c>
      <c r="H4" s="261">
        <f t="shared" si="2"/>
        <v>0.02836879433</v>
      </c>
      <c r="I4" s="263" t="str">
        <f>VLOOKUP(C4,'CYGNUS 71'!$D$2:$E45,4,0)</f>
        <v>#REF!</v>
      </c>
      <c r="J4" s="314" t="str">
        <f t="shared" si="3"/>
        <v>#REF!</v>
      </c>
      <c r="K4" s="331"/>
    </row>
    <row r="5">
      <c r="A5" s="295" t="str">
        <f t="shared" si="1"/>
        <v>06</v>
      </c>
      <c r="B5" s="296">
        <v>4.0</v>
      </c>
      <c r="C5" s="273">
        <v>7106.0</v>
      </c>
      <c r="D5" s="233" t="s">
        <v>1677</v>
      </c>
      <c r="E5" s="259" t="str">
        <f>VLOOKUP(TEXT(A5,"#"),Main!$A$2:$C45,3,0)</f>
        <v>Bib Cock with Wall Flange</v>
      </c>
      <c r="F5" s="276">
        <v>3110.0</v>
      </c>
      <c r="G5" s="276">
        <v>2930.0</v>
      </c>
      <c r="H5" s="261">
        <f t="shared" si="2"/>
        <v>-0.0614334471</v>
      </c>
      <c r="I5" s="263" t="str">
        <f>VLOOKUP(C5,'CYGNUS 71'!$D$2:$E45,4,0)</f>
        <v>#REF!</v>
      </c>
      <c r="J5" s="314" t="str">
        <f t="shared" si="3"/>
        <v>#REF!</v>
      </c>
      <c r="K5" s="331"/>
    </row>
    <row r="6">
      <c r="A6" s="295" t="str">
        <f t="shared" si="1"/>
        <v>08</v>
      </c>
      <c r="B6" s="257">
        <v>5.0</v>
      </c>
      <c r="C6" s="272">
        <v>7108.0</v>
      </c>
      <c r="D6" s="233" t="s">
        <v>1679</v>
      </c>
      <c r="E6" s="259" t="str">
        <f>VLOOKUP(TEXT(A6,"#"),Main!$A$2:$C45,3,0)</f>
        <v>Bib Cock Long Body with Wall Flange</v>
      </c>
      <c r="F6" s="276">
        <v>3410.0</v>
      </c>
      <c r="G6" s="276">
        <v>3430.0</v>
      </c>
      <c r="H6" s="261">
        <f t="shared" si="2"/>
        <v>0.00583090379</v>
      </c>
      <c r="I6" s="263" t="str">
        <f>VLOOKUP(C6,'CYGNUS 71'!$D$2:$E45,4,0)</f>
        <v>#REF!</v>
      </c>
      <c r="J6" s="314" t="str">
        <f t="shared" si="3"/>
        <v>#REF!</v>
      </c>
      <c r="K6" s="331"/>
    </row>
    <row r="7">
      <c r="A7" s="295" t="str">
        <f t="shared" si="1"/>
        <v>10</v>
      </c>
      <c r="B7" s="51">
        <v>6.0</v>
      </c>
      <c r="C7" s="273">
        <v>7110.0</v>
      </c>
      <c r="D7" s="233" t="s">
        <v>1681</v>
      </c>
      <c r="E7" s="259" t="str">
        <f>VLOOKUP(TEXT(A7,"#"),Main!$A$2:$C45,3,0)</f>
        <v>Angular Stop Cock with Wall Flange</v>
      </c>
      <c r="F7" s="276">
        <v>2510.0</v>
      </c>
      <c r="G7" s="276">
        <v>2530.0</v>
      </c>
      <c r="H7" s="261">
        <f t="shared" si="2"/>
        <v>0.00790513834</v>
      </c>
      <c r="I7" s="263" t="str">
        <f>VLOOKUP(C7,'CYGNUS 71'!$D$2:$E45,4,0)</f>
        <v>#REF!</v>
      </c>
      <c r="J7" s="314" t="str">
        <f t="shared" si="3"/>
        <v>#REF!</v>
      </c>
      <c r="K7" s="331"/>
    </row>
    <row r="8">
      <c r="A8" s="295" t="str">
        <f t="shared" si="1"/>
        <v>11</v>
      </c>
      <c r="B8" s="257">
        <v>7.0</v>
      </c>
      <c r="C8" s="273">
        <v>7111.0</v>
      </c>
      <c r="D8" s="233" t="s">
        <v>1684</v>
      </c>
      <c r="E8" s="259" t="str">
        <f>VLOOKUP(TEXT(A8,"#"),Main!$A$2:$C45,3,0)</f>
        <v>2-Way Angular Stop Cock with Wall Flange</v>
      </c>
      <c r="F8" s="276">
        <v>3590.0</v>
      </c>
      <c r="G8" s="221">
        <v>3610.0</v>
      </c>
      <c r="H8" s="261">
        <f t="shared" si="2"/>
        <v>0.005540166205</v>
      </c>
      <c r="I8" s="263" t="str">
        <f>VLOOKUP(C8,'CYGNUS 71'!$D$2:$E45,4,0)</f>
        <v>#REF!</v>
      </c>
      <c r="J8" s="314" t="str">
        <f t="shared" si="3"/>
        <v>#REF!</v>
      </c>
      <c r="K8" s="331"/>
    </row>
    <row r="9">
      <c r="A9" s="295" t="str">
        <f t="shared" si="1"/>
        <v>13</v>
      </c>
      <c r="B9" s="257">
        <v>8.0</v>
      </c>
      <c r="C9" s="272">
        <v>7113.0</v>
      </c>
      <c r="D9" s="233" t="s">
        <v>1686</v>
      </c>
      <c r="E9" s="259" t="str">
        <f>VLOOKUP(TEXT(A9,"#"),Main!$A$2:$C45,3,0)</f>
        <v>2-Way Bib Cock Single Handle with Wall Flange</v>
      </c>
      <c r="F9" s="276">
        <v>3940.0</v>
      </c>
      <c r="G9" s="276">
        <v>3990.0</v>
      </c>
      <c r="H9" s="261">
        <f t="shared" si="2"/>
        <v>0.01253132832</v>
      </c>
      <c r="I9" s="263" t="str">
        <f>VLOOKUP(C9,'CYGNUS 71'!$D$2:$E45,4,0)</f>
        <v>#REF!</v>
      </c>
      <c r="J9" s="314" t="str">
        <f t="shared" si="3"/>
        <v>#REF!</v>
      </c>
      <c r="K9" s="331"/>
    </row>
    <row r="10">
      <c r="A10" s="295" t="str">
        <f t="shared" si="1"/>
        <v>14</v>
      </c>
      <c r="B10" s="296">
        <v>9.0</v>
      </c>
      <c r="C10" s="273">
        <v>7114.0</v>
      </c>
      <c r="D10" s="233" t="s">
        <v>1687</v>
      </c>
      <c r="E10" s="259" t="str">
        <f>VLOOKUP(TEXT(A10,"#"),Main!$A$2:$C45,3,0)</f>
        <v>Swan Neck Table Mounted</v>
      </c>
      <c r="F10" s="276">
        <v>5090.0</v>
      </c>
      <c r="G10" s="276">
        <v>4930.0</v>
      </c>
      <c r="H10" s="261">
        <f t="shared" si="2"/>
        <v>-0.03245436105</v>
      </c>
      <c r="I10" s="263" t="str">
        <f>VLOOKUP(C10,'CYGNUS 71'!$D$2:$E45,4,0)</f>
        <v>#REF!</v>
      </c>
      <c r="J10" s="314" t="str">
        <f t="shared" si="3"/>
        <v>#REF!</v>
      </c>
      <c r="K10" s="331"/>
    </row>
    <row r="11">
      <c r="A11" s="295" t="str">
        <f t="shared" si="1"/>
        <v>16</v>
      </c>
      <c r="B11" s="257">
        <v>10.0</v>
      </c>
      <c r="C11" s="273">
        <v>7116.0</v>
      </c>
      <c r="D11" s="233" t="s">
        <v>1688</v>
      </c>
      <c r="E11" s="259" t="str">
        <f>VLOOKUP(TEXT(A11,"#"),Main!$A$2:$C45,3,0)</f>
        <v>Sink Cock Wall Mounted with Flange</v>
      </c>
      <c r="F11" s="276">
        <v>4290.0</v>
      </c>
      <c r="G11" s="276">
        <v>4250.0</v>
      </c>
      <c r="H11" s="261">
        <f t="shared" si="2"/>
        <v>-0.009411764706</v>
      </c>
      <c r="I11" s="263" t="str">
        <f>VLOOKUP(C11,'CYGNUS 71'!$D$2:$E45,4,0)</f>
        <v>#REF!</v>
      </c>
      <c r="J11" s="314" t="str">
        <f t="shared" si="3"/>
        <v>#REF!</v>
      </c>
      <c r="K11" s="331"/>
    </row>
    <row r="12">
      <c r="A12" s="295" t="str">
        <f t="shared" si="1"/>
        <v>18</v>
      </c>
      <c r="B12" s="51">
        <v>11.0</v>
      </c>
      <c r="C12" s="273">
        <v>7118.0</v>
      </c>
      <c r="D12" s="233" t="s">
        <v>1690</v>
      </c>
      <c r="E12" s="259" t="str">
        <f>VLOOKUP(TEXT(A12,"#"),Main!$A$2:$C45,3,0)</f>
        <v>Concealed Stop Cock 15mm with Wall Flange</v>
      </c>
      <c r="F12" s="276">
        <v>2860.0</v>
      </c>
      <c r="G12" s="276">
        <v>2930.0</v>
      </c>
      <c r="H12" s="261">
        <f t="shared" si="2"/>
        <v>0.02389078498</v>
      </c>
      <c r="I12" s="263" t="str">
        <f>VLOOKUP(C12,'CYGNUS 71'!$D$2:$E45,4,0)</f>
        <v>#REF!</v>
      </c>
      <c r="J12" s="314" t="str">
        <f t="shared" si="3"/>
        <v>#REF!</v>
      </c>
      <c r="K12" s="331"/>
    </row>
    <row r="13">
      <c r="A13" s="295" t="str">
        <f t="shared" si="1"/>
        <v>20</v>
      </c>
      <c r="B13" s="257">
        <v>12.0</v>
      </c>
      <c r="C13" s="273">
        <v>7120.0</v>
      </c>
      <c r="D13" s="233" t="s">
        <v>1692</v>
      </c>
      <c r="E13" s="259" t="str">
        <f>VLOOKUP(TEXT(A13,"#"),Main!$A$2:$C45,3,0)</f>
        <v>Concealed Stop Cock 20mm with Wall Flange</v>
      </c>
      <c r="F13" s="276">
        <v>2940.0</v>
      </c>
      <c r="G13" s="276">
        <v>2990.0</v>
      </c>
      <c r="H13" s="261">
        <f t="shared" si="2"/>
        <v>0.01672240803</v>
      </c>
      <c r="I13" s="263" t="str">
        <f>VLOOKUP(C13,'CYGNUS 71'!$D$2:$E45,4,0)</f>
        <v>#REF!</v>
      </c>
      <c r="J13" s="314" t="str">
        <f t="shared" si="3"/>
        <v>#REF!</v>
      </c>
      <c r="K13" s="331"/>
    </row>
    <row r="14">
      <c r="A14" s="295" t="str">
        <f t="shared" si="1"/>
        <v>51</v>
      </c>
      <c r="B14" s="257">
        <v>13.0</v>
      </c>
      <c r="C14" s="273">
        <v>7151.0</v>
      </c>
      <c r="D14" s="233" t="s">
        <v>1693</v>
      </c>
      <c r="E14" s="259" t="str">
        <f>VLOOKUP(TEXT(A14,"#"),Main!$A$2:$C45,3,0)</f>
        <v>Single Lever Basin Mixer without Popup Waste System</v>
      </c>
      <c r="F14" s="276">
        <v>8090.0</v>
      </c>
      <c r="G14" s="276">
        <v>8960.0</v>
      </c>
      <c r="H14" s="261">
        <f t="shared" si="2"/>
        <v>0.09709821429</v>
      </c>
      <c r="I14" s="263" t="str">
        <f>VLOOKUP(C14,'CYGNUS 71'!$D$2:$E45,4,0)</f>
        <v>#REF!</v>
      </c>
      <c r="J14" s="314" t="str">
        <f t="shared" si="3"/>
        <v>#REF!</v>
      </c>
      <c r="K14" s="331"/>
    </row>
    <row r="15">
      <c r="A15" s="295" t="str">
        <f t="shared" si="1"/>
        <v>52</v>
      </c>
      <c r="B15" s="233">
        <v>14.0</v>
      </c>
      <c r="C15" s="273">
        <v>7152.0</v>
      </c>
      <c r="D15" s="233" t="s">
        <v>1694</v>
      </c>
      <c r="E15" s="259" t="str">
        <f>VLOOKUP(TEXT(A15,"#"),Main!$A$2:$C45,3,0)</f>
        <v>Single Lever Basin Mixer Tall Body without Popup Waste System</v>
      </c>
      <c r="F15" s="276">
        <v>11510.0</v>
      </c>
      <c r="G15" s="276">
        <v>12630.0</v>
      </c>
      <c r="H15" s="261">
        <f t="shared" si="2"/>
        <v>0.08867775139</v>
      </c>
      <c r="I15" s="263" t="str">
        <f>VLOOKUP(C15,'CYGNUS 71'!$D$2:$E45,4,0)</f>
        <v>#REF!</v>
      </c>
      <c r="J15" s="314" t="str">
        <f t="shared" si="3"/>
        <v>#REF!</v>
      </c>
      <c r="K15" s="331"/>
    </row>
    <row r="16">
      <c r="A16" s="295" t="str">
        <f t="shared" si="1"/>
        <v>54</v>
      </c>
      <c r="B16" s="325">
        <v>15.0</v>
      </c>
      <c r="C16" s="273">
        <v>7154.0</v>
      </c>
      <c r="D16" s="233" t="s">
        <v>1697</v>
      </c>
      <c r="E16" s="259" t="str">
        <f>VLOOKUP(TEXT(A16,"#"),Main!$A$2:$C45,3,0)</f>
        <v>Single Lever Basin Mixer Wall Mount (Concealed)</v>
      </c>
      <c r="F16" s="276">
        <v>8730.0</v>
      </c>
      <c r="G16" s="276" t="str">
        <f>G17+G18</f>
        <v>#REF!</v>
      </c>
      <c r="H16" s="261" t="str">
        <f t="shared" si="2"/>
        <v/>
      </c>
      <c r="I16" s="263" t="str">
        <f>VLOOKUP(C16,'CYGNUS 71'!$D$2:$E45,4,0)</f>
        <v>#REF!</v>
      </c>
      <c r="J16" s="314" t="str">
        <f t="shared" si="3"/>
        <v>#REF!</v>
      </c>
      <c r="K16" s="331"/>
    </row>
    <row r="17">
      <c r="A17" s="13" t="s">
        <v>154</v>
      </c>
      <c r="B17" s="120"/>
      <c r="C17" s="271" t="s">
        <v>154</v>
      </c>
      <c r="D17" s="257" t="s">
        <v>154</v>
      </c>
      <c r="E17" s="259" t="str">
        <f>VLOOKUP(TEXT(A17,"#"),Main!$A$2:$C45,3,0)</f>
        <v>Single Lever Basin Mixer Wall Mount (Body, Cartridge, Sleeve &amp; Nipple)</v>
      </c>
      <c r="F17" s="276">
        <v>3980.0</v>
      </c>
      <c r="G17" s="268" t="str">
        <f>VLOOKUP(D17,MASTER!$C$2:$D45,4,0)</f>
        <v>#REF!</v>
      </c>
      <c r="H17" s="261" t="str">
        <f t="shared" si="2"/>
        <v/>
      </c>
      <c r="I17" s="263" t="str">
        <f>VLOOKUP(C17,'CYGNUS 71'!$D$2:$E45,4,0)</f>
        <v>#REF!</v>
      </c>
      <c r="J17" s="314" t="str">
        <f t="shared" si="3"/>
        <v>#REF!</v>
      </c>
      <c r="K17" s="331"/>
    </row>
    <row r="18">
      <c r="A18" s="13" t="s">
        <v>159</v>
      </c>
      <c r="B18" s="145"/>
      <c r="C18" s="271" t="s">
        <v>1236</v>
      </c>
      <c r="D18" s="233" t="s">
        <v>1700</v>
      </c>
      <c r="E18" s="259" t="str">
        <f>VLOOKUP(TEXT(A18,"#"),Main!$A$2:$C45,3,0)</f>
        <v>Exposed Parts (Wall Flange, Handle &amp; Spout)</v>
      </c>
      <c r="F18" s="276">
        <v>4750.0</v>
      </c>
      <c r="G18" s="276">
        <v>5730.0</v>
      </c>
      <c r="H18" s="261">
        <f t="shared" si="2"/>
        <v>0.1710296684</v>
      </c>
      <c r="I18" s="263" t="str">
        <f>VLOOKUP(C18,'CYGNUS 71'!$D$2:$E45,4,0)</f>
        <v>#REF!</v>
      </c>
      <c r="J18" s="314" t="str">
        <f t="shared" si="3"/>
        <v>#REF!</v>
      </c>
      <c r="K18" s="331"/>
    </row>
    <row r="19">
      <c r="A19" s="295" t="str">
        <f t="shared" ref="A19:A22" si="4">RIGHT(C19,2)</f>
        <v>55</v>
      </c>
      <c r="B19" s="233">
        <v>16.0</v>
      </c>
      <c r="C19" s="273">
        <v>7155.0</v>
      </c>
      <c r="D19" s="233" t="s">
        <v>1703</v>
      </c>
      <c r="E19" s="259" t="str">
        <f>VLOOKUP(TEXT(A19,"#"),Main!$A$2:$C45,3,0)</f>
        <v>Sink Mixer with Regular Spout Wall Mounted with Flange</v>
      </c>
      <c r="F19" s="276">
        <v>8980.0</v>
      </c>
      <c r="G19" s="276">
        <v>9690.0</v>
      </c>
      <c r="H19" s="261">
        <f t="shared" si="2"/>
        <v>0.07327141383</v>
      </c>
      <c r="I19" s="263" t="str">
        <f>VLOOKUP(C19,'CYGNUS 71'!$D$2:$E45,4,0)</f>
        <v>#REF!</v>
      </c>
      <c r="J19" s="314" t="str">
        <f t="shared" si="3"/>
        <v>#REF!</v>
      </c>
      <c r="K19" s="331"/>
    </row>
    <row r="20">
      <c r="A20" s="295" t="str">
        <f t="shared" si="4"/>
        <v>70</v>
      </c>
      <c r="B20" s="233">
        <v>17.0</v>
      </c>
      <c r="C20" s="273">
        <v>7170.0</v>
      </c>
      <c r="D20" s="233" t="s">
        <v>1704</v>
      </c>
      <c r="E20" s="259" t="str">
        <f>VLOOKUP(TEXT(A20,"#"),Main!$A$2:$C45,3,0)</f>
        <v>Wall Mixer Telephonic with Crutch &amp; Wall Flange (Provision For Hand Shower)</v>
      </c>
      <c r="F20" s="276">
        <v>10780.0</v>
      </c>
      <c r="G20" s="276">
        <v>11360.0</v>
      </c>
      <c r="H20" s="261">
        <f t="shared" si="2"/>
        <v>0.05105633803</v>
      </c>
      <c r="I20" s="263" t="str">
        <f>VLOOKUP(C20,'CYGNUS 71'!$D$2:$E45,4,0)</f>
        <v>#REF!</v>
      </c>
      <c r="J20" s="314" t="str">
        <f t="shared" si="3"/>
        <v>#REF!</v>
      </c>
      <c r="K20" s="331"/>
    </row>
    <row r="21">
      <c r="A21" s="295" t="str">
        <f t="shared" si="4"/>
        <v>75</v>
      </c>
      <c r="B21" s="233">
        <v>18.0</v>
      </c>
      <c r="C21" s="273">
        <v>7175.0</v>
      </c>
      <c r="D21" s="233" t="s">
        <v>1706</v>
      </c>
      <c r="E21" s="259" t="str">
        <f>VLOOKUP(TEXT(A21,"#"),Main!$A$2:$C45,3,0)</f>
        <v>Wall Mixer "L" Bend with Wall Flange (Provision For Over Head Shower)</v>
      </c>
      <c r="F21" s="276">
        <v>10780.0</v>
      </c>
      <c r="G21" s="276">
        <v>11360.0</v>
      </c>
      <c r="H21" s="261">
        <f t="shared" si="2"/>
        <v>0.05105633803</v>
      </c>
      <c r="I21" s="263" t="str">
        <f>VLOOKUP(C21,'CYGNUS 71'!$D$2:$E45,4,0)</f>
        <v>#REF!</v>
      </c>
      <c r="J21" s="314" t="str">
        <f t="shared" si="3"/>
        <v>#REF!</v>
      </c>
      <c r="K21" s="331"/>
    </row>
    <row r="22">
      <c r="A22" s="295" t="str">
        <f t="shared" si="4"/>
        <v>80</v>
      </c>
      <c r="B22" s="233">
        <v>19.0</v>
      </c>
      <c r="C22" s="273">
        <v>7180.0</v>
      </c>
      <c r="D22" s="233" t="s">
        <v>1709</v>
      </c>
      <c r="E22" s="259" t="str">
        <f>VLOOKUP(TEXT(A22,"#"),Main!$A$2:$C45,3,0)</f>
        <v>Wall Mixer 3 In 1 with Wall Flange (Provision For Over Head Shower &amp; Hand Shower)</v>
      </c>
      <c r="F22" s="276">
        <v>12580.0</v>
      </c>
      <c r="G22" s="276">
        <v>13010.0</v>
      </c>
      <c r="H22" s="261">
        <f t="shared" si="2"/>
        <v>0.03305149885</v>
      </c>
      <c r="I22" s="263" t="str">
        <f>VLOOKUP(C22,'CYGNUS 71'!$D$2:$E45,4,0)</f>
        <v>#REF!</v>
      </c>
      <c r="J22" s="314" t="str">
        <f t="shared" si="3"/>
        <v>#REF!</v>
      </c>
      <c r="K22" s="331"/>
    </row>
    <row r="23">
      <c r="A23" s="311" t="s">
        <v>209</v>
      </c>
      <c r="B23" s="325">
        <v>20.0</v>
      </c>
      <c r="C23" s="273" t="s">
        <v>1237</v>
      </c>
      <c r="D23" s="233" t="s">
        <v>1710</v>
      </c>
      <c r="E23" s="259" t="str">
        <f>VLOOKUP(TEXT(A23,"#"),Main!$A$2:$C45,3,0)</f>
        <v>Single Lever Concealed Diverter Bath &amp; Shower 40mm</v>
      </c>
      <c r="F23" s="276">
        <v>6930.0</v>
      </c>
      <c r="G23" s="276" t="str">
        <f>G24+G25</f>
        <v>#REF!</v>
      </c>
      <c r="H23" s="261" t="str">
        <f t="shared" si="2"/>
        <v/>
      </c>
      <c r="I23" s="263" t="str">
        <f>VLOOKUP(C23,'CYGNUS 71'!$D$2:$E45,4,0)</f>
        <v>#REF!</v>
      </c>
      <c r="J23" s="314" t="str">
        <f t="shared" si="3"/>
        <v>#REF!</v>
      </c>
      <c r="K23" s="331"/>
    </row>
    <row r="24">
      <c r="A24" s="310" t="s">
        <v>212</v>
      </c>
      <c r="B24" s="120"/>
      <c r="C24" s="271" t="s">
        <v>212</v>
      </c>
      <c r="D24" s="257" t="s">
        <v>212</v>
      </c>
      <c r="E24" s="259" t="str">
        <f>VLOOKUP(TEXT(A24,"#"),Main!$A$2:$C45,3,0)</f>
        <v>Concealed Diverter Body 40mm (Cartridge, Sleeve, Tipton Assembly)</v>
      </c>
      <c r="F24" s="276">
        <v>3140.0</v>
      </c>
      <c r="G24" s="268" t="str">
        <f>VLOOKUP(D24,MASTER!$C$2:$D45,4,0)</f>
        <v>#REF!</v>
      </c>
      <c r="H24" s="261" t="str">
        <f t="shared" si="2"/>
        <v/>
      </c>
      <c r="I24" s="263" t="str">
        <f>VLOOKUP(C24,'CYGNUS 71'!$D$2:$E45,4,0)</f>
        <v>#REF!</v>
      </c>
      <c r="J24" s="314" t="str">
        <f t="shared" si="3"/>
        <v>#REF!</v>
      </c>
      <c r="K24" s="331"/>
    </row>
    <row r="25">
      <c r="A25" s="310" t="s">
        <v>216</v>
      </c>
      <c r="B25" s="145"/>
      <c r="C25" s="271" t="s">
        <v>1238</v>
      </c>
      <c r="D25" s="233" t="s">
        <v>1712</v>
      </c>
      <c r="E25" s="259" t="str">
        <f>VLOOKUP(TEXT(A25,"#"),Main!$A$2:$C45,3,0)</f>
        <v>Exposed Parts (Wall Flange &amp; Handle)</v>
      </c>
      <c r="F25" s="276">
        <v>3790.0</v>
      </c>
      <c r="G25" s="276">
        <v>3980.0</v>
      </c>
      <c r="H25" s="261">
        <f t="shared" si="2"/>
        <v>0.04773869347</v>
      </c>
      <c r="I25" s="263" t="str">
        <f>VLOOKUP(C25,'CYGNUS 71'!$D$2:$E45,4,0)</f>
        <v>#REF!</v>
      </c>
      <c r="J25" s="314" t="str">
        <f t="shared" si="3"/>
        <v>#REF!</v>
      </c>
      <c r="K25" s="331"/>
    </row>
    <row r="26">
      <c r="A26" s="311" t="s">
        <v>219</v>
      </c>
      <c r="B26" s="325">
        <v>21.0</v>
      </c>
      <c r="C26" s="271" t="s">
        <v>1239</v>
      </c>
      <c r="D26" s="218" t="s">
        <v>1713</v>
      </c>
      <c r="E26" s="259" t="str">
        <f>VLOOKUP(TEXT(A26,"#"),Main!$A$2:$C45,3,0)</f>
        <v>Single Lever High Flow Concealed Diverter Bath &amp; Shower 46mm</v>
      </c>
      <c r="F26" s="276">
        <v>7780.0</v>
      </c>
      <c r="G26" s="276" t="str">
        <f>G27+G28</f>
        <v>#REF!</v>
      </c>
      <c r="H26" s="261" t="str">
        <f t="shared" si="2"/>
        <v/>
      </c>
      <c r="I26" s="263" t="str">
        <f>VLOOKUP(C26,'CYGNUS 71'!$D$2:$E45,4,0)</f>
        <v>#REF!</v>
      </c>
      <c r="J26" s="314" t="str">
        <f t="shared" si="3"/>
        <v>#REF!</v>
      </c>
      <c r="K26" s="331"/>
    </row>
    <row r="27">
      <c r="A27" s="311" t="s">
        <v>223</v>
      </c>
      <c r="B27" s="120"/>
      <c r="C27" s="271" t="s">
        <v>223</v>
      </c>
      <c r="D27" s="257" t="s">
        <v>223</v>
      </c>
      <c r="E27" s="259" t="str">
        <f>VLOOKUP(TEXT(A27,"#"),Main!$A$2:$C45,3,0)</f>
        <v>High Flow Concealed Diverter Body 46mm (Cartridge, Sleeve, Tipton Assembly)</v>
      </c>
      <c r="F27" s="276">
        <v>3990.0</v>
      </c>
      <c r="G27" s="268" t="str">
        <f>VLOOKUP(D27,MASTER!$C$2:$D45,4,0)</f>
        <v>#REF!</v>
      </c>
      <c r="H27" s="261" t="str">
        <f t="shared" si="2"/>
        <v/>
      </c>
      <c r="I27" s="263" t="str">
        <f>VLOOKUP(C27,'CYGNUS 71'!$D$2:$E45,4,0)</f>
        <v>#REF!</v>
      </c>
      <c r="J27" s="314" t="str">
        <f t="shared" si="3"/>
        <v>#REF!</v>
      </c>
      <c r="K27" s="331"/>
    </row>
    <row r="28">
      <c r="A28" s="310" t="s">
        <v>226</v>
      </c>
      <c r="B28" s="145"/>
      <c r="C28" s="271" t="s">
        <v>1240</v>
      </c>
      <c r="D28" s="233" t="s">
        <v>1716</v>
      </c>
      <c r="E28" s="259" t="str">
        <f>VLOOKUP(TEXT(A28,"#"),Main!$A$2:$C45,3,0)</f>
        <v>Exposed Parts (Wall Flange &amp; Handle)</v>
      </c>
      <c r="F28" s="276">
        <v>3790.0</v>
      </c>
      <c r="G28" s="276">
        <v>3980.0</v>
      </c>
      <c r="H28" s="261">
        <f t="shared" si="2"/>
        <v>0.04773869347</v>
      </c>
      <c r="I28" s="263" t="str">
        <f>VLOOKUP(C28,'CYGNUS 71'!$D$2:$E45,4,0)</f>
        <v>#REF!</v>
      </c>
      <c r="J28" s="314" t="str">
        <f t="shared" si="3"/>
        <v>#REF!</v>
      </c>
      <c r="K28" s="331"/>
    </row>
    <row r="29">
      <c r="A29" s="310" t="s">
        <v>228</v>
      </c>
      <c r="B29" s="325">
        <v>22.0</v>
      </c>
      <c r="C29" s="271" t="s">
        <v>1241</v>
      </c>
      <c r="D29" s="233" t="s">
        <v>1719</v>
      </c>
      <c r="E29" s="259" t="str">
        <f>VLOOKUP(TEXT(A29,"#"),Main!$A$2:$C45,3,0)</f>
        <v>Single Lever High Flow Concealed Diverter Bath &amp; Shower 46mm (ON-OFF)</v>
      </c>
      <c r="F29" s="276">
        <v>7780.0</v>
      </c>
      <c r="G29" s="276" t="str">
        <f>G30+G31</f>
        <v>#REF!</v>
      </c>
      <c r="H29" s="261" t="str">
        <f t="shared" si="2"/>
        <v/>
      </c>
      <c r="I29" s="263" t="str">
        <f>VLOOKUP(C29,'CYGNUS 71'!$D$2:$E45,4,0)</f>
        <v>#REF!</v>
      </c>
      <c r="J29" s="314" t="str">
        <f t="shared" si="3"/>
        <v>#REF!</v>
      </c>
      <c r="K29" s="331"/>
    </row>
    <row r="30">
      <c r="A30" s="310" t="s">
        <v>234</v>
      </c>
      <c r="B30" s="120"/>
      <c r="C30" s="271" t="s">
        <v>234</v>
      </c>
      <c r="D30" s="257" t="s">
        <v>234</v>
      </c>
      <c r="E30" s="259" t="str">
        <f>VLOOKUP(TEXT(A30,"#"),Main!$A$2:$C45,3,0)</f>
        <v>High Flow Concealed Diverter Body 46mm (Cartridge, Sleeve, On-Off Assembly)</v>
      </c>
      <c r="F30" s="276">
        <v>3990.0</v>
      </c>
      <c r="G30" s="268" t="str">
        <f>VLOOKUP(D30,MASTER!$C$2:$D45,4,0)</f>
        <v>#REF!</v>
      </c>
      <c r="H30" s="261" t="str">
        <f t="shared" si="2"/>
        <v/>
      </c>
      <c r="I30" s="263" t="str">
        <f>VLOOKUP(C30,'CYGNUS 71'!$D$2:$E45,4,0)</f>
        <v>#REF!</v>
      </c>
      <c r="J30" s="314" t="str">
        <f t="shared" si="3"/>
        <v>#REF!</v>
      </c>
      <c r="K30" s="331"/>
    </row>
    <row r="31">
      <c r="A31" s="310" t="s">
        <v>237</v>
      </c>
      <c r="B31" s="145"/>
      <c r="C31" s="271" t="s">
        <v>1242</v>
      </c>
      <c r="D31" s="233" t="s">
        <v>1722</v>
      </c>
      <c r="E31" s="259" t="str">
        <f>VLOOKUP(TEXT(A31,"#"),Main!$A$2:$C45,3,0)</f>
        <v>Exposed Parts (Wall Flange &amp; Handle)</v>
      </c>
      <c r="F31" s="276">
        <v>3790.0</v>
      </c>
      <c r="G31" s="276">
        <v>3980.0</v>
      </c>
      <c r="H31" s="261">
        <f t="shared" si="2"/>
        <v>0.04773869347</v>
      </c>
      <c r="I31" s="263" t="str">
        <f>VLOOKUP(C31,'CYGNUS 71'!$D$2:$E45,4,0)</f>
        <v>#REF!</v>
      </c>
      <c r="J31" s="314" t="str">
        <f t="shared" si="3"/>
        <v>#REF!</v>
      </c>
      <c r="K31" s="331"/>
    </row>
    <row r="32">
      <c r="A32" s="311" t="s">
        <v>239</v>
      </c>
      <c r="B32" s="325">
        <v>23.0</v>
      </c>
      <c r="C32" s="273" t="s">
        <v>1243</v>
      </c>
      <c r="D32" s="233" t="s">
        <v>1725</v>
      </c>
      <c r="E32" s="259" t="str">
        <f>VLOOKUP(TEXT(A32,"#"),Main!$A$2:$C45,3,0)</f>
        <v>Single Lever 3 In Let Concealed Diverter Bath &amp; Shower 46mm</v>
      </c>
      <c r="F32" s="276">
        <v>7780.0</v>
      </c>
      <c r="G32" s="276" t="str">
        <f>G33+G34</f>
        <v>#REF!</v>
      </c>
      <c r="H32" s="261" t="str">
        <f t="shared" si="2"/>
        <v/>
      </c>
      <c r="I32" s="263" t="str">
        <f>VLOOKUP(C32,'CYGNUS 71'!$D$2:$E45,4,0)</f>
        <v>#REF!</v>
      </c>
      <c r="J32" s="314" t="str">
        <f t="shared" si="3"/>
        <v>#REF!</v>
      </c>
      <c r="K32" s="331"/>
    </row>
    <row r="33">
      <c r="A33" s="310" t="s">
        <v>243</v>
      </c>
      <c r="B33" s="120"/>
      <c r="C33" s="273" t="s">
        <v>243</v>
      </c>
      <c r="D33" s="219" t="s">
        <v>243</v>
      </c>
      <c r="E33" s="259" t="str">
        <f>VLOOKUP(TEXT(A33,"#"),Main!$A$2:$C45,3,0)</f>
        <v>3 In Let Concealed Diverter Body 46mm (Cartridge, Sleeve, Tipton Assembly)</v>
      </c>
      <c r="F33" s="276">
        <v>3990.0</v>
      </c>
      <c r="G33" s="268" t="str">
        <f>VLOOKUP(D33,MASTER!$C$2:$D45,4,0)</f>
        <v>#REF!</v>
      </c>
      <c r="H33" s="261" t="str">
        <f t="shared" si="2"/>
        <v/>
      </c>
      <c r="I33" s="263" t="str">
        <f>VLOOKUP(C33,'CYGNUS 71'!$D$2:$E45,4,0)</f>
        <v>#REF!</v>
      </c>
      <c r="J33" s="314" t="str">
        <f t="shared" si="3"/>
        <v>#REF!</v>
      </c>
      <c r="K33" s="331"/>
    </row>
    <row r="34">
      <c r="A34" s="310" t="s">
        <v>247</v>
      </c>
      <c r="B34" s="145"/>
      <c r="C34" s="271" t="s">
        <v>1244</v>
      </c>
      <c r="D34" s="233" t="s">
        <v>1730</v>
      </c>
      <c r="E34" s="259" t="str">
        <f>VLOOKUP(TEXT(A34,"#"),Main!$A$2:$C45,3,0)</f>
        <v>Exposed Parts (Wall Flange &amp; Handle)</v>
      </c>
      <c r="F34" s="276">
        <v>3790.0</v>
      </c>
      <c r="G34" s="276">
        <v>3980.0</v>
      </c>
      <c r="H34" s="261">
        <f t="shared" si="2"/>
        <v>0.04773869347</v>
      </c>
      <c r="I34" s="263" t="str">
        <f>VLOOKUP(C34,'CYGNUS 71'!$D$2:$E45,4,0)</f>
        <v>#REF!</v>
      </c>
      <c r="J34" s="314" t="str">
        <f t="shared" si="3"/>
        <v>#REF!</v>
      </c>
      <c r="K34" s="331"/>
    </row>
    <row r="35">
      <c r="A35" s="310" t="s">
        <v>249</v>
      </c>
      <c r="B35" s="325">
        <v>24.0</v>
      </c>
      <c r="C35" s="271" t="s">
        <v>1245</v>
      </c>
      <c r="D35" s="218" t="s">
        <v>1732</v>
      </c>
      <c r="E35" s="259" t="str">
        <f>VLOOKUP(TEXT(A35,"#"),Main!$A$2:$C45,3,0)</f>
        <v>Single Lever 3 In Let Concealed Diverter Bath &amp; Shower 46mm (ON-OFF)</v>
      </c>
      <c r="F35" s="276">
        <v>7780.0</v>
      </c>
      <c r="G35" s="276" t="str">
        <f>G36+G37</f>
        <v>#REF!</v>
      </c>
      <c r="H35" s="261" t="str">
        <f t="shared" si="2"/>
        <v/>
      </c>
      <c r="I35" s="263" t="str">
        <f>VLOOKUP(C35,'CYGNUS 71'!$D$2:$E45,4,0)</f>
        <v>#REF!</v>
      </c>
      <c r="J35" s="314" t="str">
        <f t="shared" si="3"/>
        <v>#REF!</v>
      </c>
      <c r="K35" s="331"/>
    </row>
    <row r="36">
      <c r="A36" s="310" t="s">
        <v>253</v>
      </c>
      <c r="B36" s="120"/>
      <c r="C36" s="271" t="s">
        <v>253</v>
      </c>
      <c r="D36" s="257" t="s">
        <v>253</v>
      </c>
      <c r="E36" s="259" t="str">
        <f>VLOOKUP(TEXT(A36,"#"),Main!$A$2:$C45,3,0)</f>
        <v>3 In Let Concealed Diverter Body 46mm (Cartridge, Sleeve, On-Off Assembly)</v>
      </c>
      <c r="F36" s="276">
        <v>3990.0</v>
      </c>
      <c r="G36" s="268" t="str">
        <f>VLOOKUP(D36,MASTER!$C$2:$D45,4,0)</f>
        <v>#REF!</v>
      </c>
      <c r="H36" s="261" t="str">
        <f t="shared" si="2"/>
        <v/>
      </c>
      <c r="I36" s="263" t="str">
        <f>VLOOKUP(C36,'CYGNUS 71'!$D$2:$E45,4,0)</f>
        <v>#REF!</v>
      </c>
      <c r="J36" s="314" t="str">
        <f t="shared" si="3"/>
        <v>#REF!</v>
      </c>
      <c r="K36" s="331"/>
    </row>
    <row r="37">
      <c r="A37" s="310" t="s">
        <v>258</v>
      </c>
      <c r="B37" s="145"/>
      <c r="C37" s="271" t="s">
        <v>1246</v>
      </c>
      <c r="D37" s="233" t="s">
        <v>1736</v>
      </c>
      <c r="E37" s="259" t="str">
        <f>VLOOKUP(TEXT(A37,"#"),Main!$A$2:$C45,3,0)</f>
        <v>Exposed Parts (Wall Flange &amp; Handle)</v>
      </c>
      <c r="F37" s="276">
        <v>3790.0</v>
      </c>
      <c r="G37" s="276">
        <v>3980.0</v>
      </c>
      <c r="H37" s="261">
        <f t="shared" si="2"/>
        <v>0.04773869347</v>
      </c>
      <c r="I37" s="263" t="str">
        <f>VLOOKUP(C37,'CYGNUS 71'!$D$2:$E45,4,0)</f>
        <v>#REF!</v>
      </c>
      <c r="J37" s="314" t="str">
        <f t="shared" si="3"/>
        <v>#REF!</v>
      </c>
      <c r="K37" s="331"/>
    </row>
    <row r="38">
      <c r="A38" s="310">
        <v>95.0</v>
      </c>
      <c r="B38" s="40">
        <v>25.0</v>
      </c>
      <c r="C38" s="273">
        <v>7195.0</v>
      </c>
      <c r="D38" s="233" t="s">
        <v>1738</v>
      </c>
      <c r="E38" s="259" t="str">
        <f>VLOOKUP(TEXT(A38,"#"),Main!$A$2:$C45,3,0)</f>
        <v>Bath Tub Spout with Flange</v>
      </c>
      <c r="F38" s="276">
        <v>2490.0</v>
      </c>
      <c r="G38" s="276">
        <v>2610.0</v>
      </c>
      <c r="H38" s="261">
        <f t="shared" si="2"/>
        <v>0.04597701149</v>
      </c>
      <c r="I38" s="263" t="str">
        <f>VLOOKUP(C38,'CYGNUS 71'!$D$2:$E45,4,0)</f>
        <v>#REF!</v>
      </c>
      <c r="J38" s="314" t="str">
        <f t="shared" si="3"/>
        <v>#REF!</v>
      </c>
      <c r="K38" s="331"/>
    </row>
    <row r="39">
      <c r="A39" s="310">
        <v>96.0</v>
      </c>
      <c r="B39" s="40">
        <v>26.0</v>
      </c>
      <c r="C39" s="271">
        <v>7196.0</v>
      </c>
      <c r="D39" s="233" t="s">
        <v>1740</v>
      </c>
      <c r="E39" s="259" t="str">
        <f>VLOOKUP(TEXT(A39,"#"),Main!$A$2:$C45,3,0)</f>
        <v>Bath Tub Spout Tip Ton with Flange</v>
      </c>
      <c r="F39" s="276">
        <v>3590.0</v>
      </c>
      <c r="G39" s="276">
        <v>3610.0</v>
      </c>
      <c r="H39" s="261">
        <f t="shared" si="2"/>
        <v>0.005540166205</v>
      </c>
      <c r="I39" s="263" t="str">
        <f>VLOOKUP(C39,'CYGNUS 71'!$D$2:$E45,4,0)</f>
        <v>#REF!</v>
      </c>
      <c r="J39" s="314" t="str">
        <f t="shared" si="3"/>
        <v>#REF!</v>
      </c>
      <c r="K39" s="331"/>
    </row>
    <row r="40">
      <c r="A40" s="295"/>
      <c r="B40" s="295"/>
      <c r="C40" s="295"/>
      <c r="D40" s="304"/>
      <c r="E40" s="295"/>
      <c r="F40" s="56"/>
      <c r="G40" s="56"/>
      <c r="H40" s="278"/>
      <c r="I40" s="318"/>
      <c r="J40" s="314"/>
      <c r="K40" s="331"/>
    </row>
    <row r="41">
      <c r="A41" s="295"/>
      <c r="B41" s="295"/>
      <c r="C41" s="295"/>
      <c r="D41" s="304"/>
      <c r="E41" s="295"/>
      <c r="F41" s="56"/>
      <c r="G41" s="56"/>
      <c r="H41" s="278"/>
      <c r="I41" s="318"/>
      <c r="J41" s="314"/>
      <c r="K41" s="331"/>
    </row>
    <row r="42">
      <c r="A42" s="295"/>
      <c r="B42" s="295"/>
      <c r="C42" s="295"/>
      <c r="D42" s="304"/>
      <c r="E42" s="295"/>
      <c r="F42" s="56"/>
      <c r="G42" s="56"/>
      <c r="H42" s="278"/>
      <c r="I42" s="318"/>
      <c r="J42" s="314"/>
      <c r="K42" s="331"/>
    </row>
    <row r="43">
      <c r="A43" s="295"/>
      <c r="B43" s="295"/>
      <c r="C43" s="295"/>
      <c r="D43" s="304"/>
      <c r="E43" s="295"/>
      <c r="F43" s="56"/>
      <c r="G43" s="56"/>
      <c r="H43" s="278"/>
      <c r="I43" s="318"/>
      <c r="J43" s="314"/>
      <c r="K43" s="331"/>
    </row>
    <row r="44">
      <c r="A44" s="295"/>
      <c r="B44" s="295"/>
      <c r="C44" s="295"/>
      <c r="D44" s="304"/>
      <c r="E44" s="295"/>
      <c r="F44" s="56"/>
      <c r="G44" s="56"/>
      <c r="H44" s="278"/>
      <c r="I44" s="318"/>
      <c r="J44" s="314"/>
      <c r="K44" s="331"/>
    </row>
    <row r="45">
      <c r="A45" s="295"/>
      <c r="B45" s="295"/>
      <c r="C45" s="295"/>
      <c r="D45" s="304"/>
      <c r="E45" s="295"/>
      <c r="F45" s="56"/>
      <c r="G45" s="56"/>
      <c r="H45" s="278"/>
      <c r="I45" s="318"/>
      <c r="J45" s="314"/>
      <c r="K45" s="331"/>
    </row>
  </sheetData>
  <mergeCells count="6">
    <mergeCell ref="B16:B18"/>
    <mergeCell ref="B23:B25"/>
    <mergeCell ref="B26:B28"/>
    <mergeCell ref="B29:B31"/>
    <mergeCell ref="B32:B34"/>
    <mergeCell ref="B35:B37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0"/>
    <col customWidth="1" min="2" max="2" width="5.38"/>
    <col customWidth="1" hidden="1" min="3" max="3" width="18.75"/>
    <col customWidth="1" min="4" max="4" width="21.13"/>
    <col customWidth="1" min="5" max="5" width="83.63"/>
    <col customWidth="1" min="6" max="6" width="11.13"/>
    <col customWidth="1" min="7" max="7" width="11.25"/>
    <col customWidth="1" min="8" max="9" width="8.0"/>
    <col customWidth="1" hidden="1" min="10" max="10" width="34.75"/>
  </cols>
  <sheetData>
    <row r="1">
      <c r="A1" s="3"/>
      <c r="B1" s="250" t="s">
        <v>1711</v>
      </c>
      <c r="C1" s="251" t="s">
        <v>1249</v>
      </c>
      <c r="D1" s="251" t="s">
        <v>1249</v>
      </c>
      <c r="E1" s="252" t="s">
        <v>6</v>
      </c>
      <c r="F1" s="327" t="str">
        <f t="array" ref="F1">#REF!</f>
        <v>#REF!</v>
      </c>
      <c r="G1" s="19"/>
      <c r="H1" s="165" t="s">
        <v>20</v>
      </c>
      <c r="I1" s="98"/>
      <c r="J1" s="252" t="s">
        <v>8</v>
      </c>
      <c r="K1" s="3"/>
      <c r="L1" s="3"/>
    </row>
    <row r="2">
      <c r="A2" s="295" t="str">
        <f t="shared" ref="A2:A16" si="1">RIGHT(C2,2)</f>
        <v>02</v>
      </c>
      <c r="B2" s="51">
        <v>1.0</v>
      </c>
      <c r="C2" s="330">
        <v>7102.0</v>
      </c>
      <c r="D2" s="218" t="s">
        <v>1714</v>
      </c>
      <c r="E2" s="259" t="str">
        <f>VLOOKUP(TEXT(A2,"#"),Main!$A$2:$C45,3,0)</f>
        <v>Pillar Cock</v>
      </c>
      <c r="F2" s="276">
        <v>3580.0</v>
      </c>
      <c r="G2" s="222">
        <f>'ZIRCON (GOLD)'!G2</f>
        <v>3760</v>
      </c>
      <c r="H2" s="261">
        <f t="shared" ref="H2:H39" si="2">IFERROR(DIVIDE(MINUS(G2,F2),G2),)</f>
        <v>0.04787234043</v>
      </c>
      <c r="I2" s="225"/>
      <c r="J2" s="265" t="str">
        <f>VLOOKUP(TEXT(A2,"#"),Main!$A$2:$D45,4,0)</f>
        <v>Pillar Cock</v>
      </c>
      <c r="K2" s="295"/>
      <c r="L2" s="295"/>
    </row>
    <row r="3">
      <c r="A3" s="295" t="str">
        <f t="shared" si="1"/>
        <v>03</v>
      </c>
      <c r="B3" s="257">
        <v>2.0</v>
      </c>
      <c r="C3" s="273">
        <v>7103.0</v>
      </c>
      <c r="D3" s="218" t="s">
        <v>1715</v>
      </c>
      <c r="E3" s="259" t="str">
        <f>VLOOKUP(TEXT(A3,"#"),Main!$A$2:$C45,3,0)</f>
        <v>Pillar Cock Tall Body</v>
      </c>
      <c r="F3" s="276">
        <v>6630.0</v>
      </c>
      <c r="G3" s="222">
        <f>'ZIRCON (GOLD)'!G3</f>
        <v>6990</v>
      </c>
      <c r="H3" s="261">
        <f t="shared" si="2"/>
        <v>0.05150214592</v>
      </c>
      <c r="I3" s="225"/>
      <c r="J3" s="265" t="str">
        <f>VLOOKUP(TEXT(A3,"#"),Main!$A$2:$D45,4,0)</f>
        <v>Pillar Cock Tall Hight</v>
      </c>
      <c r="K3" s="295"/>
      <c r="L3" s="295"/>
    </row>
    <row r="4">
      <c r="A4" s="295" t="str">
        <f t="shared" si="1"/>
        <v>04</v>
      </c>
      <c r="B4" s="257">
        <v>3.0</v>
      </c>
      <c r="C4" s="273">
        <v>7104.0</v>
      </c>
      <c r="D4" s="218" t="s">
        <v>1717</v>
      </c>
      <c r="E4" s="259" t="str">
        <f>VLOOKUP(TEXT(A4,"#"),Main!$A$2:$C45,3,0)</f>
        <v>Pillar Cock Extended Body</v>
      </c>
      <c r="F4" s="276">
        <v>4110.0</v>
      </c>
      <c r="G4" s="222">
        <f>'ZIRCON (GOLD)'!G4</f>
        <v>4230</v>
      </c>
      <c r="H4" s="261">
        <f t="shared" si="2"/>
        <v>0.02836879433</v>
      </c>
      <c r="I4" s="225"/>
      <c r="J4" s="265" t="str">
        <f>VLOOKUP(TEXT(A4,"#"),Main!$A$2:$D45,4,0)</f>
        <v>Pillar Cock Extended Body</v>
      </c>
      <c r="K4" s="295"/>
      <c r="L4" s="295"/>
    </row>
    <row r="5">
      <c r="A5" s="295" t="str">
        <f t="shared" si="1"/>
        <v>06</v>
      </c>
      <c r="B5" s="296">
        <v>4.0</v>
      </c>
      <c r="C5" s="273">
        <v>7106.0</v>
      </c>
      <c r="D5" s="233" t="s">
        <v>1718</v>
      </c>
      <c r="E5" s="259" t="str">
        <f>VLOOKUP(TEXT(A5,"#"),Main!$A$2:$C45,3,0)</f>
        <v>Bib Cock with Wall Flange</v>
      </c>
      <c r="F5" s="276">
        <v>3110.0</v>
      </c>
      <c r="G5" s="222">
        <f>'ZIRCON (GOLD)'!G5</f>
        <v>2930</v>
      </c>
      <c r="H5" s="261">
        <f t="shared" si="2"/>
        <v>-0.0614334471</v>
      </c>
      <c r="I5" s="225"/>
      <c r="J5" s="265" t="str">
        <f>VLOOKUP(TEXT(A5,"#"),Main!$A$2:$D45,4,0)</f>
        <v>Bib Cock with Flange</v>
      </c>
      <c r="K5" s="295"/>
      <c r="L5" s="295"/>
    </row>
    <row r="6">
      <c r="A6" s="295" t="str">
        <f t="shared" si="1"/>
        <v>08</v>
      </c>
      <c r="B6" s="257">
        <v>5.0</v>
      </c>
      <c r="C6" s="272">
        <v>7108.0</v>
      </c>
      <c r="D6" s="233" t="s">
        <v>1720</v>
      </c>
      <c r="E6" s="259" t="str">
        <f>VLOOKUP(TEXT(A6,"#"),Main!$A$2:$C45,3,0)</f>
        <v>Bib Cock Long Body with Wall Flange</v>
      </c>
      <c r="F6" s="276">
        <v>3410.0</v>
      </c>
      <c r="G6" s="222">
        <f>'ZIRCON (GOLD)'!G6</f>
        <v>3430</v>
      </c>
      <c r="H6" s="261">
        <f t="shared" si="2"/>
        <v>0.00583090379</v>
      </c>
      <c r="I6" s="320"/>
      <c r="J6" s="265" t="str">
        <f>VLOOKUP(TEXT(A6,"#"),Main!$A$2:$D45,4,0)</f>
        <v>Bib Cock Long Body with Flange</v>
      </c>
      <c r="K6" s="295"/>
      <c r="L6" s="295"/>
    </row>
    <row r="7">
      <c r="A7" s="295" t="str">
        <f t="shared" si="1"/>
        <v>10</v>
      </c>
      <c r="B7" s="51">
        <v>6.0</v>
      </c>
      <c r="C7" s="273">
        <v>7110.0</v>
      </c>
      <c r="D7" s="233" t="s">
        <v>1721</v>
      </c>
      <c r="E7" s="259" t="str">
        <f>VLOOKUP(TEXT(A7,"#"),Main!$A$2:$C45,3,0)</f>
        <v>Angular Stop Cock with Wall Flange</v>
      </c>
      <c r="F7" s="276">
        <v>2510.0</v>
      </c>
      <c r="G7" s="222">
        <f>'ZIRCON (GOLD)'!G7</f>
        <v>2530</v>
      </c>
      <c r="H7" s="261">
        <f t="shared" si="2"/>
        <v>0.00790513834</v>
      </c>
      <c r="I7" s="225"/>
      <c r="J7" s="8" t="str">
        <f>VLOOKUP(TEXT(A7,"#"),Main!$A$2:$D45,4,0)</f>
        <v>Angle Cock with Flange</v>
      </c>
      <c r="K7" s="295"/>
      <c r="L7" s="295"/>
    </row>
    <row r="8">
      <c r="A8" s="295" t="str">
        <f t="shared" si="1"/>
        <v>11</v>
      </c>
      <c r="B8" s="257">
        <v>7.0</v>
      </c>
      <c r="C8" s="273">
        <v>7111.0</v>
      </c>
      <c r="D8" s="233" t="s">
        <v>1723</v>
      </c>
      <c r="E8" s="259" t="str">
        <f>VLOOKUP(TEXT(A8,"#"),Main!$A$2:$C45,3,0)</f>
        <v>2-Way Angular Stop Cock with Wall Flange</v>
      </c>
      <c r="F8" s="276">
        <v>3590.0</v>
      </c>
      <c r="G8" s="222">
        <f>'ZIRCON (GOLD)'!G8</f>
        <v>3610</v>
      </c>
      <c r="H8" s="261">
        <f t="shared" si="2"/>
        <v>0.005540166205</v>
      </c>
      <c r="I8" s="225"/>
      <c r="J8" s="8" t="str">
        <f>VLOOKUP(TEXT(A8,"#"),Main!$A$2:$D45,4,0)</f>
        <v>2-Way Angle Cock with Flange</v>
      </c>
      <c r="K8" s="295"/>
      <c r="L8" s="295"/>
    </row>
    <row r="9">
      <c r="A9" s="295" t="str">
        <f t="shared" si="1"/>
        <v>13</v>
      </c>
      <c r="B9" s="257">
        <v>8.0</v>
      </c>
      <c r="C9" s="272">
        <v>7113.0</v>
      </c>
      <c r="D9" s="233" t="s">
        <v>1724</v>
      </c>
      <c r="E9" s="259" t="str">
        <f>VLOOKUP(TEXT(A9,"#"),Main!$A$2:$C45,3,0)</f>
        <v>2-Way Bib Cock Single Handle with Wall Flange</v>
      </c>
      <c r="F9" s="276">
        <v>3940.0</v>
      </c>
      <c r="G9" s="222">
        <f>'ZIRCON (GOLD)'!G9</f>
        <v>3990</v>
      </c>
      <c r="H9" s="261">
        <f t="shared" si="2"/>
        <v>0.01253132832</v>
      </c>
      <c r="I9" s="320"/>
      <c r="J9" s="8" t="str">
        <f>VLOOKUP(TEXT(A9,"#"),Main!$A$2:$D45,4,0)</f>
        <v>2-Way Bib Cock Single Handle with Flange</v>
      </c>
      <c r="K9" s="295"/>
      <c r="L9" s="295"/>
    </row>
    <row r="10">
      <c r="A10" s="295" t="str">
        <f t="shared" si="1"/>
        <v>14</v>
      </c>
      <c r="B10" s="296">
        <v>9.0</v>
      </c>
      <c r="C10" s="273">
        <v>7114.0</v>
      </c>
      <c r="D10" s="233" t="s">
        <v>1726</v>
      </c>
      <c r="E10" s="259" t="str">
        <f>VLOOKUP(TEXT(A10,"#"),Main!$A$2:$C45,3,0)</f>
        <v>Swan Neck Table Mounted</v>
      </c>
      <c r="F10" s="276">
        <v>5090.0</v>
      </c>
      <c r="G10" s="222">
        <f>'ZIRCON (GOLD)'!G10</f>
        <v>4930</v>
      </c>
      <c r="H10" s="261">
        <f t="shared" si="2"/>
        <v>-0.03245436105</v>
      </c>
      <c r="I10" s="225"/>
      <c r="J10" s="8" t="str">
        <f>VLOOKUP(TEXT(A10,"#"),Main!$A$2:$D45,4,0)</f>
        <v>Pillar Cock Swan Neck T/M</v>
      </c>
      <c r="K10" s="295"/>
      <c r="L10" s="295"/>
    </row>
    <row r="11">
      <c r="A11" s="295" t="str">
        <f t="shared" si="1"/>
        <v>16</v>
      </c>
      <c r="B11" s="257">
        <v>10.0</v>
      </c>
      <c r="C11" s="273">
        <v>7116.0</v>
      </c>
      <c r="D11" s="233" t="s">
        <v>1727</v>
      </c>
      <c r="E11" s="259" t="str">
        <f>VLOOKUP(TEXT(A11,"#"),Main!$A$2:$C45,3,0)</f>
        <v>Sink Cock Wall Mounted with Flange</v>
      </c>
      <c r="F11" s="276">
        <v>4290.0</v>
      </c>
      <c r="G11" s="222">
        <f>'ZIRCON (GOLD)'!G11</f>
        <v>4250</v>
      </c>
      <c r="H11" s="261">
        <f t="shared" si="2"/>
        <v>-0.009411764706</v>
      </c>
      <c r="I11" s="225"/>
      <c r="J11" s="8" t="str">
        <f>VLOOKUP(TEXT(A11,"#"),Main!$A$2:$D45,4,0)</f>
        <v>Bib Tap Sink Cock Regular Spout W/M</v>
      </c>
      <c r="K11" s="295"/>
      <c r="L11" s="295"/>
    </row>
    <row r="12">
      <c r="A12" s="295" t="str">
        <f t="shared" si="1"/>
        <v>18</v>
      </c>
      <c r="B12" s="51">
        <v>11.0</v>
      </c>
      <c r="C12" s="273">
        <v>7118.0</v>
      </c>
      <c r="D12" s="233" t="s">
        <v>1728</v>
      </c>
      <c r="E12" s="259" t="str">
        <f>VLOOKUP(TEXT(A12,"#"),Main!$A$2:$C45,3,0)</f>
        <v>Concealed Stop Cock 15mm with Wall Flange</v>
      </c>
      <c r="F12" s="276">
        <v>2860.0</v>
      </c>
      <c r="G12" s="222">
        <f>'ZIRCON (GOLD)'!G12</f>
        <v>2930</v>
      </c>
      <c r="H12" s="261">
        <f t="shared" si="2"/>
        <v>0.02389078498</v>
      </c>
      <c r="I12" s="225"/>
      <c r="J12" s="8" t="str">
        <f>VLOOKUP(TEXT(A12,"#"),Main!$A$2:$D45,4,0)</f>
        <v>Concealed Stop Cock 15mm with Flange</v>
      </c>
      <c r="K12" s="295"/>
      <c r="L12" s="295"/>
    </row>
    <row r="13">
      <c r="A13" s="295" t="str">
        <f t="shared" si="1"/>
        <v>20</v>
      </c>
      <c r="B13" s="257">
        <v>12.0</v>
      </c>
      <c r="C13" s="273">
        <v>7120.0</v>
      </c>
      <c r="D13" s="233" t="s">
        <v>1729</v>
      </c>
      <c r="E13" s="259" t="str">
        <f>VLOOKUP(TEXT(A13,"#"),Main!$A$2:$C45,3,0)</f>
        <v>Concealed Stop Cock 20mm with Wall Flange</v>
      </c>
      <c r="F13" s="276">
        <v>2940.0</v>
      </c>
      <c r="G13" s="222">
        <f>'ZIRCON (GOLD)'!G13</f>
        <v>2990</v>
      </c>
      <c r="H13" s="261">
        <f t="shared" si="2"/>
        <v>0.01672240803</v>
      </c>
      <c r="I13" s="225"/>
      <c r="J13" s="8" t="str">
        <f>VLOOKUP(TEXT(A13,"#"),Main!$A$2:$D45,4,0)</f>
        <v>Concealed Stop Cock 20mm with Flange</v>
      </c>
      <c r="K13" s="295"/>
      <c r="L13" s="295"/>
    </row>
    <row r="14">
      <c r="A14" s="295" t="str">
        <f t="shared" si="1"/>
        <v>51</v>
      </c>
      <c r="B14" s="257">
        <v>13.0</v>
      </c>
      <c r="C14" s="273">
        <v>7151.0</v>
      </c>
      <c r="D14" s="233" t="s">
        <v>1731</v>
      </c>
      <c r="E14" s="259" t="str">
        <f>VLOOKUP(TEXT(A14,"#"),Main!$A$2:$C45,3,0)</f>
        <v>Single Lever Basin Mixer without Popup Waste System</v>
      </c>
      <c r="F14" s="276">
        <v>8090.0</v>
      </c>
      <c r="G14" s="222">
        <f>'ZIRCON (GOLD)'!G14</f>
        <v>8960</v>
      </c>
      <c r="H14" s="261">
        <f t="shared" si="2"/>
        <v>0.09709821429</v>
      </c>
      <c r="I14" s="225"/>
      <c r="J14" s="8" t="str">
        <f>VLOOKUP(TEXT(A14,"#"),Main!$A$2:$D45,4,0)</f>
        <v>Single Lever Basin Mixer</v>
      </c>
      <c r="K14" s="295"/>
      <c r="L14" s="295"/>
    </row>
    <row r="15">
      <c r="A15" s="295" t="str">
        <f t="shared" si="1"/>
        <v>52</v>
      </c>
      <c r="B15" s="233">
        <v>14.0</v>
      </c>
      <c r="C15" s="273">
        <v>7152.0</v>
      </c>
      <c r="D15" s="233" t="s">
        <v>1733</v>
      </c>
      <c r="E15" s="259" t="str">
        <f>VLOOKUP(TEXT(A15,"#"),Main!$A$2:$C45,3,0)</f>
        <v>Single Lever Basin Mixer Tall Body without Popup Waste System</v>
      </c>
      <c r="F15" s="276">
        <v>11510.0</v>
      </c>
      <c r="G15" s="222">
        <f>'ZIRCON (GOLD)'!G15</f>
        <v>12630</v>
      </c>
      <c r="H15" s="261">
        <f t="shared" si="2"/>
        <v>0.08867775139</v>
      </c>
      <c r="I15" s="225"/>
      <c r="J15" s="8" t="str">
        <f>VLOOKUP(TEXT(A15,"#"),Main!$A$2:$D45,4,0)</f>
        <v>Single Lever Basin Mixer Tall Height</v>
      </c>
      <c r="K15" s="295"/>
      <c r="L15" s="295"/>
    </row>
    <row r="16">
      <c r="A16" s="295" t="str">
        <f t="shared" si="1"/>
        <v>54</v>
      </c>
      <c r="B16" s="325">
        <v>15.0</v>
      </c>
      <c r="C16" s="273">
        <v>7154.0</v>
      </c>
      <c r="D16" s="233" t="s">
        <v>1734</v>
      </c>
      <c r="E16" s="259" t="str">
        <f>VLOOKUP(TEXT(A16,"#"),Main!$A$2:$C45,3,0)</f>
        <v>Single Lever Basin Mixer Wall Mount (Concealed)</v>
      </c>
      <c r="F16" s="276">
        <v>8730.0</v>
      </c>
      <c r="G16" s="222" t="str">
        <f>'ZIRCON (GOLD)'!G16</f>
        <v>#REF!</v>
      </c>
      <c r="H16" s="261" t="str">
        <f t="shared" si="2"/>
        <v/>
      </c>
      <c r="I16" s="225"/>
      <c r="J16" s="8" t="str">
        <f>VLOOKUP(TEXT(A16,"#"),Main!$A$2:$D45,4,0)</f>
        <v>Single Lever Basin Mixer W/M Concealed</v>
      </c>
      <c r="K16" s="295"/>
      <c r="L16" s="295"/>
    </row>
    <row r="17">
      <c r="A17" s="269" t="s">
        <v>154</v>
      </c>
      <c r="B17" s="120"/>
      <c r="C17" s="271" t="s">
        <v>154</v>
      </c>
      <c r="D17" s="257" t="s">
        <v>154</v>
      </c>
      <c r="E17" s="259" t="str">
        <f>VLOOKUP(TEXT(A17,"#"),Main!$A$2:$C45,3,0)</f>
        <v>Single Lever Basin Mixer Wall Mount (Body, Cartridge, Sleeve &amp; Nipple)</v>
      </c>
      <c r="F17" s="276">
        <v>3980.0</v>
      </c>
      <c r="G17" s="222" t="str">
        <f>'ZIRCON (GOLD)'!G17</f>
        <v>#REF!</v>
      </c>
      <c r="H17" s="261" t="str">
        <f t="shared" si="2"/>
        <v/>
      </c>
      <c r="I17" s="225"/>
      <c r="J17" s="8" t="str">
        <f>VLOOKUP(TEXT(A17,"#"),Main!$A$2:$D45,4,0)</f>
        <v>Single Lever Basin Mixer W/M Conc. Body</v>
      </c>
      <c r="K17" s="295"/>
      <c r="L17" s="295"/>
    </row>
    <row r="18">
      <c r="A18" s="269" t="s">
        <v>159</v>
      </c>
      <c r="B18" s="145"/>
      <c r="C18" s="271" t="s">
        <v>1236</v>
      </c>
      <c r="D18" s="233" t="s">
        <v>1735</v>
      </c>
      <c r="E18" s="259" t="str">
        <f>VLOOKUP(TEXT(A18,"#"),Main!$A$2:$C45,3,0)</f>
        <v>Exposed Parts (Wall Flange, Handle &amp; Spout)</v>
      </c>
      <c r="F18" s="276">
        <v>4750.0</v>
      </c>
      <c r="G18" s="222">
        <f>'ZIRCON (GOLD)'!G18</f>
        <v>5730</v>
      </c>
      <c r="H18" s="261">
        <f t="shared" si="2"/>
        <v>0.1710296684</v>
      </c>
      <c r="I18" s="225"/>
      <c r="J18" s="8" t="str">
        <f>VLOOKUP(TEXT(A18,"#"),Main!$A$2:$D45,4,0)</f>
        <v>Single Lever Basin Mixer W/M Upper Part</v>
      </c>
      <c r="K18" s="295"/>
      <c r="L18" s="295"/>
    </row>
    <row r="19">
      <c r="A19" s="295" t="str">
        <f t="shared" ref="A19:A22" si="3">RIGHT(C19,2)</f>
        <v>55</v>
      </c>
      <c r="B19" s="233">
        <v>16.0</v>
      </c>
      <c r="C19" s="273">
        <v>7155.0</v>
      </c>
      <c r="D19" s="233" t="s">
        <v>1737</v>
      </c>
      <c r="E19" s="259" t="str">
        <f>VLOOKUP(TEXT(A19,"#"),Main!$A$2:$C45,3,0)</f>
        <v>Sink Mixer with Regular Spout Wall Mounted with Flange</v>
      </c>
      <c r="F19" s="276">
        <v>8980.0</v>
      </c>
      <c r="G19" s="222">
        <f>'ZIRCON (GOLD)'!G19</f>
        <v>9690</v>
      </c>
      <c r="H19" s="261">
        <f t="shared" si="2"/>
        <v>0.07327141383</v>
      </c>
      <c r="I19" s="225"/>
      <c r="J19" s="8" t="str">
        <f>VLOOKUP(TEXT(A19,"#"),Main!$A$2:$D45,4,0)</f>
        <v>Sink Mixer with Regular Spout W/M</v>
      </c>
      <c r="K19" s="295"/>
      <c r="L19" s="295"/>
    </row>
    <row r="20">
      <c r="A20" s="295" t="str">
        <f t="shared" si="3"/>
        <v>70</v>
      </c>
      <c r="B20" s="233">
        <v>17.0</v>
      </c>
      <c r="C20" s="273">
        <v>7170.0</v>
      </c>
      <c r="D20" s="233" t="s">
        <v>1739</v>
      </c>
      <c r="E20" s="259" t="str">
        <f>VLOOKUP(TEXT(A20,"#"),Main!$A$2:$C45,3,0)</f>
        <v>Wall Mixer Telephonic with Crutch &amp; Wall Flange (Provision For Hand Shower)</v>
      </c>
      <c r="F20" s="276">
        <v>10780.0</v>
      </c>
      <c r="G20" s="222">
        <f>'ZIRCON (GOLD)'!G20</f>
        <v>11360</v>
      </c>
      <c r="H20" s="261">
        <f t="shared" si="2"/>
        <v>0.05105633803</v>
      </c>
      <c r="I20" s="225"/>
      <c r="J20" s="8" t="str">
        <f>VLOOKUP(TEXT(A20,"#"),Main!$A$2:$D45,4,0)</f>
        <v>Wall Mixer Telephonic with Crutch</v>
      </c>
      <c r="K20" s="295"/>
      <c r="L20" s="295"/>
    </row>
    <row r="21">
      <c r="A21" s="295" t="str">
        <f t="shared" si="3"/>
        <v>75</v>
      </c>
      <c r="B21" s="233">
        <v>18.0</v>
      </c>
      <c r="C21" s="273">
        <v>7175.0</v>
      </c>
      <c r="D21" s="233" t="s">
        <v>1741</v>
      </c>
      <c r="E21" s="259" t="str">
        <f>VLOOKUP(TEXT(A21,"#"),Main!$A$2:$C45,3,0)</f>
        <v>Wall Mixer "L" Bend with Wall Flange (Provision For Over Head Shower)</v>
      </c>
      <c r="F21" s="276">
        <v>10780.0</v>
      </c>
      <c r="G21" s="222">
        <f>'ZIRCON (GOLD)'!G21</f>
        <v>11360</v>
      </c>
      <c r="H21" s="261">
        <f t="shared" si="2"/>
        <v>0.05105633803</v>
      </c>
      <c r="I21" s="225"/>
      <c r="J21" s="8" t="str">
        <f>VLOOKUP(TEXT(A21,"#"),Main!$A$2:$D45,4,0)</f>
        <v>Wall Mixer with "L" Bend</v>
      </c>
      <c r="K21" s="295"/>
      <c r="L21" s="295"/>
    </row>
    <row r="22">
      <c r="A22" s="295" t="str">
        <f t="shared" si="3"/>
        <v>80</v>
      </c>
      <c r="B22" s="233">
        <v>19.0</v>
      </c>
      <c r="C22" s="273">
        <v>7180.0</v>
      </c>
      <c r="D22" s="233" t="s">
        <v>1742</v>
      </c>
      <c r="E22" s="259" t="str">
        <f>VLOOKUP(TEXT(A22,"#"),Main!$A$2:$C45,3,0)</f>
        <v>Wall Mixer 3 In 1 with Wall Flange (Provision For Over Head Shower &amp; Hand Shower)</v>
      </c>
      <c r="F22" s="276">
        <v>12580.0</v>
      </c>
      <c r="G22" s="222">
        <f>'ZIRCON (GOLD)'!G22</f>
        <v>13010</v>
      </c>
      <c r="H22" s="261">
        <f t="shared" si="2"/>
        <v>0.03305149885</v>
      </c>
      <c r="I22" s="225"/>
      <c r="J22" s="8" t="str">
        <f>VLOOKUP(TEXT(A22,"#"),Main!$A$2:$D45,4,0)</f>
        <v>Wall Mixer 3 in 1</v>
      </c>
      <c r="K22" s="295"/>
      <c r="L22" s="295"/>
    </row>
    <row r="23">
      <c r="A23" s="311" t="s">
        <v>209</v>
      </c>
      <c r="B23" s="325">
        <v>20.0</v>
      </c>
      <c r="C23" s="273" t="s">
        <v>1237</v>
      </c>
      <c r="D23" s="233" t="s">
        <v>1743</v>
      </c>
      <c r="E23" s="259" t="str">
        <f>VLOOKUP(TEXT(A23,"#"),Main!$A$2:$C45,3,0)</f>
        <v>Single Lever Concealed Diverter Bath &amp; Shower 40mm</v>
      </c>
      <c r="F23" s="276">
        <v>6930.0</v>
      </c>
      <c r="G23" s="222" t="str">
        <f>'ZIRCON (GOLD)'!G23</f>
        <v>#REF!</v>
      </c>
      <c r="H23" s="261" t="str">
        <f t="shared" si="2"/>
        <v/>
      </c>
      <c r="I23" s="320"/>
      <c r="J23" s="8" t="str">
        <f>VLOOKUP(TEXT(A23,"#"),Main!$A$2:$D45,4,0)</f>
        <v>Single Lever Conc. Div 40mm</v>
      </c>
      <c r="K23" s="295"/>
      <c r="L23" s="295"/>
    </row>
    <row r="24">
      <c r="A24" s="269" t="s">
        <v>212</v>
      </c>
      <c r="B24" s="120"/>
      <c r="C24" s="271" t="s">
        <v>212</v>
      </c>
      <c r="D24" s="257" t="s">
        <v>212</v>
      </c>
      <c r="E24" s="259" t="str">
        <f>VLOOKUP(TEXT(A24,"#"),Main!$A$2:$C45,3,0)</f>
        <v>Concealed Diverter Body 40mm (Cartridge, Sleeve, Tipton Assembly)</v>
      </c>
      <c r="F24" s="276">
        <v>3140.0</v>
      </c>
      <c r="G24" s="222" t="str">
        <f>'ZIRCON (GOLD)'!G24</f>
        <v>#REF!</v>
      </c>
      <c r="H24" s="261" t="str">
        <f t="shared" si="2"/>
        <v/>
      </c>
      <c r="I24" s="320"/>
      <c r="J24" s="8" t="str">
        <f>VLOOKUP(TEXT(A24,"#"),Main!$A$2:$D45,4,0)</f>
        <v>Single Lever Conc. Div 40mm Body</v>
      </c>
      <c r="K24" s="295"/>
      <c r="L24" s="295"/>
    </row>
    <row r="25">
      <c r="A25" s="269" t="s">
        <v>216</v>
      </c>
      <c r="B25" s="145"/>
      <c r="C25" s="271" t="s">
        <v>1238</v>
      </c>
      <c r="D25" s="233" t="s">
        <v>1744</v>
      </c>
      <c r="E25" s="259" t="str">
        <f>VLOOKUP(TEXT(A25,"#"),Main!$A$2:$C45,3,0)</f>
        <v>Exposed Parts (Wall Flange &amp; Handle)</v>
      </c>
      <c r="F25" s="276">
        <v>3790.0</v>
      </c>
      <c r="G25" s="222">
        <f>'ZIRCON (GOLD)'!G25</f>
        <v>3980</v>
      </c>
      <c r="H25" s="261">
        <f t="shared" si="2"/>
        <v>0.04773869347</v>
      </c>
      <c r="I25" s="320"/>
      <c r="J25" s="8" t="str">
        <f>VLOOKUP(TEXT(A25,"#"),Main!$A$2:$D45,4,0)</f>
        <v>Single Lever Conc. Div 40mm Upper Part</v>
      </c>
      <c r="K25" s="295"/>
      <c r="L25" s="295"/>
    </row>
    <row r="26">
      <c r="A26" s="311" t="s">
        <v>219</v>
      </c>
      <c r="B26" s="325">
        <v>21.0</v>
      </c>
      <c r="C26" s="271" t="s">
        <v>1239</v>
      </c>
      <c r="D26" s="281" t="s">
        <v>1746</v>
      </c>
      <c r="E26" s="259" t="str">
        <f>VLOOKUP(TEXT(A26,"#"),Main!$A$2:$C45,3,0)</f>
        <v>Single Lever High Flow Concealed Diverter Bath &amp; Shower 46mm</v>
      </c>
      <c r="F26" s="276">
        <v>7780.0</v>
      </c>
      <c r="G26" s="222" t="str">
        <f>'ZIRCON (GOLD)'!G26</f>
        <v>#REF!</v>
      </c>
      <c r="H26" s="261" t="str">
        <f t="shared" si="2"/>
        <v/>
      </c>
      <c r="I26" s="320"/>
      <c r="J26" s="8" t="str">
        <f>VLOOKUP(TEXT(A26,"#"),Main!$A$2:$D45,4,0)</f>
        <v>Single Lever H F Conc. Div 46mm</v>
      </c>
      <c r="K26" s="295"/>
      <c r="L26" s="295"/>
    </row>
    <row r="27">
      <c r="A27" s="269" t="s">
        <v>223</v>
      </c>
      <c r="B27" s="120"/>
      <c r="C27" s="271" t="s">
        <v>223</v>
      </c>
      <c r="D27" s="288" t="s">
        <v>223</v>
      </c>
      <c r="E27" s="259" t="str">
        <f>VLOOKUP(TEXT(A27,"#"),Main!$A$2:$C45,3,0)</f>
        <v>High Flow Concealed Diverter Body 46mm (Cartridge, Sleeve, Tipton Assembly)</v>
      </c>
      <c r="F27" s="276">
        <v>3990.0</v>
      </c>
      <c r="G27" s="222" t="str">
        <f>'ZIRCON (GOLD)'!G27</f>
        <v>#REF!</v>
      </c>
      <c r="H27" s="261" t="str">
        <f t="shared" si="2"/>
        <v/>
      </c>
      <c r="I27" s="320"/>
      <c r="J27" s="8" t="str">
        <f>VLOOKUP(TEXT(A27,"#"),Main!$A$2:$D45,4,0)</f>
        <v>Single Lever H F Conc. Div 46mm Body</v>
      </c>
      <c r="K27" s="295"/>
      <c r="L27" s="295"/>
    </row>
    <row r="28">
      <c r="A28" s="269" t="s">
        <v>226</v>
      </c>
      <c r="B28" s="145"/>
      <c r="C28" s="271" t="s">
        <v>1240</v>
      </c>
      <c r="D28" s="286" t="s">
        <v>1747</v>
      </c>
      <c r="E28" s="259" t="str">
        <f>VLOOKUP(TEXT(A28,"#"),Main!$A$2:$C45,3,0)</f>
        <v>Exposed Parts (Wall Flange &amp; Handle)</v>
      </c>
      <c r="F28" s="276">
        <v>3790.0</v>
      </c>
      <c r="G28" s="222">
        <f>'ZIRCON (GOLD)'!G28</f>
        <v>3980</v>
      </c>
      <c r="H28" s="261">
        <f t="shared" si="2"/>
        <v>0.04773869347</v>
      </c>
      <c r="I28" s="320"/>
      <c r="J28" s="8" t="str">
        <f>VLOOKUP(TEXT(A28,"#"),Main!$A$2:$D45,4,0)</f>
        <v>S L H F Conc. Div 46mm Upper Part</v>
      </c>
      <c r="K28" s="295"/>
      <c r="L28" s="295"/>
    </row>
    <row r="29">
      <c r="A29" s="269" t="s">
        <v>228</v>
      </c>
      <c r="B29" s="325">
        <v>22.0</v>
      </c>
      <c r="C29" s="271" t="s">
        <v>1241</v>
      </c>
      <c r="D29" s="233" t="s">
        <v>1749</v>
      </c>
      <c r="E29" s="259" t="str">
        <f>VLOOKUP(TEXT(A29,"#"),Main!$A$2:$C45,3,0)</f>
        <v>Single Lever High Flow Concealed Diverter Bath &amp; Shower 46mm (ON-OFF)</v>
      </c>
      <c r="F29" s="276">
        <v>7780.0</v>
      </c>
      <c r="G29" s="222" t="str">
        <f>'ZIRCON (GOLD)'!G29</f>
        <v>#REF!</v>
      </c>
      <c r="H29" s="261" t="str">
        <f t="shared" si="2"/>
        <v/>
      </c>
      <c r="I29" s="320"/>
      <c r="J29" s="8" t="str">
        <f>VLOOKUP(TEXT(A29,"#"),Main!$A$2:$D45,4,0)</f>
        <v>Single Lever H F Conc. Div 46mm (ON-OFF)</v>
      </c>
      <c r="K29" s="295"/>
      <c r="L29" s="295"/>
    </row>
    <row r="30">
      <c r="A30" s="269" t="s">
        <v>234</v>
      </c>
      <c r="B30" s="120"/>
      <c r="C30" s="271" t="s">
        <v>234</v>
      </c>
      <c r="D30" s="257" t="s">
        <v>234</v>
      </c>
      <c r="E30" s="259" t="str">
        <f>VLOOKUP(TEXT(A30,"#"),Main!$A$2:$C45,3,0)</f>
        <v>High Flow Concealed Diverter Body 46mm (Cartridge, Sleeve, On-Off Assembly)</v>
      </c>
      <c r="F30" s="276">
        <v>3990.0</v>
      </c>
      <c r="G30" s="222" t="str">
        <f>'ZIRCON (GOLD)'!G30</f>
        <v>#REF!</v>
      </c>
      <c r="H30" s="261" t="str">
        <f t="shared" si="2"/>
        <v/>
      </c>
      <c r="I30" s="320"/>
      <c r="J30" s="8" t="str">
        <f>VLOOKUP(TEXT(A30,"#"),Main!$A$2:$D45,4,0)</f>
        <v>S L H F Conc. Div 46mm (ON-OFF) Body</v>
      </c>
      <c r="K30" s="295"/>
      <c r="L30" s="295"/>
    </row>
    <row r="31">
      <c r="A31" s="269" t="s">
        <v>237</v>
      </c>
      <c r="B31" s="145"/>
      <c r="C31" s="271" t="s">
        <v>1242</v>
      </c>
      <c r="D31" s="233" t="s">
        <v>1750</v>
      </c>
      <c r="E31" s="259" t="str">
        <f>VLOOKUP(TEXT(A31,"#"),Main!$A$2:$C45,3,0)</f>
        <v>Exposed Parts (Wall Flange &amp; Handle)</v>
      </c>
      <c r="F31" s="276">
        <v>3790.0</v>
      </c>
      <c r="G31" s="222">
        <f>'ZIRCON (GOLD)'!G31</f>
        <v>3980</v>
      </c>
      <c r="H31" s="261">
        <f t="shared" si="2"/>
        <v>0.04773869347</v>
      </c>
      <c r="I31" s="320"/>
      <c r="J31" s="8" t="str">
        <f>VLOOKUP(TEXT(A31,"#"),Main!$A$2:$D45,4,0)</f>
        <v>S L H F Conc. Div 46mm ON-OFF Upper Part</v>
      </c>
      <c r="K31" s="295"/>
      <c r="L31" s="295"/>
    </row>
    <row r="32">
      <c r="A32" s="311" t="s">
        <v>239</v>
      </c>
      <c r="B32" s="325">
        <v>23.0</v>
      </c>
      <c r="C32" s="273" t="s">
        <v>1243</v>
      </c>
      <c r="D32" s="233" t="s">
        <v>1751</v>
      </c>
      <c r="E32" s="259" t="str">
        <f>VLOOKUP(TEXT(A32,"#"),Main!$A$2:$C45,3,0)</f>
        <v>Single Lever 3 In Let Concealed Diverter Bath &amp; Shower 46mm</v>
      </c>
      <c r="F32" s="276">
        <v>7780.0</v>
      </c>
      <c r="G32" s="222" t="str">
        <f>'ZIRCON (GOLD)'!G32</f>
        <v>#REF!</v>
      </c>
      <c r="H32" s="261" t="str">
        <f t="shared" si="2"/>
        <v/>
      </c>
      <c r="I32" s="320"/>
      <c r="J32" s="8" t="str">
        <f>VLOOKUP(TEXT(A32,"#"),Main!$A$2:$D45,4,0)</f>
        <v>Single Lever 3IN Let Conc. Div 46mm</v>
      </c>
      <c r="K32" s="295"/>
      <c r="L32" s="295"/>
    </row>
    <row r="33">
      <c r="A33" s="269" t="s">
        <v>243</v>
      </c>
      <c r="B33" s="120"/>
      <c r="C33" s="273" t="s">
        <v>243</v>
      </c>
      <c r="D33" s="219" t="s">
        <v>243</v>
      </c>
      <c r="E33" s="259" t="str">
        <f>VLOOKUP(TEXT(A33,"#"),Main!$A$2:$C45,3,0)</f>
        <v>3 In Let Concealed Diverter Body 46mm (Cartridge, Sleeve, Tipton Assembly)</v>
      </c>
      <c r="F33" s="276">
        <v>3990.0</v>
      </c>
      <c r="G33" s="222" t="str">
        <f>'ZIRCON (GOLD)'!G33</f>
        <v>#REF!</v>
      </c>
      <c r="H33" s="261" t="str">
        <f t="shared" si="2"/>
        <v/>
      </c>
      <c r="I33" s="320"/>
      <c r="J33" s="8" t="str">
        <f>VLOOKUP(TEXT(A33,"#"),Main!$A$2:$D45,4,0)</f>
        <v>Single Lever 3IN Let Conc. Div 46mm Body</v>
      </c>
      <c r="K33" s="295"/>
      <c r="L33" s="295"/>
    </row>
    <row r="34">
      <c r="A34" s="269" t="s">
        <v>247</v>
      </c>
      <c r="B34" s="145"/>
      <c r="C34" s="271" t="s">
        <v>1244</v>
      </c>
      <c r="D34" s="233" t="s">
        <v>1753</v>
      </c>
      <c r="E34" s="259" t="str">
        <f>VLOOKUP(TEXT(A34,"#"),Main!$A$2:$C45,3,0)</f>
        <v>Exposed Parts (Wall Flange &amp; Handle)</v>
      </c>
      <c r="F34" s="276">
        <v>3790.0</v>
      </c>
      <c r="G34" s="222">
        <f>'ZIRCON (GOLD)'!G34</f>
        <v>3980</v>
      </c>
      <c r="H34" s="261">
        <f t="shared" si="2"/>
        <v>0.04773869347</v>
      </c>
      <c r="I34" s="320"/>
      <c r="J34" s="8" t="str">
        <f>VLOOKUP(TEXT(A34,"#"),Main!$A$2:$D45,4,0)</f>
        <v>S L 3IN Let Conc. Div 46mm Upper Part</v>
      </c>
      <c r="K34" s="295"/>
      <c r="L34" s="295"/>
    </row>
    <row r="35">
      <c r="A35" s="269" t="s">
        <v>249</v>
      </c>
      <c r="B35" s="325">
        <v>24.0</v>
      </c>
      <c r="C35" s="271" t="s">
        <v>1245</v>
      </c>
      <c r="D35" s="281" t="s">
        <v>1755</v>
      </c>
      <c r="E35" s="259" t="str">
        <f>VLOOKUP(TEXT(A35,"#"),Main!$A$2:$C45,3,0)</f>
        <v>Single Lever 3 In Let Concealed Diverter Bath &amp; Shower 46mm (ON-OFF)</v>
      </c>
      <c r="F35" s="276">
        <v>7780.0</v>
      </c>
      <c r="G35" s="222" t="str">
        <f>'ZIRCON (GOLD)'!G35</f>
        <v>#REF!</v>
      </c>
      <c r="H35" s="261" t="str">
        <f t="shared" si="2"/>
        <v/>
      </c>
      <c r="I35" s="320"/>
      <c r="J35" s="8" t="str">
        <f>VLOOKUP(TEXT(A35,"#"),Main!$A$2:$D45,4,0)</f>
        <v>Single Lever 3IN Conc. Div 46mm (ON-OFF)</v>
      </c>
      <c r="K35" s="295"/>
      <c r="L35" s="295"/>
    </row>
    <row r="36">
      <c r="A36" s="269" t="s">
        <v>253</v>
      </c>
      <c r="B36" s="120"/>
      <c r="C36" s="271" t="s">
        <v>253</v>
      </c>
      <c r="D36" s="288" t="s">
        <v>253</v>
      </c>
      <c r="E36" s="259" t="str">
        <f>VLOOKUP(TEXT(A36,"#"),Main!$A$2:$C45,3,0)</f>
        <v>3 In Let Concealed Diverter Body 46mm (Cartridge, Sleeve, On-Off Assembly)</v>
      </c>
      <c r="F36" s="276">
        <v>3990.0</v>
      </c>
      <c r="G36" s="222" t="str">
        <f>'ZIRCON (GOLD)'!G36</f>
        <v>#REF!</v>
      </c>
      <c r="H36" s="261" t="str">
        <f t="shared" si="2"/>
        <v/>
      </c>
      <c r="I36" s="320"/>
      <c r="J36" s="8" t="str">
        <f>VLOOKUP(TEXT(A36,"#"),Main!$A$2:$D45,4,0)</f>
        <v>S L 3IN Conc. Div 46mm (ON-OFF) Body</v>
      </c>
      <c r="K36" s="295"/>
      <c r="L36" s="295"/>
    </row>
    <row r="37">
      <c r="A37" s="269" t="s">
        <v>258</v>
      </c>
      <c r="B37" s="145"/>
      <c r="C37" s="271" t="s">
        <v>1246</v>
      </c>
      <c r="D37" s="286" t="s">
        <v>1757</v>
      </c>
      <c r="E37" s="259" t="str">
        <f>VLOOKUP(TEXT(A37,"#"),Main!$A$2:$C45,3,0)</f>
        <v>Exposed Parts (Wall Flange &amp; Handle)</v>
      </c>
      <c r="F37" s="276">
        <v>3790.0</v>
      </c>
      <c r="G37" s="222">
        <f>'ZIRCON (GOLD)'!G37</f>
        <v>3980</v>
      </c>
      <c r="H37" s="261">
        <f t="shared" si="2"/>
        <v>0.04773869347</v>
      </c>
      <c r="I37" s="320"/>
      <c r="J37" s="8" t="str">
        <f>VLOOKUP(TEXT(A37,"#"),Main!$A$2:$D45,4,0)</f>
        <v>S L 3IN Conc. Div 46mm ON-OFF Upper Part</v>
      </c>
      <c r="K37" s="295"/>
      <c r="L37" s="295"/>
    </row>
    <row r="38">
      <c r="A38" s="310">
        <v>95.0</v>
      </c>
      <c r="B38" s="40">
        <v>25.0</v>
      </c>
      <c r="C38" s="273">
        <v>7195.0</v>
      </c>
      <c r="D38" s="286" t="s">
        <v>1759</v>
      </c>
      <c r="E38" s="259" t="str">
        <f>VLOOKUP(TEXT(A38,"#"),Main!$A$2:$C45,3,0)</f>
        <v>Bath Tub Spout with Flange</v>
      </c>
      <c r="F38" s="276">
        <v>2490.0</v>
      </c>
      <c r="G38" s="222">
        <f>'ZIRCON (GOLD)'!G38</f>
        <v>2610</v>
      </c>
      <c r="H38" s="261">
        <f t="shared" si="2"/>
        <v>0.04597701149</v>
      </c>
      <c r="I38" s="225"/>
      <c r="J38" s="8" t="str">
        <f>VLOOKUP(TEXT(A38,"#"),Main!$A$2:$D45,4,0)</f>
        <v>Spout with Flange</v>
      </c>
      <c r="K38" s="295"/>
      <c r="L38" s="295"/>
    </row>
    <row r="39">
      <c r="A39" s="310">
        <v>96.0</v>
      </c>
      <c r="B39" s="40">
        <v>26.0</v>
      </c>
      <c r="C39" s="271">
        <v>7196.0</v>
      </c>
      <c r="D39" s="286" t="s">
        <v>1761</v>
      </c>
      <c r="E39" s="259" t="str">
        <f>VLOOKUP(TEXT(A39,"#"),Main!$A$2:$C45,3,0)</f>
        <v>Bath Tub Spout Tip Ton with Flange</v>
      </c>
      <c r="F39" s="276">
        <v>3590.0</v>
      </c>
      <c r="G39" s="222">
        <f>'ZIRCON (GOLD)'!G39</f>
        <v>3610</v>
      </c>
      <c r="H39" s="261">
        <f t="shared" si="2"/>
        <v>0.005540166205</v>
      </c>
      <c r="I39" s="225"/>
      <c r="J39" s="8" t="str">
        <f>VLOOKUP(TEXT(A39,"#"),Main!$A$2:$D45,4,0)</f>
        <v>Spout Tip Ton with Flange</v>
      </c>
      <c r="K39" s="295"/>
      <c r="L39" s="295"/>
    </row>
    <row r="40">
      <c r="A40" s="295"/>
      <c r="B40" s="295"/>
      <c r="C40" s="295"/>
      <c r="D40" s="304"/>
      <c r="E40" s="295"/>
      <c r="F40" s="278"/>
      <c r="G40" s="278"/>
      <c r="H40" s="278"/>
      <c r="I40" s="56"/>
      <c r="J40" s="8"/>
      <c r="K40" s="295"/>
      <c r="L40" s="295"/>
    </row>
    <row r="41">
      <c r="A41" s="295"/>
      <c r="B41" s="295"/>
      <c r="C41" s="295"/>
      <c r="D41" s="304"/>
      <c r="E41" s="295"/>
      <c r="F41" s="278"/>
      <c r="G41" s="278"/>
      <c r="H41" s="278"/>
      <c r="I41" s="56"/>
      <c r="J41" s="8"/>
      <c r="K41" s="295"/>
      <c r="L41" s="295"/>
    </row>
    <row r="42">
      <c r="A42" s="295"/>
      <c r="B42" s="295"/>
      <c r="C42" s="295"/>
      <c r="D42" s="304"/>
      <c r="E42" s="295"/>
      <c r="F42" s="278"/>
      <c r="G42" s="278"/>
      <c r="H42" s="278"/>
      <c r="I42" s="56"/>
      <c r="J42" s="8"/>
      <c r="K42" s="295"/>
      <c r="L42" s="295"/>
    </row>
    <row r="43">
      <c r="A43" s="295"/>
      <c r="B43" s="295"/>
      <c r="C43" s="295"/>
      <c r="D43" s="304"/>
      <c r="E43" s="295"/>
      <c r="F43" s="278"/>
      <c r="G43" s="278"/>
      <c r="H43" s="278"/>
      <c r="I43" s="56"/>
      <c r="K43" s="295"/>
      <c r="L43" s="295"/>
    </row>
    <row r="44">
      <c r="A44" s="295"/>
      <c r="B44" s="295"/>
      <c r="C44" s="295"/>
      <c r="D44" s="304"/>
      <c r="E44" s="295"/>
      <c r="F44" s="278"/>
      <c r="G44" s="278"/>
      <c r="H44" s="278"/>
      <c r="I44" s="56"/>
      <c r="J44" s="8"/>
      <c r="K44" s="295"/>
      <c r="L44" s="295"/>
    </row>
    <row r="45">
      <c r="A45" s="295"/>
      <c r="B45" s="295"/>
      <c r="C45" s="295"/>
      <c r="D45" s="304"/>
      <c r="E45" s="295"/>
      <c r="F45" s="278"/>
      <c r="G45" s="278"/>
      <c r="H45" s="278"/>
      <c r="I45" s="56"/>
      <c r="J45" s="10"/>
      <c r="K45" s="295"/>
      <c r="L45" s="295"/>
    </row>
  </sheetData>
  <mergeCells count="6">
    <mergeCell ref="B16:B18"/>
    <mergeCell ref="B23:B25"/>
    <mergeCell ref="B26:B28"/>
    <mergeCell ref="B29:B31"/>
    <mergeCell ref="B32:B34"/>
    <mergeCell ref="B35:B37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0"/>
    <col customWidth="1" min="2" max="2" width="5.38"/>
    <col customWidth="1" hidden="1" min="3" max="3" width="18.75"/>
    <col customWidth="1" min="4" max="4" width="20.0"/>
    <col customWidth="1" min="5" max="5" width="83.63"/>
    <col customWidth="1" min="6" max="6" width="11.38"/>
    <col customWidth="1" min="7" max="7" width="10.88"/>
    <col customWidth="1" min="8" max="8" width="8.0"/>
    <col customWidth="1" min="9" max="9" width="11.75"/>
    <col customWidth="1" min="10" max="10" width="6.63"/>
  </cols>
  <sheetData>
    <row r="1">
      <c r="A1" s="3"/>
      <c r="B1" s="250" t="s">
        <v>1745</v>
      </c>
      <c r="C1" s="251" t="s">
        <v>1249</v>
      </c>
      <c r="D1" s="251" t="s">
        <v>1249</v>
      </c>
      <c r="E1" s="252" t="s">
        <v>6</v>
      </c>
      <c r="F1" s="327" t="str">
        <f t="array" ref="F1">#REF!</f>
        <v>#REF!</v>
      </c>
      <c r="G1" s="19"/>
      <c r="H1" s="165" t="s">
        <v>20</v>
      </c>
      <c r="I1" s="253">
        <v>1.8</v>
      </c>
      <c r="J1" s="312"/>
      <c r="K1" s="10"/>
    </row>
    <row r="2">
      <c r="A2" s="295" t="str">
        <f t="shared" ref="A2:A16" si="1">RIGHT(C2,2)</f>
        <v>02</v>
      </c>
      <c r="B2" s="51">
        <v>1.0</v>
      </c>
      <c r="C2" s="330">
        <v>7102.0</v>
      </c>
      <c r="D2" s="218" t="s">
        <v>1748</v>
      </c>
      <c r="E2" s="259" t="str">
        <f>VLOOKUP(TEXT(A2,"#"),Main!$A$2:$C45,3,0)</f>
        <v>Pillar Cock</v>
      </c>
      <c r="F2" s="276">
        <v>3960.0</v>
      </c>
      <c r="G2" s="276">
        <v>4230.0</v>
      </c>
      <c r="H2" s="261">
        <f t="shared" ref="H2:H39" si="2">IFERROR(DIVIDE(MINUS(G2,F2),G2),)</f>
        <v>0.06382978723</v>
      </c>
      <c r="I2" s="263" t="str">
        <f>VLOOKUP(C2,'CYGNUS 71'!$D$2:$E45,4,0)</f>
        <v>#REF!</v>
      </c>
      <c r="J2" s="314" t="str">
        <f t="shared" ref="J2:J39" si="3">G2/I2</f>
        <v>#REF!</v>
      </c>
      <c r="K2" s="278"/>
    </row>
    <row r="3">
      <c r="A3" s="295" t="str">
        <f t="shared" si="1"/>
        <v>03</v>
      </c>
      <c r="B3" s="257">
        <v>2.0</v>
      </c>
      <c r="C3" s="273">
        <v>7103.0</v>
      </c>
      <c r="D3" s="218" t="s">
        <v>1752</v>
      </c>
      <c r="E3" s="259" t="str">
        <f>VLOOKUP(TEXT(A3,"#"),Main!$A$2:$C45,3,0)</f>
        <v>Pillar Cock Tall Body</v>
      </c>
      <c r="F3" s="276">
        <v>7360.0</v>
      </c>
      <c r="G3" s="276">
        <v>7890.0</v>
      </c>
      <c r="H3" s="261">
        <f t="shared" si="2"/>
        <v>0.06717363752</v>
      </c>
      <c r="I3" s="263" t="str">
        <f>VLOOKUP(C3,'CYGNUS 71'!$D$2:$E45,4,0)</f>
        <v>#REF!</v>
      </c>
      <c r="J3" s="314" t="str">
        <f t="shared" si="3"/>
        <v>#REF!</v>
      </c>
      <c r="K3" s="278"/>
    </row>
    <row r="4">
      <c r="A4" s="295" t="str">
        <f t="shared" si="1"/>
        <v>04</v>
      </c>
      <c r="B4" s="257">
        <v>3.0</v>
      </c>
      <c r="C4" s="273">
        <v>7104.0</v>
      </c>
      <c r="D4" s="218" t="s">
        <v>1754</v>
      </c>
      <c r="E4" s="259" t="str">
        <f>VLOOKUP(TEXT(A4,"#"),Main!$A$2:$C45,3,0)</f>
        <v>Pillar Cock Extended Body</v>
      </c>
      <c r="F4" s="276">
        <v>4520.0</v>
      </c>
      <c r="G4" s="276">
        <v>4760.0</v>
      </c>
      <c r="H4" s="261">
        <f t="shared" si="2"/>
        <v>0.05042016807</v>
      </c>
      <c r="I4" s="263" t="str">
        <f>VLOOKUP(C4,'CYGNUS 71'!$D$2:$E45,4,0)</f>
        <v>#REF!</v>
      </c>
      <c r="J4" s="314" t="str">
        <f t="shared" si="3"/>
        <v>#REF!</v>
      </c>
      <c r="K4" s="278"/>
    </row>
    <row r="5">
      <c r="A5" s="295" t="str">
        <f t="shared" si="1"/>
        <v>06</v>
      </c>
      <c r="B5" s="296">
        <v>4.0</v>
      </c>
      <c r="C5" s="273">
        <v>7106.0</v>
      </c>
      <c r="D5" s="233" t="s">
        <v>1756</v>
      </c>
      <c r="E5" s="259" t="str">
        <f>VLOOKUP(TEXT(A5,"#"),Main!$A$2:$C45,3,0)</f>
        <v>Bib Cock with Wall Flange</v>
      </c>
      <c r="F5" s="276">
        <v>3380.0</v>
      </c>
      <c r="G5" s="276">
        <v>3310.0</v>
      </c>
      <c r="H5" s="261">
        <f t="shared" si="2"/>
        <v>-0.02114803625</v>
      </c>
      <c r="I5" s="263" t="str">
        <f>VLOOKUP(C5,'CYGNUS 71'!$D$2:$E45,4,0)</f>
        <v>#REF!</v>
      </c>
      <c r="J5" s="314" t="str">
        <f t="shared" si="3"/>
        <v>#REF!</v>
      </c>
      <c r="K5" s="278"/>
    </row>
    <row r="6">
      <c r="A6" s="295" t="str">
        <f t="shared" si="1"/>
        <v>08</v>
      </c>
      <c r="B6" s="257">
        <v>5.0</v>
      </c>
      <c r="C6" s="272">
        <v>7108.0</v>
      </c>
      <c r="D6" s="233" t="s">
        <v>1758</v>
      </c>
      <c r="E6" s="259" t="str">
        <f>VLOOKUP(TEXT(A6,"#"),Main!$A$2:$C45,3,0)</f>
        <v>Bib Cock Long Body with Wall Flange</v>
      </c>
      <c r="F6" s="276">
        <v>3780.0</v>
      </c>
      <c r="G6" s="276">
        <v>3860.0</v>
      </c>
      <c r="H6" s="261">
        <f t="shared" si="2"/>
        <v>0.0207253886</v>
      </c>
      <c r="I6" s="263" t="str">
        <f>VLOOKUP(C6,'CYGNUS 71'!$D$2:$E45,4,0)</f>
        <v>#REF!</v>
      </c>
      <c r="J6" s="314" t="str">
        <f t="shared" si="3"/>
        <v>#REF!</v>
      </c>
      <c r="K6" s="278"/>
    </row>
    <row r="7">
      <c r="A7" s="295" t="str">
        <f t="shared" si="1"/>
        <v>10</v>
      </c>
      <c r="B7" s="51">
        <v>6.0</v>
      </c>
      <c r="C7" s="273">
        <v>7110.0</v>
      </c>
      <c r="D7" s="233" t="s">
        <v>1760</v>
      </c>
      <c r="E7" s="259" t="str">
        <f>VLOOKUP(TEXT(A7,"#"),Main!$A$2:$C45,3,0)</f>
        <v>Angular Stop Cock with Wall Flange</v>
      </c>
      <c r="F7" s="276">
        <v>2780.0</v>
      </c>
      <c r="G7" s="276">
        <v>2830.0</v>
      </c>
      <c r="H7" s="261">
        <f t="shared" si="2"/>
        <v>0.01766784452</v>
      </c>
      <c r="I7" s="263" t="str">
        <f>VLOOKUP(C7,'CYGNUS 71'!$D$2:$E45,4,0)</f>
        <v>#REF!</v>
      </c>
      <c r="J7" s="314" t="str">
        <f t="shared" si="3"/>
        <v>#REF!</v>
      </c>
      <c r="K7" s="278"/>
    </row>
    <row r="8">
      <c r="A8" s="295" t="str">
        <f t="shared" si="1"/>
        <v>11</v>
      </c>
      <c r="B8" s="257">
        <v>7.0</v>
      </c>
      <c r="C8" s="273">
        <v>7111.0</v>
      </c>
      <c r="D8" s="233" t="s">
        <v>1762</v>
      </c>
      <c r="E8" s="259" t="str">
        <f>VLOOKUP(TEXT(A8,"#"),Main!$A$2:$C45,3,0)</f>
        <v>2-Way Angular Stop Cock with Wall Flange</v>
      </c>
      <c r="F8" s="276">
        <v>3980.0</v>
      </c>
      <c r="G8" s="276">
        <v>3990.0</v>
      </c>
      <c r="H8" s="261">
        <f t="shared" si="2"/>
        <v>0.002506265664</v>
      </c>
      <c r="I8" s="263" t="str">
        <f>VLOOKUP(C8,'CYGNUS 71'!$D$2:$E45,4,0)</f>
        <v>#REF!</v>
      </c>
      <c r="J8" s="314" t="str">
        <f t="shared" si="3"/>
        <v>#REF!</v>
      </c>
      <c r="K8" s="278"/>
    </row>
    <row r="9">
      <c r="A9" s="295" t="str">
        <f t="shared" si="1"/>
        <v>13</v>
      </c>
      <c r="B9" s="257">
        <v>8.0</v>
      </c>
      <c r="C9" s="272">
        <v>7113.0</v>
      </c>
      <c r="D9" s="233" t="s">
        <v>1763</v>
      </c>
      <c r="E9" s="259" t="str">
        <f>VLOOKUP(TEXT(A9,"#"),Main!$A$2:$C45,3,0)</f>
        <v>2-Way Bib Cock Single Handle with Wall Flange</v>
      </c>
      <c r="F9" s="276">
        <v>4380.0</v>
      </c>
      <c r="G9" s="276">
        <v>4590.0</v>
      </c>
      <c r="H9" s="261">
        <f t="shared" si="2"/>
        <v>0.04575163399</v>
      </c>
      <c r="I9" s="263" t="str">
        <f>VLOOKUP(C9,'CYGNUS 71'!$D$2:$E45,4,0)</f>
        <v>#REF!</v>
      </c>
      <c r="J9" s="314" t="str">
        <f t="shared" si="3"/>
        <v>#REF!</v>
      </c>
      <c r="K9" s="278"/>
    </row>
    <row r="10">
      <c r="A10" s="295" t="str">
        <f t="shared" si="1"/>
        <v>14</v>
      </c>
      <c r="B10" s="296">
        <v>9.0</v>
      </c>
      <c r="C10" s="273">
        <v>7114.0</v>
      </c>
      <c r="D10" s="233" t="s">
        <v>1764</v>
      </c>
      <c r="E10" s="259" t="str">
        <f>VLOOKUP(TEXT(A10,"#"),Main!$A$2:$C45,3,0)</f>
        <v>Swan Neck Table Mounted</v>
      </c>
      <c r="F10" s="276">
        <v>5560.0</v>
      </c>
      <c r="G10" s="276">
        <v>5530.0</v>
      </c>
      <c r="H10" s="261">
        <f t="shared" si="2"/>
        <v>-0.005424954792</v>
      </c>
      <c r="I10" s="263" t="str">
        <f>VLOOKUP(C10,'CYGNUS 71'!$D$2:$E45,4,0)</f>
        <v>#REF!</v>
      </c>
      <c r="J10" s="314" t="str">
        <f t="shared" si="3"/>
        <v>#REF!</v>
      </c>
      <c r="K10" s="278"/>
    </row>
    <row r="11">
      <c r="A11" s="295" t="str">
        <f t="shared" si="1"/>
        <v>16</v>
      </c>
      <c r="B11" s="257">
        <v>10.0</v>
      </c>
      <c r="C11" s="273">
        <v>7116.0</v>
      </c>
      <c r="D11" s="233" t="s">
        <v>1765</v>
      </c>
      <c r="E11" s="259" t="str">
        <f>VLOOKUP(TEXT(A11,"#"),Main!$A$2:$C45,3,0)</f>
        <v>Sink Cock Wall Mounted with Flange</v>
      </c>
      <c r="F11" s="276">
        <v>4760.0</v>
      </c>
      <c r="G11" s="276">
        <v>4770.0</v>
      </c>
      <c r="H11" s="261">
        <f t="shared" si="2"/>
        <v>0.002096436059</v>
      </c>
      <c r="I11" s="263" t="str">
        <f>VLOOKUP(C11,'CYGNUS 71'!$D$2:$E45,4,0)</f>
        <v>#REF!</v>
      </c>
      <c r="J11" s="314" t="str">
        <f t="shared" si="3"/>
        <v>#REF!</v>
      </c>
      <c r="K11" s="278"/>
    </row>
    <row r="12">
      <c r="A12" s="295" t="str">
        <f t="shared" si="1"/>
        <v>18</v>
      </c>
      <c r="B12" s="51">
        <v>11.0</v>
      </c>
      <c r="C12" s="273">
        <v>7118.0</v>
      </c>
      <c r="D12" s="233" t="s">
        <v>1766</v>
      </c>
      <c r="E12" s="259" t="str">
        <f>VLOOKUP(TEXT(A12,"#"),Main!$A$2:$C45,3,0)</f>
        <v>Concealed Stop Cock 15mm with Wall Flange</v>
      </c>
      <c r="F12" s="276">
        <v>3180.0</v>
      </c>
      <c r="G12" s="276">
        <v>3310.0</v>
      </c>
      <c r="H12" s="261">
        <f t="shared" si="2"/>
        <v>0.03927492447</v>
      </c>
      <c r="I12" s="263" t="str">
        <f>VLOOKUP(C12,'CYGNUS 71'!$D$2:$E45,4,0)</f>
        <v>#REF!</v>
      </c>
      <c r="J12" s="314" t="str">
        <f t="shared" si="3"/>
        <v>#REF!</v>
      </c>
      <c r="K12" s="278"/>
    </row>
    <row r="13">
      <c r="A13" s="295" t="str">
        <f t="shared" si="1"/>
        <v>20</v>
      </c>
      <c r="B13" s="257">
        <v>12.0</v>
      </c>
      <c r="C13" s="273">
        <v>7120.0</v>
      </c>
      <c r="D13" s="233" t="s">
        <v>1767</v>
      </c>
      <c r="E13" s="259" t="str">
        <f>VLOOKUP(TEXT(A13,"#"),Main!$A$2:$C45,3,0)</f>
        <v>Concealed Stop Cock 20mm with Wall Flange</v>
      </c>
      <c r="F13" s="276">
        <v>3260.0</v>
      </c>
      <c r="G13" s="276">
        <v>3390.0</v>
      </c>
      <c r="H13" s="261">
        <f t="shared" si="2"/>
        <v>0.0383480826</v>
      </c>
      <c r="I13" s="263" t="str">
        <f>VLOOKUP(C13,'CYGNUS 71'!$D$2:$E45,4,0)</f>
        <v>#REF!</v>
      </c>
      <c r="J13" s="314" t="str">
        <f t="shared" si="3"/>
        <v>#REF!</v>
      </c>
      <c r="K13" s="278"/>
    </row>
    <row r="14">
      <c r="A14" s="295" t="str">
        <f t="shared" si="1"/>
        <v>51</v>
      </c>
      <c r="B14" s="257">
        <v>13.0</v>
      </c>
      <c r="C14" s="273">
        <v>7151.0</v>
      </c>
      <c r="D14" s="233" t="s">
        <v>1768</v>
      </c>
      <c r="E14" s="259" t="str">
        <f>VLOOKUP(TEXT(A14,"#"),Main!$A$2:$C45,3,0)</f>
        <v>Single Lever Basin Mixer without Popup Waste System</v>
      </c>
      <c r="F14" s="276">
        <v>8980.0</v>
      </c>
      <c r="G14" s="276">
        <v>10060.0</v>
      </c>
      <c r="H14" s="261">
        <f t="shared" si="2"/>
        <v>0.1073558648</v>
      </c>
      <c r="I14" s="263" t="str">
        <f>VLOOKUP(C14,'CYGNUS 71'!$D$2:$E45,4,0)</f>
        <v>#REF!</v>
      </c>
      <c r="J14" s="314" t="str">
        <f t="shared" si="3"/>
        <v>#REF!</v>
      </c>
      <c r="K14" s="278"/>
    </row>
    <row r="15">
      <c r="A15" s="295" t="str">
        <f t="shared" si="1"/>
        <v>52</v>
      </c>
      <c r="B15" s="233">
        <v>14.0</v>
      </c>
      <c r="C15" s="273">
        <v>7152.0</v>
      </c>
      <c r="D15" s="233" t="s">
        <v>1769</v>
      </c>
      <c r="E15" s="259" t="str">
        <f>VLOOKUP(TEXT(A15,"#"),Main!$A$2:$C45,3,0)</f>
        <v>Single Lever Basin Mixer Tall Body without Popup Waste System</v>
      </c>
      <c r="F15" s="276">
        <v>12790.0</v>
      </c>
      <c r="G15" s="276">
        <v>14190.0</v>
      </c>
      <c r="H15" s="261">
        <f t="shared" si="2"/>
        <v>0.09866102889</v>
      </c>
      <c r="I15" s="263" t="str">
        <f>VLOOKUP(C15,'CYGNUS 71'!$D$2:$E45,4,0)</f>
        <v>#REF!</v>
      </c>
      <c r="J15" s="314" t="str">
        <f t="shared" si="3"/>
        <v>#REF!</v>
      </c>
      <c r="K15" s="278"/>
    </row>
    <row r="16">
      <c r="A16" s="295" t="str">
        <f t="shared" si="1"/>
        <v>54</v>
      </c>
      <c r="B16" s="325">
        <v>15.0</v>
      </c>
      <c r="C16" s="273">
        <v>7154.0</v>
      </c>
      <c r="D16" s="233" t="s">
        <v>1770</v>
      </c>
      <c r="E16" s="259" t="str">
        <f>VLOOKUP(TEXT(A16,"#"),Main!$A$2:$C45,3,0)</f>
        <v>Single Lever Basin Mixer Wall Mount (Concealed)</v>
      </c>
      <c r="F16" s="276">
        <v>9100.0</v>
      </c>
      <c r="G16" s="276" t="str">
        <f>G17+G18</f>
        <v>#REF!</v>
      </c>
      <c r="H16" s="261" t="str">
        <f t="shared" si="2"/>
        <v/>
      </c>
      <c r="I16" s="263" t="str">
        <f>VLOOKUP(C16,'CYGNUS 71'!$D$2:$E45,4,0)</f>
        <v>#REF!</v>
      </c>
      <c r="J16" s="314" t="str">
        <f t="shared" si="3"/>
        <v>#REF!</v>
      </c>
      <c r="K16" s="278"/>
    </row>
    <row r="17">
      <c r="A17" s="269" t="s">
        <v>154</v>
      </c>
      <c r="B17" s="120"/>
      <c r="C17" s="271" t="s">
        <v>154</v>
      </c>
      <c r="D17" s="257" t="s">
        <v>154</v>
      </c>
      <c r="E17" s="259" t="str">
        <f>VLOOKUP(TEXT(A17,"#"),Main!$A$2:$C45,3,0)</f>
        <v>Single Lever Basin Mixer Wall Mount (Body, Cartridge, Sleeve &amp; Nipple)</v>
      </c>
      <c r="F17" s="276">
        <v>3980.0</v>
      </c>
      <c r="G17" s="334" t="str">
        <f>VLOOKUP(C17,'CYGNUS 71'!$D$2:$E45,4,0)</f>
        <v>#REF!</v>
      </c>
      <c r="H17" s="261" t="str">
        <f t="shared" si="2"/>
        <v/>
      </c>
      <c r="I17" s="263" t="str">
        <f>VLOOKUP(C17,'CYGNUS 71'!$D$2:$E45,4,0)</f>
        <v>#REF!</v>
      </c>
      <c r="J17" s="314" t="str">
        <f t="shared" si="3"/>
        <v>#REF!</v>
      </c>
      <c r="K17" s="278"/>
    </row>
    <row r="18">
      <c r="A18" s="269" t="s">
        <v>159</v>
      </c>
      <c r="B18" s="145"/>
      <c r="C18" s="271" t="s">
        <v>1236</v>
      </c>
      <c r="D18" s="233" t="s">
        <v>1771</v>
      </c>
      <c r="E18" s="259" t="str">
        <f>VLOOKUP(TEXT(A18,"#"),Main!$A$2:$C45,3,0)</f>
        <v>Exposed Parts (Wall Flange, Handle &amp; Spout)</v>
      </c>
      <c r="F18" s="276">
        <v>5120.0</v>
      </c>
      <c r="G18" s="276">
        <v>6080.0</v>
      </c>
      <c r="H18" s="261">
        <f t="shared" si="2"/>
        <v>0.1578947368</v>
      </c>
      <c r="I18" s="263" t="str">
        <f>VLOOKUP(C18,'CYGNUS 71'!$D$2:$E45,4,0)</f>
        <v>#REF!</v>
      </c>
      <c r="J18" s="314" t="str">
        <f t="shared" si="3"/>
        <v>#REF!</v>
      </c>
      <c r="K18" s="278"/>
    </row>
    <row r="19">
      <c r="A19" s="295" t="str">
        <f t="shared" ref="A19:A22" si="4">RIGHT(C19,2)</f>
        <v>55</v>
      </c>
      <c r="B19" s="233">
        <v>16.0</v>
      </c>
      <c r="C19" s="273">
        <v>7155.0</v>
      </c>
      <c r="D19" s="233" t="s">
        <v>1772</v>
      </c>
      <c r="E19" s="259" t="str">
        <f>VLOOKUP(TEXT(A19,"#"),Main!$A$2:$C45,3,0)</f>
        <v>Sink Mixer with Regular Spout Wall Mounted with Flange</v>
      </c>
      <c r="F19" s="276">
        <v>9980.0</v>
      </c>
      <c r="G19" s="276">
        <v>10860.0</v>
      </c>
      <c r="H19" s="261">
        <f t="shared" si="2"/>
        <v>0.08103130755</v>
      </c>
      <c r="I19" s="263" t="str">
        <f>VLOOKUP(C19,'CYGNUS 71'!$D$2:$E45,4,0)</f>
        <v>#REF!</v>
      </c>
      <c r="J19" s="314" t="str">
        <f t="shared" si="3"/>
        <v>#REF!</v>
      </c>
      <c r="K19" s="278"/>
    </row>
    <row r="20">
      <c r="A20" s="295" t="str">
        <f t="shared" si="4"/>
        <v>70</v>
      </c>
      <c r="B20" s="233">
        <v>17.0</v>
      </c>
      <c r="C20" s="273">
        <v>7170.0</v>
      </c>
      <c r="D20" s="233" t="s">
        <v>1773</v>
      </c>
      <c r="E20" s="259" t="str">
        <f>VLOOKUP(TEXT(A20,"#"),Main!$A$2:$C45,3,0)</f>
        <v>Wall Mixer Telephonic with Crutch &amp; Wall Flange (Provision For Hand Shower)</v>
      </c>
      <c r="F20" s="276">
        <v>11980.0</v>
      </c>
      <c r="G20" s="276">
        <v>12730.0</v>
      </c>
      <c r="H20" s="261">
        <f t="shared" si="2"/>
        <v>0.05891594658</v>
      </c>
      <c r="I20" s="263" t="str">
        <f>VLOOKUP(C20,'CYGNUS 71'!$D$2:$E45,4,0)</f>
        <v>#REF!</v>
      </c>
      <c r="J20" s="314" t="str">
        <f t="shared" si="3"/>
        <v>#REF!</v>
      </c>
      <c r="K20" s="278"/>
    </row>
    <row r="21">
      <c r="A21" s="295" t="str">
        <f t="shared" si="4"/>
        <v>75</v>
      </c>
      <c r="B21" s="233">
        <v>18.0</v>
      </c>
      <c r="C21" s="273">
        <v>7175.0</v>
      </c>
      <c r="D21" s="233" t="s">
        <v>1774</v>
      </c>
      <c r="E21" s="259" t="str">
        <f>VLOOKUP(TEXT(A21,"#"),Main!$A$2:$C45,3,0)</f>
        <v>Wall Mixer "L" Bend with Wall Flange (Provision For Over Head Shower)</v>
      </c>
      <c r="F21" s="276">
        <v>11980.0</v>
      </c>
      <c r="G21" s="276">
        <v>12730.0</v>
      </c>
      <c r="H21" s="261">
        <f t="shared" si="2"/>
        <v>0.05891594658</v>
      </c>
      <c r="I21" s="263" t="str">
        <f>VLOOKUP(C21,'CYGNUS 71'!$D$2:$E45,4,0)</f>
        <v>#REF!</v>
      </c>
      <c r="J21" s="314" t="str">
        <f t="shared" si="3"/>
        <v>#REF!</v>
      </c>
      <c r="K21" s="278"/>
    </row>
    <row r="22">
      <c r="A22" s="295" t="str">
        <f t="shared" si="4"/>
        <v>80</v>
      </c>
      <c r="B22" s="233">
        <v>19.0</v>
      </c>
      <c r="C22" s="273">
        <v>7180.0</v>
      </c>
      <c r="D22" s="233" t="s">
        <v>1775</v>
      </c>
      <c r="E22" s="259" t="str">
        <f>VLOOKUP(TEXT(A22,"#"),Main!$A$2:$C45,3,0)</f>
        <v>Wall Mixer 3 In 1 with Wall Flange (Provision For Over Head Shower &amp; Hand Shower)</v>
      </c>
      <c r="F22" s="276">
        <v>10880.0</v>
      </c>
      <c r="G22" s="276">
        <v>14590.0</v>
      </c>
      <c r="H22" s="261">
        <f t="shared" si="2"/>
        <v>0.254283756</v>
      </c>
      <c r="I22" s="263" t="str">
        <f>VLOOKUP(C22,'CYGNUS 71'!$D$2:$E45,4,0)</f>
        <v>#REF!</v>
      </c>
      <c r="J22" s="314" t="str">
        <f t="shared" si="3"/>
        <v>#REF!</v>
      </c>
      <c r="K22" s="278"/>
    </row>
    <row r="23">
      <c r="A23" s="311" t="s">
        <v>209</v>
      </c>
      <c r="B23" s="325">
        <v>20.0</v>
      </c>
      <c r="C23" s="273" t="s">
        <v>1237</v>
      </c>
      <c r="D23" s="233" t="s">
        <v>1776</v>
      </c>
      <c r="E23" s="259" t="str">
        <f>VLOOKUP(TEXT(A23,"#"),Main!$A$2:$C45,3,0)</f>
        <v>Single Lever Concealed Diverter Bath &amp; Shower 40mm</v>
      </c>
      <c r="F23" s="276">
        <v>7150.0</v>
      </c>
      <c r="G23" s="276" t="str">
        <f>G24+G25</f>
        <v>#REF!</v>
      </c>
      <c r="H23" s="261" t="str">
        <f t="shared" si="2"/>
        <v/>
      </c>
      <c r="I23" s="263" t="str">
        <f>VLOOKUP(C23,'CYGNUS 71'!$D$2:$E45,4,0)</f>
        <v>#REF!</v>
      </c>
      <c r="J23" s="314" t="str">
        <f t="shared" si="3"/>
        <v>#REF!</v>
      </c>
      <c r="K23" s="278"/>
    </row>
    <row r="24">
      <c r="A24" s="269" t="s">
        <v>212</v>
      </c>
      <c r="B24" s="120"/>
      <c r="C24" s="271" t="s">
        <v>212</v>
      </c>
      <c r="D24" s="257" t="s">
        <v>212</v>
      </c>
      <c r="E24" s="259" t="str">
        <f>VLOOKUP(TEXT(A24,"#"),Main!$A$2:$C45,3,0)</f>
        <v>Concealed Diverter Body 40mm (Cartridge, Sleeve, Tipton Assembly)</v>
      </c>
      <c r="F24" s="276">
        <v>3140.0</v>
      </c>
      <c r="G24" s="334" t="str">
        <f>VLOOKUP(C24,'CYGNUS 71'!$D$2:$E45,4,0)</f>
        <v>#REF!</v>
      </c>
      <c r="H24" s="261" t="str">
        <f t="shared" si="2"/>
        <v/>
      </c>
      <c r="I24" s="263" t="str">
        <f>VLOOKUP(C24,'CYGNUS 71'!$D$2:$E45,4,0)</f>
        <v>#REF!</v>
      </c>
      <c r="J24" s="314" t="str">
        <f t="shared" si="3"/>
        <v>#REF!</v>
      </c>
      <c r="K24" s="278"/>
    </row>
    <row r="25">
      <c r="A25" s="269" t="s">
        <v>216</v>
      </c>
      <c r="B25" s="145"/>
      <c r="C25" s="271" t="s">
        <v>1238</v>
      </c>
      <c r="D25" s="233" t="s">
        <v>1777</v>
      </c>
      <c r="E25" s="259" t="str">
        <f>VLOOKUP(TEXT(A25,"#"),Main!$A$2:$C45,3,0)</f>
        <v>Exposed Parts (Wall Flange &amp; Handle)</v>
      </c>
      <c r="F25" s="276">
        <v>4010.0</v>
      </c>
      <c r="G25" s="276">
        <v>4430.0</v>
      </c>
      <c r="H25" s="261">
        <f t="shared" si="2"/>
        <v>0.09480812641</v>
      </c>
      <c r="I25" s="263" t="str">
        <f>VLOOKUP(C25,'CYGNUS 71'!$D$2:$E45,4,0)</f>
        <v>#REF!</v>
      </c>
      <c r="J25" s="314" t="str">
        <f t="shared" si="3"/>
        <v>#REF!</v>
      </c>
      <c r="K25" s="278"/>
    </row>
    <row r="26">
      <c r="A26" s="311" t="s">
        <v>219</v>
      </c>
      <c r="B26" s="325">
        <v>21.0</v>
      </c>
      <c r="C26" s="271" t="s">
        <v>1239</v>
      </c>
      <c r="D26" s="281" t="s">
        <v>1778</v>
      </c>
      <c r="E26" s="259" t="str">
        <f>VLOOKUP(TEXT(A26,"#"),Main!$A$2:$C45,3,0)</f>
        <v>Single Lever High Flow Concealed Diverter Bath &amp; Shower 46mm</v>
      </c>
      <c r="F26" s="276">
        <v>8000.0</v>
      </c>
      <c r="G26" s="276" t="str">
        <f>G27+G28</f>
        <v>#REF!</v>
      </c>
      <c r="H26" s="261" t="str">
        <f t="shared" si="2"/>
        <v/>
      </c>
      <c r="I26" s="263" t="str">
        <f>VLOOKUP(C26,'CYGNUS 71'!$D$2:$E45,4,0)</f>
        <v>#REF!</v>
      </c>
      <c r="J26" s="314" t="str">
        <f t="shared" si="3"/>
        <v>#REF!</v>
      </c>
      <c r="K26" s="278"/>
    </row>
    <row r="27">
      <c r="A27" s="269" t="s">
        <v>223</v>
      </c>
      <c r="B27" s="120"/>
      <c r="C27" s="271" t="s">
        <v>223</v>
      </c>
      <c r="D27" s="288" t="s">
        <v>223</v>
      </c>
      <c r="E27" s="259" t="str">
        <f>VLOOKUP(TEXT(A27,"#"),Main!$A$2:$C45,3,0)</f>
        <v>High Flow Concealed Diverter Body 46mm (Cartridge, Sleeve, Tipton Assembly)</v>
      </c>
      <c r="F27" s="276">
        <v>3990.0</v>
      </c>
      <c r="G27" s="334" t="str">
        <f>VLOOKUP(C27,'CYGNUS 71'!$D$2:$E45,4,0)</f>
        <v>#REF!</v>
      </c>
      <c r="H27" s="261" t="str">
        <f t="shared" si="2"/>
        <v/>
      </c>
      <c r="I27" s="263" t="str">
        <f>VLOOKUP(C27,'CYGNUS 71'!$D$2:$E45,4,0)</f>
        <v>#REF!</v>
      </c>
      <c r="J27" s="314" t="str">
        <f t="shared" si="3"/>
        <v>#REF!</v>
      </c>
      <c r="K27" s="278"/>
    </row>
    <row r="28">
      <c r="A28" s="269" t="s">
        <v>226</v>
      </c>
      <c r="B28" s="145"/>
      <c r="C28" s="271" t="s">
        <v>1240</v>
      </c>
      <c r="D28" s="286" t="s">
        <v>1779</v>
      </c>
      <c r="E28" s="259" t="str">
        <f>VLOOKUP(TEXT(A28,"#"),Main!$A$2:$C45,3,0)</f>
        <v>Exposed Parts (Wall Flange &amp; Handle)</v>
      </c>
      <c r="F28" s="276">
        <v>4010.0</v>
      </c>
      <c r="G28" s="276">
        <v>4430.0</v>
      </c>
      <c r="H28" s="261">
        <f t="shared" si="2"/>
        <v>0.09480812641</v>
      </c>
      <c r="I28" s="263" t="str">
        <f>VLOOKUP(C28,'CYGNUS 71'!$D$2:$E45,4,0)</f>
        <v>#REF!</v>
      </c>
      <c r="J28" s="314" t="str">
        <f t="shared" si="3"/>
        <v>#REF!</v>
      </c>
      <c r="K28" s="278"/>
    </row>
    <row r="29">
      <c r="A29" s="269" t="s">
        <v>228</v>
      </c>
      <c r="B29" s="325">
        <v>22.0</v>
      </c>
      <c r="C29" s="271" t="s">
        <v>1241</v>
      </c>
      <c r="D29" s="233" t="s">
        <v>1780</v>
      </c>
      <c r="E29" s="259" t="str">
        <f>VLOOKUP(TEXT(A29,"#"),Main!$A$2:$C45,3,0)</f>
        <v>Single Lever High Flow Concealed Diverter Bath &amp; Shower 46mm (ON-OFF)</v>
      </c>
      <c r="F29" s="276">
        <v>8000.0</v>
      </c>
      <c r="G29" s="276" t="str">
        <f>G30+G31</f>
        <v>#REF!</v>
      </c>
      <c r="H29" s="261" t="str">
        <f t="shared" si="2"/>
        <v/>
      </c>
      <c r="I29" s="263" t="str">
        <f>VLOOKUP(C29,'CYGNUS 71'!$D$2:$E45,4,0)</f>
        <v>#REF!</v>
      </c>
      <c r="J29" s="314" t="str">
        <f t="shared" si="3"/>
        <v>#REF!</v>
      </c>
      <c r="K29" s="278"/>
    </row>
    <row r="30">
      <c r="A30" s="269" t="s">
        <v>234</v>
      </c>
      <c r="B30" s="120"/>
      <c r="C30" s="271" t="s">
        <v>234</v>
      </c>
      <c r="D30" s="257" t="s">
        <v>234</v>
      </c>
      <c r="E30" s="259" t="str">
        <f>VLOOKUP(TEXT(A30,"#"),Main!$A$2:$C45,3,0)</f>
        <v>High Flow Concealed Diverter Body 46mm (Cartridge, Sleeve, On-Off Assembly)</v>
      </c>
      <c r="F30" s="276">
        <v>3990.0</v>
      </c>
      <c r="G30" s="334" t="str">
        <f>VLOOKUP(C30,'CYGNUS 71'!$D$2:$E45,4,0)</f>
        <v>#REF!</v>
      </c>
      <c r="H30" s="261" t="str">
        <f t="shared" si="2"/>
        <v/>
      </c>
      <c r="I30" s="263" t="str">
        <f>VLOOKUP(C30,'CYGNUS 71'!$D$2:$E45,4,0)</f>
        <v>#REF!</v>
      </c>
      <c r="J30" s="314" t="str">
        <f t="shared" si="3"/>
        <v>#REF!</v>
      </c>
      <c r="K30" s="278"/>
    </row>
    <row r="31">
      <c r="A31" s="269" t="s">
        <v>237</v>
      </c>
      <c r="B31" s="145"/>
      <c r="C31" s="271" t="s">
        <v>1242</v>
      </c>
      <c r="D31" s="233" t="s">
        <v>1781</v>
      </c>
      <c r="E31" s="259" t="str">
        <f>VLOOKUP(TEXT(A31,"#"),Main!$A$2:$C45,3,0)</f>
        <v>Exposed Parts (Wall Flange &amp; Handle)</v>
      </c>
      <c r="F31" s="276">
        <v>4010.0</v>
      </c>
      <c r="G31" s="276">
        <v>4430.0</v>
      </c>
      <c r="H31" s="261">
        <f t="shared" si="2"/>
        <v>0.09480812641</v>
      </c>
      <c r="I31" s="263" t="str">
        <f>VLOOKUP(C31,'CYGNUS 71'!$D$2:$E45,4,0)</f>
        <v>#REF!</v>
      </c>
      <c r="J31" s="314" t="str">
        <f t="shared" si="3"/>
        <v>#REF!</v>
      </c>
      <c r="K31" s="278"/>
    </row>
    <row r="32">
      <c r="A32" s="311" t="s">
        <v>239</v>
      </c>
      <c r="B32" s="325">
        <v>23.0</v>
      </c>
      <c r="C32" s="273" t="s">
        <v>1243</v>
      </c>
      <c r="D32" s="233" t="s">
        <v>1782</v>
      </c>
      <c r="E32" s="259" t="str">
        <f>VLOOKUP(TEXT(A32,"#"),Main!$A$2:$C45,3,0)</f>
        <v>Single Lever 3 In Let Concealed Diverter Bath &amp; Shower 46mm</v>
      </c>
      <c r="F32" s="276">
        <v>8000.0</v>
      </c>
      <c r="G32" s="276" t="str">
        <f>G33+G34</f>
        <v>#REF!</v>
      </c>
      <c r="H32" s="261" t="str">
        <f t="shared" si="2"/>
        <v/>
      </c>
      <c r="I32" s="263" t="str">
        <f>VLOOKUP(C32,'CYGNUS 71'!$D$2:$E45,4,0)</f>
        <v>#REF!</v>
      </c>
      <c r="J32" s="314" t="str">
        <f t="shared" si="3"/>
        <v>#REF!</v>
      </c>
      <c r="K32" s="278"/>
    </row>
    <row r="33">
      <c r="A33" s="269" t="s">
        <v>243</v>
      </c>
      <c r="B33" s="120"/>
      <c r="C33" s="273" t="s">
        <v>243</v>
      </c>
      <c r="D33" s="219" t="s">
        <v>243</v>
      </c>
      <c r="E33" s="259" t="str">
        <f>VLOOKUP(TEXT(A33,"#"),Main!$A$2:$C45,3,0)</f>
        <v>3 In Let Concealed Diverter Body 46mm (Cartridge, Sleeve, Tipton Assembly)</v>
      </c>
      <c r="F33" s="276">
        <v>3990.0</v>
      </c>
      <c r="G33" s="334" t="str">
        <f>VLOOKUP(C33,'CYGNUS 71'!$D$2:$E45,4,0)</f>
        <v>#REF!</v>
      </c>
      <c r="H33" s="261" t="str">
        <f t="shared" si="2"/>
        <v/>
      </c>
      <c r="I33" s="263" t="str">
        <f>VLOOKUP(C33,'CYGNUS 71'!$D$2:$E45,4,0)</f>
        <v>#REF!</v>
      </c>
      <c r="J33" s="314" t="str">
        <f t="shared" si="3"/>
        <v>#REF!</v>
      </c>
      <c r="K33" s="278"/>
    </row>
    <row r="34">
      <c r="A34" s="269" t="s">
        <v>247</v>
      </c>
      <c r="B34" s="145"/>
      <c r="C34" s="271" t="s">
        <v>1244</v>
      </c>
      <c r="D34" s="233" t="s">
        <v>1783</v>
      </c>
      <c r="E34" s="259" t="str">
        <f>VLOOKUP(TEXT(A34,"#"),Main!$A$2:$C45,3,0)</f>
        <v>Exposed Parts (Wall Flange &amp; Handle)</v>
      </c>
      <c r="F34" s="276">
        <v>4010.0</v>
      </c>
      <c r="G34" s="276">
        <v>4430.0</v>
      </c>
      <c r="H34" s="261">
        <f t="shared" si="2"/>
        <v>0.09480812641</v>
      </c>
      <c r="I34" s="263" t="str">
        <f>VLOOKUP(C34,'CYGNUS 71'!$D$2:$E45,4,0)</f>
        <v>#REF!</v>
      </c>
      <c r="J34" s="314" t="str">
        <f t="shared" si="3"/>
        <v>#REF!</v>
      </c>
      <c r="K34" s="278"/>
    </row>
    <row r="35">
      <c r="A35" s="269" t="s">
        <v>249</v>
      </c>
      <c r="B35" s="325">
        <v>24.0</v>
      </c>
      <c r="C35" s="271" t="s">
        <v>1245</v>
      </c>
      <c r="D35" s="281" t="s">
        <v>1784</v>
      </c>
      <c r="E35" s="259" t="str">
        <f>VLOOKUP(TEXT(A35,"#"),Main!$A$2:$C45,3,0)</f>
        <v>Single Lever 3 In Let Concealed Diverter Bath &amp; Shower 46mm (ON-OFF)</v>
      </c>
      <c r="F35" s="276">
        <v>8000.0</v>
      </c>
      <c r="G35" s="276" t="str">
        <f>G36+G37</f>
        <v>#REF!</v>
      </c>
      <c r="H35" s="261" t="str">
        <f t="shared" si="2"/>
        <v/>
      </c>
      <c r="I35" s="263" t="str">
        <f>VLOOKUP(C35,'CYGNUS 71'!$D$2:$E45,4,0)</f>
        <v>#REF!</v>
      </c>
      <c r="J35" s="314" t="str">
        <f t="shared" si="3"/>
        <v>#REF!</v>
      </c>
      <c r="K35" s="278"/>
    </row>
    <row r="36">
      <c r="A36" s="269" t="s">
        <v>253</v>
      </c>
      <c r="B36" s="120"/>
      <c r="C36" s="271" t="s">
        <v>253</v>
      </c>
      <c r="D36" s="288" t="s">
        <v>253</v>
      </c>
      <c r="E36" s="259" t="str">
        <f>VLOOKUP(TEXT(A36,"#"),Main!$A$2:$C45,3,0)</f>
        <v>3 In Let Concealed Diverter Body 46mm (Cartridge, Sleeve, On-Off Assembly)</v>
      </c>
      <c r="F36" s="276">
        <v>3990.0</v>
      </c>
      <c r="G36" s="334" t="str">
        <f>VLOOKUP(C36,'CYGNUS 71'!$D$2:$E45,4,0)</f>
        <v>#REF!</v>
      </c>
      <c r="H36" s="261" t="str">
        <f t="shared" si="2"/>
        <v/>
      </c>
      <c r="I36" s="263" t="str">
        <f>VLOOKUP(C36,'CYGNUS 71'!$D$2:$E45,4,0)</f>
        <v>#REF!</v>
      </c>
      <c r="J36" s="314" t="str">
        <f t="shared" si="3"/>
        <v>#REF!</v>
      </c>
      <c r="K36" s="278"/>
    </row>
    <row r="37">
      <c r="A37" s="269" t="s">
        <v>258</v>
      </c>
      <c r="B37" s="145"/>
      <c r="C37" s="271" t="s">
        <v>1246</v>
      </c>
      <c r="D37" s="286" t="s">
        <v>1785</v>
      </c>
      <c r="E37" s="259" t="str">
        <f>VLOOKUP(TEXT(A37,"#"),Main!$A$2:$C45,3,0)</f>
        <v>Exposed Parts (Wall Flange &amp; Handle)</v>
      </c>
      <c r="F37" s="276">
        <v>4010.0</v>
      </c>
      <c r="G37" s="276">
        <v>4430.0</v>
      </c>
      <c r="H37" s="261">
        <f t="shared" si="2"/>
        <v>0.09480812641</v>
      </c>
      <c r="I37" s="263" t="str">
        <f>VLOOKUP(C37,'CYGNUS 71'!$D$2:$E45,4,0)</f>
        <v>#REF!</v>
      </c>
      <c r="J37" s="314" t="str">
        <f t="shared" si="3"/>
        <v>#REF!</v>
      </c>
      <c r="K37" s="278"/>
    </row>
    <row r="38">
      <c r="A38" s="310">
        <v>95.0</v>
      </c>
      <c r="B38" s="40">
        <v>25.0</v>
      </c>
      <c r="C38" s="273">
        <v>7195.0</v>
      </c>
      <c r="D38" s="286" t="s">
        <v>1786</v>
      </c>
      <c r="E38" s="259" t="str">
        <f>VLOOKUP(TEXT(A38,"#"),Main!$A$2:$C45,3,0)</f>
        <v>Bath Tub Spout with Flange</v>
      </c>
      <c r="F38" s="276">
        <v>2760.0</v>
      </c>
      <c r="G38" s="276">
        <v>2930.0</v>
      </c>
      <c r="H38" s="261">
        <f t="shared" si="2"/>
        <v>0.05802047782</v>
      </c>
      <c r="I38" s="263" t="str">
        <f>VLOOKUP(C38,'CYGNUS 71'!$D$2:$E45,4,0)</f>
        <v>#REF!</v>
      </c>
      <c r="J38" s="314" t="str">
        <f t="shared" si="3"/>
        <v>#REF!</v>
      </c>
      <c r="K38" s="278"/>
    </row>
    <row r="39">
      <c r="A39" s="310">
        <v>96.0</v>
      </c>
      <c r="B39" s="40">
        <v>26.0</v>
      </c>
      <c r="C39" s="271">
        <v>7196.0</v>
      </c>
      <c r="D39" s="286" t="s">
        <v>1787</v>
      </c>
      <c r="E39" s="259" t="str">
        <f>VLOOKUP(TEXT(A39,"#"),Main!$A$2:$C45,3,0)</f>
        <v>Bath Tub Spout Tip Ton with Flange</v>
      </c>
      <c r="F39" s="276">
        <v>3980.0</v>
      </c>
      <c r="G39" s="276">
        <v>4030.0</v>
      </c>
      <c r="H39" s="261">
        <f t="shared" si="2"/>
        <v>0.01240694789</v>
      </c>
      <c r="I39" s="263" t="str">
        <f>VLOOKUP(C39,'CYGNUS 71'!$D$2:$E45,4,0)</f>
        <v>#REF!</v>
      </c>
      <c r="J39" s="314" t="str">
        <f t="shared" si="3"/>
        <v>#REF!</v>
      </c>
      <c r="K39" s="278"/>
    </row>
    <row r="40">
      <c r="A40" s="295"/>
      <c r="B40" s="295"/>
      <c r="C40" s="295"/>
      <c r="D40" s="304"/>
      <c r="E40" s="295"/>
      <c r="F40" s="278"/>
      <c r="G40" s="278"/>
      <c r="H40" s="56"/>
      <c r="I40" s="318"/>
      <c r="J40" s="314"/>
      <c r="K40" s="278"/>
    </row>
    <row r="41">
      <c r="A41" s="295"/>
      <c r="B41" s="295"/>
      <c r="C41" s="295"/>
      <c r="D41" s="304"/>
      <c r="E41" s="295"/>
      <c r="F41" s="278"/>
      <c r="G41" s="278"/>
      <c r="H41" s="56"/>
      <c r="I41" s="318"/>
      <c r="J41" s="314"/>
      <c r="K41" s="278"/>
    </row>
    <row r="42">
      <c r="A42" s="295"/>
      <c r="B42" s="295"/>
      <c r="C42" s="295"/>
      <c r="D42" s="304"/>
      <c r="E42" s="295"/>
      <c r="F42" s="278"/>
      <c r="G42" s="278"/>
      <c r="H42" s="56"/>
      <c r="I42" s="318"/>
      <c r="J42" s="314"/>
      <c r="K42" s="278"/>
    </row>
    <row r="43">
      <c r="A43" s="295"/>
      <c r="B43" s="295"/>
      <c r="C43" s="295"/>
      <c r="D43" s="304"/>
      <c r="E43" s="295"/>
      <c r="F43" s="278"/>
      <c r="G43" s="278"/>
      <c r="H43" s="56"/>
      <c r="I43" s="318"/>
      <c r="J43" s="314"/>
      <c r="K43" s="278"/>
    </row>
    <row r="44">
      <c r="A44" s="295"/>
      <c r="B44" s="295"/>
      <c r="C44" s="295"/>
      <c r="D44" s="304"/>
      <c r="E44" s="295"/>
      <c r="F44" s="278"/>
      <c r="G44" s="278"/>
      <c r="H44" s="56"/>
      <c r="I44" s="318"/>
      <c r="J44" s="314"/>
      <c r="K44" s="278"/>
    </row>
    <row r="45">
      <c r="A45" s="295"/>
      <c r="B45" s="295"/>
      <c r="C45" s="295"/>
      <c r="D45" s="304"/>
      <c r="E45" s="295"/>
      <c r="F45" s="278"/>
      <c r="G45" s="278"/>
      <c r="H45" s="56"/>
      <c r="I45" s="318"/>
      <c r="J45" s="314"/>
      <c r="K45" s="278"/>
    </row>
  </sheetData>
  <mergeCells count="6">
    <mergeCell ref="B16:B18"/>
    <mergeCell ref="B23:B25"/>
    <mergeCell ref="B26:B28"/>
    <mergeCell ref="B29:B31"/>
    <mergeCell ref="B32:B34"/>
    <mergeCell ref="B35:B37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88"/>
    <col customWidth="1" min="2" max="2" width="7.13"/>
    <col customWidth="1" min="3" max="3" width="9.38"/>
    <col customWidth="1" min="4" max="4" width="71.38"/>
    <col customWidth="1" min="5" max="5" width="12.88"/>
    <col customWidth="1" min="6" max="6" width="12.5"/>
    <col customWidth="1" hidden="1" min="7" max="7" width="9.5"/>
  </cols>
  <sheetData>
    <row r="1" ht="74.25" customHeight="1">
      <c r="A1" s="3"/>
      <c r="B1" s="5" t="s">
        <v>3</v>
      </c>
      <c r="C1" s="5" t="s">
        <v>9</v>
      </c>
      <c r="D1" s="126" t="s">
        <v>11</v>
      </c>
      <c r="E1" s="19" t="str">
        <f t="array" ref="E1:G1">MASTER!E1:G1</f>
        <v>MRP as on 01st May, 2026</v>
      </c>
      <c r="F1" s="19" t="s">
        <v>19</v>
      </c>
      <c r="G1" s="130" t="s">
        <v>20</v>
      </c>
    </row>
    <row r="2">
      <c r="A2" s="299" t="str">
        <f t="shared" ref="A2:A23" si="1">RIGHT(C2,2)</f>
        <v>50</v>
      </c>
      <c r="B2" s="256">
        <v>1.0</v>
      </c>
      <c r="C2" s="332">
        <v>8350.0</v>
      </c>
      <c r="D2" s="259" t="str">
        <f>VLOOKUP(TEXT(A2,"#"),Main!$A$2:$C25,3,0)</f>
        <v>Center Hole Basin Mixer without Popup</v>
      </c>
      <c r="E2" s="222">
        <f t="array" ref="E2:F2">VLOOKUP(C2,MASTER!$C$2:$F25,{3,4},0)</f>
        <v>5490</v>
      </c>
      <c r="F2" s="222">
        <v>5980.0</v>
      </c>
      <c r="G2" s="3"/>
    </row>
    <row r="3">
      <c r="A3" s="299" t="str">
        <f t="shared" si="1"/>
        <v>70</v>
      </c>
      <c r="B3" s="256">
        <v>2.0</v>
      </c>
      <c r="C3" s="333">
        <v>8370.0</v>
      </c>
      <c r="D3" s="259" t="str">
        <f>VLOOKUP(TEXT(A3,"#"),Main!$A$2:$C25,3,0)</f>
        <v>Wall Mixer Telephonic with Crutch &amp; Wall Flange (Provision For Hand Shower)</v>
      </c>
      <c r="E3" s="222">
        <f t="array" ref="E3:F3">VLOOKUP(C3,MASTER!$C$2:$F25,{3,4},0)</f>
        <v>7980</v>
      </c>
      <c r="F3" s="222">
        <v>8860.0</v>
      </c>
      <c r="G3" s="3"/>
    </row>
    <row r="4">
      <c r="A4" s="299" t="str">
        <f t="shared" si="1"/>
        <v>75</v>
      </c>
      <c r="B4" s="256">
        <v>3.0</v>
      </c>
      <c r="C4" s="333">
        <v>8375.0</v>
      </c>
      <c r="D4" s="259" t="str">
        <f>VLOOKUP(TEXT(A4,"#"),Main!$A$2:$C25,3,0)</f>
        <v>Wall Mixer "L" Bend with Wall Flange (Provision For Over Head Shower)</v>
      </c>
      <c r="E4" s="222">
        <f t="array" ref="E4:F4">VLOOKUP(C4,MASTER!$C$2:$F25,{3,4},0)</f>
        <v>7980</v>
      </c>
      <c r="F4" s="222">
        <v>8860.0</v>
      </c>
      <c r="G4" s="3"/>
    </row>
    <row r="5">
      <c r="A5" s="299" t="str">
        <f t="shared" si="1"/>
        <v>80</v>
      </c>
      <c r="B5" s="256">
        <v>4.0</v>
      </c>
      <c r="C5" s="333">
        <v>8380.0</v>
      </c>
      <c r="D5" s="259" t="str">
        <f>VLOOKUP(TEXT(A5,"#"),Main!$A$2:$C25,3,0)</f>
        <v>Wall Mixer 3 In 1 with Wall Flange (Provision For Over Head Shower &amp; Hand Shower)</v>
      </c>
      <c r="E5" s="222">
        <f t="array" ref="E5:F5">VLOOKUP(C5,MASTER!$C$2:$F25,{3,4},0)</f>
        <v>8980</v>
      </c>
      <c r="F5" s="222">
        <v>9980.0</v>
      </c>
      <c r="G5" s="3"/>
    </row>
    <row r="6">
      <c r="A6" s="299" t="str">
        <f t="shared" si="1"/>
        <v>55</v>
      </c>
      <c r="B6" s="256">
        <v>5.0</v>
      </c>
      <c r="C6" s="333">
        <v>8355.0</v>
      </c>
      <c r="D6" s="259" t="str">
        <f>VLOOKUP(TEXT(A6,"#"),Main!$A$2:$C25,3,0)</f>
        <v>Sink Mixer with Regular Spout Wall Mounted with Flange</v>
      </c>
      <c r="E6" s="222">
        <f t="array" ref="E6:F6">VLOOKUP(C6,MASTER!$C$2:$F25,{3,4},0)</f>
        <v>6350</v>
      </c>
      <c r="F6" s="222">
        <v>7280.0</v>
      </c>
      <c r="G6" s="3"/>
    </row>
    <row r="7">
      <c r="A7" s="299" t="str">
        <f t="shared" si="1"/>
        <v>14</v>
      </c>
      <c r="B7" s="256">
        <v>6.0</v>
      </c>
      <c r="C7" s="333">
        <v>8314.0</v>
      </c>
      <c r="D7" s="259" t="str">
        <f>VLOOKUP(TEXT(A7,"#"),Main!$A$2:$C25,3,0)</f>
        <v>Swan Neck Table Mounted</v>
      </c>
      <c r="E7" s="222">
        <f t="array" ref="E7:F7">VLOOKUP(C7,MASTER!$C$2:$F25,{3,4},0)</f>
        <v>3940</v>
      </c>
      <c r="F7" s="222">
        <v>4380.0</v>
      </c>
      <c r="G7" s="3"/>
    </row>
    <row r="8">
      <c r="A8" s="299" t="str">
        <f t="shared" si="1"/>
        <v>16</v>
      </c>
      <c r="B8" s="256">
        <v>7.0</v>
      </c>
      <c r="C8" s="333">
        <v>8316.0</v>
      </c>
      <c r="D8" s="259" t="str">
        <f>VLOOKUP(TEXT(A8,"#"),Main!$A$2:$C25,3,0)</f>
        <v>Sink Cock Wall Mounted with Flange</v>
      </c>
      <c r="E8" s="222">
        <f t="array" ref="E8:F8">VLOOKUP(C8,MASTER!$C$2:$F25,{3,4},0)</f>
        <v>3580</v>
      </c>
      <c r="F8" s="222">
        <v>3990.0</v>
      </c>
      <c r="G8" s="3"/>
    </row>
    <row r="9">
      <c r="A9" s="299" t="str">
        <f t="shared" si="1"/>
        <v>94</v>
      </c>
      <c r="B9" s="256">
        <v>8.0</v>
      </c>
      <c r="C9" s="333">
        <v>8394.0</v>
      </c>
      <c r="D9" s="259" t="str">
        <f>VLOOKUP(TEXT(A9,"#"),Main!$A$2:$C25,3,0)</f>
        <v>Concealed 4 Way Diverter Set Hot &amp; Cold with Built-In Non Return Valves Complete Set</v>
      </c>
      <c r="E9" s="222">
        <f t="array" ref="E9:F9">VLOOKUP(C9,MASTER!$C$2:$F25,{3,4},0)</f>
        <v>9480</v>
      </c>
      <c r="F9" s="222">
        <v>9980.0</v>
      </c>
      <c r="G9" s="3"/>
    </row>
    <row r="10">
      <c r="A10" s="299" t="str">
        <f t="shared" si="1"/>
        <v>02</v>
      </c>
      <c r="B10" s="256">
        <v>9.0</v>
      </c>
      <c r="C10" s="333">
        <v>8302.0</v>
      </c>
      <c r="D10" s="259" t="str">
        <f>VLOOKUP(TEXT(A10,"#"),Main!$A$2:$C25,3,0)</f>
        <v>Pillar Cock</v>
      </c>
      <c r="E10" s="222">
        <f t="array" ref="E10:F10">VLOOKUP(C10,MASTER!$C$2:$F25,{3,4},0)</f>
        <v>1880</v>
      </c>
      <c r="F10" s="222">
        <v>2090.0</v>
      </c>
      <c r="G10" s="3"/>
    </row>
    <row r="11">
      <c r="A11" s="299" t="str">
        <f t="shared" si="1"/>
        <v>04</v>
      </c>
      <c r="B11" s="256">
        <v>10.0</v>
      </c>
      <c r="C11" s="333">
        <v>8304.0</v>
      </c>
      <c r="D11" s="259" t="str">
        <f>VLOOKUP(TEXT(A11,"#"),Main!$A$2:$C25,3,0)</f>
        <v>Pillar Cock Extended Body</v>
      </c>
      <c r="E11" s="222">
        <f t="array" ref="E11:F11">VLOOKUP(C11,MASTER!$C$2:$F25,{3,4},0)</f>
        <v>2040</v>
      </c>
      <c r="F11" s="222">
        <v>2260.0</v>
      </c>
      <c r="G11" s="3"/>
    </row>
    <row r="12">
      <c r="A12" s="299" t="str">
        <f t="shared" si="1"/>
        <v>05</v>
      </c>
      <c r="B12" s="256">
        <v>11.0</v>
      </c>
      <c r="C12" s="333">
        <v>8305.0</v>
      </c>
      <c r="D12" s="259" t="str">
        <f>VLOOKUP(TEXT(A12,"#"),Main!$A$2:$C25,3,0)</f>
        <v>Bib Cock Nozzle with Wall Flange</v>
      </c>
      <c r="E12" s="222">
        <f t="array" ref="E12:F12">VLOOKUP(C12,MASTER!$C$2:$F25,{3,4},0)</f>
        <v>1560</v>
      </c>
      <c r="F12" s="222">
        <v>1720.0</v>
      </c>
      <c r="G12" s="3"/>
    </row>
    <row r="13">
      <c r="A13" s="299" t="str">
        <f t="shared" si="1"/>
        <v>06</v>
      </c>
      <c r="B13" s="256">
        <v>12.0</v>
      </c>
      <c r="C13" s="333">
        <v>8306.0</v>
      </c>
      <c r="D13" s="259" t="str">
        <f>VLOOKUP(TEXT(A13,"#"),Main!$A$2:$C25,3,0)</f>
        <v>Bib Cock with Wall Flange</v>
      </c>
      <c r="E13" s="222">
        <f t="array" ref="E13:F13">VLOOKUP(C13,MASTER!$C$2:$F25,{3,4},0)</f>
        <v>1590</v>
      </c>
      <c r="F13" s="222">
        <v>1750.0</v>
      </c>
      <c r="G13" s="3"/>
    </row>
    <row r="14">
      <c r="A14" s="299" t="str">
        <f t="shared" si="1"/>
        <v>08</v>
      </c>
      <c r="B14" s="256">
        <v>13.0</v>
      </c>
      <c r="C14" s="333">
        <v>8308.0</v>
      </c>
      <c r="D14" s="259" t="str">
        <f>VLOOKUP(TEXT(A14,"#"),Main!$A$2:$C25,3,0)</f>
        <v>Bib Cock Long Body with Wall Flange</v>
      </c>
      <c r="E14" s="222">
        <f t="array" ref="E14:F14">VLOOKUP(C14,MASTER!$C$2:$F25,{3,4},0)</f>
        <v>1770</v>
      </c>
      <c r="F14" s="222">
        <v>1950.0</v>
      </c>
      <c r="G14" s="3"/>
    </row>
    <row r="15">
      <c r="A15" s="299" t="str">
        <f t="shared" si="1"/>
        <v>09</v>
      </c>
      <c r="B15" s="256">
        <v>14.0</v>
      </c>
      <c r="C15" s="333">
        <v>8309.0</v>
      </c>
      <c r="D15" s="259" t="str">
        <f>VLOOKUP(TEXT(A15,"#"),Main!$A$2:$C25,3,0)</f>
        <v>Bib Cock Long Nose with Wall Flange</v>
      </c>
      <c r="E15" s="222">
        <f t="array" ref="E15:F15">VLOOKUP(C15,MASTER!$C$2:$F25,{3,4},0)</f>
        <v>1930</v>
      </c>
      <c r="F15" s="222">
        <v>2130.0</v>
      </c>
      <c r="G15" s="3"/>
    </row>
    <row r="16">
      <c r="A16" s="299" t="str">
        <f t="shared" si="1"/>
        <v>10</v>
      </c>
      <c r="B16" s="256">
        <v>15.0</v>
      </c>
      <c r="C16" s="333">
        <v>8310.0</v>
      </c>
      <c r="D16" s="259" t="str">
        <f>VLOOKUP(TEXT(A16,"#"),Main!$A$2:$C25,3,0)</f>
        <v>Angular Stop Cock with Wall Flange</v>
      </c>
      <c r="E16" s="222">
        <f t="array" ref="E16:F16">VLOOKUP(C16,MASTER!$C$2:$F25,{3,4},0)</f>
        <v>1490</v>
      </c>
      <c r="F16" s="222">
        <v>1640.0</v>
      </c>
      <c r="G16" s="3"/>
    </row>
    <row r="17">
      <c r="A17" s="299" t="str">
        <f t="shared" si="1"/>
        <v>11</v>
      </c>
      <c r="B17" s="256">
        <v>16.0</v>
      </c>
      <c r="C17" s="333">
        <v>8311.0</v>
      </c>
      <c r="D17" s="259" t="str">
        <f>VLOOKUP(TEXT(A17,"#"),Main!$A$2:$C25,3,0)</f>
        <v>2-Way Angular Stop Cock with Wall Flange</v>
      </c>
      <c r="E17" s="222">
        <f t="array" ref="E17:F17">VLOOKUP(C17,MASTER!$C$2:$F25,{3,4},0)</f>
        <v>2250</v>
      </c>
      <c r="F17" s="222">
        <v>2490.0</v>
      </c>
      <c r="G17" s="3"/>
    </row>
    <row r="18">
      <c r="A18" s="299" t="str">
        <f t="shared" si="1"/>
        <v>12</v>
      </c>
      <c r="B18" s="256">
        <v>17.0</v>
      </c>
      <c r="C18" s="335">
        <v>8312.0</v>
      </c>
      <c r="D18" s="259" t="str">
        <f>VLOOKUP(TEXT(A18,"#"),Main!$A$2:$C25,3,0)</f>
        <v>2-Way Bib Cock Double Handle with Wall Flange</v>
      </c>
      <c r="E18" s="222">
        <f t="array" ref="E18:F18">VLOOKUP(C18,MASTER!$C$2:$F25,{3,4},0)</f>
        <v>2690</v>
      </c>
      <c r="F18" s="222">
        <v>2990.0</v>
      </c>
      <c r="G18" s="3"/>
    </row>
    <row r="19">
      <c r="A19" s="299" t="str">
        <f t="shared" si="1"/>
        <v>18</v>
      </c>
      <c r="B19" s="256">
        <v>18.0</v>
      </c>
      <c r="C19" s="333">
        <v>8318.0</v>
      </c>
      <c r="D19" s="259" t="str">
        <f>VLOOKUP(TEXT(A19,"#"),Main!$A$2:$C25,3,0)</f>
        <v>Concealed Stop Cock 15mm with Wall Flange</v>
      </c>
      <c r="E19" s="222">
        <f t="array" ref="E19:F19">VLOOKUP(C19,MASTER!$C$2:$F25,{3,4},0)</f>
        <v>1930</v>
      </c>
      <c r="F19" s="222">
        <v>2130.0</v>
      </c>
      <c r="G19" s="3"/>
    </row>
    <row r="20">
      <c r="A20" s="299" t="str">
        <f t="shared" si="1"/>
        <v>20</v>
      </c>
      <c r="B20" s="256">
        <v>19.0</v>
      </c>
      <c r="C20" s="333">
        <v>8320.0</v>
      </c>
      <c r="D20" s="259" t="str">
        <f>VLOOKUP(TEXT(A20,"#"),Main!$A$2:$C25,3,0)</f>
        <v>Concealed Stop Cock 20mm with Wall Flange</v>
      </c>
      <c r="E20" s="222">
        <f t="array" ref="E20:F20">VLOOKUP(C20,MASTER!$C$2:$F25,{3,4},0)</f>
        <v>1990</v>
      </c>
      <c r="F20" s="222">
        <v>2190.0</v>
      </c>
      <c r="G20" s="3"/>
    </row>
    <row r="21">
      <c r="A21" s="299" t="str">
        <f t="shared" si="1"/>
        <v>26</v>
      </c>
      <c r="B21" s="256">
        <v>20.0</v>
      </c>
      <c r="C21" s="333">
        <v>8326.0</v>
      </c>
      <c r="D21" s="259" t="str">
        <f>VLOOKUP(TEXT(A21,"#"),Main!$A$2:$C25,3,0)</f>
        <v>Stop Cock 15mm (Male Thread)</v>
      </c>
      <c r="E21" s="222">
        <f t="array" ref="E21:F21">VLOOKUP(C21,MASTER!$C$2:$F25,{3,4},0)</f>
        <v>1490</v>
      </c>
      <c r="F21" s="222">
        <v>1630.0</v>
      </c>
      <c r="G21" s="3"/>
    </row>
    <row r="22">
      <c r="A22" s="299" t="str">
        <f t="shared" si="1"/>
        <v>28</v>
      </c>
      <c r="B22" s="256">
        <v>21.0</v>
      </c>
      <c r="C22" s="333">
        <v>8328.0</v>
      </c>
      <c r="D22" s="259" t="str">
        <f>VLOOKUP(TEXT(A22,"#"),Main!$A$2:$C25,3,0)</f>
        <v>Stop Cock 15mm (Female Thread)</v>
      </c>
      <c r="E22" s="222">
        <f t="array" ref="E22:F22">VLOOKUP(C22,MASTER!$C$2:$F25,{3,4},0)</f>
        <v>1490</v>
      </c>
      <c r="F22" s="222">
        <v>1630.0</v>
      </c>
      <c r="G22" s="3"/>
    </row>
    <row r="23">
      <c r="A23" s="299" t="str">
        <f t="shared" si="1"/>
        <v>98</v>
      </c>
      <c r="B23" s="256">
        <v>22.0</v>
      </c>
      <c r="C23" s="333">
        <v>8398.0</v>
      </c>
      <c r="D23" s="259" t="str">
        <f>VLOOKUP(TEXT(A23,"#"),Main!$A$2:$C25,3,0)</f>
        <v>Flush Cock 25mm Half Turn with Adjustable Flange</v>
      </c>
      <c r="E23" s="222">
        <f t="array" ref="E23:F23">VLOOKUP(C23,MASTER!$C$2:$F25,{3,4},0)</f>
        <v>3660</v>
      </c>
      <c r="F23" s="222">
        <v>3970.0</v>
      </c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4.38"/>
    <col customWidth="1" min="2" max="2" width="7.13"/>
    <col customWidth="1" hidden="1" min="3" max="3" width="18.5"/>
    <col customWidth="1" min="4" max="4" width="18.75"/>
    <col customWidth="1" min="5" max="5" width="83.63"/>
    <col customWidth="1" min="6" max="6" width="12.63"/>
    <col customWidth="1" min="7" max="7" width="12.5"/>
    <col customWidth="1" hidden="1" min="8" max="8" width="7.0"/>
  </cols>
  <sheetData>
    <row r="1" ht="71.25" customHeight="1">
      <c r="A1" s="336"/>
      <c r="B1" s="5" t="s">
        <v>3</v>
      </c>
      <c r="C1" s="337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291" t="str">
        <f t="shared" ref="A2:A5" si="1">RIGHT(D2,2)</f>
        <v>50</v>
      </c>
      <c r="B2" s="256">
        <v>1.0</v>
      </c>
      <c r="C2" s="219">
        <v>8750.0</v>
      </c>
      <c r="D2" s="219">
        <v>8750.0</v>
      </c>
      <c r="E2" s="220" t="str">
        <f>VLOOKUP(TEXT(A2,"#"),Main!$A$2:$C50,3,0)</f>
        <v>Center Hole Basin Mixer without Popup</v>
      </c>
      <c r="F2" s="222">
        <f t="array" ref="F2:G2">VLOOKUP(D2,MASTER!$C$2:$F50,{3,4},0)</f>
        <v>4980</v>
      </c>
      <c r="G2" s="222">
        <v>5450.0</v>
      </c>
      <c r="H2" s="279"/>
    </row>
    <row r="3">
      <c r="A3" s="291" t="str">
        <f t="shared" si="1"/>
        <v>51</v>
      </c>
      <c r="B3" s="256">
        <v>2.0</v>
      </c>
      <c r="C3" s="219">
        <v>8751.0</v>
      </c>
      <c r="D3" s="219">
        <v>8751.0</v>
      </c>
      <c r="E3" s="220" t="str">
        <f>VLOOKUP(TEXT(A3,"#"),Main!$A$2:$C50,3,0)</f>
        <v>Single Lever Basin Mixer without Popup Waste System</v>
      </c>
      <c r="F3" s="222">
        <f t="array" ref="F3:G3">VLOOKUP(D3,MASTER!$C$2:$F50,{3,4},0)</f>
        <v>4290</v>
      </c>
      <c r="G3" s="222">
        <v>4680.0</v>
      </c>
      <c r="H3" s="279"/>
    </row>
    <row r="4">
      <c r="A4" s="291" t="str">
        <f t="shared" si="1"/>
        <v>52</v>
      </c>
      <c r="B4" s="256">
        <v>3.0</v>
      </c>
      <c r="C4" s="219">
        <v>8752.0</v>
      </c>
      <c r="D4" s="219">
        <v>8752.0</v>
      </c>
      <c r="E4" s="220" t="str">
        <f>VLOOKUP(TEXT(A4,"#"),Main!$A$2:$C50,3,0)</f>
        <v>Single Lever Basin Mixer Tall Body without Popup Waste System</v>
      </c>
      <c r="F4" s="222">
        <f t="array" ref="F4:G4">VLOOKUP(D4,MASTER!$C$2:$F50,{3,4},0)</f>
        <v>6240</v>
      </c>
      <c r="G4" s="222">
        <v>6760.0</v>
      </c>
      <c r="H4" s="279"/>
    </row>
    <row r="5">
      <c r="A5" s="291" t="str">
        <f t="shared" si="1"/>
        <v>54</v>
      </c>
      <c r="B5" s="267">
        <v>4.0</v>
      </c>
      <c r="C5" s="219">
        <v>8754.0</v>
      </c>
      <c r="D5" s="219">
        <v>8754.0</v>
      </c>
      <c r="E5" s="220" t="str">
        <f>VLOOKUP(TEXT(A5,"#"),Main!$A$2:$C50,3,0)</f>
        <v>Single Lever Basin Mixer Wall Mount (Concealed)</v>
      </c>
      <c r="F5" s="222">
        <f t="array" ref="F5:G5">VLOOKUP(D5,MASTER!$C$2:$F50,{3,4},0)</f>
        <v>6420</v>
      </c>
      <c r="G5" s="222">
        <v>6980.0</v>
      </c>
      <c r="H5" s="279"/>
    </row>
    <row r="6">
      <c r="A6" s="280" t="s">
        <v>154</v>
      </c>
      <c r="B6" s="120"/>
      <c r="C6" s="219" t="s">
        <v>154</v>
      </c>
      <c r="D6" s="219" t="s">
        <v>154</v>
      </c>
      <c r="E6" s="220" t="str">
        <f>VLOOKUP(TEXT(A6,"#"),Main!$A$2:$C50,3,0)</f>
        <v>Single Lever Basin Mixer Wall Mount (Body, Cartridge, Sleeve &amp; Nipple)</v>
      </c>
      <c r="F6" s="222">
        <f t="array" ref="F6:G6">VLOOKUP(D6,MASTER!$C$2:$F50,{3,4},0)</f>
        <v>3680</v>
      </c>
      <c r="G6" s="222">
        <v>3990.0</v>
      </c>
      <c r="H6" s="279"/>
    </row>
    <row r="7">
      <c r="A7" s="41" t="s">
        <v>159</v>
      </c>
      <c r="B7" s="145"/>
      <c r="C7" s="218" t="s">
        <v>1270</v>
      </c>
      <c r="D7" s="218" t="s">
        <v>1270</v>
      </c>
      <c r="E7" s="220" t="str">
        <f>VLOOKUP(TEXT(A7,"#"),Main!$A$2:$C50,3,0)</f>
        <v>Exposed Parts (Wall Flange, Handle &amp; Spout)</v>
      </c>
      <c r="F7" s="222">
        <f t="array" ref="F7:G7">VLOOKUP(D7,MASTER!$C$2:$F50,{3,4},0)</f>
        <v>2740</v>
      </c>
      <c r="G7" s="222">
        <v>2990.0</v>
      </c>
      <c r="H7" s="279"/>
    </row>
    <row r="8">
      <c r="A8" s="291" t="str">
        <f t="shared" ref="A8:A18" si="2">RIGHT(D8,2)</f>
        <v>70</v>
      </c>
      <c r="B8" s="256">
        <v>5.0</v>
      </c>
      <c r="C8" s="219">
        <v>8770.0</v>
      </c>
      <c r="D8" s="219">
        <v>8770.0</v>
      </c>
      <c r="E8" s="220" t="str">
        <f>VLOOKUP(TEXT(A8,"#"),Main!$A$2:$C50,3,0)</f>
        <v>Wall Mixer Telephonic with Crutch &amp; Wall Flange (Provision For Hand Shower)</v>
      </c>
      <c r="F8" s="222">
        <f t="array" ref="F8:G8">VLOOKUP(D8,MASTER!$C$2:$F50,{3,4},0)</f>
        <v>7440</v>
      </c>
      <c r="G8" s="222">
        <v>8180.0</v>
      </c>
      <c r="H8" s="279"/>
    </row>
    <row r="9">
      <c r="A9" s="291" t="str">
        <f t="shared" si="2"/>
        <v>71</v>
      </c>
      <c r="B9" s="256">
        <v>6.0</v>
      </c>
      <c r="C9" s="219">
        <v>8771.0</v>
      </c>
      <c r="D9" s="219">
        <v>8771.0</v>
      </c>
      <c r="E9" s="220" t="str">
        <f>VLOOKUP(TEXT(A9,"#"),Main!$A$2:$C50,3,0)</f>
        <v>Single Lever Wall Mixer with Wall Flange</v>
      </c>
      <c r="F9" s="222">
        <f t="array" ref="F9:G9">VLOOKUP(D9,MASTER!$C$2:$F50,{3,4},0)</f>
        <v>6450</v>
      </c>
      <c r="G9" s="222">
        <v>7180.0</v>
      </c>
      <c r="H9" s="279"/>
    </row>
    <row r="10">
      <c r="A10" s="291" t="str">
        <f t="shared" si="2"/>
        <v>75</v>
      </c>
      <c r="B10" s="256">
        <v>7.0</v>
      </c>
      <c r="C10" s="219">
        <v>8775.0</v>
      </c>
      <c r="D10" s="219">
        <v>8775.0</v>
      </c>
      <c r="E10" s="220" t="str">
        <f>VLOOKUP(TEXT(A10,"#"),Main!$A$2:$C50,3,0)</f>
        <v>Wall Mixer "L" Bend with Wall Flange (Provision For Over Head Shower)</v>
      </c>
      <c r="F10" s="222">
        <f t="array" ref="F10:G10">VLOOKUP(D10,MASTER!$C$2:$F50,{3,4},0)</f>
        <v>7440</v>
      </c>
      <c r="G10" s="222">
        <v>8180.0</v>
      </c>
      <c r="H10" s="279"/>
    </row>
    <row r="11">
      <c r="A11" s="291" t="str">
        <f t="shared" si="2"/>
        <v>76</v>
      </c>
      <c r="B11" s="256">
        <v>8.0</v>
      </c>
      <c r="C11" s="219">
        <v>8776.0</v>
      </c>
      <c r="D11" s="219">
        <v>8776.0</v>
      </c>
      <c r="E11" s="220" t="str">
        <f>VLOOKUP(TEXT(A11,"#"),Main!$A$2:$C50,3,0)</f>
        <v>Single Lever Wall Mixer "L" Bend with Wall Flange (Expose Type)</v>
      </c>
      <c r="F11" s="222">
        <f t="array" ref="F11:G11">VLOOKUP(D11,MASTER!$C$2:$F50,{3,4},0)</f>
        <v>9980</v>
      </c>
      <c r="G11" s="222">
        <v>10980.0</v>
      </c>
      <c r="H11" s="279"/>
    </row>
    <row r="12">
      <c r="A12" s="291" t="str">
        <f t="shared" si="2"/>
        <v>80</v>
      </c>
      <c r="B12" s="256">
        <v>9.0</v>
      </c>
      <c r="C12" s="219">
        <v>8780.0</v>
      </c>
      <c r="D12" s="219">
        <v>8780.0</v>
      </c>
      <c r="E12" s="220" t="str">
        <f>VLOOKUP(TEXT(A12,"#"),Main!$A$2:$C50,3,0)</f>
        <v>Wall Mixer 3 In 1 with Wall Flange (Provision For Over Head Shower &amp; Hand Shower)</v>
      </c>
      <c r="F12" s="222">
        <f t="array" ref="F12:G12">VLOOKUP(D12,MASTER!$C$2:$F50,{3,4},0)</f>
        <v>8280</v>
      </c>
      <c r="G12" s="222">
        <v>9280.0</v>
      </c>
      <c r="H12" s="279"/>
    </row>
    <row r="13">
      <c r="A13" s="291" t="str">
        <f t="shared" si="2"/>
        <v>55</v>
      </c>
      <c r="B13" s="256">
        <v>10.0</v>
      </c>
      <c r="C13" s="219">
        <v>8755.0</v>
      </c>
      <c r="D13" s="219">
        <v>8755.0</v>
      </c>
      <c r="E13" s="220" t="str">
        <f>VLOOKUP(TEXT(A13,"#"),Main!$A$2:$C50,3,0)</f>
        <v>Sink Mixer with Regular Spout Wall Mounted with Flange</v>
      </c>
      <c r="F13" s="222">
        <f t="array" ref="F13:G13">VLOOKUP(D13,MASTER!$C$2:$F50,{3,4},0)</f>
        <v>5360</v>
      </c>
      <c r="G13" s="222">
        <v>5780.0</v>
      </c>
      <c r="H13" s="279"/>
    </row>
    <row r="14">
      <c r="A14" s="291" t="str">
        <f t="shared" si="2"/>
        <v>56</v>
      </c>
      <c r="B14" s="256">
        <v>11.0</v>
      </c>
      <c r="C14" s="219">
        <v>8756.0</v>
      </c>
      <c r="D14" s="219">
        <v>8756.0</v>
      </c>
      <c r="E14" s="220" t="str">
        <f>VLOOKUP(TEXT(A14,"#"),Main!$A$2:$C50,3,0)</f>
        <v>Single Lever Sink Mixer Wall Mounted with Flange</v>
      </c>
      <c r="F14" s="222">
        <f t="array" ref="F14:G14">VLOOKUP(D14,MASTER!$C$2:$F50,{3,4},0)</f>
        <v>7440</v>
      </c>
      <c r="G14" s="222">
        <v>8180.0</v>
      </c>
      <c r="H14" s="279"/>
    </row>
    <row r="15">
      <c r="A15" s="291" t="str">
        <f t="shared" si="2"/>
        <v>14</v>
      </c>
      <c r="B15" s="256">
        <v>12.0</v>
      </c>
      <c r="C15" s="219">
        <v>8714.0</v>
      </c>
      <c r="D15" s="219">
        <v>8714.0</v>
      </c>
      <c r="E15" s="220" t="str">
        <f>VLOOKUP(TEXT(A15,"#"),Main!$A$2:$C50,3,0)</f>
        <v>Swan Neck Table Mounted</v>
      </c>
      <c r="F15" s="222">
        <f t="array" ref="F15:G15">VLOOKUP(D15,MASTER!$C$2:$F50,{3,4},0)</f>
        <v>2880</v>
      </c>
      <c r="G15" s="222">
        <v>3140.0</v>
      </c>
      <c r="H15" s="279"/>
    </row>
    <row r="16">
      <c r="A16" s="291" t="str">
        <f t="shared" si="2"/>
        <v>16</v>
      </c>
      <c r="B16" s="256">
        <v>13.0</v>
      </c>
      <c r="C16" s="219">
        <v>8716.0</v>
      </c>
      <c r="D16" s="219">
        <v>8716.0</v>
      </c>
      <c r="E16" s="220" t="str">
        <f>VLOOKUP(TEXT(A16,"#"),Main!$A$2:$C50,3,0)</f>
        <v>Sink Cock Wall Mounted with Flange</v>
      </c>
      <c r="F16" s="222">
        <f t="array" ref="F16:G16">VLOOKUP(D16,MASTER!$C$2:$F50,{3,4},0)</f>
        <v>2690</v>
      </c>
      <c r="G16" s="222">
        <v>2970.0</v>
      </c>
      <c r="H16" s="279"/>
    </row>
    <row r="17">
      <c r="A17" s="291" t="str">
        <f t="shared" si="2"/>
        <v>94</v>
      </c>
      <c r="B17" s="267">
        <v>14.0</v>
      </c>
      <c r="C17" s="218">
        <v>8794.0</v>
      </c>
      <c r="D17" s="218">
        <v>8794.0</v>
      </c>
      <c r="E17" s="220" t="str">
        <f>VLOOKUP(TEXT(A17,"#"),Main!$A$2:$C50,3,0)</f>
        <v>Concealed 4 Way Diverter Set Hot &amp; Cold with Built-In Non Return Valves Complete Set</v>
      </c>
      <c r="F17" s="222">
        <f t="array" ref="F17:G17">VLOOKUP(D17,MASTER!$C$2:$F50,{3,4},0)</f>
        <v>8980</v>
      </c>
      <c r="G17" s="222">
        <v>9820.0</v>
      </c>
      <c r="H17" s="279"/>
    </row>
    <row r="18">
      <c r="A18" s="291" t="str">
        <f t="shared" si="2"/>
        <v>10</v>
      </c>
      <c r="B18" s="267">
        <v>15.0</v>
      </c>
      <c r="C18" s="219">
        <v>8710.0</v>
      </c>
      <c r="D18" s="219">
        <v>8710.0</v>
      </c>
      <c r="E18" s="220" t="str">
        <f>VLOOKUP(TEXT(A18,"#"),Main!$A$2:$C50,3,0)</f>
        <v>Angular Stop Cock with Wall Flange</v>
      </c>
      <c r="F18" s="222">
        <f t="array" ref="F18:G18">VLOOKUP(D18,MASTER!$C$2:$F50,{3,4},0)</f>
        <v>1460</v>
      </c>
      <c r="G18" s="222">
        <v>1590.0</v>
      </c>
      <c r="H18" s="279"/>
    </row>
    <row r="19">
      <c r="A19" s="269" t="s">
        <v>209</v>
      </c>
      <c r="B19" s="267">
        <v>16.0</v>
      </c>
      <c r="C19" s="218">
        <v>8791.0</v>
      </c>
      <c r="D19" s="218" t="s">
        <v>1278</v>
      </c>
      <c r="E19" s="220" t="str">
        <f>VLOOKUP(TEXT(A19,"#"),Main!$A$2:$C50,3,0)</f>
        <v>Single Lever Concealed Diverter Bath &amp; Shower 40mm</v>
      </c>
      <c r="F19" s="222">
        <f t="array" ref="F19:G19">VLOOKUP(D19,MASTER!$C$2:$F50,{3,4},0)</f>
        <v>6310</v>
      </c>
      <c r="G19" s="222">
        <v>6860.0</v>
      </c>
      <c r="H19" s="279"/>
    </row>
    <row r="20">
      <c r="A20" s="269" t="s">
        <v>212</v>
      </c>
      <c r="B20" s="120"/>
      <c r="C20" s="218" t="s">
        <v>1435</v>
      </c>
      <c r="D20" s="218" t="s">
        <v>212</v>
      </c>
      <c r="E20" s="220" t="str">
        <f>VLOOKUP(TEXT(A20,"#"),Main!$A$2:$C50,3,0)</f>
        <v>Concealed Diverter Body 40mm (Cartridge, Sleeve, Tipton Assembly)</v>
      </c>
      <c r="F20" s="222">
        <f t="array" ref="F20:G20">VLOOKUP(D20,MASTER!$C$2:$F50,{3,4},0)</f>
        <v>4240</v>
      </c>
      <c r="G20" s="222">
        <v>4580.0</v>
      </c>
      <c r="H20" s="279"/>
    </row>
    <row r="21">
      <c r="A21" s="269" t="s">
        <v>216</v>
      </c>
      <c r="B21" s="145"/>
      <c r="C21" s="218" t="s">
        <v>1788</v>
      </c>
      <c r="D21" s="218" t="s">
        <v>1279</v>
      </c>
      <c r="E21" s="220" t="str">
        <f>VLOOKUP(TEXT(A21,"#"),Main!$A$2:$C50,3,0)</f>
        <v>Exposed Parts (Wall Flange &amp; Handle)</v>
      </c>
      <c r="F21" s="222">
        <f t="array" ref="F21:G21">VLOOKUP(D21,MASTER!$C$2:$F50,{3,4},0)</f>
        <v>2070</v>
      </c>
      <c r="G21" s="222">
        <v>2280.0</v>
      </c>
      <c r="H21" s="279"/>
    </row>
    <row r="22">
      <c r="A22" s="269" t="s">
        <v>219</v>
      </c>
      <c r="B22" s="267">
        <v>17.0</v>
      </c>
      <c r="C22" s="290">
        <v>8792.0</v>
      </c>
      <c r="D22" s="218" t="s">
        <v>1280</v>
      </c>
      <c r="E22" s="220" t="str">
        <f>VLOOKUP(TEXT(A22,"#"),Main!$A$2:$C50,3,0)</f>
        <v>Single Lever High Flow Concealed Diverter Bath &amp; Shower 46mm</v>
      </c>
      <c r="F22" s="222">
        <f t="array" ref="F22:G22">VLOOKUP(D22,MASTER!$C$2:$F50,{3,4},0)</f>
        <v>7050</v>
      </c>
      <c r="G22" s="222">
        <v>7770.0</v>
      </c>
      <c r="H22" s="279"/>
    </row>
    <row r="23">
      <c r="A23" s="269" t="s">
        <v>223</v>
      </c>
      <c r="B23" s="120"/>
      <c r="C23" s="290" t="s">
        <v>1438</v>
      </c>
      <c r="D23" s="218" t="s">
        <v>223</v>
      </c>
      <c r="E23" s="220" t="str">
        <f>VLOOKUP(TEXT(A23,"#"),Main!$A$2:$C50,3,0)</f>
        <v>High Flow Concealed Diverter Body 46mm (Cartridge, Sleeve, Tipton Assembly)</v>
      </c>
      <c r="F23" s="222">
        <f t="array" ref="F23:G23">VLOOKUP(D23,MASTER!$C$2:$F50,{3,4},0)</f>
        <v>4980</v>
      </c>
      <c r="G23" s="222">
        <v>5490.0</v>
      </c>
      <c r="H23" s="279"/>
    </row>
    <row r="24">
      <c r="A24" s="269" t="s">
        <v>226</v>
      </c>
      <c r="B24" s="145"/>
      <c r="C24" s="290" t="s">
        <v>1789</v>
      </c>
      <c r="D24" s="218" t="s">
        <v>1281</v>
      </c>
      <c r="E24" s="220" t="str">
        <f>VLOOKUP(TEXT(A24,"#"),Main!$A$2:$C50,3,0)</f>
        <v>Exposed Parts (Wall Flange &amp; Handle)</v>
      </c>
      <c r="F24" s="222">
        <f t="array" ref="F24:G24">VLOOKUP(D24,MASTER!$C$2:$F50,{3,4},0)</f>
        <v>2070</v>
      </c>
      <c r="G24" s="222">
        <v>2280.0</v>
      </c>
      <c r="H24" s="279"/>
    </row>
    <row r="25">
      <c r="A25" s="269" t="s">
        <v>239</v>
      </c>
      <c r="B25" s="267">
        <v>18.0</v>
      </c>
      <c r="C25" s="290">
        <v>8793.0</v>
      </c>
      <c r="D25" s="218" t="s">
        <v>1288</v>
      </c>
      <c r="E25" s="220" t="str">
        <f>VLOOKUP(TEXT(A25,"#"),Main!$A$2:$C50,3,0)</f>
        <v>Single Lever 3 In Let Concealed Diverter Bath &amp; Shower 46mm</v>
      </c>
      <c r="F25" s="222">
        <f t="array" ref="F25:G25">VLOOKUP(D25,MASTER!$C$2:$F50,{3,4},0)</f>
        <v>7050</v>
      </c>
      <c r="G25" s="222">
        <v>7770.0</v>
      </c>
      <c r="H25" s="279"/>
    </row>
    <row r="26">
      <c r="A26" s="269" t="s">
        <v>243</v>
      </c>
      <c r="B26" s="120"/>
      <c r="C26" s="290" t="s">
        <v>1441</v>
      </c>
      <c r="D26" s="218" t="s">
        <v>243</v>
      </c>
      <c r="E26" s="220" t="str">
        <f>VLOOKUP(TEXT(A26,"#"),Main!$A$2:$C50,3,0)</f>
        <v>3 In Let Concealed Diverter Body 46mm (Cartridge, Sleeve, Tipton Assembly)</v>
      </c>
      <c r="F26" s="222">
        <f t="array" ref="F26:G26">VLOOKUP(D26,MASTER!$C$2:$F50,{3,4},0)</f>
        <v>4980</v>
      </c>
      <c r="G26" s="222">
        <v>5490.0</v>
      </c>
      <c r="H26" s="279"/>
    </row>
    <row r="27">
      <c r="A27" s="269" t="s">
        <v>247</v>
      </c>
      <c r="B27" s="145"/>
      <c r="C27" s="290" t="s">
        <v>1790</v>
      </c>
      <c r="D27" s="218" t="s">
        <v>1289</v>
      </c>
      <c r="E27" s="220" t="str">
        <f>VLOOKUP(TEXT(A27,"#"),Main!$A$2:$C50,3,0)</f>
        <v>Exposed Parts (Wall Flange &amp; Handle)</v>
      </c>
      <c r="F27" s="222">
        <f t="array" ref="F27:G27">VLOOKUP(D27,MASTER!$C$2:$F50,{3,4},0)</f>
        <v>2070</v>
      </c>
      <c r="G27" s="222">
        <v>2280.0</v>
      </c>
      <c r="H27" s="279"/>
    </row>
    <row r="28">
      <c r="A28" s="269" t="s">
        <v>228</v>
      </c>
      <c r="B28" s="267">
        <v>19.0</v>
      </c>
      <c r="C28" s="288" t="s">
        <v>1791</v>
      </c>
      <c r="D28" s="233" t="s">
        <v>1282</v>
      </c>
      <c r="E28" s="220" t="str">
        <f>VLOOKUP(TEXT(A28,"#"),Main!$A$2:$C50,3,0)</f>
        <v>Single Lever High Flow Concealed Diverter Bath &amp; Shower 46mm (ON-OFF)</v>
      </c>
      <c r="F28" s="222">
        <f t="array" ref="F28:G28">VLOOKUP(D28,MASTER!$C$2:$F50,{3,4},0)</f>
        <v>7050</v>
      </c>
      <c r="G28" s="222">
        <v>7770.0</v>
      </c>
      <c r="H28" s="279"/>
    </row>
    <row r="29">
      <c r="A29" s="269" t="s">
        <v>234</v>
      </c>
      <c r="B29" s="120"/>
      <c r="C29" s="288" t="s">
        <v>1444</v>
      </c>
      <c r="D29" s="233" t="s">
        <v>234</v>
      </c>
      <c r="E29" s="220" t="str">
        <f>VLOOKUP(TEXT(A29,"#"),Main!$A$2:$C50,3,0)</f>
        <v>High Flow Concealed Diverter Body 46mm (Cartridge, Sleeve, On-Off Assembly)</v>
      </c>
      <c r="F29" s="222">
        <f t="array" ref="F29:G29">VLOOKUP(D29,MASTER!$C$2:$F50,{3,4},0)</f>
        <v>4740</v>
      </c>
      <c r="G29" s="222">
        <v>5250.0</v>
      </c>
      <c r="H29" s="279"/>
    </row>
    <row r="30">
      <c r="A30" s="269" t="s">
        <v>237</v>
      </c>
      <c r="B30" s="145"/>
      <c r="C30" s="290" t="s">
        <v>1792</v>
      </c>
      <c r="D30" s="218" t="s">
        <v>1283</v>
      </c>
      <c r="E30" s="220" t="str">
        <f>VLOOKUP(TEXT(A30,"#"),Main!$A$2:$C50,3,0)</f>
        <v>Exposed Parts (Wall Flange &amp; Handle)</v>
      </c>
      <c r="F30" s="222">
        <f t="array" ref="F30:G30">VLOOKUP(D30,MASTER!$C$2:$F50,{3,4},0)</f>
        <v>2310</v>
      </c>
      <c r="G30" s="222">
        <v>2520.0</v>
      </c>
      <c r="H30" s="279"/>
    </row>
    <row r="31">
      <c r="A31" s="269" t="s">
        <v>249</v>
      </c>
      <c r="B31" s="267">
        <v>20.0</v>
      </c>
      <c r="C31" s="288" t="s">
        <v>1793</v>
      </c>
      <c r="D31" s="233" t="s">
        <v>1290</v>
      </c>
      <c r="E31" s="220" t="str">
        <f>VLOOKUP(TEXT(A31,"#"),Main!$A$2:$C50,3,0)</f>
        <v>Single Lever 3 In Let Concealed Diverter Bath &amp; Shower 46mm (ON-OFF)</v>
      </c>
      <c r="F31" s="222">
        <f t="array" ref="F31:G31">VLOOKUP(D31,MASTER!$C$2:$F50,{3,4},0)</f>
        <v>7050</v>
      </c>
      <c r="G31" s="222">
        <v>7770.0</v>
      </c>
      <c r="H31" s="279"/>
    </row>
    <row r="32">
      <c r="A32" s="269" t="s">
        <v>253</v>
      </c>
      <c r="B32" s="120"/>
      <c r="C32" s="288" t="s">
        <v>1447</v>
      </c>
      <c r="D32" s="233" t="s">
        <v>253</v>
      </c>
      <c r="E32" s="220" t="str">
        <f>VLOOKUP(TEXT(A32,"#"),Main!$A$2:$C50,3,0)</f>
        <v>3 In Let Concealed Diverter Body 46mm (Cartridge, Sleeve, On-Off Assembly)</v>
      </c>
      <c r="F32" s="222">
        <f t="array" ref="F32:G32">VLOOKUP(D32,MASTER!$C$2:$F50,{3,4},0)</f>
        <v>4740</v>
      </c>
      <c r="G32" s="222">
        <v>5250.0</v>
      </c>
      <c r="H32" s="279"/>
    </row>
    <row r="33">
      <c r="A33" s="269" t="s">
        <v>258</v>
      </c>
      <c r="B33" s="145"/>
      <c r="C33" s="288" t="s">
        <v>1794</v>
      </c>
      <c r="D33" s="218" t="s">
        <v>1291</v>
      </c>
      <c r="E33" s="220" t="str">
        <f>VLOOKUP(TEXT(A33,"#"),Main!$A$2:$C50,3,0)</f>
        <v>Exposed Parts (Wall Flange &amp; Handle)</v>
      </c>
      <c r="F33" s="222">
        <f t="array" ref="F33:G33">VLOOKUP(D33,MASTER!$C$2:$F50,{3,4},0)</f>
        <v>2310</v>
      </c>
      <c r="G33" s="222">
        <v>2520.0</v>
      </c>
      <c r="H33" s="279"/>
    </row>
    <row r="34">
      <c r="A34" s="291" t="str">
        <f t="shared" ref="A34:A45" si="3">RIGHT(D34,2)</f>
        <v>95</v>
      </c>
      <c r="B34" s="267">
        <v>21.0</v>
      </c>
      <c r="C34" s="262">
        <v>8795.0</v>
      </c>
      <c r="D34" s="262">
        <v>8795.0</v>
      </c>
      <c r="E34" s="220" t="str">
        <f>VLOOKUP(TEXT(A34,"#"),Main!$A$2:$C50,3,0)</f>
        <v>Bath Tub Spout with Flange</v>
      </c>
      <c r="F34" s="222">
        <f t="array" ref="F34:G34">VLOOKUP(D34,MASTER!$C$2:$F50,{3,4},0)</f>
        <v>1640</v>
      </c>
      <c r="G34" s="222">
        <v>1830.0</v>
      </c>
      <c r="H34" s="279"/>
    </row>
    <row r="35">
      <c r="A35" s="291" t="str">
        <f t="shared" si="3"/>
        <v>96</v>
      </c>
      <c r="B35" s="267">
        <v>22.0</v>
      </c>
      <c r="C35" s="262">
        <v>8796.0</v>
      </c>
      <c r="D35" s="262">
        <v>8796.0</v>
      </c>
      <c r="E35" s="220" t="str">
        <f>VLOOKUP(TEXT(A35,"#"),Main!$A$2:$C50,3,0)</f>
        <v>Bath Tub Spout Tip Ton with Flange</v>
      </c>
      <c r="F35" s="222">
        <f t="array" ref="F35:G35">VLOOKUP(D35,MASTER!$C$2:$F50,{3,4},0)</f>
        <v>2350</v>
      </c>
      <c r="G35" s="222">
        <v>2590.0</v>
      </c>
      <c r="H35" s="279"/>
    </row>
    <row r="36">
      <c r="A36" s="291" t="str">
        <f t="shared" si="3"/>
        <v>02</v>
      </c>
      <c r="B36" s="267">
        <v>23.0</v>
      </c>
      <c r="C36" s="262">
        <v>8702.0</v>
      </c>
      <c r="D36" s="219">
        <v>8702.0</v>
      </c>
      <c r="E36" s="220" t="str">
        <f>VLOOKUP(TEXT(A36,"#"),Main!$A$2:$C50,3,0)</f>
        <v>Pillar Cock</v>
      </c>
      <c r="F36" s="222">
        <f t="array" ref="F36:G36">VLOOKUP(D36,MASTER!$C$2:$F50,{3,4},0)</f>
        <v>1690</v>
      </c>
      <c r="G36" s="222">
        <v>1880.0</v>
      </c>
      <c r="H36" s="279"/>
    </row>
    <row r="37">
      <c r="A37" s="291" t="str">
        <f t="shared" si="3"/>
        <v>03</v>
      </c>
      <c r="B37" s="267">
        <v>24.0</v>
      </c>
      <c r="C37" s="262">
        <v>8703.0</v>
      </c>
      <c r="D37" s="262">
        <v>8703.0</v>
      </c>
      <c r="E37" s="220" t="str">
        <f>VLOOKUP(TEXT(A37,"#"),Main!$A$2:$C50,3,0)</f>
        <v>Pillar Cock Tall Body</v>
      </c>
      <c r="F37" s="222">
        <f t="array" ref="F37:G37">VLOOKUP(D37,MASTER!$C$2:$F50,{3,4},0)</f>
        <v>3780</v>
      </c>
      <c r="G37" s="222">
        <v>4220.0</v>
      </c>
      <c r="H37" s="279"/>
    </row>
    <row r="38">
      <c r="A38" s="291" t="str">
        <f t="shared" si="3"/>
        <v>04</v>
      </c>
      <c r="B38" s="267">
        <v>25.0</v>
      </c>
      <c r="C38" s="233">
        <v>8704.0</v>
      </c>
      <c r="D38" s="233">
        <v>8704.0</v>
      </c>
      <c r="E38" s="220" t="str">
        <f>VLOOKUP(TEXT(A38,"#"),Main!$A$2:$C50,3,0)</f>
        <v>Pillar Cock Extended Body</v>
      </c>
      <c r="F38" s="222">
        <f t="array" ref="F38:G38">VLOOKUP(D38,MASTER!$C$2:$F50,{3,4},0)</f>
        <v>2550</v>
      </c>
      <c r="G38" s="222">
        <v>2840.0</v>
      </c>
      <c r="H38" s="279"/>
    </row>
    <row r="39">
      <c r="A39" s="291" t="str">
        <f t="shared" si="3"/>
        <v>06</v>
      </c>
      <c r="B39" s="267">
        <v>26.0</v>
      </c>
      <c r="C39" s="233">
        <v>8706.0</v>
      </c>
      <c r="D39" s="218">
        <v>8706.0</v>
      </c>
      <c r="E39" s="220" t="str">
        <f>VLOOKUP(TEXT(A39,"#"),Main!$A$2:$C50,3,0)</f>
        <v>Bib Cock with Wall Flange</v>
      </c>
      <c r="F39" s="222">
        <f t="array" ref="F39:G39">VLOOKUP(D39,MASTER!$C$2:$F50,{3,4},0)</f>
        <v>1690</v>
      </c>
      <c r="G39" s="222">
        <v>1860.0</v>
      </c>
      <c r="H39" s="279"/>
    </row>
    <row r="40">
      <c r="A40" s="291" t="str">
        <f t="shared" si="3"/>
        <v>08</v>
      </c>
      <c r="B40" s="267">
        <v>27.0</v>
      </c>
      <c r="C40" s="233">
        <v>8708.0</v>
      </c>
      <c r="D40" s="233">
        <v>8708.0</v>
      </c>
      <c r="E40" s="220" t="str">
        <f>VLOOKUP(TEXT(A40,"#"),Main!$A$2:$C50,3,0)</f>
        <v>Bib Cock Long Body with Wall Flange</v>
      </c>
      <c r="F40" s="222">
        <f t="array" ref="F40:G40">VLOOKUP(D40,MASTER!$C$2:$F50,{3,4},0)</f>
        <v>1930</v>
      </c>
      <c r="G40" s="222">
        <v>2080.0</v>
      </c>
      <c r="H40" s="279"/>
    </row>
    <row r="41">
      <c r="A41" s="291" t="str">
        <f t="shared" si="3"/>
        <v>11</v>
      </c>
      <c r="B41" s="267">
        <v>28.0</v>
      </c>
      <c r="C41" s="262">
        <v>8711.0</v>
      </c>
      <c r="D41" s="262">
        <v>8711.0</v>
      </c>
      <c r="E41" s="220" t="str">
        <f>VLOOKUP(TEXT(A41,"#"),Main!$A$2:$C50,3,0)</f>
        <v>2-Way Angular Stop Cock with Wall Flange</v>
      </c>
      <c r="F41" s="222">
        <f t="array" ref="F41:G41">VLOOKUP(D41,MASTER!$C$2:$F50,{3,4},0)</f>
        <v>2190</v>
      </c>
      <c r="G41" s="222">
        <v>2440.0</v>
      </c>
      <c r="H41" s="279"/>
    </row>
    <row r="42">
      <c r="A42" s="291" t="str">
        <f t="shared" si="3"/>
        <v>12</v>
      </c>
      <c r="B42" s="256">
        <v>29.0</v>
      </c>
      <c r="C42" s="219">
        <v>8712.0</v>
      </c>
      <c r="D42" s="219">
        <v>8712.0</v>
      </c>
      <c r="E42" s="220" t="str">
        <f>VLOOKUP(TEXT(A42,"#"),Main!$A$2:$C50,3,0)</f>
        <v>2-Way Bib Cock Double Handle with Wall Flange</v>
      </c>
      <c r="F42" s="222">
        <f t="array" ref="F42:G42">VLOOKUP(D42,MASTER!$C$2:$F50,{3,4},0)</f>
        <v>2580</v>
      </c>
      <c r="G42" s="222">
        <v>2870.0</v>
      </c>
      <c r="H42" s="279"/>
    </row>
    <row r="43">
      <c r="A43" s="291" t="str">
        <f t="shared" si="3"/>
        <v>18</v>
      </c>
      <c r="B43" s="256">
        <v>30.0</v>
      </c>
      <c r="C43" s="219">
        <v>8718.0</v>
      </c>
      <c r="D43" s="219">
        <v>8718.0</v>
      </c>
      <c r="E43" s="220" t="str">
        <f>VLOOKUP(TEXT(A43,"#"),Main!$A$2:$C50,3,0)</f>
        <v>Concealed Stop Cock 15mm with Wall Flange</v>
      </c>
      <c r="F43" s="222">
        <f t="array" ref="F43:G43">VLOOKUP(D43,MASTER!$C$2:$F50,{3,4},0)</f>
        <v>1930</v>
      </c>
      <c r="G43" s="222">
        <v>2120.0</v>
      </c>
      <c r="H43" s="279"/>
    </row>
    <row r="44">
      <c r="A44" s="291" t="str">
        <f t="shared" si="3"/>
        <v>20</v>
      </c>
      <c r="B44" s="256">
        <v>31.0</v>
      </c>
      <c r="C44" s="219">
        <v>8720.0</v>
      </c>
      <c r="D44" s="219">
        <v>8720.0</v>
      </c>
      <c r="E44" s="220" t="str">
        <f>VLOOKUP(TEXT(A44,"#"),Main!$A$2:$C50,3,0)</f>
        <v>Concealed Stop Cock 20mm with Wall Flange</v>
      </c>
      <c r="F44" s="222">
        <f t="array" ref="F44:G44">VLOOKUP(D44,MASTER!$C$2:$F50,{3,4},0)</f>
        <v>1990</v>
      </c>
      <c r="G44" s="222">
        <v>2180.0</v>
      </c>
      <c r="H44" s="279"/>
    </row>
    <row r="45">
      <c r="A45" s="291" t="str">
        <f t="shared" si="3"/>
        <v>98</v>
      </c>
      <c r="B45" s="256">
        <v>32.0</v>
      </c>
      <c r="C45" s="219">
        <v>8798.0</v>
      </c>
      <c r="D45" s="219">
        <v>8798.0</v>
      </c>
      <c r="E45" s="220" t="str">
        <f>VLOOKUP(TEXT(A45,"#"),Main!$A$2:$C50,3,0)</f>
        <v>Flush Cock 25mm Half Turn with Adjustable Flange</v>
      </c>
      <c r="F45" s="222">
        <f t="array" ref="F45:G45">VLOOKUP(D45,MASTER!$C$2:$F50,{3,4},0)</f>
        <v>3280</v>
      </c>
      <c r="G45" s="222">
        <v>3540.0</v>
      </c>
      <c r="H45" s="279"/>
    </row>
    <row r="46">
      <c r="A46" s="341"/>
      <c r="B46" s="10"/>
      <c r="C46" s="3"/>
      <c r="D46" s="89"/>
      <c r="E46" s="3"/>
      <c r="F46" s="3"/>
      <c r="G46" s="3"/>
      <c r="H46" s="3"/>
    </row>
    <row r="47">
      <c r="A47" s="341"/>
      <c r="B47" s="10"/>
      <c r="C47" s="3"/>
      <c r="D47" s="89"/>
      <c r="E47" s="3"/>
      <c r="F47" s="3"/>
      <c r="G47" s="3"/>
      <c r="H47" s="3"/>
    </row>
    <row r="48">
      <c r="A48" s="341"/>
      <c r="B48" s="10"/>
      <c r="C48" s="3"/>
      <c r="D48" s="89"/>
      <c r="E48" s="3"/>
      <c r="F48" s="3"/>
      <c r="G48" s="3"/>
      <c r="H48" s="3"/>
    </row>
    <row r="49">
      <c r="A49" s="341"/>
      <c r="B49" s="10"/>
      <c r="C49" s="3"/>
      <c r="D49" s="89"/>
      <c r="E49" s="3"/>
      <c r="F49" s="3"/>
      <c r="G49" s="3"/>
      <c r="H49" s="3"/>
    </row>
    <row r="50">
      <c r="A50" s="341"/>
      <c r="B50" s="10"/>
      <c r="C50" s="3"/>
      <c r="D50" s="89"/>
      <c r="E50" s="3"/>
      <c r="F50" s="3"/>
      <c r="G50" s="3"/>
      <c r="H50" s="3"/>
    </row>
  </sheetData>
  <mergeCells count="6">
    <mergeCell ref="B5:B7"/>
    <mergeCell ref="B19:B21"/>
    <mergeCell ref="B22:B24"/>
    <mergeCell ref="B25:B27"/>
    <mergeCell ref="B28:B30"/>
    <mergeCell ref="B31:B33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5.38"/>
    <col customWidth="1" min="2" max="2" width="7.13"/>
    <col customWidth="1" hidden="1" min="3" max="3" width="18.5"/>
    <col customWidth="1" min="4" max="4" width="18.75"/>
    <col customWidth="1" min="5" max="5" width="83.63"/>
    <col customWidth="1" min="6" max="6" width="12.0"/>
    <col customWidth="1" min="7" max="7" width="12.5"/>
    <col customWidth="1" hidden="1" min="8" max="8" width="7.0"/>
  </cols>
  <sheetData>
    <row r="1" ht="71.25" customHeight="1">
      <c r="A1" s="336"/>
      <c r="B1" s="5" t="s">
        <v>3</v>
      </c>
      <c r="C1" s="337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291" t="str">
        <f t="shared" ref="A2:A4" si="1">RIGHT(D2,2)</f>
        <v>51</v>
      </c>
      <c r="B2" s="338">
        <v>1.0</v>
      </c>
      <c r="C2" s="51">
        <v>8151.0</v>
      </c>
      <c r="D2" s="283">
        <v>8151.0</v>
      </c>
      <c r="E2" s="339" t="str">
        <f>VLOOKUP(TEXT(A2,"#"),Main!$A$2:$C42,3,0)</f>
        <v>Single Lever Basin Mixer without Popup Waste System</v>
      </c>
      <c r="F2" s="222">
        <f t="array" ref="F2:G2">VLOOKUP(D2,MASTER!$C$2:$F42,{3,4},0)</f>
        <v>6970</v>
      </c>
      <c r="G2" s="222">
        <v>7780.0</v>
      </c>
      <c r="H2" s="279"/>
    </row>
    <row r="3">
      <c r="A3" s="291" t="str">
        <f t="shared" si="1"/>
        <v>52</v>
      </c>
      <c r="B3" s="338">
        <v>2.0</v>
      </c>
      <c r="C3" s="51">
        <v>8152.0</v>
      </c>
      <c r="D3" s="283">
        <v>8152.0</v>
      </c>
      <c r="E3" s="339" t="str">
        <f>VLOOKUP(TEXT(A3,"#"),Main!$A$2:$C42,3,0)</f>
        <v>Single Lever Basin Mixer Tall Body without Popup Waste System</v>
      </c>
      <c r="F3" s="222">
        <f t="array" ref="F3:G3">VLOOKUP(D3,MASTER!$C$2:$F42,{3,4},0)</f>
        <v>9710</v>
      </c>
      <c r="G3" s="222">
        <v>10850.0</v>
      </c>
      <c r="H3" s="279"/>
    </row>
    <row r="4">
      <c r="A4" s="291" t="str">
        <f t="shared" si="1"/>
        <v>54</v>
      </c>
      <c r="B4" s="340">
        <v>3.0</v>
      </c>
      <c r="C4" s="51">
        <v>8154.0</v>
      </c>
      <c r="D4" s="283">
        <v>8154.0</v>
      </c>
      <c r="E4" s="339" t="str">
        <f>VLOOKUP(TEXT(A4,"#"),Main!$A$2:$C42,3,0)</f>
        <v>Single Lever Basin Mixer Wall Mount (Concealed)</v>
      </c>
      <c r="F4" s="222">
        <f t="array" ref="F4:G4">VLOOKUP(D4,MASTER!$C$2:$F42,{3,4},0)</f>
        <v>7870</v>
      </c>
      <c r="G4" s="222">
        <v>8650.0</v>
      </c>
      <c r="H4" s="279"/>
    </row>
    <row r="5">
      <c r="A5" s="13" t="s">
        <v>154</v>
      </c>
      <c r="B5" s="120"/>
      <c r="C5" s="283" t="s">
        <v>154</v>
      </c>
      <c r="D5" s="283" t="s">
        <v>154</v>
      </c>
      <c r="E5" s="339" t="str">
        <f>VLOOKUP(TEXT(A5,"#"),Main!$A$2:$C42,3,0)</f>
        <v>Single Lever Basin Mixer Wall Mount (Body, Cartridge, Sleeve &amp; Nipple)</v>
      </c>
      <c r="F5" s="222">
        <f t="array" ref="F5:G5">VLOOKUP(D5,MASTER!$C$2:$F42,{3,4},0)</f>
        <v>3680</v>
      </c>
      <c r="G5" s="222">
        <v>3990.0</v>
      </c>
      <c r="H5" s="279"/>
    </row>
    <row r="6">
      <c r="A6" s="13" t="s">
        <v>159</v>
      </c>
      <c r="B6" s="145"/>
      <c r="C6" s="51" t="s">
        <v>1272</v>
      </c>
      <c r="D6" s="283" t="s">
        <v>1272</v>
      </c>
      <c r="E6" s="339" t="str">
        <f>VLOOKUP(TEXT(A6,"#"),Main!$A$2:$C42,3,0)</f>
        <v>Exposed Parts (Wall Flange, Handle &amp; Spout)</v>
      </c>
      <c r="F6" s="222">
        <f t="array" ref="F6:G6">VLOOKUP(D6,MASTER!$C$2:$F42,{3,4},0)</f>
        <v>4190</v>
      </c>
      <c r="G6" s="222">
        <v>4660.0</v>
      </c>
      <c r="H6" s="279"/>
    </row>
    <row r="7">
      <c r="A7" s="291" t="s">
        <v>184</v>
      </c>
      <c r="B7" s="338">
        <v>4.0</v>
      </c>
      <c r="C7" s="51">
        <v>8170.0</v>
      </c>
      <c r="D7" s="283">
        <v>8170.0</v>
      </c>
      <c r="E7" s="339" t="str">
        <f>VLOOKUP(TEXT(A7,"#"),Main!$A$2:$C42,3,0)</f>
        <v>Wall Mixer Telephonic with Crutch &amp; Wall Flange (Provision For Hand Shower)</v>
      </c>
      <c r="F7" s="222">
        <f t="array" ref="F7:G7">VLOOKUP(D7,MASTER!$C$2:$F42,{3,4},0)</f>
        <v>7980</v>
      </c>
      <c r="G7" s="222">
        <v>8790.0</v>
      </c>
      <c r="H7" s="279"/>
    </row>
    <row r="8">
      <c r="A8" s="291" t="str">
        <f t="shared" ref="A8:A18" si="2">RIGHT(D8,2)</f>
        <v>71</v>
      </c>
      <c r="B8" s="338">
        <v>5.0</v>
      </c>
      <c r="C8" s="51">
        <v>8171.0</v>
      </c>
      <c r="D8" s="283">
        <v>8171.0</v>
      </c>
      <c r="E8" s="339" t="str">
        <f>VLOOKUP(TEXT(A8,"#"),Main!$A$2:$C42,3,0)</f>
        <v>Single Lever Wall Mixer with Wall Flange</v>
      </c>
      <c r="F8" s="222">
        <f t="array" ref="F8:G8">VLOOKUP(D8,MASTER!$C$2:$F42,{3,4},0)</f>
        <v>6980</v>
      </c>
      <c r="G8" s="222">
        <v>7760.0</v>
      </c>
      <c r="H8" s="279"/>
    </row>
    <row r="9">
      <c r="A9" s="291" t="str">
        <f t="shared" si="2"/>
        <v>75</v>
      </c>
      <c r="B9" s="338">
        <v>6.0</v>
      </c>
      <c r="C9" s="51">
        <v>8175.0</v>
      </c>
      <c r="D9" s="283">
        <v>8175.0</v>
      </c>
      <c r="E9" s="339" t="str">
        <f>VLOOKUP(TEXT(A9,"#"),Main!$A$2:$C42,3,0)</f>
        <v>Wall Mixer "L" Bend with Wall Flange (Provision For Over Head Shower)</v>
      </c>
      <c r="F9" s="222">
        <f t="array" ref="F9:G9">VLOOKUP(D9,MASTER!$C$2:$F42,{3,4},0)</f>
        <v>7980</v>
      </c>
      <c r="G9" s="222">
        <v>8790.0</v>
      </c>
      <c r="H9" s="279"/>
    </row>
    <row r="10">
      <c r="A10" s="291" t="str">
        <f t="shared" si="2"/>
        <v>76</v>
      </c>
      <c r="B10" s="338">
        <v>7.0</v>
      </c>
      <c r="C10" s="51">
        <v>8176.0</v>
      </c>
      <c r="D10" s="283">
        <v>8176.0</v>
      </c>
      <c r="E10" s="339" t="str">
        <f>VLOOKUP(TEXT(A10,"#"),Main!$A$2:$C42,3,0)</f>
        <v>Single Lever Wall Mixer "L" Bend with Wall Flange (Expose Type)</v>
      </c>
      <c r="F10" s="222">
        <f t="array" ref="F10:G10">VLOOKUP(D10,MASTER!$C$2:$F42,{3,4},0)</f>
        <v>9980</v>
      </c>
      <c r="G10" s="222">
        <v>11430.0</v>
      </c>
      <c r="H10" s="279"/>
    </row>
    <row r="11">
      <c r="A11" s="291" t="str">
        <f t="shared" si="2"/>
        <v>80</v>
      </c>
      <c r="B11" s="338">
        <v>8.0</v>
      </c>
      <c r="C11" s="283">
        <v>8180.0</v>
      </c>
      <c r="D11" s="283">
        <v>8180.0</v>
      </c>
      <c r="E11" s="339" t="str">
        <f>VLOOKUP(TEXT(A11,"#"),Main!$A$2:$C42,3,0)</f>
        <v>Wall Mixer 3 In 1 with Wall Flange (Provision For Over Head Shower &amp; Hand Shower)</v>
      </c>
      <c r="F11" s="222">
        <f t="array" ref="F11:G11">VLOOKUP(D11,MASTER!$C$2:$F42,{3,4},0)</f>
        <v>8880</v>
      </c>
      <c r="G11" s="222">
        <v>9980.0</v>
      </c>
      <c r="H11" s="279"/>
    </row>
    <row r="12">
      <c r="A12" s="291" t="str">
        <f t="shared" si="2"/>
        <v>55</v>
      </c>
      <c r="B12" s="338">
        <v>9.0</v>
      </c>
      <c r="C12" s="51">
        <v>8155.0</v>
      </c>
      <c r="D12" s="283">
        <v>8155.0</v>
      </c>
      <c r="E12" s="339" t="str">
        <f>VLOOKUP(TEXT(A12,"#"),Main!$A$2:$C42,3,0)</f>
        <v>Sink Mixer with Regular Spout Wall Mounted with Flange</v>
      </c>
      <c r="F12" s="222">
        <f t="array" ref="F12:G12">VLOOKUP(D12,MASTER!$C$2:$F42,{3,4},0)</f>
        <v>5980</v>
      </c>
      <c r="G12" s="222">
        <v>6590.0</v>
      </c>
      <c r="H12" s="279"/>
    </row>
    <row r="13">
      <c r="A13" s="291" t="str">
        <f t="shared" si="2"/>
        <v>56</v>
      </c>
      <c r="B13" s="338">
        <v>10.0</v>
      </c>
      <c r="C13" s="51">
        <v>8156.0</v>
      </c>
      <c r="D13" s="283">
        <v>8156.0</v>
      </c>
      <c r="E13" s="339" t="str">
        <f>VLOOKUP(TEXT(A13,"#"),Main!$A$2:$C42,3,0)</f>
        <v>Single Lever Sink Mixer Wall Mounted with Flange</v>
      </c>
      <c r="F13" s="222">
        <f t="array" ref="F13:G13">VLOOKUP(D13,MASTER!$C$2:$F42,{3,4},0)</f>
        <v>8620</v>
      </c>
      <c r="G13" s="222">
        <v>9480.0</v>
      </c>
      <c r="H13" s="279"/>
    </row>
    <row r="14">
      <c r="A14" s="291" t="str">
        <f t="shared" si="2"/>
        <v>14</v>
      </c>
      <c r="B14" s="338">
        <v>11.0</v>
      </c>
      <c r="C14" s="51">
        <v>8114.0</v>
      </c>
      <c r="D14" s="283">
        <v>8114.0</v>
      </c>
      <c r="E14" s="339" t="str">
        <f>VLOOKUP(TEXT(A14,"#"),Main!$A$2:$C42,3,0)</f>
        <v>Swan Neck Table Mounted</v>
      </c>
      <c r="F14" s="222">
        <f t="array" ref="F14:G14">VLOOKUP(D14,MASTER!$C$2:$F42,{3,4},0)</f>
        <v>3180</v>
      </c>
      <c r="G14" s="222">
        <v>3480.0</v>
      </c>
      <c r="H14" s="279"/>
    </row>
    <row r="15">
      <c r="A15" s="291" t="str">
        <f t="shared" si="2"/>
        <v>16</v>
      </c>
      <c r="B15" s="340">
        <v>12.0</v>
      </c>
      <c r="C15" s="51">
        <v>8116.0</v>
      </c>
      <c r="D15" s="283">
        <v>8116.0</v>
      </c>
      <c r="E15" s="339" t="str">
        <f>VLOOKUP(TEXT(A15,"#"),Main!$A$2:$C42,3,0)</f>
        <v>Sink Cock Wall Mounted with Flange</v>
      </c>
      <c r="F15" s="222">
        <f t="array" ref="F15:G15">VLOOKUP(D15,MASTER!$C$2:$F42,{3,4},0)</f>
        <v>2760</v>
      </c>
      <c r="G15" s="222">
        <v>2940.0</v>
      </c>
      <c r="H15" s="279"/>
    </row>
    <row r="16">
      <c r="A16" s="291" t="str">
        <f t="shared" si="2"/>
        <v>95</v>
      </c>
      <c r="B16" s="340">
        <v>13.0</v>
      </c>
      <c r="C16" s="51">
        <v>8195.0</v>
      </c>
      <c r="D16" s="283">
        <v>8195.0</v>
      </c>
      <c r="E16" s="339" t="str">
        <f>VLOOKUP(TEXT(A16,"#"),Main!$A$2:$C42,3,0)</f>
        <v>Bath Tub Spout with Flange</v>
      </c>
      <c r="F16" s="222">
        <f t="array" ref="F16:G16">VLOOKUP(D16,MASTER!$C$2:$F42,{3,4},0)</f>
        <v>1890</v>
      </c>
      <c r="G16" s="222">
        <v>2070.0</v>
      </c>
      <c r="H16" s="279"/>
    </row>
    <row r="17">
      <c r="A17" s="291" t="str">
        <f t="shared" si="2"/>
        <v>96</v>
      </c>
      <c r="B17" s="340">
        <v>14.0</v>
      </c>
      <c r="C17" s="51">
        <v>8196.0</v>
      </c>
      <c r="D17" s="283">
        <v>8196.0</v>
      </c>
      <c r="E17" s="339" t="str">
        <f>VLOOKUP(TEXT(A17,"#"),Main!$A$2:$C42,3,0)</f>
        <v>Bath Tub Spout Tip Ton with Flange</v>
      </c>
      <c r="F17" s="222">
        <f t="array" ref="F17:G17">VLOOKUP(D17,MASTER!$C$2:$F42,{3,4},0)</f>
        <v>2570</v>
      </c>
      <c r="G17" s="222">
        <v>2830.0</v>
      </c>
      <c r="H17" s="279"/>
    </row>
    <row r="18">
      <c r="A18" s="291" t="str">
        <f t="shared" si="2"/>
        <v>10</v>
      </c>
      <c r="B18" s="338">
        <v>15.0</v>
      </c>
      <c r="C18" s="51">
        <v>8110.0</v>
      </c>
      <c r="D18" s="283">
        <v>8110.0</v>
      </c>
      <c r="E18" s="339" t="str">
        <f>VLOOKUP(TEXT(A18,"#"),Main!$A$2:$C42,3,0)</f>
        <v>Angular Stop Cock with Wall Flange</v>
      </c>
      <c r="F18" s="222">
        <f t="array" ref="F18:G18">VLOOKUP(D18,MASTER!$C$2:$F42,{3,4},0)</f>
        <v>1780</v>
      </c>
      <c r="G18" s="222">
        <v>1970.0</v>
      </c>
      <c r="H18" s="279"/>
    </row>
    <row r="19">
      <c r="A19" s="291" t="s">
        <v>209</v>
      </c>
      <c r="B19" s="340">
        <v>16.0</v>
      </c>
      <c r="C19" s="283">
        <v>8191.0</v>
      </c>
      <c r="D19" s="283" t="s">
        <v>1292</v>
      </c>
      <c r="E19" s="339" t="str">
        <f>VLOOKUP(TEXT(A19,"#"),Main!$A$2:$C42,3,0)</f>
        <v>Single Lever Concealed Diverter Bath &amp; Shower 40mm</v>
      </c>
      <c r="F19" s="222">
        <f t="array" ref="F19:G19">VLOOKUP(D19,MASTER!$C$2:$F42,{3,4},0)</f>
        <v>6720</v>
      </c>
      <c r="G19" s="222">
        <v>7250.0</v>
      </c>
      <c r="H19" s="279"/>
    </row>
    <row r="20">
      <c r="A20" s="13" t="s">
        <v>212</v>
      </c>
      <c r="B20" s="120"/>
      <c r="C20" s="283" t="s">
        <v>1435</v>
      </c>
      <c r="D20" s="283" t="s">
        <v>212</v>
      </c>
      <c r="E20" s="339" t="str">
        <f>VLOOKUP(TEXT(A20,"#"),Main!$A$2:$C42,3,0)</f>
        <v>Concealed Diverter Body 40mm (Cartridge, Sleeve, Tipton Assembly)</v>
      </c>
      <c r="F20" s="222">
        <f t="array" ref="F20:G20">VLOOKUP(D20,MASTER!$C$2:$F42,{3,4},0)</f>
        <v>4240</v>
      </c>
      <c r="G20" s="222">
        <v>4580.0</v>
      </c>
      <c r="H20" s="279"/>
    </row>
    <row r="21">
      <c r="A21" s="13" t="s">
        <v>216</v>
      </c>
      <c r="B21" s="145"/>
      <c r="C21" s="283" t="s">
        <v>1795</v>
      </c>
      <c r="D21" s="283" t="s">
        <v>1293</v>
      </c>
      <c r="E21" s="339" t="str">
        <f>VLOOKUP(TEXT(A21,"#"),Main!$A$2:$C42,3,0)</f>
        <v>Exposed Parts (Wall Flange &amp; Handle)</v>
      </c>
      <c r="F21" s="222">
        <f t="array" ref="F21:G21">VLOOKUP(D21,MASTER!$C$2:$F42,{3,4},0)</f>
        <v>2480</v>
      </c>
      <c r="G21" s="222">
        <v>2670.0</v>
      </c>
      <c r="H21" s="279"/>
    </row>
    <row r="22">
      <c r="A22" s="291" t="s">
        <v>219</v>
      </c>
      <c r="B22" s="340">
        <v>17.0</v>
      </c>
      <c r="C22" s="283">
        <v>8192.0</v>
      </c>
      <c r="D22" s="283" t="s">
        <v>1294</v>
      </c>
      <c r="E22" s="339" t="str">
        <f>VLOOKUP(TEXT(A22,"#"),Main!$A$2:$C42,3,0)</f>
        <v>Single Lever High Flow Concealed Diverter Bath &amp; Shower 46mm</v>
      </c>
      <c r="F22" s="222">
        <f t="array" ref="F22:G22">VLOOKUP(D22,MASTER!$C$2:$F42,{3,4},0)</f>
        <v>7460</v>
      </c>
      <c r="G22" s="222">
        <v>8160.0</v>
      </c>
      <c r="H22" s="279"/>
    </row>
    <row r="23">
      <c r="A23" s="13" t="s">
        <v>223</v>
      </c>
      <c r="B23" s="120"/>
      <c r="C23" s="283" t="s">
        <v>1438</v>
      </c>
      <c r="D23" s="283" t="s">
        <v>223</v>
      </c>
      <c r="E23" s="339" t="str">
        <f>VLOOKUP(TEXT(A23,"#"),Main!$A$2:$C42,3,0)</f>
        <v>High Flow Concealed Diverter Body 46mm (Cartridge, Sleeve, Tipton Assembly)</v>
      </c>
      <c r="F23" s="222">
        <f t="array" ref="F23:G23">VLOOKUP(D23,MASTER!$C$2:$F42,{3,4},0)</f>
        <v>4980</v>
      </c>
      <c r="G23" s="222">
        <v>5490.0</v>
      </c>
      <c r="H23" s="279"/>
    </row>
    <row r="24">
      <c r="A24" s="13" t="s">
        <v>226</v>
      </c>
      <c r="B24" s="145"/>
      <c r="C24" s="283" t="s">
        <v>1796</v>
      </c>
      <c r="D24" s="283" t="s">
        <v>1295</v>
      </c>
      <c r="E24" s="339" t="str">
        <f>VLOOKUP(TEXT(A24,"#"),Main!$A$2:$C42,3,0)</f>
        <v>Exposed Parts (Wall Flange &amp; Handle)</v>
      </c>
      <c r="F24" s="222">
        <f t="array" ref="F24:G24">VLOOKUP(D24,MASTER!$C$2:$F42,{3,4},0)</f>
        <v>2480</v>
      </c>
      <c r="G24" s="222">
        <v>2670.0</v>
      </c>
      <c r="H24" s="279"/>
    </row>
    <row r="25">
      <c r="A25" s="291" t="s">
        <v>239</v>
      </c>
      <c r="B25" s="340">
        <v>18.0</v>
      </c>
      <c r="C25" s="283">
        <v>8193.0</v>
      </c>
      <c r="D25" s="283" t="s">
        <v>1298</v>
      </c>
      <c r="E25" s="339" t="str">
        <f>VLOOKUP(TEXT(A25,"#"),Main!$A$2:$C42,3,0)</f>
        <v>Single Lever 3 In Let Concealed Diverter Bath &amp; Shower 46mm</v>
      </c>
      <c r="F25" s="222">
        <f t="array" ref="F25:G25">VLOOKUP(D25,MASTER!$C$2:$F42,{3,4},0)</f>
        <v>7460</v>
      </c>
      <c r="G25" s="222">
        <v>8160.0</v>
      </c>
      <c r="H25" s="279"/>
    </row>
    <row r="26">
      <c r="A26" s="13" t="s">
        <v>243</v>
      </c>
      <c r="B26" s="120"/>
      <c r="C26" s="257" t="s">
        <v>1441</v>
      </c>
      <c r="D26" s="257" t="s">
        <v>243</v>
      </c>
      <c r="E26" s="339" t="str">
        <f>VLOOKUP(TEXT(A26,"#"),Main!$A$2:$C42,3,0)</f>
        <v>3 In Let Concealed Diverter Body 46mm (Cartridge, Sleeve, Tipton Assembly)</v>
      </c>
      <c r="F26" s="222">
        <f t="array" ref="F26:G26">VLOOKUP(D26,MASTER!$C$2:$F42,{3,4},0)</f>
        <v>4980</v>
      </c>
      <c r="G26" s="222">
        <v>5490.0</v>
      </c>
      <c r="H26" s="279"/>
    </row>
    <row r="27">
      <c r="A27" s="13" t="s">
        <v>247</v>
      </c>
      <c r="B27" s="120"/>
      <c r="C27" s="257" t="s">
        <v>1797</v>
      </c>
      <c r="D27" s="257" t="s">
        <v>1299</v>
      </c>
      <c r="E27" s="339" t="str">
        <f>VLOOKUP(TEXT(A27,"#"),Main!$A$2:$C42,3,0)</f>
        <v>Exposed Parts (Wall Flange &amp; Handle)</v>
      </c>
      <c r="F27" s="222">
        <f t="array" ref="F27:G27">VLOOKUP(D27,MASTER!$C$2:$F42,{3,4},0)</f>
        <v>2480</v>
      </c>
      <c r="G27" s="222">
        <v>2670.0</v>
      </c>
      <c r="H27" s="279"/>
    </row>
    <row r="28">
      <c r="A28" s="13" t="s">
        <v>228</v>
      </c>
      <c r="B28" s="340">
        <v>19.0</v>
      </c>
      <c r="C28" s="283" t="s">
        <v>1798</v>
      </c>
      <c r="D28" s="283" t="s">
        <v>1296</v>
      </c>
      <c r="E28" s="339" t="str">
        <f>VLOOKUP(TEXT(A28,"#"),Main!$A$2:$C42,3,0)</f>
        <v>Single Lever High Flow Concealed Diverter Bath &amp; Shower 46mm (ON-OFF)</v>
      </c>
      <c r="F28" s="222">
        <f t="array" ref="F28:G28">VLOOKUP(D28,MASTER!$C$2:$F42,{3,4},0)</f>
        <v>7460</v>
      </c>
      <c r="G28" s="222">
        <v>8160.0</v>
      </c>
      <c r="H28" s="279"/>
    </row>
    <row r="29">
      <c r="A29" s="13" t="s">
        <v>234</v>
      </c>
      <c r="B29" s="120"/>
      <c r="C29" s="257" t="s">
        <v>1444</v>
      </c>
      <c r="D29" s="257" t="s">
        <v>234</v>
      </c>
      <c r="E29" s="339" t="str">
        <f>VLOOKUP(TEXT(A29,"#"),Main!$A$2:$C42,3,0)</f>
        <v>High Flow Concealed Diverter Body 46mm (Cartridge, Sleeve, On-Off Assembly)</v>
      </c>
      <c r="F29" s="222">
        <f t="array" ref="F29:G29">VLOOKUP(D29,MASTER!$C$2:$F42,{3,4},0)</f>
        <v>4740</v>
      </c>
      <c r="G29" s="222">
        <v>5250.0</v>
      </c>
      <c r="H29" s="279"/>
    </row>
    <row r="30">
      <c r="A30" s="13" t="s">
        <v>237</v>
      </c>
      <c r="B30" s="120"/>
      <c r="C30" s="257" t="s">
        <v>1799</v>
      </c>
      <c r="D30" s="257" t="s">
        <v>1297</v>
      </c>
      <c r="E30" s="339" t="str">
        <f>VLOOKUP(TEXT(A30,"#"),Main!$A$2:$C42,3,0)</f>
        <v>Exposed Parts (Wall Flange &amp; Handle)</v>
      </c>
      <c r="F30" s="222">
        <f t="array" ref="F30:G30">VLOOKUP(D30,MASTER!$C$2:$F42,{3,4},0)</f>
        <v>2720</v>
      </c>
      <c r="G30" s="222">
        <v>2910.0</v>
      </c>
      <c r="H30" s="279"/>
    </row>
    <row r="31">
      <c r="A31" s="13" t="s">
        <v>249</v>
      </c>
      <c r="B31" s="340">
        <v>20.0</v>
      </c>
      <c r="C31" s="283" t="s">
        <v>1800</v>
      </c>
      <c r="D31" s="283" t="s">
        <v>1300</v>
      </c>
      <c r="E31" s="339" t="str">
        <f>VLOOKUP(TEXT(A31,"#"),Main!$A$2:$C42,3,0)</f>
        <v>Single Lever 3 In Let Concealed Diverter Bath &amp; Shower 46mm (ON-OFF)</v>
      </c>
      <c r="F31" s="222">
        <f t="array" ref="F31:G31">VLOOKUP(D31,MASTER!$C$2:$F42,{3,4},0)</f>
        <v>7460</v>
      </c>
      <c r="G31" s="222">
        <v>8160.0</v>
      </c>
      <c r="H31" s="279"/>
    </row>
    <row r="32">
      <c r="A32" s="13" t="s">
        <v>253</v>
      </c>
      <c r="B32" s="120"/>
      <c r="C32" s="257" t="s">
        <v>1447</v>
      </c>
      <c r="D32" s="257" t="s">
        <v>253</v>
      </c>
      <c r="E32" s="339" t="str">
        <f>VLOOKUP(TEXT(A32,"#"),Main!$A$2:$C42,3,0)</f>
        <v>3 In Let Concealed Diverter Body 46mm (Cartridge, Sleeve, On-Off Assembly)</v>
      </c>
      <c r="F32" s="222">
        <f t="array" ref="F32:G32">VLOOKUP(D32,MASTER!$C$2:$F42,{3,4},0)</f>
        <v>4740</v>
      </c>
      <c r="G32" s="222">
        <v>5250.0</v>
      </c>
      <c r="H32" s="279"/>
    </row>
    <row r="33">
      <c r="A33" s="13" t="s">
        <v>258</v>
      </c>
      <c r="B33" s="120"/>
      <c r="C33" s="257" t="s">
        <v>1801</v>
      </c>
      <c r="D33" s="257" t="s">
        <v>1301</v>
      </c>
      <c r="E33" s="339" t="str">
        <f>VLOOKUP(TEXT(A33,"#"),Main!$A$2:$C42,3,0)</f>
        <v>Exposed Parts (Wall Flange &amp; Handle)</v>
      </c>
      <c r="F33" s="222">
        <f t="array" ref="F33:G33">VLOOKUP(D33,MASTER!$C$2:$F42,{3,4},0)</f>
        <v>2720</v>
      </c>
      <c r="G33" s="222">
        <v>2910.0</v>
      </c>
      <c r="H33" s="279"/>
    </row>
    <row r="34">
      <c r="A34" s="291" t="str">
        <f t="shared" ref="A34:A42" si="3">RIGHT(D34,2)</f>
        <v>02</v>
      </c>
      <c r="B34" s="340">
        <v>21.0</v>
      </c>
      <c r="C34" s="51">
        <v>8102.0</v>
      </c>
      <c r="D34" s="283">
        <v>8102.0</v>
      </c>
      <c r="E34" s="339" t="str">
        <f>VLOOKUP(TEXT(A34,"#"),Main!$A$2:$C42,3,0)</f>
        <v>Pillar Cock</v>
      </c>
      <c r="F34" s="222">
        <f t="array" ref="F34:G34">VLOOKUP(D34,MASTER!$C$2:$F42,{3,4},0)</f>
        <v>3090</v>
      </c>
      <c r="G34" s="222">
        <v>3470.0</v>
      </c>
      <c r="H34" s="279"/>
    </row>
    <row r="35">
      <c r="A35" s="291" t="str">
        <f t="shared" si="3"/>
        <v>03</v>
      </c>
      <c r="B35" s="340">
        <v>22.0</v>
      </c>
      <c r="C35" s="296">
        <v>8103.0</v>
      </c>
      <c r="D35" s="257">
        <v>8103.0</v>
      </c>
      <c r="E35" s="339" t="str">
        <f>VLOOKUP(TEXT(A35,"#"),Main!$A$2:$C42,3,0)</f>
        <v>Pillar Cock Tall Body</v>
      </c>
      <c r="F35" s="222">
        <f t="array" ref="F35:G35">VLOOKUP(D35,MASTER!$C$2:$F42,{3,4},0)</f>
        <v>4620</v>
      </c>
      <c r="G35" s="222">
        <v>5160.0</v>
      </c>
      <c r="H35" s="279"/>
    </row>
    <row r="36">
      <c r="A36" s="291" t="str">
        <f t="shared" si="3"/>
        <v>06</v>
      </c>
      <c r="B36" s="340">
        <v>23.0</v>
      </c>
      <c r="C36" s="296">
        <v>8106.0</v>
      </c>
      <c r="D36" s="257">
        <v>8106.0</v>
      </c>
      <c r="E36" s="339" t="str">
        <f>VLOOKUP(TEXT(A36,"#"),Main!$A$2:$C42,3,0)</f>
        <v>Bib Cock with Wall Flange</v>
      </c>
      <c r="F36" s="222">
        <f t="array" ref="F36:G36">VLOOKUP(D36,MASTER!$C$2:$F42,{3,4},0)</f>
        <v>2090</v>
      </c>
      <c r="G36" s="222">
        <v>2320.0</v>
      </c>
      <c r="H36" s="279"/>
    </row>
    <row r="37">
      <c r="A37" s="291" t="str">
        <f t="shared" si="3"/>
        <v>08</v>
      </c>
      <c r="B37" s="340">
        <v>24.0</v>
      </c>
      <c r="C37" s="51">
        <v>8108.0</v>
      </c>
      <c r="D37" s="283">
        <v>8108.0</v>
      </c>
      <c r="E37" s="339" t="str">
        <f>VLOOKUP(TEXT(A37,"#"),Main!$A$2:$C42,3,0)</f>
        <v>Bib Cock Long Body with Wall Flange</v>
      </c>
      <c r="F37" s="222">
        <f t="array" ref="F37:G37">VLOOKUP(D37,MASTER!$C$2:$F42,{3,4},0)</f>
        <v>2290</v>
      </c>
      <c r="G37" s="222">
        <v>2530.0</v>
      </c>
      <c r="H37" s="279"/>
    </row>
    <row r="38">
      <c r="A38" s="291" t="str">
        <f t="shared" si="3"/>
        <v>11</v>
      </c>
      <c r="B38" s="340">
        <v>25.0</v>
      </c>
      <c r="C38" s="296">
        <v>8111.0</v>
      </c>
      <c r="D38" s="257">
        <v>8111.0</v>
      </c>
      <c r="E38" s="339" t="str">
        <f>VLOOKUP(TEXT(A38,"#"),Main!$A$2:$C42,3,0)</f>
        <v>2-Way Angular Stop Cock with Wall Flange</v>
      </c>
      <c r="F38" s="222">
        <f t="array" ref="F38:G38">VLOOKUP(D38,MASTER!$C$2:$F42,{3,4},0)</f>
        <v>2580</v>
      </c>
      <c r="G38" s="222">
        <v>2880.0</v>
      </c>
      <c r="H38" s="279"/>
    </row>
    <row r="39">
      <c r="A39" s="291" t="str">
        <f t="shared" si="3"/>
        <v>12</v>
      </c>
      <c r="B39" s="340">
        <v>26.0</v>
      </c>
      <c r="C39" s="296">
        <v>8112.0</v>
      </c>
      <c r="D39" s="257">
        <v>8112.0</v>
      </c>
      <c r="E39" s="339" t="str">
        <f>VLOOKUP(TEXT(A39,"#"),Main!$A$2:$C42,3,0)</f>
        <v>2-Way Bib Cock Double Handle with Wall Flange</v>
      </c>
      <c r="F39" s="222">
        <f t="array" ref="F39:G39">VLOOKUP(D39,MASTER!$C$2:$F42,{3,4},0)</f>
        <v>3490</v>
      </c>
      <c r="G39" s="222">
        <v>3880.0</v>
      </c>
      <c r="H39" s="279"/>
    </row>
    <row r="40">
      <c r="A40" s="291" t="str">
        <f t="shared" si="3"/>
        <v>18</v>
      </c>
      <c r="B40" s="338">
        <v>27.0</v>
      </c>
      <c r="C40" s="51">
        <v>8118.0</v>
      </c>
      <c r="D40" s="283">
        <v>8118.0</v>
      </c>
      <c r="E40" s="339" t="str">
        <f>VLOOKUP(TEXT(A40,"#"),Main!$A$2:$C42,3,0)</f>
        <v>Concealed Stop Cock 15mm with Wall Flange</v>
      </c>
      <c r="F40" s="222">
        <f t="array" ref="F40:G40">VLOOKUP(D40,MASTER!$C$2:$F42,{3,4},0)</f>
        <v>1930</v>
      </c>
      <c r="G40" s="222">
        <v>2190.0</v>
      </c>
      <c r="H40" s="279"/>
    </row>
    <row r="41">
      <c r="A41" s="291" t="str">
        <f t="shared" si="3"/>
        <v>20</v>
      </c>
      <c r="B41" s="338">
        <v>28.0</v>
      </c>
      <c r="C41" s="51">
        <v>8120.0</v>
      </c>
      <c r="D41" s="283">
        <v>8120.0</v>
      </c>
      <c r="E41" s="339" t="str">
        <f>VLOOKUP(TEXT(A41,"#"),Main!$A$2:$C42,3,0)</f>
        <v>Concealed Stop Cock 20mm with Wall Flange</v>
      </c>
      <c r="F41" s="222">
        <f t="array" ref="F41:G41">VLOOKUP(D41,MASTER!$C$2:$F42,{3,4},0)</f>
        <v>1990</v>
      </c>
      <c r="G41" s="222">
        <v>2250.0</v>
      </c>
      <c r="H41" s="279"/>
    </row>
    <row r="42">
      <c r="A42" s="291" t="str">
        <f t="shared" si="3"/>
        <v>98</v>
      </c>
      <c r="B42" s="338">
        <v>29.0</v>
      </c>
      <c r="C42" s="51">
        <v>8198.0</v>
      </c>
      <c r="D42" s="283">
        <v>8198.0</v>
      </c>
      <c r="E42" s="339" t="str">
        <f>VLOOKUP(TEXT(A42,"#"),Main!$A$2:$C42,3,0)</f>
        <v>Flush Cock 25mm Half Turn with Adjustable Flange</v>
      </c>
      <c r="F42" s="222">
        <f t="array" ref="F42:G42">VLOOKUP(D42,MASTER!$C$2:$F42,{3,4},0)</f>
        <v>3540</v>
      </c>
      <c r="G42" s="222">
        <v>3860.0</v>
      </c>
      <c r="H42" s="279"/>
    </row>
  </sheetData>
  <mergeCells count="6">
    <mergeCell ref="B4:B6"/>
    <mergeCell ref="B19:B21"/>
    <mergeCell ref="B22:B24"/>
    <mergeCell ref="B25:B27"/>
    <mergeCell ref="B28:B30"/>
    <mergeCell ref="B31:B33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4.88"/>
    <col customWidth="1" min="2" max="2" width="7.13"/>
    <col customWidth="1" hidden="1" min="3" max="3" width="18.63"/>
    <col customWidth="1" min="4" max="4" width="18.63"/>
    <col customWidth="1" min="5" max="5" width="83.63"/>
    <col customWidth="1" min="6" max="6" width="13.63"/>
    <col customWidth="1" min="7" max="7" width="12.5"/>
    <col customWidth="1" hidden="1" min="8" max="8" width="8.88"/>
  </cols>
  <sheetData>
    <row r="1" ht="69.0" customHeight="1">
      <c r="A1" s="3"/>
      <c r="B1" s="5" t="s">
        <v>3</v>
      </c>
      <c r="C1" s="141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299" t="str">
        <f t="shared" ref="A2:A4" si="1">RIGHT(D2,2)</f>
        <v>51</v>
      </c>
      <c r="B2" s="256">
        <v>1.0</v>
      </c>
      <c r="C2" s="219">
        <v>9051.0</v>
      </c>
      <c r="D2" s="219">
        <v>9051.0</v>
      </c>
      <c r="E2" s="220" t="str">
        <f>VLOOKUP(TEXT(A2,"#"),Main!$A$2:$C45,3,0)</f>
        <v>Single Lever Basin Mixer without Popup Waste System</v>
      </c>
      <c r="F2" s="222">
        <f t="array" ref="F2:G2">VLOOKUP(D2,MASTER!$C$2:$F45,{3,4},0)</f>
        <v>4980</v>
      </c>
      <c r="G2" s="222">
        <v>5590.0</v>
      </c>
      <c r="H2" s="279"/>
    </row>
    <row r="3">
      <c r="A3" s="299" t="str">
        <f t="shared" si="1"/>
        <v>52</v>
      </c>
      <c r="B3" s="256">
        <v>2.0</v>
      </c>
      <c r="C3" s="219">
        <v>9052.0</v>
      </c>
      <c r="D3" s="219">
        <v>9052.0</v>
      </c>
      <c r="E3" s="220" t="str">
        <f>VLOOKUP(TEXT(A3,"#"),Main!$A$2:$C45,3,0)</f>
        <v>Single Lever Basin Mixer Tall Body without Popup Waste System</v>
      </c>
      <c r="F3" s="222">
        <f t="array" ref="F3:G3">VLOOKUP(D3,MASTER!$C$2:$F45,{3,4},0)</f>
        <v>7430</v>
      </c>
      <c r="G3" s="222">
        <v>7980.0</v>
      </c>
      <c r="H3" s="279"/>
    </row>
    <row r="4">
      <c r="A4" s="299" t="str">
        <f t="shared" si="1"/>
        <v>54</v>
      </c>
      <c r="B4" s="267">
        <v>3.0</v>
      </c>
      <c r="C4" s="219">
        <v>9054.0</v>
      </c>
      <c r="D4" s="219">
        <v>9054.0</v>
      </c>
      <c r="E4" s="220" t="str">
        <f>VLOOKUP(TEXT(A4,"#"),Main!$A$2:$C45,3,0)</f>
        <v>Single Lever Basin Mixer Wall Mount (Concealed)</v>
      </c>
      <c r="F4" s="222">
        <f t="array" ref="F4:G4">VLOOKUP(D4,MASTER!$C$2:$F45,{3,4},0)</f>
        <v>6560</v>
      </c>
      <c r="G4" s="222">
        <v>7140.0</v>
      </c>
      <c r="H4" s="279"/>
    </row>
    <row r="5">
      <c r="A5" s="269" t="s">
        <v>154</v>
      </c>
      <c r="B5" s="120"/>
      <c r="C5" s="219" t="s">
        <v>154</v>
      </c>
      <c r="D5" s="219" t="s">
        <v>154</v>
      </c>
      <c r="E5" s="220" t="str">
        <f>VLOOKUP(TEXT(A5,"#"),Main!$A$2:$C45,3,0)</f>
        <v>Single Lever Basin Mixer Wall Mount (Body, Cartridge, Sleeve &amp; Nipple)</v>
      </c>
      <c r="F5" s="222">
        <f t="array" ref="F5:G5">VLOOKUP(D5,MASTER!$C$2:$F45,{3,4},0)</f>
        <v>3680</v>
      </c>
      <c r="G5" s="222">
        <v>3990.0</v>
      </c>
      <c r="H5" s="279"/>
    </row>
    <row r="6">
      <c r="A6" s="269" t="s">
        <v>159</v>
      </c>
      <c r="B6" s="145"/>
      <c r="C6" s="219" t="s">
        <v>1274</v>
      </c>
      <c r="D6" s="219" t="s">
        <v>1274</v>
      </c>
      <c r="E6" s="220" t="str">
        <f>VLOOKUP(TEXT(A6,"#"),Main!$A$2:$C45,3,0)</f>
        <v>Exposed Parts (Wall Flange, Handle &amp; Spout)</v>
      </c>
      <c r="F6" s="222">
        <f t="array" ref="F6:G6">VLOOKUP(D6,MASTER!$C$2:$F45,{3,4},0)</f>
        <v>2880</v>
      </c>
      <c r="G6" s="222">
        <v>3150.0</v>
      </c>
      <c r="H6" s="279"/>
    </row>
    <row r="7">
      <c r="A7" s="280" t="s">
        <v>184</v>
      </c>
      <c r="B7" s="256">
        <v>4.0</v>
      </c>
      <c r="C7" s="218">
        <v>9070.0</v>
      </c>
      <c r="D7" s="218">
        <v>9070.0</v>
      </c>
      <c r="E7" s="220" t="str">
        <f>VLOOKUP(TEXT(A7,"#"),Main!$A$2:$C45,3,0)</f>
        <v>Wall Mixer Telephonic with Crutch &amp; Wall Flange (Provision For Hand Shower)</v>
      </c>
      <c r="F7" s="222">
        <f t="array" ref="F7:G7">VLOOKUP(D7,MASTER!$C$2:$F45,{3,4},0)</f>
        <v>8590</v>
      </c>
      <c r="G7" s="222">
        <v>9490.0</v>
      </c>
      <c r="H7" s="279"/>
    </row>
    <row r="8">
      <c r="A8" s="299" t="str">
        <f t="shared" ref="A8:A15" si="2">RIGHT(D8,2)</f>
        <v>71</v>
      </c>
      <c r="B8" s="256">
        <v>5.0</v>
      </c>
      <c r="C8" s="219">
        <v>9071.0</v>
      </c>
      <c r="D8" s="219">
        <v>9071.0</v>
      </c>
      <c r="E8" s="220" t="str">
        <f>VLOOKUP(TEXT(A8,"#"),Main!$A$2:$C45,3,0)</f>
        <v>Single Lever Wall Mixer with Wall Flange</v>
      </c>
      <c r="F8" s="222">
        <f t="array" ref="F8:G8">VLOOKUP(D8,MASTER!$C$2:$F45,{3,4},0)</f>
        <v>6350</v>
      </c>
      <c r="G8" s="222">
        <v>7260.0</v>
      </c>
      <c r="H8" s="279"/>
    </row>
    <row r="9">
      <c r="A9" s="299" t="str">
        <f t="shared" si="2"/>
        <v>75</v>
      </c>
      <c r="B9" s="256">
        <v>6.0</v>
      </c>
      <c r="C9" s="219">
        <v>9075.0</v>
      </c>
      <c r="D9" s="219">
        <v>9075.0</v>
      </c>
      <c r="E9" s="220" t="str">
        <f>VLOOKUP(TEXT(A9,"#"),Main!$A$2:$C45,3,0)</f>
        <v>Wall Mixer "L" Bend with Wall Flange (Provision For Over Head Shower)</v>
      </c>
      <c r="F9" s="222">
        <f t="array" ref="F9:G9">VLOOKUP(D9,MASTER!$C$2:$F45,{3,4},0)</f>
        <v>8590</v>
      </c>
      <c r="G9" s="222">
        <v>9490.0</v>
      </c>
      <c r="H9" s="279"/>
    </row>
    <row r="10">
      <c r="A10" s="299" t="str">
        <f t="shared" si="2"/>
        <v>76</v>
      </c>
      <c r="B10" s="256">
        <v>7.0</v>
      </c>
      <c r="C10" s="219">
        <v>9076.0</v>
      </c>
      <c r="D10" s="219">
        <v>9076.0</v>
      </c>
      <c r="E10" s="220" t="str">
        <f>VLOOKUP(TEXT(A10,"#"),Main!$A$2:$C45,3,0)</f>
        <v>Single Lever Wall Mixer "L" Bend with Wall Flange (Expose Type)</v>
      </c>
      <c r="F10" s="222">
        <f t="array" ref="F10:G10">VLOOKUP(D10,MASTER!$C$2:$F45,{3,4},0)</f>
        <v>9990</v>
      </c>
      <c r="G10" s="222">
        <v>11240.0</v>
      </c>
      <c r="H10" s="279"/>
    </row>
    <row r="11">
      <c r="A11" s="299" t="str">
        <f t="shared" si="2"/>
        <v>80</v>
      </c>
      <c r="B11" s="256">
        <v>8.0</v>
      </c>
      <c r="C11" s="219">
        <v>9080.0</v>
      </c>
      <c r="D11" s="219">
        <v>9080.0</v>
      </c>
      <c r="E11" s="220" t="str">
        <f>VLOOKUP(TEXT(A11,"#"),Main!$A$2:$C45,3,0)</f>
        <v>Wall Mixer 3 In 1 with Wall Flange (Provision For Over Head Shower &amp; Hand Shower)</v>
      </c>
      <c r="F11" s="222">
        <f t="array" ref="F11:G11">VLOOKUP(D11,MASTER!$C$2:$F45,{3,4},0)</f>
        <v>9490</v>
      </c>
      <c r="G11" s="222">
        <v>10790.0</v>
      </c>
      <c r="H11" s="279"/>
    </row>
    <row r="12">
      <c r="A12" s="299" t="str">
        <f t="shared" si="2"/>
        <v>55</v>
      </c>
      <c r="B12" s="256">
        <v>9.0</v>
      </c>
      <c r="C12" s="219">
        <v>9055.0</v>
      </c>
      <c r="D12" s="219">
        <v>9055.0</v>
      </c>
      <c r="E12" s="220" t="str">
        <f>VLOOKUP(TEXT(A12,"#"),Main!$A$2:$C45,3,0)</f>
        <v>Sink Mixer with Regular Spout Wall Mounted with Flange</v>
      </c>
      <c r="F12" s="222">
        <f t="array" ref="F12:G12">VLOOKUP(D12,MASTER!$C$2:$F45,{3,4},0)</f>
        <v>6460</v>
      </c>
      <c r="G12" s="222">
        <v>6980.0</v>
      </c>
      <c r="H12" s="279"/>
    </row>
    <row r="13">
      <c r="A13" s="299" t="str">
        <f t="shared" si="2"/>
        <v>61</v>
      </c>
      <c r="B13" s="256">
        <v>10.0</v>
      </c>
      <c r="C13" s="219">
        <v>9061.0</v>
      </c>
      <c r="D13" s="219">
        <v>9061.0</v>
      </c>
      <c r="E13" s="220" t="str">
        <f>VLOOKUP(TEXT(A13,"#"),Main!$A$2:$C45,3,0)</f>
        <v>Single Lever Sink Mixer Table Mounted</v>
      </c>
      <c r="F13" s="222">
        <f t="array" ref="F13:G13">VLOOKUP(D13,MASTER!$C$2:$F45,{3,4},0)</f>
        <v>7540</v>
      </c>
      <c r="G13" s="222">
        <v>7890.0</v>
      </c>
      <c r="H13" s="279"/>
    </row>
    <row r="14">
      <c r="A14" s="299" t="str">
        <f t="shared" si="2"/>
        <v>14</v>
      </c>
      <c r="B14" s="256">
        <v>11.0</v>
      </c>
      <c r="C14" s="219">
        <v>9014.0</v>
      </c>
      <c r="D14" s="219">
        <v>9014.0</v>
      </c>
      <c r="E14" s="220" t="str">
        <f>VLOOKUP(TEXT(A14,"#"),Main!$A$2:$C45,3,0)</f>
        <v>Swan Neck Table Mounted</v>
      </c>
      <c r="F14" s="222">
        <f t="array" ref="F14:G14">VLOOKUP(D14,MASTER!$C$2:$F45,{3,4},0)</f>
        <v>3290</v>
      </c>
      <c r="G14" s="222">
        <v>3560.0</v>
      </c>
      <c r="H14" s="279"/>
    </row>
    <row r="15">
      <c r="A15" s="299" t="str">
        <f t="shared" si="2"/>
        <v>16</v>
      </c>
      <c r="B15" s="256">
        <v>12.0</v>
      </c>
      <c r="C15" s="219">
        <v>9016.0</v>
      </c>
      <c r="D15" s="219">
        <v>9016.0</v>
      </c>
      <c r="E15" s="220" t="str">
        <f>VLOOKUP(TEXT(A15,"#"),Main!$A$2:$C45,3,0)</f>
        <v>Sink Cock Wall Mounted with Flange</v>
      </c>
      <c r="F15" s="222">
        <f t="array" ref="F15:G15">VLOOKUP(D15,MASTER!$C$2:$F45,{3,4},0)</f>
        <v>2890</v>
      </c>
      <c r="G15" s="222">
        <v>3170.0</v>
      </c>
      <c r="H15" s="279"/>
    </row>
    <row r="16">
      <c r="A16" s="280" t="s">
        <v>209</v>
      </c>
      <c r="B16" s="267">
        <v>13.0</v>
      </c>
      <c r="C16" s="342">
        <v>9091.0</v>
      </c>
      <c r="D16" s="342" t="s">
        <v>1302</v>
      </c>
      <c r="E16" s="220" t="str">
        <f>VLOOKUP(TEXT(A16,"#"),Main!$A$2:$C45,3,0)</f>
        <v>Single Lever Concealed Diverter Bath &amp; Shower 40mm</v>
      </c>
      <c r="F16" s="222">
        <f t="array" ref="F16:G16">VLOOKUP(D16,MASTER!$C$2:$F45,{3,4},0)</f>
        <v>6310</v>
      </c>
      <c r="G16" s="222">
        <v>6800.0</v>
      </c>
      <c r="H16" s="279"/>
    </row>
    <row r="17">
      <c r="A17" s="269" t="s">
        <v>212</v>
      </c>
      <c r="B17" s="120"/>
      <c r="C17" s="342" t="s">
        <v>1435</v>
      </c>
      <c r="D17" s="342" t="s">
        <v>212</v>
      </c>
      <c r="E17" s="220" t="str">
        <f>VLOOKUP(TEXT(A17,"#"),Main!$A$2:$C45,3,0)</f>
        <v>Concealed Diverter Body 40mm (Cartridge, Sleeve, Tipton Assembly)</v>
      </c>
      <c r="F17" s="222">
        <f t="array" ref="F17:G17">VLOOKUP(D17,MASTER!$C$2:$F45,{3,4},0)</f>
        <v>4240</v>
      </c>
      <c r="G17" s="222">
        <v>4580.0</v>
      </c>
      <c r="H17" s="279"/>
    </row>
    <row r="18">
      <c r="A18" s="269" t="s">
        <v>216</v>
      </c>
      <c r="B18" s="145"/>
      <c r="C18" s="342" t="s">
        <v>1802</v>
      </c>
      <c r="D18" s="342" t="s">
        <v>1303</v>
      </c>
      <c r="E18" s="220" t="str">
        <f>VLOOKUP(TEXT(A18,"#"),Main!$A$2:$C45,3,0)</f>
        <v>Exposed Parts (Wall Flange &amp; Handle)</v>
      </c>
      <c r="F18" s="222">
        <f t="array" ref="F18:G18">VLOOKUP(D18,MASTER!$C$2:$F45,{3,4},0)</f>
        <v>2070</v>
      </c>
      <c r="G18" s="222">
        <v>2220.0</v>
      </c>
      <c r="H18" s="279"/>
    </row>
    <row r="19">
      <c r="A19" s="280" t="s">
        <v>219</v>
      </c>
      <c r="B19" s="267">
        <v>14.0</v>
      </c>
      <c r="C19" s="290">
        <v>9092.0</v>
      </c>
      <c r="D19" s="342" t="s">
        <v>1304</v>
      </c>
      <c r="E19" s="220" t="str">
        <f>VLOOKUP(TEXT(A19,"#"),Main!$A$2:$C45,3,0)</f>
        <v>Single Lever High Flow Concealed Diverter Bath &amp; Shower 46mm</v>
      </c>
      <c r="F19" s="222">
        <f t="array" ref="F19:G19">VLOOKUP(D19,MASTER!$C$2:$F45,{3,4},0)</f>
        <v>7050</v>
      </c>
      <c r="G19" s="222">
        <v>7710.0</v>
      </c>
      <c r="H19" s="279"/>
    </row>
    <row r="20">
      <c r="A20" s="269" t="s">
        <v>223</v>
      </c>
      <c r="B20" s="120"/>
      <c r="C20" s="290" t="s">
        <v>1438</v>
      </c>
      <c r="D20" s="342" t="s">
        <v>223</v>
      </c>
      <c r="E20" s="220" t="str">
        <f>VLOOKUP(TEXT(A20,"#"),Main!$A$2:$C45,3,0)</f>
        <v>High Flow Concealed Diverter Body 46mm (Cartridge, Sleeve, Tipton Assembly)</v>
      </c>
      <c r="F20" s="222">
        <f t="array" ref="F20:G20">VLOOKUP(D20,MASTER!$C$2:$F45,{3,4},0)</f>
        <v>4980</v>
      </c>
      <c r="G20" s="222">
        <v>5490.0</v>
      </c>
      <c r="H20" s="279"/>
    </row>
    <row r="21">
      <c r="A21" s="269" t="s">
        <v>226</v>
      </c>
      <c r="B21" s="145"/>
      <c r="C21" s="290" t="s">
        <v>1803</v>
      </c>
      <c r="D21" s="342" t="s">
        <v>1305</v>
      </c>
      <c r="E21" s="220" t="str">
        <f>VLOOKUP(TEXT(A21,"#"),Main!$A$2:$C45,3,0)</f>
        <v>Exposed Parts (Wall Flange &amp; Handle)</v>
      </c>
      <c r="F21" s="222">
        <f t="array" ref="F21:G21">VLOOKUP(D21,MASTER!$C$2:$F45,{3,4},0)</f>
        <v>2070</v>
      </c>
      <c r="G21" s="222">
        <v>2220.0</v>
      </c>
      <c r="H21" s="279"/>
    </row>
    <row r="22">
      <c r="A22" s="280" t="s">
        <v>239</v>
      </c>
      <c r="B22" s="267">
        <v>15.0</v>
      </c>
      <c r="C22" s="290">
        <v>9093.0</v>
      </c>
      <c r="D22" s="342" t="s">
        <v>1310</v>
      </c>
      <c r="E22" s="220" t="str">
        <f>VLOOKUP(TEXT(A22,"#"),Main!$A$2:$C45,3,0)</f>
        <v>Single Lever 3 In Let Concealed Diverter Bath &amp; Shower 46mm</v>
      </c>
      <c r="F22" s="222">
        <f t="array" ref="F22:G22">VLOOKUP(D22,MASTER!$C$2:$F45,{3,4},0)</f>
        <v>7050</v>
      </c>
      <c r="G22" s="222">
        <v>7710.0</v>
      </c>
      <c r="H22" s="279"/>
    </row>
    <row r="23">
      <c r="A23" s="269" t="s">
        <v>243</v>
      </c>
      <c r="B23" s="120"/>
      <c r="C23" s="290" t="s">
        <v>1441</v>
      </c>
      <c r="D23" s="342" t="s">
        <v>243</v>
      </c>
      <c r="E23" s="220" t="str">
        <f>VLOOKUP(TEXT(A23,"#"),Main!$A$2:$C45,3,0)</f>
        <v>3 In Let Concealed Diverter Body 46mm (Cartridge, Sleeve, Tipton Assembly)</v>
      </c>
      <c r="F23" s="222">
        <f t="array" ref="F23:G23">VLOOKUP(D23,MASTER!$C$2:$F45,{3,4},0)</f>
        <v>4980</v>
      </c>
      <c r="G23" s="222">
        <v>5490.0</v>
      </c>
      <c r="H23" s="279"/>
    </row>
    <row r="24">
      <c r="A24" s="269" t="s">
        <v>247</v>
      </c>
      <c r="B24" s="145"/>
      <c r="C24" s="290" t="s">
        <v>1804</v>
      </c>
      <c r="D24" s="342" t="s">
        <v>1308</v>
      </c>
      <c r="E24" s="220" t="str">
        <f>VLOOKUP(TEXT(A24,"#"),Main!$A$2:$C45,3,0)</f>
        <v>Exposed Parts (Wall Flange &amp; Handle)</v>
      </c>
      <c r="F24" s="222">
        <f t="array" ref="F24:G24">VLOOKUP(D24,MASTER!$C$2:$F45,{3,4},0)</f>
        <v>2070</v>
      </c>
      <c r="G24" s="222">
        <v>2220.0</v>
      </c>
      <c r="H24" s="279"/>
    </row>
    <row r="25">
      <c r="A25" s="269" t="s">
        <v>228</v>
      </c>
      <c r="B25" s="267">
        <v>16.0</v>
      </c>
      <c r="C25" s="290" t="s">
        <v>1805</v>
      </c>
      <c r="D25" s="342" t="s">
        <v>1306</v>
      </c>
      <c r="E25" s="220" t="str">
        <f>VLOOKUP(TEXT(A25,"#"),Main!$A$2:$C45,3,0)</f>
        <v>Single Lever High Flow Concealed Diverter Bath &amp; Shower 46mm (ON-OFF)</v>
      </c>
      <c r="F25" s="222">
        <f t="array" ref="F25:G25">VLOOKUP(D25,MASTER!$C$2:$F45,{3,4},0)</f>
        <v>7050</v>
      </c>
      <c r="G25" s="222">
        <v>7710.0</v>
      </c>
      <c r="H25" s="279"/>
    </row>
    <row r="26">
      <c r="A26" s="269" t="s">
        <v>234</v>
      </c>
      <c r="B26" s="120"/>
      <c r="C26" s="290" t="s">
        <v>1444</v>
      </c>
      <c r="D26" s="342" t="s">
        <v>234</v>
      </c>
      <c r="E26" s="220" t="str">
        <f>VLOOKUP(TEXT(A26,"#"),Main!$A$2:$C45,3,0)</f>
        <v>High Flow Concealed Diverter Body 46mm (Cartridge, Sleeve, On-Off Assembly)</v>
      </c>
      <c r="F26" s="222">
        <f t="array" ref="F26:G26">VLOOKUP(D26,MASTER!$C$2:$F45,{3,4},0)</f>
        <v>4740</v>
      </c>
      <c r="G26" s="222">
        <v>5250.0</v>
      </c>
      <c r="H26" s="279"/>
    </row>
    <row r="27">
      <c r="A27" s="269" t="s">
        <v>237</v>
      </c>
      <c r="B27" s="145"/>
      <c r="C27" s="288" t="s">
        <v>1806</v>
      </c>
      <c r="D27" s="343" t="s">
        <v>1307</v>
      </c>
      <c r="E27" s="220" t="str">
        <f>VLOOKUP(TEXT(A27,"#"),Main!$A$2:$C45,3,0)</f>
        <v>Exposed Parts (Wall Flange &amp; Handle)</v>
      </c>
      <c r="F27" s="222">
        <f t="array" ref="F27:G27">VLOOKUP(D27,MASTER!$C$2:$F45,{3,4},0)</f>
        <v>2310</v>
      </c>
      <c r="G27" s="222">
        <v>2460.0</v>
      </c>
      <c r="H27" s="279"/>
    </row>
    <row r="28">
      <c r="A28" s="269" t="s">
        <v>249</v>
      </c>
      <c r="B28" s="267">
        <v>17.0</v>
      </c>
      <c r="C28" s="288" t="s">
        <v>1807</v>
      </c>
      <c r="D28" s="343" t="s">
        <v>1313</v>
      </c>
      <c r="E28" s="220" t="str">
        <f>VLOOKUP(TEXT(A28,"#"),Main!$A$2:$C45,3,0)</f>
        <v>Single Lever 3 In Let Concealed Diverter Bath &amp; Shower 46mm (ON-OFF)</v>
      </c>
      <c r="F28" s="222">
        <f t="array" ref="F28:G28">VLOOKUP(D28,MASTER!$C$2:$F45,{3,4},0)</f>
        <v>7050</v>
      </c>
      <c r="G28" s="222">
        <v>7710.0</v>
      </c>
      <c r="H28" s="279"/>
    </row>
    <row r="29">
      <c r="A29" s="269" t="s">
        <v>253</v>
      </c>
      <c r="B29" s="120"/>
      <c r="C29" s="290" t="s">
        <v>1447</v>
      </c>
      <c r="D29" s="342" t="s">
        <v>253</v>
      </c>
      <c r="E29" s="220" t="str">
        <f>VLOOKUP(TEXT(A29,"#"),Main!$A$2:$C45,3,0)</f>
        <v>3 In Let Concealed Diverter Body 46mm (Cartridge, Sleeve, On-Off Assembly)</v>
      </c>
      <c r="F29" s="222">
        <f t="array" ref="F29:G29">VLOOKUP(D29,MASTER!$C$2:$F45,{3,4},0)</f>
        <v>4740</v>
      </c>
      <c r="G29" s="222">
        <v>5250.0</v>
      </c>
      <c r="H29" s="279"/>
    </row>
    <row r="30">
      <c r="A30" s="269" t="s">
        <v>258</v>
      </c>
      <c r="B30" s="145"/>
      <c r="C30" s="288" t="s">
        <v>1808</v>
      </c>
      <c r="D30" s="343" t="s">
        <v>1309</v>
      </c>
      <c r="E30" s="220" t="str">
        <f>VLOOKUP(TEXT(A30,"#"),Main!$A$2:$C45,3,0)</f>
        <v>Exposed Parts (Wall Flange &amp; Handle)</v>
      </c>
      <c r="F30" s="222">
        <f t="array" ref="F30:G30">VLOOKUP(D30,MASTER!$C$2:$F45,{3,4},0)</f>
        <v>2310</v>
      </c>
      <c r="G30" s="222">
        <v>2460.0</v>
      </c>
      <c r="H30" s="279"/>
    </row>
    <row r="31">
      <c r="A31" s="299" t="str">
        <f t="shared" ref="A31:A43" si="3">RIGHT(D31,2)</f>
        <v>95</v>
      </c>
      <c r="B31" s="267">
        <v>18.0</v>
      </c>
      <c r="C31" s="262">
        <v>9095.0</v>
      </c>
      <c r="D31" s="262">
        <v>9095.0</v>
      </c>
      <c r="E31" s="220" t="str">
        <f>VLOOKUP(TEXT(A31,"#"),Main!$A$2:$C45,3,0)</f>
        <v>Bath Tub Spout with Flange</v>
      </c>
      <c r="F31" s="222">
        <f t="array" ref="F31:G31">VLOOKUP(D31,MASTER!$C$2:$F45,{3,4},0)</f>
        <v>1490</v>
      </c>
      <c r="G31" s="222">
        <v>1650.0</v>
      </c>
      <c r="H31" s="279"/>
    </row>
    <row r="32">
      <c r="A32" s="299" t="str">
        <f t="shared" si="3"/>
        <v>96</v>
      </c>
      <c r="B32" s="267">
        <v>19.0</v>
      </c>
      <c r="C32" s="262">
        <v>9096.0</v>
      </c>
      <c r="D32" s="219">
        <v>9096.0</v>
      </c>
      <c r="E32" s="220" t="str">
        <f>VLOOKUP(TEXT(A32,"#"),Main!$A$2:$C45,3,0)</f>
        <v>Bath Tub Spout Tip Ton with Flange</v>
      </c>
      <c r="F32" s="222">
        <f t="array" ref="F32:G32">VLOOKUP(D32,MASTER!$C$2:$F45,{3,4},0)</f>
        <v>2120</v>
      </c>
      <c r="G32" s="222">
        <v>2340.0</v>
      </c>
      <c r="H32" s="279"/>
    </row>
    <row r="33">
      <c r="A33" s="299" t="str">
        <f t="shared" si="3"/>
        <v>02</v>
      </c>
      <c r="B33" s="267">
        <v>20.0</v>
      </c>
      <c r="C33" s="262">
        <v>9002.0</v>
      </c>
      <c r="D33" s="262">
        <v>9002.0</v>
      </c>
      <c r="E33" s="220" t="str">
        <f>VLOOKUP(TEXT(A33,"#"),Main!$A$2:$C45,3,0)</f>
        <v>Pillar Cock</v>
      </c>
      <c r="F33" s="222">
        <f t="array" ref="F33:G33">VLOOKUP(D33,MASTER!$C$2:$F45,{3,4},0)</f>
        <v>2590</v>
      </c>
      <c r="G33" s="222">
        <v>2890.0</v>
      </c>
      <c r="H33" s="279"/>
    </row>
    <row r="34">
      <c r="A34" s="299" t="str">
        <f t="shared" si="3"/>
        <v>03</v>
      </c>
      <c r="B34" s="267">
        <v>21.0</v>
      </c>
      <c r="C34" s="262">
        <v>9003.0</v>
      </c>
      <c r="D34" s="262">
        <v>9003.0</v>
      </c>
      <c r="E34" s="220" t="str">
        <f>VLOOKUP(TEXT(A34,"#"),Main!$A$2:$C45,3,0)</f>
        <v>Pillar Cock Tall Body</v>
      </c>
      <c r="F34" s="222">
        <f t="array" ref="F34:G34">VLOOKUP(D34,MASTER!$C$2:$F45,{3,4},0)</f>
        <v>4840</v>
      </c>
      <c r="G34" s="222">
        <v>5390.0</v>
      </c>
      <c r="H34" s="279"/>
    </row>
    <row r="35">
      <c r="A35" s="299" t="str">
        <f t="shared" si="3"/>
        <v>04</v>
      </c>
      <c r="B35" s="267">
        <v>22.0</v>
      </c>
      <c r="C35" s="262">
        <v>9004.0</v>
      </c>
      <c r="D35" s="219">
        <v>9004.0</v>
      </c>
      <c r="E35" s="220" t="str">
        <f>VLOOKUP(TEXT(A35,"#"),Main!$A$2:$C45,3,0)</f>
        <v>Pillar Cock Extended Body</v>
      </c>
      <c r="F35" s="222">
        <f t="array" ref="F35:G35">VLOOKUP(D35,MASTER!$C$2:$F45,{3,4},0)</f>
        <v>2990</v>
      </c>
      <c r="G35" s="222">
        <v>3340.0</v>
      </c>
      <c r="H35" s="279"/>
    </row>
    <row r="36">
      <c r="A36" s="299" t="str">
        <f t="shared" si="3"/>
        <v>06</v>
      </c>
      <c r="B36" s="267">
        <v>23.0</v>
      </c>
      <c r="C36" s="262">
        <v>9006.0</v>
      </c>
      <c r="D36" s="262">
        <v>9006.0</v>
      </c>
      <c r="E36" s="220" t="str">
        <f>VLOOKUP(TEXT(A36,"#"),Main!$A$2:$C45,3,0)</f>
        <v>Bib Cock with Wall Flange</v>
      </c>
      <c r="F36" s="222">
        <f t="array" ref="F36:G36">VLOOKUP(D36,MASTER!$C$2:$F45,{3,4},0)</f>
        <v>1990</v>
      </c>
      <c r="G36" s="222">
        <v>2190.0</v>
      </c>
      <c r="H36" s="279"/>
    </row>
    <row r="37">
      <c r="A37" s="299" t="str">
        <f t="shared" si="3"/>
        <v>08</v>
      </c>
      <c r="B37" s="267">
        <v>24.0</v>
      </c>
      <c r="C37" s="262">
        <v>9008.0</v>
      </c>
      <c r="D37" s="262">
        <v>9008.0</v>
      </c>
      <c r="E37" s="220" t="str">
        <f>VLOOKUP(TEXT(A37,"#"),Main!$A$2:$C45,3,0)</f>
        <v>Bib Cock Long Body with Wall Flange</v>
      </c>
      <c r="F37" s="222">
        <f t="array" ref="F37:G37">VLOOKUP(D37,MASTER!$C$2:$F45,{3,4},0)</f>
        <v>2280</v>
      </c>
      <c r="G37" s="222">
        <v>2510.0</v>
      </c>
      <c r="H37" s="279"/>
    </row>
    <row r="38">
      <c r="A38" s="299" t="str">
        <f t="shared" si="3"/>
        <v>10</v>
      </c>
      <c r="B38" s="267">
        <v>25.0</v>
      </c>
      <c r="C38" s="262">
        <v>9010.0</v>
      </c>
      <c r="D38" s="219">
        <v>9010.0</v>
      </c>
      <c r="E38" s="220" t="str">
        <f>VLOOKUP(TEXT(A38,"#"),Main!$A$2:$C45,3,0)</f>
        <v>Angular Stop Cock with Wall Flange</v>
      </c>
      <c r="F38" s="222">
        <f t="array" ref="F38:G38">VLOOKUP(D38,MASTER!$C$2:$F45,{3,4},0)</f>
        <v>1740</v>
      </c>
      <c r="G38" s="222">
        <v>1920.0</v>
      </c>
      <c r="H38" s="279"/>
    </row>
    <row r="39">
      <c r="A39" s="299" t="str">
        <f t="shared" si="3"/>
        <v>11</v>
      </c>
      <c r="B39" s="267">
        <v>26.0</v>
      </c>
      <c r="C39" s="262">
        <v>9011.0</v>
      </c>
      <c r="D39" s="262">
        <v>9011.0</v>
      </c>
      <c r="E39" s="220" t="str">
        <f>VLOOKUP(TEXT(A39,"#"),Main!$A$2:$C45,3,0)</f>
        <v>2-Way Angular Stop Cock with Wall Flange</v>
      </c>
      <c r="F39" s="222">
        <f t="array" ref="F39:G39">VLOOKUP(D39,MASTER!$C$2:$F45,{3,4},0)</f>
        <v>2570</v>
      </c>
      <c r="G39" s="222">
        <v>2880.0</v>
      </c>
      <c r="H39" s="279"/>
    </row>
    <row r="40">
      <c r="A40" s="299" t="str">
        <f t="shared" si="3"/>
        <v>13</v>
      </c>
      <c r="B40" s="267">
        <v>27.0</v>
      </c>
      <c r="C40" s="233">
        <v>9013.0</v>
      </c>
      <c r="D40" s="233">
        <v>9013.0</v>
      </c>
      <c r="E40" s="220" t="str">
        <f>VLOOKUP(TEXT(A40,"#"),Main!$A$2:$C45,3,0)</f>
        <v>2-Way Bib Cock Single Handle with Wall Flange</v>
      </c>
      <c r="F40" s="222">
        <f t="array" ref="F40:G40">VLOOKUP(D40,MASTER!$C$2:$F45,{3,4},0)</f>
        <v>2790</v>
      </c>
      <c r="G40" s="222">
        <v>3130.0</v>
      </c>
      <c r="H40" s="279"/>
    </row>
    <row r="41">
      <c r="A41" s="299" t="str">
        <f t="shared" si="3"/>
        <v>18</v>
      </c>
      <c r="B41" s="256">
        <v>28.0</v>
      </c>
      <c r="C41" s="219">
        <v>9018.0</v>
      </c>
      <c r="D41" s="219">
        <v>9018.0</v>
      </c>
      <c r="E41" s="220" t="str">
        <f>VLOOKUP(TEXT(A41,"#"),Main!$A$2:$C45,3,0)</f>
        <v>Concealed Stop Cock 15mm with Wall Flange</v>
      </c>
      <c r="F41" s="222">
        <f t="array" ref="F41:G41">VLOOKUP(D41,MASTER!$C$2:$F45,{3,4},0)</f>
        <v>1930</v>
      </c>
      <c r="G41" s="222">
        <v>2160.0</v>
      </c>
      <c r="H41" s="279"/>
    </row>
    <row r="42">
      <c r="A42" s="299" t="str">
        <f t="shared" si="3"/>
        <v>20</v>
      </c>
      <c r="B42" s="256">
        <v>29.0</v>
      </c>
      <c r="C42" s="219">
        <v>9020.0</v>
      </c>
      <c r="D42" s="219">
        <v>9020.0</v>
      </c>
      <c r="E42" s="220" t="str">
        <f>VLOOKUP(TEXT(A42,"#"),Main!$A$2:$C45,3,0)</f>
        <v>Concealed Stop Cock 20mm with Wall Flange</v>
      </c>
      <c r="F42" s="222">
        <f t="array" ref="F42:G42">VLOOKUP(D42,MASTER!$C$2:$F45,{3,4},0)</f>
        <v>1990</v>
      </c>
      <c r="G42" s="222">
        <v>2220.0</v>
      </c>
      <c r="H42" s="279"/>
    </row>
    <row r="43">
      <c r="A43" s="299" t="str">
        <f t="shared" si="3"/>
        <v>98</v>
      </c>
      <c r="B43" s="256">
        <v>30.0</v>
      </c>
      <c r="C43" s="219">
        <v>9098.0</v>
      </c>
      <c r="D43" s="219">
        <v>9098.0</v>
      </c>
      <c r="E43" s="220" t="str">
        <f>VLOOKUP(TEXT(A43,"#"),Main!$A$2:$C45,3,0)</f>
        <v>Flush Cock 25mm Half Turn with Adjustable Flange</v>
      </c>
      <c r="F43" s="222">
        <f t="array" ref="F43:G43">VLOOKUP(D43,MASTER!$C$2:$F45,{3,4},0)</f>
        <v>3380</v>
      </c>
      <c r="G43" s="222">
        <v>3650.0</v>
      </c>
      <c r="H43" s="279"/>
    </row>
    <row r="44">
      <c r="A44" s="3"/>
      <c r="B44" s="10"/>
      <c r="C44" s="3"/>
      <c r="D44" s="89"/>
      <c r="E44" s="3"/>
      <c r="F44" s="3"/>
      <c r="G44" s="3"/>
      <c r="H44" s="3"/>
    </row>
    <row r="45">
      <c r="A45" s="3"/>
      <c r="B45" s="10"/>
      <c r="C45" s="3"/>
      <c r="D45" s="89"/>
      <c r="E45" s="3"/>
      <c r="F45" s="3"/>
      <c r="G45" s="3"/>
      <c r="H45" s="3"/>
    </row>
  </sheetData>
  <mergeCells count="6">
    <mergeCell ref="B4:B6"/>
    <mergeCell ref="B16:B18"/>
    <mergeCell ref="B19:B21"/>
    <mergeCell ref="B22:B24"/>
    <mergeCell ref="B25:B27"/>
    <mergeCell ref="B28:B30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5.38"/>
    <col customWidth="1" min="2" max="2" width="7.13"/>
    <col customWidth="1" hidden="1" min="3" max="3" width="18.75"/>
    <col customWidth="1" min="4" max="4" width="19.88"/>
    <col customWidth="1" min="5" max="5" width="83.63"/>
    <col customWidth="1" min="6" max="6" width="12.38"/>
    <col customWidth="1" min="7" max="7" width="12.25"/>
    <col customWidth="1" hidden="1" min="8" max="8" width="8.88"/>
  </cols>
  <sheetData>
    <row r="1" ht="78.75" customHeight="1">
      <c r="A1" s="3"/>
      <c r="B1" s="5" t="s">
        <v>3</v>
      </c>
      <c r="C1" s="141" t="s">
        <v>1403</v>
      </c>
      <c r="D1" s="5" t="s">
        <v>9</v>
      </c>
      <c r="E1" s="126" t="s">
        <v>11</v>
      </c>
      <c r="F1" s="19" t="str">
        <f t="array" ref="F1:H1">MASTER!E1:G1</f>
        <v>MRP as on 01st May, 2026</v>
      </c>
      <c r="G1" s="19" t="s">
        <v>19</v>
      </c>
      <c r="H1" s="130" t="s">
        <v>20</v>
      </c>
    </row>
    <row r="2">
      <c r="A2" s="344" t="str">
        <f t="shared" ref="A2:A5" si="1">RIGHT(D2,2)</f>
        <v>50</v>
      </c>
      <c r="B2" s="218">
        <v>1.0</v>
      </c>
      <c r="C2" s="345">
        <v>9350.0</v>
      </c>
      <c r="D2" s="345">
        <v>9350.0</v>
      </c>
      <c r="E2" s="220" t="str">
        <f>VLOOKUP(TEXT(A2,"#"),Main!$A$2:$C50,3,0)</f>
        <v>Center Hole Basin Mixer without Popup</v>
      </c>
      <c r="F2" s="222">
        <f t="array" ref="F2:G2">VLOOKUP(D2,MASTER!$C$2:$F50,{3,4},0)</f>
        <v>5740</v>
      </c>
      <c r="G2" s="222">
        <v>6350.0</v>
      </c>
      <c r="H2" s="279"/>
    </row>
    <row r="3">
      <c r="A3" s="344" t="str">
        <f t="shared" si="1"/>
        <v>51</v>
      </c>
      <c r="B3" s="218">
        <v>2.0</v>
      </c>
      <c r="C3" s="345">
        <v>9351.0</v>
      </c>
      <c r="D3" s="345">
        <v>9351.0</v>
      </c>
      <c r="E3" s="220" t="str">
        <f>VLOOKUP(TEXT(A3,"#"),Main!$A$2:$C50,3,0)</f>
        <v>Single Lever Basin Mixer without Popup Waste System</v>
      </c>
      <c r="F3" s="222">
        <f t="array" ref="F3:G3">VLOOKUP(D3,MASTER!$C$2:$F50,{3,4},0)</f>
        <v>4980</v>
      </c>
      <c r="G3" s="222">
        <v>5520.0</v>
      </c>
      <c r="H3" s="279"/>
    </row>
    <row r="4">
      <c r="A4" s="344" t="str">
        <f t="shared" si="1"/>
        <v>52</v>
      </c>
      <c r="B4" s="218">
        <v>3.0</v>
      </c>
      <c r="C4" s="345">
        <v>9352.0</v>
      </c>
      <c r="D4" s="345">
        <v>9352.0</v>
      </c>
      <c r="E4" s="220" t="str">
        <f>VLOOKUP(TEXT(A4,"#"),Main!$A$2:$C50,3,0)</f>
        <v>Single Lever Basin Mixer Tall Body without Popup Waste System</v>
      </c>
      <c r="F4" s="222">
        <f t="array" ref="F4:G4">VLOOKUP(D4,MASTER!$C$2:$F50,{3,4},0)</f>
        <v>7390</v>
      </c>
      <c r="G4" s="222">
        <v>8220.0</v>
      </c>
      <c r="H4" s="279"/>
    </row>
    <row r="5">
      <c r="A5" s="344" t="str">
        <f t="shared" si="1"/>
        <v>54</v>
      </c>
      <c r="B5" s="224">
        <v>4.0</v>
      </c>
      <c r="C5" s="345">
        <v>9354.0</v>
      </c>
      <c r="D5" s="345">
        <v>9354.0</v>
      </c>
      <c r="E5" s="220" t="str">
        <f>VLOOKUP(TEXT(A5,"#"),Main!$A$2:$C50,3,0)</f>
        <v>Single Lever Basin Mixer Wall Mount (Concealed)</v>
      </c>
      <c r="F5" s="222">
        <f t="array" ref="F5:G5">VLOOKUP(D5,MASTER!$C$2:$F50,{3,4},0)</f>
        <v>6620</v>
      </c>
      <c r="G5" s="222">
        <v>7200.0</v>
      </c>
      <c r="H5" s="279"/>
    </row>
    <row r="6">
      <c r="A6" s="346" t="s">
        <v>154</v>
      </c>
      <c r="B6" s="120"/>
      <c r="C6" s="262" t="s">
        <v>154</v>
      </c>
      <c r="D6" s="262" t="s">
        <v>154</v>
      </c>
      <c r="E6" s="220" t="str">
        <f>VLOOKUP(TEXT(A6,"#"),Main!$A$2:$C50,3,0)</f>
        <v>Single Lever Basin Mixer Wall Mount (Body, Cartridge, Sleeve &amp; Nipple)</v>
      </c>
      <c r="F6" s="222">
        <f t="array" ref="F6:G6">VLOOKUP(D6,MASTER!$C$2:$F50,{3,4},0)</f>
        <v>3680</v>
      </c>
      <c r="G6" s="222">
        <v>3990.0</v>
      </c>
      <c r="H6" s="279"/>
    </row>
    <row r="7">
      <c r="A7" s="346" t="s">
        <v>159</v>
      </c>
      <c r="B7" s="145"/>
      <c r="C7" s="233" t="s">
        <v>1276</v>
      </c>
      <c r="D7" s="345" t="s">
        <v>1276</v>
      </c>
      <c r="E7" s="220" t="str">
        <f>VLOOKUP(TEXT(A7,"#"),Main!$A$2:$C50,3,0)</f>
        <v>Exposed Parts (Wall Flange, Handle &amp; Spout)</v>
      </c>
      <c r="F7" s="222">
        <f t="array" ref="F7:G7">VLOOKUP(D7,MASTER!$C$2:$F50,{3,4},0)</f>
        <v>2940</v>
      </c>
      <c r="G7" s="222">
        <v>3210.0</v>
      </c>
      <c r="H7" s="279"/>
    </row>
    <row r="8">
      <c r="A8" s="344" t="str">
        <f t="shared" ref="A8:A21" si="2">RIGHT(D8,2)</f>
        <v>65</v>
      </c>
      <c r="B8" s="218">
        <v>5.0</v>
      </c>
      <c r="C8" s="345">
        <v>9365.0</v>
      </c>
      <c r="D8" s="345">
        <v>9365.0</v>
      </c>
      <c r="E8" s="220" t="str">
        <f>VLOOKUP(TEXT(A8,"#"),Main!$A$2:$C50,3,0)</f>
        <v>Wall Mixer Non Telephonic with Flange</v>
      </c>
      <c r="F8" s="222">
        <f t="array" ref="F8:G8">VLOOKUP(D8,MASTER!$C$2:$F50,{3,4},0)</f>
        <v>6780</v>
      </c>
      <c r="G8" s="222">
        <v>7440.0</v>
      </c>
      <c r="H8" s="279"/>
    </row>
    <row r="9">
      <c r="A9" s="344" t="str">
        <f t="shared" si="2"/>
        <v>70</v>
      </c>
      <c r="B9" s="218">
        <v>6.0</v>
      </c>
      <c r="C9" s="345">
        <v>9370.0</v>
      </c>
      <c r="D9" s="345">
        <v>9370.0</v>
      </c>
      <c r="E9" s="220" t="str">
        <f>VLOOKUP(TEXT(A9,"#"),Main!$A$2:$C50,3,0)</f>
        <v>Wall Mixer Telephonic with Crutch &amp; Wall Flange (Provision For Hand Shower)</v>
      </c>
      <c r="F9" s="222">
        <f t="array" ref="F9:G9">VLOOKUP(D9,MASTER!$C$2:$F50,{3,4},0)</f>
        <v>8980</v>
      </c>
      <c r="G9" s="222">
        <v>9840.0</v>
      </c>
      <c r="H9" s="279"/>
    </row>
    <row r="10">
      <c r="A10" s="344" t="str">
        <f t="shared" si="2"/>
        <v>71</v>
      </c>
      <c r="B10" s="218">
        <v>7.0</v>
      </c>
      <c r="C10" s="345">
        <v>9371.0</v>
      </c>
      <c r="D10" s="345">
        <v>9371.0</v>
      </c>
      <c r="E10" s="220" t="str">
        <f>VLOOKUP(TEXT(A10,"#"),Main!$A$2:$C50,3,0)</f>
        <v>Single Lever Wall Mixer with Wall Flange</v>
      </c>
      <c r="F10" s="222">
        <f t="array" ref="F10:G10">VLOOKUP(D10,MASTER!$C$2:$F50,{3,4},0)</f>
        <v>6680</v>
      </c>
      <c r="G10" s="222">
        <v>7440.0</v>
      </c>
      <c r="H10" s="279"/>
    </row>
    <row r="11">
      <c r="A11" s="344" t="str">
        <f t="shared" si="2"/>
        <v>75</v>
      </c>
      <c r="B11" s="218">
        <v>8.0</v>
      </c>
      <c r="C11" s="345">
        <v>9375.0</v>
      </c>
      <c r="D11" s="345">
        <v>9375.0</v>
      </c>
      <c r="E11" s="220" t="str">
        <f>VLOOKUP(TEXT(A11,"#"),Main!$A$2:$C50,3,0)</f>
        <v>Wall Mixer "L" Bend with Wall Flange (Provision For Over Head Shower)</v>
      </c>
      <c r="F11" s="222">
        <f t="array" ref="F11:G11">VLOOKUP(D11,MASTER!$C$2:$F50,{3,4},0)</f>
        <v>8980</v>
      </c>
      <c r="G11" s="222">
        <v>9840.0</v>
      </c>
      <c r="H11" s="279"/>
    </row>
    <row r="12">
      <c r="A12" s="344" t="str">
        <f t="shared" si="2"/>
        <v>76</v>
      </c>
      <c r="B12" s="218">
        <v>9.0</v>
      </c>
      <c r="C12" s="345">
        <v>9376.0</v>
      </c>
      <c r="D12" s="345">
        <v>9376.0</v>
      </c>
      <c r="E12" s="220" t="str">
        <f>VLOOKUP(TEXT(A12,"#"),Main!$A$2:$C50,3,0)</f>
        <v>Single Lever Wall Mixer "L" Bend with Wall Flange (Expose Type)</v>
      </c>
      <c r="F12" s="222">
        <f t="array" ref="F12:G12">VLOOKUP(D12,MASTER!$C$2:$F50,{3,4},0)</f>
        <v>9980</v>
      </c>
      <c r="G12" s="222">
        <v>11240.0</v>
      </c>
      <c r="H12" s="279"/>
    </row>
    <row r="13">
      <c r="A13" s="344" t="str">
        <f t="shared" si="2"/>
        <v>80</v>
      </c>
      <c r="B13" s="218">
        <v>10.0</v>
      </c>
      <c r="C13" s="345">
        <v>9380.0</v>
      </c>
      <c r="D13" s="345">
        <v>9380.0</v>
      </c>
      <c r="E13" s="220" t="str">
        <f>VLOOKUP(TEXT(A13,"#"),Main!$A$2:$C50,3,0)</f>
        <v>Wall Mixer 3 In 1 with Wall Flange (Provision For Over Head Shower &amp; Hand Shower)</v>
      </c>
      <c r="F13" s="222">
        <f t="array" ref="F13:G13">VLOOKUP(D13,MASTER!$C$2:$F50,{3,4},0)</f>
        <v>9980</v>
      </c>
      <c r="G13" s="222">
        <v>10980.0</v>
      </c>
      <c r="H13" s="279"/>
    </row>
    <row r="14">
      <c r="A14" s="344" t="str">
        <f t="shared" si="2"/>
        <v>55</v>
      </c>
      <c r="B14" s="218">
        <v>11.0</v>
      </c>
      <c r="C14" s="345">
        <v>9355.0</v>
      </c>
      <c r="D14" s="345">
        <v>9355.0</v>
      </c>
      <c r="E14" s="220" t="str">
        <f>VLOOKUP(TEXT(A14,"#"),Main!$A$2:$C50,3,0)</f>
        <v>Sink Mixer with Regular Spout Wall Mounted with Flange</v>
      </c>
      <c r="F14" s="222">
        <f t="array" ref="F14:G14">VLOOKUP(D14,MASTER!$C$2:$F50,{3,4},0)</f>
        <v>6280</v>
      </c>
      <c r="G14" s="222">
        <v>6980.0</v>
      </c>
      <c r="H14" s="279"/>
    </row>
    <row r="15">
      <c r="A15" s="344" t="str">
        <f t="shared" si="2"/>
        <v>60</v>
      </c>
      <c r="B15" s="218">
        <v>12.0</v>
      </c>
      <c r="C15" s="345">
        <v>9360.0</v>
      </c>
      <c r="D15" s="345">
        <v>9360.0</v>
      </c>
      <c r="E15" s="220" t="str">
        <f>VLOOKUP(TEXT(A15,"#"),Main!$A$2:$C50,3,0)</f>
        <v>Sink Mixer with Regular Spout Table Mounted (Swinging Spout) </v>
      </c>
      <c r="F15" s="222">
        <f t="array" ref="F15:G15">VLOOKUP(D15,MASTER!$C$2:$F50,{3,4},0)</f>
        <v>5980</v>
      </c>
      <c r="G15" s="222">
        <v>6480.0</v>
      </c>
      <c r="H15" s="279"/>
    </row>
    <row r="16">
      <c r="A16" s="344" t="str">
        <f t="shared" si="2"/>
        <v>14</v>
      </c>
      <c r="B16" s="224">
        <v>13.0</v>
      </c>
      <c r="C16" s="345">
        <v>9314.0</v>
      </c>
      <c r="D16" s="345">
        <v>9314.0</v>
      </c>
      <c r="E16" s="220" t="str">
        <f>VLOOKUP(TEXT(A16,"#"),Main!$A$2:$C50,3,0)</f>
        <v>Swan Neck Table Mounted</v>
      </c>
      <c r="F16" s="222">
        <f t="array" ref="F16:G16">VLOOKUP(D16,MASTER!$C$2:$F50,{3,4},0)</f>
        <v>3490</v>
      </c>
      <c r="G16" s="222">
        <v>3780.0</v>
      </c>
      <c r="H16" s="279"/>
    </row>
    <row r="17">
      <c r="A17" s="344" t="str">
        <f t="shared" si="2"/>
        <v>16</v>
      </c>
      <c r="B17" s="224">
        <v>14.0</v>
      </c>
      <c r="C17" s="347">
        <v>9316.0</v>
      </c>
      <c r="D17" s="347">
        <v>9316.0</v>
      </c>
      <c r="E17" s="220" t="str">
        <f>VLOOKUP(TEXT(A17,"#"),Main!$A$2:$C50,3,0)</f>
        <v>Sink Cock Wall Mounted with Flange</v>
      </c>
      <c r="F17" s="222">
        <f t="array" ref="F17:G17">VLOOKUP(D17,MASTER!$C$2:$F50,{3,4},0)</f>
        <v>2990</v>
      </c>
      <c r="G17" s="222">
        <v>3380.0</v>
      </c>
      <c r="H17" s="279"/>
    </row>
    <row r="18">
      <c r="A18" s="344" t="str">
        <f t="shared" si="2"/>
        <v>10</v>
      </c>
      <c r="B18" s="224">
        <v>15.0</v>
      </c>
      <c r="C18" s="347">
        <v>9310.0</v>
      </c>
      <c r="D18" s="345">
        <v>9310.0</v>
      </c>
      <c r="E18" s="220" t="str">
        <f>VLOOKUP(TEXT(A18,"#"),Main!$A$2:$C50,3,0)</f>
        <v>Angular Stop Cock with Wall Flange</v>
      </c>
      <c r="F18" s="222">
        <f t="array" ref="F18:G18">VLOOKUP(D18,MASTER!$C$2:$F50,{3,4},0)</f>
        <v>1790</v>
      </c>
      <c r="G18" s="222">
        <v>1980.0</v>
      </c>
      <c r="H18" s="279"/>
    </row>
    <row r="19">
      <c r="A19" s="344" t="str">
        <f t="shared" si="2"/>
        <v>95</v>
      </c>
      <c r="B19" s="218">
        <v>16.0</v>
      </c>
      <c r="C19" s="345">
        <v>9395.0</v>
      </c>
      <c r="D19" s="345">
        <v>9395.0</v>
      </c>
      <c r="E19" s="220" t="str">
        <f>VLOOKUP(TEXT(A19,"#"),Main!$A$2:$C50,3,0)</f>
        <v>Bath Tub Spout with Flange</v>
      </c>
      <c r="F19" s="222">
        <f t="array" ref="F19:G19">VLOOKUP(D19,MASTER!$C$2:$F50,{3,4},0)</f>
        <v>2150</v>
      </c>
      <c r="G19" s="222">
        <v>2380.0</v>
      </c>
      <c r="H19" s="279"/>
    </row>
    <row r="20">
      <c r="A20" s="344" t="str">
        <f t="shared" si="2"/>
        <v>96</v>
      </c>
      <c r="B20" s="218">
        <v>17.0</v>
      </c>
      <c r="C20" s="345">
        <v>9396.0</v>
      </c>
      <c r="D20" s="345">
        <v>9396.0</v>
      </c>
      <c r="E20" s="220" t="str">
        <f>VLOOKUP(TEXT(A20,"#"),Main!$A$2:$C50,3,0)</f>
        <v>Bath Tub Spout Tip Ton with Flange</v>
      </c>
      <c r="F20" s="222">
        <f t="array" ref="F20:G20">VLOOKUP(D20,MASTER!$C$2:$F50,{3,4},0)</f>
        <v>2790</v>
      </c>
      <c r="G20" s="222">
        <v>3090.0</v>
      </c>
      <c r="H20" s="279"/>
    </row>
    <row r="21">
      <c r="A21" s="344" t="str">
        <f t="shared" si="2"/>
        <v>94</v>
      </c>
      <c r="B21" s="218">
        <v>18.0</v>
      </c>
      <c r="C21" s="345">
        <v>9394.0</v>
      </c>
      <c r="D21" s="345">
        <v>9394.0</v>
      </c>
      <c r="E21" s="220" t="str">
        <f>VLOOKUP(TEXT(A21,"#"),Main!$A$2:$C50,3,0)</f>
        <v>Concealed 4 Way Diverter Set Hot &amp; Cold with Built-In Non Return Valves Complete Set</v>
      </c>
      <c r="F21" s="222">
        <f t="array" ref="F21:G21">VLOOKUP(D21,MASTER!$C$2:$F50,{3,4},0)</f>
        <v>9440</v>
      </c>
      <c r="G21" s="222">
        <v>10320.0</v>
      </c>
      <c r="H21" s="279"/>
    </row>
    <row r="22">
      <c r="A22" s="227" t="s">
        <v>209</v>
      </c>
      <c r="B22" s="224">
        <v>19.0</v>
      </c>
      <c r="C22" s="233">
        <v>9391.0</v>
      </c>
      <c r="D22" s="345" t="s">
        <v>1318</v>
      </c>
      <c r="E22" s="220" t="str">
        <f>VLOOKUP(TEXT(A22,"#"),Main!$A$2:$C50,3,0)</f>
        <v>Single Lever Concealed Diverter Bath &amp; Shower 40mm</v>
      </c>
      <c r="F22" s="222">
        <f t="array" ref="F22:G22">VLOOKUP(D22,MASTER!$C$2:$F50,{3,4},0)</f>
        <v>6310</v>
      </c>
      <c r="G22" s="222">
        <v>6860.0</v>
      </c>
      <c r="H22" s="279"/>
    </row>
    <row r="23">
      <c r="A23" s="346" t="s">
        <v>212</v>
      </c>
      <c r="B23" s="120"/>
      <c r="C23" s="233" t="s">
        <v>1435</v>
      </c>
      <c r="D23" s="233" t="s">
        <v>212</v>
      </c>
      <c r="E23" s="220" t="str">
        <f>VLOOKUP(TEXT(A23,"#"),Main!$A$2:$C50,3,0)</f>
        <v>Concealed Diverter Body 40mm (Cartridge, Sleeve, Tipton Assembly)</v>
      </c>
      <c r="F23" s="222">
        <f t="array" ref="F23:G23">VLOOKUP(D23,MASTER!$C$2:$F50,{3,4},0)</f>
        <v>4240</v>
      </c>
      <c r="G23" s="222">
        <v>4580.0</v>
      </c>
      <c r="H23" s="279"/>
    </row>
    <row r="24">
      <c r="A24" s="346" t="s">
        <v>216</v>
      </c>
      <c r="B24" s="145"/>
      <c r="C24" s="233" t="s">
        <v>1809</v>
      </c>
      <c r="D24" s="345" t="s">
        <v>1311</v>
      </c>
      <c r="E24" s="220" t="str">
        <f>VLOOKUP(TEXT(A24,"#"),Main!$A$2:$C50,3,0)</f>
        <v>Exposed Parts (Wall Flange &amp; Handle)</v>
      </c>
      <c r="F24" s="222">
        <f t="array" ref="F24:G24">VLOOKUP(D24,MASTER!$C$2:$F50,{3,4},0)</f>
        <v>2070</v>
      </c>
      <c r="G24" s="222">
        <v>2280.0</v>
      </c>
      <c r="H24" s="279"/>
    </row>
    <row r="25">
      <c r="A25" s="227" t="s">
        <v>219</v>
      </c>
      <c r="B25" s="224">
        <v>20.0</v>
      </c>
      <c r="C25" s="233">
        <v>9392.0</v>
      </c>
      <c r="D25" s="345" t="s">
        <v>1319</v>
      </c>
      <c r="E25" s="220" t="str">
        <f>VLOOKUP(TEXT(A25,"#"),Main!$A$2:$C50,3,0)</f>
        <v>Single Lever High Flow Concealed Diverter Bath &amp; Shower 46mm</v>
      </c>
      <c r="F25" s="222">
        <f t="array" ref="F25:G25">VLOOKUP(D25,MASTER!$C$2:$F50,{3,4},0)</f>
        <v>7050</v>
      </c>
      <c r="G25" s="222">
        <v>7770.0</v>
      </c>
      <c r="H25" s="279"/>
    </row>
    <row r="26">
      <c r="A26" s="346" t="s">
        <v>223</v>
      </c>
      <c r="B26" s="120"/>
      <c r="C26" s="233" t="s">
        <v>1438</v>
      </c>
      <c r="D26" s="233" t="s">
        <v>223</v>
      </c>
      <c r="E26" s="220" t="str">
        <f>VLOOKUP(TEXT(A26,"#"),Main!$A$2:$C50,3,0)</f>
        <v>High Flow Concealed Diverter Body 46mm (Cartridge, Sleeve, Tipton Assembly)</v>
      </c>
      <c r="F26" s="222">
        <f t="array" ref="F26:G26">VLOOKUP(D26,MASTER!$C$2:$F50,{3,4},0)</f>
        <v>4980</v>
      </c>
      <c r="G26" s="222">
        <v>5490.0</v>
      </c>
      <c r="H26" s="279"/>
    </row>
    <row r="27">
      <c r="A27" s="346" t="s">
        <v>226</v>
      </c>
      <c r="B27" s="145"/>
      <c r="C27" s="218" t="s">
        <v>1810</v>
      </c>
      <c r="D27" s="345" t="s">
        <v>1312</v>
      </c>
      <c r="E27" s="220" t="str">
        <f>VLOOKUP(TEXT(A27,"#"),Main!$A$2:$C50,3,0)</f>
        <v>Exposed Parts (Wall Flange &amp; Handle)</v>
      </c>
      <c r="F27" s="222">
        <f t="array" ref="F27:G27">VLOOKUP(D27,MASTER!$C$2:$F50,{3,4},0)</f>
        <v>2070</v>
      </c>
      <c r="G27" s="222">
        <v>2280.0</v>
      </c>
      <c r="H27" s="279"/>
    </row>
    <row r="28">
      <c r="A28" s="227" t="s">
        <v>239</v>
      </c>
      <c r="B28" s="224">
        <v>21.0</v>
      </c>
      <c r="C28" s="233">
        <v>9393.0</v>
      </c>
      <c r="D28" s="345" t="s">
        <v>1326</v>
      </c>
      <c r="E28" s="220" t="str">
        <f>VLOOKUP(TEXT(A28,"#"),Main!$A$2:$C50,3,0)</f>
        <v>Single Lever 3 In Let Concealed Diverter Bath &amp; Shower 46mm</v>
      </c>
      <c r="F28" s="222">
        <f t="array" ref="F28:G28">VLOOKUP(D28,MASTER!$C$2:$F50,{3,4},0)</f>
        <v>7050</v>
      </c>
      <c r="G28" s="222">
        <v>7770.0</v>
      </c>
      <c r="H28" s="279"/>
    </row>
    <row r="29">
      <c r="A29" s="346" t="s">
        <v>243</v>
      </c>
      <c r="B29" s="120"/>
      <c r="C29" s="233" t="s">
        <v>1441</v>
      </c>
      <c r="D29" s="233" t="s">
        <v>243</v>
      </c>
      <c r="E29" s="220" t="str">
        <f>VLOOKUP(TEXT(A29,"#"),Main!$A$2:$C50,3,0)</f>
        <v>3 In Let Concealed Diverter Body 46mm (Cartridge, Sleeve, Tipton Assembly)</v>
      </c>
      <c r="F29" s="222">
        <f t="array" ref="F29:G29">VLOOKUP(D29,MASTER!$C$2:$F50,{3,4},0)</f>
        <v>4980</v>
      </c>
      <c r="G29" s="222">
        <v>5490.0</v>
      </c>
      <c r="H29" s="279"/>
    </row>
    <row r="30">
      <c r="A30" s="346" t="s">
        <v>247</v>
      </c>
      <c r="B30" s="120"/>
      <c r="C30" s="218" t="s">
        <v>1811</v>
      </c>
      <c r="D30" s="345" t="s">
        <v>1315</v>
      </c>
      <c r="E30" s="220" t="str">
        <f>VLOOKUP(TEXT(A30,"#"),Main!$A$2:$C50,3,0)</f>
        <v>Exposed Parts (Wall Flange &amp; Handle)</v>
      </c>
      <c r="F30" s="222">
        <f t="array" ref="F30:G30">VLOOKUP(D30,MASTER!$C$2:$F50,{3,4},0)</f>
        <v>2070</v>
      </c>
      <c r="G30" s="222">
        <v>2280.0</v>
      </c>
      <c r="H30" s="279"/>
    </row>
    <row r="31">
      <c r="A31" s="346" t="s">
        <v>228</v>
      </c>
      <c r="B31" s="224">
        <v>22.0</v>
      </c>
      <c r="C31" s="233" t="s">
        <v>1812</v>
      </c>
      <c r="D31" s="345" t="s">
        <v>1321</v>
      </c>
      <c r="E31" s="220" t="str">
        <f>VLOOKUP(TEXT(A31,"#"),Main!$A$2:$C50,3,0)</f>
        <v>Single Lever High Flow Concealed Diverter Bath &amp; Shower 46mm (ON-OFF)</v>
      </c>
      <c r="F31" s="222">
        <f t="array" ref="F31:G31">VLOOKUP(D31,MASTER!$C$2:$F50,{3,4},0)</f>
        <v>7050</v>
      </c>
      <c r="G31" s="222">
        <v>7770.0</v>
      </c>
      <c r="H31" s="279"/>
    </row>
    <row r="32">
      <c r="A32" s="346" t="s">
        <v>234</v>
      </c>
      <c r="B32" s="120"/>
      <c r="C32" s="233" t="s">
        <v>1444</v>
      </c>
      <c r="D32" s="233" t="s">
        <v>234</v>
      </c>
      <c r="E32" s="220" t="str">
        <f>VLOOKUP(TEXT(A32,"#"),Main!$A$2:$C50,3,0)</f>
        <v>High Flow Concealed Diverter Body 46mm (Cartridge, Sleeve, On-Off Assembly)</v>
      </c>
      <c r="F32" s="222">
        <f t="array" ref="F32:G32">VLOOKUP(D32,MASTER!$C$2:$F50,{3,4},0)</f>
        <v>4740</v>
      </c>
      <c r="G32" s="222">
        <v>5250.0</v>
      </c>
      <c r="H32" s="279"/>
    </row>
    <row r="33">
      <c r="A33" s="346" t="s">
        <v>237</v>
      </c>
      <c r="B33" s="120"/>
      <c r="C33" s="218" t="s">
        <v>1813</v>
      </c>
      <c r="D33" s="345" t="s">
        <v>1314</v>
      </c>
      <c r="E33" s="220" t="str">
        <f>VLOOKUP(TEXT(A33,"#"),Main!$A$2:$C50,3,0)</f>
        <v>Exposed Parts (Wall Flange &amp; Handle)</v>
      </c>
      <c r="F33" s="222">
        <f t="array" ref="F33:G33">VLOOKUP(D33,MASTER!$C$2:$F50,{3,4},0)</f>
        <v>2310</v>
      </c>
      <c r="G33" s="222">
        <v>2520.0</v>
      </c>
      <c r="H33" s="279"/>
    </row>
    <row r="34">
      <c r="A34" s="346" t="s">
        <v>249</v>
      </c>
      <c r="B34" s="224">
        <v>23.0</v>
      </c>
      <c r="C34" s="233" t="s">
        <v>1814</v>
      </c>
      <c r="D34" s="345" t="s">
        <v>1327</v>
      </c>
      <c r="E34" s="220" t="str">
        <f>VLOOKUP(TEXT(A34,"#"),Main!$A$2:$C50,3,0)</f>
        <v>Single Lever 3 In Let Concealed Diverter Bath &amp; Shower 46mm (ON-OFF)</v>
      </c>
      <c r="F34" s="222">
        <f t="array" ref="F34:G34">VLOOKUP(D34,MASTER!$C$2:$F50,{3,4},0)</f>
        <v>7050</v>
      </c>
      <c r="G34" s="222">
        <v>7770.0</v>
      </c>
      <c r="H34" s="279"/>
    </row>
    <row r="35">
      <c r="A35" s="346" t="s">
        <v>253</v>
      </c>
      <c r="B35" s="120"/>
      <c r="C35" s="233" t="s">
        <v>1447</v>
      </c>
      <c r="D35" s="233" t="s">
        <v>253</v>
      </c>
      <c r="E35" s="220" t="str">
        <f>VLOOKUP(TEXT(A35,"#"),Main!$A$2:$C50,3,0)</f>
        <v>3 In Let Concealed Diverter Body 46mm (Cartridge, Sleeve, On-Off Assembly)</v>
      </c>
      <c r="F35" s="222">
        <f t="array" ref="F35:G35">VLOOKUP(D35,MASTER!$C$2:$F50,{3,4},0)</f>
        <v>4740</v>
      </c>
      <c r="G35" s="222">
        <v>5250.0</v>
      </c>
      <c r="H35" s="279"/>
    </row>
    <row r="36">
      <c r="A36" s="346" t="s">
        <v>258</v>
      </c>
      <c r="B36" s="120"/>
      <c r="C36" s="218" t="s">
        <v>1815</v>
      </c>
      <c r="D36" s="345" t="s">
        <v>1316</v>
      </c>
      <c r="E36" s="220" t="str">
        <f>VLOOKUP(TEXT(A36,"#"),Main!$A$2:$C50,3,0)</f>
        <v>Exposed Parts (Wall Flange &amp; Handle)</v>
      </c>
      <c r="F36" s="222">
        <f t="array" ref="F36:G36">VLOOKUP(D36,MASTER!$C$2:$F50,{3,4},0)</f>
        <v>2310</v>
      </c>
      <c r="G36" s="222">
        <v>2520.0</v>
      </c>
      <c r="H36" s="279"/>
    </row>
    <row r="37">
      <c r="A37" s="344" t="str">
        <f t="shared" ref="A37:A41" si="3">RIGHT(D37,2)</f>
        <v>02</v>
      </c>
      <c r="B37" s="224">
        <v>24.0</v>
      </c>
      <c r="C37" s="345">
        <v>9302.0</v>
      </c>
      <c r="D37" s="345">
        <v>9302.0</v>
      </c>
      <c r="E37" s="220" t="str">
        <f>VLOOKUP(TEXT(A37,"#"),Main!$A$2:$C50,3,0)</f>
        <v>Pillar Cock</v>
      </c>
      <c r="F37" s="222">
        <f t="array" ref="F37:G37">VLOOKUP(D37,MASTER!$C$2:$F50,{3,4},0)</f>
        <v>2490</v>
      </c>
      <c r="G37" s="222">
        <v>2770.0</v>
      </c>
      <c r="H37" s="279"/>
    </row>
    <row r="38">
      <c r="A38" s="344" t="str">
        <f t="shared" si="3"/>
        <v>06</v>
      </c>
      <c r="B38" s="224">
        <v>25.0</v>
      </c>
      <c r="C38" s="345">
        <v>9306.0</v>
      </c>
      <c r="D38" s="345">
        <v>9306.0</v>
      </c>
      <c r="E38" s="220" t="str">
        <f>VLOOKUP(TEXT(A38,"#"),Main!$A$2:$C50,3,0)</f>
        <v>Bib Cock with Wall Flange</v>
      </c>
      <c r="F38" s="222">
        <f t="array" ref="F38:G38">VLOOKUP(D38,MASTER!$C$2:$F50,{3,4},0)</f>
        <v>2090</v>
      </c>
      <c r="G38" s="222">
        <v>2320.0</v>
      </c>
      <c r="H38" s="279"/>
    </row>
    <row r="39">
      <c r="A39" s="344" t="str">
        <f t="shared" si="3"/>
        <v>08</v>
      </c>
      <c r="B39" s="224">
        <v>26.0</v>
      </c>
      <c r="C39" s="347">
        <v>9308.0</v>
      </c>
      <c r="D39" s="345">
        <v>9308.0</v>
      </c>
      <c r="E39" s="220" t="str">
        <f>VLOOKUP(TEXT(A39,"#"),Main!$A$2:$C50,3,0)</f>
        <v>Bib Cock Long Body with Wall Flange</v>
      </c>
      <c r="F39" s="222">
        <f t="array" ref="F39:G39">VLOOKUP(D39,MASTER!$C$2:$F50,{3,4},0)</f>
        <v>2390</v>
      </c>
      <c r="G39" s="222">
        <v>2650.0</v>
      </c>
      <c r="H39" s="279"/>
    </row>
    <row r="40">
      <c r="A40" s="344" t="str">
        <f t="shared" si="3"/>
        <v>11</v>
      </c>
      <c r="B40" s="224">
        <v>27.0</v>
      </c>
      <c r="C40" s="345">
        <v>9311.0</v>
      </c>
      <c r="D40" s="345">
        <v>9311.0</v>
      </c>
      <c r="E40" s="220" t="str">
        <f>VLOOKUP(TEXT(A40,"#"),Main!$A$2:$C50,3,0)</f>
        <v>2-Way Angular Stop Cock with Wall Flange</v>
      </c>
      <c r="F40" s="222">
        <f t="array" ref="F40:G40">VLOOKUP(D40,MASTER!$C$2:$F50,{3,4},0)</f>
        <v>2850</v>
      </c>
      <c r="G40" s="222">
        <v>3080.0</v>
      </c>
      <c r="H40" s="279"/>
    </row>
    <row r="41">
      <c r="A41" s="344" t="str">
        <f t="shared" si="3"/>
        <v>12</v>
      </c>
      <c r="B41" s="224">
        <v>28.0</v>
      </c>
      <c r="C41" s="345">
        <v>9312.0</v>
      </c>
      <c r="D41" s="345">
        <v>9312.0</v>
      </c>
      <c r="E41" s="220" t="str">
        <f>VLOOKUP(TEXT(A41,"#"),Main!$A$2:$C50,3,0)</f>
        <v>2-Way Bib Cock Double Handle with Wall Flange</v>
      </c>
      <c r="F41" s="222">
        <f t="array" ref="F41:G41">VLOOKUP(D41,MASTER!$C$2:$F50,{3,4},0)</f>
        <v>3280</v>
      </c>
      <c r="G41" s="222">
        <v>3540.0</v>
      </c>
      <c r="H41" s="279"/>
    </row>
    <row r="42">
      <c r="A42" s="227" t="s">
        <v>100</v>
      </c>
      <c r="B42" s="218">
        <v>29.0</v>
      </c>
      <c r="C42" s="345">
        <v>9313.0</v>
      </c>
      <c r="D42" s="345">
        <v>9313.0</v>
      </c>
      <c r="E42" s="220" t="str">
        <f>VLOOKUP(TEXT(A42,"#"),Main!$A$2:$C50,3,0)</f>
        <v>2-Way Bib Cock Single Handle with Wall Flange</v>
      </c>
      <c r="F42" s="222">
        <f t="array" ref="F42:G42">VLOOKUP(D42,MASTER!$C$2:$F50,{3,4},0)</f>
        <v>2580</v>
      </c>
      <c r="G42" s="222">
        <v>2720.0</v>
      </c>
      <c r="H42" s="279"/>
    </row>
    <row r="43">
      <c r="A43" s="344" t="str">
        <f t="shared" ref="A43:A45" si="4">RIGHT(D43,2)</f>
        <v>18</v>
      </c>
      <c r="B43" s="218">
        <v>30.0</v>
      </c>
      <c r="C43" s="345">
        <v>9318.0</v>
      </c>
      <c r="D43" s="345">
        <v>9318.0</v>
      </c>
      <c r="E43" s="220" t="str">
        <f>VLOOKUP(TEXT(A43,"#"),Main!$A$2:$C50,3,0)</f>
        <v>Concealed Stop Cock 15mm with Wall Flange</v>
      </c>
      <c r="F43" s="222">
        <f t="array" ref="F43:G43">VLOOKUP(D43,MASTER!$C$2:$F50,{3,4},0)</f>
        <v>1930</v>
      </c>
      <c r="G43" s="222">
        <v>2130.0</v>
      </c>
      <c r="H43" s="279"/>
    </row>
    <row r="44">
      <c r="A44" s="344" t="str">
        <f t="shared" si="4"/>
        <v>20</v>
      </c>
      <c r="B44" s="218">
        <v>31.0</v>
      </c>
      <c r="C44" s="345">
        <v>9320.0</v>
      </c>
      <c r="D44" s="345">
        <v>9320.0</v>
      </c>
      <c r="E44" s="220" t="str">
        <f>VLOOKUP(TEXT(A44,"#"),Main!$A$2:$C50,3,0)</f>
        <v>Concealed Stop Cock 20mm with Wall Flange</v>
      </c>
      <c r="F44" s="222">
        <f t="array" ref="F44:G44">VLOOKUP(D44,MASTER!$C$2:$F50,{3,4},0)</f>
        <v>1990</v>
      </c>
      <c r="G44" s="222">
        <v>2190.0</v>
      </c>
      <c r="H44" s="279"/>
    </row>
    <row r="45">
      <c r="A45" s="344" t="str">
        <f t="shared" si="4"/>
        <v>98</v>
      </c>
      <c r="B45" s="218">
        <v>32.0</v>
      </c>
      <c r="C45" s="345">
        <v>9398.0</v>
      </c>
      <c r="D45" s="345">
        <v>9398.0</v>
      </c>
      <c r="E45" s="220" t="str">
        <f>VLOOKUP(TEXT(A45,"#"),Main!$A$2:$C50,3,0)</f>
        <v>Flush Cock 25mm Half Turn with Adjustable Flange</v>
      </c>
      <c r="F45" s="222">
        <f t="array" ref="F45:G45">VLOOKUP(D45,MASTER!$C$2:$F50,{3,4},0)</f>
        <v>3240</v>
      </c>
      <c r="G45" s="222">
        <v>3490.0</v>
      </c>
      <c r="H45" s="279"/>
    </row>
    <row r="46">
      <c r="A46" s="139"/>
      <c r="B46" s="139"/>
      <c r="C46" s="139"/>
      <c r="D46" s="122"/>
      <c r="E46" s="139"/>
      <c r="F46" s="139"/>
      <c r="G46" s="139"/>
      <c r="H46" s="139"/>
    </row>
    <row r="47">
      <c r="A47" s="139"/>
      <c r="B47" s="139"/>
      <c r="C47" s="139"/>
      <c r="D47" s="122"/>
      <c r="E47" s="139"/>
      <c r="F47" s="139"/>
      <c r="G47" s="139"/>
      <c r="H47" s="139"/>
    </row>
    <row r="48">
      <c r="A48" s="139"/>
      <c r="B48" s="139"/>
      <c r="C48" s="139"/>
      <c r="D48" s="122"/>
      <c r="E48" s="139"/>
      <c r="F48" s="139"/>
      <c r="G48" s="139"/>
      <c r="H48" s="139"/>
    </row>
    <row r="49">
      <c r="A49" s="139"/>
      <c r="B49" s="139"/>
      <c r="C49" s="139"/>
      <c r="D49" s="122"/>
      <c r="E49" s="139"/>
      <c r="F49" s="139"/>
      <c r="G49" s="139"/>
      <c r="H49" s="139"/>
    </row>
    <row r="50">
      <c r="A50" s="139"/>
      <c r="B50" s="139"/>
      <c r="C50" s="139"/>
      <c r="D50" s="122"/>
      <c r="E50" s="139"/>
      <c r="F50" s="139"/>
      <c r="G50" s="139"/>
      <c r="H50" s="139"/>
    </row>
  </sheetData>
  <mergeCells count="6">
    <mergeCell ref="B5:B7"/>
    <mergeCell ref="B22:B24"/>
    <mergeCell ref="B25:B27"/>
    <mergeCell ref="B28:B30"/>
    <mergeCell ref="B31:B33"/>
    <mergeCell ref="B34:B36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