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SUMMARY 24-25" sheetId="1" r:id="rId5"/>
    <sheet state="visible" name=" SUMMARY 23-24" sheetId="2" r:id="rId6"/>
    <sheet state="visible" name="SUMMARY 22-23" sheetId="3" r:id="rId7"/>
    <sheet state="visible" name="SUMMARY 21-22" sheetId="4" r:id="rId8"/>
    <sheet state="visible" name="SALE PL" sheetId="5" r:id="rId9"/>
    <sheet state="visible" name="REPORT 1" sheetId="6" r:id="rId10"/>
    <sheet state="visible" name="SALE " sheetId="7" r:id="rId11"/>
    <sheet state="visible" name="PUR PL" sheetId="8" r:id="rId12"/>
    <sheet state="visible" name="PURCHASE" sheetId="9" r:id="rId13"/>
    <sheet state="hidden" name="Sheet8" sheetId="10" r:id="rId14"/>
    <sheet state="hidden" name="SUMMARY1" sheetId="11" r:id="rId15"/>
  </sheets>
  <definedNames/>
  <calcPr/>
</workbook>
</file>

<file path=xl/sharedStrings.xml><?xml version="1.0" encoding="utf-8"?>
<sst xmlns="http://schemas.openxmlformats.org/spreadsheetml/2006/main" count="721" uniqueCount="137">
  <si>
    <t>SUMMARY</t>
  </si>
  <si>
    <t>SALE</t>
  </si>
  <si>
    <t>PURCHASE</t>
  </si>
  <si>
    <t>LOSE</t>
  </si>
  <si>
    <t>PROFIT</t>
  </si>
  <si>
    <t>PROFIT &amp; LOSE</t>
  </si>
  <si>
    <t>TOTAL</t>
  </si>
  <si>
    <t>DIFF SALE</t>
  </si>
  <si>
    <t>DIFF PUR</t>
  </si>
  <si>
    <t>NET BALANCE</t>
  </si>
  <si>
    <t>Profit &amp; loss (SALE)</t>
  </si>
  <si>
    <t>MONTH</t>
  </si>
  <si>
    <t>SENGMENT</t>
  </si>
  <si>
    <t>Diffrance</t>
  </si>
  <si>
    <t>PTMT</t>
  </si>
  <si>
    <t>CISTERN</t>
  </si>
  <si>
    <t>CABINET</t>
  </si>
  <si>
    <t>SEAT COVER</t>
  </si>
  <si>
    <t>QUAA</t>
  </si>
  <si>
    <t>CP</t>
  </si>
  <si>
    <t>CP ACCESSORIES</t>
  </si>
  <si>
    <t>TEFLON TAPE</t>
  </si>
  <si>
    <t>GEYSER</t>
  </si>
  <si>
    <t>GLASS</t>
  </si>
  <si>
    <t>SINK</t>
  </si>
  <si>
    <t>JALI</t>
  </si>
  <si>
    <t>P-RACK</t>
  </si>
  <si>
    <t>CPVC</t>
  </si>
  <si>
    <t>CPVC PIPE</t>
  </si>
  <si>
    <t>UPVC</t>
  </si>
  <si>
    <t>UPVC PIPE</t>
  </si>
  <si>
    <t>SWR</t>
  </si>
  <si>
    <t>AGRI</t>
  </si>
  <si>
    <t>WATER TANK</t>
  </si>
  <si>
    <t>HDPE PIPE</t>
  </si>
  <si>
    <t>GARDEN PIPE</t>
  </si>
  <si>
    <t>HARDWARE</t>
  </si>
  <si>
    <t>CONNECTION</t>
  </si>
  <si>
    <t>WASTE-PIPE</t>
  </si>
  <si>
    <t>SANITARYWARE</t>
  </si>
  <si>
    <t>SUBTOTAL</t>
  </si>
  <si>
    <t>Purchase</t>
  </si>
  <si>
    <t>Sale value</t>
  </si>
  <si>
    <t>Lose</t>
  </si>
  <si>
    <t>Profit</t>
  </si>
  <si>
    <t>Sale PL Diff</t>
  </si>
  <si>
    <t>Purchase value</t>
  </si>
  <si>
    <t>Pur PL Diff</t>
  </si>
  <si>
    <t>Purchase %</t>
  </si>
  <si>
    <t>Sale Pur PL Diff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</si>
  <si>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</si>
  <si>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</si>
  <si>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</si>
  <si>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</si>
  <si>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</si>
  <si>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</si>
  <si>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</si>
  <si>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</si>
  <si>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</si>
  <si>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</si>
  <si>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</si>
  <si>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</si>
  <si>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Total</t>
  </si>
  <si>
    <t>PLUMBING</t>
  </si>
  <si>
    <t>CONSUMABLE</t>
  </si>
  <si>
    <t>Grand Total</t>
  </si>
  <si>
    <t>SALE 2024-25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</si>
  <si>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</si>
  <si>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</si>
  <si>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</si>
  <si>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</si>
  <si>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</si>
  <si>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</si>
  <si>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</si>
  <si>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</si>
  <si>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</si>
  <si>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</si>
  <si>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</si>
  <si>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</si>
  <si>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/>
  </si>
  <si>
    <t>C P FITTING</t>
  </si>
  <si>
    <t>TEFELON TAPE</t>
  </si>
  <si>
    <t>FLOOR TRAP</t>
  </si>
  <si>
    <t>PLATE RACK</t>
  </si>
  <si>
    <t>CPVC FITTING</t>
  </si>
  <si>
    <t>UPVC FITTING</t>
  </si>
  <si>
    <t>GARDEEN PIPE</t>
  </si>
  <si>
    <t>WASTE PIPE</t>
  </si>
  <si>
    <t>GRAND TOTAL</t>
  </si>
  <si>
    <t>Profit &amp; loss (Purchase)</t>
  </si>
  <si>
    <t>LOSS</t>
  </si>
  <si>
    <t>PTMT RAWMATERIAL</t>
  </si>
  <si>
    <t>PTMT BOP</t>
  </si>
  <si>
    <t>PTMT CONSUMABLE</t>
  </si>
  <si>
    <t>PTMT PACKING</t>
  </si>
  <si>
    <t>PTMT TRADING</t>
  </si>
  <si>
    <t>CP RAWMATERIAL</t>
  </si>
  <si>
    <t>CP BOP</t>
  </si>
  <si>
    <t>CP CONSUMABLE</t>
  </si>
  <si>
    <t>CP PACKING</t>
  </si>
  <si>
    <t>CP TRADING</t>
  </si>
  <si>
    <t>SINK RAWMATERIAL</t>
  </si>
  <si>
    <t>SINK BOP</t>
  </si>
  <si>
    <t>SINK CONSUMABLE</t>
  </si>
  <si>
    <t>SINK PACKING</t>
  </si>
  <si>
    <t>SINK TRADING</t>
  </si>
  <si>
    <t>C &amp; U RAWMATERIAL</t>
  </si>
  <si>
    <t>PLUMBING BOP</t>
  </si>
  <si>
    <t>PLUMBING PACKING</t>
  </si>
  <si>
    <t>PLUMBING TRADING</t>
  </si>
  <si>
    <t>PLUMBING CONSUMABLE</t>
  </si>
  <si>
    <t>HARDWARE BOP</t>
  </si>
  <si>
    <t>HARDWARE CONSUMABLE</t>
  </si>
  <si>
    <t>HARDWARE PACKING</t>
  </si>
  <si>
    <t>HARDWARE RM</t>
  </si>
  <si>
    <t>HARDWARE TRADING</t>
  </si>
  <si>
    <t>SANITARYWARE PACKING</t>
  </si>
  <si>
    <t>GLASS BOP</t>
  </si>
  <si>
    <t>GLASS CONSUMABLE</t>
  </si>
  <si>
    <t>GLASS RM</t>
  </si>
  <si>
    <t>SUB TOTAL</t>
  </si>
  <si>
    <t>PURCHASE FY 2024-25</t>
  </si>
  <si>
    <t>PTMT RM</t>
  </si>
  <si>
    <t>CP RM</t>
  </si>
  <si>
    <t>SINK RM</t>
  </si>
  <si>
    <t>PLUMBING RM</t>
  </si>
  <si>
    <t>HW BOP</t>
  </si>
  <si>
    <t>HW CONSUMABLE</t>
  </si>
  <si>
    <t>HW PACKING</t>
  </si>
  <si>
    <t>HW TRADING</t>
  </si>
  <si>
    <t>SANITARYWARE.</t>
  </si>
  <si>
    <t>GLASS PACKING</t>
  </si>
  <si>
    <t>CONSUMABLE 1</t>
  </si>
  <si>
    <t>COMMON</t>
  </si>
  <si>
    <t>MAINTENANCE</t>
  </si>
  <si>
    <t>FIXED ASSET</t>
  </si>
  <si>
    <t>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</si>
</sst>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-&quot;yyyy"/>
    <numFmt numFmtId="165" formatCode="mmm-d"/>
    <numFmt numFmtId="166" formatCode="mmmm-d"/>
    <numFmt numFmtId="167" formatCode="yyyy-mm-dd"/>
    <numFmt numFmtId="168" formatCode="##"/>
  </numFmts>
  <fonts count="19">
    <font>
      <sz val="10.0"/>
      <color rgb="FF000000"/>
      <name val="Arial"/>
      <scheme val="minor"/>
    </font>
    <font>
      <b/>
      <sz val="28.0"/>
      <color rgb="FF0000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sz val="28.0"/>
      <color theme="1"/>
      <name val="Calibri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20.0"/>
      <color theme="0"/>
      <name val="Calibri"/>
    </font>
    <font>
      <sz val="11.0"/>
      <color rgb="FF000000"/>
      <name val="Inconsolata"/>
    </font>
    <font>
      <sz val="11.0"/>
      <color rgb="FF000000"/>
      <name val="Arial"/>
    </font>
    <font>
      <color rgb="FF000000"/>
      <name val="Arial"/>
    </font>
    <font>
      <sz val="9.0"/>
      <color rgb="FF000000"/>
      <name val="&quot;Google Sans Mono&quot;"/>
    </font>
    <font>
      <sz val="10.0"/>
      <color rgb="FF000000"/>
      <name val="Arial"/>
    </font>
    <font>
      <sz val="9.0"/>
      <color rgb="FF7E3794"/>
      <name val="&quot;Google Sans Mono&quot;"/>
    </font>
    <font>
      <b/>
      <sz val="11.0"/>
      <color rgb="FF000000"/>
      <name val="Inconsolata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4" fillId="0" fontId="3" numFmtId="164" xfId="0" applyAlignment="1" applyBorder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horizontal="right" shrinkToFit="0" vertical="bottom" wrapText="0"/>
    </xf>
    <xf borderId="5" fillId="0" fontId="3" numFmtId="0" xfId="0" applyAlignment="1" applyBorder="1" applyFont="1">
      <alignment horizontal="right" shrinkToFit="0" vertical="bottom" wrapText="0"/>
    </xf>
    <xf borderId="5" fillId="0" fontId="3" numFmtId="0" xfId="0" applyAlignment="1" applyBorder="1" applyFont="1">
      <alignment horizontal="right" readingOrder="0" shrinkToFit="0" vertical="bottom" wrapText="0"/>
    </xf>
    <xf borderId="5" fillId="0" fontId="3" numFmtId="1" xfId="0" applyAlignment="1" applyBorder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6" fillId="0" fontId="3" numFmtId="1" xfId="0" applyAlignment="1" applyBorder="1" applyFont="1" applyNumberFormat="1">
      <alignment horizontal="right"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5" fillId="0" fontId="3" numFmtId="1" xfId="0" applyAlignment="1" applyBorder="1" applyFont="1" applyNumberFormat="1">
      <alignment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0" fillId="0" fontId="5" numFmtId="0" xfId="0" applyFont="1"/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7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9" numFmtId="0" xfId="0" applyAlignment="1" applyBorder="1" applyFont="1">
      <alignment readingOrder="0" vertical="bottom"/>
    </xf>
    <xf borderId="6" fillId="0" fontId="9" numFmtId="164" xfId="0" applyAlignment="1" applyBorder="1" applyFont="1" applyNumberFormat="1">
      <alignment horizontal="right" readingOrder="0" vertical="bottom"/>
    </xf>
    <xf borderId="5" fillId="0" fontId="9" numFmtId="0" xfId="0" applyAlignment="1" applyBorder="1" applyFont="1">
      <alignment horizontal="right" readingOrder="0" vertical="bottom"/>
    </xf>
    <xf borderId="5" fillId="0" fontId="9" numFmtId="1" xfId="0" applyAlignment="1" applyBorder="1" applyFont="1" applyNumberFormat="1">
      <alignment horizontal="right" readingOrder="0" vertical="bottom"/>
    </xf>
    <xf borderId="6" fillId="0" fontId="9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readingOrder="0" shrinkToFit="0" vertical="bottom" wrapText="0"/>
    </xf>
    <xf borderId="4" fillId="0" fontId="3" numFmtId="166" xfId="0" applyAlignment="1" applyBorder="1" applyFont="1" applyNumberFormat="1">
      <alignment horizontal="right" readingOrder="0" shrinkToFit="0" vertical="bottom" wrapText="0"/>
    </xf>
    <xf borderId="8" fillId="2" fontId="10" numFmtId="0" xfId="0" applyAlignment="1" applyBorder="1" applyFill="1" applyFont="1">
      <alignment horizontal="center" readingOrder="0" shrinkToFit="0" vertical="bottom" wrapText="0"/>
    </xf>
    <xf borderId="9" fillId="0" fontId="2" numFmtId="0" xfId="0" applyBorder="1" applyFont="1"/>
    <xf borderId="10" fillId="0" fontId="2" numFmtId="0" xfId="0" applyBorder="1" applyFont="1"/>
    <xf borderId="4" fillId="0" fontId="2" numFmtId="0" xfId="0" applyBorder="1" applyFont="1"/>
    <xf borderId="7" fillId="0" fontId="2" numFmtId="0" xfId="0" applyBorder="1" applyFont="1"/>
    <xf borderId="5" fillId="0" fontId="2" numFmtId="0" xfId="0" applyBorder="1" applyFont="1"/>
    <xf borderId="11" fillId="0" fontId="3" numFmtId="0" xfId="0" applyAlignment="1" applyBorder="1" applyFont="1">
      <alignment readingOrder="0" shrinkToFit="0" vertical="bottom" wrapText="0"/>
    </xf>
    <xf borderId="1" fillId="0" fontId="5" numFmtId="165" xfId="0" applyAlignment="1" applyBorder="1" applyFont="1" applyNumberFormat="1">
      <alignment horizontal="center" readingOrder="0"/>
    </xf>
    <xf borderId="11" fillId="0" fontId="5" numFmtId="0" xfId="0" applyBorder="1" applyFont="1"/>
    <xf borderId="11" fillId="0" fontId="5" numFmtId="0" xfId="0" applyAlignment="1" applyBorder="1" applyFont="1">
      <alignment readingOrder="0"/>
    </xf>
    <xf borderId="11" fillId="0" fontId="3" numFmtId="0" xfId="0" applyAlignment="1" applyBorder="1" applyFont="1">
      <alignment horizontal="right" readingOrder="0" shrinkToFit="0" vertical="bottom" wrapText="0"/>
    </xf>
    <xf borderId="0" fillId="3" fontId="11" numFmtId="0" xfId="0" applyFill="1" applyFont="1"/>
    <xf borderId="11" fillId="0" fontId="3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readingOrder="0" shrinkToFit="0" vertical="bottom" wrapText="0"/>
    </xf>
    <xf borderId="11" fillId="0" fontId="3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readingOrder="0" shrinkToFit="0" wrapText="0"/>
    </xf>
    <xf borderId="1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1" fillId="0" fontId="7" numFmtId="0" xfId="0" applyAlignment="1" applyBorder="1" applyFont="1">
      <alignment horizontal="center" readingOrder="0"/>
    </xf>
    <xf borderId="1" fillId="0" fontId="7" numFmtId="1" xfId="0" applyAlignment="1" applyBorder="1" applyFont="1" applyNumberFormat="1">
      <alignment horizontal="center" readingOrder="0"/>
    </xf>
    <xf borderId="11" fillId="0" fontId="7" numFmtId="1" xfId="0" applyAlignment="1" applyBorder="1" applyFont="1" applyNumberFormat="1">
      <alignment horizontal="center" readingOrder="0"/>
    </xf>
    <xf borderId="0" fillId="0" fontId="5" numFmtId="167" xfId="0" applyAlignment="1" applyFont="1" applyNumberFormat="1">
      <alignment readingOrder="0"/>
    </xf>
    <xf borderId="11" fillId="0" fontId="7" numFmtId="166" xfId="0" applyAlignment="1" applyBorder="1" applyFont="1" applyNumberFormat="1">
      <alignment horizontal="center" readingOrder="0"/>
    </xf>
    <xf borderId="11" fillId="0" fontId="7" numFmtId="1" xfId="0" applyAlignment="1" applyBorder="1" applyFont="1" applyNumberFormat="1">
      <alignment horizontal="center"/>
    </xf>
    <xf borderId="11" fillId="3" fontId="12" numFmtId="0" xfId="0" applyAlignment="1" applyBorder="1" applyFont="1">
      <alignment horizontal="center"/>
    </xf>
    <xf borderId="11" fillId="0" fontId="7" numFmtId="10" xfId="0" applyAlignment="1" applyBorder="1" applyFont="1" applyNumberFormat="1">
      <alignment horizontal="center"/>
    </xf>
    <xf borderId="11" fillId="3" fontId="12" numFmtId="0" xfId="0" applyAlignment="1" applyBorder="1" applyFont="1">
      <alignment horizontal="center" readingOrder="0"/>
    </xf>
    <xf borderId="0" fillId="0" fontId="5" numFmtId="166" xfId="0" applyAlignment="1" applyFont="1" applyNumberFormat="1">
      <alignment readingOrder="0"/>
    </xf>
    <xf borderId="11" fillId="3" fontId="13" numFmtId="1" xfId="0" applyAlignment="1" applyBorder="1" applyFont="1" applyNumberFormat="1">
      <alignment horizontal="center"/>
    </xf>
    <xf borderId="11" fillId="3" fontId="12" numFmtId="1" xfId="0" applyAlignment="1" applyBorder="1" applyFont="1" applyNumberFormat="1">
      <alignment horizontal="center"/>
    </xf>
    <xf borderId="11" fillId="3" fontId="11" numFmtId="1" xfId="0" applyAlignment="1" applyBorder="1" applyFont="1" applyNumberFormat="1">
      <alignment horizontal="center"/>
    </xf>
    <xf borderId="11" fillId="3" fontId="11" numFmtId="0" xfId="0" applyAlignment="1" applyBorder="1" applyFont="1">
      <alignment horizontal="center" readingOrder="0"/>
    </xf>
    <xf borderId="11" fillId="3" fontId="12" numFmtId="1" xfId="0" applyAlignment="1" applyBorder="1" applyFont="1" applyNumberFormat="1">
      <alignment horizontal="center" readingOrder="0"/>
    </xf>
    <xf borderId="11" fillId="3" fontId="14" numFmtId="1" xfId="0" applyAlignment="1" applyBorder="1" applyFont="1" applyNumberFormat="1">
      <alignment horizontal="center"/>
    </xf>
    <xf borderId="0" fillId="3" fontId="15" numFmtId="1" xfId="0" applyAlignment="1" applyFont="1" applyNumberFormat="1">
      <alignment horizontal="center"/>
    </xf>
    <xf borderId="0" fillId="3" fontId="16" numFmtId="0" xfId="0" applyAlignment="1" applyFont="1">
      <alignment horizontal="center" readingOrder="0"/>
    </xf>
    <xf borderId="11" fillId="3" fontId="17" numFmtId="1" xfId="0" applyAlignment="1" applyBorder="1" applyFont="1" applyNumberFormat="1">
      <alignment horizontal="center" readingOrder="0"/>
    </xf>
    <xf borderId="11" fillId="0" fontId="12" numFmtId="0" xfId="0" applyAlignment="1" applyBorder="1" applyFont="1">
      <alignment horizontal="center" readingOrder="0" shrinkToFit="0" vertical="bottom" wrapText="0"/>
    </xf>
    <xf borderId="11" fillId="3" fontId="7" numFmtId="10" xfId="0" applyAlignment="1" applyBorder="1" applyFont="1" applyNumberFormat="1">
      <alignment horizontal="center"/>
    </xf>
    <xf borderId="11" fillId="0" fontId="5" numFmtId="0" xfId="0" applyAlignment="1" applyBorder="1" applyFont="1">
      <alignment horizontal="center"/>
    </xf>
    <xf borderId="11" fillId="0" fontId="5" numFmtId="1" xfId="0" applyAlignment="1" applyBorder="1" applyFont="1" applyNumberFormat="1">
      <alignment horizontal="center"/>
    </xf>
    <xf borderId="0" fillId="0" fontId="5" numFmtId="1" xfId="0" applyFont="1" applyNumberFormat="1"/>
    <xf borderId="0" fillId="0" fontId="5" numFmtId="1" xfId="0" applyAlignment="1" applyFont="1" applyNumberFormat="1">
      <alignment readingOrder="0"/>
    </xf>
    <xf borderId="11" fillId="0" fontId="5" numFmtId="1" xfId="0" applyBorder="1" applyFont="1" applyNumberFormat="1"/>
    <xf borderId="11" fillId="0" fontId="5" numFmtId="0" xfId="0" applyAlignment="1" applyBorder="1" applyFont="1">
      <alignment horizontal="center" readingOrder="0"/>
    </xf>
    <xf borderId="11" fillId="0" fontId="5" numFmtId="1" xfId="0" applyAlignment="1" applyBorder="1" applyFont="1" applyNumberFormat="1">
      <alignment horizontal="center" readingOrder="0"/>
    </xf>
    <xf borderId="11" fillId="3" fontId="11" numFmtId="1" xfId="0" applyBorder="1" applyFont="1" applyNumberFormat="1"/>
    <xf borderId="0" fillId="0" fontId="7" numFmtId="0" xfId="0" applyAlignment="1" applyFont="1">
      <alignment vertical="bottom"/>
    </xf>
    <xf borderId="11" fillId="0" fontId="4" numFmtId="1" xfId="0" applyAlignment="1" applyBorder="1" applyFont="1" applyNumberFormat="1">
      <alignment readingOrder="0" shrinkToFit="0" vertical="bottom" wrapText="0"/>
    </xf>
    <xf borderId="11" fillId="0" fontId="3" numFmtId="1" xfId="0" applyAlignment="1" applyBorder="1" applyFont="1" applyNumberFormat="1">
      <alignment shrinkToFit="0" vertical="bottom" wrapText="0"/>
    </xf>
    <xf borderId="11" fillId="0" fontId="7" numFmtId="0" xfId="0" applyAlignment="1" applyBorder="1" applyFont="1">
      <alignment readingOrder="0" vertical="bottom"/>
    </xf>
    <xf borderId="11" fillId="3" fontId="11" numFmtId="1" xfId="0" applyAlignment="1" applyBorder="1" applyFont="1" applyNumberFormat="1">
      <alignment readingOrder="0"/>
    </xf>
    <xf borderId="11" fillId="0" fontId="5" numFmtId="1" xfId="0" applyAlignment="1" applyBorder="1" applyFont="1" applyNumberFormat="1">
      <alignment readingOrder="0"/>
    </xf>
    <xf borderId="1" fillId="2" fontId="10" numFmtId="0" xfId="0" applyAlignment="1" applyBorder="1" applyFont="1">
      <alignment horizontal="center" readingOrder="0" shrinkToFit="0" vertical="bottom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11" fillId="0" fontId="3" numFmtId="1" xfId="0" applyAlignment="1" applyBorder="1" applyFont="1" applyNumberFormat="1">
      <alignment readingOrder="0" shrinkToFit="0" vertical="bottom" wrapText="0"/>
    </xf>
    <xf borderId="11" fillId="0" fontId="3" numFmtId="1" xfId="0" applyAlignment="1" applyBorder="1" applyFont="1" applyNumberFormat="1">
      <alignment horizontal="right" readingOrder="0" shrinkToFit="0" vertical="bottom" wrapText="0"/>
    </xf>
    <xf borderId="11" fillId="0" fontId="3" numFmtId="0" xfId="0" applyAlignment="1" applyBorder="1" applyFont="1">
      <alignment readingOrder="0" shrinkToFit="0" wrapText="0"/>
    </xf>
    <xf borderId="11" fillId="0" fontId="4" numFmtId="0" xfId="0" applyAlignment="1" applyBorder="1" applyFont="1">
      <alignment horizontal="right" readingOrder="0" shrinkToFit="0" vertical="bottom" wrapText="0"/>
    </xf>
    <xf borderId="11" fillId="0" fontId="4" numFmtId="1" xfId="0" applyAlignment="1" applyBorder="1" applyFont="1" applyNumberFormat="1">
      <alignment horizontal="right" readingOrder="0" shrinkToFit="0" vertical="bottom" wrapText="0"/>
    </xf>
    <xf borderId="11" fillId="0" fontId="3" numFmtId="0" xfId="0" applyAlignment="1" applyBorder="1" applyFont="1">
      <alignment horizontal="right" shrinkToFit="0" vertical="bottom" wrapText="0"/>
    </xf>
    <xf borderId="0" fillId="0" fontId="18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1" fillId="0" fontId="5" numFmtId="168" xfId="0" applyAlignment="1" applyBorder="1" applyFont="1" applyNumberFormat="1">
      <alignment readingOrder="0"/>
    </xf>
    <xf borderId="11" fillId="0" fontId="5" numFmtId="168" xfId="0" applyBorder="1" applyFont="1" applyNumberFormat="1"/>
    <xf borderId="0" fillId="0" fontId="5" numFmtId="168" xfId="0" applyFont="1" applyNumberFormat="1"/>
    <xf borderId="0" fillId="0" fontId="5" numFmtId="168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9" numFmtId="168" xfId="0" applyAlignment="1" applyFont="1" applyNumberFormat="1">
      <alignment horizontal="right" readingOrder="0" vertical="bottom"/>
    </xf>
    <xf borderId="4" fillId="2" fontId="10" numFmtId="0" xfId="0" applyAlignment="1" applyBorder="1" applyFont="1">
      <alignment horizontal="center" readingOrder="0" shrinkToFit="0" vertical="bottom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3" numFmtId="166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/>
      <c r="C3" s="5" t="s">
        <v>1</v>
      </c>
      <c r="D3" s="2"/>
      <c r="E3" s="3"/>
      <c r="F3" s="6" t="s">
        <v>2</v>
      </c>
      <c r="G3" s="2"/>
      <c r="H3" s="3"/>
      <c r="I3" s="7"/>
    </row>
    <row r="4">
      <c r="B4" s="4"/>
      <c r="C4" s="8" t="s">
        <v>3</v>
      </c>
      <c r="D4" s="9" t="s">
        <v>4</v>
      </c>
      <c r="E4" s="9" t="s">
        <v>5</v>
      </c>
      <c r="F4" s="9" t="s">
        <v>3</v>
      </c>
      <c r="G4" s="9" t="s">
        <v>4</v>
      </c>
      <c r="H4" s="9" t="s">
        <v>5</v>
      </c>
      <c r="I4" s="9" t="s">
        <v>5</v>
      </c>
    </row>
    <row r="5">
      <c r="B5" s="10">
        <v>45404.0</v>
      </c>
      <c r="C5" s="11">
        <f>'SALE PL'!B55</f>
        <v>-3147562</v>
      </c>
      <c r="D5" s="12">
        <f>'SALE PL'!C53</f>
        <v>1317621</v>
      </c>
      <c r="E5" s="13">
        <f t="shared" ref="E5:E17" si="1">C5+D5</f>
        <v>-1829941</v>
      </c>
      <c r="F5" s="13">
        <f>'PUR PL'!B58</f>
        <v>-3696170</v>
      </c>
      <c r="G5" s="14">
        <f>'PUR PL'!C58</f>
        <v>3559004</v>
      </c>
      <c r="H5" s="14">
        <f t="shared" ref="H5:H17" si="2">F5+G5</f>
        <v>-137166</v>
      </c>
      <c r="I5" s="14">
        <f t="shared" ref="I5:I17" si="3">H5+E5</f>
        <v>-1967107</v>
      </c>
    </row>
    <row r="6">
      <c r="B6" s="10">
        <v>45434.0</v>
      </c>
      <c r="C6" s="11">
        <f>'SALE PL'!E55</f>
        <v>-7501200</v>
      </c>
      <c r="D6" s="11">
        <f>'SALE PL'!F55</f>
        <v>3551295</v>
      </c>
      <c r="E6" s="13">
        <f t="shared" si="1"/>
        <v>-3949905</v>
      </c>
      <c r="F6" s="14">
        <f>'PUR PL'!D58</f>
        <v>-11838344</v>
      </c>
      <c r="G6" s="14">
        <f>'PUR PL'!E58</f>
        <v>3817407</v>
      </c>
      <c r="H6" s="14">
        <f t="shared" si="2"/>
        <v>-8020937</v>
      </c>
      <c r="I6" s="14">
        <f t="shared" si="3"/>
        <v>-11970842</v>
      </c>
    </row>
    <row r="7">
      <c r="B7" s="10">
        <v>45465.0</v>
      </c>
      <c r="C7" s="11">
        <f>'SALE PL'!H55</f>
        <v>-9347555</v>
      </c>
      <c r="D7" s="11">
        <f>'SALE PL'!I55</f>
        <v>5639400</v>
      </c>
      <c r="E7" s="13">
        <f t="shared" si="1"/>
        <v>-3708155</v>
      </c>
      <c r="F7" s="14">
        <f>'PUR PL'!F58</f>
        <v>-12192111</v>
      </c>
      <c r="G7" s="14">
        <f>'PUR PL'!G58</f>
        <v>5932995</v>
      </c>
      <c r="H7" s="14">
        <f t="shared" si="2"/>
        <v>-6259116</v>
      </c>
      <c r="I7" s="14">
        <f t="shared" si="3"/>
        <v>-9967271</v>
      </c>
    </row>
    <row r="8">
      <c r="B8" s="10">
        <v>45495.0</v>
      </c>
      <c r="C8" s="11">
        <f>'SALE PL'!K55</f>
        <v>-10623096</v>
      </c>
      <c r="D8" s="11">
        <f>'SALE PL'!L55</f>
        <v>5916128</v>
      </c>
      <c r="E8" s="13">
        <f t="shared" si="1"/>
        <v>-4706968</v>
      </c>
      <c r="F8" s="14">
        <f>'PUR PL'!H58</f>
        <v>-6305520.19</v>
      </c>
      <c r="G8" s="14">
        <f>'PUR PL'!I58</f>
        <v>3278168.22</v>
      </c>
      <c r="H8" s="14">
        <f t="shared" si="2"/>
        <v>-3027351.97</v>
      </c>
      <c r="I8" s="14">
        <f t="shared" si="3"/>
        <v>-7734319.97</v>
      </c>
    </row>
    <row r="9">
      <c r="B9" s="10">
        <v>45526.0</v>
      </c>
      <c r="C9" s="11">
        <f>'SALE PL'!N55</f>
        <v>-5465977</v>
      </c>
      <c r="D9" s="11">
        <f>'SALE PL'!O55</f>
        <v>6077385</v>
      </c>
      <c r="E9" s="13">
        <f t="shared" si="1"/>
        <v>611408</v>
      </c>
      <c r="F9" s="14">
        <f>'PUR PL'!J58</f>
        <v>-2671060</v>
      </c>
      <c r="G9" s="14">
        <f>'PUR PL'!K58</f>
        <v>2829638</v>
      </c>
      <c r="H9" s="14">
        <f t="shared" si="2"/>
        <v>158578</v>
      </c>
      <c r="I9" s="14">
        <f t="shared" si="3"/>
        <v>769986</v>
      </c>
    </row>
    <row r="10">
      <c r="B10" s="10">
        <v>45557.0</v>
      </c>
      <c r="C10" s="15">
        <f>'SALE PL'!Q53</f>
        <v>-5995591</v>
      </c>
      <c r="D10" s="15">
        <f>'SALE PL'!R53</f>
        <v>5370750</v>
      </c>
      <c r="E10" s="13">
        <f t="shared" si="1"/>
        <v>-624841</v>
      </c>
      <c r="F10" s="14">
        <f>'PUR PL'!L58</f>
        <v>-4622753.62</v>
      </c>
      <c r="G10" s="14">
        <f>'PUR PL'!M58</f>
        <v>8647744</v>
      </c>
      <c r="H10" s="14">
        <f t="shared" si="2"/>
        <v>4024990.38</v>
      </c>
      <c r="I10" s="14">
        <f t="shared" si="3"/>
        <v>3400149.38</v>
      </c>
    </row>
    <row r="11">
      <c r="B11" s="10">
        <v>45587.0</v>
      </c>
      <c r="C11" s="15">
        <f>'SALE PL'!T53</f>
        <v>-11173844</v>
      </c>
      <c r="D11" s="15">
        <f>'SALE PL'!U53</f>
        <v>4661083</v>
      </c>
      <c r="E11" s="13">
        <f t="shared" si="1"/>
        <v>-6512761</v>
      </c>
      <c r="F11" s="14">
        <f>'PUR PL'!N58</f>
        <v>-5426385</v>
      </c>
      <c r="G11" s="14">
        <f>'PUR PL'!O58</f>
        <v>7864728</v>
      </c>
      <c r="H11" s="14">
        <f t="shared" si="2"/>
        <v>2438343</v>
      </c>
      <c r="I11" s="14">
        <f t="shared" si="3"/>
        <v>-4074418</v>
      </c>
    </row>
    <row r="12">
      <c r="B12" s="10">
        <v>45618.0</v>
      </c>
      <c r="C12" s="15">
        <f>'SALE PL'!W53</f>
        <v>-6253038</v>
      </c>
      <c r="D12" s="15">
        <f>'SALE PL'!X53</f>
        <v>5186072</v>
      </c>
      <c r="E12" s="13">
        <f t="shared" si="1"/>
        <v>-1066966</v>
      </c>
      <c r="F12" s="14">
        <f>'PUR PL'!P58</f>
        <v>-3329409</v>
      </c>
      <c r="G12" s="14">
        <f>'PUR PL'!Q58</f>
        <v>7683721</v>
      </c>
      <c r="H12" s="14">
        <f t="shared" si="2"/>
        <v>4354312</v>
      </c>
      <c r="I12" s="14">
        <f t="shared" si="3"/>
        <v>3287346</v>
      </c>
    </row>
    <row r="13">
      <c r="B13" s="10">
        <v>45648.0</v>
      </c>
      <c r="C13" s="15">
        <v>-1.0809163E7</v>
      </c>
      <c r="D13" s="15">
        <v>3896784.0</v>
      </c>
      <c r="E13" s="13">
        <f t="shared" si="1"/>
        <v>-6912379</v>
      </c>
      <c r="F13" s="14">
        <f>'PUR PL'!R58</f>
        <v>-3914667</v>
      </c>
      <c r="G13" s="14">
        <f>'PUR PL'!S58</f>
        <v>7732277</v>
      </c>
      <c r="H13" s="14">
        <f t="shared" si="2"/>
        <v>3817610</v>
      </c>
      <c r="I13" s="14">
        <f t="shared" si="3"/>
        <v>-3094769</v>
      </c>
    </row>
    <row r="14">
      <c r="B14" s="10">
        <v>45679.0</v>
      </c>
      <c r="C14" s="15">
        <f>'SALE PL'!AC53</f>
        <v>-10228573</v>
      </c>
      <c r="D14" s="15">
        <f>'SALE PL'!AD53</f>
        <v>3070685</v>
      </c>
      <c r="E14" s="13">
        <f t="shared" si="1"/>
        <v>-7157888</v>
      </c>
      <c r="F14" s="14">
        <f>'PUR PL'!T58</f>
        <v>-4731153</v>
      </c>
      <c r="G14" s="14">
        <f>'PUR PL'!U58</f>
        <v>9702473</v>
      </c>
      <c r="H14" s="14">
        <f t="shared" si="2"/>
        <v>4971320</v>
      </c>
      <c r="I14" s="14">
        <f t="shared" si="3"/>
        <v>-2186568</v>
      </c>
    </row>
    <row r="15">
      <c r="B15" s="10">
        <v>45710.0</v>
      </c>
      <c r="C15" s="15">
        <f>'SALE PL'!AF53</f>
        <v>-14343286</v>
      </c>
      <c r="D15" s="15">
        <f>'SALE PL'!AG53</f>
        <v>3676295</v>
      </c>
      <c r="E15" s="13">
        <f t="shared" si="1"/>
        <v>-10666991</v>
      </c>
      <c r="F15" s="14">
        <f>'PUR PL'!V58</f>
        <v>-5185880</v>
      </c>
      <c r="G15" s="14">
        <f>'PUR PL'!W58</f>
        <v>6682817</v>
      </c>
      <c r="H15" s="14">
        <f t="shared" si="2"/>
        <v>1496937</v>
      </c>
      <c r="I15" s="14">
        <f t="shared" si="3"/>
        <v>-9170054</v>
      </c>
    </row>
    <row r="16">
      <c r="B16" s="10">
        <v>45738.0</v>
      </c>
      <c r="C16" s="15">
        <f>'SALE PL'!AI53</f>
        <v>-20342203</v>
      </c>
      <c r="D16" s="15">
        <f>'SALE PL'!AJ53</f>
        <v>6610115</v>
      </c>
      <c r="E16" s="13">
        <f t="shared" si="1"/>
        <v>-13732088</v>
      </c>
      <c r="F16" s="14">
        <f>'PUR PL'!X58</f>
        <v>-6658226</v>
      </c>
      <c r="G16" s="14">
        <f>'PUR PL'!Y58</f>
        <v>16705406</v>
      </c>
      <c r="H16" s="14">
        <f t="shared" si="2"/>
        <v>10047180</v>
      </c>
      <c r="I16" s="14">
        <f t="shared" si="3"/>
        <v>-3684908</v>
      </c>
    </row>
    <row r="17">
      <c r="B17" s="16" t="s">
        <v>6</v>
      </c>
      <c r="C17" s="15">
        <f t="shared" ref="C17:D17" si="4">sum(C5:C16)</f>
        <v>-115231088</v>
      </c>
      <c r="D17" s="15">
        <f t="shared" si="4"/>
        <v>54973613</v>
      </c>
      <c r="E17" s="13">
        <f t="shared" si="1"/>
        <v>-60257475</v>
      </c>
      <c r="F17" s="15">
        <f t="shared" ref="F17:G17" si="5">sum(F5:F16)</f>
        <v>-70571678.81</v>
      </c>
      <c r="G17" s="17">
        <f t="shared" si="5"/>
        <v>84436378.22</v>
      </c>
      <c r="H17" s="14">
        <f t="shared" si="2"/>
        <v>13864699.41</v>
      </c>
      <c r="I17" s="14">
        <f t="shared" si="3"/>
        <v>-46392775.59</v>
      </c>
    </row>
    <row r="18">
      <c r="B18" s="4"/>
      <c r="C18" s="18"/>
      <c r="D18" s="7"/>
      <c r="E18" s="7"/>
      <c r="F18" s="7"/>
      <c r="G18" s="7"/>
      <c r="H18" s="7"/>
      <c r="I18" s="7"/>
    </row>
    <row r="19">
      <c r="B19" s="4"/>
      <c r="C19" s="8" t="s">
        <v>7</v>
      </c>
      <c r="D19" s="13">
        <f>E17</f>
        <v>-60257475</v>
      </c>
      <c r="E19" s="7"/>
      <c r="F19" s="9" t="s">
        <v>8</v>
      </c>
      <c r="G19" s="14">
        <f>H17</f>
        <v>13864699.41</v>
      </c>
      <c r="H19" s="7"/>
      <c r="I19" s="7"/>
    </row>
    <row r="20">
      <c r="B20" s="4"/>
      <c r="C20" s="18"/>
      <c r="D20" s="7"/>
      <c r="E20" s="7"/>
      <c r="F20" s="7"/>
      <c r="G20" s="7"/>
      <c r="H20" s="7"/>
      <c r="I20" s="7"/>
    </row>
    <row r="21">
      <c r="B21" s="4"/>
      <c r="C21" s="18"/>
      <c r="D21" s="9" t="s">
        <v>9</v>
      </c>
      <c r="E21" s="19">
        <f>D19+G19</f>
        <v>-46392775.59</v>
      </c>
      <c r="F21" s="20"/>
      <c r="G21" s="7"/>
      <c r="H21" s="7"/>
      <c r="I21" s="7"/>
    </row>
    <row r="22">
      <c r="B22" s="4"/>
      <c r="C22" s="18"/>
      <c r="D22" s="7"/>
      <c r="E22" s="7"/>
      <c r="F22" s="7"/>
      <c r="G22" s="7"/>
      <c r="H22" s="7"/>
      <c r="I22" s="7"/>
    </row>
    <row r="23">
      <c r="B23" s="4"/>
      <c r="C23" s="18"/>
      <c r="D23" s="7"/>
      <c r="E23" s="7"/>
      <c r="F23" s="7"/>
      <c r="G23" s="7"/>
      <c r="H23" s="7"/>
      <c r="I23" s="7"/>
    </row>
  </sheetData>
  <mergeCells count="3">
    <mergeCell ref="B2:I2"/>
    <mergeCell ref="C3:E3"/>
    <mergeCell ref="F3:H3"/>
  </mergeCells>
  <printOptions gridLines="1" horizontalCentered="1"/>
  <pageMargins bottom="0.2851445663010967" footer="0.0" header="0.0" left="0.27417746759720835" right="0.3070787637088734" top="0.2303090727816550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/>
      <c r="C3" s="5" t="s">
        <v>1</v>
      </c>
      <c r="D3" s="2"/>
      <c r="E3" s="3"/>
      <c r="F3" s="6" t="s">
        <v>2</v>
      </c>
      <c r="G3" s="2"/>
      <c r="H3" s="3"/>
      <c r="I3" s="7"/>
    </row>
    <row r="4">
      <c r="B4" s="4"/>
      <c r="C4" s="8" t="s">
        <v>3</v>
      </c>
      <c r="D4" s="9" t="s">
        <v>4</v>
      </c>
      <c r="E4" s="9" t="s">
        <v>5</v>
      </c>
      <c r="F4" s="9" t="s">
        <v>3</v>
      </c>
      <c r="G4" s="9" t="s">
        <v>4</v>
      </c>
      <c r="H4" s="9" t="s">
        <v>5</v>
      </c>
      <c r="I4" s="9" t="s">
        <v>5</v>
      </c>
    </row>
    <row r="5">
      <c r="B5" s="10">
        <v>45038.0</v>
      </c>
      <c r="C5" s="11">
        <v>-5689153.0</v>
      </c>
      <c r="D5" s="12">
        <v>7458522.0</v>
      </c>
      <c r="E5" s="13">
        <v>1769369.0</v>
      </c>
      <c r="F5" s="13">
        <v>-6483958.0</v>
      </c>
      <c r="G5" s="14">
        <v>1.650596E7</v>
      </c>
      <c r="H5" s="14">
        <v>1.0022002E7</v>
      </c>
      <c r="I5" s="14">
        <v>1.1791371E7</v>
      </c>
      <c r="K5" s="21">
        <v>1769369.0</v>
      </c>
    </row>
    <row r="6">
      <c r="B6" s="10">
        <v>45068.0</v>
      </c>
      <c r="C6" s="11">
        <v>-1.1776042E7</v>
      </c>
      <c r="D6" s="11">
        <v>5839788.0</v>
      </c>
      <c r="E6" s="13">
        <v>-5936254.0</v>
      </c>
      <c r="F6" s="14">
        <v>-2483687.0</v>
      </c>
      <c r="G6" s="14">
        <v>1.1498804E7</v>
      </c>
      <c r="H6" s="14">
        <v>9015117.0</v>
      </c>
      <c r="I6" s="14">
        <v>3078863.0</v>
      </c>
      <c r="K6" s="21">
        <v>-5936254.0</v>
      </c>
    </row>
    <row r="7">
      <c r="B7" s="10">
        <v>45099.0</v>
      </c>
      <c r="C7" s="11">
        <v>-1.2208244E7</v>
      </c>
      <c r="D7" s="11">
        <v>6598142.0</v>
      </c>
      <c r="E7" s="13">
        <v>-5610102.0</v>
      </c>
      <c r="F7" s="14">
        <v>-1012828.7900000002</v>
      </c>
      <c r="G7" s="14">
        <v>1.9046847549999997E7</v>
      </c>
      <c r="H7" s="14">
        <v>1.8034018759999998E7</v>
      </c>
      <c r="I7" s="14">
        <v>1.2423916759999998E7</v>
      </c>
      <c r="K7" s="21">
        <v>-5610102.0</v>
      </c>
    </row>
    <row r="8">
      <c r="B8" s="10">
        <v>45129.0</v>
      </c>
      <c r="C8" s="11">
        <v>-1.268524E7</v>
      </c>
      <c r="D8" s="11">
        <v>5835025.0</v>
      </c>
      <c r="E8" s="13">
        <v>-6850215.0</v>
      </c>
      <c r="F8" s="14">
        <v>-1957418.0</v>
      </c>
      <c r="G8" s="14">
        <v>1.557242E7</v>
      </c>
      <c r="H8" s="14">
        <v>1.3615002E7</v>
      </c>
      <c r="I8" s="14">
        <v>6764787.0</v>
      </c>
      <c r="K8" s="21">
        <v>-6850215.0</v>
      </c>
    </row>
    <row r="9">
      <c r="B9" s="10">
        <v>45160.0</v>
      </c>
      <c r="C9" s="11">
        <v>-9874051.0</v>
      </c>
      <c r="D9" s="11">
        <v>4231064.0</v>
      </c>
      <c r="E9" s="13">
        <v>-5642987.0</v>
      </c>
      <c r="F9" s="14">
        <v>-2438040.7100000004</v>
      </c>
      <c r="G9" s="14">
        <v>3.654179511000001E7</v>
      </c>
      <c r="H9" s="14">
        <v>3.4103754400000006E7</v>
      </c>
      <c r="I9" s="14">
        <v>2.8460767400000006E7</v>
      </c>
      <c r="K9" s="21">
        <v>-5642987.0</v>
      </c>
    </row>
    <row r="10">
      <c r="B10" s="10">
        <v>45191.0</v>
      </c>
      <c r="C10" s="15">
        <v>-1.2130677E7</v>
      </c>
      <c r="D10" s="15">
        <v>4043430.0</v>
      </c>
      <c r="E10" s="13">
        <v>-8087247.0</v>
      </c>
      <c r="F10" s="14">
        <v>-2127090.0</v>
      </c>
      <c r="G10" s="14">
        <v>2.3591367E7</v>
      </c>
      <c r="H10" s="14">
        <v>2.1464277E7</v>
      </c>
      <c r="I10" s="14">
        <v>1.337703E7</v>
      </c>
      <c r="K10" s="21">
        <v>-8087247.0</v>
      </c>
    </row>
    <row r="11">
      <c r="B11" s="10">
        <v>45221.0</v>
      </c>
      <c r="C11" s="15">
        <v>-1.8019571E7</v>
      </c>
      <c r="D11" s="15">
        <v>4134735.0</v>
      </c>
      <c r="E11" s="13">
        <v>-1.3884836E7</v>
      </c>
      <c r="F11" s="14">
        <v>-1964670.0</v>
      </c>
      <c r="G11" s="14">
        <v>2171417.0</v>
      </c>
      <c r="H11" s="14">
        <v>206747.0</v>
      </c>
      <c r="I11" s="14">
        <v>-1.3678089E7</v>
      </c>
      <c r="K11" s="22">
        <v>-8116751.0</v>
      </c>
    </row>
    <row r="12">
      <c r="B12" s="10">
        <v>45252.0</v>
      </c>
      <c r="C12" s="15">
        <v>-2.3323347E7</v>
      </c>
      <c r="D12" s="15">
        <v>3243407.0</v>
      </c>
      <c r="E12" s="13">
        <v>-2.007994E7</v>
      </c>
      <c r="F12" s="14">
        <v>-1428221.0</v>
      </c>
      <c r="G12" s="14">
        <v>1.82822268E7</v>
      </c>
      <c r="H12" s="14">
        <v>1.68540058E7</v>
      </c>
      <c r="I12" s="14">
        <v>-3225934.1999999993</v>
      </c>
      <c r="K12" s="21">
        <v>29504.0</v>
      </c>
    </row>
    <row r="13">
      <c r="B13" s="10">
        <v>45282.0</v>
      </c>
      <c r="C13" s="15">
        <v>-1.5268893E7</v>
      </c>
      <c r="D13" s="15">
        <v>3976756.0</v>
      </c>
      <c r="E13" s="13">
        <v>-1.1292137E7</v>
      </c>
      <c r="F13" s="13">
        <v>-1570772.0</v>
      </c>
      <c r="G13" s="13">
        <v>2.5863085E7</v>
      </c>
      <c r="H13" s="13">
        <v>2.4292313E7</v>
      </c>
      <c r="I13" s="13">
        <v>1.3000176E7</v>
      </c>
    </row>
    <row r="14">
      <c r="B14" s="10">
        <v>45313.0</v>
      </c>
      <c r="C14" s="15">
        <v>-1.5243446E7</v>
      </c>
      <c r="D14" s="15">
        <v>3809903.0</v>
      </c>
      <c r="E14" s="13">
        <v>-1.1433543E7</v>
      </c>
      <c r="F14" s="14">
        <v>-983635.0</v>
      </c>
      <c r="G14" s="14">
        <v>3.6685929E7</v>
      </c>
      <c r="H14" s="14">
        <v>3.5702294E7</v>
      </c>
      <c r="I14" s="14">
        <v>2.4268751E7</v>
      </c>
    </row>
    <row r="15">
      <c r="B15" s="10">
        <v>45344.0</v>
      </c>
      <c r="C15" s="15">
        <v>-1.7066467E7</v>
      </c>
      <c r="D15" s="13">
        <v>3862308.0</v>
      </c>
      <c r="E15" s="13">
        <v>-1.3204159E7</v>
      </c>
      <c r="F15" s="13">
        <v>-2648919.0</v>
      </c>
      <c r="G15" s="13">
        <v>2.9229306E7</v>
      </c>
      <c r="H15" s="13">
        <v>2.6580387E7</v>
      </c>
      <c r="I15" s="13">
        <v>1.3376228E7</v>
      </c>
    </row>
    <row r="16">
      <c r="B16" s="10">
        <v>45373.0</v>
      </c>
      <c r="C16" s="15">
        <v>-3.1165191E7</v>
      </c>
      <c r="D16" s="15">
        <v>6588173.0</v>
      </c>
      <c r="E16" s="13">
        <v>-2.4577018E7</v>
      </c>
      <c r="F16" s="13">
        <v>-3460620.0</v>
      </c>
      <c r="G16" s="13">
        <v>2.7777186E7</v>
      </c>
      <c r="H16" s="13">
        <v>2.4316566E7</v>
      </c>
      <c r="I16" s="13">
        <v>-260452.0</v>
      </c>
    </row>
    <row r="17">
      <c r="B17" s="16" t="s">
        <v>6</v>
      </c>
      <c r="C17" s="15">
        <v>-1.84450322E8</v>
      </c>
      <c r="D17" s="15">
        <v>5.9621253E7</v>
      </c>
      <c r="E17" s="15">
        <v>-1.24829069E8</v>
      </c>
      <c r="F17" s="15">
        <v>-2.85598595E7</v>
      </c>
      <c r="G17" s="17">
        <v>2.6276634346E8</v>
      </c>
      <c r="H17" s="17">
        <v>2.3420648395999998E8</v>
      </c>
      <c r="I17" s="14">
        <v>1.0937741495999998E8</v>
      </c>
    </row>
    <row r="18">
      <c r="B18" s="4"/>
      <c r="C18" s="18"/>
      <c r="D18" s="7"/>
      <c r="E18" s="7"/>
      <c r="F18" s="7"/>
      <c r="G18" s="7"/>
      <c r="H18" s="7"/>
      <c r="I18" s="7"/>
    </row>
    <row r="19">
      <c r="B19" s="4"/>
      <c r="C19" s="8" t="s">
        <v>7</v>
      </c>
      <c r="D19" s="13">
        <v>-1.24829069E8</v>
      </c>
      <c r="E19" s="7"/>
      <c r="F19" s="9" t="s">
        <v>8</v>
      </c>
      <c r="G19" s="14">
        <v>2.3420648396E8</v>
      </c>
      <c r="H19" s="7"/>
      <c r="I19" s="7"/>
    </row>
    <row r="20">
      <c r="B20" s="4"/>
      <c r="C20" s="18"/>
      <c r="D20" s="7"/>
      <c r="E20" s="7"/>
      <c r="F20" s="7"/>
      <c r="G20" s="7"/>
      <c r="H20" s="7"/>
      <c r="I20" s="7"/>
    </row>
    <row r="21">
      <c r="B21" s="4"/>
      <c r="C21" s="18"/>
      <c r="D21" s="9" t="s">
        <v>9</v>
      </c>
      <c r="E21" s="19">
        <v>1.0937741496000001E8</v>
      </c>
      <c r="F21" s="20"/>
      <c r="G21" s="7"/>
      <c r="H21" s="7"/>
      <c r="I21" s="7"/>
    </row>
    <row r="22">
      <c r="B22" s="4"/>
      <c r="C22" s="18"/>
      <c r="D22" s="7"/>
      <c r="E22" s="7"/>
      <c r="F22" s="7"/>
      <c r="G22" s="7"/>
      <c r="H22" s="7"/>
      <c r="I22" s="7"/>
    </row>
    <row r="23">
      <c r="B23" s="4"/>
      <c r="C23" s="18"/>
      <c r="D23" s="7"/>
      <c r="E23" s="7"/>
      <c r="F23" s="7"/>
      <c r="G23" s="7"/>
      <c r="H23" s="7"/>
      <c r="I23" s="7"/>
    </row>
  </sheetData>
  <mergeCells count="3">
    <mergeCell ref="B2:I2"/>
    <mergeCell ref="C3:E3"/>
    <mergeCell ref="F3:H3"/>
  </mergeCells>
  <printOptions gridLines="1" horizontalCentered="1"/>
  <pageMargins bottom="0.2851445663010967" footer="0.0" header="0.0" left="0.27417746759720835" right="0.3070787637088734" top="0.2303090727816550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B2" s="23" t="s">
        <v>0</v>
      </c>
      <c r="C2" s="2"/>
      <c r="D2" s="2"/>
      <c r="E2" s="2"/>
      <c r="F2" s="2"/>
      <c r="G2" s="2"/>
      <c r="H2" s="2"/>
      <c r="I2" s="3"/>
    </row>
    <row r="3">
      <c r="B3" s="24"/>
      <c r="C3" s="25" t="s">
        <v>1</v>
      </c>
      <c r="D3" s="26"/>
      <c r="E3" s="27"/>
      <c r="F3" s="25" t="s">
        <v>2</v>
      </c>
      <c r="G3" s="26"/>
      <c r="H3" s="27"/>
      <c r="I3" s="28"/>
    </row>
    <row r="4">
      <c r="B4" s="24"/>
      <c r="C4" s="29" t="s">
        <v>3</v>
      </c>
      <c r="D4" s="29" t="s">
        <v>4</v>
      </c>
      <c r="E4" s="29" t="s">
        <v>5</v>
      </c>
      <c r="F4" s="29" t="s">
        <v>3</v>
      </c>
      <c r="G4" s="29" t="s">
        <v>4</v>
      </c>
      <c r="H4" s="29" t="s">
        <v>5</v>
      </c>
      <c r="I4" s="29" t="s">
        <v>5</v>
      </c>
    </row>
    <row r="5">
      <c r="B5" s="30">
        <v>44652.0</v>
      </c>
      <c r="C5" s="31">
        <v>-2288412.0</v>
      </c>
      <c r="D5" s="31">
        <v>8912190.0</v>
      </c>
      <c r="E5" s="31">
        <v>6623778.0</v>
      </c>
      <c r="F5" s="31">
        <v>-5870297.0</v>
      </c>
      <c r="G5" s="32">
        <v>4551854.0</v>
      </c>
      <c r="H5" s="32">
        <v>-1318443.0</v>
      </c>
      <c r="I5" s="32">
        <v>5305335.0</v>
      </c>
    </row>
    <row r="6">
      <c r="B6" s="30">
        <v>44682.0</v>
      </c>
      <c r="C6" s="31">
        <v>-2914247.0</v>
      </c>
      <c r="D6" s="31">
        <v>8138644.0</v>
      </c>
      <c r="E6" s="31">
        <v>5224397.0</v>
      </c>
      <c r="F6" s="32">
        <v>-6810797.0</v>
      </c>
      <c r="G6" s="32">
        <v>3119443.0</v>
      </c>
      <c r="H6" s="32">
        <v>-3691354.0</v>
      </c>
      <c r="I6" s="32">
        <v>1533043.0</v>
      </c>
    </row>
    <row r="7">
      <c r="B7" s="30">
        <v>44713.0</v>
      </c>
      <c r="C7" s="31">
        <v>-1.1083576E7</v>
      </c>
      <c r="D7" s="31">
        <v>8070391.0</v>
      </c>
      <c r="E7" s="31">
        <v>-3013185.0</v>
      </c>
      <c r="F7" s="32">
        <v>-6117285.0</v>
      </c>
      <c r="G7" s="32">
        <v>4703325.0</v>
      </c>
      <c r="H7" s="32">
        <v>-1413960.0</v>
      </c>
      <c r="I7" s="32">
        <v>-4427145.0</v>
      </c>
    </row>
    <row r="8">
      <c r="B8" s="30">
        <v>44743.0</v>
      </c>
      <c r="C8" s="31">
        <v>-1.1609766E7</v>
      </c>
      <c r="D8" s="31">
        <v>6545897.0</v>
      </c>
      <c r="E8" s="31">
        <v>-5063869.0</v>
      </c>
      <c r="F8" s="32">
        <v>-4816917.0</v>
      </c>
      <c r="G8" s="32">
        <v>5539940.0</v>
      </c>
      <c r="H8" s="32">
        <v>723023.0</v>
      </c>
      <c r="I8" s="32">
        <v>-4340846.0</v>
      </c>
    </row>
    <row r="9">
      <c r="B9" s="30">
        <v>44774.0</v>
      </c>
      <c r="C9" s="31">
        <v>-1.6282798E7</v>
      </c>
      <c r="D9" s="31">
        <v>7224385.0</v>
      </c>
      <c r="E9" s="31">
        <v>-9058413.0</v>
      </c>
      <c r="F9" s="32">
        <v>-3625049.0</v>
      </c>
      <c r="G9" s="32">
        <v>1.4079179E7</v>
      </c>
      <c r="H9" s="32">
        <v>1.045413E7</v>
      </c>
      <c r="I9" s="32">
        <v>1395717.0</v>
      </c>
    </row>
    <row r="10">
      <c r="B10" s="30">
        <v>44805.0</v>
      </c>
      <c r="C10" s="31">
        <v>-4.5364754E7</v>
      </c>
      <c r="D10" s="31">
        <v>6768086.0</v>
      </c>
      <c r="E10" s="31">
        <v>-3.8596668E7</v>
      </c>
      <c r="F10" s="32">
        <v>-3004609.0</v>
      </c>
      <c r="G10" s="32">
        <v>1.446719E7</v>
      </c>
      <c r="H10" s="32">
        <v>1.1462581E7</v>
      </c>
      <c r="I10" s="32">
        <v>-2.7134087E7</v>
      </c>
    </row>
    <row r="11">
      <c r="B11" s="30">
        <v>44835.0</v>
      </c>
      <c r="C11" s="31">
        <v>-2.0060008E7</v>
      </c>
      <c r="D11" s="31">
        <v>5919053.0</v>
      </c>
      <c r="E11" s="31">
        <v>-1.4140955E7</v>
      </c>
      <c r="F11" s="32">
        <v>-2776341.0</v>
      </c>
      <c r="G11" s="32">
        <v>1.5093366E7</v>
      </c>
      <c r="H11" s="32">
        <v>1.2317025E7</v>
      </c>
      <c r="I11" s="32">
        <v>-1823930.0</v>
      </c>
    </row>
    <row r="12">
      <c r="B12" s="30">
        <v>44866.0</v>
      </c>
      <c r="C12" s="31">
        <v>-2.8538594E7</v>
      </c>
      <c r="D12" s="31">
        <v>6357898.0</v>
      </c>
      <c r="E12" s="31">
        <v>-2.2180696E7</v>
      </c>
      <c r="F12" s="32">
        <v>-2577566.0</v>
      </c>
      <c r="G12" s="32">
        <v>2.5119092E7</v>
      </c>
      <c r="H12" s="32">
        <v>2.2541526E7</v>
      </c>
      <c r="I12" s="32">
        <v>360830.0</v>
      </c>
    </row>
    <row r="13">
      <c r="B13" s="30">
        <v>44896.0</v>
      </c>
      <c r="C13" s="31">
        <v>-2.509413E7</v>
      </c>
      <c r="D13" s="31">
        <v>7176527.0</v>
      </c>
      <c r="E13" s="31">
        <v>-1.7917603E7</v>
      </c>
      <c r="F13" s="31">
        <v>-1929742.0</v>
      </c>
      <c r="G13" s="31">
        <v>2.4166072E7</v>
      </c>
      <c r="H13" s="31">
        <v>2.223633E7</v>
      </c>
      <c r="I13" s="31">
        <v>4318727.0</v>
      </c>
    </row>
    <row r="14">
      <c r="B14" s="30">
        <v>44927.0</v>
      </c>
      <c r="C14" s="31">
        <v>-4.5385504E7</v>
      </c>
      <c r="D14" s="31">
        <v>5615307.0</v>
      </c>
      <c r="E14" s="31">
        <v>-3.9770197E7</v>
      </c>
      <c r="F14" s="31">
        <v>-2903489.0</v>
      </c>
      <c r="G14" s="31">
        <v>2.6242235E7</v>
      </c>
      <c r="H14" s="31">
        <v>2.3338746E7</v>
      </c>
      <c r="I14" s="31">
        <v>-1.6431451E7</v>
      </c>
    </row>
    <row r="15">
      <c r="B15" s="30">
        <v>44958.0</v>
      </c>
      <c r="C15" s="31">
        <v>-3.0227857E7</v>
      </c>
      <c r="D15" s="31">
        <v>6225085.0</v>
      </c>
      <c r="E15" s="31">
        <v>-2.4002772E7</v>
      </c>
      <c r="F15" s="31">
        <v>-3207476.0</v>
      </c>
      <c r="G15" s="31">
        <v>3.3048583E7</v>
      </c>
      <c r="H15" s="31">
        <v>2.9841107E7</v>
      </c>
      <c r="I15" s="31">
        <v>5838335.0</v>
      </c>
    </row>
    <row r="16">
      <c r="B16" s="30">
        <v>44986.0</v>
      </c>
      <c r="C16" s="31">
        <v>-4.9530589E7</v>
      </c>
      <c r="D16" s="31">
        <v>1.0189087E7</v>
      </c>
      <c r="E16" s="31">
        <v>-3.9341502E7</v>
      </c>
      <c r="F16" s="31">
        <v>-4120469.0</v>
      </c>
      <c r="G16" s="31">
        <v>4.4987491E7</v>
      </c>
      <c r="H16" s="31">
        <v>4.0867022E7</v>
      </c>
      <c r="I16" s="31">
        <v>1525520.0</v>
      </c>
    </row>
    <row r="17">
      <c r="B17" s="33" t="s">
        <v>6</v>
      </c>
      <c r="C17" s="31">
        <f t="shared" ref="C17:I17" si="1">SUM(C4:C16)</f>
        <v>-288380235</v>
      </c>
      <c r="D17" s="31">
        <f t="shared" si="1"/>
        <v>87142550</v>
      </c>
      <c r="E17" s="31">
        <f t="shared" si="1"/>
        <v>-201237685</v>
      </c>
      <c r="F17" s="31">
        <f t="shared" si="1"/>
        <v>-47760037</v>
      </c>
      <c r="G17" s="31">
        <f t="shared" si="1"/>
        <v>215117770</v>
      </c>
      <c r="H17" s="31">
        <f t="shared" si="1"/>
        <v>167357733</v>
      </c>
      <c r="I17" s="31">
        <f t="shared" si="1"/>
        <v>-33879952</v>
      </c>
    </row>
    <row r="18">
      <c r="B18" s="24"/>
      <c r="C18" s="28"/>
      <c r="D18" s="28"/>
      <c r="E18" s="28"/>
      <c r="F18" s="28"/>
      <c r="G18" s="28"/>
      <c r="H18" s="28"/>
      <c r="I18" s="28"/>
    </row>
    <row r="19">
      <c r="B19" s="24"/>
      <c r="C19" s="29" t="s">
        <v>7</v>
      </c>
      <c r="D19" s="31">
        <f>E17</f>
        <v>-201237685</v>
      </c>
      <c r="E19" s="28"/>
      <c r="F19" s="29" t="s">
        <v>8</v>
      </c>
      <c r="G19" s="32">
        <f>H17</f>
        <v>167357733</v>
      </c>
      <c r="H19" s="28"/>
      <c r="I19" s="28"/>
    </row>
    <row r="20">
      <c r="B20" s="24"/>
      <c r="C20" s="28"/>
      <c r="D20" s="28"/>
      <c r="E20" s="28"/>
      <c r="F20" s="28"/>
      <c r="G20" s="28"/>
      <c r="H20" s="28"/>
      <c r="I20" s="28"/>
    </row>
    <row r="21">
      <c r="B21" s="24"/>
      <c r="C21" s="28"/>
      <c r="D21" s="29" t="s">
        <v>9</v>
      </c>
      <c r="E21" s="32">
        <f>D19-G19</f>
        <v>-368595418</v>
      </c>
      <c r="F21" s="34"/>
      <c r="G21" s="28"/>
      <c r="H21" s="28"/>
      <c r="I21" s="28"/>
    </row>
    <row r="22">
      <c r="B22" s="24"/>
      <c r="C22" s="28"/>
      <c r="D22" s="28"/>
      <c r="E22" s="28"/>
      <c r="F22" s="28"/>
      <c r="G22" s="28"/>
      <c r="H22" s="28"/>
      <c r="I22" s="28"/>
    </row>
    <row r="23">
      <c r="B23" s="24"/>
      <c r="C23" s="28"/>
      <c r="D23" s="28"/>
      <c r="E23" s="28"/>
      <c r="F23" s="28"/>
      <c r="G23" s="28"/>
      <c r="H23" s="28"/>
      <c r="I23" s="28"/>
    </row>
  </sheetData>
  <mergeCells count="1">
    <mergeCell ref="B2:I2"/>
  </mergeCells>
  <printOptions gridLines="1" horizontalCentered="1"/>
  <pageMargins bottom="0.2851445663010967" footer="0.0" header="0.0" left="0.27417746759720835" right="0.3070787637088734" top="0.2303090727816550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2"/>
      <c r="G2" s="2"/>
      <c r="H2" s="3"/>
    </row>
    <row r="3">
      <c r="A3" s="4"/>
      <c r="B3" s="5" t="s">
        <v>1</v>
      </c>
      <c r="C3" s="2"/>
      <c r="D3" s="3"/>
      <c r="E3" s="6" t="s">
        <v>2</v>
      </c>
      <c r="F3" s="2"/>
      <c r="G3" s="3"/>
      <c r="H3" s="7"/>
    </row>
    <row r="4">
      <c r="A4" s="4"/>
      <c r="B4" s="8" t="s">
        <v>3</v>
      </c>
      <c r="C4" s="9" t="s">
        <v>4</v>
      </c>
      <c r="D4" s="9" t="s">
        <v>5</v>
      </c>
      <c r="E4" s="9" t="s">
        <v>3</v>
      </c>
      <c r="F4" s="9" t="s">
        <v>4</v>
      </c>
      <c r="G4" s="9" t="s">
        <v>5</v>
      </c>
      <c r="H4" s="9" t="s">
        <v>5</v>
      </c>
    </row>
    <row r="5">
      <c r="A5" s="35">
        <v>45037.0</v>
      </c>
      <c r="B5" s="15">
        <v>-1518981.0</v>
      </c>
      <c r="C5" s="13">
        <v>4883091.0</v>
      </c>
      <c r="D5" s="13">
        <v>3364110.0</v>
      </c>
      <c r="E5" s="13">
        <v>-1.3545944E7</v>
      </c>
      <c r="F5" s="13">
        <v>110104.0</v>
      </c>
      <c r="G5" s="13">
        <v>-1.343584E7</v>
      </c>
      <c r="H5" s="13">
        <v>-1.007173E7</v>
      </c>
    </row>
    <row r="6">
      <c r="A6" s="36">
        <v>45067.0</v>
      </c>
      <c r="B6" s="15">
        <v>-875527.0</v>
      </c>
      <c r="C6" s="13">
        <v>4470885.0</v>
      </c>
      <c r="D6" s="13">
        <v>3595358.0</v>
      </c>
      <c r="E6" s="13">
        <v>-2854887.0</v>
      </c>
      <c r="F6" s="13">
        <v>20968.0</v>
      </c>
      <c r="G6" s="13">
        <v>-2833919.0</v>
      </c>
      <c r="H6" s="13">
        <v>761439.0</v>
      </c>
    </row>
    <row r="7">
      <c r="A7" s="35">
        <v>45098.0</v>
      </c>
      <c r="B7" s="15">
        <v>-3347550.0</v>
      </c>
      <c r="C7" s="13">
        <v>8877943.0</v>
      </c>
      <c r="D7" s="13">
        <v>5530393.0</v>
      </c>
      <c r="E7" s="13">
        <v>-3681159.0</v>
      </c>
      <c r="F7" s="13">
        <v>167984.0</v>
      </c>
      <c r="G7" s="13">
        <v>-3513175.0</v>
      </c>
      <c r="H7" s="13">
        <v>2017218.0</v>
      </c>
    </row>
    <row r="8">
      <c r="A8" s="35">
        <v>45128.0</v>
      </c>
      <c r="B8" s="15">
        <v>-3443916.0</v>
      </c>
      <c r="C8" s="13">
        <v>8890124.0</v>
      </c>
      <c r="D8" s="13">
        <v>5446208.0</v>
      </c>
      <c r="E8" s="13">
        <v>-2.0227691E7</v>
      </c>
      <c r="F8" s="13">
        <v>320771.0</v>
      </c>
      <c r="G8" s="13">
        <v>-1.990692E7</v>
      </c>
      <c r="H8" s="13">
        <v>-1.4460712E7</v>
      </c>
    </row>
    <row r="9">
      <c r="A9" s="35">
        <v>45159.0</v>
      </c>
      <c r="B9" s="15">
        <v>-3771585.0</v>
      </c>
      <c r="C9" s="13">
        <v>9567913.0</v>
      </c>
      <c r="D9" s="13">
        <v>5796328.0</v>
      </c>
      <c r="E9" s="13">
        <v>-2.3893768E7</v>
      </c>
      <c r="F9" s="13">
        <v>642002.0</v>
      </c>
      <c r="G9" s="13">
        <v>-2.3251766E7</v>
      </c>
      <c r="H9" s="13">
        <v>-1.7455438E7</v>
      </c>
    </row>
    <row r="10">
      <c r="A10" s="35">
        <v>45190.0</v>
      </c>
      <c r="B10" s="15">
        <v>-5346594.0</v>
      </c>
      <c r="C10" s="13">
        <v>1.2486454E7</v>
      </c>
      <c r="D10" s="13">
        <v>7139860.0</v>
      </c>
      <c r="E10" s="13">
        <v>-3.8708794E7</v>
      </c>
      <c r="F10" s="13">
        <v>633587.0</v>
      </c>
      <c r="G10" s="13">
        <v>-3.8075207E7</v>
      </c>
      <c r="H10" s="13">
        <v>-3.0935347E7</v>
      </c>
    </row>
    <row r="11">
      <c r="A11" s="35">
        <v>45220.0</v>
      </c>
      <c r="B11" s="15">
        <v>-2034591.0</v>
      </c>
      <c r="C11" s="13">
        <v>1.6065151E7</v>
      </c>
      <c r="D11" s="13">
        <v>1.403056E7</v>
      </c>
      <c r="E11" s="13">
        <v>-3.25093E7</v>
      </c>
      <c r="F11" s="13">
        <v>236900.0</v>
      </c>
      <c r="G11" s="13">
        <v>-3.22724E7</v>
      </c>
      <c r="H11" s="13">
        <v>-1.824184E7</v>
      </c>
    </row>
    <row r="12">
      <c r="A12" s="35">
        <v>45251.0</v>
      </c>
      <c r="B12" s="15">
        <v>-1073603.0</v>
      </c>
      <c r="C12" s="13">
        <v>2.316223E7</v>
      </c>
      <c r="D12" s="13">
        <v>2.2088627E7</v>
      </c>
      <c r="E12" s="13">
        <v>-1.2977217E7</v>
      </c>
      <c r="F12" s="13">
        <v>64002.0</v>
      </c>
      <c r="G12" s="13">
        <v>-1.2913215E7</v>
      </c>
      <c r="H12" s="13">
        <v>9175412.0</v>
      </c>
    </row>
    <row r="13">
      <c r="A13" s="35">
        <v>45281.0</v>
      </c>
      <c r="B13" s="15">
        <v>-2637803.0</v>
      </c>
      <c r="C13" s="13">
        <v>2.8301559E7</v>
      </c>
      <c r="D13" s="13">
        <v>2.5663756E7</v>
      </c>
      <c r="E13" s="13">
        <v>-2.7266364E7</v>
      </c>
      <c r="F13" s="13">
        <v>174688.0</v>
      </c>
      <c r="G13" s="13">
        <v>-2.7091676E7</v>
      </c>
      <c r="H13" s="13">
        <v>-1427920.0</v>
      </c>
    </row>
    <row r="14">
      <c r="A14" s="35">
        <v>44948.0</v>
      </c>
      <c r="B14" s="15">
        <v>-2299494.0</v>
      </c>
      <c r="C14" s="13">
        <v>2.3738252E7</v>
      </c>
      <c r="D14" s="13">
        <v>2.1438758E7</v>
      </c>
      <c r="E14" s="13">
        <v>-2.9919171E7</v>
      </c>
      <c r="F14" s="13">
        <v>2119654.0</v>
      </c>
      <c r="G14" s="13">
        <v>-2.7799517E7</v>
      </c>
      <c r="H14" s="13">
        <v>-6360759.0</v>
      </c>
    </row>
    <row r="15">
      <c r="A15" s="35">
        <v>44979.0</v>
      </c>
      <c r="B15" s="15">
        <v>-3084251.0</v>
      </c>
      <c r="C15" s="13">
        <v>2.4856393E7</v>
      </c>
      <c r="D15" s="13">
        <v>2.1772142E7</v>
      </c>
      <c r="E15" s="13">
        <v>-3.6334114E7</v>
      </c>
      <c r="F15" s="13">
        <v>657712.0</v>
      </c>
      <c r="G15" s="13">
        <v>-3.5676402E7</v>
      </c>
      <c r="H15" s="13">
        <v>-1.390426E7</v>
      </c>
    </row>
    <row r="16">
      <c r="A16" s="35">
        <v>45007.0</v>
      </c>
      <c r="B16" s="15">
        <v>-4418624.0</v>
      </c>
      <c r="C16" s="13">
        <v>3.9419847E7</v>
      </c>
      <c r="D16" s="13">
        <v>3.5001223E7</v>
      </c>
      <c r="E16" s="13">
        <v>-3.552292E7</v>
      </c>
      <c r="F16" s="13">
        <v>886169.0</v>
      </c>
      <c r="G16" s="13">
        <v>-3.4636751E7</v>
      </c>
      <c r="H16" s="13">
        <v>364472.0</v>
      </c>
    </row>
    <row r="17">
      <c r="A17" s="16" t="s">
        <v>6</v>
      </c>
      <c r="B17" s="15">
        <v>-3.3852519E7</v>
      </c>
      <c r="C17" s="13">
        <v>2.04719842E8</v>
      </c>
      <c r="D17" s="13">
        <v>1.70867323E8</v>
      </c>
      <c r="E17" s="13">
        <v>-2.77441329E8</v>
      </c>
      <c r="F17" s="13">
        <v>6034541.0</v>
      </c>
      <c r="G17" s="13">
        <v>-2.71406788E8</v>
      </c>
      <c r="H17" s="13">
        <v>-1.00539465E8</v>
      </c>
    </row>
    <row r="18">
      <c r="A18" s="4"/>
      <c r="B18" s="18"/>
      <c r="C18" s="7"/>
      <c r="D18" s="7"/>
      <c r="E18" s="7"/>
      <c r="F18" s="7"/>
      <c r="G18" s="7"/>
      <c r="H18" s="7"/>
    </row>
    <row r="19">
      <c r="A19" s="4"/>
      <c r="B19" s="8" t="s">
        <v>7</v>
      </c>
      <c r="C19" s="13">
        <v>1.70867323E8</v>
      </c>
      <c r="D19" s="7"/>
      <c r="E19" s="9" t="s">
        <v>8</v>
      </c>
      <c r="F19" s="13">
        <v>-2.71406788E8</v>
      </c>
      <c r="G19" s="7"/>
      <c r="H19" s="7"/>
    </row>
    <row r="20">
      <c r="A20" s="4"/>
      <c r="B20" s="18"/>
      <c r="C20" s="7"/>
      <c r="D20" s="7"/>
      <c r="E20" s="7"/>
      <c r="F20" s="7"/>
      <c r="G20" s="7"/>
      <c r="H20" s="7"/>
    </row>
    <row r="21">
      <c r="A21" s="4"/>
      <c r="B21" s="18"/>
      <c r="C21" s="9" t="s">
        <v>9</v>
      </c>
      <c r="D21" s="7"/>
      <c r="E21" s="20">
        <v>-1.00539465E8</v>
      </c>
      <c r="F21" s="7"/>
      <c r="G21" s="7"/>
      <c r="H21" s="7"/>
    </row>
    <row r="22">
      <c r="A22" s="4"/>
      <c r="B22" s="18"/>
      <c r="C22" s="7"/>
      <c r="D22" s="7"/>
      <c r="E22" s="7"/>
      <c r="F22" s="7"/>
      <c r="G22" s="7"/>
      <c r="H22" s="7"/>
    </row>
    <row r="23">
      <c r="A23" s="4"/>
      <c r="B23" s="18"/>
      <c r="C23" s="7"/>
      <c r="D23" s="7"/>
      <c r="E23" s="7"/>
      <c r="F23" s="7"/>
      <c r="G23" s="7"/>
      <c r="H23" s="7"/>
    </row>
  </sheetData>
  <mergeCells count="3">
    <mergeCell ref="A2:H2"/>
    <mergeCell ref="B3:D3"/>
    <mergeCell ref="E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hidden="1" min="2" max="3" width="12.63" outlineLevel="1"/>
    <col customWidth="1" hidden="1" min="4" max="4" width="15.25" outlineLevel="1"/>
    <col hidden="1" min="5" max="25" width="12.63" outlineLevel="1"/>
    <col collapsed="1" min="26" max="26" width="12.63"/>
    <col min="35" max="37" width="12.63" outlineLevel="1"/>
    <col customWidth="1" min="42" max="42" width="19.63"/>
    <col customWidth="1" min="43" max="43" width="19.75"/>
  </cols>
  <sheetData>
    <row r="1">
      <c r="A1" s="37" t="s">
        <v>10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9"/>
    </row>
    <row r="2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2"/>
    </row>
    <row r="3">
      <c r="A3" s="43" t="s">
        <v>11</v>
      </c>
      <c r="B3" s="44">
        <v>45406.0</v>
      </c>
      <c r="C3" s="2"/>
      <c r="D3" s="3"/>
      <c r="E3" s="44">
        <v>44705.0</v>
      </c>
      <c r="F3" s="2"/>
      <c r="G3" s="3"/>
      <c r="H3" s="44">
        <v>44736.0</v>
      </c>
      <c r="I3" s="2"/>
      <c r="J3" s="3"/>
      <c r="K3" s="44">
        <v>44766.0</v>
      </c>
      <c r="L3" s="2"/>
      <c r="M3" s="3"/>
      <c r="N3" s="44">
        <v>44797.0</v>
      </c>
      <c r="O3" s="2"/>
      <c r="P3" s="3"/>
      <c r="Q3" s="44">
        <v>44828.0</v>
      </c>
      <c r="R3" s="2"/>
      <c r="S3" s="3"/>
      <c r="T3" s="44">
        <v>44858.0</v>
      </c>
      <c r="U3" s="2"/>
      <c r="V3" s="3"/>
      <c r="W3" s="44">
        <v>44889.0</v>
      </c>
      <c r="X3" s="2"/>
      <c r="Y3" s="3"/>
      <c r="Z3" s="44">
        <v>44919.0</v>
      </c>
      <c r="AA3" s="2"/>
      <c r="AB3" s="3"/>
      <c r="AC3" s="44">
        <v>44951.0</v>
      </c>
      <c r="AD3" s="2"/>
      <c r="AE3" s="3"/>
      <c r="AF3" s="44">
        <v>44982.0</v>
      </c>
      <c r="AG3" s="2"/>
      <c r="AH3" s="3"/>
      <c r="AI3" s="44">
        <v>45010.0</v>
      </c>
      <c r="AJ3" s="2"/>
      <c r="AK3" s="3"/>
      <c r="AL3" s="45"/>
    </row>
    <row r="4">
      <c r="A4" s="43" t="s">
        <v>12</v>
      </c>
      <c r="B4" s="43" t="s">
        <v>3</v>
      </c>
      <c r="C4" s="43" t="s">
        <v>4</v>
      </c>
      <c r="D4" s="43" t="s">
        <v>13</v>
      </c>
      <c r="E4" s="43" t="s">
        <v>3</v>
      </c>
      <c r="F4" s="43" t="s">
        <v>4</v>
      </c>
      <c r="G4" s="43" t="s">
        <v>13</v>
      </c>
      <c r="H4" s="43" t="s">
        <v>3</v>
      </c>
      <c r="I4" s="43" t="s">
        <v>4</v>
      </c>
      <c r="J4" s="43" t="s">
        <v>13</v>
      </c>
      <c r="K4" s="43" t="s">
        <v>3</v>
      </c>
      <c r="L4" s="43" t="s">
        <v>4</v>
      </c>
      <c r="M4" s="43" t="s">
        <v>13</v>
      </c>
      <c r="N4" s="43" t="s">
        <v>3</v>
      </c>
      <c r="O4" s="43" t="s">
        <v>4</v>
      </c>
      <c r="P4" s="43" t="s">
        <v>13</v>
      </c>
      <c r="Q4" s="43" t="s">
        <v>3</v>
      </c>
      <c r="R4" s="43" t="s">
        <v>4</v>
      </c>
      <c r="S4" s="43" t="s">
        <v>13</v>
      </c>
      <c r="T4" s="43" t="s">
        <v>3</v>
      </c>
      <c r="U4" s="43" t="s">
        <v>4</v>
      </c>
      <c r="V4" s="43" t="s">
        <v>13</v>
      </c>
      <c r="W4" s="43" t="s">
        <v>3</v>
      </c>
      <c r="X4" s="43" t="s">
        <v>4</v>
      </c>
      <c r="Y4" s="43" t="s">
        <v>13</v>
      </c>
      <c r="Z4" s="43" t="s">
        <v>3</v>
      </c>
      <c r="AA4" s="43" t="s">
        <v>4</v>
      </c>
      <c r="AB4" s="43" t="s">
        <v>13</v>
      </c>
      <c r="AC4" s="43" t="s">
        <v>3</v>
      </c>
      <c r="AD4" s="43" t="s">
        <v>4</v>
      </c>
      <c r="AE4" s="43" t="s">
        <v>13</v>
      </c>
      <c r="AF4" s="43" t="s">
        <v>3</v>
      </c>
      <c r="AG4" s="43" t="s">
        <v>4</v>
      </c>
      <c r="AH4" s="43" t="s">
        <v>13</v>
      </c>
      <c r="AI4" s="43" t="s">
        <v>3</v>
      </c>
      <c r="AJ4" s="43" t="s">
        <v>4</v>
      </c>
      <c r="AK4" s="43" t="s">
        <v>13</v>
      </c>
      <c r="AL4" s="45"/>
    </row>
    <row r="5">
      <c r="A5" s="43" t="s">
        <v>14</v>
      </c>
      <c r="B5" s="46">
        <v>-380516.0</v>
      </c>
      <c r="C5" s="46">
        <v>215880.0</v>
      </c>
      <c r="D5" s="46">
        <f t="shared" ref="D5:D9" si="1">B5+C5</f>
        <v>-164636</v>
      </c>
      <c r="E5" s="47">
        <v>-849715.0</v>
      </c>
      <c r="F5" s="47">
        <v>222947.0</v>
      </c>
      <c r="G5" s="46">
        <f t="shared" ref="G5:G9" si="2">E5+F5</f>
        <v>-626768</v>
      </c>
      <c r="H5" s="46">
        <v>-878453.0</v>
      </c>
      <c r="I5" s="46">
        <v>308326.0</v>
      </c>
      <c r="J5" s="46">
        <f t="shared" ref="J5:J9" si="3">H5+I5</f>
        <v>-570127</v>
      </c>
      <c r="K5" s="46">
        <v>-749916.0</v>
      </c>
      <c r="L5" s="46">
        <v>859450.0</v>
      </c>
      <c r="M5" s="46">
        <f t="shared" ref="M5:M9" si="4">K5+L5</f>
        <v>109534</v>
      </c>
      <c r="N5" s="46">
        <v>-951921.0</v>
      </c>
      <c r="O5" s="46">
        <v>1339610.0</v>
      </c>
      <c r="P5" s="46">
        <f t="shared" ref="P5:P9" si="5">N5+O5</f>
        <v>387689</v>
      </c>
      <c r="Q5" s="46">
        <v>-703493.0</v>
      </c>
      <c r="R5" s="46">
        <v>1209477.0</v>
      </c>
      <c r="S5" s="46">
        <f t="shared" ref="S5:S9" si="6">Q5+R5</f>
        <v>505984</v>
      </c>
      <c r="T5" s="46">
        <v>-457831.0</v>
      </c>
      <c r="U5" s="46">
        <v>1190748.0</v>
      </c>
      <c r="V5" s="46">
        <f t="shared" ref="V5:V9" si="7">T5+U5</f>
        <v>732917</v>
      </c>
      <c r="W5" s="46">
        <v>-544621.0</v>
      </c>
      <c r="X5" s="46">
        <v>1204971.0</v>
      </c>
      <c r="Y5" s="46">
        <f t="shared" ref="Y5:Y9" si="8">W5+X5</f>
        <v>660350</v>
      </c>
      <c r="Z5" s="46">
        <v>-835481.0</v>
      </c>
      <c r="AA5" s="46">
        <v>1370095.0</v>
      </c>
      <c r="AB5" s="46">
        <f t="shared" ref="AB5:AB9" si="9">Z5+AA5</f>
        <v>534614</v>
      </c>
      <c r="AC5" s="46">
        <v>-630007.0</v>
      </c>
      <c r="AD5" s="46">
        <v>1144507.0</v>
      </c>
      <c r="AE5" s="46">
        <f t="shared" ref="AE5:AE9" si="10">AC5+AD5</f>
        <v>514500</v>
      </c>
      <c r="AF5" s="46">
        <v>-770904.0</v>
      </c>
      <c r="AG5" s="46">
        <v>1203851.0</v>
      </c>
      <c r="AH5" s="46">
        <f t="shared" ref="AH5:AH9" si="11">AF5+AG5</f>
        <v>432947</v>
      </c>
      <c r="AI5" s="46">
        <v>-1465733.0</v>
      </c>
      <c r="AJ5" s="46">
        <v>2063338.0</v>
      </c>
      <c r="AK5" s="46">
        <f t="shared" ref="AK5:AK9" si="12">AI5+AJ5</f>
        <v>597605</v>
      </c>
      <c r="AL5" s="45">
        <f t="shared" ref="AL5:AL9" si="13">D5+G5+J5+M5+P5+S5+V5+Y5+AB5+AE5+AH5+AK5</f>
        <v>3114609</v>
      </c>
      <c r="AM5" s="48"/>
    </row>
    <row r="6">
      <c r="A6" s="43" t="s">
        <v>15</v>
      </c>
      <c r="B6" s="46">
        <v>0.0</v>
      </c>
      <c r="C6" s="46">
        <v>458313.0</v>
      </c>
      <c r="D6" s="46">
        <f t="shared" si="1"/>
        <v>458313</v>
      </c>
      <c r="E6" s="47">
        <v>0.0</v>
      </c>
      <c r="F6" s="47">
        <v>1153958.0</v>
      </c>
      <c r="G6" s="46">
        <f t="shared" si="2"/>
        <v>1153958</v>
      </c>
      <c r="H6" s="46">
        <v>-1345.0</v>
      </c>
      <c r="I6" s="46">
        <v>1135281.0</v>
      </c>
      <c r="J6" s="46">
        <f t="shared" si="3"/>
        <v>1133936</v>
      </c>
      <c r="K6" s="46">
        <v>-160.0</v>
      </c>
      <c r="L6" s="46">
        <v>768179.0</v>
      </c>
      <c r="M6" s="46">
        <f t="shared" si="4"/>
        <v>768019</v>
      </c>
      <c r="N6" s="46">
        <v>0.0</v>
      </c>
      <c r="O6" s="46">
        <v>725666.0</v>
      </c>
      <c r="P6" s="46">
        <f t="shared" si="5"/>
        <v>725666</v>
      </c>
      <c r="Q6" s="46">
        <v>0.0</v>
      </c>
      <c r="R6" s="46">
        <v>600834.0</v>
      </c>
      <c r="S6" s="46">
        <f t="shared" si="6"/>
        <v>600834</v>
      </c>
      <c r="T6" s="46">
        <v>0.0</v>
      </c>
      <c r="U6" s="46">
        <v>575848.0</v>
      </c>
      <c r="V6" s="46">
        <f t="shared" si="7"/>
        <v>575848</v>
      </c>
      <c r="W6" s="46">
        <v>-4032.0</v>
      </c>
      <c r="X6" s="46">
        <v>535554.0</v>
      </c>
      <c r="Y6" s="46">
        <f t="shared" si="8"/>
        <v>531522</v>
      </c>
      <c r="Z6" s="46">
        <v>-57.0</v>
      </c>
      <c r="AA6" s="46">
        <v>483050.0</v>
      </c>
      <c r="AB6" s="46">
        <f t="shared" si="9"/>
        <v>482993</v>
      </c>
      <c r="AC6" s="46">
        <v>-5574.0</v>
      </c>
      <c r="AD6" s="46">
        <v>437332.0</v>
      </c>
      <c r="AE6" s="46">
        <f t="shared" si="10"/>
        <v>431758</v>
      </c>
      <c r="AF6" s="46">
        <v>-7125.0</v>
      </c>
      <c r="AG6" s="46">
        <v>508539.0</v>
      </c>
      <c r="AH6" s="46">
        <f t="shared" si="11"/>
        <v>501414</v>
      </c>
      <c r="AI6" s="46">
        <v>-10865.0</v>
      </c>
      <c r="AJ6" s="46">
        <v>647841.0</v>
      </c>
      <c r="AK6" s="46">
        <f t="shared" si="12"/>
        <v>636976</v>
      </c>
      <c r="AL6" s="45">
        <f t="shared" si="13"/>
        <v>8001237</v>
      </c>
      <c r="AM6" s="48"/>
    </row>
    <row r="7">
      <c r="A7" s="43" t="s">
        <v>16</v>
      </c>
      <c r="B7" s="46">
        <v>-1009.0</v>
      </c>
      <c r="C7" s="46">
        <v>9955.0</v>
      </c>
      <c r="D7" s="46">
        <f t="shared" si="1"/>
        <v>8946</v>
      </c>
      <c r="E7" s="47">
        <v>-2323.0</v>
      </c>
      <c r="F7" s="47">
        <v>18480.0</v>
      </c>
      <c r="G7" s="46">
        <f t="shared" si="2"/>
        <v>16157</v>
      </c>
      <c r="H7" s="46">
        <v>-14680.0</v>
      </c>
      <c r="I7" s="46">
        <v>5676.0</v>
      </c>
      <c r="J7" s="46">
        <f t="shared" si="3"/>
        <v>-9004</v>
      </c>
      <c r="K7" s="46">
        <v>-138.0</v>
      </c>
      <c r="L7" s="46">
        <v>64998.0</v>
      </c>
      <c r="M7" s="46">
        <f t="shared" si="4"/>
        <v>64860</v>
      </c>
      <c r="N7" s="46">
        <v>0.0</v>
      </c>
      <c r="O7" s="46">
        <v>66361.0</v>
      </c>
      <c r="P7" s="46">
        <f t="shared" si="5"/>
        <v>66361</v>
      </c>
      <c r="Q7" s="46">
        <v>0.0</v>
      </c>
      <c r="R7" s="46">
        <v>83793.0</v>
      </c>
      <c r="S7" s="46">
        <f t="shared" si="6"/>
        <v>83793</v>
      </c>
      <c r="T7" s="46">
        <v>0.0</v>
      </c>
      <c r="U7" s="46">
        <v>60528.0</v>
      </c>
      <c r="V7" s="46">
        <f t="shared" si="7"/>
        <v>60528</v>
      </c>
      <c r="W7" s="46">
        <v>-689.0</v>
      </c>
      <c r="X7" s="46">
        <v>34691.0</v>
      </c>
      <c r="Y7" s="46">
        <f t="shared" si="8"/>
        <v>34002</v>
      </c>
      <c r="Z7" s="46">
        <v>0.0</v>
      </c>
      <c r="AA7" s="46">
        <v>89961.0</v>
      </c>
      <c r="AB7" s="46">
        <f t="shared" si="9"/>
        <v>89961</v>
      </c>
      <c r="AC7" s="46">
        <v>-4837.0</v>
      </c>
      <c r="AD7" s="46">
        <v>68904.0</v>
      </c>
      <c r="AE7" s="46">
        <f t="shared" si="10"/>
        <v>64067</v>
      </c>
      <c r="AF7" s="46">
        <v>-1225.0</v>
      </c>
      <c r="AG7" s="46">
        <v>83413.0</v>
      </c>
      <c r="AH7" s="46">
        <f t="shared" si="11"/>
        <v>82188</v>
      </c>
      <c r="AI7" s="46">
        <v>-3084.0</v>
      </c>
      <c r="AJ7" s="46">
        <v>64126.0</v>
      </c>
      <c r="AK7" s="46">
        <f t="shared" si="12"/>
        <v>61042</v>
      </c>
      <c r="AL7" s="45">
        <f t="shared" si="13"/>
        <v>622901</v>
      </c>
      <c r="AM7" s="48"/>
    </row>
    <row r="8">
      <c r="A8" s="46" t="s">
        <v>17</v>
      </c>
      <c r="B8" s="46">
        <v>-217.0</v>
      </c>
      <c r="C8" s="46">
        <v>158352.0</v>
      </c>
      <c r="D8" s="46">
        <f t="shared" si="1"/>
        <v>158135</v>
      </c>
      <c r="E8" s="47">
        <v>-6274.0</v>
      </c>
      <c r="F8" s="47">
        <v>183791.0</v>
      </c>
      <c r="G8" s="46">
        <f t="shared" si="2"/>
        <v>177517</v>
      </c>
      <c r="H8" s="46">
        <v>-4922.0</v>
      </c>
      <c r="I8" s="46">
        <v>281061.0</v>
      </c>
      <c r="J8" s="46">
        <f t="shared" si="3"/>
        <v>276139</v>
      </c>
      <c r="K8" s="46">
        <v>-6836.0</v>
      </c>
      <c r="L8" s="46">
        <v>192831.0</v>
      </c>
      <c r="M8" s="46">
        <f t="shared" si="4"/>
        <v>185995</v>
      </c>
      <c r="N8" s="46">
        <v>-1665.0</v>
      </c>
      <c r="O8" s="46">
        <v>153975.0</v>
      </c>
      <c r="P8" s="46">
        <f t="shared" si="5"/>
        <v>152310</v>
      </c>
      <c r="Q8" s="46">
        <v>-4958.0</v>
      </c>
      <c r="R8" s="46">
        <v>78658.0</v>
      </c>
      <c r="S8" s="46">
        <f t="shared" si="6"/>
        <v>73700</v>
      </c>
      <c r="T8" s="46">
        <v>-2618.0</v>
      </c>
      <c r="U8" s="46">
        <v>96297.0</v>
      </c>
      <c r="V8" s="46">
        <f t="shared" si="7"/>
        <v>93679</v>
      </c>
      <c r="W8" s="46">
        <v>-5091.0</v>
      </c>
      <c r="X8" s="46">
        <v>115180.0</v>
      </c>
      <c r="Y8" s="46">
        <f t="shared" si="8"/>
        <v>110089</v>
      </c>
      <c r="Z8" s="46">
        <v>0.0</v>
      </c>
      <c r="AA8" s="46">
        <v>96186.0</v>
      </c>
      <c r="AB8" s="46">
        <f t="shared" si="9"/>
        <v>96186</v>
      </c>
      <c r="AC8" s="46">
        <v>-3270.0</v>
      </c>
      <c r="AD8" s="46">
        <v>110742.0</v>
      </c>
      <c r="AE8" s="46">
        <f t="shared" si="10"/>
        <v>107472</v>
      </c>
      <c r="AF8" s="46">
        <v>-2265.0</v>
      </c>
      <c r="AG8" s="46">
        <v>98349.0</v>
      </c>
      <c r="AH8" s="46">
        <f t="shared" si="11"/>
        <v>96084</v>
      </c>
      <c r="AI8" s="46">
        <v>-3659.0</v>
      </c>
      <c r="AJ8" s="46">
        <v>161331.0</v>
      </c>
      <c r="AK8" s="46">
        <f t="shared" si="12"/>
        <v>157672</v>
      </c>
      <c r="AL8" s="45">
        <f t="shared" si="13"/>
        <v>1684978</v>
      </c>
      <c r="AM8" s="48"/>
    </row>
    <row r="9">
      <c r="A9" s="43" t="s">
        <v>18</v>
      </c>
      <c r="B9" s="46">
        <v>-50.0</v>
      </c>
      <c r="C9" s="46">
        <v>3540.0</v>
      </c>
      <c r="D9" s="46">
        <f t="shared" si="1"/>
        <v>3490</v>
      </c>
      <c r="E9" s="47">
        <v>-3997.0</v>
      </c>
      <c r="F9" s="47">
        <v>4608.0</v>
      </c>
      <c r="G9" s="46">
        <f t="shared" si="2"/>
        <v>611</v>
      </c>
      <c r="H9" s="46">
        <v>0.0</v>
      </c>
      <c r="I9" s="46">
        <v>0.0</v>
      </c>
      <c r="J9" s="46">
        <f t="shared" si="3"/>
        <v>0</v>
      </c>
      <c r="K9" s="46">
        <v>-4252.0</v>
      </c>
      <c r="L9" s="46">
        <v>15675.0</v>
      </c>
      <c r="M9" s="46">
        <f t="shared" si="4"/>
        <v>11423</v>
      </c>
      <c r="N9" s="46">
        <v>-775.0</v>
      </c>
      <c r="O9" s="46">
        <v>1695.0</v>
      </c>
      <c r="P9" s="46">
        <f t="shared" si="5"/>
        <v>920</v>
      </c>
      <c r="Q9" s="46">
        <v>-965.0</v>
      </c>
      <c r="R9" s="46">
        <v>9036.0</v>
      </c>
      <c r="S9" s="46">
        <f t="shared" si="6"/>
        <v>8071</v>
      </c>
      <c r="T9" s="46">
        <v>0.0</v>
      </c>
      <c r="U9" s="46">
        <v>58.0</v>
      </c>
      <c r="V9" s="46">
        <f t="shared" si="7"/>
        <v>58</v>
      </c>
      <c r="W9" s="46">
        <v>-679.0</v>
      </c>
      <c r="X9" s="46">
        <v>1363.0</v>
      </c>
      <c r="Y9" s="46">
        <f t="shared" si="8"/>
        <v>684</v>
      </c>
      <c r="Z9" s="46">
        <v>-1527.0</v>
      </c>
      <c r="AA9" s="46">
        <v>14610.0</v>
      </c>
      <c r="AB9" s="46">
        <f t="shared" si="9"/>
        <v>13083</v>
      </c>
      <c r="AC9" s="46">
        <v>-180.0</v>
      </c>
      <c r="AD9" s="46">
        <v>0.0</v>
      </c>
      <c r="AE9" s="46">
        <f t="shared" si="10"/>
        <v>-180</v>
      </c>
      <c r="AF9" s="46">
        <v>-20.0</v>
      </c>
      <c r="AG9" s="46">
        <v>532.0</v>
      </c>
      <c r="AH9" s="46">
        <f t="shared" si="11"/>
        <v>512</v>
      </c>
      <c r="AI9" s="46">
        <v>-171.0</v>
      </c>
      <c r="AJ9" s="46">
        <v>0.0</v>
      </c>
      <c r="AK9" s="46">
        <f t="shared" si="12"/>
        <v>-171</v>
      </c>
      <c r="AL9" s="45">
        <f t="shared" si="13"/>
        <v>38501</v>
      </c>
      <c r="AM9" s="48"/>
    </row>
    <row r="10">
      <c r="A10" s="49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</row>
    <row r="11">
      <c r="A11" s="50" t="s">
        <v>6</v>
      </c>
      <c r="B11" s="45">
        <f t="shared" ref="B11:C11" si="14">SUM(B5:B9)</f>
        <v>-381792</v>
      </c>
      <c r="C11" s="45">
        <f t="shared" si="14"/>
        <v>846040</v>
      </c>
      <c r="D11" s="46">
        <f>B11+C11</f>
        <v>464248</v>
      </c>
      <c r="E11" s="45">
        <f t="shared" ref="E11:F11" si="15">SUM(E5:E9)</f>
        <v>-862309</v>
      </c>
      <c r="F11" s="45">
        <f t="shared" si="15"/>
        <v>1583784</v>
      </c>
      <c r="G11" s="46">
        <f>E11+F11</f>
        <v>721475</v>
      </c>
      <c r="H11" s="45">
        <f t="shared" ref="H11:I11" si="16">SUM(H5:H9)</f>
        <v>-899400</v>
      </c>
      <c r="I11" s="45">
        <f t="shared" si="16"/>
        <v>1730344</v>
      </c>
      <c r="J11" s="46">
        <f>H11+I11</f>
        <v>830944</v>
      </c>
      <c r="K11" s="45">
        <f t="shared" ref="K11:L11" si="17">SUM(K5:K9)</f>
        <v>-761302</v>
      </c>
      <c r="L11" s="45">
        <f t="shared" si="17"/>
        <v>1901133</v>
      </c>
      <c r="M11" s="46">
        <f>K11+L11</f>
        <v>1139831</v>
      </c>
      <c r="N11" s="45">
        <f t="shared" ref="N11:O11" si="18">SUM(N5:N9)</f>
        <v>-954361</v>
      </c>
      <c r="O11" s="45">
        <f t="shared" si="18"/>
        <v>2287307</v>
      </c>
      <c r="P11" s="46">
        <f>N11+O11</f>
        <v>1332946</v>
      </c>
      <c r="Q11" s="45">
        <f t="shared" ref="Q11:R11" si="19">SUM(Q5:Q9)</f>
        <v>-709416</v>
      </c>
      <c r="R11" s="45">
        <f t="shared" si="19"/>
        <v>1981798</v>
      </c>
      <c r="S11" s="46">
        <f>Q11+R11</f>
        <v>1272382</v>
      </c>
      <c r="T11" s="45">
        <f t="shared" ref="T11:U11" si="20">SUM(T5:T9)</f>
        <v>-460449</v>
      </c>
      <c r="U11" s="45">
        <f t="shared" si="20"/>
        <v>1923479</v>
      </c>
      <c r="V11" s="46">
        <f>T11+U11</f>
        <v>1463030</v>
      </c>
      <c r="W11" s="45">
        <f t="shared" ref="W11:X11" si="21">SUM(W5:W9)</f>
        <v>-555112</v>
      </c>
      <c r="X11" s="45">
        <f t="shared" si="21"/>
        <v>1891759</v>
      </c>
      <c r="Y11" s="46">
        <f>W11+X11</f>
        <v>1336647</v>
      </c>
      <c r="Z11" s="45">
        <f t="shared" ref="Z11:AA11" si="22">SUM(Z5:Z9)</f>
        <v>-837065</v>
      </c>
      <c r="AA11" s="45">
        <f t="shared" si="22"/>
        <v>2053902</v>
      </c>
      <c r="AB11" s="46">
        <f>Z11+AA11</f>
        <v>1216837</v>
      </c>
      <c r="AC11" s="45">
        <f t="shared" ref="AC11:AD11" si="23">SUM(AC5:AC9)</f>
        <v>-643868</v>
      </c>
      <c r="AD11" s="45">
        <f t="shared" si="23"/>
        <v>1761485</v>
      </c>
      <c r="AE11" s="46">
        <f>AC11+AD11</f>
        <v>1117617</v>
      </c>
      <c r="AF11" s="45">
        <f t="shared" ref="AF11:AG11" si="24">SUM(AF5:AF9)</f>
        <v>-781539</v>
      </c>
      <c r="AG11" s="45">
        <f t="shared" si="24"/>
        <v>1894684</v>
      </c>
      <c r="AH11" s="46">
        <f>AF11+AG11</f>
        <v>1113145</v>
      </c>
      <c r="AI11" s="45">
        <f t="shared" ref="AI11:AJ11" si="25">SUM(AI5:AI9)</f>
        <v>-1483512</v>
      </c>
      <c r="AJ11" s="45">
        <f t="shared" si="25"/>
        <v>2936636</v>
      </c>
      <c r="AK11" s="46">
        <f>AI11+AJ11</f>
        <v>1453124</v>
      </c>
      <c r="AL11" s="46">
        <f>SUM(AL5:AL9)</f>
        <v>13462226</v>
      </c>
      <c r="AM11" s="48"/>
    </row>
    <row r="12">
      <c r="A12" s="51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</row>
    <row r="13">
      <c r="A13" s="43" t="s">
        <v>19</v>
      </c>
      <c r="B13" s="46">
        <v>-764139.0</v>
      </c>
      <c r="C13" s="46">
        <v>144046.0</v>
      </c>
      <c r="D13" s="46">
        <f t="shared" ref="D13:D16" si="26">B13+C13</f>
        <v>-620093</v>
      </c>
      <c r="E13" s="46">
        <v>-1050448.0</v>
      </c>
      <c r="F13" s="46">
        <v>362883.0</v>
      </c>
      <c r="G13" s="46">
        <f t="shared" ref="G13:G16" si="27">E13+F13</f>
        <v>-687565</v>
      </c>
      <c r="H13" s="46">
        <v>-500973.0</v>
      </c>
      <c r="I13" s="46">
        <v>1637248.0</v>
      </c>
      <c r="J13" s="46">
        <f t="shared" ref="J13:J18" si="28">H13+I13</f>
        <v>1136275</v>
      </c>
      <c r="K13" s="46">
        <v>-345919.0</v>
      </c>
      <c r="L13" s="46">
        <v>1542411.0</v>
      </c>
      <c r="M13" s="46">
        <f t="shared" ref="M13:M18" si="29">K13+L13</f>
        <v>1196492</v>
      </c>
      <c r="N13" s="46">
        <v>-572487.0</v>
      </c>
      <c r="O13" s="46">
        <v>1695322.0</v>
      </c>
      <c r="P13" s="46">
        <f t="shared" ref="P13:P15" si="30">N13+O13</f>
        <v>1122835</v>
      </c>
      <c r="Q13" s="46">
        <v>-658544.0</v>
      </c>
      <c r="R13" s="46">
        <v>1738960.0</v>
      </c>
      <c r="S13" s="46">
        <f t="shared" ref="S13:S16" si="31">Q13+R13</f>
        <v>1080416</v>
      </c>
      <c r="T13" s="46">
        <v>-264737.0</v>
      </c>
      <c r="U13" s="46">
        <v>1419880.0</v>
      </c>
      <c r="V13" s="46">
        <f t="shared" ref="V13:V14" si="32">T13+U13</f>
        <v>1155143</v>
      </c>
      <c r="W13" s="46">
        <v>-469166.0</v>
      </c>
      <c r="X13" s="46">
        <v>1741604.0</v>
      </c>
      <c r="Y13" s="46">
        <f t="shared" ref="Y13:Y16" si="33">W13+X13</f>
        <v>1272438</v>
      </c>
      <c r="Z13" s="46">
        <v>-1363445.0</v>
      </c>
      <c r="AA13" s="46">
        <v>857935.0</v>
      </c>
      <c r="AB13" s="46">
        <f t="shared" ref="AB13:AB16" si="34">Z13+AA13</f>
        <v>-505510</v>
      </c>
      <c r="AC13" s="46">
        <v>-1713745.0</v>
      </c>
      <c r="AD13" s="46">
        <v>637629.0</v>
      </c>
      <c r="AE13" s="46">
        <f t="shared" ref="AE13:AE16" si="35">AC13+AD13</f>
        <v>-1076116</v>
      </c>
      <c r="AF13" s="46">
        <v>-2529010.0</v>
      </c>
      <c r="AG13" s="46">
        <v>654262.0</v>
      </c>
      <c r="AH13" s="46">
        <f t="shared" ref="AH13:AH16" si="36">AF13+AG13</f>
        <v>-1874748</v>
      </c>
      <c r="AI13" s="46">
        <v>-3144160.0</v>
      </c>
      <c r="AJ13" s="46">
        <v>1467454.0</v>
      </c>
      <c r="AK13" s="46">
        <f t="shared" ref="AK13:AK14" si="37">AI13+AJ13</f>
        <v>-1676706</v>
      </c>
      <c r="AL13" s="45">
        <f t="shared" ref="AL13:AL17" si="38">D13+G13+J13+M13+P13+S13+V13+Y13+AB13+AE13+AH13+AK13</f>
        <v>522861</v>
      </c>
    </row>
    <row r="14">
      <c r="A14" s="43" t="s">
        <v>20</v>
      </c>
      <c r="B14" s="46">
        <v>-217301.0</v>
      </c>
      <c r="C14" s="46">
        <v>65036.0</v>
      </c>
      <c r="D14" s="46">
        <f t="shared" si="26"/>
        <v>-152265</v>
      </c>
      <c r="E14" s="46">
        <v>-516237.0</v>
      </c>
      <c r="F14" s="46">
        <v>144494.0</v>
      </c>
      <c r="G14" s="46">
        <f t="shared" si="27"/>
        <v>-371743</v>
      </c>
      <c r="H14" s="46">
        <v>-184215.0</v>
      </c>
      <c r="I14" s="46">
        <v>404081.0</v>
      </c>
      <c r="J14" s="46">
        <f t="shared" si="28"/>
        <v>219866</v>
      </c>
      <c r="K14" s="46">
        <v>-97439.0</v>
      </c>
      <c r="L14" s="46">
        <v>351775.0</v>
      </c>
      <c r="M14" s="46">
        <f t="shared" si="29"/>
        <v>254336</v>
      </c>
      <c r="N14" s="46">
        <v>-93905.0</v>
      </c>
      <c r="O14" s="46">
        <v>391455.0</v>
      </c>
      <c r="P14" s="46">
        <f t="shared" si="30"/>
        <v>297550</v>
      </c>
      <c r="Q14" s="46">
        <v>-157301.0</v>
      </c>
      <c r="R14" s="46">
        <v>294019.0</v>
      </c>
      <c r="S14" s="46">
        <f t="shared" si="31"/>
        <v>136718</v>
      </c>
      <c r="T14" s="46">
        <v>-53741.0</v>
      </c>
      <c r="U14" s="46">
        <v>266054.0</v>
      </c>
      <c r="V14" s="46">
        <f t="shared" si="32"/>
        <v>212313</v>
      </c>
      <c r="W14" s="46">
        <v>-104133.0</v>
      </c>
      <c r="X14" s="46">
        <v>419985.0</v>
      </c>
      <c r="Y14" s="46">
        <f t="shared" si="33"/>
        <v>315852</v>
      </c>
      <c r="Z14" s="46">
        <v>-167338.0</v>
      </c>
      <c r="AA14" s="46">
        <v>298891.0</v>
      </c>
      <c r="AB14" s="46">
        <f t="shared" si="34"/>
        <v>131553</v>
      </c>
      <c r="AC14" s="46">
        <v>-263910.0</v>
      </c>
      <c r="AD14" s="46">
        <v>294109.0</v>
      </c>
      <c r="AE14" s="46">
        <f t="shared" si="35"/>
        <v>30199</v>
      </c>
      <c r="AF14" s="46">
        <v>-235152.0</v>
      </c>
      <c r="AG14" s="46">
        <v>321054.0</v>
      </c>
      <c r="AH14" s="46">
        <f t="shared" si="36"/>
        <v>85902</v>
      </c>
      <c r="AI14" s="46">
        <v>-370850.0</v>
      </c>
      <c r="AJ14" s="46">
        <v>893398.0</v>
      </c>
      <c r="AK14" s="46">
        <f t="shared" si="37"/>
        <v>522548</v>
      </c>
      <c r="AL14" s="45">
        <f t="shared" si="38"/>
        <v>1682829</v>
      </c>
    </row>
    <row r="15">
      <c r="A15" s="43" t="s">
        <v>21</v>
      </c>
      <c r="B15" s="46">
        <v>-11074.0</v>
      </c>
      <c r="C15" s="46">
        <v>12940.0</v>
      </c>
      <c r="D15" s="46">
        <f t="shared" si="26"/>
        <v>1866</v>
      </c>
      <c r="E15" s="46">
        <v>-95116.0</v>
      </c>
      <c r="F15" s="46">
        <v>611.0</v>
      </c>
      <c r="G15" s="46">
        <f t="shared" si="27"/>
        <v>-94505</v>
      </c>
      <c r="H15" s="46">
        <v>-106946.0</v>
      </c>
      <c r="I15" s="46">
        <v>4797.0</v>
      </c>
      <c r="J15" s="46">
        <f t="shared" si="28"/>
        <v>-102149</v>
      </c>
      <c r="K15" s="46">
        <v>-128899.0</v>
      </c>
      <c r="L15" s="46">
        <v>0.0</v>
      </c>
      <c r="M15" s="46">
        <f t="shared" si="29"/>
        <v>-128899</v>
      </c>
      <c r="N15" s="46">
        <v>-145018.0</v>
      </c>
      <c r="O15" s="46">
        <v>340.0</v>
      </c>
      <c r="P15" s="46">
        <f t="shared" si="30"/>
        <v>-144678</v>
      </c>
      <c r="Q15" s="46">
        <v>-98783.0</v>
      </c>
      <c r="R15" s="46">
        <v>0.0</v>
      </c>
      <c r="S15" s="46">
        <f t="shared" si="31"/>
        <v>-98783</v>
      </c>
      <c r="T15" s="46">
        <v>-8251.0</v>
      </c>
      <c r="U15" s="46">
        <v>-68753.0</v>
      </c>
      <c r="V15" s="46">
        <v>8207.0</v>
      </c>
      <c r="W15" s="46">
        <v>-59804.0</v>
      </c>
      <c r="X15" s="46">
        <v>510.0</v>
      </c>
      <c r="Y15" s="46">
        <f t="shared" si="33"/>
        <v>-59294</v>
      </c>
      <c r="Z15" s="46">
        <v>-173009.0</v>
      </c>
      <c r="AA15" s="46">
        <v>0.0</v>
      </c>
      <c r="AB15" s="46">
        <f t="shared" si="34"/>
        <v>-173009</v>
      </c>
      <c r="AC15" s="46">
        <v>-93801.0</v>
      </c>
      <c r="AD15" s="46">
        <v>2100.0</v>
      </c>
      <c r="AE15" s="46">
        <f t="shared" si="35"/>
        <v>-91701</v>
      </c>
      <c r="AF15" s="46">
        <v>-194072.0</v>
      </c>
      <c r="AG15" s="46">
        <v>510.0</v>
      </c>
      <c r="AH15" s="46">
        <f t="shared" si="36"/>
        <v>-193562</v>
      </c>
      <c r="AI15" s="46">
        <v>-204886.0</v>
      </c>
      <c r="AJ15" s="46">
        <v>0.0</v>
      </c>
      <c r="AK15" s="46">
        <v>0.0</v>
      </c>
      <c r="AL15" s="45">
        <f t="shared" si="38"/>
        <v>-1076507</v>
      </c>
    </row>
    <row r="16">
      <c r="A16" s="43" t="s">
        <v>22</v>
      </c>
      <c r="B16" s="46">
        <v>-22126.0</v>
      </c>
      <c r="C16" s="46">
        <v>0.0</v>
      </c>
      <c r="D16" s="46">
        <f t="shared" si="26"/>
        <v>-22126</v>
      </c>
      <c r="E16" s="46">
        <v>0.0</v>
      </c>
      <c r="F16" s="46">
        <v>0.0</v>
      </c>
      <c r="G16" s="46">
        <f t="shared" si="27"/>
        <v>0</v>
      </c>
      <c r="H16" s="46">
        <v>0.0</v>
      </c>
      <c r="I16" s="46">
        <v>0.0</v>
      </c>
      <c r="J16" s="46">
        <f t="shared" si="28"/>
        <v>0</v>
      </c>
      <c r="K16" s="46">
        <v>0.0</v>
      </c>
      <c r="L16" s="46">
        <v>0.0</v>
      </c>
      <c r="M16" s="46">
        <f t="shared" si="29"/>
        <v>0</v>
      </c>
      <c r="N16" s="46">
        <v>0.0</v>
      </c>
      <c r="O16" s="46">
        <v>0.0</v>
      </c>
      <c r="P16" s="46">
        <v>0.0</v>
      </c>
      <c r="Q16" s="46">
        <v>-7814.0</v>
      </c>
      <c r="R16" s="46">
        <v>1424.0</v>
      </c>
      <c r="S16" s="46">
        <f t="shared" si="31"/>
        <v>-6390</v>
      </c>
      <c r="T16" s="46">
        <v>0.0</v>
      </c>
      <c r="U16" s="46">
        <v>30107.0</v>
      </c>
      <c r="V16" s="46">
        <f>T16+U16</f>
        <v>30107</v>
      </c>
      <c r="W16" s="46">
        <v>-47898.0</v>
      </c>
      <c r="X16" s="46">
        <v>1918.0</v>
      </c>
      <c r="Y16" s="46">
        <f t="shared" si="33"/>
        <v>-45980</v>
      </c>
      <c r="Z16" s="46">
        <v>-151350.0</v>
      </c>
      <c r="AA16" s="46">
        <v>6345.0</v>
      </c>
      <c r="AB16" s="46">
        <f t="shared" si="34"/>
        <v>-145005</v>
      </c>
      <c r="AC16" s="46">
        <v>-11315.0</v>
      </c>
      <c r="AD16" s="46">
        <v>2866.0</v>
      </c>
      <c r="AE16" s="46">
        <f t="shared" si="35"/>
        <v>-8449</v>
      </c>
      <c r="AF16" s="46">
        <v>0.0</v>
      </c>
      <c r="AG16" s="46">
        <v>0.0</v>
      </c>
      <c r="AH16" s="46">
        <f t="shared" si="36"/>
        <v>0</v>
      </c>
      <c r="AI16" s="46">
        <v>0.0</v>
      </c>
      <c r="AJ16" s="46">
        <v>1977.0</v>
      </c>
      <c r="AK16" s="46">
        <v>0.0</v>
      </c>
      <c r="AL16" s="45">
        <f t="shared" si="38"/>
        <v>-197843</v>
      </c>
    </row>
    <row r="17">
      <c r="A17" s="43" t="s">
        <v>23</v>
      </c>
      <c r="B17" s="45"/>
      <c r="C17" s="45"/>
      <c r="D17" s="45"/>
      <c r="E17" s="46">
        <v>0.0</v>
      </c>
      <c r="F17" s="46">
        <v>0.0</v>
      </c>
      <c r="G17" s="45"/>
      <c r="H17" s="46">
        <v>-578.0</v>
      </c>
      <c r="I17" s="46">
        <v>0.0</v>
      </c>
      <c r="J17" s="46">
        <f t="shared" si="28"/>
        <v>-578</v>
      </c>
      <c r="K17" s="46">
        <v>0.0</v>
      </c>
      <c r="L17" s="46">
        <v>0.0</v>
      </c>
      <c r="M17" s="46">
        <f t="shared" si="29"/>
        <v>0</v>
      </c>
      <c r="N17" s="46">
        <v>0.0</v>
      </c>
      <c r="O17" s="46">
        <v>0.0</v>
      </c>
      <c r="P17" s="46">
        <v>0.0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6"/>
      <c r="AI17" s="45"/>
      <c r="AJ17" s="45"/>
      <c r="AK17" s="45"/>
      <c r="AL17" s="45">
        <f t="shared" si="38"/>
        <v>-578</v>
      </c>
    </row>
    <row r="18">
      <c r="A18" s="50" t="s">
        <v>6</v>
      </c>
      <c r="B18" s="45">
        <f t="shared" ref="B18:C18" si="39">SUM(B13:B17)</f>
        <v>-1014640</v>
      </c>
      <c r="C18" s="45">
        <f t="shared" si="39"/>
        <v>222022</v>
      </c>
      <c r="D18" s="46">
        <f>B18+C18</f>
        <v>-792618</v>
      </c>
      <c r="E18" s="45">
        <f t="shared" ref="E18:F18" si="40">SUM(E13:E17)</f>
        <v>-1661801</v>
      </c>
      <c r="F18" s="45">
        <f t="shared" si="40"/>
        <v>507988</v>
      </c>
      <c r="G18" s="46">
        <f>E18+F18</f>
        <v>-1153813</v>
      </c>
      <c r="H18" s="45">
        <f t="shared" ref="H18:I18" si="41">SUM(H13:H17)</f>
        <v>-792712</v>
      </c>
      <c r="I18" s="45">
        <f t="shared" si="41"/>
        <v>2046126</v>
      </c>
      <c r="J18" s="46">
        <f t="shared" si="28"/>
        <v>1253414</v>
      </c>
      <c r="K18" s="45">
        <f t="shared" ref="K18:L18" si="42">SUM(K13:K17)</f>
        <v>-572257</v>
      </c>
      <c r="L18" s="45">
        <f t="shared" si="42"/>
        <v>1894186</v>
      </c>
      <c r="M18" s="46">
        <f t="shared" si="29"/>
        <v>1321929</v>
      </c>
      <c r="N18" s="45">
        <f t="shared" ref="N18:O18" si="43">SUM(N13:N17)</f>
        <v>-811410</v>
      </c>
      <c r="O18" s="45">
        <f t="shared" si="43"/>
        <v>2087117</v>
      </c>
      <c r="P18" s="46">
        <f>N18+O18</f>
        <v>1275707</v>
      </c>
      <c r="Q18" s="45">
        <f t="shared" ref="Q18:R18" si="44">SUM(Q13:Q17)</f>
        <v>-922442</v>
      </c>
      <c r="R18" s="45">
        <f t="shared" si="44"/>
        <v>2034403</v>
      </c>
      <c r="S18" s="46">
        <f>Q18+R18</f>
        <v>1111961</v>
      </c>
      <c r="T18" s="45">
        <f t="shared" ref="T18:U18" si="45">SUM(T13:T17)</f>
        <v>-326729</v>
      </c>
      <c r="U18" s="45">
        <f t="shared" si="45"/>
        <v>1647288</v>
      </c>
      <c r="V18" s="46">
        <f>T18+U18</f>
        <v>1320559</v>
      </c>
      <c r="W18" s="45">
        <f t="shared" ref="W18:X18" si="46">SUM(W13:W17)</f>
        <v>-681001</v>
      </c>
      <c r="X18" s="45">
        <f t="shared" si="46"/>
        <v>2164017</v>
      </c>
      <c r="Y18" s="46">
        <f>W18+X18</f>
        <v>1483016</v>
      </c>
      <c r="Z18" s="45">
        <f t="shared" ref="Z18:AA18" si="47">SUM(Z13:Z17)</f>
        <v>-1855142</v>
      </c>
      <c r="AA18" s="45">
        <f t="shared" si="47"/>
        <v>1163171</v>
      </c>
      <c r="AB18" s="46">
        <f>Z18+AA18</f>
        <v>-691971</v>
      </c>
      <c r="AC18" s="45">
        <f t="shared" ref="AC18:AD18" si="48">SUM(AC13:AC17)</f>
        <v>-2082771</v>
      </c>
      <c r="AD18" s="45">
        <f t="shared" si="48"/>
        <v>936704</v>
      </c>
      <c r="AE18" s="46">
        <f>AC18+AD18</f>
        <v>-1146067</v>
      </c>
      <c r="AF18" s="45">
        <f t="shared" ref="AF18:AG18" si="49">SUM(AF13:AF17)</f>
        <v>-2958234</v>
      </c>
      <c r="AG18" s="45">
        <f t="shared" si="49"/>
        <v>975826</v>
      </c>
      <c r="AH18" s="46">
        <f>AF18+AG18</f>
        <v>-1982408</v>
      </c>
      <c r="AI18" s="45">
        <f t="shared" ref="AI18:AJ18" si="50">SUM(AI13:AI17)</f>
        <v>-3719896</v>
      </c>
      <c r="AJ18" s="45">
        <f t="shared" si="50"/>
        <v>2362829</v>
      </c>
      <c r="AK18" s="46">
        <f>AI18+AJ18</f>
        <v>-1357067</v>
      </c>
      <c r="AL18" s="45">
        <f>SUM(AL13:AL17)</f>
        <v>930762</v>
      </c>
    </row>
    <row r="19">
      <c r="A19" s="51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</row>
    <row r="20">
      <c r="A20" s="43" t="s">
        <v>24</v>
      </c>
      <c r="B20" s="46">
        <v>-90310.0</v>
      </c>
      <c r="C20" s="46">
        <v>15463.0</v>
      </c>
      <c r="D20" s="46">
        <f t="shared" ref="D20:D22" si="51">B20+C20</f>
        <v>-74847</v>
      </c>
      <c r="E20" s="46">
        <v>-166402.0</v>
      </c>
      <c r="F20" s="46">
        <v>30664.0</v>
      </c>
      <c r="G20" s="46">
        <f t="shared" ref="G20:G22" si="52">E20+F20</f>
        <v>-135738</v>
      </c>
      <c r="H20" s="46">
        <v>-94084.0</v>
      </c>
      <c r="I20" s="46">
        <v>36007.0</v>
      </c>
      <c r="J20" s="46">
        <f t="shared" ref="J20:J22" si="53">H20+I20</f>
        <v>-58077</v>
      </c>
      <c r="K20" s="46">
        <v>-34941.0</v>
      </c>
      <c r="L20" s="46">
        <v>181911.0</v>
      </c>
      <c r="M20" s="46">
        <f t="shared" ref="M20:M22" si="54">K20+L20</f>
        <v>146970</v>
      </c>
      <c r="N20" s="46">
        <v>-17777.0</v>
      </c>
      <c r="O20" s="46">
        <v>171336.0</v>
      </c>
      <c r="P20" s="46">
        <f t="shared" ref="P20:P22" si="55">N20+O20</f>
        <v>153559</v>
      </c>
      <c r="Q20" s="46">
        <v>-38452.0</v>
      </c>
      <c r="R20" s="46">
        <v>140886.0</v>
      </c>
      <c r="S20" s="46">
        <f t="shared" ref="S20:S22" si="56">Q20+R20</f>
        <v>102434</v>
      </c>
      <c r="T20" s="46">
        <v>-28070.0</v>
      </c>
      <c r="U20" s="46">
        <v>111166.0</v>
      </c>
      <c r="V20" s="46">
        <f t="shared" ref="V20:V22" si="57">T20+U20</f>
        <v>83096</v>
      </c>
      <c r="W20" s="46">
        <v>-18505.0</v>
      </c>
      <c r="X20" s="46">
        <v>152526.0</v>
      </c>
      <c r="Y20" s="46">
        <f t="shared" ref="Y20:Y22" si="58">W20+X20</f>
        <v>134021</v>
      </c>
      <c r="Z20" s="46">
        <v>-1144541.0</v>
      </c>
      <c r="AA20" s="46">
        <v>40262.0</v>
      </c>
      <c r="AB20" s="46">
        <f t="shared" ref="AB20:AB22" si="59">Z20+AA20</f>
        <v>-1104279</v>
      </c>
      <c r="AC20" s="46">
        <v>-1060070.0</v>
      </c>
      <c r="AD20" s="46">
        <v>6803.0</v>
      </c>
      <c r="AE20" s="46">
        <f t="shared" ref="AE20:AE22" si="60">AC20+AD20</f>
        <v>-1053267</v>
      </c>
      <c r="AF20" s="46">
        <v>-1040183.0</v>
      </c>
      <c r="AG20" s="46">
        <v>57158.0</v>
      </c>
      <c r="AH20" s="46">
        <f t="shared" ref="AH20:AH22" si="61">AF20+AG20</f>
        <v>-983025</v>
      </c>
      <c r="AI20" s="46">
        <v>-1362026.0</v>
      </c>
      <c r="AJ20" s="46">
        <v>83132.0</v>
      </c>
      <c r="AK20" s="46">
        <f t="shared" ref="AK20:AK22" si="62">AI20+AJ20</f>
        <v>-1278894</v>
      </c>
      <c r="AL20" s="45">
        <f t="shared" ref="AL20:AL22" si="63">D20+G20+J20+M20+P20+S20+V20+Y20+AB20+AE20+AH20+AK20</f>
        <v>-4068047</v>
      </c>
    </row>
    <row r="21">
      <c r="A21" s="43" t="s">
        <v>25</v>
      </c>
      <c r="B21" s="46">
        <v>-1301.0</v>
      </c>
      <c r="C21" s="46">
        <v>1677.0</v>
      </c>
      <c r="D21" s="46">
        <f t="shared" si="51"/>
        <v>376</v>
      </c>
      <c r="E21" s="46">
        <v>-32631.0</v>
      </c>
      <c r="F21" s="46">
        <v>1953.0</v>
      </c>
      <c r="G21" s="46">
        <f t="shared" si="52"/>
        <v>-30678</v>
      </c>
      <c r="H21" s="46">
        <v>-7814.0</v>
      </c>
      <c r="I21" s="46">
        <v>1977.0</v>
      </c>
      <c r="J21" s="46">
        <f t="shared" si="53"/>
        <v>-5837</v>
      </c>
      <c r="K21" s="46">
        <v>-5362.0</v>
      </c>
      <c r="L21" s="46">
        <v>13300.0</v>
      </c>
      <c r="M21" s="46">
        <f t="shared" si="54"/>
        <v>7938</v>
      </c>
      <c r="N21" s="46">
        <v>-7664.0</v>
      </c>
      <c r="O21" s="46">
        <v>41108.0</v>
      </c>
      <c r="P21" s="46">
        <f t="shared" si="55"/>
        <v>33444</v>
      </c>
      <c r="Q21" s="46">
        <v>-28301.0</v>
      </c>
      <c r="R21" s="46">
        <v>20685.0</v>
      </c>
      <c r="S21" s="46">
        <f t="shared" si="56"/>
        <v>-7616</v>
      </c>
      <c r="T21" s="46">
        <v>-16960.0</v>
      </c>
      <c r="U21" s="46">
        <v>10843.0</v>
      </c>
      <c r="V21" s="46">
        <f t="shared" si="57"/>
        <v>-6117</v>
      </c>
      <c r="W21" s="46">
        <v>-10517.0</v>
      </c>
      <c r="X21" s="46">
        <v>25723.0</v>
      </c>
      <c r="Y21" s="46">
        <f t="shared" si="58"/>
        <v>15206</v>
      </c>
      <c r="Z21" s="46">
        <v>-91862.0</v>
      </c>
      <c r="AA21" s="46">
        <v>0.0</v>
      </c>
      <c r="AB21" s="46">
        <f t="shared" si="59"/>
        <v>-91862</v>
      </c>
      <c r="AC21" s="46">
        <v>-82261.0</v>
      </c>
      <c r="AD21" s="46">
        <v>0.0</v>
      </c>
      <c r="AE21" s="46">
        <f t="shared" si="60"/>
        <v>-82261</v>
      </c>
      <c r="AF21" s="46">
        <v>-120896.0</v>
      </c>
      <c r="AG21" s="46">
        <v>0.0</v>
      </c>
      <c r="AH21" s="46">
        <f t="shared" si="61"/>
        <v>-120896</v>
      </c>
      <c r="AI21" s="46">
        <v>-109468.0</v>
      </c>
      <c r="AJ21" s="46">
        <v>0.0</v>
      </c>
      <c r="AK21" s="46">
        <f t="shared" si="62"/>
        <v>-109468</v>
      </c>
      <c r="AL21" s="45">
        <f t="shared" si="63"/>
        <v>-397771</v>
      </c>
    </row>
    <row r="22">
      <c r="A22" s="43" t="s">
        <v>26</v>
      </c>
      <c r="B22" s="46">
        <v>-5726.0</v>
      </c>
      <c r="C22" s="46">
        <v>6759.0</v>
      </c>
      <c r="D22" s="46">
        <f t="shared" si="51"/>
        <v>1033</v>
      </c>
      <c r="E22" s="46">
        <v>-849.0</v>
      </c>
      <c r="F22" s="46">
        <v>5319.0</v>
      </c>
      <c r="G22" s="46">
        <f t="shared" si="52"/>
        <v>4470</v>
      </c>
      <c r="H22" s="46">
        <v>-3855.0</v>
      </c>
      <c r="I22" s="46">
        <v>13834.0</v>
      </c>
      <c r="J22" s="46">
        <f t="shared" si="53"/>
        <v>9979</v>
      </c>
      <c r="K22" s="46">
        <v>-2434.0</v>
      </c>
      <c r="L22" s="46">
        <v>28374.0</v>
      </c>
      <c r="M22" s="46">
        <f t="shared" si="54"/>
        <v>25940</v>
      </c>
      <c r="N22" s="46">
        <v>-13010.0</v>
      </c>
      <c r="O22" s="46">
        <v>27155.0</v>
      </c>
      <c r="P22" s="46">
        <f t="shared" si="55"/>
        <v>14145</v>
      </c>
      <c r="Q22" s="46">
        <v>-17559.0</v>
      </c>
      <c r="R22" s="46">
        <v>34318.0</v>
      </c>
      <c r="S22" s="46">
        <f t="shared" si="56"/>
        <v>16759</v>
      </c>
      <c r="T22" s="46">
        <v>-3383.0</v>
      </c>
      <c r="U22" s="46">
        <v>18008.0</v>
      </c>
      <c r="V22" s="46">
        <f t="shared" si="57"/>
        <v>14625</v>
      </c>
      <c r="W22" s="46">
        <v>-24645.0</v>
      </c>
      <c r="X22" s="46">
        <v>18760.0</v>
      </c>
      <c r="Y22" s="46">
        <f t="shared" si="58"/>
        <v>-5885</v>
      </c>
      <c r="Z22" s="46">
        <v>-192932.0</v>
      </c>
      <c r="AA22" s="46">
        <v>484.0</v>
      </c>
      <c r="AB22" s="46">
        <f t="shared" si="59"/>
        <v>-192448</v>
      </c>
      <c r="AC22" s="46">
        <v>-15627.0</v>
      </c>
      <c r="AD22" s="46">
        <v>0.0</v>
      </c>
      <c r="AE22" s="46">
        <f t="shared" si="60"/>
        <v>-15627</v>
      </c>
      <c r="AF22" s="46">
        <v>-71048.0</v>
      </c>
      <c r="AG22" s="46">
        <v>0.0</v>
      </c>
      <c r="AH22" s="46">
        <f t="shared" si="61"/>
        <v>-71048</v>
      </c>
      <c r="AI22" s="46">
        <v>-243104.0</v>
      </c>
      <c r="AJ22" s="46">
        <v>0.0</v>
      </c>
      <c r="AK22" s="46">
        <f t="shared" si="62"/>
        <v>-243104</v>
      </c>
      <c r="AL22" s="45">
        <f t="shared" si="63"/>
        <v>-441161</v>
      </c>
    </row>
    <row r="23">
      <c r="A23" s="51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>
      <c r="A24" s="50" t="s">
        <v>6</v>
      </c>
      <c r="B24" s="45">
        <f t="shared" ref="B24:C24" si="64">SUM(B20:B23)</f>
        <v>-97337</v>
      </c>
      <c r="C24" s="45">
        <f t="shared" si="64"/>
        <v>23899</v>
      </c>
      <c r="D24" s="46">
        <f>B24+C24</f>
        <v>-73438</v>
      </c>
      <c r="E24" s="45">
        <f t="shared" ref="E24:F24" si="65">SUM(E20:E23)</f>
        <v>-199882</v>
      </c>
      <c r="F24" s="45">
        <f t="shared" si="65"/>
        <v>37936</v>
      </c>
      <c r="G24" s="46">
        <f>E24+F24</f>
        <v>-161946</v>
      </c>
      <c r="H24" s="45">
        <f t="shared" ref="H24:I24" si="66">SUM(H20:H23)</f>
        <v>-105753</v>
      </c>
      <c r="I24" s="45">
        <f t="shared" si="66"/>
        <v>51818</v>
      </c>
      <c r="J24" s="46">
        <f>H24+I24</f>
        <v>-53935</v>
      </c>
      <c r="K24" s="45">
        <f t="shared" ref="K24:L24" si="67">SUM(K20:K23)</f>
        <v>-42737</v>
      </c>
      <c r="L24" s="45">
        <f t="shared" si="67"/>
        <v>223585</v>
      </c>
      <c r="M24" s="46">
        <f>K24+L24</f>
        <v>180848</v>
      </c>
      <c r="N24" s="45">
        <f t="shared" ref="N24:O24" si="68">SUM(N20:N23)</f>
        <v>-38451</v>
      </c>
      <c r="O24" s="45">
        <f t="shared" si="68"/>
        <v>239599</v>
      </c>
      <c r="P24" s="46">
        <f>N24+O24</f>
        <v>201148</v>
      </c>
      <c r="Q24" s="45">
        <f t="shared" ref="Q24:R24" si="69">SUM(Q20:Q23)</f>
        <v>-84312</v>
      </c>
      <c r="R24" s="45">
        <f t="shared" si="69"/>
        <v>195889</v>
      </c>
      <c r="S24" s="46">
        <f>Q24+R24</f>
        <v>111577</v>
      </c>
      <c r="T24" s="45">
        <f t="shared" ref="T24:U24" si="70">SUM(T20:T23)</f>
        <v>-48413</v>
      </c>
      <c r="U24" s="45">
        <f t="shared" si="70"/>
        <v>140017</v>
      </c>
      <c r="V24" s="46">
        <f>T24+U24</f>
        <v>91604</v>
      </c>
      <c r="W24" s="45">
        <f t="shared" ref="W24:X24" si="71">SUM(W20:W23)</f>
        <v>-53667</v>
      </c>
      <c r="X24" s="45">
        <f t="shared" si="71"/>
        <v>197009</v>
      </c>
      <c r="Y24" s="46">
        <f>W24+X24</f>
        <v>143342</v>
      </c>
      <c r="Z24" s="45">
        <f t="shared" ref="Z24:AA24" si="72">SUM(Z20:Z23)</f>
        <v>-1429335</v>
      </c>
      <c r="AA24" s="45">
        <f t="shared" si="72"/>
        <v>40746</v>
      </c>
      <c r="AB24" s="46">
        <f>Z24+AA24</f>
        <v>-1388589</v>
      </c>
      <c r="AC24" s="45">
        <f t="shared" ref="AC24:AD24" si="73">SUM(AC20:AC23)</f>
        <v>-1157958</v>
      </c>
      <c r="AD24" s="45">
        <f t="shared" si="73"/>
        <v>6803</v>
      </c>
      <c r="AE24" s="46">
        <f>AC24+AD24</f>
        <v>-1151155</v>
      </c>
      <c r="AF24" s="45">
        <f t="shared" ref="AF24:AG24" si="74">SUM(AF20:AF23)</f>
        <v>-1232127</v>
      </c>
      <c r="AG24" s="45">
        <f t="shared" si="74"/>
        <v>57158</v>
      </c>
      <c r="AH24" s="46">
        <f>AF24+AG24</f>
        <v>-1174969</v>
      </c>
      <c r="AI24" s="45">
        <f t="shared" ref="AI24:AJ24" si="75">SUM(AI20:AI23)</f>
        <v>-1714598</v>
      </c>
      <c r="AJ24" s="45">
        <f t="shared" si="75"/>
        <v>83132</v>
      </c>
      <c r="AK24" s="46">
        <f>AI24+AJ24</f>
        <v>-1631466</v>
      </c>
      <c r="AL24" s="45">
        <f>SUM(AL20:AL22)</f>
        <v>-4906979</v>
      </c>
    </row>
    <row r="25">
      <c r="A25" s="51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>
      <c r="A26" s="43" t="s">
        <v>27</v>
      </c>
      <c r="B26" s="46">
        <v>-228270.0</v>
      </c>
      <c r="C26" s="46">
        <v>0.0</v>
      </c>
      <c r="D26" s="46">
        <f t="shared" ref="D26:D35" si="76">B26+C26</f>
        <v>-228270</v>
      </c>
      <c r="E26" s="46">
        <v>-749515.0</v>
      </c>
      <c r="F26" s="46">
        <v>215868.0</v>
      </c>
      <c r="G26" s="46">
        <f t="shared" ref="G26:G35" si="77">E26+F26</f>
        <v>-533647</v>
      </c>
      <c r="H26" s="46">
        <v>-304080.0</v>
      </c>
      <c r="I26" s="46">
        <v>230750.0</v>
      </c>
      <c r="J26" s="46">
        <f t="shared" ref="J26:J35" si="78">H26+I26</f>
        <v>-73330</v>
      </c>
      <c r="K26" s="46">
        <v>-535188.0</v>
      </c>
      <c r="L26" s="46">
        <v>302368.0</v>
      </c>
      <c r="M26" s="46">
        <f t="shared" ref="M26:M35" si="79">K26+L26</f>
        <v>-232820</v>
      </c>
      <c r="N26" s="46">
        <v>-809286.0</v>
      </c>
      <c r="O26" s="46">
        <v>343515.0</v>
      </c>
      <c r="P26" s="46">
        <f t="shared" ref="P26:P35" si="80">N26+O26</f>
        <v>-465771</v>
      </c>
      <c r="Q26" s="46">
        <v>-443488.0</v>
      </c>
      <c r="R26" s="46">
        <v>209777.0</v>
      </c>
      <c r="S26" s="46">
        <f t="shared" ref="S26:S35" si="81">Q26+R26</f>
        <v>-233711</v>
      </c>
      <c r="T26" s="46">
        <v>-562557.0</v>
      </c>
      <c r="U26" s="46">
        <v>151227.0</v>
      </c>
      <c r="V26" s="46">
        <f t="shared" ref="V26:V35" si="82">T26+U26</f>
        <v>-411330</v>
      </c>
      <c r="W26" s="46">
        <v>-729778.0</v>
      </c>
      <c r="X26" s="46">
        <v>123380.0</v>
      </c>
      <c r="Y26" s="46">
        <f t="shared" ref="Y26:Y35" si="83">W26+X26</f>
        <v>-606398</v>
      </c>
      <c r="Z26" s="46">
        <v>-725634.0</v>
      </c>
      <c r="AA26" s="46">
        <v>164000.0</v>
      </c>
      <c r="AB26" s="46">
        <f t="shared" ref="AB26:AB35" si="84">Z26+AA26</f>
        <v>-561634</v>
      </c>
      <c r="AC26" s="46">
        <v>-790679.0</v>
      </c>
      <c r="AD26" s="46">
        <v>189434.0</v>
      </c>
      <c r="AE26" s="46">
        <f t="shared" ref="AE26:AE35" si="85">AC26+AD26</f>
        <v>-601245</v>
      </c>
      <c r="AF26" s="46">
        <v>-846962.0</v>
      </c>
      <c r="AG26" s="46">
        <v>123279.0</v>
      </c>
      <c r="AH26" s="46">
        <f t="shared" ref="AH26:AH35" si="86">AF26+AG26</f>
        <v>-723683</v>
      </c>
      <c r="AI26" s="46">
        <v>-1789957.0</v>
      </c>
      <c r="AJ26" s="46">
        <v>228694.0</v>
      </c>
      <c r="AK26" s="46">
        <f t="shared" ref="AK26:AK35" si="87">AI26+AJ26</f>
        <v>-1561263</v>
      </c>
      <c r="AL26" s="45">
        <f t="shared" ref="AL26:AL34" si="88">D26+G26+J26+M26+P26+S26+V26+Y26+AB26+AE26+AH26+AK26</f>
        <v>-6233102</v>
      </c>
    </row>
    <row r="27">
      <c r="A27" s="43" t="s">
        <v>28</v>
      </c>
      <c r="B27" s="46">
        <v>-243699.0</v>
      </c>
      <c r="C27" s="46">
        <v>2242.0</v>
      </c>
      <c r="D27" s="46">
        <f t="shared" si="76"/>
        <v>-241457</v>
      </c>
      <c r="E27" s="46">
        <v>-893678.0</v>
      </c>
      <c r="F27" s="46">
        <v>373.0</v>
      </c>
      <c r="G27" s="46">
        <f t="shared" si="77"/>
        <v>-893305</v>
      </c>
      <c r="H27" s="46">
        <v>-200578.0</v>
      </c>
      <c r="I27" s="46">
        <v>1359.0</v>
      </c>
      <c r="J27" s="46">
        <f t="shared" si="78"/>
        <v>-199219</v>
      </c>
      <c r="K27" s="46">
        <v>-614632.0</v>
      </c>
      <c r="L27" s="46">
        <v>1145.0</v>
      </c>
      <c r="M27" s="46">
        <f t="shared" si="79"/>
        <v>-613487</v>
      </c>
      <c r="N27" s="46">
        <v>-781792.0</v>
      </c>
      <c r="O27" s="46">
        <v>0.0</v>
      </c>
      <c r="P27" s="46">
        <f t="shared" si="80"/>
        <v>-781792</v>
      </c>
      <c r="Q27" s="46">
        <v>-481049.0</v>
      </c>
      <c r="R27" s="46">
        <v>5141.0</v>
      </c>
      <c r="S27" s="46">
        <f t="shared" si="81"/>
        <v>-475908</v>
      </c>
      <c r="T27" s="46">
        <v>-656082.0</v>
      </c>
      <c r="U27" s="46">
        <v>123.0</v>
      </c>
      <c r="V27" s="46">
        <f t="shared" si="82"/>
        <v>-655959</v>
      </c>
      <c r="W27" s="46">
        <v>-808953.0</v>
      </c>
      <c r="X27" s="46">
        <v>0.0</v>
      </c>
      <c r="Y27" s="46">
        <f t="shared" si="83"/>
        <v>-808953</v>
      </c>
      <c r="Z27" s="46">
        <v>-961367.0</v>
      </c>
      <c r="AA27" s="46">
        <v>0.0</v>
      </c>
      <c r="AB27" s="46">
        <f t="shared" si="84"/>
        <v>-961367</v>
      </c>
      <c r="AC27" s="46">
        <v>-821050.0</v>
      </c>
      <c r="AD27" s="46">
        <v>19461.0</v>
      </c>
      <c r="AE27" s="46">
        <f t="shared" si="85"/>
        <v>-801589</v>
      </c>
      <c r="AF27" s="46">
        <v>-993218.0</v>
      </c>
      <c r="AG27" s="46">
        <v>6575.0</v>
      </c>
      <c r="AH27" s="46">
        <f t="shared" si="86"/>
        <v>-986643</v>
      </c>
      <c r="AI27" s="46">
        <v>-1854618.0</v>
      </c>
      <c r="AJ27" s="46">
        <v>0.0</v>
      </c>
      <c r="AK27" s="46">
        <f t="shared" si="87"/>
        <v>-1854618</v>
      </c>
      <c r="AL27" s="45">
        <f t="shared" si="88"/>
        <v>-9274297</v>
      </c>
    </row>
    <row r="28">
      <c r="A28" s="43" t="s">
        <v>29</v>
      </c>
      <c r="B28" s="46">
        <v>-194357.0</v>
      </c>
      <c r="C28" s="46">
        <v>5649.0</v>
      </c>
      <c r="D28" s="46">
        <f t="shared" si="76"/>
        <v>-188708</v>
      </c>
      <c r="E28" s="46">
        <v>-469755.0</v>
      </c>
      <c r="F28" s="46">
        <v>428227.0</v>
      </c>
      <c r="G28" s="46">
        <f t="shared" si="77"/>
        <v>-41528</v>
      </c>
      <c r="H28" s="46">
        <v>-336032.0</v>
      </c>
      <c r="I28" s="46">
        <v>410772.0</v>
      </c>
      <c r="J28" s="46">
        <f t="shared" si="78"/>
        <v>74740</v>
      </c>
      <c r="K28" s="46">
        <v>-277067.0</v>
      </c>
      <c r="L28" s="46">
        <v>306697.0</v>
      </c>
      <c r="M28" s="46">
        <f t="shared" si="79"/>
        <v>29630</v>
      </c>
      <c r="N28" s="46">
        <v>-386234.0</v>
      </c>
      <c r="O28" s="46">
        <v>204511.0</v>
      </c>
      <c r="P28" s="46">
        <f t="shared" si="80"/>
        <v>-181723</v>
      </c>
      <c r="Q28" s="46">
        <v>-583755.0</v>
      </c>
      <c r="R28" s="46">
        <v>166902.0</v>
      </c>
      <c r="S28" s="46">
        <f t="shared" si="81"/>
        <v>-416853</v>
      </c>
      <c r="T28" s="46">
        <v>-299889.0</v>
      </c>
      <c r="U28" s="46">
        <v>75090.0</v>
      </c>
      <c r="V28" s="46">
        <f t="shared" si="82"/>
        <v>-224799</v>
      </c>
      <c r="W28" s="46">
        <v>-501440.0</v>
      </c>
      <c r="X28" s="46">
        <v>153535.0</v>
      </c>
      <c r="Y28" s="46">
        <f t="shared" si="83"/>
        <v>-347905</v>
      </c>
      <c r="Z28" s="46">
        <v>-729204.0</v>
      </c>
      <c r="AA28" s="46">
        <v>111142.0</v>
      </c>
      <c r="AB28" s="46">
        <f t="shared" si="84"/>
        <v>-618062</v>
      </c>
      <c r="AC28" s="46">
        <v>-961294.0</v>
      </c>
      <c r="AD28" s="46">
        <v>95510.0</v>
      </c>
      <c r="AE28" s="46">
        <f t="shared" si="85"/>
        <v>-865784</v>
      </c>
      <c r="AF28" s="46">
        <v>-1210230.0</v>
      </c>
      <c r="AG28" s="46">
        <v>130500.0</v>
      </c>
      <c r="AH28" s="46">
        <f t="shared" si="86"/>
        <v>-1079730</v>
      </c>
      <c r="AI28" s="46">
        <v>-1802727.0</v>
      </c>
      <c r="AJ28" s="46">
        <v>263407.0</v>
      </c>
      <c r="AK28" s="46">
        <f t="shared" si="87"/>
        <v>-1539320</v>
      </c>
      <c r="AL28" s="45">
        <f t="shared" si="88"/>
        <v>-5400042</v>
      </c>
      <c r="AO28" s="45"/>
      <c r="AP28" s="46"/>
      <c r="AQ28" s="46"/>
    </row>
    <row r="29">
      <c r="A29" s="43" t="s">
        <v>30</v>
      </c>
      <c r="B29" s="46">
        <v>-190267.0</v>
      </c>
      <c r="C29" s="46">
        <v>21872.0</v>
      </c>
      <c r="D29" s="46">
        <f t="shared" si="76"/>
        <v>-168395</v>
      </c>
      <c r="E29" s="46">
        <v>-367411.0</v>
      </c>
      <c r="F29" s="46">
        <v>84794.0</v>
      </c>
      <c r="G29" s="46">
        <f t="shared" si="77"/>
        <v>-282617</v>
      </c>
      <c r="H29" s="46">
        <v>-16268.0</v>
      </c>
      <c r="I29" s="46">
        <v>169968.0</v>
      </c>
      <c r="J29" s="46">
        <f t="shared" si="78"/>
        <v>153700</v>
      </c>
      <c r="K29" s="46">
        <v>-72098.0</v>
      </c>
      <c r="L29" s="46">
        <v>33538.0</v>
      </c>
      <c r="M29" s="46">
        <f t="shared" si="79"/>
        <v>-38560</v>
      </c>
      <c r="N29" s="46">
        <v>-480945.0</v>
      </c>
      <c r="O29" s="46">
        <v>10295.0</v>
      </c>
      <c r="P29" s="46">
        <f t="shared" si="80"/>
        <v>-470650</v>
      </c>
      <c r="Q29" s="46">
        <v>-774462.0</v>
      </c>
      <c r="R29" s="46">
        <v>3639.0</v>
      </c>
      <c r="S29" s="46">
        <f t="shared" si="81"/>
        <v>-770823</v>
      </c>
      <c r="T29" s="46">
        <v>-661109.0</v>
      </c>
      <c r="U29" s="46">
        <v>4938.0</v>
      </c>
      <c r="V29" s="46">
        <f t="shared" si="82"/>
        <v>-656171</v>
      </c>
      <c r="W29" s="46">
        <v>-684630.0</v>
      </c>
      <c r="X29" s="46">
        <v>8989.0</v>
      </c>
      <c r="Y29" s="46">
        <f t="shared" si="83"/>
        <v>-675641</v>
      </c>
      <c r="Z29" s="46">
        <v>-904903.0</v>
      </c>
      <c r="AA29" s="46">
        <v>17260.0</v>
      </c>
      <c r="AB29" s="46">
        <f t="shared" si="84"/>
        <v>-887643</v>
      </c>
      <c r="AC29" s="46">
        <v>-951787.0</v>
      </c>
      <c r="AD29" s="46">
        <v>432.0</v>
      </c>
      <c r="AE29" s="46">
        <f t="shared" si="85"/>
        <v>-951355</v>
      </c>
      <c r="AF29" s="46">
        <v>-1971395.0</v>
      </c>
      <c r="AG29" s="46">
        <v>3475.0</v>
      </c>
      <c r="AH29" s="46">
        <f t="shared" si="86"/>
        <v>-1967920</v>
      </c>
      <c r="AI29" s="46">
        <v>-1837693.0</v>
      </c>
      <c r="AJ29" s="46">
        <v>14517.0</v>
      </c>
      <c r="AK29" s="46">
        <f t="shared" si="87"/>
        <v>-1823176</v>
      </c>
      <c r="AL29" s="45">
        <f t="shared" si="88"/>
        <v>-8539251</v>
      </c>
      <c r="AO29" s="46"/>
      <c r="AP29" s="46"/>
      <c r="AQ29" s="46"/>
    </row>
    <row r="30">
      <c r="A30" s="43" t="s">
        <v>31</v>
      </c>
      <c r="B30" s="46">
        <v>-359208.0</v>
      </c>
      <c r="C30" s="46">
        <v>65027.0</v>
      </c>
      <c r="D30" s="46">
        <f t="shared" si="76"/>
        <v>-294181</v>
      </c>
      <c r="E30" s="46">
        <f>-14560-147589</f>
        <v>-162149</v>
      </c>
      <c r="F30" s="46">
        <f>295386+33226</f>
        <v>328612</v>
      </c>
      <c r="G30" s="46">
        <f t="shared" si="77"/>
        <v>166463</v>
      </c>
      <c r="H30" s="46">
        <f>-49436-745</f>
        <v>-50181</v>
      </c>
      <c r="I30" s="46">
        <f>98842+481027</f>
        <v>579869</v>
      </c>
      <c r="J30" s="46">
        <f t="shared" si="78"/>
        <v>529688</v>
      </c>
      <c r="K30" s="46">
        <f>-4481-180748</f>
        <v>-185229</v>
      </c>
      <c r="L30" s="46">
        <f>312013+37806</f>
        <v>349819</v>
      </c>
      <c r="M30" s="46">
        <f t="shared" si="79"/>
        <v>164590</v>
      </c>
      <c r="N30" s="46">
        <f>-307750-296130</f>
        <v>-603880</v>
      </c>
      <c r="O30" s="46">
        <f>50758+11245</f>
        <v>62003</v>
      </c>
      <c r="P30" s="46">
        <f t="shared" si="80"/>
        <v>-541877</v>
      </c>
      <c r="Q30" s="46">
        <f>-634416-614936</f>
        <v>-1249352</v>
      </c>
      <c r="R30" s="46">
        <f>24732+87973</f>
        <v>112705</v>
      </c>
      <c r="S30" s="46">
        <f t="shared" si="81"/>
        <v>-1136647</v>
      </c>
      <c r="T30" s="46">
        <f>-467874-629875</f>
        <v>-1097749</v>
      </c>
      <c r="U30" s="46">
        <f>13804+20509</f>
        <v>34313</v>
      </c>
      <c r="V30" s="46">
        <f t="shared" si="82"/>
        <v>-1063436</v>
      </c>
      <c r="W30" s="46">
        <f>-470268-533435</f>
        <v>-1003703</v>
      </c>
      <c r="X30" s="46">
        <f>17506+37598</f>
        <v>55104</v>
      </c>
      <c r="Y30" s="46">
        <f t="shared" si="83"/>
        <v>-948599</v>
      </c>
      <c r="Z30" s="46">
        <f>-1118601-617296</f>
        <v>-1735897</v>
      </c>
      <c r="AA30" s="46">
        <f>6850+36073</f>
        <v>42923</v>
      </c>
      <c r="AB30" s="46">
        <f t="shared" si="84"/>
        <v>-1692974</v>
      </c>
      <c r="AC30" s="46">
        <f>-800200-690528</f>
        <v>-1490728</v>
      </c>
      <c r="AD30" s="46">
        <f>21476+13359</f>
        <v>34835</v>
      </c>
      <c r="AE30" s="46">
        <f t="shared" si="85"/>
        <v>-1455893</v>
      </c>
      <c r="AF30" s="46">
        <f>-1396718-1188617</f>
        <v>-2585335</v>
      </c>
      <c r="AG30" s="46">
        <f>20141+15468</f>
        <v>35609</v>
      </c>
      <c r="AH30" s="46">
        <f t="shared" si="86"/>
        <v>-2549726</v>
      </c>
      <c r="AI30" s="46">
        <f>-1687966-1261236</f>
        <v>-2949202</v>
      </c>
      <c r="AJ30" s="46">
        <f>49471+11744</f>
        <v>61215</v>
      </c>
      <c r="AK30" s="46">
        <f t="shared" si="87"/>
        <v>-2887987</v>
      </c>
      <c r="AL30" s="45">
        <f t="shared" si="88"/>
        <v>-11710579</v>
      </c>
      <c r="AO30" s="46"/>
      <c r="AP30" s="46"/>
      <c r="AQ30" s="46"/>
    </row>
    <row r="31">
      <c r="A31" s="43" t="s">
        <v>32</v>
      </c>
      <c r="B31" s="46">
        <v>-61456.0</v>
      </c>
      <c r="C31" s="46">
        <v>21124.0</v>
      </c>
      <c r="D31" s="46">
        <f t="shared" si="76"/>
        <v>-40332</v>
      </c>
      <c r="E31" s="46">
        <f>-16122-63162</f>
        <v>-79284</v>
      </c>
      <c r="F31" s="46">
        <f>19045+41776</f>
        <v>60821</v>
      </c>
      <c r="G31" s="46">
        <f t="shared" si="77"/>
        <v>-18463</v>
      </c>
      <c r="H31" s="46">
        <v>-44389.0</v>
      </c>
      <c r="I31" s="46">
        <v>125415.0</v>
      </c>
      <c r="J31" s="46">
        <f t="shared" si="78"/>
        <v>81026</v>
      </c>
      <c r="K31" s="46">
        <v>-73654.0</v>
      </c>
      <c r="L31" s="46">
        <v>95422.0</v>
      </c>
      <c r="M31" s="46">
        <f t="shared" si="79"/>
        <v>21768</v>
      </c>
      <c r="N31" s="46">
        <v>-115282.0</v>
      </c>
      <c r="O31" s="46">
        <v>19166.0</v>
      </c>
      <c r="P31" s="46">
        <f t="shared" si="80"/>
        <v>-96116</v>
      </c>
      <c r="Q31" s="46">
        <f>-141392-48937</f>
        <v>-190329</v>
      </c>
      <c r="R31" s="46">
        <f>2429+2976</f>
        <v>5405</v>
      </c>
      <c r="S31" s="46">
        <f t="shared" si="81"/>
        <v>-184924</v>
      </c>
      <c r="T31" s="46">
        <v>-170765.0</v>
      </c>
      <c r="U31" s="46">
        <v>11036.0</v>
      </c>
      <c r="V31" s="46">
        <f t="shared" si="82"/>
        <v>-159729</v>
      </c>
      <c r="W31" s="46">
        <v>-158476.0</v>
      </c>
      <c r="X31" s="46">
        <v>5324.0</v>
      </c>
      <c r="Y31" s="46">
        <f t="shared" si="83"/>
        <v>-153152</v>
      </c>
      <c r="Z31" s="46">
        <v>-323804.0</v>
      </c>
      <c r="AA31" s="46">
        <v>1451.0</v>
      </c>
      <c r="AB31" s="46">
        <f t="shared" si="84"/>
        <v>-322353</v>
      </c>
      <c r="AC31" s="46">
        <v>-379220.0</v>
      </c>
      <c r="AD31" s="46">
        <v>15224.0</v>
      </c>
      <c r="AE31" s="46">
        <f t="shared" si="85"/>
        <v>-363996</v>
      </c>
      <c r="AF31" s="46">
        <v>-569567.0</v>
      </c>
      <c r="AG31" s="22">
        <v>2138.0</v>
      </c>
      <c r="AH31" s="46">
        <f t="shared" si="86"/>
        <v>-567429</v>
      </c>
      <c r="AI31" s="46">
        <v>-554204.0</v>
      </c>
      <c r="AJ31" s="46">
        <v>744.0</v>
      </c>
      <c r="AK31" s="46">
        <f t="shared" si="87"/>
        <v>-553460</v>
      </c>
      <c r="AL31" s="45">
        <f t="shared" si="88"/>
        <v>-2357160</v>
      </c>
      <c r="AO31" s="46"/>
      <c r="AP31" s="46"/>
      <c r="AQ31" s="46"/>
    </row>
    <row r="32">
      <c r="A32" s="43" t="s">
        <v>33</v>
      </c>
      <c r="B32" s="46">
        <v>-244544.0</v>
      </c>
      <c r="C32" s="46">
        <f>8316+832</f>
        <v>9148</v>
      </c>
      <c r="D32" s="46">
        <f t="shared" si="76"/>
        <v>-235396</v>
      </c>
      <c r="E32" s="46">
        <v>-478076.0</v>
      </c>
      <c r="F32" s="46">
        <v>4630.0</v>
      </c>
      <c r="G32" s="46">
        <f t="shared" si="77"/>
        <v>-473446</v>
      </c>
      <c r="H32" s="46">
        <f>-444183-1282</f>
        <v>-445465</v>
      </c>
      <c r="I32" s="46">
        <v>11480.0</v>
      </c>
      <c r="J32" s="46">
        <f t="shared" si="78"/>
        <v>-433985</v>
      </c>
      <c r="K32" s="46">
        <v>-266886.0</v>
      </c>
      <c r="L32" s="46">
        <f>257654+3864</f>
        <v>261518</v>
      </c>
      <c r="M32" s="46">
        <f t="shared" si="79"/>
        <v>-5368</v>
      </c>
      <c r="N32" s="46">
        <v>-87926.0</v>
      </c>
      <c r="O32" s="46">
        <v>89331.0</v>
      </c>
      <c r="P32" s="46">
        <f t="shared" si="80"/>
        <v>1405</v>
      </c>
      <c r="Q32" s="46">
        <v>-99287.0</v>
      </c>
      <c r="R32" s="46">
        <f>222853+2336</f>
        <v>225189</v>
      </c>
      <c r="S32" s="46">
        <f t="shared" si="81"/>
        <v>125902</v>
      </c>
      <c r="T32" s="46">
        <f>-344875-5</f>
        <v>-344880</v>
      </c>
      <c r="U32" s="46">
        <f>39850+1134</f>
        <v>40984</v>
      </c>
      <c r="V32" s="46">
        <f t="shared" si="82"/>
        <v>-303896</v>
      </c>
      <c r="W32" s="46">
        <f>-59-395591</f>
        <v>-395650</v>
      </c>
      <c r="X32" s="46">
        <f>106355+185</f>
        <v>106540</v>
      </c>
      <c r="Y32" s="46">
        <f t="shared" si="83"/>
        <v>-289110</v>
      </c>
      <c r="Z32" s="46">
        <v>-342733.0</v>
      </c>
      <c r="AA32" s="46">
        <v>152296.0</v>
      </c>
      <c r="AB32" s="46">
        <f t="shared" si="84"/>
        <v>-190437</v>
      </c>
      <c r="AC32" s="46">
        <v>-252704.0</v>
      </c>
      <c r="AD32" s="46">
        <f>358078+7796</f>
        <v>365874</v>
      </c>
      <c r="AE32" s="46">
        <f t="shared" si="85"/>
        <v>113170</v>
      </c>
      <c r="AF32" s="46">
        <v>-356633.0</v>
      </c>
      <c r="AG32" s="46">
        <f>73822+5379</f>
        <v>79201</v>
      </c>
      <c r="AH32" s="46">
        <f t="shared" si="86"/>
        <v>-277432</v>
      </c>
      <c r="AI32" s="46">
        <v>-529140.0</v>
      </c>
      <c r="AJ32" s="46">
        <f>263867+347</f>
        <v>264214</v>
      </c>
      <c r="AK32" s="46">
        <f t="shared" si="87"/>
        <v>-264926</v>
      </c>
      <c r="AL32" s="45">
        <f t="shared" si="88"/>
        <v>-2233519</v>
      </c>
      <c r="AO32" s="45"/>
      <c r="AP32" s="45"/>
      <c r="AQ32" s="45"/>
    </row>
    <row r="33">
      <c r="A33" s="43" t="s">
        <v>34</v>
      </c>
      <c r="B33" s="46"/>
      <c r="C33" s="46"/>
      <c r="D33" s="46">
        <f t="shared" si="76"/>
        <v>0</v>
      </c>
      <c r="E33" s="46">
        <v>-1207692.0</v>
      </c>
      <c r="F33" s="46">
        <v>0.0</v>
      </c>
      <c r="G33" s="46">
        <f t="shared" si="77"/>
        <v>-1207692</v>
      </c>
      <c r="H33" s="46">
        <v>-5734708.0</v>
      </c>
      <c r="I33" s="46">
        <v>0.0</v>
      </c>
      <c r="J33" s="46">
        <f t="shared" si="78"/>
        <v>-5734708</v>
      </c>
      <c r="K33" s="46">
        <v>-6974092.0</v>
      </c>
      <c r="L33" s="46">
        <v>0.0</v>
      </c>
      <c r="M33" s="46">
        <f t="shared" si="79"/>
        <v>-6974092</v>
      </c>
      <c r="N33" s="46">
        <v>0.0</v>
      </c>
      <c r="O33" s="46">
        <v>354522.0</v>
      </c>
      <c r="P33" s="46">
        <f t="shared" si="80"/>
        <v>354522</v>
      </c>
      <c r="Q33" s="46">
        <v>0.0</v>
      </c>
      <c r="R33" s="46">
        <v>250509.0</v>
      </c>
      <c r="S33" s="46">
        <f t="shared" si="81"/>
        <v>250509</v>
      </c>
      <c r="T33" s="46">
        <v>-6249939.0</v>
      </c>
      <c r="U33" s="46">
        <v>223548.0</v>
      </c>
      <c r="V33" s="46">
        <f t="shared" si="82"/>
        <v>-6026391</v>
      </c>
      <c r="W33" s="46">
        <v>0.0</v>
      </c>
      <c r="X33" s="46">
        <v>0.0</v>
      </c>
      <c r="Y33" s="46">
        <f t="shared" si="83"/>
        <v>0</v>
      </c>
      <c r="Z33" s="46">
        <v>0.0</v>
      </c>
      <c r="AA33" s="46">
        <v>0.0</v>
      </c>
      <c r="AB33" s="46">
        <f t="shared" si="84"/>
        <v>0</v>
      </c>
      <c r="AC33" s="46">
        <v>0.0</v>
      </c>
      <c r="AD33" s="46">
        <v>-83749.0</v>
      </c>
      <c r="AE33" s="46">
        <f t="shared" si="85"/>
        <v>-83749</v>
      </c>
      <c r="AF33" s="46">
        <v>0.0</v>
      </c>
      <c r="AG33" s="46">
        <v>0.0</v>
      </c>
      <c r="AH33" s="46">
        <f t="shared" si="86"/>
        <v>0</v>
      </c>
      <c r="AI33" s="46">
        <v>0.0</v>
      </c>
      <c r="AJ33" s="46">
        <v>0.0</v>
      </c>
      <c r="AK33" s="46">
        <f t="shared" si="87"/>
        <v>0</v>
      </c>
      <c r="AL33" s="45">
        <f t="shared" si="88"/>
        <v>-19421601</v>
      </c>
    </row>
    <row r="34">
      <c r="A34" s="43" t="s">
        <v>35</v>
      </c>
      <c r="B34" s="46">
        <v>-45082.0</v>
      </c>
      <c r="C34" s="46">
        <v>0.0</v>
      </c>
      <c r="D34" s="46">
        <f t="shared" si="76"/>
        <v>-45082</v>
      </c>
      <c r="E34" s="46">
        <v>-167768.0</v>
      </c>
      <c r="F34" s="46">
        <v>1077.0</v>
      </c>
      <c r="G34" s="46">
        <f t="shared" si="77"/>
        <v>-166691</v>
      </c>
      <c r="H34" s="46">
        <v>-55758.0</v>
      </c>
      <c r="I34" s="46">
        <v>140666.0</v>
      </c>
      <c r="J34" s="46">
        <f t="shared" si="78"/>
        <v>84908</v>
      </c>
      <c r="K34" s="46">
        <v>-15779.0</v>
      </c>
      <c r="L34" s="46">
        <v>33339.0</v>
      </c>
      <c r="M34" s="46">
        <f t="shared" si="79"/>
        <v>17560</v>
      </c>
      <c r="N34" s="46">
        <v>-62693.0</v>
      </c>
      <c r="O34" s="46">
        <v>578.0</v>
      </c>
      <c r="P34" s="46">
        <f t="shared" si="80"/>
        <v>-62115</v>
      </c>
      <c r="Q34" s="46">
        <v>-149708.0</v>
      </c>
      <c r="R34" s="46">
        <v>91.0</v>
      </c>
      <c r="S34" s="46">
        <f t="shared" si="81"/>
        <v>-149617</v>
      </c>
      <c r="T34" s="46">
        <v>-126518.0</v>
      </c>
      <c r="U34" s="46">
        <v>0.0</v>
      </c>
      <c r="V34" s="46">
        <f t="shared" si="82"/>
        <v>-126518</v>
      </c>
      <c r="W34" s="46">
        <v>-250717.0</v>
      </c>
      <c r="X34" s="46">
        <v>964.0</v>
      </c>
      <c r="Y34" s="46">
        <f t="shared" si="83"/>
        <v>-249753</v>
      </c>
      <c r="Z34" s="46">
        <v>-337399.0</v>
      </c>
      <c r="AA34" s="46">
        <v>0.0</v>
      </c>
      <c r="AB34" s="46">
        <f t="shared" si="84"/>
        <v>-337399</v>
      </c>
      <c r="AC34" s="46">
        <v>0.0</v>
      </c>
      <c r="AD34" s="46">
        <v>-542654.0</v>
      </c>
      <c r="AE34" s="46">
        <f t="shared" si="85"/>
        <v>-542654</v>
      </c>
      <c r="AF34" s="46">
        <v>-525644.0</v>
      </c>
      <c r="AG34" s="46">
        <v>41.0</v>
      </c>
      <c r="AH34" s="46">
        <f t="shared" si="86"/>
        <v>-525603</v>
      </c>
      <c r="AI34" s="46">
        <v>-687695.0</v>
      </c>
      <c r="AJ34" s="46">
        <v>0.0</v>
      </c>
      <c r="AK34" s="46">
        <f t="shared" si="87"/>
        <v>-687695</v>
      </c>
      <c r="AL34" s="45">
        <f t="shared" si="88"/>
        <v>-2790659</v>
      </c>
    </row>
    <row r="35">
      <c r="A35" s="50" t="s">
        <v>6</v>
      </c>
      <c r="B35" s="45">
        <f t="shared" ref="B35:C35" si="89">SUM(B26:B34)</f>
        <v>-1566883</v>
      </c>
      <c r="C35" s="45">
        <f t="shared" si="89"/>
        <v>125062</v>
      </c>
      <c r="D35" s="46">
        <f t="shared" si="76"/>
        <v>-1441821</v>
      </c>
      <c r="E35" s="45">
        <f t="shared" ref="E35:F35" si="90">SUM(E26:E34)</f>
        <v>-4575328</v>
      </c>
      <c r="F35" s="45">
        <f t="shared" si="90"/>
        <v>1124402</v>
      </c>
      <c r="G35" s="46">
        <f t="shared" si="77"/>
        <v>-3450926</v>
      </c>
      <c r="H35" s="45">
        <f t="shared" ref="H35:I35" si="91">SUM(H26:H34)</f>
        <v>-7187459</v>
      </c>
      <c r="I35" s="45">
        <f t="shared" si="91"/>
        <v>1670279</v>
      </c>
      <c r="J35" s="46">
        <f t="shared" si="78"/>
        <v>-5517180</v>
      </c>
      <c r="K35" s="45">
        <f t="shared" ref="K35:L35" si="92">SUM(K26:K34)</f>
        <v>-9014625</v>
      </c>
      <c r="L35" s="45">
        <f t="shared" si="92"/>
        <v>1383846</v>
      </c>
      <c r="M35" s="46">
        <f t="shared" si="79"/>
        <v>-7630779</v>
      </c>
      <c r="N35" s="45">
        <f t="shared" ref="N35:O35" si="93">SUM(N26:N34)</f>
        <v>-3328038</v>
      </c>
      <c r="O35" s="45">
        <f t="shared" si="93"/>
        <v>1083921</v>
      </c>
      <c r="P35" s="46">
        <f t="shared" si="80"/>
        <v>-2244117</v>
      </c>
      <c r="Q35" s="45">
        <f t="shared" ref="Q35:R35" si="94">SUM(Q26:Q34)</f>
        <v>-3971430</v>
      </c>
      <c r="R35" s="45">
        <f t="shared" si="94"/>
        <v>979358</v>
      </c>
      <c r="S35" s="46">
        <f t="shared" si="81"/>
        <v>-2992072</v>
      </c>
      <c r="T35" s="45">
        <f t="shared" ref="T35:U35" si="95">SUM(T26:T34)</f>
        <v>-10169488</v>
      </c>
      <c r="U35" s="45">
        <f t="shared" si="95"/>
        <v>541259</v>
      </c>
      <c r="V35" s="46">
        <f t="shared" si="82"/>
        <v>-9628229</v>
      </c>
      <c r="W35" s="45">
        <f t="shared" ref="W35:X35" si="96">SUM(W26:W34)</f>
        <v>-4533347</v>
      </c>
      <c r="X35" s="45">
        <f t="shared" si="96"/>
        <v>453836</v>
      </c>
      <c r="Y35" s="46">
        <f t="shared" si="83"/>
        <v>-4079511</v>
      </c>
      <c r="Z35" s="45">
        <f t="shared" ref="Z35:AA35" si="97">SUM(Z26:Z34)</f>
        <v>-6060941</v>
      </c>
      <c r="AA35" s="45">
        <f t="shared" si="97"/>
        <v>489072</v>
      </c>
      <c r="AB35" s="46">
        <f t="shared" si="84"/>
        <v>-5571869</v>
      </c>
      <c r="AC35" s="45">
        <f t="shared" ref="AC35:AD35" si="98">SUM(AC26:AC34)</f>
        <v>-5647462</v>
      </c>
      <c r="AD35" s="45">
        <f t="shared" si="98"/>
        <v>94367</v>
      </c>
      <c r="AE35" s="46">
        <f t="shared" si="85"/>
        <v>-5553095</v>
      </c>
      <c r="AF35" s="45">
        <f t="shared" ref="AF35:AG35" si="99">SUM(AF26:AF34)</f>
        <v>-9058984</v>
      </c>
      <c r="AG35" s="45">
        <f t="shared" si="99"/>
        <v>380818</v>
      </c>
      <c r="AH35" s="46">
        <f t="shared" si="86"/>
        <v>-8678166</v>
      </c>
      <c r="AI35" s="45">
        <f t="shared" ref="AI35:AJ35" si="100">SUM(AI26:AI34)</f>
        <v>-12005236</v>
      </c>
      <c r="AJ35" s="45">
        <f t="shared" si="100"/>
        <v>832791</v>
      </c>
      <c r="AK35" s="46">
        <f t="shared" si="87"/>
        <v>-11172445</v>
      </c>
      <c r="AL35" s="45">
        <f>SUM(AL26:AL34)</f>
        <v>-67960210</v>
      </c>
    </row>
    <row r="36">
      <c r="A36" s="51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>
      <c r="A37" s="51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6"/>
      <c r="AE37" s="45"/>
      <c r="AF37" s="45"/>
      <c r="AG37" s="45"/>
      <c r="AH37" s="45"/>
      <c r="AI37" s="45"/>
      <c r="AJ37" s="45"/>
      <c r="AK37" s="45"/>
      <c r="AL37" s="45"/>
    </row>
    <row r="38">
      <c r="A38" s="43" t="s">
        <v>36</v>
      </c>
      <c r="B38" s="46">
        <v>-698.0</v>
      </c>
      <c r="C38" s="46">
        <v>27992.0</v>
      </c>
      <c r="D38" s="46">
        <f>B38+C38</f>
        <v>27294</v>
      </c>
      <c r="E38" s="46">
        <v>-14354.0</v>
      </c>
      <c r="F38" s="46">
        <v>122253.0</v>
      </c>
      <c r="G38" s="46">
        <f>E38+F38</f>
        <v>107899</v>
      </c>
      <c r="H38" s="46">
        <v>-21110.0</v>
      </c>
      <c r="I38" s="46">
        <v>58944.0</v>
      </c>
      <c r="J38" s="46">
        <f>H38+I38</f>
        <v>37834</v>
      </c>
      <c r="K38" s="46">
        <v>-2796.0</v>
      </c>
      <c r="L38" s="46">
        <v>37115.0</v>
      </c>
      <c r="M38" s="46">
        <f>K38+L38</f>
        <v>34319</v>
      </c>
      <c r="N38" s="46">
        <v>-61803.0</v>
      </c>
      <c r="O38" s="46">
        <v>25620.0</v>
      </c>
      <c r="P38" s="46">
        <f>N38+O38</f>
        <v>-36183</v>
      </c>
      <c r="Q38" s="46">
        <v>-8070.0</v>
      </c>
      <c r="R38" s="46">
        <v>23736.0</v>
      </c>
      <c r="S38" s="46">
        <f>Q38+R38</f>
        <v>15666</v>
      </c>
      <c r="T38" s="46">
        <v>-2658.0</v>
      </c>
      <c r="U38" s="46">
        <v>10263.0</v>
      </c>
      <c r="V38" s="46">
        <f>T38+U38</f>
        <v>7605</v>
      </c>
      <c r="W38" s="46">
        <v>-89750.0</v>
      </c>
      <c r="X38" s="46">
        <v>18658.0</v>
      </c>
      <c r="Y38" s="46">
        <f>W38+X38</f>
        <v>-71092</v>
      </c>
      <c r="Z38" s="46">
        <v>-25514.0</v>
      </c>
      <c r="AA38" s="46">
        <v>18953.0</v>
      </c>
      <c r="AB38" s="46">
        <f>Z38+AA38</f>
        <v>-6561</v>
      </c>
      <c r="AC38" s="46">
        <v>-90935.0</v>
      </c>
      <c r="AD38" s="46">
        <v>3243.0</v>
      </c>
      <c r="AE38" s="46">
        <f>AC38+AD38</f>
        <v>-87692</v>
      </c>
      <c r="AF38" s="46">
        <v>-20327.0</v>
      </c>
      <c r="AG38" s="46">
        <v>9166.0</v>
      </c>
      <c r="AH38" s="46">
        <f>AF38+AG38</f>
        <v>-11161</v>
      </c>
      <c r="AI38" s="46">
        <v>-240848.0</v>
      </c>
      <c r="AJ38" s="46">
        <v>45674.0</v>
      </c>
      <c r="AK38" s="46">
        <f>AI38+AJ38</f>
        <v>-195174</v>
      </c>
      <c r="AL38" s="45">
        <f>D38+G38+J38+M38+P38+S38+V38+Y38+AB38+AE38+AH38+AK38</f>
        <v>-177246</v>
      </c>
    </row>
    <row r="39">
      <c r="A39" s="51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>
      <c r="A40" s="51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>
      <c r="A41" s="51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>
      <c r="A42" s="51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>
      <c r="A43" s="50" t="s">
        <v>6</v>
      </c>
      <c r="B43" s="45">
        <f t="shared" ref="B43:C43" si="101">SUM(B38:B42)</f>
        <v>-698</v>
      </c>
      <c r="C43" s="45">
        <f t="shared" si="101"/>
        <v>27992</v>
      </c>
      <c r="D43" s="46">
        <f>B43+C43</f>
        <v>27294</v>
      </c>
      <c r="E43" s="45">
        <f t="shared" ref="E43:F43" si="102">SUM(E38:E42)</f>
        <v>-14354</v>
      </c>
      <c r="F43" s="45">
        <f t="shared" si="102"/>
        <v>122253</v>
      </c>
      <c r="G43" s="46">
        <f>E43+F43</f>
        <v>107899</v>
      </c>
      <c r="H43" s="45">
        <f t="shared" ref="H43:I43" si="103">SUM(H38:H42)</f>
        <v>-21110</v>
      </c>
      <c r="I43" s="45">
        <f t="shared" si="103"/>
        <v>58944</v>
      </c>
      <c r="J43" s="46">
        <f>H43+I43</f>
        <v>37834</v>
      </c>
      <c r="K43" s="45">
        <f t="shared" ref="K43:L43" si="104">SUM(K38:K42)</f>
        <v>-2796</v>
      </c>
      <c r="L43" s="45">
        <f t="shared" si="104"/>
        <v>37115</v>
      </c>
      <c r="M43" s="46">
        <f>K43+L43</f>
        <v>34319</v>
      </c>
      <c r="N43" s="45">
        <f t="shared" ref="N43:O43" si="105">SUM(N38:N42)</f>
        <v>-61803</v>
      </c>
      <c r="O43" s="45">
        <f t="shared" si="105"/>
        <v>25620</v>
      </c>
      <c r="P43" s="46">
        <f>N43+O43</f>
        <v>-36183</v>
      </c>
      <c r="Q43" s="45">
        <f t="shared" ref="Q43:R43" si="106">SUM(Q38:Q42)</f>
        <v>-8070</v>
      </c>
      <c r="R43" s="45">
        <f t="shared" si="106"/>
        <v>23736</v>
      </c>
      <c r="S43" s="46">
        <f>Q43+R43</f>
        <v>15666</v>
      </c>
      <c r="T43" s="45">
        <f t="shared" ref="T43:U43" si="107">SUM(T38:T42)</f>
        <v>-2658</v>
      </c>
      <c r="U43" s="45">
        <f t="shared" si="107"/>
        <v>10263</v>
      </c>
      <c r="V43" s="46">
        <f>T43+U43</f>
        <v>7605</v>
      </c>
      <c r="W43" s="45">
        <f t="shared" ref="W43:X43" si="108">SUM(W38:W42)</f>
        <v>-89750</v>
      </c>
      <c r="X43" s="45">
        <f t="shared" si="108"/>
        <v>18658</v>
      </c>
      <c r="Y43" s="46">
        <f>W43+X43</f>
        <v>-71092</v>
      </c>
      <c r="Z43" s="45">
        <f t="shared" ref="Z43:AA43" si="109">SUM(Z38:Z42)</f>
        <v>-25514</v>
      </c>
      <c r="AA43" s="45">
        <f t="shared" si="109"/>
        <v>18953</v>
      </c>
      <c r="AB43" s="46">
        <f>Z43+AA43</f>
        <v>-6561</v>
      </c>
      <c r="AC43" s="45">
        <f t="shared" ref="AC43:AD43" si="110">SUM(AC38:AC42)</f>
        <v>-90935</v>
      </c>
      <c r="AD43" s="45">
        <f t="shared" si="110"/>
        <v>3243</v>
      </c>
      <c r="AE43" s="46">
        <f>AC43+AD43</f>
        <v>-87692</v>
      </c>
      <c r="AF43" s="45">
        <f t="shared" ref="AF43:AG43" si="111">SUM(AF38:AF42)</f>
        <v>-20327</v>
      </c>
      <c r="AG43" s="45">
        <f t="shared" si="111"/>
        <v>9166</v>
      </c>
      <c r="AH43" s="46">
        <f>AF43+AG43</f>
        <v>-11161</v>
      </c>
      <c r="AI43" s="45">
        <f t="shared" ref="AI43:AJ43" si="112">SUM(AI38:AI42)</f>
        <v>-240848</v>
      </c>
      <c r="AJ43" s="45">
        <f t="shared" si="112"/>
        <v>45674</v>
      </c>
      <c r="AK43" s="46">
        <f>AI43+AJ43</f>
        <v>-195174</v>
      </c>
      <c r="AL43" s="45">
        <f>SUM(AL38:AL42)</f>
        <v>-177246</v>
      </c>
    </row>
    <row r="44">
      <c r="A44" s="51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>
      <c r="A45" s="43" t="s">
        <v>37</v>
      </c>
      <c r="B45" s="46">
        <v>-48376.0</v>
      </c>
      <c r="C45" s="46">
        <v>11138.0</v>
      </c>
      <c r="D45" s="46">
        <f t="shared" ref="D45:D47" si="113">B45+C45</f>
        <v>-37238</v>
      </c>
      <c r="E45" s="46">
        <v>-52673.0</v>
      </c>
      <c r="F45" s="46">
        <v>6708.0</v>
      </c>
      <c r="G45" s="46">
        <f t="shared" ref="G45:G47" si="114">E45+F45</f>
        <v>-45965</v>
      </c>
      <c r="H45" s="46">
        <v>-33959.0</v>
      </c>
      <c r="I45" s="46">
        <v>10432.0</v>
      </c>
      <c r="J45" s="46">
        <f t="shared" ref="J45:J47" si="115">H45+I45</f>
        <v>-23527</v>
      </c>
      <c r="K45" s="46">
        <v>-2930.0</v>
      </c>
      <c r="L45" s="46">
        <v>275918.0</v>
      </c>
      <c r="M45" s="46">
        <f t="shared" ref="M45:M47" si="116">K45+L45</f>
        <v>272988</v>
      </c>
      <c r="N45" s="46">
        <v>-6395.0</v>
      </c>
      <c r="O45" s="46">
        <v>252357.0</v>
      </c>
      <c r="P45" s="46">
        <f t="shared" ref="P45:P47" si="117">N45+O45</f>
        <v>245962</v>
      </c>
      <c r="Q45" s="46">
        <v>-6526.0</v>
      </c>
      <c r="R45" s="46">
        <v>78494.0</v>
      </c>
      <c r="S45" s="46">
        <f t="shared" ref="S45:S47" si="118">Q45+R45</f>
        <v>71968</v>
      </c>
      <c r="T45" s="46">
        <v>-1221.0</v>
      </c>
      <c r="U45" s="46">
        <v>299739.0</v>
      </c>
      <c r="V45" s="46">
        <f t="shared" ref="V45:V47" si="119">T45+U45</f>
        <v>298518</v>
      </c>
      <c r="W45" s="46">
        <v>-1907.0</v>
      </c>
      <c r="X45" s="46">
        <v>317799.0</v>
      </c>
      <c r="Y45" s="46">
        <f t="shared" ref="Y45:Y47" si="120">W45+X45</f>
        <v>315892</v>
      </c>
      <c r="Z45" s="46">
        <v>0.0</v>
      </c>
      <c r="AA45" s="46">
        <v>60474.0</v>
      </c>
      <c r="AB45" s="46">
        <f t="shared" ref="AB45:AB47" si="121">Z45+AA45</f>
        <v>60474</v>
      </c>
      <c r="AC45" s="46">
        <v>0.0</v>
      </c>
      <c r="AD45" s="46">
        <v>184117.0</v>
      </c>
      <c r="AE45" s="46">
        <f t="shared" ref="AE45:AE47" si="122">AC45+AD45</f>
        <v>184117</v>
      </c>
      <c r="AF45" s="46">
        <v>0.0</v>
      </c>
      <c r="AG45" s="46">
        <v>255888.0</v>
      </c>
      <c r="AH45" s="46">
        <f t="shared" ref="AH45:AH47" si="123">AF45+AG45</f>
        <v>255888</v>
      </c>
      <c r="AI45" s="46">
        <v>-875.0</v>
      </c>
      <c r="AJ45" s="46">
        <v>230689.0</v>
      </c>
      <c r="AK45" s="46">
        <f t="shared" ref="AK45:AK47" si="124">AI45+AJ45</f>
        <v>229814</v>
      </c>
      <c r="AL45" s="45">
        <f t="shared" ref="AL45:AL46" si="125">D45+G45+J45+M45+P45+S45+V45+Y45+AB45+AE45+AH45+AK45</f>
        <v>1828891</v>
      </c>
    </row>
    <row r="46">
      <c r="A46" s="43" t="s">
        <v>38</v>
      </c>
      <c r="B46" s="46">
        <v>-4334.0</v>
      </c>
      <c r="C46" s="46">
        <v>9969.0</v>
      </c>
      <c r="D46" s="46">
        <f t="shared" si="113"/>
        <v>5635</v>
      </c>
      <c r="E46" s="46">
        <v>-3237.0</v>
      </c>
      <c r="F46" s="46">
        <v>48785.0</v>
      </c>
      <c r="G46" s="46">
        <f t="shared" si="114"/>
        <v>45548</v>
      </c>
      <c r="H46" s="46">
        <v>-8558.0</v>
      </c>
      <c r="I46" s="46">
        <v>9362.0</v>
      </c>
      <c r="J46" s="46">
        <f t="shared" si="115"/>
        <v>804</v>
      </c>
      <c r="K46" s="46">
        <v>-45313.0</v>
      </c>
      <c r="L46" s="46">
        <v>143997.0</v>
      </c>
      <c r="M46" s="46">
        <f t="shared" si="116"/>
        <v>98684</v>
      </c>
      <c r="N46" s="46">
        <v>-41447.0</v>
      </c>
      <c r="O46" s="46">
        <v>68763.0</v>
      </c>
      <c r="P46" s="46">
        <f t="shared" si="117"/>
        <v>27316</v>
      </c>
      <c r="Q46" s="46">
        <v>-32238.0</v>
      </c>
      <c r="R46" s="46">
        <v>33212.0</v>
      </c>
      <c r="S46" s="46">
        <f t="shared" si="118"/>
        <v>974</v>
      </c>
      <c r="T46" s="46">
        <v>-30280.0</v>
      </c>
      <c r="U46" s="46">
        <v>69252.0</v>
      </c>
      <c r="V46" s="46">
        <f t="shared" si="119"/>
        <v>38972</v>
      </c>
      <c r="W46" s="46">
        <v>-97572.0</v>
      </c>
      <c r="X46" s="46">
        <v>71629.0</v>
      </c>
      <c r="Y46" s="46">
        <f t="shared" si="120"/>
        <v>-25943</v>
      </c>
      <c r="Z46" s="46">
        <v>-130515.0</v>
      </c>
      <c r="AA46" s="46">
        <v>30454.0</v>
      </c>
      <c r="AB46" s="46">
        <f t="shared" si="121"/>
        <v>-100061</v>
      </c>
      <c r="AC46" s="46">
        <v>-189905.0</v>
      </c>
      <c r="AD46" s="46">
        <v>58587.0</v>
      </c>
      <c r="AE46" s="46">
        <f t="shared" si="122"/>
        <v>-131318</v>
      </c>
      <c r="AF46" s="46">
        <v>-144576.0</v>
      </c>
      <c r="AG46" s="46">
        <v>73836.0</v>
      </c>
      <c r="AH46" s="46">
        <f t="shared" si="123"/>
        <v>-70740</v>
      </c>
      <c r="AI46" s="46">
        <v>-392951.0</v>
      </c>
      <c r="AJ46" s="46">
        <v>67016.0</v>
      </c>
      <c r="AK46" s="46">
        <f t="shared" si="124"/>
        <v>-325935</v>
      </c>
      <c r="AL46" s="45">
        <f t="shared" si="125"/>
        <v>-436064</v>
      </c>
    </row>
    <row r="47">
      <c r="A47" s="52" t="s">
        <v>6</v>
      </c>
      <c r="B47" s="45">
        <f t="shared" ref="B47:C47" si="126">SUM(B45:B46)</f>
        <v>-52710</v>
      </c>
      <c r="C47" s="45">
        <f t="shared" si="126"/>
        <v>21107</v>
      </c>
      <c r="D47" s="46">
        <f t="shared" si="113"/>
        <v>-31603</v>
      </c>
      <c r="E47" s="45">
        <f t="shared" ref="E47:F47" si="127">SUM(E45:E46)</f>
        <v>-55910</v>
      </c>
      <c r="F47" s="45">
        <f t="shared" si="127"/>
        <v>55493</v>
      </c>
      <c r="G47" s="46">
        <f t="shared" si="114"/>
        <v>-417</v>
      </c>
      <c r="H47" s="45">
        <f t="shared" ref="H47:I47" si="128">SUM(H45:H46)</f>
        <v>-42517</v>
      </c>
      <c r="I47" s="45">
        <f t="shared" si="128"/>
        <v>19794</v>
      </c>
      <c r="J47" s="46">
        <f t="shared" si="115"/>
        <v>-22723</v>
      </c>
      <c r="K47" s="45">
        <f t="shared" ref="K47:L47" si="129">SUM(K45:K46)</f>
        <v>-48243</v>
      </c>
      <c r="L47" s="45">
        <f t="shared" si="129"/>
        <v>419915</v>
      </c>
      <c r="M47" s="46">
        <f t="shared" si="116"/>
        <v>371672</v>
      </c>
      <c r="N47" s="45">
        <f t="shared" ref="N47:O47" si="130">SUM(N45:N46)</f>
        <v>-47842</v>
      </c>
      <c r="O47" s="45">
        <f t="shared" si="130"/>
        <v>321120</v>
      </c>
      <c r="P47" s="46">
        <f t="shared" si="117"/>
        <v>273278</v>
      </c>
      <c r="Q47" s="45">
        <f t="shared" ref="Q47:R47" si="131">SUM(Q45:Q46)</f>
        <v>-38764</v>
      </c>
      <c r="R47" s="45">
        <f t="shared" si="131"/>
        <v>111706</v>
      </c>
      <c r="S47" s="46">
        <f t="shared" si="118"/>
        <v>72942</v>
      </c>
      <c r="T47" s="45">
        <f t="shared" ref="T47:U47" si="132">SUM(T45:T46)</f>
        <v>-31501</v>
      </c>
      <c r="U47" s="45">
        <f t="shared" si="132"/>
        <v>368991</v>
      </c>
      <c r="V47" s="46">
        <f t="shared" si="119"/>
        <v>337490</v>
      </c>
      <c r="W47" s="45">
        <f t="shared" ref="W47:X47" si="133">SUM(W45:W46)</f>
        <v>-99479</v>
      </c>
      <c r="X47" s="45">
        <f t="shared" si="133"/>
        <v>389428</v>
      </c>
      <c r="Y47" s="46">
        <f t="shared" si="120"/>
        <v>289949</v>
      </c>
      <c r="Z47" s="45">
        <f t="shared" ref="Z47:AA47" si="134">SUM(Z45:Z46)</f>
        <v>-130515</v>
      </c>
      <c r="AA47" s="45">
        <f t="shared" si="134"/>
        <v>90928</v>
      </c>
      <c r="AB47" s="46">
        <f t="shared" si="121"/>
        <v>-39587</v>
      </c>
      <c r="AC47" s="45">
        <f t="shared" ref="AC47:AD47" si="135">SUM(AC45:AC46)</f>
        <v>-189905</v>
      </c>
      <c r="AD47" s="45">
        <f t="shared" si="135"/>
        <v>242704</v>
      </c>
      <c r="AE47" s="46">
        <f t="shared" si="122"/>
        <v>52799</v>
      </c>
      <c r="AF47" s="45">
        <f t="shared" ref="AF47:AG47" si="136">SUM(AF45:AF46)</f>
        <v>-144576</v>
      </c>
      <c r="AG47" s="45">
        <f t="shared" si="136"/>
        <v>329724</v>
      </c>
      <c r="AH47" s="46">
        <f t="shared" si="123"/>
        <v>185148</v>
      </c>
      <c r="AI47" s="45">
        <f t="shared" ref="AI47:AJ47" si="137">SUM(AI45:AI46)</f>
        <v>-393826</v>
      </c>
      <c r="AJ47" s="45">
        <f t="shared" si="137"/>
        <v>297705</v>
      </c>
      <c r="AK47" s="46">
        <f t="shared" si="124"/>
        <v>-96121</v>
      </c>
      <c r="AL47" s="45">
        <f>SUM(AL45:AL46)</f>
        <v>1392827</v>
      </c>
    </row>
    <row r="48">
      <c r="A48" s="51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>
      <c r="A49" s="43" t="s">
        <v>39</v>
      </c>
      <c r="B49" s="46">
        <v>-33502.0</v>
      </c>
      <c r="C49" s="46">
        <v>51499.0</v>
      </c>
      <c r="D49" s="46">
        <f>B49+C49</f>
        <v>17997</v>
      </c>
      <c r="E49" s="46">
        <v>-131616.0</v>
      </c>
      <c r="F49" s="46">
        <v>119439.0</v>
      </c>
      <c r="G49" s="46">
        <f>E49+F49</f>
        <v>-12177</v>
      </c>
      <c r="H49" s="46">
        <v>-298604.0</v>
      </c>
      <c r="I49" s="46">
        <v>62095.0</v>
      </c>
      <c r="J49" s="46">
        <f>H49+I49</f>
        <v>-236509</v>
      </c>
      <c r="K49" s="46">
        <v>-181136.0</v>
      </c>
      <c r="L49" s="46">
        <v>56348.0</v>
      </c>
      <c r="M49" s="46">
        <f>K49+L49</f>
        <v>-124788</v>
      </c>
      <c r="N49" s="46">
        <v>-224072.0</v>
      </c>
      <c r="O49" s="46">
        <v>32701.0</v>
      </c>
      <c r="P49" s="46">
        <f>N49+O49</f>
        <v>-191371</v>
      </c>
      <c r="Q49" s="46">
        <v>-261157.0</v>
      </c>
      <c r="R49" s="46">
        <v>43860.0</v>
      </c>
      <c r="S49" s="46">
        <f>Q49+R49</f>
        <v>-217297</v>
      </c>
      <c r="T49" s="46">
        <v>-134606.0</v>
      </c>
      <c r="U49" s="46">
        <v>29786.0</v>
      </c>
      <c r="V49" s="46">
        <f>T49+U49</f>
        <v>-104820</v>
      </c>
      <c r="W49" s="46">
        <v>-240682.0</v>
      </c>
      <c r="X49" s="46">
        <v>71365.0</v>
      </c>
      <c r="Y49" s="46">
        <f>W49+X49</f>
        <v>-169317</v>
      </c>
      <c r="Z49" s="46">
        <v>-470651.0</v>
      </c>
      <c r="AA49" s="46">
        <v>40012.0</v>
      </c>
      <c r="AB49" s="46">
        <f>Z49+AA49</f>
        <v>-430639</v>
      </c>
      <c r="AC49" s="46">
        <v>-415674.0</v>
      </c>
      <c r="AD49" s="46">
        <v>25379.0</v>
      </c>
      <c r="AE49" s="46">
        <f>AC49+AD49</f>
        <v>-390295</v>
      </c>
      <c r="AF49" s="46">
        <v>-147499.0</v>
      </c>
      <c r="AG49" s="46">
        <v>28919.0</v>
      </c>
      <c r="AH49" s="46">
        <f>AF49+AG49</f>
        <v>-118580</v>
      </c>
      <c r="AI49" s="46">
        <v>-784287.0</v>
      </c>
      <c r="AJ49" s="46">
        <v>51348.0</v>
      </c>
      <c r="AK49" s="46">
        <f>AI49+AJ49</f>
        <v>-732939</v>
      </c>
      <c r="AL49" s="45">
        <f>D49+G49+J49+M49+P49+S49+V49+Y49+AB49+AE49+AH49+AK49</f>
        <v>-2710735</v>
      </c>
    </row>
    <row r="50">
      <c r="A50" s="43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5"/>
    </row>
    <row r="51">
      <c r="A51" s="52" t="s">
        <v>6</v>
      </c>
      <c r="B51" s="45">
        <f t="shared" ref="B51:C51" si="138">SUM(B49:B50)</f>
        <v>-33502</v>
      </c>
      <c r="C51" s="45">
        <f t="shared" si="138"/>
        <v>51499</v>
      </c>
      <c r="D51" s="46">
        <f>B51+C51</f>
        <v>17997</v>
      </c>
      <c r="E51" s="45">
        <f t="shared" ref="E51:F51" si="139">SUM(E49:E50)</f>
        <v>-131616</v>
      </c>
      <c r="F51" s="45">
        <f t="shared" si="139"/>
        <v>119439</v>
      </c>
      <c r="G51" s="46">
        <f>E51+F51</f>
        <v>-12177</v>
      </c>
      <c r="H51" s="45">
        <f t="shared" ref="H51:I51" si="140">SUM(H49:H50)</f>
        <v>-298604</v>
      </c>
      <c r="I51" s="45">
        <f t="shared" si="140"/>
        <v>62095</v>
      </c>
      <c r="J51" s="46">
        <f>H51+I51</f>
        <v>-236509</v>
      </c>
      <c r="K51" s="45">
        <f t="shared" ref="K51:L51" si="141">SUM(K49:K50)</f>
        <v>-181136</v>
      </c>
      <c r="L51" s="45">
        <f t="shared" si="141"/>
        <v>56348</v>
      </c>
      <c r="M51" s="46">
        <f>K51+L51</f>
        <v>-124788</v>
      </c>
      <c r="N51" s="45">
        <f t="shared" ref="N51:O51" si="142">SUM(N49:N50)</f>
        <v>-224072</v>
      </c>
      <c r="O51" s="45">
        <f t="shared" si="142"/>
        <v>32701</v>
      </c>
      <c r="P51" s="46">
        <f>N51+O51</f>
        <v>-191371</v>
      </c>
      <c r="Q51" s="45">
        <f t="shared" ref="Q51:R51" si="143">SUM(Q49:Q50)</f>
        <v>-261157</v>
      </c>
      <c r="R51" s="45">
        <f t="shared" si="143"/>
        <v>43860</v>
      </c>
      <c r="S51" s="46">
        <f>Q51+R51</f>
        <v>-217297</v>
      </c>
      <c r="T51" s="45">
        <f t="shared" ref="T51:U51" si="144">SUM(T49:T50)</f>
        <v>-134606</v>
      </c>
      <c r="U51" s="45">
        <f t="shared" si="144"/>
        <v>29786</v>
      </c>
      <c r="V51" s="46">
        <f>T51+U51</f>
        <v>-104820</v>
      </c>
      <c r="W51" s="45">
        <f t="shared" ref="W51:X51" si="145">SUM(W49:W50)</f>
        <v>-240682</v>
      </c>
      <c r="X51" s="45">
        <f t="shared" si="145"/>
        <v>71365</v>
      </c>
      <c r="Y51" s="46">
        <f>W51+X51</f>
        <v>-169317</v>
      </c>
      <c r="Z51" s="45">
        <f t="shared" ref="Z51:AA51" si="146">SUM(Z49:Z50)</f>
        <v>-470651</v>
      </c>
      <c r="AA51" s="45">
        <f t="shared" si="146"/>
        <v>40012</v>
      </c>
      <c r="AB51" s="46">
        <f>Z51+AA51</f>
        <v>-430639</v>
      </c>
      <c r="AC51" s="45">
        <f t="shared" ref="AC51:AD51" si="147">SUM(AC49:AC50)</f>
        <v>-415674</v>
      </c>
      <c r="AD51" s="45">
        <f t="shared" si="147"/>
        <v>25379</v>
      </c>
      <c r="AE51" s="46">
        <f>AC51+AD51</f>
        <v>-390295</v>
      </c>
      <c r="AF51" s="45">
        <f t="shared" ref="AF51:AG51" si="148">SUM(AF49:AF50)</f>
        <v>-147499</v>
      </c>
      <c r="AG51" s="45">
        <f t="shared" si="148"/>
        <v>28919</v>
      </c>
      <c r="AH51" s="46">
        <f>AF51+AG51</f>
        <v>-118580</v>
      </c>
      <c r="AI51" s="45">
        <f t="shared" ref="AI51:AJ51" si="149">SUM(AI49:AI50)</f>
        <v>-784287</v>
      </c>
      <c r="AJ51" s="45">
        <f t="shared" si="149"/>
        <v>51348</v>
      </c>
      <c r="AK51" s="46">
        <f>AI51+AJ51</f>
        <v>-732939</v>
      </c>
      <c r="AL51" s="45">
        <f>D51+G51+J51+M51+P51+S51+V51+Y51+AB51+AE51+AH51+AK51</f>
        <v>-2710735</v>
      </c>
    </row>
    <row r="52">
      <c r="A52" s="5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>
      <c r="A53" s="43" t="s">
        <v>40</v>
      </c>
      <c r="B53" s="45">
        <f t="shared" ref="B53:U53" si="150">SUMIF($A$5:$A$52,"TOTAL",B5:B52)</f>
        <v>-3147562</v>
      </c>
      <c r="C53" s="45">
        <f t="shared" si="150"/>
        <v>1317621</v>
      </c>
      <c r="D53" s="45">
        <f t="shared" si="150"/>
        <v>-1829941</v>
      </c>
      <c r="E53" s="45">
        <f t="shared" si="150"/>
        <v>-7501200</v>
      </c>
      <c r="F53" s="45">
        <f t="shared" si="150"/>
        <v>3551295</v>
      </c>
      <c r="G53" s="45">
        <f t="shared" si="150"/>
        <v>-3949905</v>
      </c>
      <c r="H53" s="45">
        <f t="shared" si="150"/>
        <v>-9347555</v>
      </c>
      <c r="I53" s="45">
        <f t="shared" si="150"/>
        <v>5639400</v>
      </c>
      <c r="J53" s="45">
        <f t="shared" si="150"/>
        <v>-3708155</v>
      </c>
      <c r="K53" s="45">
        <f t="shared" si="150"/>
        <v>-10623096</v>
      </c>
      <c r="L53" s="45">
        <f t="shared" si="150"/>
        <v>5916128</v>
      </c>
      <c r="M53" s="45">
        <f t="shared" si="150"/>
        <v>-4706968</v>
      </c>
      <c r="N53" s="45">
        <f t="shared" si="150"/>
        <v>-5465977</v>
      </c>
      <c r="O53" s="45">
        <f t="shared" si="150"/>
        <v>6077385</v>
      </c>
      <c r="P53" s="45">
        <f t="shared" si="150"/>
        <v>611408</v>
      </c>
      <c r="Q53" s="45">
        <f t="shared" si="150"/>
        <v>-5995591</v>
      </c>
      <c r="R53" s="45">
        <f t="shared" si="150"/>
        <v>5370750</v>
      </c>
      <c r="S53" s="45">
        <f t="shared" si="150"/>
        <v>-624841</v>
      </c>
      <c r="T53" s="45">
        <f t="shared" si="150"/>
        <v>-11173844</v>
      </c>
      <c r="U53" s="45">
        <f t="shared" si="150"/>
        <v>4661083</v>
      </c>
      <c r="V53" s="46">
        <f>T53+U53</f>
        <v>-6512761</v>
      </c>
      <c r="W53" s="45">
        <f t="shared" ref="W53:X53" si="151">SUMIF($A$5:$A$52,"TOTAL",W5:W52)</f>
        <v>-6253038</v>
      </c>
      <c r="X53" s="45">
        <f t="shared" si="151"/>
        <v>5186072</v>
      </c>
      <c r="Y53" s="46">
        <f>W53+X53</f>
        <v>-1066966</v>
      </c>
      <c r="Z53" s="45">
        <f t="shared" ref="Z53:AA53" si="152">SUMIF($A$5:$A$52,"TOTAL",Z5:Z52)</f>
        <v>-10809163</v>
      </c>
      <c r="AA53" s="45">
        <f t="shared" si="152"/>
        <v>3896784</v>
      </c>
      <c r="AB53" s="46">
        <f>Z53+AA53</f>
        <v>-6912379</v>
      </c>
      <c r="AC53" s="45">
        <f t="shared" ref="AC53:AD53" si="153">SUMIF($A$5:$A$52,"TOTAL",AC5:AC52)</f>
        <v>-10228573</v>
      </c>
      <c r="AD53" s="45">
        <f t="shared" si="153"/>
        <v>3070685</v>
      </c>
      <c r="AE53" s="46">
        <f>AC53+AD53</f>
        <v>-7157888</v>
      </c>
      <c r="AF53" s="45">
        <f t="shared" ref="AF53:AG53" si="154">SUMIF($A$5:$A$52,"TOTAL",AF5:AF52)</f>
        <v>-14343286</v>
      </c>
      <c r="AG53" s="45">
        <f t="shared" si="154"/>
        <v>3676295</v>
      </c>
      <c r="AH53" s="46">
        <f>AF53+AG53</f>
        <v>-10666991</v>
      </c>
      <c r="AI53" s="45">
        <f t="shared" ref="AI53:AJ53" si="155">SUMIF($A$5:$A$52,"TOTAL",AI5:AI52)</f>
        <v>-20342203</v>
      </c>
      <c r="AJ53" s="45">
        <f t="shared" si="155"/>
        <v>6610115</v>
      </c>
      <c r="AK53" s="46">
        <f>AI53+AJ53</f>
        <v>-13732088</v>
      </c>
      <c r="AL53" s="45">
        <f>D53+G53+J53+M53+P53+S53+V53+Y53+AB53+AE53+AH53+AK53</f>
        <v>-60257475</v>
      </c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>
      <c r="A55" s="45"/>
      <c r="B55" s="45">
        <f t="shared" ref="B55:C55" si="156">B53</f>
        <v>-3147562</v>
      </c>
      <c r="C55" s="45">
        <f t="shared" si="156"/>
        <v>1317621</v>
      </c>
      <c r="D55" s="45"/>
      <c r="E55" s="45">
        <f t="shared" ref="E55:F55" si="157">E53</f>
        <v>-7501200</v>
      </c>
      <c r="F55" s="45">
        <f t="shared" si="157"/>
        <v>3551295</v>
      </c>
      <c r="G55" s="45"/>
      <c r="H55" s="45">
        <f t="shared" ref="H55:I55" si="158">H53</f>
        <v>-9347555</v>
      </c>
      <c r="I55" s="45">
        <f t="shared" si="158"/>
        <v>5639400</v>
      </c>
      <c r="J55" s="45"/>
      <c r="K55" s="45">
        <f t="shared" ref="K55:L55" si="159">K53</f>
        <v>-10623096</v>
      </c>
      <c r="L55" s="45">
        <f t="shared" si="159"/>
        <v>5916128</v>
      </c>
      <c r="M55" s="45"/>
      <c r="N55" s="45">
        <f t="shared" ref="N55:O55" si="160">N53</f>
        <v>-5465977</v>
      </c>
      <c r="O55" s="45">
        <f t="shared" si="160"/>
        <v>6077385</v>
      </c>
      <c r="P55" s="45"/>
      <c r="Q55" s="45"/>
      <c r="R55" s="45">
        <f t="shared" ref="R55:S55" si="161">R53</f>
        <v>5370750</v>
      </c>
      <c r="S55" s="45">
        <f t="shared" si="161"/>
        <v>-624841</v>
      </c>
      <c r="T55" s="45"/>
      <c r="U55" s="45">
        <f t="shared" ref="U55:V55" si="162">U53</f>
        <v>4661083</v>
      </c>
      <c r="V55" s="45">
        <f t="shared" si="162"/>
        <v>-6512761</v>
      </c>
      <c r="W55" s="45"/>
      <c r="X55" s="45">
        <f t="shared" ref="X55:Y55" si="163">X53</f>
        <v>5186072</v>
      </c>
      <c r="Y55" s="45">
        <f t="shared" si="163"/>
        <v>-1066966</v>
      </c>
      <c r="Z55" s="45"/>
      <c r="AA55" s="45">
        <f t="shared" ref="AA55:AB55" si="164">AA53</f>
        <v>3896784</v>
      </c>
      <c r="AB55" s="45">
        <f t="shared" si="164"/>
        <v>-6912379</v>
      </c>
      <c r="AC55" s="45"/>
      <c r="AD55" s="45">
        <f t="shared" ref="AD55:AE55" si="165">AD53</f>
        <v>3070685</v>
      </c>
      <c r="AE55" s="45">
        <f t="shared" si="165"/>
        <v>-7157888</v>
      </c>
      <c r="AF55" s="45"/>
      <c r="AG55" s="45">
        <f t="shared" ref="AG55:AH55" si="166">AG53</f>
        <v>3676295</v>
      </c>
      <c r="AH55" s="45">
        <f t="shared" si="166"/>
        <v>-10666991</v>
      </c>
      <c r="AI55" s="45"/>
      <c r="AJ55" s="45">
        <f t="shared" ref="AJ55:AK55" si="167">AJ53</f>
        <v>6610115</v>
      </c>
      <c r="AK55" s="45">
        <f t="shared" si="167"/>
        <v>-13732088</v>
      </c>
      <c r="AL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>
      <c r="A57" s="45"/>
      <c r="B57" s="45"/>
      <c r="C57" s="45">
        <f>B55+C55</f>
        <v>-1829941</v>
      </c>
      <c r="D57" s="45"/>
      <c r="E57" s="45"/>
      <c r="F57" s="45">
        <f>E55+F55</f>
        <v>-3949905</v>
      </c>
      <c r="G57" s="45"/>
      <c r="H57" s="45"/>
      <c r="I57" s="45">
        <f>H55+I55</f>
        <v>-3708155</v>
      </c>
      <c r="J57" s="45"/>
      <c r="K57" s="45"/>
      <c r="L57" s="45">
        <f>K55+L55</f>
        <v>-4706968</v>
      </c>
      <c r="M57" s="45"/>
      <c r="N57" s="45"/>
      <c r="O57" s="45">
        <f>N55+O55</f>
        <v>611408</v>
      </c>
      <c r="P57" s="45"/>
      <c r="Q57" s="45"/>
      <c r="R57" s="45"/>
      <c r="S57" s="45">
        <f>R55+S55</f>
        <v>4745909</v>
      </c>
      <c r="T57" s="45"/>
      <c r="U57" s="45"/>
      <c r="V57" s="45">
        <f>U55+V55</f>
        <v>-1851678</v>
      </c>
      <c r="W57" s="45"/>
      <c r="X57" s="45"/>
      <c r="Y57" s="45">
        <f>X55+Y55</f>
        <v>4119106</v>
      </c>
      <c r="Z57" s="45"/>
      <c r="AA57" s="45"/>
      <c r="AB57" s="45">
        <f>AA55+AB55</f>
        <v>-3015595</v>
      </c>
      <c r="AC57" s="45"/>
      <c r="AD57" s="45"/>
      <c r="AE57" s="45">
        <f>AD55+AE55</f>
        <v>-4087203</v>
      </c>
      <c r="AF57" s="45"/>
      <c r="AG57" s="45"/>
      <c r="AH57" s="45">
        <f>AG55+AH55</f>
        <v>-6990696</v>
      </c>
      <c r="AI57" s="45"/>
      <c r="AJ57" s="45"/>
      <c r="AK57" s="45">
        <f>AJ55+AK55</f>
        <v>-7121973</v>
      </c>
      <c r="AL57" s="45"/>
    </row>
    <row r="999">
      <c r="P999" s="46">
        <f>N999+O999</f>
        <v>0</v>
      </c>
    </row>
  </sheetData>
  <mergeCells count="13">
    <mergeCell ref="T3:V3"/>
    <mergeCell ref="W3:Y3"/>
    <mergeCell ref="Z3:AB3"/>
    <mergeCell ref="AC3:AE3"/>
    <mergeCell ref="AF3:AH3"/>
    <mergeCell ref="AI3:AK3"/>
    <mergeCell ref="A1:AL2"/>
    <mergeCell ref="B3:D3"/>
    <mergeCell ref="E3:G3"/>
    <mergeCell ref="H3:J3"/>
    <mergeCell ref="K3:M3"/>
    <mergeCell ref="N3:P3"/>
    <mergeCell ref="Q3:S3"/>
  </mergeCells>
  <printOptions gridLines="1" horizontalCentered="1"/>
  <pageMargins bottom="0.26547378172155733" footer="0.0" header="0.0" left="0.21720582140854688" right="0.22927281148679948" top="0.19307184125204166"/>
  <pageSetup paperSize="9" scale="5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1" max="1" width="12.63"/>
    <col customWidth="1" min="2" max="2" width="15.38"/>
    <col customWidth="1" min="12" max="12" width="12.88"/>
  </cols>
  <sheetData>
    <row r="1">
      <c r="B1" s="53"/>
      <c r="C1" s="54" t="s">
        <v>1</v>
      </c>
      <c r="D1" s="2"/>
      <c r="E1" s="3"/>
      <c r="F1" s="55"/>
      <c r="G1" s="56" t="s">
        <v>41</v>
      </c>
      <c r="H1" s="2"/>
      <c r="I1" s="3"/>
      <c r="J1" s="53"/>
      <c r="K1" s="53"/>
      <c r="L1" s="53"/>
    </row>
    <row r="2">
      <c r="B2" s="55" t="s">
        <v>14</v>
      </c>
      <c r="C2" s="55" t="s">
        <v>42</v>
      </c>
      <c r="D2" s="55" t="s">
        <v>43</v>
      </c>
      <c r="E2" s="55" t="s">
        <v>44</v>
      </c>
      <c r="F2" s="55" t="s">
        <v>45</v>
      </c>
      <c r="G2" s="57" t="s">
        <v>46</v>
      </c>
      <c r="H2" s="55" t="s">
        <v>43</v>
      </c>
      <c r="I2" s="55" t="s">
        <v>44</v>
      </c>
      <c r="J2" s="55" t="s">
        <v>47</v>
      </c>
      <c r="K2" s="55" t="s">
        <v>48</v>
      </c>
      <c r="L2" s="55" t="s">
        <v>49</v>
      </c>
    </row>
    <row r="3">
      <c r="A3" s="58">
        <v>45383.0</v>
      </c>
      <c r="B3" s="59" t="str">
        <f t="shared" ref="B3:B14" si="2">TEXT(A3,"MMM-YY")</f>
        <v>Apr-24</v>
      </c>
      <c r="C3" s="60">
        <f>'SALE '!C9+'SALE '!C46</f>
        <v>47050519</v>
      </c>
      <c r="D3" s="61">
        <f>'SALE PL'!B11+'SALE PL'!B47</f>
        <v>-434502</v>
      </c>
      <c r="E3" s="61">
        <f>'SALE PL'!C11+'SALE PL'!C47</f>
        <v>867147</v>
      </c>
      <c r="F3" s="53">
        <f t="shared" ref="F3:F14" si="3">D3+E3</f>
        <v>432645</v>
      </c>
      <c r="G3" s="60">
        <f>PURCHASE!C9</f>
        <v>14700494</v>
      </c>
      <c r="H3" s="53">
        <f>'PUR PL'!B10</f>
        <v>-420293</v>
      </c>
      <c r="I3" s="60">
        <f>'PUR PL'!C10</f>
        <v>580531</v>
      </c>
      <c r="J3" s="60">
        <f t="shared" ref="J3:J15" si="4">H3+I3</f>
        <v>160238</v>
      </c>
      <c r="K3" s="62">
        <f t="shared" ref="K3:K15" si="5">IFERROR(G3/C3,"")</f>
        <v>0.3124406343</v>
      </c>
      <c r="L3" s="60">
        <f t="shared" ref="L3:L15" si="6">F3+J3</f>
        <v>592883</v>
      </c>
      <c r="N3" s="61"/>
      <c r="O3" s="63"/>
      <c r="Q3" s="64" t="s">
        <v>50</v>
      </c>
      <c r="R3" s="21">
        <f t="shared" ref="R3:W3" si="1">SUMIF($B$3:$B$116,$Q3,D$3:D$117)</f>
        <v>0</v>
      </c>
      <c r="S3" s="21">
        <f t="shared" si="1"/>
        <v>0</v>
      </c>
      <c r="T3" s="21">
        <f t="shared" si="1"/>
        <v>0</v>
      </c>
      <c r="U3" s="21">
        <f t="shared" si="1"/>
        <v>0</v>
      </c>
      <c r="V3" s="21">
        <f t="shared" si="1"/>
        <v>0</v>
      </c>
      <c r="W3" s="21">
        <f t="shared" si="1"/>
        <v>0</v>
      </c>
    </row>
    <row r="4">
      <c r="A4" s="58">
        <v>45413.0</v>
      </c>
      <c r="B4" s="59" t="str">
        <f t="shared" si="2"/>
        <v>May-24</v>
      </c>
      <c r="C4" s="57">
        <f>'SALE '!D9+'SALE '!D46</f>
        <v>84056269</v>
      </c>
      <c r="D4" s="53">
        <f>'SALE PL'!E11+'SALE PL'!E47</f>
        <v>-918219</v>
      </c>
      <c r="E4" s="53">
        <f>'SALE PL'!F11+'SALE PL'!F47</f>
        <v>1639277</v>
      </c>
      <c r="F4" s="53">
        <f t="shared" si="3"/>
        <v>721058</v>
      </c>
      <c r="G4" s="60">
        <f>PURCHASE!D9</f>
        <v>22208919</v>
      </c>
      <c r="H4" s="60">
        <f>'PUR PL'!D10</f>
        <v>-534645</v>
      </c>
      <c r="I4" s="60">
        <f>'PUR PL'!E10</f>
        <v>956408</v>
      </c>
      <c r="J4" s="60">
        <f t="shared" si="4"/>
        <v>421763</v>
      </c>
      <c r="K4" s="62">
        <f t="shared" si="5"/>
        <v>0.2642149035</v>
      </c>
      <c r="L4" s="60">
        <f t="shared" si="6"/>
        <v>1142821</v>
      </c>
      <c r="N4" s="55"/>
      <c r="O4" s="55"/>
      <c r="Q4" s="64" t="s">
        <v>51</v>
      </c>
      <c r="R4" s="21">
        <f t="shared" ref="R4:R14" si="8">SUMIF($B$3:$B$116,Q4,$D$3:$D$117)</f>
        <v>0</v>
      </c>
      <c r="S4" s="21">
        <f t="shared" ref="S4:S14" si="9">SUMIF($B$3:$B$116,$Q4,E$3:E$117)</f>
        <v>0</v>
      </c>
      <c r="V4" s="21">
        <f t="shared" ref="V4:W4" si="7">SUMIF($B$3:$B$116,$Q4,H$3:H$117)</f>
        <v>0</v>
      </c>
      <c r="W4" s="21">
        <f t="shared" si="7"/>
        <v>0</v>
      </c>
    </row>
    <row r="5">
      <c r="A5" s="58">
        <v>45444.0</v>
      </c>
      <c r="B5" s="59" t="str">
        <f t="shared" si="2"/>
        <v>Jun-24</v>
      </c>
      <c r="C5" s="65">
        <f>'SALE '!E9+'SALE '!E46</f>
        <v>101862964</v>
      </c>
      <c r="D5" s="53">
        <f>'SALE PL'!H11+'SALE PL'!H47</f>
        <v>-941917</v>
      </c>
      <c r="E5" s="53">
        <f>'SALE PL'!I11+'SALE PL'!I47</f>
        <v>1750138</v>
      </c>
      <c r="F5" s="53">
        <f t="shared" si="3"/>
        <v>808221</v>
      </c>
      <c r="G5" s="57">
        <v>1.4774062E7</v>
      </c>
      <c r="H5" s="60">
        <f>'PUR PL'!F10</f>
        <v>-620434</v>
      </c>
      <c r="I5" s="60">
        <f>'PUR PL'!G10</f>
        <v>505453</v>
      </c>
      <c r="J5" s="60">
        <f t="shared" si="4"/>
        <v>-114981</v>
      </c>
      <c r="K5" s="62">
        <f t="shared" si="5"/>
        <v>0.145038603</v>
      </c>
      <c r="L5" s="60">
        <f t="shared" si="6"/>
        <v>693240</v>
      </c>
      <c r="N5" s="55"/>
      <c r="O5" s="55"/>
      <c r="Q5" s="64" t="s">
        <v>52</v>
      </c>
      <c r="R5" s="21">
        <f t="shared" si="8"/>
        <v>0</v>
      </c>
      <c r="S5" s="21">
        <f t="shared" si="9"/>
        <v>0</v>
      </c>
      <c r="V5" s="21">
        <f t="shared" ref="V5:W5" si="10">SUMIF($B$3:$B$116,$Q5,H$3:H$117)</f>
        <v>0</v>
      </c>
      <c r="W5" s="21">
        <f t="shared" si="10"/>
        <v>0</v>
      </c>
    </row>
    <row r="6">
      <c r="A6" s="58">
        <v>45474.0</v>
      </c>
      <c r="B6" s="59" t="str">
        <f t="shared" si="2"/>
        <v>Jul-24</v>
      </c>
      <c r="C6" s="60">
        <f>'SALE '!F9+'SALE '!F46</f>
        <v>73363323</v>
      </c>
      <c r="D6" s="53">
        <f>'SALE PL'!K11+'SALE PL'!K47</f>
        <v>-809545</v>
      </c>
      <c r="E6" s="53">
        <f>'SALE PL'!L11+'SALE PL'!L47</f>
        <v>2321048</v>
      </c>
      <c r="F6" s="53">
        <f t="shared" si="3"/>
        <v>1511503</v>
      </c>
      <c r="G6" s="60">
        <f>PURCHASE!F9</f>
        <v>24124171</v>
      </c>
      <c r="H6" s="60">
        <f>'PUR PL'!H10</f>
        <v>-504160.42</v>
      </c>
      <c r="I6" s="60">
        <f>'PUR PL'!I10</f>
        <v>1650587.66</v>
      </c>
      <c r="J6" s="60">
        <f t="shared" si="4"/>
        <v>1146427.24</v>
      </c>
      <c r="K6" s="62">
        <f t="shared" si="5"/>
        <v>0.3288314925</v>
      </c>
      <c r="L6" s="60">
        <f t="shared" si="6"/>
        <v>2657930.24</v>
      </c>
      <c r="N6" s="55"/>
      <c r="O6" s="55"/>
      <c r="Q6" s="64" t="s">
        <v>53</v>
      </c>
      <c r="R6" s="21">
        <f t="shared" si="8"/>
        <v>0</v>
      </c>
      <c r="S6" s="21">
        <f t="shared" si="9"/>
        <v>0</v>
      </c>
      <c r="V6" s="21">
        <f t="shared" ref="V6:W6" si="11">SUMIF($B$3:$B$116,$Q6,H$3:H$117)</f>
        <v>0</v>
      </c>
      <c r="W6" s="21">
        <f t="shared" si="11"/>
        <v>0</v>
      </c>
    </row>
    <row r="7">
      <c r="A7" s="58">
        <v>45505.0</v>
      </c>
      <c r="B7" s="59" t="str">
        <f t="shared" si="2"/>
        <v>Aug-24</v>
      </c>
      <c r="C7" s="60">
        <f>'SALE '!G9+'SALE '!G46</f>
        <v>85769826</v>
      </c>
      <c r="D7" s="53">
        <f>'SALE PL'!N11+'SALE PL'!N47</f>
        <v>-1002203</v>
      </c>
      <c r="E7" s="53">
        <f>'SALE PL'!O11+'SALE PL'!O47</f>
        <v>2608427</v>
      </c>
      <c r="F7" s="53">
        <f t="shared" si="3"/>
        <v>1606224</v>
      </c>
      <c r="G7" s="60">
        <f>PURCHASE!G9</f>
        <v>10096178</v>
      </c>
      <c r="H7" s="60">
        <f>'PUR PL'!J10</f>
        <v>-393253</v>
      </c>
      <c r="I7" s="60">
        <f>'PUR PL'!K10</f>
        <v>551843</v>
      </c>
      <c r="J7" s="60">
        <f t="shared" si="4"/>
        <v>158590</v>
      </c>
      <c r="K7" s="62">
        <f t="shared" si="5"/>
        <v>0.1177124692</v>
      </c>
      <c r="L7" s="60">
        <f t="shared" si="6"/>
        <v>1764814</v>
      </c>
      <c r="N7" s="55"/>
      <c r="O7" s="55"/>
      <c r="Q7" s="64" t="s">
        <v>54</v>
      </c>
      <c r="R7" s="21">
        <f t="shared" si="8"/>
        <v>0</v>
      </c>
      <c r="S7" s="21">
        <f t="shared" si="9"/>
        <v>0</v>
      </c>
      <c r="V7" s="21">
        <f t="shared" ref="V7:W7" si="12">SUMIF($B$3:$B$116,$Q7,H$3:H$117)</f>
        <v>0</v>
      </c>
      <c r="W7" s="21">
        <f t="shared" si="12"/>
        <v>0</v>
      </c>
    </row>
    <row r="8">
      <c r="A8" s="58">
        <v>45536.0</v>
      </c>
      <c r="B8" s="59" t="str">
        <f t="shared" si="2"/>
        <v>Sep-24</v>
      </c>
      <c r="C8" s="60">
        <f>'SALE '!H9+'SALE '!H46</f>
        <v>77176815</v>
      </c>
      <c r="D8" s="55">
        <f>'SALE PL'!Q11+'SALE PL'!Q47</f>
        <v>-748180</v>
      </c>
      <c r="E8" s="55">
        <f>'SALE PL'!R11+'SALE PL'!R47</f>
        <v>2093504</v>
      </c>
      <c r="F8" s="53">
        <f t="shared" si="3"/>
        <v>1345324</v>
      </c>
      <c r="G8" s="66">
        <f>PURCHASE!H9</f>
        <v>27844295</v>
      </c>
      <c r="H8" s="60">
        <f>'PUR PL'!L10</f>
        <v>-770396.62</v>
      </c>
      <c r="I8" s="60">
        <f>'PUR PL'!M10</f>
        <v>1730967</v>
      </c>
      <c r="J8" s="60">
        <f t="shared" si="4"/>
        <v>960570.38</v>
      </c>
      <c r="K8" s="62">
        <f t="shared" si="5"/>
        <v>0.3607857489</v>
      </c>
      <c r="L8" s="60">
        <f t="shared" si="6"/>
        <v>2305894.38</v>
      </c>
      <c r="N8" s="55"/>
      <c r="O8" s="55"/>
      <c r="Q8" s="64" t="s">
        <v>55</v>
      </c>
      <c r="R8" s="21">
        <f t="shared" si="8"/>
        <v>0</v>
      </c>
      <c r="S8" s="21">
        <f t="shared" si="9"/>
        <v>0</v>
      </c>
      <c r="V8" s="21">
        <f t="shared" ref="V8:W8" si="13">SUMIF($B$3:$B$116,$Q8,H$3:H$117)</f>
        <v>0</v>
      </c>
      <c r="W8" s="21">
        <f t="shared" si="13"/>
        <v>0</v>
      </c>
    </row>
    <row r="9">
      <c r="A9" s="58">
        <v>45566.0</v>
      </c>
      <c r="B9" s="59" t="str">
        <f t="shared" si="2"/>
        <v>Oct-24</v>
      </c>
      <c r="C9" s="67">
        <f>'SALE '!I9+'SALE '!I46</f>
        <v>65656558</v>
      </c>
      <c r="D9" s="55">
        <f>'SALE PL'!T11+'SALE PL'!T47</f>
        <v>-491950</v>
      </c>
      <c r="E9" s="55">
        <f>'SALE PL'!U11+'SALE PL'!U47</f>
        <v>2292470</v>
      </c>
      <c r="F9" s="53">
        <f t="shared" si="3"/>
        <v>1800520</v>
      </c>
      <c r="G9" s="66">
        <f>PURCHASE!I9</f>
        <v>23220965</v>
      </c>
      <c r="H9" s="60">
        <f>'PUR PL'!N10</f>
        <v>-852376</v>
      </c>
      <c r="I9" s="60">
        <f>'PUR PL'!O10</f>
        <v>2143421</v>
      </c>
      <c r="J9" s="60">
        <f t="shared" si="4"/>
        <v>1291045</v>
      </c>
      <c r="K9" s="62">
        <f t="shared" si="5"/>
        <v>0.3536732005</v>
      </c>
      <c r="L9" s="60">
        <f t="shared" si="6"/>
        <v>3091565</v>
      </c>
      <c r="N9" s="55"/>
      <c r="O9" s="55"/>
      <c r="Q9" s="64" t="s">
        <v>56</v>
      </c>
      <c r="R9" s="21">
        <f t="shared" si="8"/>
        <v>0</v>
      </c>
      <c r="S9" s="21">
        <f t="shared" si="9"/>
        <v>0</v>
      </c>
      <c r="V9" s="21">
        <f t="shared" ref="V9:W9" si="14">SUMIF($B$3:$B$116,$Q9,H$3:H$117)</f>
        <v>0</v>
      </c>
      <c r="W9" s="21">
        <f t="shared" si="14"/>
        <v>0</v>
      </c>
    </row>
    <row r="10">
      <c r="A10" s="58">
        <v>45597.0</v>
      </c>
      <c r="B10" s="59" t="str">
        <f t="shared" si="2"/>
        <v>Nov-24</v>
      </c>
      <c r="C10" s="53">
        <f>124666218+9383445</f>
        <v>134049663</v>
      </c>
      <c r="D10" s="68">
        <f>'SALE PL'!W11+'SALE PL'!W47</f>
        <v>-654591</v>
      </c>
      <c r="E10" s="68">
        <f>'SALE PL'!X11+'SALE PL'!X47</f>
        <v>2281187</v>
      </c>
      <c r="F10" s="53">
        <f t="shared" si="3"/>
        <v>1626596</v>
      </c>
      <c r="G10" s="69">
        <f>PURCHASE!J9</f>
        <v>19061015</v>
      </c>
      <c r="H10" s="57">
        <f>'PUR PL'!P10</f>
        <v>-869245</v>
      </c>
      <c r="I10" s="57">
        <f>'PUR PL'!Q10</f>
        <v>1805817</v>
      </c>
      <c r="J10" s="60">
        <f t="shared" si="4"/>
        <v>936572</v>
      </c>
      <c r="K10" s="62">
        <f t="shared" si="5"/>
        <v>0.1421936809</v>
      </c>
      <c r="L10" s="60">
        <f t="shared" si="6"/>
        <v>2563168</v>
      </c>
      <c r="N10" s="68"/>
      <c r="O10" s="55"/>
      <c r="Q10" s="64" t="s">
        <v>57</v>
      </c>
      <c r="R10" s="21">
        <f t="shared" si="8"/>
        <v>0</v>
      </c>
      <c r="S10" s="21">
        <f t="shared" si="9"/>
        <v>0</v>
      </c>
      <c r="V10" s="21">
        <f t="shared" ref="V10:W10" si="15">SUMIF($B$3:$B$116,$Q10,H$3:H$117)</f>
        <v>0</v>
      </c>
      <c r="W10" s="21">
        <f t="shared" si="15"/>
        <v>0</v>
      </c>
    </row>
    <row r="11">
      <c r="A11" s="58">
        <v>45627.0</v>
      </c>
      <c r="B11" s="59" t="str">
        <f t="shared" si="2"/>
        <v>Dec-24</v>
      </c>
      <c r="C11" s="53">
        <f>115340577+8091764</f>
        <v>123432341</v>
      </c>
      <c r="D11" s="68">
        <f>'SALE PL'!Z11+'SALE PL'!Z47</f>
        <v>-967580</v>
      </c>
      <c r="E11" s="68">
        <f>'SALE PL'!AA11+'SALE PL'!AA47</f>
        <v>2144830</v>
      </c>
      <c r="F11" s="53">
        <f t="shared" si="3"/>
        <v>1177250</v>
      </c>
      <c r="G11" s="57">
        <f>PURCHASE!K9</f>
        <v>20105732</v>
      </c>
      <c r="H11" s="57">
        <f>'PUR PL'!R10</f>
        <v>-745950</v>
      </c>
      <c r="I11" s="57">
        <f>'PUR PL'!S10</f>
        <v>3769256</v>
      </c>
      <c r="J11" s="60">
        <f t="shared" si="4"/>
        <v>3023306</v>
      </c>
      <c r="K11" s="62">
        <f t="shared" si="5"/>
        <v>0.1628886873</v>
      </c>
      <c r="L11" s="60">
        <f t="shared" si="6"/>
        <v>4200556</v>
      </c>
      <c r="N11" s="68"/>
      <c r="O11" s="55"/>
      <c r="Q11" s="64" t="s">
        <v>58</v>
      </c>
      <c r="R11" s="21">
        <f t="shared" si="8"/>
        <v>0</v>
      </c>
      <c r="S11" s="21">
        <f t="shared" si="9"/>
        <v>0</v>
      </c>
      <c r="V11" s="21">
        <f t="shared" ref="V11:W11" si="16">SUMIF($B$3:$B$116,$Q11,H$3:H$117)</f>
        <v>0</v>
      </c>
      <c r="W11" s="21">
        <f t="shared" si="16"/>
        <v>0</v>
      </c>
    </row>
    <row r="12">
      <c r="A12" s="58">
        <v>45658.0</v>
      </c>
      <c r="B12" s="59" t="str">
        <f t="shared" si="2"/>
        <v>Jan-25</v>
      </c>
      <c r="C12" s="67">
        <f>'SALE '!L9+'SALE '!L46</f>
        <v>83965809</v>
      </c>
      <c r="D12" s="55">
        <f>'SALE PL'!AC11+'SALE PL'!AC47</f>
        <v>-833773</v>
      </c>
      <c r="E12" s="55">
        <f>'SALE PL'!AD11+'SALE PL'!AD47</f>
        <v>2004189</v>
      </c>
      <c r="F12" s="53">
        <f t="shared" si="3"/>
        <v>1170416</v>
      </c>
      <c r="G12" s="57">
        <f>PURCHASE!L9</f>
        <v>26654880</v>
      </c>
      <c r="H12" s="57">
        <f>'PUR PL'!T10</f>
        <v>-1017569</v>
      </c>
      <c r="I12" s="57">
        <f>'PUR PL'!U10</f>
        <v>2994796</v>
      </c>
      <c r="J12" s="60">
        <f t="shared" si="4"/>
        <v>1977227</v>
      </c>
      <c r="K12" s="62">
        <f t="shared" si="5"/>
        <v>0.3174492132</v>
      </c>
      <c r="L12" s="60">
        <f t="shared" si="6"/>
        <v>3147643</v>
      </c>
      <c r="N12" s="55"/>
      <c r="O12" s="55"/>
      <c r="Q12" s="64" t="s">
        <v>59</v>
      </c>
      <c r="R12" s="21">
        <f t="shared" si="8"/>
        <v>0</v>
      </c>
      <c r="S12" s="21">
        <f t="shared" si="9"/>
        <v>0</v>
      </c>
      <c r="V12" s="21">
        <f t="shared" ref="V12:W12" si="17">SUMIF($B$3:$B$116,$Q12,H$3:H$117)</f>
        <v>0</v>
      </c>
      <c r="W12" s="21">
        <f t="shared" si="17"/>
        <v>0</v>
      </c>
    </row>
    <row r="13">
      <c r="A13" s="58">
        <v>45689.0</v>
      </c>
      <c r="B13" s="59" t="str">
        <f t="shared" si="2"/>
        <v>Feb-25</v>
      </c>
      <c r="C13" s="60">
        <f>'SALE '!M9+'SALE '!M46</f>
        <v>100226827</v>
      </c>
      <c r="D13" s="55">
        <f>'SALE PL'!AF11+'SALE PL'!AF47</f>
        <v>-926115</v>
      </c>
      <c r="E13" s="55">
        <f>'SALE PL'!AG11+'SALE PL'!AG47</f>
        <v>2224408</v>
      </c>
      <c r="F13" s="53">
        <f t="shared" si="3"/>
        <v>1298293</v>
      </c>
      <c r="G13" s="57">
        <f>PURCHASE!M9</f>
        <v>23737991</v>
      </c>
      <c r="H13" s="57">
        <f>'PUR PL'!V10</f>
        <v>-852856</v>
      </c>
      <c r="I13" s="57">
        <f>'PUR PL'!W10</f>
        <v>2092243</v>
      </c>
      <c r="J13" s="60">
        <f t="shared" si="4"/>
        <v>1239387</v>
      </c>
      <c r="K13" s="62">
        <f t="shared" si="5"/>
        <v>0.2368426868</v>
      </c>
      <c r="L13" s="60">
        <f t="shared" si="6"/>
        <v>2537680</v>
      </c>
      <c r="N13" s="55"/>
      <c r="O13" s="55"/>
      <c r="Q13" s="64" t="s">
        <v>60</v>
      </c>
      <c r="R13" s="21">
        <f t="shared" si="8"/>
        <v>0</v>
      </c>
      <c r="S13" s="21">
        <f t="shared" si="9"/>
        <v>0</v>
      </c>
      <c r="V13" s="21">
        <f t="shared" ref="V13:W13" si="18">SUMIF($B$3:$B$116,$Q13,H$3:H$117)</f>
        <v>0</v>
      </c>
      <c r="W13" s="21">
        <f t="shared" si="18"/>
        <v>0</v>
      </c>
    </row>
    <row r="14">
      <c r="A14" s="58">
        <v>45717.0</v>
      </c>
      <c r="B14" s="59" t="str">
        <f t="shared" si="2"/>
        <v>Mar-25</v>
      </c>
      <c r="C14" s="70">
        <f>'SALE '!N9+'SALE '!N46</f>
        <v>158841587</v>
      </c>
      <c r="D14" s="55">
        <f>'SALE PL'!AI11+'SALE PL'!AI47</f>
        <v>-1877338</v>
      </c>
      <c r="E14" s="55">
        <f>'SALE PL'!AJ11+'SALE PL'!AJ47</f>
        <v>3234341</v>
      </c>
      <c r="F14" s="53">
        <f t="shared" si="3"/>
        <v>1357003</v>
      </c>
      <c r="G14" s="57">
        <f>PURCHASE!N9</f>
        <v>29463902</v>
      </c>
      <c r="H14" s="57">
        <f>'PUR PL'!X10</f>
        <v>-801516</v>
      </c>
      <c r="I14" s="57">
        <f>'PUR PL'!Y10</f>
        <v>4658053</v>
      </c>
      <c r="J14" s="60">
        <f t="shared" si="4"/>
        <v>3856537</v>
      </c>
      <c r="K14" s="62">
        <f t="shared" si="5"/>
        <v>0.1854923673</v>
      </c>
      <c r="L14" s="60">
        <f t="shared" si="6"/>
        <v>5213540</v>
      </c>
      <c r="N14" s="55"/>
      <c r="O14" s="55"/>
      <c r="Q14" s="64" t="s">
        <v>61</v>
      </c>
      <c r="R14" s="21">
        <f t="shared" si="8"/>
        <v>0</v>
      </c>
      <c r="S14" s="21">
        <f t="shared" si="9"/>
        <v>0</v>
      </c>
      <c r="V14" s="21">
        <f t="shared" ref="V14:W14" si="19">SUMIF($B$3:$B$116,$Q14,H$3:H$117)</f>
        <v>0</v>
      </c>
      <c r="W14" s="21">
        <f t="shared" si="19"/>
        <v>0</v>
      </c>
    </row>
    <row r="15">
      <c r="B15" s="55" t="s">
        <v>62</v>
      </c>
      <c r="C15" s="60">
        <f t="shared" ref="C15:I15" si="20">SUM(C3:C14)</f>
        <v>1135452501</v>
      </c>
      <c r="D15" s="53">
        <f t="shared" si="20"/>
        <v>-10605913</v>
      </c>
      <c r="E15" s="53">
        <f t="shared" si="20"/>
        <v>25460966</v>
      </c>
      <c r="F15" s="53">
        <f t="shared" si="20"/>
        <v>14855053</v>
      </c>
      <c r="G15" s="60">
        <f t="shared" si="20"/>
        <v>255992604</v>
      </c>
      <c r="H15" s="53">
        <f t="shared" si="20"/>
        <v>-8382694.04</v>
      </c>
      <c r="I15" s="60">
        <f t="shared" si="20"/>
        <v>23439375.66</v>
      </c>
      <c r="J15" s="60">
        <f t="shared" si="4"/>
        <v>15056681.62</v>
      </c>
      <c r="K15" s="62">
        <f t="shared" si="5"/>
        <v>0.2254542605</v>
      </c>
      <c r="L15" s="60">
        <f t="shared" si="6"/>
        <v>29911734.62</v>
      </c>
      <c r="N15" s="55"/>
      <c r="O15" s="55"/>
    </row>
    <row r="16">
      <c r="B16" s="53"/>
      <c r="C16" s="53"/>
      <c r="D16" s="53"/>
      <c r="E16" s="53"/>
      <c r="F16" s="53"/>
      <c r="G16" s="60"/>
      <c r="H16" s="53"/>
      <c r="I16" s="53"/>
      <c r="J16" s="53"/>
      <c r="K16" s="53"/>
      <c r="L16" s="53"/>
      <c r="N16" s="55"/>
      <c r="O16" s="55"/>
    </row>
    <row r="17">
      <c r="B17" s="55" t="s">
        <v>19</v>
      </c>
      <c r="C17" s="55" t="s">
        <v>42</v>
      </c>
      <c r="D17" s="55" t="s">
        <v>43</v>
      </c>
      <c r="E17" s="55" t="s">
        <v>44</v>
      </c>
      <c r="F17" s="55" t="s">
        <v>45</v>
      </c>
      <c r="G17" s="57" t="s">
        <v>46</v>
      </c>
      <c r="H17" s="55" t="s">
        <v>43</v>
      </c>
      <c r="I17" s="55" t="s">
        <v>44</v>
      </c>
      <c r="J17" s="55" t="s">
        <v>47</v>
      </c>
      <c r="K17" s="55" t="s">
        <v>48</v>
      </c>
      <c r="L17" s="55" t="s">
        <v>49</v>
      </c>
      <c r="N17" s="55"/>
      <c r="O17" s="55"/>
    </row>
    <row r="18">
      <c r="A18" s="58"/>
      <c r="B18" s="59" t="str">
        <f t="shared" ref="B18:B29" si="21">B3</f>
        <v>Apr-24</v>
      </c>
      <c r="C18" s="60">
        <f>'SALE '!C16</f>
        <v>28992464</v>
      </c>
      <c r="D18" s="55">
        <f>'SALE PL'!B18</f>
        <v>-1014640</v>
      </c>
      <c r="E18" s="55">
        <f>'SALE PL'!C18</f>
        <v>222022</v>
      </c>
      <c r="F18" s="53">
        <f t="shared" ref="F18:F29" si="22">D18+E18</f>
        <v>-792618</v>
      </c>
      <c r="G18" s="60">
        <f>PURCHASE!C16+PURCHASE!C46+PURCHASE!C52</f>
        <v>37676917</v>
      </c>
      <c r="H18" s="53">
        <f>'PUR PL'!B17</f>
        <v>-1970798</v>
      </c>
      <c r="I18" s="60">
        <f>'PUR PL'!C17</f>
        <v>216305</v>
      </c>
      <c r="J18" s="60">
        <f t="shared" ref="J18:J30" si="23">H18+I18</f>
        <v>-1754493</v>
      </c>
      <c r="K18" s="62">
        <f t="shared" ref="K18:K30" si="24">IFERROR(G18/C18,"")</f>
        <v>1.299541736</v>
      </c>
      <c r="L18" s="60">
        <f t="shared" ref="L18:L30" si="25">F18+J18</f>
        <v>-2547111</v>
      </c>
      <c r="N18" s="55"/>
      <c r="O18" s="55"/>
    </row>
    <row r="19">
      <c r="A19" s="58"/>
      <c r="B19" s="59" t="str">
        <f t="shared" si="21"/>
        <v>May-24</v>
      </c>
      <c r="C19" s="71">
        <f>'SALE '!D16</f>
        <v>52711962</v>
      </c>
      <c r="D19" s="55">
        <f>'SALE PL'!E18</f>
        <v>-1661801</v>
      </c>
      <c r="E19" s="55">
        <f>'SALE PL'!F18</f>
        <v>507988</v>
      </c>
      <c r="F19" s="53">
        <f t="shared" si="22"/>
        <v>-1153813</v>
      </c>
      <c r="G19" s="60">
        <f>PURCHASE!D16+PURCHASE!D46</f>
        <v>37028847</v>
      </c>
      <c r="H19" s="60">
        <f>'PUR PL'!D17</f>
        <v>-2747646</v>
      </c>
      <c r="I19" s="60">
        <f>'PUR PL'!E17</f>
        <v>225069</v>
      </c>
      <c r="J19" s="60">
        <f t="shared" si="23"/>
        <v>-2522577</v>
      </c>
      <c r="K19" s="62">
        <f t="shared" si="24"/>
        <v>0.7024752181</v>
      </c>
      <c r="L19" s="60">
        <f t="shared" si="25"/>
        <v>-3676390</v>
      </c>
      <c r="N19" s="55"/>
      <c r="O19" s="55"/>
    </row>
    <row r="20">
      <c r="A20" s="58"/>
      <c r="B20" s="59" t="str">
        <f t="shared" si="21"/>
        <v>Jun-24</v>
      </c>
      <c r="C20" s="60">
        <f>'SALE '!E16</f>
        <v>57020281</v>
      </c>
      <c r="D20" s="53">
        <f>'SALE PL'!H18</f>
        <v>-792712</v>
      </c>
      <c r="E20" s="53">
        <f>'SALE PL'!I18</f>
        <v>2046126</v>
      </c>
      <c r="F20" s="53">
        <f t="shared" si="22"/>
        <v>1253414</v>
      </c>
      <c r="G20" s="57">
        <v>2.4936608E7</v>
      </c>
      <c r="H20" s="60">
        <f>'PUR PL'!F17</f>
        <v>-1617935</v>
      </c>
      <c r="I20" s="60">
        <f>'PUR PL'!G17</f>
        <v>124339</v>
      </c>
      <c r="J20" s="60">
        <f t="shared" si="23"/>
        <v>-1493596</v>
      </c>
      <c r="K20" s="62">
        <f t="shared" si="24"/>
        <v>0.4373287462</v>
      </c>
      <c r="L20" s="60">
        <f t="shared" si="25"/>
        <v>-240182</v>
      </c>
      <c r="N20" s="55"/>
      <c r="O20" s="55"/>
    </row>
    <row r="21">
      <c r="A21" s="58"/>
      <c r="B21" s="59" t="str">
        <f t="shared" si="21"/>
        <v>Jul-24</v>
      </c>
      <c r="C21" s="60">
        <f>'SALE '!F16</f>
        <v>47963115</v>
      </c>
      <c r="D21" s="55">
        <f>'SALE PL'!K18</f>
        <v>-572257</v>
      </c>
      <c r="E21" s="55">
        <f>'SALE PL'!L18</f>
        <v>1894186</v>
      </c>
      <c r="F21" s="53">
        <f t="shared" si="22"/>
        <v>1321929</v>
      </c>
      <c r="G21" s="60">
        <f>PURCHASE!F16+PURCHASE!F46</f>
        <v>35856349</v>
      </c>
      <c r="H21" s="60">
        <f>'PUR PL'!H17</f>
        <v>-2223748.33</v>
      </c>
      <c r="I21" s="60">
        <f>'PUR PL'!I17+'PUR PL'!I45</f>
        <v>492515.08</v>
      </c>
      <c r="J21" s="60">
        <f t="shared" si="23"/>
        <v>-1731233.25</v>
      </c>
      <c r="K21" s="62">
        <f t="shared" si="24"/>
        <v>0.7475817407</v>
      </c>
      <c r="L21" s="60">
        <f t="shared" si="25"/>
        <v>-409304.25</v>
      </c>
      <c r="N21" s="55"/>
      <c r="O21" s="55"/>
    </row>
    <row r="22">
      <c r="A22" s="58"/>
      <c r="B22" s="59" t="str">
        <f t="shared" si="21"/>
        <v>Aug-24</v>
      </c>
      <c r="C22" s="60">
        <f>'SALE '!G16</f>
        <v>51280011</v>
      </c>
      <c r="D22" s="55">
        <f>'SALE PL'!N18</f>
        <v>-811410</v>
      </c>
      <c r="E22" s="55">
        <f>'SALE PL'!O18</f>
        <v>2087117</v>
      </c>
      <c r="F22" s="53">
        <f t="shared" si="22"/>
        <v>1275707</v>
      </c>
      <c r="G22" s="60">
        <f>PURCHASE!G16+PURCHASE!G46</f>
        <v>19555229</v>
      </c>
      <c r="H22" s="60">
        <f>'PUR PL'!J17</f>
        <v>-704708</v>
      </c>
      <c r="I22" s="60">
        <f>'PUR PL'!K17+'PUR PL'!K47</f>
        <v>200802</v>
      </c>
      <c r="J22" s="60">
        <f t="shared" si="23"/>
        <v>-503906</v>
      </c>
      <c r="K22" s="62">
        <f t="shared" si="24"/>
        <v>0.3813421374</v>
      </c>
      <c r="L22" s="60">
        <f t="shared" si="25"/>
        <v>771801</v>
      </c>
      <c r="N22" s="55"/>
      <c r="O22" s="72"/>
    </row>
    <row r="23">
      <c r="A23" s="58"/>
      <c r="B23" s="59" t="str">
        <f t="shared" si="21"/>
        <v>Sep-24</v>
      </c>
      <c r="C23" s="60">
        <f>'SALE '!H16</f>
        <v>63904503</v>
      </c>
      <c r="D23" s="55">
        <f>'SALE PL'!Q18</f>
        <v>-922442</v>
      </c>
      <c r="E23" s="55">
        <f>'SALE PL'!R18</f>
        <v>2034403</v>
      </c>
      <c r="F23" s="53">
        <f t="shared" si="22"/>
        <v>1111961</v>
      </c>
      <c r="G23" s="60">
        <f>PURCHASE!H16+PURCHASE!H46</f>
        <v>35133078</v>
      </c>
      <c r="H23" s="60">
        <f>'PUR PL'!L17</f>
        <v>-1369437</v>
      </c>
      <c r="I23" s="60">
        <f>'PUR PL'!M17+'PUR PL'!M47</f>
        <v>615657</v>
      </c>
      <c r="J23" s="60">
        <f t="shared" si="23"/>
        <v>-753780</v>
      </c>
      <c r="K23" s="62">
        <f t="shared" si="24"/>
        <v>0.5497746849</v>
      </c>
      <c r="L23" s="60">
        <f t="shared" si="25"/>
        <v>358181</v>
      </c>
      <c r="N23" s="55"/>
      <c r="O23" s="55"/>
    </row>
    <row r="24">
      <c r="A24" s="58"/>
      <c r="B24" s="59" t="str">
        <f t="shared" si="21"/>
        <v>Oct-24</v>
      </c>
      <c r="C24" s="60">
        <f>'SALE '!I16</f>
        <v>44307725</v>
      </c>
      <c r="D24" s="55">
        <f>'SALE PL'!T18</f>
        <v>-326729</v>
      </c>
      <c r="E24" s="55">
        <f>'SALE PL'!U18</f>
        <v>1647288</v>
      </c>
      <c r="F24" s="53">
        <f t="shared" si="22"/>
        <v>1320559</v>
      </c>
      <c r="G24" s="60">
        <f>PURCHASE!I16+PURCHASE!I46+PURCHASE!I52</f>
        <v>42935713</v>
      </c>
      <c r="H24" s="57">
        <f>'PUR PL'!N17-1400</f>
        <v>-2329330</v>
      </c>
      <c r="I24" s="57">
        <f>'PUR PL'!O17+'PUR PL'!O47</f>
        <v>552167</v>
      </c>
      <c r="J24" s="60">
        <f t="shared" si="23"/>
        <v>-1777163</v>
      </c>
      <c r="K24" s="62">
        <f t="shared" si="24"/>
        <v>0.9690344742</v>
      </c>
      <c r="L24" s="60">
        <f t="shared" si="25"/>
        <v>-456604</v>
      </c>
      <c r="N24" s="55"/>
      <c r="O24" s="55"/>
    </row>
    <row r="25">
      <c r="A25" s="58"/>
      <c r="B25" s="59" t="str">
        <f t="shared" si="21"/>
        <v>Nov-24</v>
      </c>
      <c r="C25" s="57">
        <f>'SALE '!J16</f>
        <v>103992264</v>
      </c>
      <c r="D25" s="55">
        <f>'SALE PL'!W18</f>
        <v>-681001</v>
      </c>
      <c r="E25" s="55">
        <f>'SALE PL'!X18</f>
        <v>2164017</v>
      </c>
      <c r="F25" s="53">
        <f t="shared" si="22"/>
        <v>1483016</v>
      </c>
      <c r="G25" s="57">
        <f>PURCHASE!J16+PURCHASE!J46</f>
        <v>21851597</v>
      </c>
      <c r="H25" s="57">
        <f>'PUR PL'!P17</f>
        <v>-895086</v>
      </c>
      <c r="I25" s="57">
        <f>'PUR PL'!Q17+'PUR PL'!Q47</f>
        <v>462206</v>
      </c>
      <c r="J25" s="60">
        <f t="shared" si="23"/>
        <v>-432880</v>
      </c>
      <c r="K25" s="62">
        <f t="shared" si="24"/>
        <v>0.2101271398</v>
      </c>
      <c r="L25" s="60">
        <f t="shared" si="25"/>
        <v>1050136</v>
      </c>
      <c r="N25" s="55"/>
      <c r="O25" s="55"/>
    </row>
    <row r="26">
      <c r="A26" s="58"/>
      <c r="B26" s="59" t="str">
        <f t="shared" si="21"/>
        <v>Dec-24</v>
      </c>
      <c r="C26" s="55">
        <v>9.3242547E7</v>
      </c>
      <c r="D26" s="55">
        <f>'SALE PL'!Z18</f>
        <v>-1855142</v>
      </c>
      <c r="E26" s="55">
        <f>'SALE PL'!AA18</f>
        <v>1163171</v>
      </c>
      <c r="F26" s="53">
        <f t="shared" si="22"/>
        <v>-691971</v>
      </c>
      <c r="G26" s="57">
        <f>PURCHASE!K16+PURCHASE!K46</f>
        <v>35800279</v>
      </c>
      <c r="H26" s="57">
        <f>'PUR PL'!R17</f>
        <v>-1303832</v>
      </c>
      <c r="I26" s="57">
        <f>'PUR PL'!S17+'PUR PL'!S47</f>
        <v>403468</v>
      </c>
      <c r="J26" s="60">
        <f t="shared" si="23"/>
        <v>-900364</v>
      </c>
      <c r="K26" s="62">
        <f t="shared" si="24"/>
        <v>0.3839478881</v>
      </c>
      <c r="L26" s="60">
        <f t="shared" si="25"/>
        <v>-1592335</v>
      </c>
      <c r="N26" s="55"/>
      <c r="O26" s="55"/>
    </row>
    <row r="27">
      <c r="A27" s="58"/>
      <c r="B27" s="59" t="str">
        <f t="shared" si="21"/>
        <v>Jan-25</v>
      </c>
      <c r="C27" s="60">
        <f>'SALE '!L16</f>
        <v>60380092</v>
      </c>
      <c r="D27" s="55">
        <f>'SALE PL'!AC18</f>
        <v>-2082771</v>
      </c>
      <c r="E27" s="55">
        <f>'SALE PL'!AD18</f>
        <v>936704</v>
      </c>
      <c r="F27" s="53">
        <f t="shared" si="22"/>
        <v>-1146067</v>
      </c>
      <c r="G27" s="57">
        <f>PURCHASE!L16+PURCHASE!L46+PURCHASE!L52</f>
        <v>48249949</v>
      </c>
      <c r="H27" s="57">
        <f>'PUR PL'!T17-12000</f>
        <v>-1896281</v>
      </c>
      <c r="I27" s="57">
        <f>'PUR PL'!U17+'PUR PL'!U47</f>
        <v>687097</v>
      </c>
      <c r="J27" s="60">
        <f t="shared" si="23"/>
        <v>-1209184</v>
      </c>
      <c r="K27" s="62">
        <f t="shared" si="24"/>
        <v>0.7991036019</v>
      </c>
      <c r="L27" s="60">
        <f t="shared" si="25"/>
        <v>-2355251</v>
      </c>
      <c r="N27" s="55"/>
      <c r="O27" s="55"/>
    </row>
    <row r="28">
      <c r="B28" s="59" t="str">
        <f t="shared" si="21"/>
        <v>Feb-25</v>
      </c>
      <c r="C28" s="60">
        <f>'SALE '!M16</f>
        <v>67812350</v>
      </c>
      <c r="D28" s="55">
        <f>'SALE PL'!AF18</f>
        <v>-2958234</v>
      </c>
      <c r="E28" s="55">
        <f>'SALE PL'!AG18</f>
        <v>975826</v>
      </c>
      <c r="F28" s="53">
        <f t="shared" si="22"/>
        <v>-1982408</v>
      </c>
      <c r="G28" s="57">
        <f>PURCHASE!M16+PURCHASE!M46+PURCHASE!M52</f>
        <v>40767835</v>
      </c>
      <c r="H28" s="57">
        <f>'PUR PL'!V17+'PUR PL'!V51</f>
        <v>-2013862</v>
      </c>
      <c r="I28" s="57">
        <f>'PUR PL'!W17+'PUR PL'!W47</f>
        <v>788256</v>
      </c>
      <c r="J28" s="60">
        <f t="shared" si="23"/>
        <v>-1225606</v>
      </c>
      <c r="K28" s="62">
        <f t="shared" si="24"/>
        <v>0.6011859934</v>
      </c>
      <c r="L28" s="60">
        <f t="shared" si="25"/>
        <v>-3208014</v>
      </c>
      <c r="N28" s="55"/>
      <c r="O28" s="55"/>
    </row>
    <row r="29">
      <c r="B29" s="59" t="str">
        <f t="shared" si="21"/>
        <v>Mar-25</v>
      </c>
      <c r="C29" s="57">
        <f>'SALE '!N16</f>
        <v>130835407</v>
      </c>
      <c r="D29" s="55">
        <f>'SALE PL'!AI18</f>
        <v>-3719896</v>
      </c>
      <c r="E29" s="55">
        <f>'SALE PL'!AJ18</f>
        <v>2362829</v>
      </c>
      <c r="F29" s="53">
        <f t="shared" si="22"/>
        <v>-1357067</v>
      </c>
      <c r="G29" s="57">
        <f>PURCHASE!N16+PURCHASE!N44</f>
        <v>50468922</v>
      </c>
      <c r="H29" s="57">
        <f>'PUR PL'!X17+'PUR PL'!X47</f>
        <v>-3429428</v>
      </c>
      <c r="I29" s="57">
        <f>'PUR PL'!Y17+'PUR PL'!Y47</f>
        <v>724191</v>
      </c>
      <c r="J29" s="60">
        <f t="shared" si="23"/>
        <v>-2705237</v>
      </c>
      <c r="K29" s="62">
        <f t="shared" si="24"/>
        <v>0.3857436084</v>
      </c>
      <c r="L29" s="60">
        <f t="shared" si="25"/>
        <v>-4062304</v>
      </c>
      <c r="N29" s="55"/>
      <c r="O29" s="55"/>
    </row>
    <row r="30">
      <c r="B30" s="55" t="s">
        <v>62</v>
      </c>
      <c r="C30" s="60">
        <f>SUM(C18:C29)</f>
        <v>802442721</v>
      </c>
      <c r="D30" s="53">
        <f t="shared" ref="D30:I30" si="26">sum(D18:D29)</f>
        <v>-17399035</v>
      </c>
      <c r="E30" s="53">
        <f t="shared" si="26"/>
        <v>18041677</v>
      </c>
      <c r="F30" s="53">
        <f t="shared" si="26"/>
        <v>642642</v>
      </c>
      <c r="G30" s="60">
        <f t="shared" si="26"/>
        <v>430261323</v>
      </c>
      <c r="H30" s="53">
        <f t="shared" si="26"/>
        <v>-22502091.33</v>
      </c>
      <c r="I30" s="60">
        <f t="shared" si="26"/>
        <v>5492072.08</v>
      </c>
      <c r="J30" s="60">
        <f t="shared" si="23"/>
        <v>-17010019.25</v>
      </c>
      <c r="K30" s="62">
        <f t="shared" si="24"/>
        <v>0.5361894522</v>
      </c>
      <c r="L30" s="60">
        <f t="shared" si="25"/>
        <v>-16367377.25</v>
      </c>
      <c r="N30" s="53"/>
      <c r="O30" s="53"/>
    </row>
    <row r="31">
      <c r="B31" s="53"/>
      <c r="C31" s="53"/>
      <c r="D31" s="53"/>
      <c r="E31" s="53"/>
      <c r="F31" s="53"/>
      <c r="G31" s="60"/>
      <c r="H31" s="53"/>
      <c r="I31" s="53"/>
      <c r="J31" s="53"/>
      <c r="K31" s="53"/>
      <c r="L31" s="53"/>
      <c r="N31" s="53"/>
      <c r="O31" s="53"/>
    </row>
    <row r="32">
      <c r="B32" s="55" t="s">
        <v>24</v>
      </c>
      <c r="C32" s="55" t="s">
        <v>42</v>
      </c>
      <c r="D32" s="55" t="s">
        <v>43</v>
      </c>
      <c r="E32" s="55" t="s">
        <v>44</v>
      </c>
      <c r="F32" s="55" t="s">
        <v>45</v>
      </c>
      <c r="G32" s="57" t="s">
        <v>46</v>
      </c>
      <c r="H32" s="55" t="s">
        <v>43</v>
      </c>
      <c r="I32" s="55" t="s">
        <v>44</v>
      </c>
      <c r="J32" s="55" t="s">
        <v>47</v>
      </c>
      <c r="K32" s="55" t="s">
        <v>48</v>
      </c>
      <c r="L32" s="55" t="s">
        <v>49</v>
      </c>
      <c r="N32" s="55"/>
      <c r="O32" s="55"/>
    </row>
    <row r="33">
      <c r="B33" s="59" t="str">
        <f t="shared" ref="B33:B44" si="27">B18</f>
        <v>Apr-24</v>
      </c>
      <c r="C33" s="60">
        <f>'SALE '!C22</f>
        <v>5482175</v>
      </c>
      <c r="D33" s="55">
        <f>'SALE PL'!B24</f>
        <v>-97337</v>
      </c>
      <c r="E33" s="55">
        <f>'SALE PL'!C24</f>
        <v>23899</v>
      </c>
      <c r="F33" s="53">
        <f t="shared" ref="F33:F44" si="28">D33+E33</f>
        <v>-73438</v>
      </c>
      <c r="G33" s="60">
        <f>PURCHASE!C23</f>
        <v>5761589</v>
      </c>
      <c r="H33" s="53">
        <f>'PUR PL'!B24</f>
        <v>-24532</v>
      </c>
      <c r="I33" s="60">
        <f>'PUR PL'!C24</f>
        <v>128115</v>
      </c>
      <c r="J33" s="60">
        <f t="shared" ref="J33:J45" si="29">H33+I33</f>
        <v>103583</v>
      </c>
      <c r="K33" s="62">
        <f t="shared" ref="K33:K45" si="30">IFERROR(G33/C33,"")</f>
        <v>1.050967727</v>
      </c>
      <c r="L33" s="60">
        <f t="shared" ref="L33:L45" si="31">F33+J33</f>
        <v>30145</v>
      </c>
      <c r="N33" s="55"/>
      <c r="O33" s="55"/>
    </row>
    <row r="34">
      <c r="B34" s="59" t="str">
        <f t="shared" si="27"/>
        <v>May-24</v>
      </c>
      <c r="C34" s="60">
        <f>'SALE '!D22</f>
        <v>13403356</v>
      </c>
      <c r="D34" s="55">
        <f>'SALE PL'!E24</f>
        <v>-199882</v>
      </c>
      <c r="E34" s="55">
        <f>'SALE PL'!F24</f>
        <v>37936</v>
      </c>
      <c r="F34" s="53">
        <f t="shared" si="28"/>
        <v>-161946</v>
      </c>
      <c r="G34" s="60">
        <f>PURCHASE!D23</f>
        <v>7440270</v>
      </c>
      <c r="H34" s="60">
        <f>'PUR PL'!D24</f>
        <v>-23514</v>
      </c>
      <c r="I34" s="60">
        <f>'PUR PL'!E24</f>
        <v>102470</v>
      </c>
      <c r="J34" s="60">
        <f t="shared" si="29"/>
        <v>78956</v>
      </c>
      <c r="K34" s="62">
        <f t="shared" si="30"/>
        <v>0.555105005</v>
      </c>
      <c r="L34" s="60">
        <f t="shared" si="31"/>
        <v>-82990</v>
      </c>
      <c r="N34" s="55"/>
      <c r="O34" s="55"/>
    </row>
    <row r="35">
      <c r="B35" s="59" t="str">
        <f t="shared" si="27"/>
        <v>Jun-24</v>
      </c>
      <c r="C35" s="60">
        <f>'SALE '!E22</f>
        <v>10193424</v>
      </c>
      <c r="D35" s="55">
        <f>'SALE PL'!H24</f>
        <v>-105753</v>
      </c>
      <c r="E35" s="55">
        <f>'SALE PL'!I24</f>
        <v>51818</v>
      </c>
      <c r="F35" s="53">
        <f t="shared" si="28"/>
        <v>-53935</v>
      </c>
      <c r="G35" s="57">
        <v>6816998.0</v>
      </c>
      <c r="H35" s="60">
        <f>'PUR PL'!F24</f>
        <v>-86348</v>
      </c>
      <c r="I35" s="60">
        <f>'PUR PL'!G24</f>
        <v>95848</v>
      </c>
      <c r="J35" s="60">
        <f t="shared" si="29"/>
        <v>9500</v>
      </c>
      <c r="K35" s="62">
        <f t="shared" si="30"/>
        <v>0.6687642935</v>
      </c>
      <c r="L35" s="60">
        <f t="shared" si="31"/>
        <v>-44435</v>
      </c>
      <c r="N35" s="55"/>
      <c r="O35" s="55"/>
    </row>
    <row r="36">
      <c r="B36" s="59" t="str">
        <f t="shared" si="27"/>
        <v>Jul-24</v>
      </c>
      <c r="C36" s="60">
        <f>'SALE '!F22</f>
        <v>9922288</v>
      </c>
      <c r="D36" s="55">
        <f>'SALE PL'!K24</f>
        <v>-42737</v>
      </c>
      <c r="E36" s="55">
        <f>'SALE PL'!L24</f>
        <v>223585</v>
      </c>
      <c r="F36" s="53">
        <f t="shared" si="28"/>
        <v>180848</v>
      </c>
      <c r="G36" s="60">
        <f>PURCHASE!F23</f>
        <v>6071099</v>
      </c>
      <c r="H36" s="60">
        <f>'PUR PL'!H24</f>
        <v>-36346.44</v>
      </c>
      <c r="I36" s="60">
        <f>'PUR PL'!I24</f>
        <v>70215.68</v>
      </c>
      <c r="J36" s="60">
        <f t="shared" si="29"/>
        <v>33869.24</v>
      </c>
      <c r="K36" s="62">
        <f t="shared" si="30"/>
        <v>0.6118648239</v>
      </c>
      <c r="L36" s="60">
        <f t="shared" si="31"/>
        <v>214717.24</v>
      </c>
      <c r="N36" s="55"/>
      <c r="O36" s="55"/>
    </row>
    <row r="37">
      <c r="B37" s="59" t="str">
        <f t="shared" si="27"/>
        <v>Aug-24</v>
      </c>
      <c r="C37" s="60">
        <f>'SALE '!G22</f>
        <v>10744147</v>
      </c>
      <c r="D37" s="55">
        <f>'SALE PL'!N24</f>
        <v>-38451</v>
      </c>
      <c r="E37" s="55">
        <f>'SALE PL'!O24</f>
        <v>239599</v>
      </c>
      <c r="F37" s="53">
        <f t="shared" si="28"/>
        <v>201148</v>
      </c>
      <c r="G37" s="60">
        <f>PURCHASE!G23</f>
        <v>5002135</v>
      </c>
      <c r="H37" s="60">
        <f>'PUR PL'!J24</f>
        <v>-46480</v>
      </c>
      <c r="I37" s="60">
        <f>'PUR PL'!K24</f>
        <v>307151</v>
      </c>
      <c r="J37" s="60">
        <f t="shared" si="29"/>
        <v>260671</v>
      </c>
      <c r="K37" s="62">
        <f t="shared" si="30"/>
        <v>0.4655683695</v>
      </c>
      <c r="L37" s="60">
        <f t="shared" si="31"/>
        <v>461819</v>
      </c>
      <c r="N37" s="55"/>
      <c r="O37" s="55"/>
    </row>
    <row r="38">
      <c r="B38" s="59" t="str">
        <f t="shared" si="27"/>
        <v>Sep-24</v>
      </c>
      <c r="C38" s="60">
        <f>'SALE '!H22</f>
        <v>12032078</v>
      </c>
      <c r="D38" s="55">
        <f>'SALE PL'!Q24</f>
        <v>-84312</v>
      </c>
      <c r="E38" s="55">
        <f>'SALE PL'!R24</f>
        <v>195889</v>
      </c>
      <c r="F38" s="53">
        <f t="shared" si="28"/>
        <v>111577</v>
      </c>
      <c r="G38" s="60">
        <f>PURCHASE!H23</f>
        <v>6589509</v>
      </c>
      <c r="H38" s="60">
        <f>'PUR PL'!L24</f>
        <v>-110435</v>
      </c>
      <c r="I38" s="60">
        <f>'PUR PL'!M24</f>
        <v>18106</v>
      </c>
      <c r="J38" s="60">
        <f t="shared" si="29"/>
        <v>-92329</v>
      </c>
      <c r="K38" s="62">
        <f t="shared" si="30"/>
        <v>0.5476617588</v>
      </c>
      <c r="L38" s="60">
        <f t="shared" si="31"/>
        <v>19248</v>
      </c>
      <c r="N38" s="55"/>
      <c r="O38" s="55"/>
    </row>
    <row r="39">
      <c r="B39" s="59" t="str">
        <f t="shared" si="27"/>
        <v>Oct-24</v>
      </c>
      <c r="C39" s="60">
        <f>'SALE '!I22</f>
        <v>7582888</v>
      </c>
      <c r="D39" s="55">
        <f>'SALE PL'!T24</f>
        <v>-48413</v>
      </c>
      <c r="E39" s="55">
        <f>'SALE PL'!U24</f>
        <v>140017</v>
      </c>
      <c r="F39" s="53">
        <f t="shared" si="28"/>
        <v>91604</v>
      </c>
      <c r="G39" s="60">
        <f>PURCHASE!I23</f>
        <v>10012295</v>
      </c>
      <c r="H39" s="57">
        <f>'PUR PL'!N24</f>
        <v>-148290</v>
      </c>
      <c r="I39" s="57">
        <f>'PUR PL'!O24</f>
        <v>290305</v>
      </c>
      <c r="J39" s="60">
        <f t="shared" si="29"/>
        <v>142015</v>
      </c>
      <c r="K39" s="62">
        <f t="shared" si="30"/>
        <v>1.320380177</v>
      </c>
      <c r="L39" s="60">
        <f t="shared" si="31"/>
        <v>233619</v>
      </c>
      <c r="N39" s="55"/>
      <c r="O39" s="55"/>
    </row>
    <row r="40">
      <c r="B40" s="59" t="str">
        <f t="shared" si="27"/>
        <v>Nov-24</v>
      </c>
      <c r="C40" s="57">
        <f>'SALE '!J22</f>
        <v>14725964</v>
      </c>
      <c r="D40" s="55">
        <f>'SALE PL'!W24</f>
        <v>-53667</v>
      </c>
      <c r="E40" s="55">
        <f>'SALE PL'!X24</f>
        <v>197009</v>
      </c>
      <c r="F40" s="53">
        <f t="shared" si="28"/>
        <v>143342</v>
      </c>
      <c r="G40" s="57">
        <f>PURCHASE!J23</f>
        <v>2426372</v>
      </c>
      <c r="H40" s="57">
        <f>'PUR PL'!P24</f>
        <v>-69983</v>
      </c>
      <c r="I40" s="57">
        <f>'PUR PL'!Q24</f>
        <v>115964</v>
      </c>
      <c r="J40" s="60">
        <f t="shared" si="29"/>
        <v>45981</v>
      </c>
      <c r="K40" s="62">
        <f t="shared" si="30"/>
        <v>0.1647682963</v>
      </c>
      <c r="L40" s="60">
        <f t="shared" si="31"/>
        <v>189323</v>
      </c>
      <c r="N40" s="55"/>
      <c r="O40" s="55"/>
    </row>
    <row r="41">
      <c r="B41" s="59" t="str">
        <f t="shared" si="27"/>
        <v>Dec-24</v>
      </c>
      <c r="C41" s="55">
        <v>1.3822066E7</v>
      </c>
      <c r="D41" s="55">
        <f>'SALE PL'!Z24</f>
        <v>-1429335</v>
      </c>
      <c r="E41" s="55">
        <f>'SALE PL'!AA24</f>
        <v>40746</v>
      </c>
      <c r="F41" s="53">
        <f t="shared" si="28"/>
        <v>-1388589</v>
      </c>
      <c r="G41" s="57">
        <f>PURCHASE!K23</f>
        <v>7854918</v>
      </c>
      <c r="H41" s="57">
        <f>'PUR PL'!R24</f>
        <v>-99902</v>
      </c>
      <c r="I41" s="57">
        <f>'PUR PL'!S24</f>
        <v>71981</v>
      </c>
      <c r="J41" s="60">
        <f t="shared" si="29"/>
        <v>-27921</v>
      </c>
      <c r="K41" s="62">
        <f t="shared" si="30"/>
        <v>0.5682882718</v>
      </c>
      <c r="L41" s="60">
        <f t="shared" si="31"/>
        <v>-1416510</v>
      </c>
      <c r="N41" s="55"/>
      <c r="O41" s="55"/>
    </row>
    <row r="42">
      <c r="B42" s="59" t="str">
        <f t="shared" si="27"/>
        <v>Jan-25</v>
      </c>
      <c r="C42" s="73">
        <f>'SALE '!L22</f>
        <v>9582705</v>
      </c>
      <c r="D42" s="55">
        <f>'SALE PL'!AC24</f>
        <v>-1157958</v>
      </c>
      <c r="E42" s="55">
        <f>'SALE PL'!AD24</f>
        <v>6803</v>
      </c>
      <c r="F42" s="53">
        <f t="shared" si="28"/>
        <v>-1151155</v>
      </c>
      <c r="G42" s="57">
        <f>PURCHASE!L23</f>
        <v>6425939</v>
      </c>
      <c r="H42" s="57">
        <f>'PUR PL'!T24</f>
        <v>-97359</v>
      </c>
      <c r="I42" s="57">
        <f>'PUR PL'!U24</f>
        <v>159235</v>
      </c>
      <c r="J42" s="60">
        <f t="shared" si="29"/>
        <v>61876</v>
      </c>
      <c r="K42" s="62">
        <f t="shared" si="30"/>
        <v>0.6705767317</v>
      </c>
      <c r="L42" s="60">
        <f t="shared" si="31"/>
        <v>-1089279</v>
      </c>
      <c r="N42" s="55"/>
      <c r="O42" s="55"/>
    </row>
    <row r="43">
      <c r="B43" s="59" t="str">
        <f t="shared" si="27"/>
        <v>Feb-25</v>
      </c>
      <c r="C43" s="57">
        <f>'SALE '!M22</f>
        <v>14600855</v>
      </c>
      <c r="D43" s="55">
        <f>'SALE PL'!AF24</f>
        <v>-1232127</v>
      </c>
      <c r="E43" s="55">
        <f>'SALE PL'!AG24</f>
        <v>57158</v>
      </c>
      <c r="F43" s="53">
        <f t="shared" si="28"/>
        <v>-1174969</v>
      </c>
      <c r="G43" s="57">
        <f>PURCHASE!M23</f>
        <v>8733901</v>
      </c>
      <c r="H43" s="57">
        <f>'PUR PL'!V24</f>
        <v>-115331</v>
      </c>
      <c r="I43" s="57">
        <f>'PUR PL'!W24</f>
        <v>476710</v>
      </c>
      <c r="J43" s="60">
        <f t="shared" si="29"/>
        <v>361379</v>
      </c>
      <c r="K43" s="62">
        <f t="shared" si="30"/>
        <v>0.598177367</v>
      </c>
      <c r="L43" s="60">
        <f t="shared" si="31"/>
        <v>-813590</v>
      </c>
      <c r="N43" s="55"/>
      <c r="O43" s="55"/>
    </row>
    <row r="44">
      <c r="B44" s="59" t="str">
        <f t="shared" si="27"/>
        <v>Mar-25</v>
      </c>
      <c r="C44" s="57">
        <f>'SALE '!N22</f>
        <v>20638435</v>
      </c>
      <c r="D44" s="55">
        <f>'SALE PL'!AI24</f>
        <v>-1714598</v>
      </c>
      <c r="E44" s="55">
        <f>'SALE PL'!AJ24</f>
        <v>83132</v>
      </c>
      <c r="F44" s="53">
        <f t="shared" si="28"/>
        <v>-1631466</v>
      </c>
      <c r="G44" s="57">
        <f>PURCHASE!N23</f>
        <v>13270952</v>
      </c>
      <c r="H44" s="57">
        <f>'PUR PL'!X24</f>
        <v>-181751</v>
      </c>
      <c r="I44" s="57">
        <f>'PUR PL'!Y24</f>
        <v>103663</v>
      </c>
      <c r="J44" s="60">
        <f t="shared" si="29"/>
        <v>-78088</v>
      </c>
      <c r="K44" s="62">
        <f t="shared" si="30"/>
        <v>0.6430212368</v>
      </c>
      <c r="L44" s="60">
        <f t="shared" si="31"/>
        <v>-1709554</v>
      </c>
      <c r="N44" s="55"/>
      <c r="O44" s="55"/>
    </row>
    <row r="45">
      <c r="B45" s="55" t="s">
        <v>62</v>
      </c>
      <c r="C45" s="60">
        <f t="shared" ref="C45:I45" si="32">SUM(C33:C44)</f>
        <v>142730381</v>
      </c>
      <c r="D45" s="53">
        <f t="shared" si="32"/>
        <v>-6204570</v>
      </c>
      <c r="E45" s="53">
        <f t="shared" si="32"/>
        <v>1297591</v>
      </c>
      <c r="F45" s="53">
        <f t="shared" si="32"/>
        <v>-4906979</v>
      </c>
      <c r="G45" s="60">
        <f t="shared" si="32"/>
        <v>86405977</v>
      </c>
      <c r="H45" s="53">
        <f t="shared" si="32"/>
        <v>-1040271.44</v>
      </c>
      <c r="I45" s="60">
        <f t="shared" si="32"/>
        <v>1939763.68</v>
      </c>
      <c r="J45" s="60">
        <f t="shared" si="29"/>
        <v>899492.24</v>
      </c>
      <c r="K45" s="62">
        <f t="shared" si="30"/>
        <v>0.6053790118</v>
      </c>
      <c r="L45" s="60">
        <f t="shared" si="31"/>
        <v>-4007486.76</v>
      </c>
      <c r="N45" s="53"/>
      <c r="O45" s="53"/>
    </row>
    <row r="46">
      <c r="B46" s="53"/>
      <c r="C46" s="53"/>
      <c r="D46" s="53"/>
      <c r="E46" s="53"/>
      <c r="F46" s="53"/>
      <c r="G46" s="60"/>
      <c r="H46" s="53"/>
      <c r="I46" s="53"/>
      <c r="J46" s="53"/>
      <c r="K46" s="53"/>
      <c r="L46" s="53"/>
      <c r="N46" s="53"/>
      <c r="O46" s="53"/>
    </row>
    <row r="47">
      <c r="B47" s="55" t="s">
        <v>63</v>
      </c>
      <c r="C47" s="55" t="s">
        <v>42</v>
      </c>
      <c r="D47" s="55" t="s">
        <v>43</v>
      </c>
      <c r="E47" s="55" t="s">
        <v>44</v>
      </c>
      <c r="F47" s="55" t="s">
        <v>45</v>
      </c>
      <c r="G47" s="57" t="s">
        <v>46</v>
      </c>
      <c r="H47" s="55" t="s">
        <v>43</v>
      </c>
      <c r="I47" s="55" t="s">
        <v>44</v>
      </c>
      <c r="J47" s="55" t="s">
        <v>47</v>
      </c>
      <c r="K47" s="55" t="s">
        <v>48</v>
      </c>
      <c r="L47" s="55" t="s">
        <v>49</v>
      </c>
      <c r="N47" s="55"/>
      <c r="O47" s="55"/>
    </row>
    <row r="48">
      <c r="B48" s="59" t="str">
        <f t="shared" ref="B48:B59" si="33">B33</f>
        <v>Apr-24</v>
      </c>
      <c r="C48" s="60">
        <f>'SALE '!C33</f>
        <v>39292789</v>
      </c>
      <c r="D48" s="55">
        <f>'SALE PL'!B35</f>
        <v>-1566883</v>
      </c>
      <c r="E48" s="55">
        <f>'SALE PL'!C35</f>
        <v>125062</v>
      </c>
      <c r="F48" s="53">
        <f t="shared" ref="F48:F59" si="34">D48+E48</f>
        <v>-1441821</v>
      </c>
      <c r="G48" s="60">
        <f>PURCHASE!C30</f>
        <v>45369223</v>
      </c>
      <c r="H48" s="53">
        <f>'PUR PL'!B31</f>
        <v>-443971</v>
      </c>
      <c r="I48" s="60">
        <f>'PUR PL'!C31</f>
        <v>1875032</v>
      </c>
      <c r="J48" s="60">
        <f t="shared" ref="J48:J60" si="35">H48+I48</f>
        <v>1431061</v>
      </c>
      <c r="K48" s="62">
        <f t="shared" ref="K48:K60" si="36">IFERROR(G48/C48,"")</f>
        <v>1.154645016</v>
      </c>
      <c r="L48" s="60">
        <f t="shared" ref="L48:L60" si="37">F48+J48</f>
        <v>-10760</v>
      </c>
      <c r="N48" s="55"/>
      <c r="O48" s="55"/>
    </row>
    <row r="49">
      <c r="B49" s="59" t="str">
        <f t="shared" si="33"/>
        <v>May-24</v>
      </c>
      <c r="C49" s="60">
        <f>'SALE '!D33</f>
        <v>104803610</v>
      </c>
      <c r="D49" s="55">
        <f>'SALE PL'!E35</f>
        <v>-4575328</v>
      </c>
      <c r="E49" s="55">
        <f>'SALE PL'!F35</f>
        <v>1124402</v>
      </c>
      <c r="F49" s="53">
        <f t="shared" si="34"/>
        <v>-3450926</v>
      </c>
      <c r="G49" s="60">
        <f>PURCHASE!D30</f>
        <v>40076164</v>
      </c>
      <c r="H49" s="60">
        <f>'PUR PL'!D31</f>
        <v>-2281893</v>
      </c>
      <c r="I49" s="60">
        <f>'PUR PL'!E31</f>
        <v>1339916</v>
      </c>
      <c r="J49" s="60">
        <f t="shared" si="35"/>
        <v>-941977</v>
      </c>
      <c r="K49" s="62">
        <f t="shared" si="36"/>
        <v>0.3823929729</v>
      </c>
      <c r="L49" s="60">
        <f t="shared" si="37"/>
        <v>-4392903</v>
      </c>
      <c r="N49" s="55"/>
      <c r="O49" s="55"/>
    </row>
    <row r="50">
      <c r="B50" s="59" t="str">
        <f t="shared" si="33"/>
        <v>Jun-24</v>
      </c>
      <c r="C50" s="60">
        <f>'SALE '!E33</f>
        <v>112453482</v>
      </c>
      <c r="D50" s="55">
        <f>'SALE PL'!H35</f>
        <v>-7187459</v>
      </c>
      <c r="E50" s="55">
        <f>'SALE PL'!I35</f>
        <v>1670279</v>
      </c>
      <c r="F50" s="53">
        <f t="shared" si="34"/>
        <v>-5517180</v>
      </c>
      <c r="G50" s="57">
        <v>7.5044838E7</v>
      </c>
      <c r="H50" s="60">
        <f>'PUR PL'!F31</f>
        <v>-6398820</v>
      </c>
      <c r="I50" s="60">
        <f>'PUR PL'!G31</f>
        <v>2306335</v>
      </c>
      <c r="J50" s="60">
        <f t="shared" si="35"/>
        <v>-4092485</v>
      </c>
      <c r="K50" s="62">
        <f t="shared" si="36"/>
        <v>0.6673411678</v>
      </c>
      <c r="L50" s="60">
        <f t="shared" si="37"/>
        <v>-9609665</v>
      </c>
      <c r="N50" s="55"/>
      <c r="O50" s="55"/>
    </row>
    <row r="51">
      <c r="B51" s="59" t="str">
        <f t="shared" si="33"/>
        <v>Jul-24</v>
      </c>
      <c r="C51" s="60">
        <f>'SALE '!F33</f>
        <v>103574051</v>
      </c>
      <c r="D51" s="55">
        <f>'SALE PL'!K35</f>
        <v>-9014625</v>
      </c>
      <c r="E51" s="55">
        <f>'SALE PL'!L35</f>
        <v>1383846</v>
      </c>
      <c r="F51" s="53">
        <f t="shared" si="34"/>
        <v>-7630779</v>
      </c>
      <c r="G51" s="60">
        <f>PURCHASE!F30</f>
        <v>47513523</v>
      </c>
      <c r="H51" s="60">
        <f>'PUR PL'!H31</f>
        <v>-3428481</v>
      </c>
      <c r="I51" s="60">
        <f>'PUR PL'!I31</f>
        <v>858482.8</v>
      </c>
      <c r="J51" s="60">
        <f t="shared" si="35"/>
        <v>-2569998.2</v>
      </c>
      <c r="K51" s="62">
        <f t="shared" si="36"/>
        <v>0.4587396413</v>
      </c>
      <c r="L51" s="60">
        <f t="shared" si="37"/>
        <v>-10200777.2</v>
      </c>
      <c r="N51" s="55"/>
      <c r="O51" s="55"/>
    </row>
    <row r="52">
      <c r="B52" s="59" t="str">
        <f t="shared" si="33"/>
        <v>Aug-24</v>
      </c>
      <c r="C52" s="60">
        <f>'SALE '!G33</f>
        <v>84009323</v>
      </c>
      <c r="D52" s="55">
        <f>'SALE PL'!N35</f>
        <v>-3328038</v>
      </c>
      <c r="E52" s="55">
        <f>'SALE PL'!O35</f>
        <v>1083921</v>
      </c>
      <c r="F52" s="53">
        <f t="shared" si="34"/>
        <v>-2244117</v>
      </c>
      <c r="G52" s="60">
        <f>PURCHASE!G30</f>
        <v>40788312</v>
      </c>
      <c r="H52" s="60">
        <f>'PUR PL'!J31</f>
        <v>-876861</v>
      </c>
      <c r="I52" s="60">
        <f>'PUR PL'!K31</f>
        <v>763396</v>
      </c>
      <c r="J52" s="60">
        <f t="shared" si="35"/>
        <v>-113465</v>
      </c>
      <c r="K52" s="62">
        <f t="shared" si="36"/>
        <v>0.4855212558</v>
      </c>
      <c r="L52" s="60">
        <f t="shared" si="37"/>
        <v>-2357582</v>
      </c>
      <c r="N52" s="55"/>
      <c r="O52" s="55"/>
    </row>
    <row r="53">
      <c r="B53" s="59" t="str">
        <f t="shared" si="33"/>
        <v>Sep-24</v>
      </c>
      <c r="C53" s="60">
        <f>'SALE '!H33</f>
        <v>77648920</v>
      </c>
      <c r="D53" s="55">
        <f>'SALE PL'!Q35</f>
        <v>-3971430</v>
      </c>
      <c r="E53" s="55">
        <f>'SALE PL'!R35</f>
        <v>979358</v>
      </c>
      <c r="F53" s="53">
        <f t="shared" si="34"/>
        <v>-2992072</v>
      </c>
      <c r="G53" s="60">
        <f>PURCHASE!H30</f>
        <v>97523979</v>
      </c>
      <c r="H53" s="60">
        <f>'PUR PL'!L31</f>
        <v>-1819871</v>
      </c>
      <c r="I53" s="60">
        <f>'PUR PL'!M31</f>
        <v>5050019</v>
      </c>
      <c r="J53" s="60">
        <f t="shared" si="35"/>
        <v>3230148</v>
      </c>
      <c r="K53" s="62">
        <f t="shared" si="36"/>
        <v>1.255960534</v>
      </c>
      <c r="L53" s="60">
        <f t="shared" si="37"/>
        <v>238076</v>
      </c>
      <c r="N53" s="55"/>
      <c r="O53" s="55"/>
    </row>
    <row r="54">
      <c r="B54" s="59" t="str">
        <f t="shared" si="33"/>
        <v>Oct-24</v>
      </c>
      <c r="C54" s="53">
        <f>'SALE '!I33</f>
        <v>104542169</v>
      </c>
      <c r="D54" s="55">
        <f>'SALE PL'!T35</f>
        <v>-10169488</v>
      </c>
      <c r="E54" s="55">
        <f>'SALE PL'!U35</f>
        <v>541259</v>
      </c>
      <c r="F54" s="53">
        <f t="shared" si="34"/>
        <v>-9628229</v>
      </c>
      <c r="G54" s="60">
        <f>PURCHASE!I30</f>
        <v>67836170</v>
      </c>
      <c r="H54" s="57">
        <f>'PUR PL'!N31</f>
        <v>-1117343</v>
      </c>
      <c r="I54" s="57">
        <f>'PUR PL'!O31</f>
        <v>4495646</v>
      </c>
      <c r="J54" s="60">
        <f t="shared" si="35"/>
        <v>3378303</v>
      </c>
      <c r="K54" s="62">
        <f t="shared" si="36"/>
        <v>0.6488881056</v>
      </c>
      <c r="L54" s="60">
        <f t="shared" si="37"/>
        <v>-6249926</v>
      </c>
      <c r="N54" s="55"/>
      <c r="O54" s="55"/>
    </row>
    <row r="55">
      <c r="B55" s="59" t="str">
        <f t="shared" si="33"/>
        <v>Nov-24</v>
      </c>
      <c r="C55" s="55">
        <f>'SALE '!J33</f>
        <v>69130386</v>
      </c>
      <c r="D55" s="55">
        <f>'SALE PL'!W35</f>
        <v>-4533347</v>
      </c>
      <c r="E55" s="55">
        <f>'SALE PL'!X35</f>
        <v>453836</v>
      </c>
      <c r="F55" s="53">
        <f t="shared" si="34"/>
        <v>-4079511</v>
      </c>
      <c r="G55" s="57">
        <f>PURCHASE!J30</f>
        <v>54272366</v>
      </c>
      <c r="H55" s="57">
        <f>'PUR PL'!P31</f>
        <v>-883499</v>
      </c>
      <c r="I55" s="57">
        <f>'PUR PL'!Q31</f>
        <v>4167622</v>
      </c>
      <c r="J55" s="60">
        <f t="shared" si="35"/>
        <v>3284123</v>
      </c>
      <c r="K55" s="62">
        <f t="shared" si="36"/>
        <v>0.785072515</v>
      </c>
      <c r="L55" s="60">
        <f t="shared" si="37"/>
        <v>-795388</v>
      </c>
      <c r="N55" s="55"/>
      <c r="O55" s="55"/>
    </row>
    <row r="56">
      <c r="B56" s="59" t="str">
        <f t="shared" si="33"/>
        <v>Dec-24</v>
      </c>
      <c r="C56" s="55">
        <v>8.1330779E7</v>
      </c>
      <c r="D56" s="55">
        <f>'SALE PL'!Z35</f>
        <v>-6060941</v>
      </c>
      <c r="E56" s="55">
        <f>'SALE PL'!AA35</f>
        <v>489072</v>
      </c>
      <c r="F56" s="53">
        <f t="shared" si="34"/>
        <v>-5571869</v>
      </c>
      <c r="G56" s="57">
        <f>PURCHASE!K30</f>
        <v>57735718</v>
      </c>
      <c r="H56" s="57">
        <f>'PUR PL'!R31</f>
        <v>-1121529</v>
      </c>
      <c r="I56" s="57">
        <f>'PUR PL'!S31</f>
        <v>2757341</v>
      </c>
      <c r="J56" s="60">
        <f t="shared" si="35"/>
        <v>1635812</v>
      </c>
      <c r="K56" s="62">
        <f t="shared" si="36"/>
        <v>0.7098876798</v>
      </c>
      <c r="L56" s="60">
        <f t="shared" si="37"/>
        <v>-3936057</v>
      </c>
      <c r="N56" s="55"/>
      <c r="O56" s="55"/>
    </row>
    <row r="57">
      <c r="B57" s="59" t="str">
        <f t="shared" si="33"/>
        <v>Jan-25</v>
      </c>
      <c r="C57" s="55">
        <f>'SALE '!L33</f>
        <v>122534991</v>
      </c>
      <c r="D57" s="55">
        <f>'SALE PL'!AC35</f>
        <v>-5647462</v>
      </c>
      <c r="E57" s="55">
        <f>'SALE PL'!AD35</f>
        <v>94367</v>
      </c>
      <c r="F57" s="53">
        <f t="shared" si="34"/>
        <v>-5553095</v>
      </c>
      <c r="G57" s="57">
        <f>PURCHASE!L30</f>
        <v>53618854</v>
      </c>
      <c r="H57" s="57">
        <f>'PUR PL'!T31</f>
        <v>-789551</v>
      </c>
      <c r="I57" s="57">
        <f>'PUR PL'!U31</f>
        <v>4993909</v>
      </c>
      <c r="J57" s="60">
        <f t="shared" si="35"/>
        <v>4204358</v>
      </c>
      <c r="K57" s="62">
        <f t="shared" si="36"/>
        <v>0.4375799399</v>
      </c>
      <c r="L57" s="60">
        <f t="shared" si="37"/>
        <v>-1348737</v>
      </c>
      <c r="N57" s="55"/>
      <c r="O57" s="55"/>
    </row>
    <row r="58">
      <c r="B58" s="59" t="str">
        <f t="shared" si="33"/>
        <v>Feb-25</v>
      </c>
      <c r="C58" s="55">
        <f>'SALE '!M33</f>
        <v>133503722</v>
      </c>
      <c r="D58" s="55">
        <f>'SALE PL'!AF35</f>
        <v>-9058984</v>
      </c>
      <c r="E58" s="55">
        <f>'SALE PL'!AG35</f>
        <v>380818</v>
      </c>
      <c r="F58" s="53">
        <f t="shared" si="34"/>
        <v>-8678166</v>
      </c>
      <c r="G58" s="57">
        <f>PURCHASE!M30</f>
        <v>49904106</v>
      </c>
      <c r="H58" s="57">
        <f>'PUR PL'!V31</f>
        <v>-1026200</v>
      </c>
      <c r="I58" s="57">
        <f>'PUR PL'!W31</f>
        <v>2563359</v>
      </c>
      <c r="J58" s="60">
        <f t="shared" si="35"/>
        <v>1537159</v>
      </c>
      <c r="K58" s="62">
        <f t="shared" si="36"/>
        <v>0.3738031064</v>
      </c>
      <c r="L58" s="60">
        <f t="shared" si="37"/>
        <v>-7141007</v>
      </c>
      <c r="N58" s="55"/>
      <c r="O58" s="55"/>
    </row>
    <row r="59">
      <c r="B59" s="59" t="str">
        <f t="shared" si="33"/>
        <v>Mar-25</v>
      </c>
      <c r="C59" s="55">
        <f>'SALE '!N33</f>
        <v>171009499</v>
      </c>
      <c r="D59" s="55">
        <f>'SALE PL'!AI35</f>
        <v>-12005236</v>
      </c>
      <c r="E59" s="55">
        <f>'SALE PL'!AJ35</f>
        <v>832791</v>
      </c>
      <c r="F59" s="53">
        <f t="shared" si="34"/>
        <v>-11172445</v>
      </c>
      <c r="G59" s="57">
        <f>PURCHASE!N30</f>
        <v>86006107</v>
      </c>
      <c r="H59" s="57">
        <f>'PUR PL'!X31</f>
        <v>-1452793</v>
      </c>
      <c r="I59" s="57">
        <f>'PUR PL'!Y31</f>
        <v>10204828</v>
      </c>
      <c r="J59" s="60">
        <f t="shared" si="35"/>
        <v>8752035</v>
      </c>
      <c r="K59" s="62">
        <f t="shared" si="36"/>
        <v>0.5029317523</v>
      </c>
      <c r="L59" s="60">
        <f t="shared" si="37"/>
        <v>-2420410</v>
      </c>
      <c r="N59" s="55"/>
      <c r="O59" s="55"/>
    </row>
    <row r="60">
      <c r="B60" s="55" t="s">
        <v>62</v>
      </c>
      <c r="C60" s="60">
        <f>SUM(C48:C59)</f>
        <v>1203833721</v>
      </c>
      <c r="D60" s="53">
        <f t="shared" ref="D60:E60" si="38">sum(D48:D59)</f>
        <v>-77119221</v>
      </c>
      <c r="E60" s="53">
        <f t="shared" si="38"/>
        <v>9159011</v>
      </c>
      <c r="F60" s="53">
        <f>SUM(F48:F59)</f>
        <v>-67960210</v>
      </c>
      <c r="G60" s="60">
        <f t="shared" ref="G60:I60" si="39">sum(G48:G59)</f>
        <v>715689360</v>
      </c>
      <c r="H60" s="53">
        <f t="shared" si="39"/>
        <v>-21640812</v>
      </c>
      <c r="I60" s="60">
        <f t="shared" si="39"/>
        <v>41375885.8</v>
      </c>
      <c r="J60" s="60">
        <f t="shared" si="35"/>
        <v>19735073.8</v>
      </c>
      <c r="K60" s="62">
        <f t="shared" si="36"/>
        <v>0.5945084836</v>
      </c>
      <c r="L60" s="60">
        <f t="shared" si="37"/>
        <v>-48225136.2</v>
      </c>
      <c r="N60" s="53"/>
      <c r="O60" s="53"/>
    </row>
    <row r="61">
      <c r="B61" s="53"/>
      <c r="C61" s="53"/>
      <c r="D61" s="53"/>
      <c r="E61" s="53"/>
      <c r="F61" s="53"/>
      <c r="G61" s="60"/>
      <c r="H61" s="53"/>
      <c r="I61" s="53"/>
      <c r="J61" s="53"/>
      <c r="K61" s="53"/>
      <c r="L61" s="53"/>
      <c r="N61" s="53"/>
      <c r="O61" s="53"/>
    </row>
    <row r="62">
      <c r="B62" s="53"/>
      <c r="C62" s="53"/>
      <c r="D62" s="53"/>
      <c r="E62" s="53"/>
      <c r="F62" s="53"/>
      <c r="G62" s="60"/>
      <c r="H62" s="53"/>
      <c r="I62" s="53"/>
      <c r="J62" s="53"/>
      <c r="K62" s="53"/>
      <c r="L62" s="53"/>
      <c r="N62" s="53"/>
      <c r="O62" s="53"/>
    </row>
    <row r="63">
      <c r="B63" s="55" t="s">
        <v>36</v>
      </c>
      <c r="C63" s="55" t="s">
        <v>42</v>
      </c>
      <c r="D63" s="55" t="s">
        <v>43</v>
      </c>
      <c r="E63" s="55" t="s">
        <v>44</v>
      </c>
      <c r="F63" s="55" t="s">
        <v>45</v>
      </c>
      <c r="G63" s="57" t="s">
        <v>46</v>
      </c>
      <c r="H63" s="55" t="s">
        <v>43</v>
      </c>
      <c r="I63" s="55" t="s">
        <v>44</v>
      </c>
      <c r="J63" s="55" t="s">
        <v>47</v>
      </c>
      <c r="K63" s="55" t="s">
        <v>48</v>
      </c>
      <c r="L63" s="55" t="s">
        <v>49</v>
      </c>
      <c r="N63" s="55"/>
      <c r="O63" s="55"/>
    </row>
    <row r="64">
      <c r="B64" s="59" t="str">
        <f t="shared" ref="B64:B75" si="40">B48</f>
        <v>Apr-24</v>
      </c>
      <c r="C64" s="60">
        <f>'SALE '!C41</f>
        <v>326668</v>
      </c>
      <c r="D64" s="55">
        <f>'SALE PL'!B43</f>
        <v>-698</v>
      </c>
      <c r="E64" s="55">
        <f>'SALE PL'!C43</f>
        <v>27992</v>
      </c>
      <c r="F64" s="53">
        <f t="shared" ref="F64:F75" si="41">D64+E64</f>
        <v>27294</v>
      </c>
      <c r="G64" s="60">
        <f>PURCHASE!C38</f>
        <v>54126</v>
      </c>
      <c r="H64" s="53">
        <f>'PUR PL'!B39</f>
        <v>0</v>
      </c>
      <c r="I64" s="60">
        <f>'PUR PL'!C39</f>
        <v>390</v>
      </c>
      <c r="J64" s="60">
        <f t="shared" ref="J64:J76" si="42">H64+I64</f>
        <v>390</v>
      </c>
      <c r="K64" s="62">
        <f t="shared" ref="K64:K76" si="43">IFERROR(G64/C64,"")</f>
        <v>0.1656911604</v>
      </c>
      <c r="L64" s="60">
        <f t="shared" ref="L64:L76" si="44">F64+J64</f>
        <v>27684</v>
      </c>
      <c r="N64" s="55"/>
      <c r="O64" s="55"/>
    </row>
    <row r="65">
      <c r="B65" s="59" t="str">
        <f t="shared" si="40"/>
        <v>May-24</v>
      </c>
      <c r="C65" s="60">
        <f>'SALE '!D36</f>
        <v>1315030</v>
      </c>
      <c r="D65" s="55">
        <f>'SALE PL'!E38</f>
        <v>-14354</v>
      </c>
      <c r="E65" s="55">
        <f>'SALE PL'!F38</f>
        <v>122253</v>
      </c>
      <c r="F65" s="53">
        <f t="shared" si="41"/>
        <v>107899</v>
      </c>
      <c r="G65" s="60">
        <f>PURCHASE!D38</f>
        <v>336342</v>
      </c>
      <c r="H65" s="60">
        <f>'PUR PL'!D39</f>
        <v>-2222</v>
      </c>
      <c r="I65" s="60">
        <f>'PUR PL'!E39</f>
        <v>17731</v>
      </c>
      <c r="J65" s="60">
        <f t="shared" si="42"/>
        <v>15509</v>
      </c>
      <c r="K65" s="62">
        <f t="shared" si="43"/>
        <v>0.255767549</v>
      </c>
      <c r="L65" s="60">
        <f t="shared" si="44"/>
        <v>123408</v>
      </c>
      <c r="N65" s="55"/>
      <c r="O65" s="55"/>
    </row>
    <row r="66">
      <c r="B66" s="59" t="str">
        <f t="shared" si="40"/>
        <v>Jun-24</v>
      </c>
      <c r="C66" s="60">
        <f>'SALE '!E36</f>
        <v>1956053</v>
      </c>
      <c r="D66" s="55">
        <f>'SALE PL'!H43</f>
        <v>-21110</v>
      </c>
      <c r="E66" s="55">
        <f>'SALE PL'!I43</f>
        <v>58944</v>
      </c>
      <c r="F66" s="53">
        <f t="shared" si="41"/>
        <v>37834</v>
      </c>
      <c r="G66" s="57">
        <v>124655.0</v>
      </c>
      <c r="H66" s="60">
        <f>'PUR PL'!F39</f>
        <v>-18853</v>
      </c>
      <c r="I66" s="60">
        <f>'PUR PL'!G39</f>
        <v>4560</v>
      </c>
      <c r="J66" s="60">
        <f t="shared" si="42"/>
        <v>-14293</v>
      </c>
      <c r="K66" s="62">
        <f t="shared" si="43"/>
        <v>0.06372782333</v>
      </c>
      <c r="L66" s="60">
        <f t="shared" si="44"/>
        <v>23541</v>
      </c>
      <c r="N66" s="55"/>
      <c r="O66" s="55"/>
    </row>
    <row r="67">
      <c r="B67" s="59" t="str">
        <f t="shared" si="40"/>
        <v>Jul-24</v>
      </c>
      <c r="C67" s="60">
        <f>'SALE '!F36</f>
        <v>616723</v>
      </c>
      <c r="D67" s="55">
        <f>'SALE PL'!K38</f>
        <v>-2796</v>
      </c>
      <c r="E67" s="55">
        <f>'SALE PL'!L38</f>
        <v>37115</v>
      </c>
      <c r="F67" s="53">
        <f t="shared" si="41"/>
        <v>34319</v>
      </c>
      <c r="G67" s="60">
        <f>PURCHASE!F38</f>
        <v>1448800</v>
      </c>
      <c r="H67" s="60">
        <f>'PUR PL'!H39</f>
        <v>-12039</v>
      </c>
      <c r="I67" s="60">
        <f>'PUR PL'!I39</f>
        <v>216</v>
      </c>
      <c r="J67" s="60">
        <f t="shared" si="42"/>
        <v>-11823</v>
      </c>
      <c r="K67" s="62">
        <f t="shared" si="43"/>
        <v>2.349190804</v>
      </c>
      <c r="L67" s="60">
        <f t="shared" si="44"/>
        <v>22496</v>
      </c>
      <c r="N67" s="55"/>
      <c r="O67" s="55"/>
    </row>
    <row r="68">
      <c r="B68" s="59" t="str">
        <f t="shared" si="40"/>
        <v>Aug-24</v>
      </c>
      <c r="C68" s="60">
        <f>'SALE '!G41</f>
        <v>1231217</v>
      </c>
      <c r="D68" s="55">
        <f>'SALE PL'!N38</f>
        <v>-61803</v>
      </c>
      <c r="E68" s="55">
        <f>'SALE PL'!O38</f>
        <v>25620</v>
      </c>
      <c r="F68" s="53">
        <f t="shared" si="41"/>
        <v>-36183</v>
      </c>
      <c r="G68" s="60">
        <f>PURCHASE!G38</f>
        <v>31703</v>
      </c>
      <c r="H68" s="60">
        <f>'PUR PL'!J39</f>
        <v>-7327</v>
      </c>
      <c r="I68" s="60">
        <f>'PUR PL'!K39</f>
        <v>0</v>
      </c>
      <c r="J68" s="60">
        <f t="shared" si="42"/>
        <v>-7327</v>
      </c>
      <c r="K68" s="62">
        <f t="shared" si="43"/>
        <v>0.02574931958</v>
      </c>
      <c r="L68" s="60">
        <f t="shared" si="44"/>
        <v>-43510</v>
      </c>
      <c r="N68" s="55"/>
      <c r="O68" s="55"/>
    </row>
    <row r="69">
      <c r="B69" s="59" t="str">
        <f t="shared" si="40"/>
        <v>Sep-24</v>
      </c>
      <c r="C69" s="60">
        <f>'SALE '!H41</f>
        <v>693443</v>
      </c>
      <c r="D69" s="55">
        <f>'SALE PL'!Q43</f>
        <v>-8070</v>
      </c>
      <c r="E69" s="55">
        <f>'SALE PL'!R43</f>
        <v>23736</v>
      </c>
      <c r="F69" s="53">
        <f t="shared" si="41"/>
        <v>15666</v>
      </c>
      <c r="G69" s="60">
        <f>PURCHASE!H38</f>
        <v>335770</v>
      </c>
      <c r="H69" s="60">
        <f>'PUR PL'!L39</f>
        <v>-29784</v>
      </c>
      <c r="I69" s="60">
        <f>'PUR PL'!M39</f>
        <v>18236</v>
      </c>
      <c r="J69" s="60">
        <f t="shared" si="42"/>
        <v>-11548</v>
      </c>
      <c r="K69" s="62">
        <f t="shared" si="43"/>
        <v>0.4842070653</v>
      </c>
      <c r="L69" s="60">
        <f t="shared" si="44"/>
        <v>4118</v>
      </c>
      <c r="N69" s="55"/>
      <c r="O69" s="55"/>
    </row>
    <row r="70">
      <c r="B70" s="59" t="str">
        <f t="shared" si="40"/>
        <v>Oct-24</v>
      </c>
      <c r="C70" s="60">
        <f>'SALE '!I41</f>
        <v>432735</v>
      </c>
      <c r="D70" s="55">
        <f>'SALE PL'!T38</f>
        <v>-2658</v>
      </c>
      <c r="E70" s="55">
        <f>'SALE PL'!U38</f>
        <v>10263</v>
      </c>
      <c r="F70" s="53">
        <f t="shared" si="41"/>
        <v>7605</v>
      </c>
      <c r="G70" s="60">
        <f>PURCHASE!I38</f>
        <v>1272590</v>
      </c>
      <c r="H70" s="57">
        <f>'PUR PL'!N39</f>
        <v>-53097</v>
      </c>
      <c r="I70" s="57">
        <f>'PUR PL'!O39</f>
        <v>2505</v>
      </c>
      <c r="J70" s="60">
        <f t="shared" si="42"/>
        <v>-50592</v>
      </c>
      <c r="K70" s="62">
        <f t="shared" si="43"/>
        <v>2.940806729</v>
      </c>
      <c r="L70" s="60">
        <f t="shared" si="44"/>
        <v>-42987</v>
      </c>
      <c r="N70" s="55"/>
      <c r="O70" s="55"/>
    </row>
    <row r="71">
      <c r="B71" s="59" t="str">
        <f t="shared" si="40"/>
        <v>Nov-24</v>
      </c>
      <c r="C71" s="57">
        <f>'SALE '!J41</f>
        <v>1139124</v>
      </c>
      <c r="D71" s="55">
        <f>'SALE PL'!W38</f>
        <v>-89750</v>
      </c>
      <c r="E71" s="55">
        <f>'SALE PL'!X38</f>
        <v>18658</v>
      </c>
      <c r="F71" s="53">
        <f t="shared" si="41"/>
        <v>-71092</v>
      </c>
      <c r="G71" s="57">
        <f>PURCHASE!J38</f>
        <v>134556</v>
      </c>
      <c r="H71" s="57">
        <f>'PUR PL'!P39</f>
        <v>-4226</v>
      </c>
      <c r="I71" s="57">
        <f>'PUR PL'!Q39</f>
        <v>1488</v>
      </c>
      <c r="J71" s="60">
        <f t="shared" si="42"/>
        <v>-2738</v>
      </c>
      <c r="K71" s="62">
        <f t="shared" si="43"/>
        <v>0.1181223466</v>
      </c>
      <c r="L71" s="60">
        <f t="shared" si="44"/>
        <v>-73830</v>
      </c>
      <c r="N71" s="55"/>
      <c r="O71" s="55"/>
    </row>
    <row r="72">
      <c r="B72" s="59" t="str">
        <f t="shared" si="40"/>
        <v>Dec-24</v>
      </c>
      <c r="C72" s="55">
        <v>1317877.0</v>
      </c>
      <c r="D72" s="55">
        <f>'SALE PL'!Z43</f>
        <v>-25514</v>
      </c>
      <c r="E72" s="55">
        <f>'SALE PL'!AA43</f>
        <v>18953</v>
      </c>
      <c r="F72" s="53">
        <f t="shared" si="41"/>
        <v>-6561</v>
      </c>
      <c r="G72" s="57">
        <f>PURCHASE!K38</f>
        <v>1041546</v>
      </c>
      <c r="H72" s="57">
        <f>'PUR PL'!R39</f>
        <v>-9158</v>
      </c>
      <c r="I72" s="57">
        <f>'PUR PL'!S39</f>
        <v>22929</v>
      </c>
      <c r="J72" s="60">
        <f t="shared" si="42"/>
        <v>13771</v>
      </c>
      <c r="K72" s="62">
        <f t="shared" si="43"/>
        <v>0.7903210998</v>
      </c>
      <c r="L72" s="60">
        <f t="shared" si="44"/>
        <v>7210</v>
      </c>
      <c r="N72" s="55"/>
      <c r="O72" s="55"/>
    </row>
    <row r="73">
      <c r="B73" s="59" t="str">
        <f t="shared" si="40"/>
        <v>Jan-25</v>
      </c>
      <c r="C73" s="57">
        <f>'SALE '!L41</f>
        <v>1385137</v>
      </c>
      <c r="D73" s="55">
        <f>'SALE PL'!AC43</f>
        <v>-90935</v>
      </c>
      <c r="E73" s="55">
        <f>'SALE PL'!AD43</f>
        <v>3243</v>
      </c>
      <c r="F73" s="53">
        <f t="shared" si="41"/>
        <v>-87692</v>
      </c>
      <c r="G73" s="57">
        <f>PURCHASE!L38</f>
        <v>390037</v>
      </c>
      <c r="H73" s="57">
        <f>'PUR PL'!T39</f>
        <v>-24425</v>
      </c>
      <c r="I73" s="57">
        <f>'PUR PL'!U39</f>
        <v>21868</v>
      </c>
      <c r="J73" s="60">
        <f t="shared" si="42"/>
        <v>-2557</v>
      </c>
      <c r="K73" s="62">
        <f t="shared" si="43"/>
        <v>0.2815873087</v>
      </c>
      <c r="L73" s="60">
        <f t="shared" si="44"/>
        <v>-90249</v>
      </c>
      <c r="N73" s="55"/>
      <c r="O73" s="55"/>
    </row>
    <row r="74">
      <c r="B74" s="59" t="str">
        <f t="shared" si="40"/>
        <v>Feb-25</v>
      </c>
      <c r="C74" s="57">
        <f>'SALE '!M41</f>
        <v>304908</v>
      </c>
      <c r="D74" s="55">
        <f>'SALE PL'!AF43</f>
        <v>-20327</v>
      </c>
      <c r="E74" s="55">
        <f>'SALE PL'!AG43</f>
        <v>9166</v>
      </c>
      <c r="F74" s="53">
        <f t="shared" si="41"/>
        <v>-11161</v>
      </c>
      <c r="G74" s="57">
        <f>PURCHASE!M38</f>
        <v>242381</v>
      </c>
      <c r="H74" s="57">
        <f>'PUR PL'!V39</f>
        <v>-4572</v>
      </c>
      <c r="I74" s="57">
        <f>'PUR PL'!W39</f>
        <v>19175</v>
      </c>
      <c r="J74" s="60">
        <f t="shared" si="42"/>
        <v>14603</v>
      </c>
      <c r="K74" s="62">
        <f t="shared" si="43"/>
        <v>0.7949315859</v>
      </c>
      <c r="L74" s="60">
        <f t="shared" si="44"/>
        <v>3442</v>
      </c>
      <c r="N74" s="55"/>
      <c r="O74" s="55"/>
    </row>
    <row r="75">
      <c r="B75" s="59" t="str">
        <f t="shared" si="40"/>
        <v>Mar-25</v>
      </c>
      <c r="C75" s="57">
        <f>'SALE '!N41</f>
        <v>2662472</v>
      </c>
      <c r="D75" s="55">
        <f>'SALE PL'!AI43</f>
        <v>-240848</v>
      </c>
      <c r="E75" s="55">
        <f>'SALE PL'!AJ43</f>
        <v>45674</v>
      </c>
      <c r="F75" s="53">
        <f t="shared" si="41"/>
        <v>-195174</v>
      </c>
      <c r="G75" s="57">
        <f>PURCHASE!N38</f>
        <v>335267</v>
      </c>
      <c r="H75" s="57">
        <f>'PUR PL'!X39</f>
        <v>-535</v>
      </c>
      <c r="I75" s="57">
        <f>'PUR PL'!Y39</f>
        <v>7888</v>
      </c>
      <c r="J75" s="60">
        <f t="shared" si="42"/>
        <v>7353</v>
      </c>
      <c r="K75" s="62">
        <f t="shared" si="43"/>
        <v>0.1259232022</v>
      </c>
      <c r="L75" s="60">
        <f t="shared" si="44"/>
        <v>-187821</v>
      </c>
      <c r="N75" s="55"/>
      <c r="O75" s="55"/>
    </row>
    <row r="76">
      <c r="B76" s="55" t="s">
        <v>62</v>
      </c>
      <c r="C76" s="60">
        <f>SUM(C64:C75)</f>
        <v>13381387</v>
      </c>
      <c r="D76" s="53">
        <f t="shared" ref="D76:E76" si="45">sum(D64:D75)</f>
        <v>-578863</v>
      </c>
      <c r="E76" s="53">
        <f t="shared" si="45"/>
        <v>401617</v>
      </c>
      <c r="F76" s="53">
        <f>SUM(F64:F75)</f>
        <v>-177246</v>
      </c>
      <c r="G76" s="60">
        <f t="shared" ref="G76:I76" si="46">sum(G64:G75)</f>
        <v>5747773</v>
      </c>
      <c r="H76" s="53">
        <f t="shared" si="46"/>
        <v>-166238</v>
      </c>
      <c r="I76" s="60">
        <f t="shared" si="46"/>
        <v>116986</v>
      </c>
      <c r="J76" s="60">
        <f t="shared" si="42"/>
        <v>-49252</v>
      </c>
      <c r="K76" s="62">
        <f t="shared" si="43"/>
        <v>0.4295349204</v>
      </c>
      <c r="L76" s="60">
        <f t="shared" si="44"/>
        <v>-226498</v>
      </c>
      <c r="N76" s="53"/>
      <c r="O76" s="53"/>
    </row>
    <row r="77">
      <c r="B77" s="53"/>
      <c r="C77" s="53"/>
      <c r="D77" s="53"/>
      <c r="E77" s="53"/>
      <c r="F77" s="53"/>
      <c r="G77" s="60"/>
      <c r="H77" s="53"/>
      <c r="I77" s="53"/>
      <c r="J77" s="53"/>
      <c r="K77" s="53"/>
      <c r="L77" s="53"/>
      <c r="N77" s="53"/>
      <c r="O77" s="53"/>
    </row>
    <row r="78">
      <c r="B78" s="53"/>
      <c r="C78" s="53"/>
      <c r="D78" s="53"/>
      <c r="E78" s="53"/>
      <c r="F78" s="53"/>
      <c r="G78" s="60"/>
      <c r="H78" s="53"/>
      <c r="I78" s="53"/>
      <c r="J78" s="53"/>
      <c r="K78" s="53"/>
      <c r="L78" s="53"/>
      <c r="N78" s="53"/>
      <c r="O78" s="53"/>
    </row>
    <row r="79">
      <c r="B79" s="53"/>
      <c r="C79" s="53"/>
      <c r="D79" s="53"/>
      <c r="E79" s="53"/>
      <c r="F79" s="53"/>
      <c r="G79" s="60"/>
      <c r="H79" s="53"/>
      <c r="I79" s="53"/>
      <c r="J79" s="53"/>
      <c r="K79" s="53"/>
      <c r="L79" s="53"/>
      <c r="N79" s="53"/>
      <c r="O79" s="53"/>
    </row>
    <row r="80">
      <c r="B80" s="74" t="s">
        <v>39</v>
      </c>
      <c r="C80" s="55" t="s">
        <v>42</v>
      </c>
      <c r="D80" s="55" t="s">
        <v>43</v>
      </c>
      <c r="E80" s="55" t="s">
        <v>44</v>
      </c>
      <c r="F80" s="55" t="s">
        <v>45</v>
      </c>
      <c r="G80" s="57" t="s">
        <v>46</v>
      </c>
      <c r="H80" s="55" t="s">
        <v>43</v>
      </c>
      <c r="I80" s="55" t="s">
        <v>44</v>
      </c>
      <c r="J80" s="55" t="s">
        <v>47</v>
      </c>
      <c r="K80" s="55" t="s">
        <v>48</v>
      </c>
      <c r="L80" s="55" t="s">
        <v>49</v>
      </c>
      <c r="N80" s="55"/>
      <c r="O80" s="55"/>
    </row>
    <row r="81">
      <c r="B81" s="59" t="str">
        <f t="shared" ref="B81:B92" si="47">B64</f>
        <v>Apr-24</v>
      </c>
      <c r="C81" s="60">
        <f>'SALE '!C50</f>
        <v>5919661</v>
      </c>
      <c r="D81" s="55">
        <f>'SALE PL'!B51</f>
        <v>-33502</v>
      </c>
      <c r="E81" s="55">
        <f>'SALE PL'!C51</f>
        <v>51499</v>
      </c>
      <c r="F81" s="53">
        <f t="shared" ref="F81:F92" si="48">D81+E81</f>
        <v>17997</v>
      </c>
      <c r="G81" s="60">
        <f>PURCHASE!C42</f>
        <v>4107513</v>
      </c>
      <c r="H81" s="53">
        <f>'PUR PL'!B43</f>
        <v>-42286</v>
      </c>
      <c r="I81" s="60">
        <f>'PUR PL'!C43</f>
        <v>61764</v>
      </c>
      <c r="J81" s="60">
        <f t="shared" ref="J81:J93" si="49">H81+I81</f>
        <v>19478</v>
      </c>
      <c r="K81" s="62">
        <f t="shared" ref="K81:K93" si="50">IFERROR(G81/C81,"")</f>
        <v>0.6938763892</v>
      </c>
      <c r="L81" s="60">
        <f t="shared" ref="L81:L93" si="51">F81+J81</f>
        <v>37475</v>
      </c>
      <c r="N81" s="55"/>
      <c r="O81" s="55"/>
    </row>
    <row r="82">
      <c r="B82" s="59" t="str">
        <f t="shared" si="47"/>
        <v>May-24</v>
      </c>
      <c r="C82" s="57">
        <f>'SALE '!D48</f>
        <v>7697456</v>
      </c>
      <c r="D82" s="55">
        <f>'SALE PL'!E51</f>
        <v>-131616</v>
      </c>
      <c r="E82" s="55">
        <f>'SALE PL'!F51</f>
        <v>119439</v>
      </c>
      <c r="F82" s="53">
        <f t="shared" si="48"/>
        <v>-12177</v>
      </c>
      <c r="G82" s="60">
        <f>PURCHASE!D42</f>
        <v>5071325</v>
      </c>
      <c r="H82" s="60">
        <f>'PUR PL'!D43</f>
        <v>-79146</v>
      </c>
      <c r="I82" s="60">
        <f>'PUR PL'!E43</f>
        <v>99590</v>
      </c>
      <c r="J82" s="60">
        <f t="shared" si="49"/>
        <v>20444</v>
      </c>
      <c r="K82" s="62">
        <f t="shared" si="50"/>
        <v>0.6588313074</v>
      </c>
      <c r="L82" s="60">
        <f t="shared" si="51"/>
        <v>8267</v>
      </c>
      <c r="N82" s="55"/>
      <c r="O82" s="55"/>
    </row>
    <row r="83">
      <c r="B83" s="59" t="str">
        <f t="shared" si="47"/>
        <v>Jun-24</v>
      </c>
      <c r="C83" s="60">
        <f>'SALE '!E50</f>
        <v>13794315</v>
      </c>
      <c r="D83" s="55">
        <f>'SALE PL'!H51</f>
        <v>-298604</v>
      </c>
      <c r="E83" s="55">
        <f>'SALE PL'!I51</f>
        <v>62095</v>
      </c>
      <c r="F83" s="53">
        <f t="shared" si="48"/>
        <v>-236509</v>
      </c>
      <c r="G83" s="57">
        <v>6725061.0</v>
      </c>
      <c r="H83" s="60">
        <f>'PUR PL'!F43</f>
        <v>-166184</v>
      </c>
      <c r="I83" s="60">
        <f>'PUR PL'!G43</f>
        <v>150800</v>
      </c>
      <c r="J83" s="60">
        <f t="shared" si="49"/>
        <v>-15384</v>
      </c>
      <c r="K83" s="62">
        <f t="shared" si="50"/>
        <v>0.4875240996</v>
      </c>
      <c r="L83" s="60">
        <f t="shared" si="51"/>
        <v>-251893</v>
      </c>
      <c r="N83" s="55"/>
      <c r="O83" s="55"/>
    </row>
    <row r="84">
      <c r="B84" s="59" t="str">
        <f t="shared" si="47"/>
        <v>Jul-24</v>
      </c>
      <c r="C84" s="57">
        <f>'SALE '!F48</f>
        <v>9453904</v>
      </c>
      <c r="D84" s="55">
        <f>'SALE PL'!K51</f>
        <v>-181136</v>
      </c>
      <c r="E84" s="55">
        <f>'SALE PL'!L51</f>
        <v>56348</v>
      </c>
      <c r="F84" s="53">
        <f t="shared" si="48"/>
        <v>-124788</v>
      </c>
      <c r="G84" s="60">
        <f>PURCHASE!F42</f>
        <v>7158925</v>
      </c>
      <c r="H84" s="60">
        <f>'PUR PL'!H43</f>
        <v>-100745</v>
      </c>
      <c r="I84" s="60">
        <f>'PUR PL'!I43</f>
        <v>206151</v>
      </c>
      <c r="J84" s="60">
        <f t="shared" si="49"/>
        <v>105406</v>
      </c>
      <c r="K84" s="62">
        <f t="shared" si="50"/>
        <v>0.7572453666</v>
      </c>
      <c r="L84" s="60">
        <f t="shared" si="51"/>
        <v>-19382</v>
      </c>
      <c r="N84" s="55"/>
      <c r="O84" s="55"/>
    </row>
    <row r="85">
      <c r="B85" s="59" t="str">
        <f t="shared" si="47"/>
        <v>Aug-24</v>
      </c>
      <c r="C85" s="60">
        <f>'SALE '!G50</f>
        <v>7112344</v>
      </c>
      <c r="D85" s="55">
        <f>'SALE PL'!N51</f>
        <v>-224072</v>
      </c>
      <c r="E85" s="55">
        <f>'SALE PL'!O51</f>
        <v>32701</v>
      </c>
      <c r="F85" s="53">
        <f t="shared" si="48"/>
        <v>-191371</v>
      </c>
      <c r="G85" s="60">
        <f>PURCHASE!G42</f>
        <v>4787397</v>
      </c>
      <c r="H85" s="53">
        <f>'PUR PL'!J41</f>
        <v>-101306</v>
      </c>
      <c r="I85" s="53">
        <f>'PUR PL'!K41</f>
        <v>108581</v>
      </c>
      <c r="J85" s="53">
        <f t="shared" si="49"/>
        <v>7275</v>
      </c>
      <c r="K85" s="62">
        <f t="shared" si="50"/>
        <v>0.6731110025</v>
      </c>
      <c r="L85" s="53">
        <f t="shared" si="51"/>
        <v>-184096</v>
      </c>
      <c r="N85" s="55"/>
      <c r="O85" s="55"/>
    </row>
    <row r="86">
      <c r="B86" s="59" t="str">
        <f t="shared" si="47"/>
        <v>Sep-24</v>
      </c>
      <c r="C86" s="60">
        <f>'SALE '!H50</f>
        <v>10068727</v>
      </c>
      <c r="D86" s="55">
        <f>'SALE PL'!Q51</f>
        <v>-261157</v>
      </c>
      <c r="E86" s="55">
        <f>'SALE PL'!R51</f>
        <v>43860</v>
      </c>
      <c r="F86" s="53">
        <f t="shared" si="48"/>
        <v>-217297</v>
      </c>
      <c r="G86" s="60">
        <f>PURCHASE!H42</f>
        <v>4619816</v>
      </c>
      <c r="H86" s="60">
        <f>'PUR PL'!L43</f>
        <v>-48191</v>
      </c>
      <c r="I86" s="60">
        <f>'PUR PL'!M43</f>
        <v>68966</v>
      </c>
      <c r="J86" s="60">
        <f t="shared" si="49"/>
        <v>20775</v>
      </c>
      <c r="K86" s="62">
        <f t="shared" si="50"/>
        <v>0.4588282114</v>
      </c>
      <c r="L86" s="60">
        <f t="shared" si="51"/>
        <v>-196522</v>
      </c>
      <c r="N86" s="55"/>
      <c r="O86" s="55"/>
    </row>
    <row r="87">
      <c r="B87" s="59" t="str">
        <f t="shared" si="47"/>
        <v>Oct-24</v>
      </c>
      <c r="C87" s="57">
        <f>'SALE '!I50</f>
        <v>5564658</v>
      </c>
      <c r="D87" s="55">
        <f>'SALE PL'!T51</f>
        <v>-134606</v>
      </c>
      <c r="E87" s="55">
        <f>'SALE PL'!U51</f>
        <v>29786</v>
      </c>
      <c r="F87" s="53">
        <f t="shared" si="48"/>
        <v>-104820</v>
      </c>
      <c r="G87" s="57">
        <f>PURCHASE!I42</f>
        <v>5147665</v>
      </c>
      <c r="H87" s="57">
        <f>'PUR PL'!N43</f>
        <v>-77611</v>
      </c>
      <c r="I87" s="57">
        <f>'PUR PL'!O43</f>
        <v>91691</v>
      </c>
      <c r="J87" s="60">
        <f t="shared" si="49"/>
        <v>14080</v>
      </c>
      <c r="K87" s="62">
        <f t="shared" si="50"/>
        <v>0.9250640381</v>
      </c>
      <c r="L87" s="60">
        <f t="shared" si="51"/>
        <v>-90740</v>
      </c>
      <c r="N87" s="55"/>
      <c r="O87" s="55"/>
    </row>
    <row r="88">
      <c r="B88" s="59" t="str">
        <f t="shared" si="47"/>
        <v>Nov-24</v>
      </c>
      <c r="C88" s="57">
        <f>'SALE '!J50</f>
        <v>11292501</v>
      </c>
      <c r="D88" s="55">
        <f>'SALE PL'!W49</f>
        <v>-240682</v>
      </c>
      <c r="E88" s="55">
        <f>'SALE PL'!X49</f>
        <v>71365</v>
      </c>
      <c r="F88" s="53">
        <f t="shared" si="48"/>
        <v>-169317</v>
      </c>
      <c r="G88" s="57">
        <f>PURCHASE!J42</f>
        <v>4726158</v>
      </c>
      <c r="H88" s="57">
        <f>'PUR PL'!P43</f>
        <v>-71855</v>
      </c>
      <c r="I88" s="57">
        <f>'PUR PL'!Q43</f>
        <v>62709</v>
      </c>
      <c r="J88" s="60">
        <f t="shared" si="49"/>
        <v>-9146</v>
      </c>
      <c r="K88" s="62">
        <f t="shared" si="50"/>
        <v>0.4185218137</v>
      </c>
      <c r="L88" s="60">
        <f t="shared" si="51"/>
        <v>-178463</v>
      </c>
      <c r="N88" s="55"/>
      <c r="O88" s="55"/>
    </row>
    <row r="89">
      <c r="B89" s="59" t="str">
        <f t="shared" si="47"/>
        <v>Dec-24</v>
      </c>
      <c r="C89" s="55">
        <v>1.0567798E7</v>
      </c>
      <c r="D89" s="55">
        <f>'SALE PL'!Z51</f>
        <v>-470651</v>
      </c>
      <c r="E89" s="55">
        <f>'SALE PL'!AA51</f>
        <v>40012</v>
      </c>
      <c r="F89" s="53">
        <f t="shared" si="48"/>
        <v>-430639</v>
      </c>
      <c r="G89" s="57">
        <f>PURCHASE!K42</f>
        <v>7341373</v>
      </c>
      <c r="H89" s="57">
        <f>'PUR PL'!R43</f>
        <v>-113406</v>
      </c>
      <c r="I89" s="57">
        <f>'PUR PL'!S43</f>
        <v>189905</v>
      </c>
      <c r="J89" s="60">
        <f t="shared" si="49"/>
        <v>76499</v>
      </c>
      <c r="K89" s="62">
        <f t="shared" si="50"/>
        <v>0.6946927827</v>
      </c>
      <c r="L89" s="60">
        <f t="shared" si="51"/>
        <v>-354140</v>
      </c>
      <c r="N89" s="55"/>
      <c r="O89" s="55"/>
    </row>
    <row r="90">
      <c r="B90" s="59" t="str">
        <f t="shared" si="47"/>
        <v>Jan-25</v>
      </c>
      <c r="C90" s="57">
        <f>'SALE '!L50</f>
        <v>11340343</v>
      </c>
      <c r="D90" s="55">
        <f>'SALE PL'!AC51</f>
        <v>-415674</v>
      </c>
      <c r="E90" s="55">
        <f>'SALE PL'!AD51</f>
        <v>25379</v>
      </c>
      <c r="F90" s="53">
        <f t="shared" si="48"/>
        <v>-390295</v>
      </c>
      <c r="G90" s="57">
        <f>PURCHASE!L42</f>
        <v>8247624</v>
      </c>
      <c r="H90" s="57">
        <f>'PUR PL'!T43</f>
        <v>-76644</v>
      </c>
      <c r="I90" s="57">
        <f>'PUR PL'!U43</f>
        <v>216887</v>
      </c>
      <c r="J90" s="60">
        <f t="shared" si="49"/>
        <v>140243</v>
      </c>
      <c r="K90" s="62">
        <f t="shared" si="50"/>
        <v>0.7272817057</v>
      </c>
      <c r="L90" s="60">
        <f t="shared" si="51"/>
        <v>-250052</v>
      </c>
      <c r="N90" s="55"/>
      <c r="O90" s="55"/>
    </row>
    <row r="91">
      <c r="B91" s="59" t="str">
        <f t="shared" si="47"/>
        <v>Feb-25</v>
      </c>
      <c r="C91" s="57">
        <f>'SALE '!M50</f>
        <v>8072366</v>
      </c>
      <c r="D91" s="55">
        <f>'SALE PL'!AF51</f>
        <v>-147499</v>
      </c>
      <c r="E91" s="55">
        <f>'SALE PL'!AG51</f>
        <v>28919</v>
      </c>
      <c r="F91" s="53">
        <f t="shared" si="48"/>
        <v>-118580</v>
      </c>
      <c r="G91" s="57">
        <f>PURCHASE!M42</f>
        <v>4951234</v>
      </c>
      <c r="H91" s="57">
        <f>'PUR PL'!V43</f>
        <v>-179085</v>
      </c>
      <c r="I91" s="57">
        <f>'PUR PL'!W43</f>
        <v>210130</v>
      </c>
      <c r="J91" s="60">
        <f t="shared" si="49"/>
        <v>31045</v>
      </c>
      <c r="K91" s="62">
        <f t="shared" si="50"/>
        <v>0.6133559851</v>
      </c>
      <c r="L91" s="60">
        <f t="shared" si="51"/>
        <v>-87535</v>
      </c>
      <c r="N91" s="55"/>
      <c r="O91" s="55"/>
    </row>
    <row r="92">
      <c r="B92" s="59" t="str">
        <f t="shared" si="47"/>
        <v>Mar-25</v>
      </c>
      <c r="C92" s="57">
        <f>'SALE '!N50</f>
        <v>18587133</v>
      </c>
      <c r="D92" s="55">
        <f>'SALE PL'!AI49</f>
        <v>-784287</v>
      </c>
      <c r="E92" s="55">
        <f>'SALE PL'!AJ49</f>
        <v>51348</v>
      </c>
      <c r="F92" s="53">
        <f t="shared" si="48"/>
        <v>-732939</v>
      </c>
      <c r="G92" s="57">
        <f>PURCHASE!N42</f>
        <v>10240029</v>
      </c>
      <c r="H92" s="57">
        <f>'PUR PL'!X43</f>
        <v>-122097</v>
      </c>
      <c r="I92" s="57">
        <f>'PUR PL'!Y43</f>
        <v>327907</v>
      </c>
      <c r="J92" s="60">
        <f t="shared" si="49"/>
        <v>205810</v>
      </c>
      <c r="K92" s="62">
        <f t="shared" si="50"/>
        <v>0.550920306</v>
      </c>
      <c r="L92" s="60">
        <f t="shared" si="51"/>
        <v>-527129</v>
      </c>
      <c r="N92" s="55"/>
      <c r="O92" s="55"/>
    </row>
    <row r="93">
      <c r="B93" s="55" t="s">
        <v>62</v>
      </c>
      <c r="C93" s="60">
        <f>SUM(C81:C92)</f>
        <v>119471206</v>
      </c>
      <c r="D93" s="53">
        <f t="shared" ref="D93:E93" si="52">sum(D81:D92)</f>
        <v>-3323486</v>
      </c>
      <c r="E93" s="53">
        <f t="shared" si="52"/>
        <v>612751</v>
      </c>
      <c r="F93" s="53">
        <f>SUM(F81:F92)</f>
        <v>-2710735</v>
      </c>
      <c r="G93" s="60">
        <f t="shared" ref="G93:I93" si="53">sum(G81:G92)</f>
        <v>73124120</v>
      </c>
      <c r="H93" s="53">
        <f t="shared" si="53"/>
        <v>-1178556</v>
      </c>
      <c r="I93" s="60">
        <f t="shared" si="53"/>
        <v>1795081</v>
      </c>
      <c r="J93" s="60">
        <f t="shared" si="49"/>
        <v>616525</v>
      </c>
      <c r="K93" s="62">
        <f t="shared" si="50"/>
        <v>0.6120648016</v>
      </c>
      <c r="L93" s="60">
        <f t="shared" si="51"/>
        <v>-2094210</v>
      </c>
      <c r="N93" s="53"/>
      <c r="O93" s="53"/>
    </row>
    <row r="94">
      <c r="B94" s="53"/>
      <c r="C94" s="53"/>
      <c r="D94" s="53"/>
      <c r="E94" s="53"/>
      <c r="F94" s="53"/>
      <c r="G94" s="60"/>
      <c r="H94" s="53"/>
      <c r="I94" s="53"/>
      <c r="J94" s="53"/>
      <c r="K94" s="53"/>
      <c r="L94" s="53"/>
      <c r="N94" s="53"/>
      <c r="O94" s="53"/>
    </row>
    <row r="95">
      <c r="B95" s="53"/>
      <c r="C95" s="53"/>
      <c r="D95" s="53"/>
      <c r="E95" s="53"/>
      <c r="F95" s="53"/>
      <c r="G95" s="60"/>
      <c r="H95" s="53"/>
      <c r="I95" s="53"/>
      <c r="J95" s="53"/>
      <c r="K95" s="53"/>
      <c r="L95" s="53"/>
      <c r="N95" s="53"/>
      <c r="O95" s="53"/>
    </row>
    <row r="96">
      <c r="B96" s="53"/>
      <c r="C96" s="53"/>
      <c r="D96" s="53"/>
      <c r="E96" s="53"/>
      <c r="F96" s="53"/>
      <c r="G96" s="60"/>
      <c r="H96" s="53"/>
      <c r="I96" s="53"/>
      <c r="J96" s="53"/>
      <c r="K96" s="53"/>
      <c r="L96" s="53"/>
      <c r="N96" s="53"/>
      <c r="O96" s="53"/>
    </row>
    <row r="97">
      <c r="B97" s="74"/>
      <c r="C97" s="55"/>
      <c r="D97" s="55"/>
      <c r="E97" s="55"/>
      <c r="F97" s="55"/>
      <c r="G97" s="57"/>
      <c r="H97" s="55"/>
      <c r="I97" s="55"/>
      <c r="J97" s="55"/>
      <c r="K97" s="53"/>
      <c r="L97" s="55"/>
      <c r="N97" s="55"/>
      <c r="O97" s="55"/>
    </row>
    <row r="98">
      <c r="B98" s="74"/>
      <c r="C98" s="55"/>
      <c r="D98" s="55"/>
      <c r="E98" s="55"/>
      <c r="F98" s="55"/>
      <c r="G98" s="57"/>
      <c r="H98" s="55"/>
      <c r="I98" s="55"/>
      <c r="J98" s="55"/>
      <c r="K98" s="53"/>
      <c r="L98" s="55"/>
      <c r="N98" s="55"/>
      <c r="O98" s="55"/>
    </row>
    <row r="99">
      <c r="B99" s="74" t="s">
        <v>64</v>
      </c>
      <c r="C99" s="55" t="s">
        <v>42</v>
      </c>
      <c r="D99" s="55" t="s">
        <v>43</v>
      </c>
      <c r="E99" s="55" t="s">
        <v>44</v>
      </c>
      <c r="F99" s="55" t="s">
        <v>45</v>
      </c>
      <c r="G99" s="57" t="s">
        <v>46</v>
      </c>
      <c r="H99" s="55" t="s">
        <v>43</v>
      </c>
      <c r="I99" s="55" t="s">
        <v>44</v>
      </c>
      <c r="J99" s="55" t="s">
        <v>47</v>
      </c>
      <c r="K99" s="55" t="s">
        <v>48</v>
      </c>
      <c r="L99" s="55" t="s">
        <v>49</v>
      </c>
      <c r="N99" s="55"/>
      <c r="O99" s="55"/>
    </row>
    <row r="100">
      <c r="B100" s="59" t="str">
        <f t="shared" ref="B100:B111" si="54">B81</f>
        <v>Apr-24</v>
      </c>
      <c r="C100" s="53"/>
      <c r="D100" s="53"/>
      <c r="E100" s="53"/>
      <c r="F100" s="53"/>
      <c r="G100" s="60">
        <f>PURCHASE!C57</f>
        <v>2318000</v>
      </c>
      <c r="H100" s="53">
        <f>'PUR PL'!B56</f>
        <v>-794290</v>
      </c>
      <c r="I100" s="60">
        <f>'PUR PL'!C56</f>
        <v>696867</v>
      </c>
      <c r="J100" s="60">
        <f t="shared" ref="J100:J111" si="55">H100+I100</f>
        <v>-97423</v>
      </c>
      <c r="K100" s="75" t="str">
        <f t="shared" ref="K100:K112" si="56">IFERROR(G100/C100,"")</f>
        <v/>
      </c>
      <c r="L100" s="60">
        <f t="shared" ref="L100:L112" si="57">F100+J100</f>
        <v>-97423</v>
      </c>
      <c r="N100" s="53"/>
      <c r="O100" s="53"/>
    </row>
    <row r="101">
      <c r="B101" s="59" t="str">
        <f t="shared" si="54"/>
        <v>May-24</v>
      </c>
      <c r="C101" s="53"/>
      <c r="D101" s="53"/>
      <c r="E101" s="53"/>
      <c r="F101" s="53"/>
      <c r="G101" s="60">
        <f>PURCHASE!D57</f>
        <v>8214524</v>
      </c>
      <c r="H101" s="53">
        <f>'PUR PL'!D54</f>
        <v>-6169278</v>
      </c>
      <c r="I101" s="53">
        <f>'PUR PL'!E54</f>
        <v>1076223</v>
      </c>
      <c r="J101" s="53">
        <f t="shared" si="55"/>
        <v>-5093055</v>
      </c>
      <c r="K101" s="75" t="str">
        <f t="shared" si="56"/>
        <v/>
      </c>
      <c r="L101" s="53">
        <f t="shared" si="57"/>
        <v>-5093055</v>
      </c>
      <c r="N101" s="53"/>
      <c r="O101" s="53"/>
    </row>
    <row r="102">
      <c r="B102" s="59" t="str">
        <f t="shared" si="54"/>
        <v>Jun-24</v>
      </c>
      <c r="C102" s="53"/>
      <c r="D102" s="53"/>
      <c r="E102" s="53"/>
      <c r="F102" s="53"/>
      <c r="G102" s="57">
        <v>5619954.0</v>
      </c>
      <c r="H102" s="60">
        <f>'PUR PL'!F56</f>
        <v>-3283537</v>
      </c>
      <c r="I102" s="60">
        <f>'PUR PL'!G56</f>
        <v>2745660</v>
      </c>
      <c r="J102" s="60">
        <f t="shared" si="55"/>
        <v>-537877</v>
      </c>
      <c r="K102" s="62" t="str">
        <f t="shared" si="56"/>
        <v/>
      </c>
      <c r="L102" s="60">
        <f t="shared" si="57"/>
        <v>-537877</v>
      </c>
      <c r="N102" s="53"/>
      <c r="O102" s="53"/>
    </row>
    <row r="103">
      <c r="B103" s="59" t="str">
        <f t="shared" si="54"/>
        <v>Jul-24</v>
      </c>
      <c r="C103" s="53"/>
      <c r="D103" s="53"/>
      <c r="E103" s="53"/>
      <c r="F103" s="53"/>
      <c r="G103" s="60">
        <f>PURCHASE!F57</f>
        <v>5032797</v>
      </c>
      <c r="H103" s="53">
        <f>'PUR PL'!H54</f>
        <v>0</v>
      </c>
      <c r="I103" s="53">
        <f>'PUR PL'!I54</f>
        <v>0</v>
      </c>
      <c r="J103" s="53">
        <f t="shared" si="55"/>
        <v>0</v>
      </c>
      <c r="K103" s="62" t="str">
        <f t="shared" si="56"/>
        <v/>
      </c>
      <c r="L103" s="53">
        <f t="shared" si="57"/>
        <v>0</v>
      </c>
      <c r="N103" s="53"/>
      <c r="O103" s="53"/>
    </row>
    <row r="104">
      <c r="B104" s="59" t="str">
        <f t="shared" si="54"/>
        <v>Aug-24</v>
      </c>
      <c r="C104" s="53"/>
      <c r="D104" s="53"/>
      <c r="E104" s="53"/>
      <c r="F104" s="53"/>
      <c r="G104" s="60">
        <f>PURCHASE!G57</f>
        <v>1379425</v>
      </c>
      <c r="H104" s="60">
        <f>'PUR PL'!J56</f>
        <v>-541125</v>
      </c>
      <c r="I104" s="60">
        <f>'PUR PL'!K56</f>
        <v>897865</v>
      </c>
      <c r="J104" s="60">
        <f t="shared" si="55"/>
        <v>356740</v>
      </c>
      <c r="K104" s="62" t="str">
        <f t="shared" si="56"/>
        <v/>
      </c>
      <c r="L104" s="60">
        <f t="shared" si="57"/>
        <v>356740</v>
      </c>
      <c r="N104" s="53"/>
      <c r="O104" s="53"/>
    </row>
    <row r="105">
      <c r="B105" s="59" t="str">
        <f t="shared" si="54"/>
        <v>Sep-24</v>
      </c>
      <c r="C105" s="53"/>
      <c r="D105" s="53"/>
      <c r="E105" s="53"/>
      <c r="F105" s="53"/>
      <c r="G105" s="60">
        <f>PURCHASE!H57</f>
        <v>2945466</v>
      </c>
      <c r="H105" s="60">
        <f>'PUR PL'!L56</f>
        <v>-474639</v>
      </c>
      <c r="I105" s="60">
        <f>'PUR PL'!M56</f>
        <v>1145793</v>
      </c>
      <c r="J105" s="60">
        <f t="shared" si="55"/>
        <v>671154</v>
      </c>
      <c r="K105" s="62" t="str">
        <f t="shared" si="56"/>
        <v/>
      </c>
      <c r="L105" s="60">
        <f t="shared" si="57"/>
        <v>671154</v>
      </c>
      <c r="N105" s="53"/>
      <c r="O105" s="53"/>
    </row>
    <row r="106">
      <c r="B106" s="59" t="str">
        <f t="shared" si="54"/>
        <v>Oct-24</v>
      </c>
      <c r="C106" s="53"/>
      <c r="D106" s="53"/>
      <c r="E106" s="53"/>
      <c r="F106" s="53"/>
      <c r="G106" s="57">
        <f>PURCHASE!I57</f>
        <v>2600632</v>
      </c>
      <c r="H106" s="57">
        <f>'PUR PL'!N56</f>
        <v>-848338</v>
      </c>
      <c r="I106" s="57">
        <f>'PUR PL'!O56</f>
        <v>288993</v>
      </c>
      <c r="J106" s="60">
        <f t="shared" si="55"/>
        <v>-559345</v>
      </c>
      <c r="K106" s="62" t="str">
        <f t="shared" si="56"/>
        <v/>
      </c>
      <c r="L106" s="60">
        <f t="shared" si="57"/>
        <v>-559345</v>
      </c>
      <c r="N106" s="53"/>
      <c r="O106" s="53"/>
    </row>
    <row r="107">
      <c r="B107" s="59" t="str">
        <f t="shared" si="54"/>
        <v>Nov-24</v>
      </c>
      <c r="C107" s="53"/>
      <c r="D107" s="53"/>
      <c r="E107" s="53"/>
      <c r="F107" s="53"/>
      <c r="G107" s="57">
        <f>PURCHASE!J57</f>
        <v>1773034</v>
      </c>
      <c r="H107" s="57">
        <f>'PUR PL'!P56</f>
        <v>-535515</v>
      </c>
      <c r="I107" s="57">
        <f>'PUR PL'!Q56</f>
        <v>1067915</v>
      </c>
      <c r="J107" s="60">
        <f t="shared" si="55"/>
        <v>532400</v>
      </c>
      <c r="K107" s="62" t="str">
        <f t="shared" si="56"/>
        <v/>
      </c>
      <c r="L107" s="60">
        <f t="shared" si="57"/>
        <v>532400</v>
      </c>
      <c r="N107" s="53"/>
      <c r="O107" s="53"/>
    </row>
    <row r="108">
      <c r="B108" s="59" t="str">
        <f t="shared" si="54"/>
        <v>Dec-24</v>
      </c>
      <c r="C108" s="53"/>
      <c r="D108" s="53"/>
      <c r="E108" s="53"/>
      <c r="F108" s="53"/>
      <c r="G108" s="57">
        <f>PURCHASE!K57</f>
        <v>1875251</v>
      </c>
      <c r="H108" s="60">
        <f>'PUR PL'!R56</f>
        <v>-520890</v>
      </c>
      <c r="I108" s="60">
        <f>'PUR PL'!S56</f>
        <v>517397</v>
      </c>
      <c r="J108" s="60">
        <f t="shared" si="55"/>
        <v>-3493</v>
      </c>
      <c r="K108" s="62" t="str">
        <f t="shared" si="56"/>
        <v/>
      </c>
      <c r="L108" s="60">
        <f t="shared" si="57"/>
        <v>-3493</v>
      </c>
      <c r="N108" s="53"/>
      <c r="O108" s="53"/>
    </row>
    <row r="109">
      <c r="B109" s="59" t="str">
        <f t="shared" si="54"/>
        <v>Jan-25</v>
      </c>
      <c r="C109" s="53"/>
      <c r="D109" s="53"/>
      <c r="E109" s="53"/>
      <c r="F109" s="53"/>
      <c r="G109" s="57">
        <f>PURCHASE!L57</f>
        <v>2058874</v>
      </c>
      <c r="H109" s="60">
        <f>'PUR PL'!T56</f>
        <v>-829324</v>
      </c>
      <c r="I109" s="60">
        <f>'PUR PL'!U56</f>
        <v>628681</v>
      </c>
      <c r="J109" s="60">
        <f t="shared" si="55"/>
        <v>-200643</v>
      </c>
      <c r="K109" s="62" t="str">
        <f t="shared" si="56"/>
        <v/>
      </c>
      <c r="L109" s="60">
        <f t="shared" si="57"/>
        <v>-200643</v>
      </c>
      <c r="N109" s="53"/>
      <c r="O109" s="53"/>
    </row>
    <row r="110">
      <c r="B110" s="59" t="str">
        <f t="shared" si="54"/>
        <v>Feb-25</v>
      </c>
      <c r="C110" s="53"/>
      <c r="D110" s="53"/>
      <c r="E110" s="53"/>
      <c r="F110" s="53"/>
      <c r="G110" s="57">
        <f>PURCHASE!M57</f>
        <v>2469066</v>
      </c>
      <c r="H110" s="60">
        <f>'PUR PL'!V56</f>
        <v>-993974</v>
      </c>
      <c r="I110" s="60">
        <f>'PUR PL'!W56</f>
        <v>532944</v>
      </c>
      <c r="J110" s="60">
        <f t="shared" si="55"/>
        <v>-461030</v>
      </c>
      <c r="K110" s="62" t="str">
        <f t="shared" si="56"/>
        <v/>
      </c>
      <c r="L110" s="60">
        <f t="shared" si="57"/>
        <v>-461030</v>
      </c>
      <c r="N110" s="53"/>
      <c r="O110" s="53"/>
    </row>
    <row r="111">
      <c r="B111" s="59" t="str">
        <f t="shared" si="54"/>
        <v>Mar-25</v>
      </c>
      <c r="C111" s="53"/>
      <c r="D111" s="53"/>
      <c r="E111" s="53"/>
      <c r="F111" s="53"/>
      <c r="G111" s="57">
        <f>PURCHASE!N57</f>
        <v>2425948</v>
      </c>
      <c r="H111" s="60">
        <f>'PUR PL'!X56</f>
        <v>-670106</v>
      </c>
      <c r="I111" s="60">
        <f>'PUR PL'!Y56</f>
        <v>678876</v>
      </c>
      <c r="J111" s="60">
        <f t="shared" si="55"/>
        <v>8770</v>
      </c>
      <c r="K111" s="62" t="str">
        <f t="shared" si="56"/>
        <v/>
      </c>
      <c r="L111" s="60">
        <f t="shared" si="57"/>
        <v>8770</v>
      </c>
      <c r="N111" s="53"/>
      <c r="O111" s="53"/>
    </row>
    <row r="112">
      <c r="B112" s="55" t="s">
        <v>62</v>
      </c>
      <c r="C112" s="53"/>
      <c r="D112" s="53"/>
      <c r="E112" s="53"/>
      <c r="F112" s="53"/>
      <c r="G112" s="60">
        <f t="shared" ref="G112:J112" si="58">sum(G100:G111)</f>
        <v>38712971</v>
      </c>
      <c r="H112" s="60">
        <f t="shared" si="58"/>
        <v>-15661016</v>
      </c>
      <c r="I112" s="60">
        <f t="shared" si="58"/>
        <v>10277214</v>
      </c>
      <c r="J112" s="60">
        <f t="shared" si="58"/>
        <v>-5383802</v>
      </c>
      <c r="K112" s="62" t="str">
        <f t="shared" si="56"/>
        <v/>
      </c>
      <c r="L112" s="60">
        <f t="shared" si="57"/>
        <v>-5383802</v>
      </c>
      <c r="N112" s="53"/>
      <c r="O112" s="53"/>
    </row>
    <row r="113">
      <c r="B113" s="53"/>
      <c r="C113" s="53"/>
      <c r="D113" s="53"/>
      <c r="E113" s="53"/>
      <c r="F113" s="53"/>
      <c r="G113" s="60"/>
      <c r="H113" s="53"/>
      <c r="I113" s="53"/>
      <c r="J113" s="53"/>
      <c r="K113" s="53"/>
      <c r="L113" s="53"/>
      <c r="N113" s="53"/>
      <c r="O113" s="53"/>
    </row>
    <row r="114">
      <c r="B114" s="53"/>
      <c r="C114" s="53"/>
      <c r="D114" s="53"/>
      <c r="E114" s="53"/>
      <c r="F114" s="53"/>
      <c r="G114" s="60"/>
      <c r="H114" s="53"/>
      <c r="I114" s="53"/>
      <c r="J114" s="53"/>
      <c r="K114" s="53"/>
      <c r="L114" s="53"/>
      <c r="N114" s="53"/>
      <c r="O114" s="53"/>
    </row>
    <row r="115">
      <c r="B115" s="53"/>
      <c r="C115" s="53"/>
      <c r="D115" s="53"/>
      <c r="E115" s="53"/>
      <c r="F115" s="53"/>
      <c r="G115" s="60"/>
      <c r="H115" s="53"/>
      <c r="I115" s="53"/>
      <c r="J115" s="53"/>
      <c r="K115" s="53"/>
      <c r="L115" s="53"/>
      <c r="N115" s="53"/>
      <c r="O115" s="53"/>
    </row>
    <row r="116">
      <c r="B116" s="55" t="s">
        <v>65</v>
      </c>
      <c r="C116" s="60">
        <f t="shared" ref="C116:J116" si="59">SUMIF($B$3:$B$112,"Total",C3:C112)</f>
        <v>3417311917</v>
      </c>
      <c r="D116" s="60">
        <f t="shared" si="59"/>
        <v>-115231088</v>
      </c>
      <c r="E116" s="60">
        <f t="shared" si="59"/>
        <v>54973613</v>
      </c>
      <c r="F116" s="60">
        <f t="shared" si="59"/>
        <v>-60257475</v>
      </c>
      <c r="G116" s="60">
        <f t="shared" si="59"/>
        <v>1605934128</v>
      </c>
      <c r="H116" s="60">
        <f t="shared" si="59"/>
        <v>-70571678.81</v>
      </c>
      <c r="I116" s="60">
        <f t="shared" si="59"/>
        <v>84436378.22</v>
      </c>
      <c r="J116" s="60">
        <f t="shared" si="59"/>
        <v>13864699.41</v>
      </c>
      <c r="K116" s="62">
        <f>IFERROR(G116/C116,"")</f>
        <v>0.4699407508</v>
      </c>
      <c r="L116" s="60">
        <f>SUMIF($B$3:$B$112,"Total",L3:L112)</f>
        <v>-46392775.59</v>
      </c>
      <c r="N116" s="60"/>
      <c r="O116" s="60"/>
    </row>
    <row r="117">
      <c r="B117" s="76"/>
      <c r="C117" s="76"/>
      <c r="D117" s="76"/>
      <c r="E117" s="76"/>
      <c r="F117" s="76"/>
      <c r="G117" s="77"/>
      <c r="H117" s="76"/>
      <c r="I117" s="76"/>
      <c r="J117" s="76"/>
      <c r="K117" s="76"/>
      <c r="L117" s="76"/>
    </row>
    <row r="118">
      <c r="G118" s="78"/>
    </row>
    <row r="119">
      <c r="G119" s="79"/>
    </row>
    <row r="120">
      <c r="G120" s="78"/>
    </row>
    <row r="121">
      <c r="G121" s="78"/>
    </row>
    <row r="122">
      <c r="G122" s="78"/>
    </row>
    <row r="123">
      <c r="G123" s="78"/>
    </row>
    <row r="124">
      <c r="G124" s="78"/>
    </row>
    <row r="125">
      <c r="G125" s="78"/>
    </row>
    <row r="126">
      <c r="G126" s="78"/>
    </row>
    <row r="127">
      <c r="G127" s="78"/>
    </row>
    <row r="128">
      <c r="G128" s="78"/>
    </row>
    <row r="129">
      <c r="G129" s="78"/>
    </row>
    <row r="130">
      <c r="G130" s="78"/>
    </row>
    <row r="131">
      <c r="G131" s="78"/>
    </row>
    <row r="132">
      <c r="G132" s="78"/>
    </row>
    <row r="133">
      <c r="G133" s="78"/>
    </row>
    <row r="134">
      <c r="G134" s="78"/>
    </row>
    <row r="135">
      <c r="G135" s="78"/>
    </row>
    <row r="136">
      <c r="G136" s="78"/>
    </row>
    <row r="137">
      <c r="G137" s="78"/>
    </row>
    <row r="138">
      <c r="G138" s="78"/>
    </row>
    <row r="139">
      <c r="G139" s="78"/>
    </row>
    <row r="140">
      <c r="G140" s="78"/>
    </row>
    <row r="141">
      <c r="G141" s="78"/>
    </row>
    <row r="142">
      <c r="G142" s="78"/>
    </row>
    <row r="143">
      <c r="G143" s="78"/>
    </row>
    <row r="144">
      <c r="G144" s="78"/>
    </row>
    <row r="145">
      <c r="G145" s="78"/>
    </row>
    <row r="146">
      <c r="G146" s="78"/>
    </row>
    <row r="147">
      <c r="G147" s="78"/>
    </row>
    <row r="148">
      <c r="G148" s="78"/>
    </row>
    <row r="149">
      <c r="G149" s="78"/>
    </row>
    <row r="150">
      <c r="G150" s="78"/>
    </row>
    <row r="151">
      <c r="G151" s="78"/>
    </row>
    <row r="152">
      <c r="G152" s="78"/>
    </row>
    <row r="153">
      <c r="G153" s="78"/>
    </row>
    <row r="154">
      <c r="G154" s="78"/>
    </row>
    <row r="155">
      <c r="G155" s="78"/>
    </row>
    <row r="156">
      <c r="G156" s="78"/>
    </row>
    <row r="157">
      <c r="G157" s="78"/>
    </row>
    <row r="158">
      <c r="G158" s="78"/>
    </row>
    <row r="159">
      <c r="G159" s="78"/>
    </row>
    <row r="160">
      <c r="G160" s="78"/>
    </row>
    <row r="161">
      <c r="G161" s="78"/>
    </row>
    <row r="162">
      <c r="G162" s="78"/>
    </row>
    <row r="163">
      <c r="G163" s="78"/>
    </row>
    <row r="164">
      <c r="G164" s="78"/>
    </row>
    <row r="165">
      <c r="G165" s="78"/>
    </row>
    <row r="166">
      <c r="G166" s="78"/>
    </row>
    <row r="167">
      <c r="G167" s="78"/>
    </row>
    <row r="168">
      <c r="G168" s="78"/>
    </row>
    <row r="169">
      <c r="G169" s="78"/>
    </row>
    <row r="170">
      <c r="G170" s="78"/>
    </row>
    <row r="171">
      <c r="G171" s="78"/>
    </row>
    <row r="172">
      <c r="G172" s="78"/>
    </row>
    <row r="173">
      <c r="G173" s="78"/>
    </row>
    <row r="174">
      <c r="G174" s="78"/>
    </row>
    <row r="175">
      <c r="G175" s="78"/>
    </row>
    <row r="176">
      <c r="G176" s="78"/>
    </row>
    <row r="177">
      <c r="G177" s="78"/>
    </row>
    <row r="178">
      <c r="G178" s="78"/>
    </row>
    <row r="179">
      <c r="G179" s="78"/>
    </row>
    <row r="180">
      <c r="G180" s="78"/>
    </row>
    <row r="181">
      <c r="G181" s="78"/>
    </row>
    <row r="182">
      <c r="G182" s="78"/>
    </row>
    <row r="183">
      <c r="G183" s="78"/>
    </row>
    <row r="184">
      <c r="G184" s="78"/>
    </row>
    <row r="185">
      <c r="G185" s="78"/>
    </row>
    <row r="186">
      <c r="G186" s="78"/>
    </row>
    <row r="187">
      <c r="G187" s="78"/>
    </row>
    <row r="188">
      <c r="G188" s="78"/>
    </row>
    <row r="189">
      <c r="G189" s="78"/>
    </row>
    <row r="190">
      <c r="G190" s="78"/>
    </row>
    <row r="191">
      <c r="G191" s="78"/>
    </row>
    <row r="192">
      <c r="G192" s="78"/>
    </row>
    <row r="193">
      <c r="G193" s="78"/>
    </row>
    <row r="194">
      <c r="G194" s="78"/>
    </row>
    <row r="195">
      <c r="G195" s="78"/>
    </row>
    <row r="196">
      <c r="G196" s="78"/>
    </row>
    <row r="197">
      <c r="G197" s="78"/>
    </row>
    <row r="198">
      <c r="G198" s="78"/>
    </row>
    <row r="199">
      <c r="G199" s="78"/>
    </row>
    <row r="200">
      <c r="G200" s="78"/>
    </row>
    <row r="201">
      <c r="G201" s="78"/>
    </row>
    <row r="202">
      <c r="G202" s="78"/>
    </row>
    <row r="203">
      <c r="G203" s="78"/>
    </row>
    <row r="204">
      <c r="G204" s="78"/>
    </row>
    <row r="205">
      <c r="G205" s="78"/>
    </row>
    <row r="206">
      <c r="G206" s="78"/>
    </row>
    <row r="207">
      <c r="G207" s="78"/>
    </row>
    <row r="208">
      <c r="G208" s="78"/>
    </row>
    <row r="209">
      <c r="G209" s="78"/>
    </row>
    <row r="210">
      <c r="G210" s="78"/>
    </row>
    <row r="211">
      <c r="G211" s="78"/>
    </row>
    <row r="212">
      <c r="G212" s="78"/>
    </row>
    <row r="213">
      <c r="G213" s="78"/>
    </row>
    <row r="214">
      <c r="G214" s="78"/>
    </row>
    <row r="215">
      <c r="G215" s="78"/>
    </row>
    <row r="216">
      <c r="G216" s="78"/>
    </row>
    <row r="217">
      <c r="G217" s="78"/>
    </row>
    <row r="218">
      <c r="G218" s="78"/>
    </row>
    <row r="219">
      <c r="G219" s="78"/>
    </row>
    <row r="220">
      <c r="G220" s="78"/>
    </row>
    <row r="221">
      <c r="G221" s="78"/>
    </row>
    <row r="222">
      <c r="G222" s="78"/>
    </row>
    <row r="223">
      <c r="G223" s="78"/>
    </row>
    <row r="224">
      <c r="G224" s="78"/>
    </row>
    <row r="225">
      <c r="G225" s="78"/>
    </row>
    <row r="226">
      <c r="G226" s="78"/>
    </row>
    <row r="227">
      <c r="G227" s="78"/>
    </row>
    <row r="228">
      <c r="G228" s="78"/>
    </row>
    <row r="229">
      <c r="G229" s="78"/>
    </row>
    <row r="230">
      <c r="G230" s="78"/>
    </row>
    <row r="231">
      <c r="G231" s="78"/>
    </row>
    <row r="232">
      <c r="G232" s="78"/>
    </row>
    <row r="233">
      <c r="G233" s="78"/>
    </row>
    <row r="234">
      <c r="G234" s="78"/>
    </row>
    <row r="235">
      <c r="G235" s="78"/>
    </row>
    <row r="236">
      <c r="G236" s="78"/>
    </row>
    <row r="237">
      <c r="G237" s="78"/>
    </row>
    <row r="238">
      <c r="G238" s="78"/>
    </row>
    <row r="239">
      <c r="G239" s="78"/>
    </row>
    <row r="240">
      <c r="G240" s="78"/>
    </row>
    <row r="241">
      <c r="G241" s="78"/>
    </row>
    <row r="242">
      <c r="G242" s="78"/>
    </row>
    <row r="243">
      <c r="G243" s="78"/>
    </row>
    <row r="244">
      <c r="G244" s="78"/>
    </row>
    <row r="245">
      <c r="G245" s="78"/>
    </row>
    <row r="246">
      <c r="G246" s="78"/>
    </row>
    <row r="247">
      <c r="G247" s="78"/>
    </row>
    <row r="248">
      <c r="G248" s="78"/>
    </row>
    <row r="249">
      <c r="G249" s="78"/>
    </row>
    <row r="250">
      <c r="G250" s="78"/>
    </row>
    <row r="251">
      <c r="G251" s="78"/>
    </row>
    <row r="252">
      <c r="G252" s="78"/>
    </row>
    <row r="253">
      <c r="G253" s="78"/>
    </row>
    <row r="254">
      <c r="G254" s="78"/>
    </row>
    <row r="255">
      <c r="G255" s="78"/>
    </row>
    <row r="256">
      <c r="G256" s="78"/>
    </row>
    <row r="257">
      <c r="G257" s="78"/>
    </row>
    <row r="258">
      <c r="G258" s="78"/>
    </row>
    <row r="259">
      <c r="G259" s="78"/>
    </row>
    <row r="260">
      <c r="G260" s="78"/>
    </row>
    <row r="261">
      <c r="G261" s="78"/>
    </row>
    <row r="262">
      <c r="G262" s="78"/>
    </row>
    <row r="263">
      <c r="G263" s="78"/>
    </row>
    <row r="264">
      <c r="G264" s="78"/>
    </row>
    <row r="265">
      <c r="G265" s="78"/>
    </row>
    <row r="266">
      <c r="G266" s="78"/>
    </row>
    <row r="267">
      <c r="G267" s="78"/>
    </row>
    <row r="268">
      <c r="G268" s="78"/>
    </row>
    <row r="269">
      <c r="G269" s="78"/>
    </row>
    <row r="270">
      <c r="G270" s="78"/>
    </row>
    <row r="271">
      <c r="G271" s="78"/>
    </row>
    <row r="272">
      <c r="G272" s="78"/>
    </row>
    <row r="273">
      <c r="G273" s="78"/>
    </row>
    <row r="274">
      <c r="G274" s="78"/>
    </row>
    <row r="275">
      <c r="G275" s="78"/>
    </row>
    <row r="276">
      <c r="G276" s="78"/>
    </row>
    <row r="277">
      <c r="G277" s="78"/>
    </row>
    <row r="278">
      <c r="G278" s="78"/>
    </row>
    <row r="279">
      <c r="G279" s="78"/>
    </row>
    <row r="280">
      <c r="G280" s="78"/>
    </row>
    <row r="281">
      <c r="G281" s="78"/>
    </row>
    <row r="282">
      <c r="G282" s="78"/>
    </row>
    <row r="283">
      <c r="G283" s="78"/>
    </row>
    <row r="284">
      <c r="G284" s="78"/>
    </row>
    <row r="285">
      <c r="G285" s="78"/>
    </row>
    <row r="286">
      <c r="G286" s="78"/>
    </row>
    <row r="287">
      <c r="G287" s="78"/>
    </row>
    <row r="288">
      <c r="G288" s="78"/>
    </row>
    <row r="289">
      <c r="G289" s="78"/>
    </row>
    <row r="290">
      <c r="G290" s="78"/>
    </row>
    <row r="291">
      <c r="G291" s="78"/>
    </row>
    <row r="292">
      <c r="G292" s="78"/>
    </row>
    <row r="293">
      <c r="G293" s="78"/>
    </row>
    <row r="294">
      <c r="G294" s="78"/>
    </row>
    <row r="295">
      <c r="G295" s="78"/>
    </row>
    <row r="296">
      <c r="G296" s="78"/>
    </row>
    <row r="297">
      <c r="G297" s="78"/>
    </row>
    <row r="298">
      <c r="G298" s="78"/>
    </row>
    <row r="299">
      <c r="G299" s="78"/>
    </row>
    <row r="300">
      <c r="G300" s="78"/>
    </row>
    <row r="301">
      <c r="G301" s="78"/>
    </row>
    <row r="302">
      <c r="G302" s="78"/>
    </row>
    <row r="303">
      <c r="G303" s="78"/>
    </row>
    <row r="304">
      <c r="G304" s="78"/>
    </row>
    <row r="305">
      <c r="G305" s="78"/>
    </row>
    <row r="306">
      <c r="G306" s="78"/>
    </row>
    <row r="307">
      <c r="G307" s="78"/>
    </row>
    <row r="308">
      <c r="G308" s="78"/>
    </row>
    <row r="309">
      <c r="G309" s="78"/>
    </row>
    <row r="310">
      <c r="G310" s="78"/>
    </row>
    <row r="311">
      <c r="G311" s="78"/>
    </row>
    <row r="312">
      <c r="G312" s="78"/>
    </row>
    <row r="313">
      <c r="G313" s="78"/>
    </row>
    <row r="314">
      <c r="G314" s="78"/>
    </row>
    <row r="315">
      <c r="G315" s="78"/>
    </row>
    <row r="316">
      <c r="G316" s="78"/>
    </row>
    <row r="317">
      <c r="G317" s="78"/>
    </row>
    <row r="318">
      <c r="G318" s="78"/>
    </row>
    <row r="319">
      <c r="G319" s="78"/>
    </row>
    <row r="320">
      <c r="G320" s="78"/>
    </row>
    <row r="321">
      <c r="G321" s="78"/>
    </row>
    <row r="322">
      <c r="G322" s="78"/>
    </row>
    <row r="323">
      <c r="G323" s="78"/>
    </row>
    <row r="324">
      <c r="G324" s="78"/>
    </row>
    <row r="325">
      <c r="G325" s="78"/>
    </row>
    <row r="326">
      <c r="G326" s="78"/>
    </row>
    <row r="327">
      <c r="G327" s="78"/>
    </row>
    <row r="328">
      <c r="G328" s="78"/>
    </row>
    <row r="329">
      <c r="G329" s="78"/>
    </row>
    <row r="330">
      <c r="G330" s="78"/>
    </row>
    <row r="331">
      <c r="G331" s="78"/>
    </row>
    <row r="332">
      <c r="G332" s="78"/>
    </row>
    <row r="333">
      <c r="G333" s="78"/>
    </row>
    <row r="334">
      <c r="G334" s="78"/>
    </row>
    <row r="335">
      <c r="G335" s="78"/>
    </row>
    <row r="336">
      <c r="G336" s="78"/>
    </row>
    <row r="337">
      <c r="G337" s="78"/>
    </row>
    <row r="338">
      <c r="G338" s="78"/>
    </row>
    <row r="339">
      <c r="G339" s="78"/>
    </row>
    <row r="340">
      <c r="G340" s="78"/>
    </row>
    <row r="341">
      <c r="G341" s="78"/>
    </row>
    <row r="342">
      <c r="G342" s="78"/>
    </row>
    <row r="343">
      <c r="G343" s="78"/>
    </row>
    <row r="344">
      <c r="G344" s="78"/>
    </row>
    <row r="345">
      <c r="G345" s="78"/>
    </row>
    <row r="346">
      <c r="G346" s="78"/>
    </row>
    <row r="347">
      <c r="G347" s="78"/>
    </row>
    <row r="348">
      <c r="G348" s="78"/>
    </row>
    <row r="349">
      <c r="G349" s="78"/>
    </row>
    <row r="350">
      <c r="G350" s="78"/>
    </row>
    <row r="351">
      <c r="G351" s="78"/>
    </row>
    <row r="352">
      <c r="G352" s="78"/>
    </row>
    <row r="353">
      <c r="G353" s="78"/>
    </row>
    <row r="354">
      <c r="G354" s="78"/>
    </row>
    <row r="355">
      <c r="G355" s="78"/>
    </row>
    <row r="356">
      <c r="G356" s="78"/>
    </row>
    <row r="357">
      <c r="G357" s="78"/>
    </row>
    <row r="358">
      <c r="G358" s="78"/>
    </row>
    <row r="359">
      <c r="G359" s="78"/>
    </row>
    <row r="360">
      <c r="G360" s="78"/>
    </row>
    <row r="361">
      <c r="G361" s="78"/>
    </row>
    <row r="362">
      <c r="G362" s="78"/>
    </row>
    <row r="363">
      <c r="G363" s="78"/>
    </row>
    <row r="364">
      <c r="G364" s="78"/>
    </row>
    <row r="365">
      <c r="G365" s="78"/>
    </row>
    <row r="366">
      <c r="G366" s="78"/>
    </row>
    <row r="367">
      <c r="G367" s="78"/>
    </row>
    <row r="368">
      <c r="G368" s="78"/>
    </row>
    <row r="369">
      <c r="G369" s="78"/>
    </row>
    <row r="370">
      <c r="G370" s="78"/>
    </row>
    <row r="371">
      <c r="G371" s="78"/>
    </row>
    <row r="372">
      <c r="G372" s="78"/>
    </row>
    <row r="373">
      <c r="G373" s="78"/>
    </row>
    <row r="374">
      <c r="G374" s="78"/>
    </row>
    <row r="375">
      <c r="G375" s="78"/>
    </row>
    <row r="376">
      <c r="G376" s="78"/>
    </row>
    <row r="377">
      <c r="G377" s="78"/>
    </row>
    <row r="378">
      <c r="G378" s="78"/>
    </row>
    <row r="379">
      <c r="G379" s="78"/>
    </row>
    <row r="380">
      <c r="G380" s="78"/>
    </row>
    <row r="381">
      <c r="G381" s="78"/>
    </row>
    <row r="382">
      <c r="G382" s="78"/>
    </row>
    <row r="383">
      <c r="G383" s="78"/>
    </row>
    <row r="384">
      <c r="G384" s="78"/>
    </row>
    <row r="385">
      <c r="G385" s="78"/>
    </row>
    <row r="386">
      <c r="G386" s="78"/>
    </row>
    <row r="387">
      <c r="G387" s="78"/>
    </row>
    <row r="388">
      <c r="G388" s="78"/>
    </row>
    <row r="389">
      <c r="G389" s="78"/>
    </row>
    <row r="390">
      <c r="G390" s="78"/>
    </row>
    <row r="391">
      <c r="G391" s="78"/>
    </row>
    <row r="392">
      <c r="G392" s="78"/>
    </row>
    <row r="393">
      <c r="G393" s="78"/>
    </row>
    <row r="394">
      <c r="G394" s="78"/>
    </row>
    <row r="395">
      <c r="G395" s="78"/>
    </row>
    <row r="396">
      <c r="G396" s="78"/>
    </row>
    <row r="397">
      <c r="G397" s="78"/>
    </row>
    <row r="398">
      <c r="G398" s="78"/>
    </row>
    <row r="399">
      <c r="G399" s="78"/>
    </row>
    <row r="400">
      <c r="G400" s="78"/>
    </row>
    <row r="401">
      <c r="G401" s="78"/>
    </row>
    <row r="402">
      <c r="G402" s="78"/>
    </row>
    <row r="403">
      <c r="G403" s="78"/>
    </row>
    <row r="404">
      <c r="G404" s="78"/>
    </row>
    <row r="405">
      <c r="G405" s="78"/>
    </row>
    <row r="406">
      <c r="G406" s="78"/>
    </row>
    <row r="407">
      <c r="G407" s="78"/>
    </row>
    <row r="408">
      <c r="G408" s="78"/>
    </row>
    <row r="409">
      <c r="G409" s="78"/>
    </row>
    <row r="410">
      <c r="G410" s="78"/>
    </row>
    <row r="411">
      <c r="G411" s="78"/>
    </row>
    <row r="412">
      <c r="G412" s="78"/>
    </row>
    <row r="413">
      <c r="G413" s="78"/>
    </row>
    <row r="414">
      <c r="G414" s="78"/>
    </row>
    <row r="415">
      <c r="G415" s="78"/>
    </row>
    <row r="416">
      <c r="G416" s="78"/>
    </row>
    <row r="417">
      <c r="G417" s="78"/>
    </row>
    <row r="418">
      <c r="G418" s="78"/>
    </row>
    <row r="419">
      <c r="G419" s="78"/>
    </row>
    <row r="420">
      <c r="G420" s="78"/>
    </row>
    <row r="421">
      <c r="G421" s="78"/>
    </row>
    <row r="422">
      <c r="G422" s="78"/>
    </row>
    <row r="423">
      <c r="G423" s="78"/>
    </row>
    <row r="424">
      <c r="G424" s="78"/>
    </row>
    <row r="425">
      <c r="G425" s="78"/>
    </row>
    <row r="426">
      <c r="G426" s="78"/>
    </row>
    <row r="427">
      <c r="G427" s="78"/>
    </row>
    <row r="428">
      <c r="G428" s="78"/>
    </row>
    <row r="429">
      <c r="G429" s="78"/>
    </row>
    <row r="430">
      <c r="G430" s="78"/>
    </row>
    <row r="431">
      <c r="G431" s="78"/>
    </row>
    <row r="432">
      <c r="G432" s="78"/>
    </row>
    <row r="433">
      <c r="G433" s="78"/>
    </row>
    <row r="434">
      <c r="G434" s="78"/>
    </row>
    <row r="435">
      <c r="G435" s="78"/>
    </row>
    <row r="436">
      <c r="G436" s="78"/>
    </row>
    <row r="437">
      <c r="G437" s="78"/>
    </row>
    <row r="438">
      <c r="G438" s="78"/>
    </row>
    <row r="439">
      <c r="G439" s="78"/>
    </row>
    <row r="440">
      <c r="G440" s="78"/>
    </row>
    <row r="441">
      <c r="G441" s="78"/>
    </row>
    <row r="442">
      <c r="G442" s="78"/>
    </row>
    <row r="443">
      <c r="G443" s="78"/>
    </row>
    <row r="444">
      <c r="G444" s="78"/>
    </row>
    <row r="445">
      <c r="G445" s="78"/>
    </row>
    <row r="446">
      <c r="G446" s="78"/>
    </row>
    <row r="447">
      <c r="G447" s="78"/>
    </row>
    <row r="448">
      <c r="G448" s="78"/>
    </row>
    <row r="449">
      <c r="G449" s="78"/>
    </row>
    <row r="450">
      <c r="G450" s="78"/>
    </row>
    <row r="451">
      <c r="G451" s="78"/>
    </row>
    <row r="452">
      <c r="G452" s="78"/>
    </row>
    <row r="453">
      <c r="G453" s="78"/>
    </row>
    <row r="454">
      <c r="G454" s="78"/>
    </row>
    <row r="455">
      <c r="G455" s="78"/>
    </row>
    <row r="456">
      <c r="G456" s="78"/>
    </row>
    <row r="457">
      <c r="G457" s="78"/>
    </row>
    <row r="458">
      <c r="G458" s="78"/>
    </row>
    <row r="459">
      <c r="G459" s="78"/>
    </row>
    <row r="460">
      <c r="G460" s="78"/>
    </row>
    <row r="461">
      <c r="G461" s="78"/>
    </row>
    <row r="462">
      <c r="G462" s="78"/>
    </row>
    <row r="463">
      <c r="G463" s="78"/>
    </row>
    <row r="464">
      <c r="G464" s="78"/>
    </row>
    <row r="465">
      <c r="G465" s="78"/>
    </row>
    <row r="466">
      <c r="G466" s="78"/>
    </row>
    <row r="467">
      <c r="G467" s="78"/>
    </row>
    <row r="468">
      <c r="G468" s="78"/>
    </row>
    <row r="469">
      <c r="G469" s="78"/>
    </row>
    <row r="470">
      <c r="G470" s="78"/>
    </row>
    <row r="471">
      <c r="G471" s="78"/>
    </row>
    <row r="472">
      <c r="G472" s="78"/>
    </row>
    <row r="473">
      <c r="G473" s="78"/>
    </row>
    <row r="474">
      <c r="G474" s="78"/>
    </row>
    <row r="475">
      <c r="G475" s="78"/>
    </row>
    <row r="476">
      <c r="G476" s="78"/>
    </row>
    <row r="477">
      <c r="G477" s="78"/>
    </row>
    <row r="478">
      <c r="G478" s="78"/>
    </row>
    <row r="479">
      <c r="G479" s="78"/>
    </row>
    <row r="480">
      <c r="G480" s="78"/>
    </row>
    <row r="481">
      <c r="G481" s="78"/>
    </row>
    <row r="482">
      <c r="G482" s="78"/>
    </row>
    <row r="483">
      <c r="G483" s="78"/>
    </row>
    <row r="484">
      <c r="G484" s="78"/>
    </row>
    <row r="485">
      <c r="G485" s="78"/>
    </row>
    <row r="486">
      <c r="G486" s="78"/>
    </row>
    <row r="487">
      <c r="G487" s="78"/>
    </row>
    <row r="488">
      <c r="G488" s="78"/>
    </row>
    <row r="489">
      <c r="G489" s="78"/>
    </row>
    <row r="490">
      <c r="G490" s="78"/>
    </row>
    <row r="491">
      <c r="G491" s="78"/>
    </row>
    <row r="492">
      <c r="G492" s="78"/>
    </row>
    <row r="493">
      <c r="G493" s="78"/>
    </row>
    <row r="494">
      <c r="G494" s="78"/>
    </row>
    <row r="495">
      <c r="G495" s="78"/>
    </row>
    <row r="496">
      <c r="G496" s="78"/>
    </row>
    <row r="497">
      <c r="G497" s="78"/>
    </row>
    <row r="498">
      <c r="G498" s="78"/>
    </row>
    <row r="499">
      <c r="G499" s="78"/>
    </row>
    <row r="500">
      <c r="G500" s="78"/>
    </row>
    <row r="501">
      <c r="G501" s="78"/>
    </row>
    <row r="502">
      <c r="G502" s="78"/>
    </row>
    <row r="503">
      <c r="G503" s="78"/>
    </row>
    <row r="504">
      <c r="G504" s="78"/>
    </row>
    <row r="505">
      <c r="G505" s="78"/>
    </row>
    <row r="506">
      <c r="G506" s="78"/>
    </row>
    <row r="507">
      <c r="G507" s="78"/>
    </row>
    <row r="508">
      <c r="G508" s="78"/>
    </row>
    <row r="509">
      <c r="G509" s="78"/>
    </row>
    <row r="510">
      <c r="G510" s="78"/>
    </row>
    <row r="511">
      <c r="G511" s="78"/>
    </row>
    <row r="512">
      <c r="G512" s="78"/>
    </row>
    <row r="513">
      <c r="G513" s="78"/>
    </row>
    <row r="514">
      <c r="G514" s="78"/>
    </row>
    <row r="515">
      <c r="G515" s="78"/>
    </row>
    <row r="516">
      <c r="G516" s="78"/>
    </row>
    <row r="517">
      <c r="G517" s="78"/>
    </row>
    <row r="518">
      <c r="G518" s="78"/>
    </row>
    <row r="519">
      <c r="G519" s="78"/>
    </row>
    <row r="520">
      <c r="G520" s="78"/>
    </row>
    <row r="521">
      <c r="G521" s="78"/>
    </row>
    <row r="522">
      <c r="G522" s="78"/>
    </row>
    <row r="523">
      <c r="G523" s="78"/>
    </row>
    <row r="524">
      <c r="G524" s="78"/>
    </row>
    <row r="525">
      <c r="G525" s="78"/>
    </row>
    <row r="526">
      <c r="G526" s="78"/>
    </row>
    <row r="527">
      <c r="G527" s="78"/>
    </row>
    <row r="528">
      <c r="G528" s="78"/>
    </row>
    <row r="529">
      <c r="G529" s="78"/>
    </row>
    <row r="530">
      <c r="G530" s="78"/>
    </row>
    <row r="531">
      <c r="G531" s="78"/>
    </row>
    <row r="532">
      <c r="G532" s="78"/>
    </row>
    <row r="533">
      <c r="G533" s="78"/>
    </row>
    <row r="534">
      <c r="G534" s="78"/>
    </row>
    <row r="535">
      <c r="G535" s="78"/>
    </row>
    <row r="536">
      <c r="G536" s="78"/>
    </row>
    <row r="537">
      <c r="G537" s="78"/>
    </row>
    <row r="538">
      <c r="G538" s="78"/>
    </row>
    <row r="539">
      <c r="G539" s="78"/>
    </row>
    <row r="540">
      <c r="G540" s="78"/>
    </row>
    <row r="541">
      <c r="G541" s="78"/>
    </row>
    <row r="542">
      <c r="G542" s="78"/>
    </row>
    <row r="543">
      <c r="G543" s="78"/>
    </row>
    <row r="544">
      <c r="G544" s="78"/>
    </row>
    <row r="545">
      <c r="G545" s="78"/>
    </row>
    <row r="546">
      <c r="G546" s="78"/>
    </row>
    <row r="547">
      <c r="G547" s="78"/>
    </row>
    <row r="548">
      <c r="G548" s="78"/>
    </row>
    <row r="549">
      <c r="G549" s="78"/>
    </row>
    <row r="550">
      <c r="G550" s="78"/>
    </row>
    <row r="551">
      <c r="G551" s="78"/>
    </row>
    <row r="552">
      <c r="G552" s="78"/>
    </row>
    <row r="553">
      <c r="G553" s="78"/>
    </row>
    <row r="554">
      <c r="G554" s="78"/>
    </row>
    <row r="555">
      <c r="G555" s="78"/>
    </row>
    <row r="556">
      <c r="G556" s="78"/>
    </row>
    <row r="557">
      <c r="G557" s="78"/>
    </row>
    <row r="558">
      <c r="G558" s="78"/>
    </row>
    <row r="559">
      <c r="G559" s="78"/>
    </row>
    <row r="560">
      <c r="G560" s="78"/>
    </row>
    <row r="561">
      <c r="G561" s="78"/>
    </row>
    <row r="562">
      <c r="G562" s="78"/>
    </row>
    <row r="563">
      <c r="G563" s="78"/>
    </row>
    <row r="564">
      <c r="G564" s="78"/>
    </row>
    <row r="565">
      <c r="G565" s="78"/>
    </row>
    <row r="566">
      <c r="G566" s="78"/>
    </row>
    <row r="567">
      <c r="G567" s="78"/>
    </row>
    <row r="568">
      <c r="G568" s="78"/>
    </row>
    <row r="569">
      <c r="G569" s="78"/>
    </row>
    <row r="570">
      <c r="G570" s="78"/>
    </row>
    <row r="571">
      <c r="G571" s="78"/>
    </row>
    <row r="572">
      <c r="G572" s="78"/>
    </row>
    <row r="573">
      <c r="G573" s="78"/>
    </row>
    <row r="574">
      <c r="G574" s="78"/>
    </row>
    <row r="575">
      <c r="G575" s="78"/>
    </row>
    <row r="576">
      <c r="G576" s="78"/>
    </row>
    <row r="577">
      <c r="G577" s="78"/>
    </row>
    <row r="578">
      <c r="G578" s="78"/>
    </row>
    <row r="579">
      <c r="G579" s="78"/>
    </row>
    <row r="580">
      <c r="G580" s="78"/>
    </row>
    <row r="581">
      <c r="G581" s="78"/>
    </row>
    <row r="582">
      <c r="G582" s="78"/>
    </row>
    <row r="583">
      <c r="G583" s="78"/>
    </row>
    <row r="584">
      <c r="G584" s="78"/>
    </row>
    <row r="585">
      <c r="G585" s="78"/>
    </row>
    <row r="586">
      <c r="G586" s="78"/>
    </row>
    <row r="587">
      <c r="G587" s="78"/>
    </row>
    <row r="588">
      <c r="G588" s="78"/>
    </row>
    <row r="589">
      <c r="G589" s="78"/>
    </row>
    <row r="590">
      <c r="G590" s="78"/>
    </row>
    <row r="591">
      <c r="G591" s="78"/>
    </row>
    <row r="592">
      <c r="G592" s="78"/>
    </row>
    <row r="593">
      <c r="G593" s="78"/>
    </row>
    <row r="594">
      <c r="G594" s="78"/>
    </row>
    <row r="595">
      <c r="G595" s="78"/>
    </row>
    <row r="596">
      <c r="G596" s="78"/>
    </row>
    <row r="597">
      <c r="G597" s="78"/>
    </row>
    <row r="598">
      <c r="G598" s="78"/>
    </row>
    <row r="599">
      <c r="G599" s="78"/>
    </row>
    <row r="600">
      <c r="G600" s="78"/>
    </row>
    <row r="601">
      <c r="G601" s="78"/>
    </row>
    <row r="602">
      <c r="G602" s="78"/>
    </row>
    <row r="603">
      <c r="G603" s="78"/>
    </row>
    <row r="604">
      <c r="G604" s="78"/>
    </row>
    <row r="605">
      <c r="G605" s="78"/>
    </row>
    <row r="606">
      <c r="G606" s="78"/>
    </row>
    <row r="607">
      <c r="G607" s="78"/>
    </row>
    <row r="608">
      <c r="G608" s="78"/>
    </row>
    <row r="609">
      <c r="G609" s="78"/>
    </row>
    <row r="610">
      <c r="G610" s="78"/>
    </row>
    <row r="611">
      <c r="G611" s="78"/>
    </row>
    <row r="612">
      <c r="G612" s="78"/>
    </row>
    <row r="613">
      <c r="G613" s="78"/>
    </row>
    <row r="614">
      <c r="G614" s="78"/>
    </row>
    <row r="615">
      <c r="G615" s="78"/>
    </row>
    <row r="616">
      <c r="G616" s="78"/>
    </row>
    <row r="617">
      <c r="G617" s="78"/>
    </row>
    <row r="618">
      <c r="G618" s="78"/>
    </row>
    <row r="619">
      <c r="G619" s="78"/>
    </row>
    <row r="620">
      <c r="G620" s="78"/>
    </row>
    <row r="621">
      <c r="G621" s="78"/>
    </row>
    <row r="622">
      <c r="G622" s="78"/>
    </row>
    <row r="623">
      <c r="G623" s="78"/>
    </row>
    <row r="624">
      <c r="G624" s="78"/>
    </row>
    <row r="625">
      <c r="G625" s="78"/>
    </row>
    <row r="626">
      <c r="G626" s="78"/>
    </row>
    <row r="627">
      <c r="G627" s="78"/>
    </row>
    <row r="628">
      <c r="G628" s="78"/>
    </row>
    <row r="629">
      <c r="G629" s="78"/>
    </row>
    <row r="630">
      <c r="G630" s="78"/>
    </row>
    <row r="631">
      <c r="G631" s="78"/>
    </row>
    <row r="632">
      <c r="G632" s="78"/>
    </row>
    <row r="633">
      <c r="G633" s="78"/>
    </row>
    <row r="634">
      <c r="G634" s="78"/>
    </row>
    <row r="635">
      <c r="G635" s="78"/>
    </row>
    <row r="636">
      <c r="G636" s="78"/>
    </row>
    <row r="637">
      <c r="G637" s="78"/>
    </row>
    <row r="638">
      <c r="G638" s="78"/>
    </row>
    <row r="639">
      <c r="G639" s="78"/>
    </row>
    <row r="640">
      <c r="G640" s="78"/>
    </row>
    <row r="641">
      <c r="G641" s="78"/>
    </row>
    <row r="642">
      <c r="G642" s="78"/>
    </row>
    <row r="643">
      <c r="G643" s="78"/>
    </row>
    <row r="644">
      <c r="G644" s="78"/>
    </row>
    <row r="645">
      <c r="G645" s="78"/>
    </row>
    <row r="646">
      <c r="G646" s="78"/>
    </row>
    <row r="647">
      <c r="G647" s="78"/>
    </row>
    <row r="648">
      <c r="G648" s="78"/>
    </row>
    <row r="649">
      <c r="G649" s="78"/>
    </row>
    <row r="650">
      <c r="G650" s="78"/>
    </row>
    <row r="651">
      <c r="G651" s="78"/>
    </row>
    <row r="652">
      <c r="G652" s="78"/>
    </row>
    <row r="653">
      <c r="G653" s="78"/>
    </row>
    <row r="654">
      <c r="G654" s="78"/>
    </row>
    <row r="655">
      <c r="G655" s="78"/>
    </row>
    <row r="656">
      <c r="G656" s="78"/>
    </row>
    <row r="657">
      <c r="G657" s="78"/>
    </row>
    <row r="658">
      <c r="G658" s="78"/>
    </row>
    <row r="659">
      <c r="G659" s="78"/>
    </row>
    <row r="660">
      <c r="G660" s="78"/>
    </row>
    <row r="661">
      <c r="G661" s="78"/>
    </row>
    <row r="662">
      <c r="G662" s="78"/>
    </row>
    <row r="663">
      <c r="G663" s="78"/>
    </row>
    <row r="664">
      <c r="G664" s="78"/>
    </row>
    <row r="665">
      <c r="G665" s="78"/>
    </row>
    <row r="666">
      <c r="G666" s="78"/>
    </row>
    <row r="667">
      <c r="G667" s="78"/>
    </row>
    <row r="668">
      <c r="G668" s="78"/>
    </row>
    <row r="669">
      <c r="G669" s="78"/>
    </row>
    <row r="670">
      <c r="G670" s="78"/>
    </row>
    <row r="671">
      <c r="G671" s="78"/>
    </row>
    <row r="672">
      <c r="G672" s="78"/>
    </row>
    <row r="673">
      <c r="G673" s="78"/>
    </row>
    <row r="674">
      <c r="G674" s="78"/>
    </row>
    <row r="675">
      <c r="G675" s="78"/>
    </row>
    <row r="676">
      <c r="G676" s="78"/>
    </row>
    <row r="677">
      <c r="G677" s="78"/>
    </row>
    <row r="678">
      <c r="G678" s="78"/>
    </row>
    <row r="679">
      <c r="G679" s="78"/>
    </row>
    <row r="680">
      <c r="G680" s="78"/>
    </row>
    <row r="681">
      <c r="G681" s="78"/>
    </row>
    <row r="682">
      <c r="G682" s="78"/>
    </row>
    <row r="683">
      <c r="G683" s="78"/>
    </row>
    <row r="684">
      <c r="G684" s="78"/>
    </row>
    <row r="685">
      <c r="G685" s="78"/>
    </row>
    <row r="686">
      <c r="G686" s="78"/>
    </row>
    <row r="687">
      <c r="G687" s="78"/>
    </row>
    <row r="688">
      <c r="G688" s="78"/>
    </row>
    <row r="689">
      <c r="G689" s="78"/>
    </row>
    <row r="690">
      <c r="G690" s="78"/>
    </row>
    <row r="691">
      <c r="G691" s="78"/>
    </row>
    <row r="692">
      <c r="G692" s="78"/>
    </row>
    <row r="693">
      <c r="G693" s="78"/>
    </row>
    <row r="694">
      <c r="G694" s="78"/>
    </row>
    <row r="695">
      <c r="G695" s="78"/>
    </row>
    <row r="696">
      <c r="G696" s="78"/>
    </row>
    <row r="697">
      <c r="G697" s="78"/>
    </row>
    <row r="698">
      <c r="G698" s="78"/>
    </row>
    <row r="699">
      <c r="G699" s="78"/>
    </row>
    <row r="700">
      <c r="G700" s="78"/>
    </row>
    <row r="701">
      <c r="G701" s="78"/>
    </row>
    <row r="702">
      <c r="G702" s="78"/>
    </row>
    <row r="703">
      <c r="G703" s="78"/>
    </row>
    <row r="704">
      <c r="G704" s="78"/>
    </row>
    <row r="705">
      <c r="G705" s="78"/>
    </row>
    <row r="706">
      <c r="G706" s="78"/>
    </row>
    <row r="707">
      <c r="G707" s="78"/>
    </row>
    <row r="708">
      <c r="G708" s="78"/>
    </row>
    <row r="709">
      <c r="G709" s="78"/>
    </row>
    <row r="710">
      <c r="G710" s="78"/>
    </row>
    <row r="711">
      <c r="G711" s="78"/>
    </row>
    <row r="712">
      <c r="G712" s="78"/>
    </row>
    <row r="713">
      <c r="G713" s="78"/>
    </row>
    <row r="714">
      <c r="G714" s="78"/>
    </row>
    <row r="715">
      <c r="G715" s="78"/>
    </row>
    <row r="716">
      <c r="G716" s="78"/>
    </row>
    <row r="717">
      <c r="G717" s="78"/>
    </row>
    <row r="718">
      <c r="G718" s="78"/>
    </row>
    <row r="719">
      <c r="G719" s="78"/>
    </row>
    <row r="720">
      <c r="G720" s="78"/>
    </row>
    <row r="721">
      <c r="G721" s="78"/>
    </row>
    <row r="722">
      <c r="G722" s="78"/>
    </row>
    <row r="723">
      <c r="G723" s="78"/>
    </row>
    <row r="724">
      <c r="G724" s="78"/>
    </row>
    <row r="725">
      <c r="G725" s="78"/>
    </row>
    <row r="726">
      <c r="G726" s="78"/>
    </row>
    <row r="727">
      <c r="G727" s="78"/>
    </row>
    <row r="728">
      <c r="G728" s="78"/>
    </row>
    <row r="729">
      <c r="G729" s="78"/>
    </row>
    <row r="730">
      <c r="G730" s="78"/>
    </row>
    <row r="731">
      <c r="G731" s="78"/>
    </row>
    <row r="732">
      <c r="G732" s="78"/>
    </row>
    <row r="733">
      <c r="G733" s="78"/>
    </row>
    <row r="734">
      <c r="G734" s="78"/>
    </row>
    <row r="735">
      <c r="G735" s="78"/>
    </row>
    <row r="736">
      <c r="G736" s="78"/>
    </row>
    <row r="737">
      <c r="G737" s="78"/>
    </row>
    <row r="738">
      <c r="G738" s="78"/>
    </row>
    <row r="739">
      <c r="G739" s="78"/>
    </row>
    <row r="740">
      <c r="G740" s="78"/>
    </row>
    <row r="741">
      <c r="G741" s="78"/>
    </row>
    <row r="742">
      <c r="G742" s="78"/>
    </row>
    <row r="743">
      <c r="G743" s="78"/>
    </row>
    <row r="744">
      <c r="G744" s="78"/>
    </row>
    <row r="745">
      <c r="G745" s="78"/>
    </row>
    <row r="746">
      <c r="G746" s="78"/>
    </row>
    <row r="747">
      <c r="G747" s="78"/>
    </row>
    <row r="748">
      <c r="G748" s="78"/>
    </row>
    <row r="749">
      <c r="G749" s="78"/>
    </row>
    <row r="750">
      <c r="G750" s="78"/>
    </row>
    <row r="751">
      <c r="G751" s="78"/>
    </row>
    <row r="752">
      <c r="G752" s="78"/>
    </row>
    <row r="753">
      <c r="G753" s="78"/>
    </row>
    <row r="754">
      <c r="G754" s="78"/>
    </row>
    <row r="755">
      <c r="G755" s="78"/>
    </row>
    <row r="756">
      <c r="G756" s="78"/>
    </row>
    <row r="757">
      <c r="G757" s="78"/>
    </row>
    <row r="758">
      <c r="G758" s="78"/>
    </row>
    <row r="759">
      <c r="G759" s="78"/>
    </row>
    <row r="760">
      <c r="G760" s="78"/>
    </row>
    <row r="761">
      <c r="G761" s="78"/>
    </row>
    <row r="762">
      <c r="G762" s="78"/>
    </row>
    <row r="763">
      <c r="G763" s="78"/>
    </row>
    <row r="764">
      <c r="G764" s="78"/>
    </row>
    <row r="765">
      <c r="G765" s="78"/>
    </row>
    <row r="766">
      <c r="G766" s="78"/>
    </row>
    <row r="767">
      <c r="G767" s="78"/>
    </row>
    <row r="768">
      <c r="G768" s="78"/>
    </row>
    <row r="769">
      <c r="G769" s="78"/>
    </row>
    <row r="770">
      <c r="G770" s="78"/>
    </row>
    <row r="771">
      <c r="G771" s="78"/>
    </row>
    <row r="772">
      <c r="G772" s="78"/>
    </row>
    <row r="773">
      <c r="G773" s="78"/>
    </row>
    <row r="774">
      <c r="G774" s="78"/>
    </row>
    <row r="775">
      <c r="G775" s="78"/>
    </row>
    <row r="776">
      <c r="G776" s="78"/>
    </row>
    <row r="777">
      <c r="G777" s="78"/>
    </row>
    <row r="778">
      <c r="G778" s="78"/>
    </row>
    <row r="779">
      <c r="G779" s="78"/>
    </row>
    <row r="780">
      <c r="G780" s="78"/>
    </row>
    <row r="781">
      <c r="G781" s="78"/>
    </row>
    <row r="782">
      <c r="G782" s="78"/>
    </row>
    <row r="783">
      <c r="G783" s="78"/>
    </row>
    <row r="784">
      <c r="G784" s="78"/>
    </row>
    <row r="785">
      <c r="G785" s="78"/>
    </row>
    <row r="786">
      <c r="G786" s="78"/>
    </row>
    <row r="787">
      <c r="G787" s="78"/>
    </row>
    <row r="788">
      <c r="G788" s="78"/>
    </row>
    <row r="789">
      <c r="G789" s="78"/>
    </row>
    <row r="790">
      <c r="G790" s="78"/>
    </row>
    <row r="791">
      <c r="G791" s="78"/>
    </row>
    <row r="792">
      <c r="G792" s="78"/>
    </row>
    <row r="793">
      <c r="G793" s="78"/>
    </row>
    <row r="794">
      <c r="G794" s="78"/>
    </row>
    <row r="795">
      <c r="G795" s="78"/>
    </row>
    <row r="796">
      <c r="G796" s="78"/>
    </row>
    <row r="797">
      <c r="G797" s="78"/>
    </row>
    <row r="798">
      <c r="G798" s="78"/>
    </row>
    <row r="799">
      <c r="G799" s="78"/>
    </row>
    <row r="800">
      <c r="G800" s="78"/>
    </row>
    <row r="801">
      <c r="G801" s="78"/>
    </row>
    <row r="802">
      <c r="G802" s="78"/>
    </row>
    <row r="803">
      <c r="G803" s="78"/>
    </row>
    <row r="804">
      <c r="G804" s="78"/>
    </row>
    <row r="805">
      <c r="G805" s="78"/>
    </row>
    <row r="806">
      <c r="G806" s="78"/>
    </row>
    <row r="807">
      <c r="G807" s="78"/>
    </row>
    <row r="808">
      <c r="G808" s="78"/>
    </row>
    <row r="809">
      <c r="G809" s="78"/>
    </row>
    <row r="810">
      <c r="G810" s="78"/>
    </row>
    <row r="811">
      <c r="G811" s="78"/>
    </row>
    <row r="812">
      <c r="G812" s="78"/>
    </row>
    <row r="813">
      <c r="G813" s="78"/>
    </row>
    <row r="814">
      <c r="G814" s="78"/>
    </row>
    <row r="815">
      <c r="G815" s="78"/>
    </row>
    <row r="816">
      <c r="G816" s="78"/>
    </row>
    <row r="817">
      <c r="G817" s="78"/>
    </row>
    <row r="818">
      <c r="G818" s="78"/>
    </row>
    <row r="819">
      <c r="G819" s="78"/>
    </row>
    <row r="820">
      <c r="G820" s="78"/>
    </row>
    <row r="821">
      <c r="G821" s="78"/>
    </row>
    <row r="822">
      <c r="G822" s="78"/>
    </row>
    <row r="823">
      <c r="G823" s="78"/>
    </row>
    <row r="824">
      <c r="G824" s="78"/>
    </row>
    <row r="825">
      <c r="G825" s="78"/>
    </row>
    <row r="826">
      <c r="G826" s="78"/>
    </row>
    <row r="827">
      <c r="G827" s="78"/>
    </row>
    <row r="828">
      <c r="G828" s="78"/>
    </row>
    <row r="829">
      <c r="G829" s="78"/>
    </row>
    <row r="830">
      <c r="G830" s="78"/>
    </row>
    <row r="831">
      <c r="G831" s="78"/>
    </row>
    <row r="832">
      <c r="G832" s="78"/>
    </row>
    <row r="833">
      <c r="G833" s="78"/>
    </row>
    <row r="834">
      <c r="G834" s="78"/>
    </row>
    <row r="835">
      <c r="G835" s="78"/>
    </row>
    <row r="836">
      <c r="G836" s="78"/>
    </row>
    <row r="837">
      <c r="G837" s="78"/>
    </row>
    <row r="838">
      <c r="G838" s="78"/>
    </row>
    <row r="839">
      <c r="G839" s="78"/>
    </row>
    <row r="840">
      <c r="G840" s="78"/>
    </row>
    <row r="841">
      <c r="G841" s="78"/>
    </row>
    <row r="842">
      <c r="G842" s="78"/>
    </row>
    <row r="843">
      <c r="G843" s="78"/>
    </row>
    <row r="844">
      <c r="G844" s="78"/>
    </row>
    <row r="845">
      <c r="G845" s="78"/>
    </row>
    <row r="846">
      <c r="G846" s="78"/>
    </row>
    <row r="847">
      <c r="G847" s="78"/>
    </row>
    <row r="848">
      <c r="G848" s="78"/>
    </row>
    <row r="849">
      <c r="G849" s="78"/>
    </row>
    <row r="850">
      <c r="G850" s="78"/>
    </row>
    <row r="851">
      <c r="G851" s="78"/>
    </row>
    <row r="852">
      <c r="G852" s="78"/>
    </row>
    <row r="853">
      <c r="G853" s="78"/>
    </row>
    <row r="854">
      <c r="G854" s="78"/>
    </row>
    <row r="855">
      <c r="G855" s="78"/>
    </row>
    <row r="856">
      <c r="G856" s="78"/>
    </row>
    <row r="857">
      <c r="G857" s="78"/>
    </row>
    <row r="858">
      <c r="G858" s="78"/>
    </row>
    <row r="859">
      <c r="G859" s="78"/>
    </row>
    <row r="860">
      <c r="G860" s="78"/>
    </row>
    <row r="861">
      <c r="G861" s="78"/>
    </row>
    <row r="862">
      <c r="G862" s="78"/>
    </row>
    <row r="863">
      <c r="G863" s="78"/>
    </row>
    <row r="864">
      <c r="G864" s="78"/>
    </row>
    <row r="865">
      <c r="G865" s="78"/>
    </row>
    <row r="866">
      <c r="G866" s="78"/>
    </row>
    <row r="867">
      <c r="G867" s="78"/>
    </row>
    <row r="868">
      <c r="G868" s="78"/>
    </row>
    <row r="869">
      <c r="G869" s="78"/>
    </row>
    <row r="870">
      <c r="G870" s="78"/>
    </row>
    <row r="871">
      <c r="G871" s="78"/>
    </row>
    <row r="872">
      <c r="G872" s="78"/>
    </row>
    <row r="873">
      <c r="G873" s="78"/>
    </row>
    <row r="874">
      <c r="G874" s="78"/>
    </row>
    <row r="875">
      <c r="G875" s="78"/>
    </row>
    <row r="876">
      <c r="G876" s="78"/>
    </row>
    <row r="877">
      <c r="G877" s="78"/>
    </row>
    <row r="878">
      <c r="G878" s="78"/>
    </row>
    <row r="879">
      <c r="G879" s="78"/>
    </row>
    <row r="880">
      <c r="G880" s="78"/>
    </row>
    <row r="881">
      <c r="G881" s="78"/>
    </row>
    <row r="882">
      <c r="G882" s="78"/>
    </row>
    <row r="883">
      <c r="G883" s="78"/>
    </row>
    <row r="884">
      <c r="G884" s="78"/>
    </row>
    <row r="885">
      <c r="G885" s="78"/>
    </row>
    <row r="886">
      <c r="G886" s="78"/>
    </row>
    <row r="887">
      <c r="G887" s="78"/>
    </row>
    <row r="888">
      <c r="G888" s="78"/>
    </row>
    <row r="889">
      <c r="G889" s="78"/>
    </row>
    <row r="890">
      <c r="G890" s="78"/>
    </row>
    <row r="891">
      <c r="G891" s="78"/>
    </row>
    <row r="892">
      <c r="G892" s="78"/>
    </row>
    <row r="893">
      <c r="G893" s="78"/>
    </row>
    <row r="894">
      <c r="G894" s="78"/>
    </row>
    <row r="895">
      <c r="G895" s="78"/>
    </row>
    <row r="896">
      <c r="G896" s="78"/>
    </row>
    <row r="897">
      <c r="G897" s="78"/>
    </row>
    <row r="898">
      <c r="G898" s="78"/>
    </row>
    <row r="899">
      <c r="G899" s="78"/>
    </row>
    <row r="900">
      <c r="G900" s="78"/>
    </row>
    <row r="901">
      <c r="G901" s="78"/>
    </row>
    <row r="902">
      <c r="G902" s="78"/>
    </row>
    <row r="903">
      <c r="G903" s="78"/>
    </row>
    <row r="904">
      <c r="G904" s="78"/>
    </row>
    <row r="905">
      <c r="G905" s="78"/>
    </row>
    <row r="906">
      <c r="G906" s="78"/>
    </row>
    <row r="907">
      <c r="G907" s="78"/>
    </row>
    <row r="908">
      <c r="G908" s="78"/>
    </row>
    <row r="909">
      <c r="G909" s="78"/>
    </row>
    <row r="910">
      <c r="G910" s="78"/>
    </row>
    <row r="911">
      <c r="G911" s="78"/>
    </row>
    <row r="912">
      <c r="G912" s="78"/>
    </row>
    <row r="913">
      <c r="G913" s="78"/>
    </row>
    <row r="914">
      <c r="G914" s="78"/>
    </row>
    <row r="915">
      <c r="G915" s="78"/>
    </row>
    <row r="916">
      <c r="G916" s="78"/>
    </row>
    <row r="917">
      <c r="G917" s="78"/>
    </row>
    <row r="918">
      <c r="G918" s="78"/>
    </row>
    <row r="919">
      <c r="G919" s="78"/>
    </row>
    <row r="920">
      <c r="G920" s="78"/>
    </row>
    <row r="921">
      <c r="G921" s="78"/>
    </row>
    <row r="922">
      <c r="G922" s="78"/>
    </row>
    <row r="923">
      <c r="G923" s="78"/>
    </row>
    <row r="924">
      <c r="G924" s="78"/>
    </row>
    <row r="925">
      <c r="G925" s="78"/>
    </row>
    <row r="926">
      <c r="G926" s="78"/>
    </row>
    <row r="927">
      <c r="G927" s="78"/>
    </row>
    <row r="928">
      <c r="G928" s="78"/>
    </row>
    <row r="929">
      <c r="G929" s="78"/>
    </row>
    <row r="930">
      <c r="G930" s="78"/>
    </row>
    <row r="931">
      <c r="G931" s="78"/>
    </row>
    <row r="932">
      <c r="G932" s="78"/>
    </row>
    <row r="933">
      <c r="G933" s="78"/>
    </row>
    <row r="934">
      <c r="G934" s="78"/>
    </row>
    <row r="935">
      <c r="G935" s="78"/>
    </row>
    <row r="936">
      <c r="G936" s="78"/>
    </row>
    <row r="937">
      <c r="G937" s="78"/>
    </row>
    <row r="938">
      <c r="G938" s="78"/>
    </row>
    <row r="939">
      <c r="G939" s="78"/>
    </row>
    <row r="940">
      <c r="G940" s="78"/>
    </row>
    <row r="941">
      <c r="G941" s="78"/>
    </row>
    <row r="942">
      <c r="G942" s="78"/>
    </row>
    <row r="943">
      <c r="G943" s="78"/>
    </row>
    <row r="944">
      <c r="G944" s="78"/>
    </row>
    <row r="945">
      <c r="G945" s="78"/>
    </row>
    <row r="946">
      <c r="G946" s="78"/>
    </row>
    <row r="947">
      <c r="G947" s="78"/>
    </row>
    <row r="948">
      <c r="G948" s="78"/>
    </row>
    <row r="949">
      <c r="G949" s="78"/>
    </row>
    <row r="950">
      <c r="G950" s="78"/>
    </row>
    <row r="951">
      <c r="G951" s="78"/>
    </row>
    <row r="952">
      <c r="G952" s="78"/>
    </row>
    <row r="953">
      <c r="G953" s="78"/>
    </row>
    <row r="954">
      <c r="G954" s="78"/>
    </row>
    <row r="955">
      <c r="G955" s="78"/>
    </row>
    <row r="956">
      <c r="G956" s="78"/>
    </row>
    <row r="957">
      <c r="G957" s="78"/>
    </row>
    <row r="958">
      <c r="G958" s="78"/>
    </row>
    <row r="959">
      <c r="G959" s="78"/>
    </row>
    <row r="960">
      <c r="G960" s="78"/>
    </row>
    <row r="961">
      <c r="G961" s="78"/>
    </row>
    <row r="962">
      <c r="G962" s="78"/>
    </row>
    <row r="963">
      <c r="G963" s="78"/>
    </row>
    <row r="964">
      <c r="G964" s="78"/>
    </row>
    <row r="965">
      <c r="G965" s="78"/>
    </row>
    <row r="966">
      <c r="G966" s="78"/>
    </row>
    <row r="967">
      <c r="G967" s="78"/>
    </row>
    <row r="968">
      <c r="G968" s="78"/>
    </row>
    <row r="969">
      <c r="G969" s="78"/>
    </row>
    <row r="970">
      <c r="G970" s="78"/>
    </row>
    <row r="971">
      <c r="G971" s="78"/>
    </row>
    <row r="972">
      <c r="G972" s="78"/>
    </row>
    <row r="973">
      <c r="G973" s="78"/>
    </row>
    <row r="974">
      <c r="G974" s="78"/>
    </row>
    <row r="975">
      <c r="G975" s="78"/>
    </row>
    <row r="976">
      <c r="G976" s="78"/>
    </row>
    <row r="977">
      <c r="G977" s="78"/>
    </row>
    <row r="978">
      <c r="G978" s="78"/>
    </row>
    <row r="979">
      <c r="G979" s="78"/>
    </row>
    <row r="980">
      <c r="G980" s="78"/>
    </row>
    <row r="981">
      <c r="G981" s="78"/>
    </row>
    <row r="982">
      <c r="G982" s="78"/>
    </row>
    <row r="983">
      <c r="G983" s="78"/>
    </row>
    <row r="984">
      <c r="G984" s="78"/>
    </row>
    <row r="985">
      <c r="G985" s="78"/>
    </row>
    <row r="986">
      <c r="G986" s="78"/>
    </row>
    <row r="987">
      <c r="G987" s="78"/>
    </row>
    <row r="988">
      <c r="G988" s="78"/>
    </row>
    <row r="989">
      <c r="G989" s="78"/>
    </row>
    <row r="990">
      <c r="G990" s="78"/>
    </row>
    <row r="991">
      <c r="G991" s="78"/>
    </row>
    <row r="992">
      <c r="G992" s="78"/>
    </row>
    <row r="993">
      <c r="G993" s="78"/>
    </row>
    <row r="994">
      <c r="G994" s="78"/>
    </row>
    <row r="995">
      <c r="G995" s="78"/>
    </row>
    <row r="996">
      <c r="G996" s="78"/>
    </row>
    <row r="997">
      <c r="G997" s="78"/>
    </row>
    <row r="998">
      <c r="G998" s="78"/>
    </row>
    <row r="999">
      <c r="G999" s="78"/>
    </row>
    <row r="1000">
      <c r="G1000" s="78"/>
    </row>
    <row r="1001">
      <c r="G1001" s="78"/>
    </row>
    <row r="1002">
      <c r="G1002" s="78"/>
    </row>
    <row r="1003">
      <c r="G1003" s="78"/>
    </row>
    <row r="1004">
      <c r="G1004" s="78"/>
    </row>
    <row r="1005">
      <c r="G1005" s="78"/>
    </row>
    <row r="1006">
      <c r="G1006" s="78"/>
    </row>
    <row r="1007">
      <c r="G1007" s="78"/>
    </row>
    <row r="1008">
      <c r="G1008" s="78"/>
    </row>
    <row r="1009">
      <c r="G1009" s="78"/>
    </row>
    <row r="1010">
      <c r="G1010" s="78"/>
    </row>
    <row r="1011">
      <c r="G1011" s="78"/>
    </row>
    <row r="1012">
      <c r="G1012" s="78"/>
    </row>
    <row r="1013">
      <c r="G1013" s="78"/>
    </row>
    <row r="1014">
      <c r="G1014" s="78"/>
    </row>
    <row r="1015">
      <c r="G1015" s="78"/>
    </row>
    <row r="1016">
      <c r="G1016" s="78"/>
    </row>
    <row r="1017">
      <c r="G1017" s="78"/>
    </row>
    <row r="1018">
      <c r="G1018" s="78"/>
    </row>
    <row r="1019">
      <c r="G1019" s="78"/>
    </row>
    <row r="1020">
      <c r="G1020" s="78"/>
    </row>
    <row r="1021">
      <c r="G1021" s="78"/>
    </row>
    <row r="1022">
      <c r="G1022" s="78"/>
    </row>
    <row r="1023">
      <c r="G1023" s="78"/>
    </row>
    <row r="1024">
      <c r="G1024" s="78"/>
    </row>
    <row r="1025">
      <c r="G1025" s="78"/>
    </row>
    <row r="1026">
      <c r="G1026" s="78"/>
    </row>
    <row r="1027">
      <c r="G1027" s="78"/>
    </row>
    <row r="1028">
      <c r="G1028" s="78"/>
    </row>
    <row r="1029">
      <c r="G1029" s="78"/>
    </row>
    <row r="1030">
      <c r="G1030" s="78"/>
    </row>
    <row r="1031">
      <c r="G1031" s="78"/>
    </row>
    <row r="1032">
      <c r="G1032" s="78"/>
    </row>
  </sheetData>
  <mergeCells count="2">
    <mergeCell ref="C1:E1"/>
    <mergeCell ref="G1:I1"/>
  </mergeCells>
  <dataValidations>
    <dataValidation type="custom" allowBlank="1" showDropDown="1" showInputMessage="1" showErrorMessage="1" prompt="Enter a valid date" sqref="A3:A14 A18:A27">
      <formula1>OR(NOT(ISERROR(DATEVALUE(A3))), AND(ISNUMBER(A3), LEFT(CELL("format", A3))="D"))</formula1>
    </dataValidation>
  </dataValidations>
  <printOptions gridLines="1" horizontalCentered="1"/>
  <pageMargins bottom="0.3078913324708926" footer="0.0" header="0.0" left="0.10996119016817595" right="0.3078913324708926" top="0.24191461836998707"/>
  <pageSetup scale="6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45"/>
      <c r="B1" s="46" t="s">
        <v>66</v>
      </c>
      <c r="C1" s="45"/>
      <c r="D1" s="45"/>
      <c r="E1" s="80"/>
      <c r="F1" s="80"/>
      <c r="G1" s="45"/>
      <c r="H1" s="45"/>
      <c r="I1" s="45"/>
      <c r="J1" s="45"/>
      <c r="K1" s="45"/>
      <c r="L1" s="45"/>
      <c r="M1" s="45"/>
      <c r="N1" s="45"/>
    </row>
    <row r="2">
      <c r="A2" s="45"/>
      <c r="B2" s="45"/>
      <c r="C2" s="81" t="s">
        <v>67</v>
      </c>
      <c r="D2" s="81" t="s">
        <v>68</v>
      </c>
      <c r="E2" s="82" t="s">
        <v>69</v>
      </c>
      <c r="F2" s="82" t="s">
        <v>70</v>
      </c>
      <c r="G2" s="81" t="s">
        <v>71</v>
      </c>
      <c r="H2" s="81" t="s">
        <v>72</v>
      </c>
      <c r="I2" s="81" t="s">
        <v>73</v>
      </c>
      <c r="J2" s="81" t="s">
        <v>74</v>
      </c>
      <c r="K2" s="81" t="s">
        <v>75</v>
      </c>
      <c r="L2" s="81" t="s">
        <v>76</v>
      </c>
      <c r="M2" s="81" t="s">
        <v>77</v>
      </c>
      <c r="N2" s="81" t="s">
        <v>78</v>
      </c>
    </row>
    <row r="3">
      <c r="A3" s="43" t="s">
        <v>14</v>
      </c>
      <c r="B3" s="43" t="s">
        <v>14</v>
      </c>
      <c r="C3" s="83">
        <v>3.6842697E7</v>
      </c>
      <c r="D3" s="83">
        <v>6.5626335E7</v>
      </c>
      <c r="E3" s="83">
        <v>7.9724796E7</v>
      </c>
      <c r="F3" s="80">
        <v>5.6110277E7</v>
      </c>
      <c r="G3" s="83">
        <v>6.7602553E7</v>
      </c>
      <c r="H3" s="83">
        <v>5.9159975E7</v>
      </c>
      <c r="I3" s="46">
        <v>5.0105539E7</v>
      </c>
      <c r="J3" s="46">
        <v>1.13909741E8</v>
      </c>
      <c r="K3" s="46">
        <v>1.05230893E8</v>
      </c>
      <c r="L3" s="45">
        <v>6.5670079E7</v>
      </c>
      <c r="M3" s="45">
        <v>8.1149771E7</v>
      </c>
      <c r="N3" s="45">
        <v>1.30813916E8</v>
      </c>
    </row>
    <row r="4">
      <c r="A4" s="43" t="s">
        <v>15</v>
      </c>
      <c r="B4" s="43" t="s">
        <v>15</v>
      </c>
      <c r="C4" s="83">
        <v>4544055.0</v>
      </c>
      <c r="D4" s="83">
        <v>7966786.0</v>
      </c>
      <c r="E4" s="83">
        <v>9010156.0</v>
      </c>
      <c r="F4" s="80">
        <v>6355172.0</v>
      </c>
      <c r="G4" s="83">
        <v>6735272.0</v>
      </c>
      <c r="H4" s="83">
        <v>8179138.0</v>
      </c>
      <c r="I4" s="46">
        <v>6919065.0</v>
      </c>
      <c r="J4" s="46">
        <v>8222733.0</v>
      </c>
      <c r="K4" s="46">
        <v>7118211.0</v>
      </c>
      <c r="L4" s="45">
        <v>6454390.0</v>
      </c>
      <c r="M4" s="45">
        <v>7427036.0</v>
      </c>
      <c r="N4" s="45">
        <v>1.0829677E7</v>
      </c>
      <c r="O4" s="84"/>
    </row>
    <row r="5">
      <c r="A5" s="43" t="s">
        <v>16</v>
      </c>
      <c r="B5" s="43" t="s">
        <v>16</v>
      </c>
      <c r="C5" s="83">
        <v>324851.0</v>
      </c>
      <c r="D5" s="83">
        <v>805589.0</v>
      </c>
      <c r="E5" s="83">
        <v>967546.0</v>
      </c>
      <c r="F5" s="80">
        <v>1453508.0</v>
      </c>
      <c r="G5" s="83">
        <v>929075.0</v>
      </c>
      <c r="H5" s="83">
        <v>1313360.0</v>
      </c>
      <c r="I5" s="46">
        <v>1132851.0</v>
      </c>
      <c r="J5" s="46">
        <v>955454.0</v>
      </c>
      <c r="K5" s="46">
        <v>1328775.0</v>
      </c>
      <c r="L5" s="45">
        <v>1507022.0</v>
      </c>
      <c r="M5" s="45">
        <v>1255488.0</v>
      </c>
      <c r="N5" s="45">
        <v>1155094.0</v>
      </c>
      <c r="O5" s="84"/>
    </row>
    <row r="6">
      <c r="A6" s="46" t="s">
        <v>17</v>
      </c>
      <c r="B6" s="46" t="s">
        <v>17</v>
      </c>
      <c r="C6" s="83">
        <v>1342320.0</v>
      </c>
      <c r="D6" s="83">
        <v>1327082.0</v>
      </c>
      <c r="E6" s="83">
        <v>2385237.0</v>
      </c>
      <c r="F6" s="80">
        <v>1468745.0</v>
      </c>
      <c r="G6" s="83">
        <v>1381740.0</v>
      </c>
      <c r="H6" s="83">
        <v>1412044.0</v>
      </c>
      <c r="I6" s="46">
        <v>1188348.0</v>
      </c>
      <c r="J6" s="46">
        <v>1558403.0</v>
      </c>
      <c r="K6" s="46">
        <v>1541356.0</v>
      </c>
      <c r="L6" s="45">
        <v>1733587.0</v>
      </c>
      <c r="M6" s="45">
        <v>1336967.0</v>
      </c>
      <c r="N6" s="45">
        <v>2202681.0</v>
      </c>
      <c r="O6" s="84"/>
    </row>
    <row r="7">
      <c r="A7" s="43" t="s">
        <v>18</v>
      </c>
      <c r="B7" s="43" t="s">
        <v>18</v>
      </c>
      <c r="C7" s="83">
        <v>18286.0</v>
      </c>
      <c r="D7" s="83">
        <v>88809.0</v>
      </c>
      <c r="E7" s="83"/>
      <c r="F7" s="80">
        <v>125337.0</v>
      </c>
      <c r="G7" s="83">
        <v>34918.0</v>
      </c>
      <c r="H7" s="83">
        <v>67374.0</v>
      </c>
      <c r="I7" s="46">
        <v>1555.0</v>
      </c>
      <c r="J7" s="46">
        <v>19887.0</v>
      </c>
      <c r="K7" s="46">
        <v>121342.0</v>
      </c>
      <c r="L7" s="45">
        <v>8892.0</v>
      </c>
      <c r="M7" s="45">
        <v>6257.0</v>
      </c>
      <c r="N7" s="45">
        <v>65567.0</v>
      </c>
      <c r="O7" s="84"/>
    </row>
    <row r="8">
      <c r="A8" s="49"/>
      <c r="B8" s="49"/>
      <c r="C8" s="80" t="s">
        <v>79</v>
      </c>
      <c r="D8" s="80" t="s">
        <v>79</v>
      </c>
      <c r="E8" s="80" t="s">
        <v>79</v>
      </c>
      <c r="F8" s="80" t="s">
        <v>79</v>
      </c>
      <c r="G8" s="80" t="s">
        <v>79</v>
      </c>
      <c r="H8" s="80" t="s">
        <v>79</v>
      </c>
      <c r="I8" s="45"/>
      <c r="J8" s="45"/>
      <c r="K8" s="45"/>
      <c r="L8" s="45"/>
      <c r="M8" s="45"/>
      <c r="N8" s="45"/>
      <c r="O8" s="84"/>
    </row>
    <row r="9">
      <c r="A9" s="85">
        <f>SUM(C9:N9)</f>
        <v>1034273610</v>
      </c>
      <c r="B9" s="50" t="s">
        <v>6</v>
      </c>
      <c r="C9" s="80">
        <v>4.3072209E7</v>
      </c>
      <c r="D9" s="80">
        <f t="shared" ref="D9:E9" si="1">SUM(D3:D7)</f>
        <v>75814601</v>
      </c>
      <c r="E9" s="80">
        <f t="shared" si="1"/>
        <v>92087735</v>
      </c>
      <c r="F9" s="80">
        <v>6.5513039E7</v>
      </c>
      <c r="G9" s="80">
        <f t="shared" ref="G9:N9" si="2">SUM(G3:G7)</f>
        <v>76683558</v>
      </c>
      <c r="H9" s="80">
        <f t="shared" si="2"/>
        <v>70131891</v>
      </c>
      <c r="I9" s="80">
        <f t="shared" si="2"/>
        <v>59347358</v>
      </c>
      <c r="J9" s="80">
        <f t="shared" si="2"/>
        <v>124666218</v>
      </c>
      <c r="K9" s="80">
        <f t="shared" si="2"/>
        <v>115340577</v>
      </c>
      <c r="L9" s="80">
        <f t="shared" si="2"/>
        <v>75373970</v>
      </c>
      <c r="M9" s="80">
        <f t="shared" si="2"/>
        <v>91175519</v>
      </c>
      <c r="N9" s="80">
        <f t="shared" si="2"/>
        <v>145066935</v>
      </c>
      <c r="O9" s="84"/>
    </row>
    <row r="10">
      <c r="A10" s="51"/>
      <c r="B10" s="86">
        <f>sum(C9:N9)</f>
        <v>1034273610</v>
      </c>
      <c r="C10" s="80" t="s">
        <v>79</v>
      </c>
      <c r="D10" s="80" t="s">
        <v>79</v>
      </c>
      <c r="E10" s="80" t="s">
        <v>79</v>
      </c>
      <c r="F10" s="80" t="s">
        <v>79</v>
      </c>
      <c r="G10" s="80" t="s">
        <v>79</v>
      </c>
      <c r="H10" s="80" t="s">
        <v>79</v>
      </c>
      <c r="I10" s="45"/>
      <c r="J10" s="45"/>
      <c r="K10" s="45"/>
      <c r="L10" s="45"/>
      <c r="M10" s="45"/>
      <c r="N10" s="45"/>
      <c r="O10" s="84"/>
    </row>
    <row r="11">
      <c r="A11" s="87" t="s">
        <v>80</v>
      </c>
      <c r="B11" s="43" t="s">
        <v>19</v>
      </c>
      <c r="C11" s="83">
        <v>2.354397E7</v>
      </c>
      <c r="D11" s="83">
        <v>4.0135349E7</v>
      </c>
      <c r="E11" s="83">
        <v>4.6323099E7</v>
      </c>
      <c r="F11" s="80">
        <v>3.7545714E7</v>
      </c>
      <c r="G11" s="83">
        <v>4.0563973E7</v>
      </c>
      <c r="H11" s="83">
        <v>5.1477504E7</v>
      </c>
      <c r="I11" s="46">
        <v>3.531663E7</v>
      </c>
      <c r="J11" s="46">
        <v>8.9853164E7</v>
      </c>
      <c r="K11" s="46">
        <v>7.7886718E7</v>
      </c>
      <c r="L11" s="45">
        <v>4.5422022E7</v>
      </c>
      <c r="M11" s="45">
        <v>5.114719E7</v>
      </c>
      <c r="N11" s="45">
        <v>1.07601316E8</v>
      </c>
      <c r="O11" s="84"/>
    </row>
    <row r="12">
      <c r="A12" s="43" t="s">
        <v>20</v>
      </c>
      <c r="B12" s="43" t="s">
        <v>20</v>
      </c>
      <c r="C12" s="83">
        <v>4793190.0</v>
      </c>
      <c r="D12" s="83">
        <v>1.1228251E7</v>
      </c>
      <c r="E12" s="83">
        <v>9772975.0</v>
      </c>
      <c r="F12" s="80">
        <v>9378282.0</v>
      </c>
      <c r="G12" s="83">
        <v>9846591.0</v>
      </c>
      <c r="H12" s="83">
        <v>1.1261889E7</v>
      </c>
      <c r="I12" s="46">
        <v>7800924.0</v>
      </c>
      <c r="J12" s="46">
        <v>1.3206362E7</v>
      </c>
      <c r="K12" s="46">
        <v>1.2950502E7</v>
      </c>
      <c r="L12" s="45">
        <v>1.421988E7</v>
      </c>
      <c r="M12" s="45">
        <v>1.5272826E7</v>
      </c>
      <c r="N12" s="45">
        <v>2.1732338E7</v>
      </c>
      <c r="O12" s="84"/>
    </row>
    <row r="13">
      <c r="A13" s="43" t="s">
        <v>23</v>
      </c>
      <c r="B13" s="43" t="s">
        <v>23</v>
      </c>
      <c r="C13" s="83"/>
      <c r="D13" s="88">
        <v>0.0</v>
      </c>
      <c r="E13" s="83">
        <v>15166.0</v>
      </c>
      <c r="F13" s="89">
        <v>0.0</v>
      </c>
      <c r="G13" s="88">
        <v>0.0</v>
      </c>
      <c r="H13" s="88">
        <v>0.0</v>
      </c>
      <c r="I13" s="46">
        <v>0.0</v>
      </c>
      <c r="J13" s="46">
        <v>0.0</v>
      </c>
      <c r="K13" s="46">
        <v>0.0</v>
      </c>
      <c r="L13" s="46">
        <v>0.0</v>
      </c>
      <c r="M13" s="46">
        <v>0.0</v>
      </c>
      <c r="N13" s="46">
        <v>0.0</v>
      </c>
      <c r="O13" s="84"/>
    </row>
    <row r="14">
      <c r="A14" s="22" t="s">
        <v>81</v>
      </c>
      <c r="B14" s="43" t="s">
        <v>21</v>
      </c>
      <c r="C14" s="83">
        <v>445722.0</v>
      </c>
      <c r="D14" s="83">
        <v>1348362.0</v>
      </c>
      <c r="E14" s="83">
        <v>909041.0</v>
      </c>
      <c r="F14" s="80">
        <v>1039119.0</v>
      </c>
      <c r="G14" s="83">
        <v>762020.0</v>
      </c>
      <c r="H14" s="83">
        <v>737992.0</v>
      </c>
      <c r="I14" s="46">
        <v>752872.0</v>
      </c>
      <c r="J14" s="46">
        <v>388741.0</v>
      </c>
      <c r="K14" s="46">
        <v>1065662.0</v>
      </c>
      <c r="L14" s="45">
        <v>681351.0</v>
      </c>
      <c r="M14" s="45">
        <v>1392334.0</v>
      </c>
      <c r="N14" s="45">
        <v>1453910.0</v>
      </c>
      <c r="O14" s="84"/>
    </row>
    <row r="15">
      <c r="A15" s="43" t="s">
        <v>22</v>
      </c>
      <c r="B15" s="43" t="s">
        <v>22</v>
      </c>
      <c r="C15" s="83">
        <v>209582.0</v>
      </c>
      <c r="D15" s="88">
        <v>0.0</v>
      </c>
      <c r="E15" s="88">
        <v>0.0</v>
      </c>
      <c r="F15" s="89">
        <v>0.0</v>
      </c>
      <c r="G15" s="83">
        <v>107427.0</v>
      </c>
      <c r="H15" s="83">
        <v>427118.0</v>
      </c>
      <c r="I15" s="46">
        <v>437299.0</v>
      </c>
      <c r="J15" s="46">
        <v>543997.0</v>
      </c>
      <c r="K15" s="46">
        <v>1339665.0</v>
      </c>
      <c r="L15" s="45">
        <v>56839.0</v>
      </c>
      <c r="M15" s="46">
        <v>0.0</v>
      </c>
      <c r="N15" s="45">
        <v>47843.0</v>
      </c>
      <c r="O15" s="84"/>
    </row>
    <row r="16">
      <c r="A16" s="85">
        <f>SUM(C16:N16)</f>
        <v>802442721</v>
      </c>
      <c r="B16" s="50" t="s">
        <v>6</v>
      </c>
      <c r="C16" s="80">
        <v>2.8992464E7</v>
      </c>
      <c r="D16" s="80">
        <f t="shared" ref="D16:E16" si="3">SUM(D11:D15)</f>
        <v>52711962</v>
      </c>
      <c r="E16" s="80">
        <f t="shared" si="3"/>
        <v>57020281</v>
      </c>
      <c r="F16" s="80">
        <v>4.7963115E7</v>
      </c>
      <c r="G16" s="80">
        <f t="shared" ref="G16:N16" si="4">SUM(G11:G15)</f>
        <v>51280011</v>
      </c>
      <c r="H16" s="80">
        <f t="shared" si="4"/>
        <v>63904503</v>
      </c>
      <c r="I16" s="80">
        <f t="shared" si="4"/>
        <v>44307725</v>
      </c>
      <c r="J16" s="80">
        <f t="shared" si="4"/>
        <v>103992264</v>
      </c>
      <c r="K16" s="80">
        <f t="shared" si="4"/>
        <v>93242547</v>
      </c>
      <c r="L16" s="80">
        <f t="shared" si="4"/>
        <v>60380092</v>
      </c>
      <c r="M16" s="80">
        <f t="shared" si="4"/>
        <v>67812350</v>
      </c>
      <c r="N16" s="80">
        <f t="shared" si="4"/>
        <v>130835407</v>
      </c>
      <c r="O16" s="84"/>
    </row>
    <row r="17">
      <c r="A17" s="51"/>
      <c r="B17" s="86">
        <f>sum(C16:N16)</f>
        <v>802442721</v>
      </c>
      <c r="C17" s="80" t="s">
        <v>79</v>
      </c>
      <c r="D17" s="80" t="s">
        <v>79</v>
      </c>
      <c r="E17" s="80" t="s">
        <v>79</v>
      </c>
      <c r="F17" s="80" t="s">
        <v>79</v>
      </c>
      <c r="G17" s="80" t="s">
        <v>79</v>
      </c>
      <c r="H17" s="80" t="s">
        <v>79</v>
      </c>
      <c r="I17" s="45"/>
      <c r="J17" s="45"/>
      <c r="K17" s="45"/>
      <c r="L17" s="45"/>
      <c r="M17" s="45"/>
      <c r="N17" s="45"/>
      <c r="O17" s="84"/>
    </row>
    <row r="18">
      <c r="A18" s="43" t="s">
        <v>24</v>
      </c>
      <c r="B18" s="43" t="s">
        <v>24</v>
      </c>
      <c r="C18" s="83">
        <v>4917073.0</v>
      </c>
      <c r="D18" s="83">
        <v>1.28172E7</v>
      </c>
      <c r="E18" s="83">
        <v>9416652.0</v>
      </c>
      <c r="F18" s="80">
        <v>8869897.0</v>
      </c>
      <c r="G18" s="83">
        <v>9624863.0</v>
      </c>
      <c r="H18" s="83">
        <v>1.0441429E7</v>
      </c>
      <c r="I18" s="46">
        <v>6391331.0</v>
      </c>
      <c r="J18" s="46">
        <v>1.3001573E7</v>
      </c>
      <c r="K18" s="46">
        <v>1.1353127E7</v>
      </c>
      <c r="L18" s="45">
        <v>8160108.0</v>
      </c>
      <c r="M18" s="45">
        <v>1.1436588E7</v>
      </c>
      <c r="N18" s="45">
        <v>1.5960124E7</v>
      </c>
      <c r="O18" s="84"/>
    </row>
    <row r="19">
      <c r="A19" s="43" t="s">
        <v>82</v>
      </c>
      <c r="B19" s="43" t="s">
        <v>25</v>
      </c>
      <c r="C19" s="83">
        <v>165531.0</v>
      </c>
      <c r="D19" s="83">
        <v>419283.0</v>
      </c>
      <c r="E19" s="83">
        <v>393186.0</v>
      </c>
      <c r="F19" s="80">
        <v>490367.0</v>
      </c>
      <c r="G19" s="83">
        <v>744177.0</v>
      </c>
      <c r="H19" s="83">
        <v>776647.0</v>
      </c>
      <c r="I19" s="46">
        <v>657097.0</v>
      </c>
      <c r="J19" s="46">
        <v>586563.0</v>
      </c>
      <c r="K19" s="46">
        <v>613013.0</v>
      </c>
      <c r="L19" s="45">
        <v>539527.0</v>
      </c>
      <c r="M19" s="45">
        <v>658915.0</v>
      </c>
      <c r="N19" s="45">
        <v>916779.0</v>
      </c>
      <c r="O19" s="84"/>
    </row>
    <row r="20">
      <c r="A20" s="43" t="s">
        <v>83</v>
      </c>
      <c r="B20" s="43" t="s">
        <v>26</v>
      </c>
      <c r="C20" s="83">
        <v>399571.0</v>
      </c>
      <c r="D20" s="83">
        <v>166873.0</v>
      </c>
      <c r="E20" s="83">
        <v>383586.0</v>
      </c>
      <c r="F20" s="80">
        <v>562024.0</v>
      </c>
      <c r="G20" s="83">
        <v>375107.0</v>
      </c>
      <c r="H20" s="83">
        <v>814002.0</v>
      </c>
      <c r="I20" s="46">
        <v>534460.0</v>
      </c>
      <c r="J20" s="46">
        <v>1137828.0</v>
      </c>
      <c r="K20" s="46">
        <v>1855926.0</v>
      </c>
      <c r="L20" s="45">
        <v>883070.0</v>
      </c>
      <c r="M20" s="45">
        <v>2505352.0</v>
      </c>
      <c r="N20" s="45">
        <v>3761532.0</v>
      </c>
      <c r="O20" s="84"/>
    </row>
    <row r="21">
      <c r="A21" s="51"/>
      <c r="B21" s="51"/>
      <c r="C21" s="80" t="s">
        <v>79</v>
      </c>
      <c r="D21" s="80" t="s">
        <v>79</v>
      </c>
      <c r="E21" s="80" t="s">
        <v>79</v>
      </c>
      <c r="F21" s="80"/>
      <c r="G21" s="80" t="s">
        <v>79</v>
      </c>
      <c r="H21" s="80" t="s">
        <v>79</v>
      </c>
      <c r="I21" s="45"/>
      <c r="J21" s="45"/>
      <c r="K21" s="45"/>
      <c r="L21" s="45"/>
      <c r="M21" s="45"/>
      <c r="N21" s="45"/>
      <c r="O21" s="84"/>
    </row>
    <row r="22">
      <c r="A22" s="85">
        <f>SUM(C22:N22)</f>
        <v>142730381</v>
      </c>
      <c r="B22" s="50" t="s">
        <v>6</v>
      </c>
      <c r="C22" s="80">
        <v>5482175.0</v>
      </c>
      <c r="D22" s="80">
        <f t="shared" ref="D22:E22" si="5">SUM(D18:D20)</f>
        <v>13403356</v>
      </c>
      <c r="E22" s="80">
        <f t="shared" si="5"/>
        <v>10193424</v>
      </c>
      <c r="F22" s="80">
        <v>9922288.0</v>
      </c>
      <c r="G22" s="80">
        <f t="shared" ref="G22:N22" si="6">SUM(G18:G20)</f>
        <v>10744147</v>
      </c>
      <c r="H22" s="80">
        <f t="shared" si="6"/>
        <v>12032078</v>
      </c>
      <c r="I22" s="80">
        <f t="shared" si="6"/>
        <v>7582888</v>
      </c>
      <c r="J22" s="80">
        <f t="shared" si="6"/>
        <v>14725964</v>
      </c>
      <c r="K22" s="80">
        <f t="shared" si="6"/>
        <v>13822066</v>
      </c>
      <c r="L22" s="80">
        <f t="shared" si="6"/>
        <v>9582705</v>
      </c>
      <c r="M22" s="80">
        <f t="shared" si="6"/>
        <v>14600855</v>
      </c>
      <c r="N22" s="80">
        <f t="shared" si="6"/>
        <v>20638435</v>
      </c>
      <c r="O22" s="84"/>
    </row>
    <row r="23">
      <c r="A23" s="51"/>
      <c r="B23" s="86">
        <f>sum(C22:N22)</f>
        <v>142730381</v>
      </c>
      <c r="C23" s="80" t="s">
        <v>79</v>
      </c>
      <c r="D23" s="80" t="s">
        <v>79</v>
      </c>
      <c r="E23" s="80" t="s">
        <v>79</v>
      </c>
      <c r="F23" s="80"/>
      <c r="G23" s="80" t="s">
        <v>79</v>
      </c>
      <c r="H23" s="80" t="s">
        <v>79</v>
      </c>
      <c r="I23" s="45"/>
      <c r="J23" s="45"/>
      <c r="K23" s="45"/>
      <c r="L23" s="45"/>
      <c r="M23" s="45"/>
      <c r="N23" s="45"/>
      <c r="O23" s="84"/>
    </row>
    <row r="24">
      <c r="A24" s="22" t="s">
        <v>84</v>
      </c>
      <c r="B24" s="43" t="s">
        <v>27</v>
      </c>
      <c r="C24" s="83">
        <v>6117070.0</v>
      </c>
      <c r="D24" s="83">
        <v>1.5496135E7</v>
      </c>
      <c r="E24" s="83">
        <v>9666589.0</v>
      </c>
      <c r="F24" s="80">
        <v>1.4204258E7</v>
      </c>
      <c r="G24" s="83">
        <v>1.8482892E7</v>
      </c>
      <c r="H24" s="83">
        <v>1.0005819E7</v>
      </c>
      <c r="I24" s="46">
        <v>1.0021119E7</v>
      </c>
      <c r="J24" s="46">
        <v>1.1467264E7</v>
      </c>
      <c r="K24" s="46">
        <v>1.3211505E7</v>
      </c>
      <c r="L24" s="45">
        <v>3.3066792E7</v>
      </c>
      <c r="M24" s="45">
        <v>2.2475295E7</v>
      </c>
      <c r="N24" s="45">
        <v>2.9714464E7</v>
      </c>
      <c r="O24" s="84"/>
    </row>
    <row r="25">
      <c r="A25" s="43" t="s">
        <v>28</v>
      </c>
      <c r="B25" s="43" t="s">
        <v>28</v>
      </c>
      <c r="C25" s="83">
        <v>5651931.0</v>
      </c>
      <c r="D25" s="83">
        <v>1.4831072E7</v>
      </c>
      <c r="E25" s="83">
        <v>8420427.0</v>
      </c>
      <c r="F25" s="80">
        <v>1.1889066E7</v>
      </c>
      <c r="G25" s="83">
        <v>1.8055874E7</v>
      </c>
      <c r="H25" s="83">
        <v>1.0275997E7</v>
      </c>
      <c r="I25" s="46">
        <v>1.0353651E7</v>
      </c>
      <c r="J25" s="46">
        <v>1.0947742E7</v>
      </c>
      <c r="K25" s="46">
        <v>1.163126E7</v>
      </c>
      <c r="L25" s="45">
        <v>3.5345323E7</v>
      </c>
      <c r="M25" s="45">
        <v>3.882589E7</v>
      </c>
      <c r="N25" s="45">
        <v>3.6840689E7</v>
      </c>
      <c r="O25" s="84"/>
    </row>
    <row r="26">
      <c r="A26" s="43" t="s">
        <v>85</v>
      </c>
      <c r="B26" s="43" t="s">
        <v>29</v>
      </c>
      <c r="C26" s="83">
        <v>4154323.0</v>
      </c>
      <c r="D26" s="83">
        <v>9503493.0</v>
      </c>
      <c r="E26" s="83">
        <v>6456936.0</v>
      </c>
      <c r="F26" s="80">
        <v>5861284.0</v>
      </c>
      <c r="G26" s="83">
        <v>6235383.0</v>
      </c>
      <c r="H26" s="83">
        <v>6119786.0</v>
      </c>
      <c r="I26" s="46">
        <v>3789628.0</v>
      </c>
      <c r="J26" s="46">
        <v>6573969.0</v>
      </c>
      <c r="K26" s="46">
        <v>6205234.0</v>
      </c>
      <c r="L26" s="45">
        <v>7205124.0</v>
      </c>
      <c r="M26" s="45">
        <v>7913456.0</v>
      </c>
      <c r="N26" s="45">
        <v>1.4215727E7</v>
      </c>
      <c r="O26" s="84"/>
    </row>
    <row r="27">
      <c r="A27" s="43" t="s">
        <v>30</v>
      </c>
      <c r="B27" s="43" t="s">
        <v>30</v>
      </c>
      <c r="C27" s="83">
        <v>3727425.0</v>
      </c>
      <c r="D27" s="83">
        <v>1.5099719E7</v>
      </c>
      <c r="E27" s="83">
        <v>1.067029E7</v>
      </c>
      <c r="F27" s="80">
        <v>5205006.0</v>
      </c>
      <c r="G27" s="83">
        <v>6830420.0</v>
      </c>
      <c r="H27" s="83">
        <v>9003867.0</v>
      </c>
      <c r="I27" s="46">
        <v>7452625.0</v>
      </c>
      <c r="J27" s="46">
        <v>7559688.0</v>
      </c>
      <c r="K27" s="46">
        <v>9343253.0</v>
      </c>
      <c r="L27" s="45">
        <v>8477036.0</v>
      </c>
      <c r="M27" s="45">
        <v>1.7688832E7</v>
      </c>
      <c r="N27" s="45">
        <v>1.7925754E7</v>
      </c>
      <c r="O27" s="84"/>
    </row>
    <row r="28">
      <c r="A28" s="43" t="s">
        <v>31</v>
      </c>
      <c r="B28" s="43" t="s">
        <v>31</v>
      </c>
      <c r="C28" s="83">
        <v>1.0834553E7</v>
      </c>
      <c r="D28" s="83">
        <v>1.9902769E7</v>
      </c>
      <c r="E28" s="83">
        <v>1.3277076E7</v>
      </c>
      <c r="F28" s="80">
        <v>1.3305459E7</v>
      </c>
      <c r="G28" s="83">
        <v>1.3129133E7</v>
      </c>
      <c r="H28" s="88">
        <v>4703535.0</v>
      </c>
      <c r="I28" s="46">
        <v>1.4267271E7</v>
      </c>
      <c r="J28" s="45">
        <v>1.3969701E7</v>
      </c>
      <c r="K28" s="46">
        <v>1.5771854E7</v>
      </c>
      <c r="L28" s="45">
        <v>1.5488122E7</v>
      </c>
      <c r="M28" s="45">
        <v>2.2710909E7</v>
      </c>
      <c r="N28" s="46">
        <v>2.7148185E7</v>
      </c>
      <c r="O28" s="84"/>
    </row>
    <row r="29">
      <c r="A29" s="43" t="s">
        <v>32</v>
      </c>
      <c r="B29" s="43" t="s">
        <v>32</v>
      </c>
      <c r="C29" s="83">
        <v>2229134.0</v>
      </c>
      <c r="D29" s="83">
        <v>4516570.0</v>
      </c>
      <c r="E29" s="83">
        <v>3299701.0</v>
      </c>
      <c r="F29" s="80">
        <v>4999255.0</v>
      </c>
      <c r="G29" s="83">
        <v>3538050.0</v>
      </c>
      <c r="H29" s="88">
        <v>1.9973789E7</v>
      </c>
      <c r="I29" s="46">
        <v>4175277.0</v>
      </c>
      <c r="J29" s="46">
        <v>3314605.0</v>
      </c>
      <c r="K29" s="46">
        <v>3828160.0</v>
      </c>
      <c r="L29" s="45">
        <v>4554583.0</v>
      </c>
      <c r="M29" s="45">
        <v>5820676.0</v>
      </c>
      <c r="N29" s="45">
        <v>6174214.0</v>
      </c>
      <c r="O29" s="84"/>
    </row>
    <row r="30">
      <c r="A30" s="43" t="s">
        <v>33</v>
      </c>
      <c r="B30" s="43" t="s">
        <v>33</v>
      </c>
      <c r="C30" s="83">
        <v>5512108.0</v>
      </c>
      <c r="D30" s="83">
        <v>1.0582941E7</v>
      </c>
      <c r="E30" s="83">
        <v>1.2153413E7</v>
      </c>
      <c r="F30" s="80">
        <v>1.2718008E7</v>
      </c>
      <c r="G30" s="83">
        <v>9065753.0</v>
      </c>
      <c r="H30" s="83">
        <v>1.1021729E7</v>
      </c>
      <c r="I30" s="46">
        <v>1.1020307E7</v>
      </c>
      <c r="J30" s="46">
        <v>1.1370839E7</v>
      </c>
      <c r="K30" s="46">
        <v>1.5599115E7</v>
      </c>
      <c r="L30" s="45">
        <v>1.076615E7</v>
      </c>
      <c r="M30" s="45">
        <v>1.067822E7</v>
      </c>
      <c r="N30" s="45">
        <v>2.3273133E7</v>
      </c>
      <c r="O30" s="84"/>
    </row>
    <row r="31">
      <c r="A31" s="43" t="s">
        <v>34</v>
      </c>
      <c r="B31" s="43" t="s">
        <v>34</v>
      </c>
      <c r="C31" s="88">
        <v>0.0</v>
      </c>
      <c r="D31" s="83">
        <v>1.0394036E7</v>
      </c>
      <c r="E31" s="83">
        <v>4.2442809E7</v>
      </c>
      <c r="F31" s="80">
        <v>3.3345978E7</v>
      </c>
      <c r="G31" s="83">
        <v>6959242.0</v>
      </c>
      <c r="H31" s="83">
        <v>4554640.0</v>
      </c>
      <c r="I31" s="46">
        <v>4.1690065E7</v>
      </c>
      <c r="J31" s="46">
        <v>267194.0</v>
      </c>
      <c r="K31" s="46">
        <v>0.0</v>
      </c>
      <c r="L31" s="45">
        <v>916889.0</v>
      </c>
      <c r="M31" s="46">
        <v>0.0</v>
      </c>
      <c r="N31" s="45">
        <v>5527656.0</v>
      </c>
      <c r="O31" s="84"/>
    </row>
    <row r="32">
      <c r="A32" s="43" t="s">
        <v>35</v>
      </c>
      <c r="B32" s="43" t="s">
        <v>86</v>
      </c>
      <c r="C32" s="83">
        <v>1066245.0</v>
      </c>
      <c r="D32" s="83">
        <v>4476875.0</v>
      </c>
      <c r="E32" s="83">
        <v>6066241.0</v>
      </c>
      <c r="F32" s="80">
        <v>2045737.0</v>
      </c>
      <c r="G32" s="83">
        <v>1712576.0</v>
      </c>
      <c r="H32" s="83">
        <v>1989758.0</v>
      </c>
      <c r="I32" s="46">
        <v>1772226.0</v>
      </c>
      <c r="J32" s="46">
        <v>3659384.0</v>
      </c>
      <c r="K32" s="46">
        <v>5740398.0</v>
      </c>
      <c r="L32" s="45">
        <v>6714972.0</v>
      </c>
      <c r="M32" s="45">
        <v>7390444.0</v>
      </c>
      <c r="N32" s="45">
        <v>1.0189677E7</v>
      </c>
      <c r="O32" s="84"/>
    </row>
    <row r="33">
      <c r="A33" s="85">
        <f>SUM(C33:N33)</f>
        <v>1203833721</v>
      </c>
      <c r="B33" s="50" t="s">
        <v>6</v>
      </c>
      <c r="C33" s="80">
        <v>3.9292789E7</v>
      </c>
      <c r="D33" s="80">
        <f t="shared" ref="D33:E33" si="7">SUM(D24:D32)</f>
        <v>104803610</v>
      </c>
      <c r="E33" s="80">
        <f t="shared" si="7"/>
        <v>112453482</v>
      </c>
      <c r="F33" s="80">
        <v>1.03574051E8</v>
      </c>
      <c r="G33" s="80">
        <f t="shared" ref="G33:N33" si="8">SUM(G24:G32)</f>
        <v>84009323</v>
      </c>
      <c r="H33" s="80">
        <f t="shared" si="8"/>
        <v>77648920</v>
      </c>
      <c r="I33" s="45">
        <f t="shared" si="8"/>
        <v>104542169</v>
      </c>
      <c r="J33" s="45">
        <f t="shared" si="8"/>
        <v>69130386</v>
      </c>
      <c r="K33" s="45">
        <f t="shared" si="8"/>
        <v>81330779</v>
      </c>
      <c r="L33" s="45">
        <f t="shared" si="8"/>
        <v>122534991</v>
      </c>
      <c r="M33" s="45">
        <f t="shared" si="8"/>
        <v>133503722</v>
      </c>
      <c r="N33" s="45">
        <f t="shared" si="8"/>
        <v>171009499</v>
      </c>
    </row>
    <row r="34">
      <c r="A34" s="51"/>
      <c r="B34" s="86">
        <f>sum(C33:N33)</f>
        <v>1203833721</v>
      </c>
      <c r="C34" s="80" t="s">
        <v>79</v>
      </c>
      <c r="D34" s="80" t="s">
        <v>79</v>
      </c>
      <c r="E34" s="80" t="s">
        <v>79</v>
      </c>
      <c r="F34" s="80" t="s">
        <v>79</v>
      </c>
      <c r="G34" s="80" t="s">
        <v>79</v>
      </c>
      <c r="H34" s="80" t="s">
        <v>79</v>
      </c>
      <c r="I34" s="45"/>
      <c r="J34" s="45"/>
      <c r="K34" s="45"/>
      <c r="L34" s="45"/>
      <c r="M34" s="45"/>
      <c r="N34" s="45"/>
    </row>
    <row r="35">
      <c r="A35" s="51"/>
      <c r="B35" s="51"/>
      <c r="C35" s="80" t="s">
        <v>79</v>
      </c>
      <c r="D35" s="80" t="s">
        <v>79</v>
      </c>
      <c r="E35" s="80" t="s">
        <v>79</v>
      </c>
      <c r="F35" s="80" t="s">
        <v>79</v>
      </c>
      <c r="G35" s="80" t="s">
        <v>79</v>
      </c>
      <c r="H35" s="80" t="s">
        <v>79</v>
      </c>
      <c r="I35" s="45"/>
      <c r="J35" s="45"/>
      <c r="K35" s="45"/>
      <c r="L35" s="45"/>
      <c r="M35" s="45"/>
      <c r="N35" s="45"/>
    </row>
    <row r="36">
      <c r="A36" s="43" t="s">
        <v>36</v>
      </c>
      <c r="B36" s="43" t="s">
        <v>36</v>
      </c>
      <c r="C36" s="83">
        <v>326668.0</v>
      </c>
      <c r="D36" s="83">
        <v>1315030.0</v>
      </c>
      <c r="E36" s="83">
        <v>1956053.0</v>
      </c>
      <c r="F36" s="80">
        <v>616723.0</v>
      </c>
      <c r="G36" s="83">
        <v>1231217.0</v>
      </c>
      <c r="H36" s="83">
        <v>693443.0</v>
      </c>
      <c r="I36" s="46">
        <v>432735.0</v>
      </c>
      <c r="J36" s="46">
        <v>1139124.0</v>
      </c>
      <c r="K36" s="46">
        <v>1317877.0</v>
      </c>
      <c r="L36" s="45">
        <v>1385137.0</v>
      </c>
      <c r="M36" s="45">
        <v>304908.0</v>
      </c>
      <c r="N36" s="45">
        <v>2662472.0</v>
      </c>
    </row>
    <row r="37">
      <c r="A37" s="51"/>
      <c r="B37" s="51"/>
      <c r="C37" s="80" t="s">
        <v>79</v>
      </c>
      <c r="D37" s="80" t="s">
        <v>79</v>
      </c>
      <c r="E37" s="80" t="s">
        <v>79</v>
      </c>
      <c r="F37" s="80" t="s">
        <v>79</v>
      </c>
      <c r="G37" s="80" t="s">
        <v>79</v>
      </c>
      <c r="H37" s="80" t="s">
        <v>79</v>
      </c>
      <c r="I37" s="45"/>
      <c r="J37" s="45"/>
      <c r="K37" s="45"/>
      <c r="L37" s="45"/>
      <c r="M37" s="45"/>
      <c r="N37" s="45"/>
    </row>
    <row r="38">
      <c r="A38" s="51"/>
      <c r="B38" s="51"/>
      <c r="C38" s="80" t="s">
        <v>79</v>
      </c>
      <c r="D38" s="80" t="s">
        <v>79</v>
      </c>
      <c r="E38" s="80" t="s">
        <v>79</v>
      </c>
      <c r="F38" s="80" t="s">
        <v>79</v>
      </c>
      <c r="G38" s="80" t="s">
        <v>79</v>
      </c>
      <c r="H38" s="80" t="s">
        <v>79</v>
      </c>
      <c r="I38" s="45"/>
      <c r="J38" s="45"/>
      <c r="K38" s="45"/>
      <c r="L38" s="45"/>
      <c r="M38" s="45"/>
      <c r="N38" s="45"/>
    </row>
    <row r="39">
      <c r="A39" s="51"/>
      <c r="B39" s="51"/>
      <c r="C39" s="80" t="s">
        <v>79</v>
      </c>
      <c r="D39" s="80" t="s">
        <v>79</v>
      </c>
      <c r="E39" s="80" t="s">
        <v>79</v>
      </c>
      <c r="F39" s="80" t="s">
        <v>79</v>
      </c>
      <c r="G39" s="80" t="s">
        <v>79</v>
      </c>
      <c r="H39" s="80" t="s">
        <v>79</v>
      </c>
      <c r="I39" s="45"/>
      <c r="J39" s="45"/>
      <c r="K39" s="45"/>
      <c r="L39" s="45"/>
      <c r="M39" s="45"/>
      <c r="N39" s="45"/>
    </row>
    <row r="40">
      <c r="A40" s="51"/>
      <c r="B40" s="51"/>
      <c r="C40" s="80" t="s">
        <v>79</v>
      </c>
      <c r="D40" s="80" t="s">
        <v>79</v>
      </c>
      <c r="E40" s="80" t="s">
        <v>79</v>
      </c>
      <c r="F40" s="80" t="s">
        <v>79</v>
      </c>
      <c r="G40" s="80" t="s">
        <v>79</v>
      </c>
      <c r="H40" s="80" t="s">
        <v>79</v>
      </c>
      <c r="I40" s="45"/>
      <c r="J40" s="45"/>
      <c r="K40" s="45"/>
      <c r="L40" s="45"/>
      <c r="M40" s="45"/>
      <c r="N40" s="45"/>
    </row>
    <row r="41">
      <c r="A41" s="85">
        <f>SUM(C41:N41)</f>
        <v>13381387</v>
      </c>
      <c r="B41" s="50" t="s">
        <v>6</v>
      </c>
      <c r="C41" s="80">
        <v>326668.0</v>
      </c>
      <c r="D41" s="80">
        <f t="shared" ref="D41:E41" si="9">SUM(D36:D40)</f>
        <v>1315030</v>
      </c>
      <c r="E41" s="80">
        <f t="shared" si="9"/>
        <v>1956053</v>
      </c>
      <c r="F41" s="80">
        <v>616723.0</v>
      </c>
      <c r="G41" s="80">
        <f t="shared" ref="G41:N41" si="10">SUM(G36:G40)</f>
        <v>1231217</v>
      </c>
      <c r="H41" s="80">
        <f t="shared" si="10"/>
        <v>693443</v>
      </c>
      <c r="I41" s="80">
        <f t="shared" si="10"/>
        <v>432735</v>
      </c>
      <c r="J41" s="80">
        <f t="shared" si="10"/>
        <v>1139124</v>
      </c>
      <c r="K41" s="80">
        <f t="shared" si="10"/>
        <v>1317877</v>
      </c>
      <c r="L41" s="80">
        <f t="shared" si="10"/>
        <v>1385137</v>
      </c>
      <c r="M41" s="80">
        <f t="shared" si="10"/>
        <v>304908</v>
      </c>
      <c r="N41" s="80">
        <f t="shared" si="10"/>
        <v>2662472</v>
      </c>
    </row>
    <row r="42">
      <c r="A42" s="51"/>
      <c r="B42" s="86">
        <f>sum(C41:N41)</f>
        <v>13381387</v>
      </c>
      <c r="C42" s="80" t="s">
        <v>79</v>
      </c>
      <c r="D42" s="80" t="s">
        <v>79</v>
      </c>
      <c r="E42" s="80" t="s">
        <v>79</v>
      </c>
      <c r="F42" s="80" t="s">
        <v>79</v>
      </c>
      <c r="G42" s="80" t="s">
        <v>79</v>
      </c>
      <c r="H42" s="80" t="s">
        <v>79</v>
      </c>
      <c r="I42" s="45"/>
      <c r="J42" s="45"/>
      <c r="K42" s="45"/>
      <c r="L42" s="45"/>
      <c r="M42" s="45"/>
      <c r="N42" s="45"/>
    </row>
    <row r="43">
      <c r="A43" s="43" t="s">
        <v>37</v>
      </c>
      <c r="B43" s="43" t="s">
        <v>37</v>
      </c>
      <c r="C43" s="83">
        <v>2627785.0</v>
      </c>
      <c r="D43" s="83">
        <v>5966488.0</v>
      </c>
      <c r="E43" s="83">
        <v>7499218.0</v>
      </c>
      <c r="F43" s="80">
        <v>5229967.0</v>
      </c>
      <c r="G43" s="83">
        <v>6829405.0</v>
      </c>
      <c r="H43" s="83">
        <v>4943243.0</v>
      </c>
      <c r="I43" s="46">
        <v>4650534.0</v>
      </c>
      <c r="J43" s="46">
        <v>6724471.0</v>
      </c>
      <c r="K43" s="46">
        <v>6171387.0</v>
      </c>
      <c r="L43" s="45">
        <v>6426295.0</v>
      </c>
      <c r="M43" s="45">
        <v>6868519.0</v>
      </c>
      <c r="N43" s="45">
        <v>1.0058731E7</v>
      </c>
    </row>
    <row r="44">
      <c r="A44" s="43" t="s">
        <v>87</v>
      </c>
      <c r="B44" s="43" t="s">
        <v>38</v>
      </c>
      <c r="C44" s="83">
        <v>1350525.0</v>
      </c>
      <c r="D44" s="83">
        <v>2275180.0</v>
      </c>
      <c r="E44" s="83">
        <v>2276011.0</v>
      </c>
      <c r="F44" s="80">
        <v>2620317.0</v>
      </c>
      <c r="G44" s="83">
        <v>2256863.0</v>
      </c>
      <c r="H44" s="83">
        <v>2101681.0</v>
      </c>
      <c r="I44" s="46">
        <v>1658666.0</v>
      </c>
      <c r="J44" s="46">
        <v>2658974.0</v>
      </c>
      <c r="K44" s="46">
        <v>1920377.0</v>
      </c>
      <c r="L44" s="45">
        <v>2165544.0</v>
      </c>
      <c r="M44" s="45">
        <v>2182789.0</v>
      </c>
      <c r="N44" s="45">
        <v>3715921.0</v>
      </c>
    </row>
    <row r="45">
      <c r="A45" s="43"/>
      <c r="B45" s="43"/>
      <c r="C45" s="83"/>
      <c r="D45" s="83"/>
      <c r="E45" s="83"/>
      <c r="F45" s="80"/>
      <c r="G45" s="83"/>
      <c r="H45" s="83"/>
      <c r="I45" s="46"/>
      <c r="J45" s="46"/>
      <c r="K45" s="46"/>
      <c r="L45" s="45"/>
      <c r="M45" s="45"/>
      <c r="N45" s="45"/>
    </row>
    <row r="46">
      <c r="A46" s="85">
        <f>SUM(C46:N46)</f>
        <v>101178891</v>
      </c>
      <c r="B46" s="52" t="s">
        <v>6</v>
      </c>
      <c r="C46" s="80">
        <v>3978310.0</v>
      </c>
      <c r="D46" s="80">
        <f t="shared" ref="D46:E46" si="11">SUM(D43:D45)</f>
        <v>8241668</v>
      </c>
      <c r="E46" s="80">
        <f t="shared" si="11"/>
        <v>9775229</v>
      </c>
      <c r="F46" s="80">
        <v>7850284.0</v>
      </c>
      <c r="G46" s="80">
        <f t="shared" ref="G46:N46" si="12">SUM(G43:G45)</f>
        <v>9086268</v>
      </c>
      <c r="H46" s="80">
        <f t="shared" si="12"/>
        <v>7044924</v>
      </c>
      <c r="I46" s="80">
        <f t="shared" si="12"/>
        <v>6309200</v>
      </c>
      <c r="J46" s="80">
        <f t="shared" si="12"/>
        <v>9383445</v>
      </c>
      <c r="K46" s="80">
        <f t="shared" si="12"/>
        <v>8091764</v>
      </c>
      <c r="L46" s="80">
        <f t="shared" si="12"/>
        <v>8591839</v>
      </c>
      <c r="M46" s="80">
        <f t="shared" si="12"/>
        <v>9051308</v>
      </c>
      <c r="N46" s="80">
        <f t="shared" si="12"/>
        <v>13774652</v>
      </c>
    </row>
    <row r="47">
      <c r="A47" s="51"/>
      <c r="B47" s="86">
        <f>sum(C46:N46)</f>
        <v>101178891</v>
      </c>
      <c r="C47" s="80" t="s">
        <v>79</v>
      </c>
      <c r="D47" s="80" t="s">
        <v>79</v>
      </c>
      <c r="E47" s="80" t="s">
        <v>79</v>
      </c>
      <c r="F47" s="80" t="s">
        <v>79</v>
      </c>
      <c r="G47" s="80" t="s">
        <v>79</v>
      </c>
      <c r="H47" s="80" t="s">
        <v>79</v>
      </c>
      <c r="I47" s="45"/>
      <c r="J47" s="45"/>
      <c r="K47" s="45"/>
      <c r="L47" s="45"/>
      <c r="M47" s="45"/>
      <c r="N47" s="45"/>
    </row>
    <row r="48">
      <c r="A48" s="43" t="s">
        <v>39</v>
      </c>
      <c r="B48" s="43" t="s">
        <v>39</v>
      </c>
      <c r="C48" s="83">
        <v>5919661.0</v>
      </c>
      <c r="D48" s="83">
        <v>7697456.0</v>
      </c>
      <c r="E48" s="83">
        <v>1.3794315E7</v>
      </c>
      <c r="F48" s="80">
        <v>9453904.0</v>
      </c>
      <c r="G48" s="83">
        <v>7112344.0</v>
      </c>
      <c r="H48" s="83">
        <v>1.0068727E7</v>
      </c>
      <c r="I48" s="46">
        <v>5564658.0</v>
      </c>
      <c r="J48" s="46">
        <v>1.1292501E7</v>
      </c>
      <c r="K48" s="46">
        <v>1.0567798E7</v>
      </c>
      <c r="L48" s="45">
        <v>1.1340343E7</v>
      </c>
      <c r="M48" s="45">
        <v>8072366.0</v>
      </c>
      <c r="N48" s="45">
        <v>1.8587133E7</v>
      </c>
    </row>
    <row r="49">
      <c r="A49" s="43"/>
      <c r="B49" s="43"/>
      <c r="C49" s="83"/>
      <c r="D49" s="83"/>
      <c r="E49" s="88"/>
      <c r="F49" s="80"/>
      <c r="G49" s="83"/>
      <c r="H49" s="80"/>
      <c r="I49" s="46"/>
      <c r="J49" s="46"/>
      <c r="K49" s="46"/>
      <c r="L49" s="45"/>
      <c r="M49" s="46"/>
      <c r="N49" s="45"/>
    </row>
    <row r="50">
      <c r="A50" s="85">
        <f>SUM(C50:N50)</f>
        <v>119471206</v>
      </c>
      <c r="B50" s="52" t="s">
        <v>6</v>
      </c>
      <c r="C50" s="80">
        <v>5919661.0</v>
      </c>
      <c r="D50" s="80">
        <f t="shared" ref="D50:E50" si="13">SUM(D48:D49)</f>
        <v>7697456</v>
      </c>
      <c r="E50" s="80">
        <f t="shared" si="13"/>
        <v>13794315</v>
      </c>
      <c r="F50" s="80">
        <v>9453904.0</v>
      </c>
      <c r="G50" s="80">
        <f t="shared" ref="G50:N50" si="14">SUM(G48:G49)</f>
        <v>7112344</v>
      </c>
      <c r="H50" s="80">
        <f t="shared" si="14"/>
        <v>10068727</v>
      </c>
      <c r="I50" s="80">
        <f t="shared" si="14"/>
        <v>5564658</v>
      </c>
      <c r="J50" s="80">
        <f t="shared" si="14"/>
        <v>11292501</v>
      </c>
      <c r="K50" s="80">
        <f t="shared" si="14"/>
        <v>10567798</v>
      </c>
      <c r="L50" s="80">
        <f t="shared" si="14"/>
        <v>11340343</v>
      </c>
      <c r="M50" s="80">
        <f t="shared" si="14"/>
        <v>8072366</v>
      </c>
      <c r="N50" s="80">
        <f t="shared" si="14"/>
        <v>18587133</v>
      </c>
    </row>
    <row r="51">
      <c r="A51" s="51"/>
      <c r="B51" s="86">
        <f>sum(C50:N50)</f>
        <v>119471206</v>
      </c>
      <c r="C51" s="45"/>
      <c r="D51" s="80" t="s">
        <v>79</v>
      </c>
      <c r="E51" s="80" t="s">
        <v>79</v>
      </c>
      <c r="F51" s="80"/>
      <c r="G51" s="80" t="s">
        <v>79</v>
      </c>
      <c r="H51" s="45"/>
      <c r="I51" s="45"/>
      <c r="J51" s="45"/>
      <c r="K51" s="45"/>
      <c r="L51" s="45"/>
      <c r="M51" s="45"/>
      <c r="N51" s="45"/>
    </row>
    <row r="52">
      <c r="A52" s="85">
        <f>SUM(C52:N52)</f>
        <v>3417311917</v>
      </c>
      <c r="B52" s="43" t="s">
        <v>40</v>
      </c>
      <c r="C52" s="80">
        <v>1.27064276E8</v>
      </c>
      <c r="D52" s="80">
        <f t="shared" ref="D52:E52" si="15">D50+D46+D41+D33+D22+D16+D9</f>
        <v>263987683</v>
      </c>
      <c r="E52" s="80">
        <f t="shared" si="15"/>
        <v>297280519</v>
      </c>
      <c r="F52" s="80">
        <v>2.44893404E8</v>
      </c>
      <c r="G52" s="80">
        <f t="shared" ref="G52:N52" si="16">G50+G46+G41+G33+G22+G16+G9</f>
        <v>240146868</v>
      </c>
      <c r="H52" s="80">
        <f t="shared" si="16"/>
        <v>241524486</v>
      </c>
      <c r="I52" s="80">
        <f t="shared" si="16"/>
        <v>228086733</v>
      </c>
      <c r="J52" s="80">
        <f t="shared" si="16"/>
        <v>334329902</v>
      </c>
      <c r="K52" s="80">
        <f t="shared" si="16"/>
        <v>323713408</v>
      </c>
      <c r="L52" s="80">
        <f t="shared" si="16"/>
        <v>289189077</v>
      </c>
      <c r="M52" s="80">
        <f t="shared" si="16"/>
        <v>324521028</v>
      </c>
      <c r="N52" s="80">
        <f t="shared" si="16"/>
        <v>502574533</v>
      </c>
    </row>
    <row r="53">
      <c r="A53" s="45"/>
      <c r="B53" s="86">
        <f>sum(C52:N52)</f>
        <v>3417311917</v>
      </c>
      <c r="C53" s="45"/>
      <c r="D53" s="45"/>
      <c r="E53" s="80" t="s">
        <v>79</v>
      </c>
      <c r="F53" s="80" t="s">
        <v>79</v>
      </c>
      <c r="G53" s="80" t="s">
        <v>79</v>
      </c>
      <c r="H53" s="45"/>
      <c r="I53" s="45"/>
      <c r="J53" s="45"/>
      <c r="K53" s="45"/>
      <c r="L53" s="45"/>
      <c r="M53" s="45"/>
      <c r="N53" s="45"/>
    </row>
    <row r="54">
      <c r="A54" s="45"/>
      <c r="B54" s="45"/>
      <c r="C54" s="45"/>
      <c r="D54" s="45"/>
      <c r="E54" s="80" t="s">
        <v>79</v>
      </c>
      <c r="F54" s="80"/>
      <c r="G54" s="45"/>
      <c r="H54" s="45"/>
      <c r="I54" s="45"/>
      <c r="J54" s="45"/>
      <c r="K54" s="45"/>
      <c r="L54" s="45"/>
      <c r="M54" s="45"/>
      <c r="N54" s="45"/>
    </row>
    <row r="55">
      <c r="A55" s="45"/>
      <c r="B55" s="46" t="s">
        <v>88</v>
      </c>
      <c r="C55" s="80">
        <f>SUM(C52:N52)</f>
        <v>3417311917</v>
      </c>
      <c r="D55" s="45"/>
      <c r="E55" s="80" t="s">
        <v>79</v>
      </c>
      <c r="F55" s="80"/>
      <c r="G55" s="45"/>
      <c r="H55" s="45"/>
      <c r="I55" s="45"/>
      <c r="J55" s="45"/>
      <c r="K55" s="45"/>
      <c r="L55" s="45"/>
      <c r="M55" s="45"/>
      <c r="N55" s="45"/>
    </row>
    <row r="56">
      <c r="A56" s="45"/>
      <c r="B56" s="45"/>
      <c r="C56" s="45"/>
      <c r="D56" s="45"/>
      <c r="E56" s="80" t="s">
        <v>79</v>
      </c>
      <c r="F56" s="80"/>
      <c r="G56" s="45"/>
      <c r="H56" s="45"/>
      <c r="I56" s="45"/>
      <c r="J56" s="45"/>
      <c r="K56" s="45"/>
      <c r="L56" s="45"/>
      <c r="M56" s="45"/>
      <c r="N56" s="45"/>
    </row>
    <row r="57">
      <c r="E57" s="78" t="s">
        <v>79</v>
      </c>
    </row>
    <row r="58">
      <c r="E58" s="78" t="s">
        <v>79</v>
      </c>
      <c r="F58" s="78"/>
    </row>
    <row r="59">
      <c r="E59" s="78" t="s">
        <v>79</v>
      </c>
      <c r="F59" s="78"/>
    </row>
    <row r="60">
      <c r="E60" s="78" t="s">
        <v>79</v>
      </c>
      <c r="F60" s="78"/>
    </row>
    <row r="61">
      <c r="E61" s="78" t="s">
        <v>79</v>
      </c>
      <c r="F61" s="78"/>
    </row>
    <row r="62">
      <c r="E62" s="78" t="s">
        <v>79</v>
      </c>
      <c r="F62" s="78"/>
    </row>
    <row r="63">
      <c r="E63" s="78" t="s">
        <v>79</v>
      </c>
      <c r="F63" s="78"/>
    </row>
    <row r="64">
      <c r="E64" s="78" t="s">
        <v>79</v>
      </c>
      <c r="F64" s="78"/>
    </row>
    <row r="65">
      <c r="E65" s="78" t="s">
        <v>79</v>
      </c>
      <c r="F65" s="78"/>
    </row>
    <row r="66">
      <c r="E66" s="78" t="s">
        <v>79</v>
      </c>
      <c r="F66" s="78"/>
    </row>
    <row r="67">
      <c r="E67" s="78" t="s">
        <v>79</v>
      </c>
      <c r="F67" s="78"/>
    </row>
    <row r="68">
      <c r="E68" s="78" t="s">
        <v>79</v>
      </c>
      <c r="F68" s="78"/>
    </row>
    <row r="69">
      <c r="E69" s="78" t="s">
        <v>79</v>
      </c>
      <c r="F69" s="78"/>
    </row>
    <row r="70">
      <c r="E70" s="78" t="s">
        <v>79</v>
      </c>
      <c r="F70" s="78"/>
    </row>
    <row r="71">
      <c r="E71" s="78" t="s">
        <v>79</v>
      </c>
      <c r="F71" s="78"/>
    </row>
    <row r="72">
      <c r="E72" s="78" t="s">
        <v>79</v>
      </c>
      <c r="F72" s="78"/>
    </row>
    <row r="73">
      <c r="E73" s="78" t="s">
        <v>79</v>
      </c>
      <c r="F73" s="78"/>
    </row>
    <row r="74">
      <c r="E74" s="78" t="s">
        <v>79</v>
      </c>
      <c r="F74" s="78"/>
    </row>
    <row r="75">
      <c r="E75" s="78"/>
      <c r="F75" s="78"/>
    </row>
    <row r="76">
      <c r="E76" s="78"/>
      <c r="F76" s="78"/>
    </row>
    <row r="77">
      <c r="E77" s="78"/>
      <c r="F77" s="78"/>
    </row>
    <row r="78">
      <c r="E78" s="78"/>
      <c r="F78" s="78"/>
    </row>
    <row r="79">
      <c r="E79" s="78"/>
      <c r="F79" s="78"/>
    </row>
    <row r="80">
      <c r="E80" s="78"/>
      <c r="F80" s="78"/>
    </row>
    <row r="81">
      <c r="E81" s="78"/>
      <c r="F81" s="78"/>
    </row>
    <row r="82">
      <c r="E82" s="78"/>
      <c r="F82" s="78"/>
    </row>
    <row r="83">
      <c r="E83" s="78"/>
      <c r="F83" s="78"/>
    </row>
    <row r="84">
      <c r="E84" s="78"/>
      <c r="F84" s="78"/>
    </row>
    <row r="85">
      <c r="E85" s="78"/>
      <c r="F85" s="78"/>
    </row>
    <row r="86">
      <c r="E86" s="78"/>
      <c r="F86" s="78"/>
    </row>
    <row r="87">
      <c r="E87" s="78"/>
      <c r="F87" s="78"/>
    </row>
    <row r="88">
      <c r="E88" s="78"/>
      <c r="F88" s="78"/>
    </row>
    <row r="89">
      <c r="E89" s="78"/>
      <c r="F89" s="78"/>
    </row>
    <row r="90">
      <c r="E90" s="78"/>
      <c r="F90" s="78"/>
    </row>
    <row r="91">
      <c r="E91" s="78"/>
      <c r="F91" s="78"/>
    </row>
    <row r="92">
      <c r="E92" s="78"/>
      <c r="F92" s="78"/>
    </row>
    <row r="93">
      <c r="E93" s="78"/>
      <c r="F93" s="78"/>
    </row>
    <row r="94">
      <c r="E94" s="78"/>
      <c r="F94" s="78"/>
    </row>
    <row r="95">
      <c r="E95" s="78"/>
      <c r="F95" s="78"/>
    </row>
    <row r="96">
      <c r="E96" s="78"/>
      <c r="F96" s="78"/>
    </row>
    <row r="97">
      <c r="E97" s="78"/>
      <c r="F97" s="78"/>
    </row>
    <row r="98">
      <c r="E98" s="78"/>
      <c r="F98" s="78"/>
    </row>
    <row r="99">
      <c r="E99" s="78"/>
      <c r="F99" s="78"/>
    </row>
    <row r="100">
      <c r="E100" s="78"/>
      <c r="F100" s="78"/>
    </row>
    <row r="101">
      <c r="E101" s="78"/>
      <c r="F101" s="78"/>
    </row>
    <row r="102">
      <c r="E102" s="78"/>
      <c r="F102" s="78"/>
    </row>
    <row r="103">
      <c r="E103" s="78"/>
      <c r="F103" s="78"/>
    </row>
    <row r="104">
      <c r="E104" s="78"/>
      <c r="F104" s="78"/>
    </row>
    <row r="105">
      <c r="E105" s="78"/>
      <c r="F105" s="78"/>
    </row>
    <row r="106">
      <c r="E106" s="78"/>
      <c r="F106" s="78"/>
    </row>
    <row r="107">
      <c r="E107" s="78"/>
      <c r="F107" s="78"/>
    </row>
    <row r="108">
      <c r="E108" s="78"/>
      <c r="F108" s="78"/>
    </row>
    <row r="109">
      <c r="E109" s="78"/>
      <c r="F109" s="78"/>
    </row>
    <row r="110">
      <c r="E110" s="78"/>
      <c r="F110" s="78"/>
    </row>
    <row r="111">
      <c r="E111" s="78"/>
      <c r="F111" s="78"/>
    </row>
    <row r="112">
      <c r="E112" s="78"/>
      <c r="F112" s="78"/>
    </row>
    <row r="113">
      <c r="E113" s="78"/>
      <c r="F113" s="78"/>
    </row>
    <row r="114">
      <c r="E114" s="78"/>
      <c r="F114" s="78"/>
    </row>
    <row r="115">
      <c r="E115" s="78"/>
      <c r="F115" s="78"/>
    </row>
    <row r="116">
      <c r="E116" s="78"/>
      <c r="F116" s="78"/>
    </row>
    <row r="117">
      <c r="E117" s="78"/>
      <c r="F117" s="78"/>
    </row>
    <row r="118">
      <c r="E118" s="78"/>
      <c r="F118" s="78"/>
    </row>
    <row r="119">
      <c r="E119" s="78"/>
      <c r="F119" s="78"/>
    </row>
    <row r="120">
      <c r="E120" s="78"/>
      <c r="F120" s="78"/>
    </row>
    <row r="121">
      <c r="E121" s="78"/>
      <c r="F121" s="78"/>
    </row>
    <row r="122">
      <c r="E122" s="78"/>
      <c r="F122" s="78"/>
    </row>
    <row r="123">
      <c r="E123" s="78"/>
      <c r="F123" s="78"/>
    </row>
    <row r="124">
      <c r="E124" s="78"/>
      <c r="F124" s="78"/>
    </row>
    <row r="125">
      <c r="E125" s="78"/>
      <c r="F125" s="78"/>
    </row>
    <row r="126">
      <c r="E126" s="78"/>
      <c r="F126" s="78"/>
    </row>
    <row r="127">
      <c r="E127" s="78"/>
      <c r="F127" s="78"/>
    </row>
    <row r="128">
      <c r="E128" s="78"/>
      <c r="F128" s="78"/>
    </row>
    <row r="129">
      <c r="E129" s="78"/>
      <c r="F129" s="78"/>
    </row>
    <row r="130">
      <c r="E130" s="78"/>
      <c r="F130" s="78"/>
    </row>
    <row r="131">
      <c r="E131" s="78"/>
      <c r="F131" s="78"/>
    </row>
    <row r="132">
      <c r="E132" s="78"/>
      <c r="F132" s="78"/>
    </row>
    <row r="133">
      <c r="E133" s="78"/>
      <c r="F133" s="78"/>
    </row>
    <row r="134">
      <c r="E134" s="78"/>
      <c r="F134" s="78"/>
    </row>
    <row r="135">
      <c r="E135" s="78"/>
      <c r="F135" s="78"/>
    </row>
    <row r="136">
      <c r="E136" s="78"/>
      <c r="F136" s="78"/>
    </row>
    <row r="137">
      <c r="E137" s="78"/>
      <c r="F137" s="78"/>
    </row>
    <row r="138">
      <c r="E138" s="78"/>
      <c r="F138" s="78"/>
    </row>
    <row r="139">
      <c r="E139" s="78"/>
      <c r="F139" s="78"/>
    </row>
    <row r="140">
      <c r="E140" s="78"/>
      <c r="F140" s="78"/>
    </row>
    <row r="141">
      <c r="E141" s="78"/>
      <c r="F141" s="78"/>
    </row>
    <row r="142">
      <c r="E142" s="78"/>
      <c r="F142" s="78"/>
    </row>
    <row r="143">
      <c r="E143" s="78"/>
      <c r="F143" s="78"/>
    </row>
    <row r="144">
      <c r="E144" s="78"/>
      <c r="F144" s="78"/>
    </row>
    <row r="145">
      <c r="E145" s="78"/>
      <c r="F145" s="78"/>
    </row>
    <row r="146">
      <c r="E146" s="78"/>
      <c r="F146" s="78"/>
    </row>
    <row r="147">
      <c r="E147" s="78"/>
      <c r="F147" s="78"/>
    </row>
    <row r="148">
      <c r="E148" s="78"/>
      <c r="F148" s="78"/>
    </row>
    <row r="149">
      <c r="E149" s="78"/>
      <c r="F149" s="78"/>
    </row>
    <row r="150">
      <c r="E150" s="78"/>
      <c r="F150" s="78"/>
    </row>
    <row r="151">
      <c r="E151" s="78"/>
      <c r="F151" s="78"/>
    </row>
    <row r="152">
      <c r="E152" s="78"/>
      <c r="F152" s="78"/>
    </row>
    <row r="153">
      <c r="E153" s="78"/>
      <c r="F153" s="78"/>
    </row>
    <row r="154">
      <c r="E154" s="78"/>
      <c r="F154" s="78"/>
    </row>
    <row r="155">
      <c r="E155" s="78"/>
      <c r="F155" s="78"/>
    </row>
    <row r="156">
      <c r="E156" s="78"/>
      <c r="F156" s="78"/>
    </row>
    <row r="157">
      <c r="E157" s="78"/>
      <c r="F157" s="78"/>
    </row>
    <row r="158">
      <c r="E158" s="78"/>
      <c r="F158" s="78"/>
    </row>
    <row r="159">
      <c r="E159" s="78"/>
      <c r="F159" s="78"/>
    </row>
    <row r="160">
      <c r="E160" s="78"/>
      <c r="F160" s="78"/>
    </row>
    <row r="161">
      <c r="E161" s="78"/>
      <c r="F161" s="78"/>
    </row>
    <row r="162">
      <c r="E162" s="78"/>
      <c r="F162" s="78"/>
    </row>
    <row r="163">
      <c r="E163" s="78"/>
      <c r="F163" s="78"/>
    </row>
    <row r="164">
      <c r="E164" s="78"/>
      <c r="F164" s="78"/>
    </row>
    <row r="165">
      <c r="E165" s="78"/>
      <c r="F165" s="78"/>
    </row>
    <row r="166">
      <c r="E166" s="78"/>
      <c r="F166" s="78"/>
    </row>
    <row r="167">
      <c r="E167" s="78"/>
      <c r="F167" s="78"/>
    </row>
    <row r="168">
      <c r="E168" s="78"/>
      <c r="F168" s="78"/>
    </row>
    <row r="169">
      <c r="E169" s="78"/>
      <c r="F169" s="78"/>
    </row>
    <row r="170">
      <c r="E170" s="78"/>
      <c r="F170" s="78"/>
    </row>
    <row r="171">
      <c r="E171" s="78"/>
      <c r="F171" s="78"/>
    </row>
    <row r="172">
      <c r="E172" s="78"/>
      <c r="F172" s="78"/>
    </row>
    <row r="173">
      <c r="E173" s="78"/>
      <c r="F173" s="78"/>
    </row>
    <row r="174">
      <c r="E174" s="78"/>
      <c r="F174" s="78"/>
    </row>
    <row r="175">
      <c r="E175" s="78"/>
      <c r="F175" s="78"/>
    </row>
    <row r="176">
      <c r="E176" s="78"/>
      <c r="F176" s="78"/>
    </row>
    <row r="177">
      <c r="E177" s="78"/>
      <c r="F177" s="78"/>
    </row>
    <row r="178">
      <c r="E178" s="78"/>
      <c r="F178" s="78"/>
    </row>
    <row r="179">
      <c r="E179" s="78"/>
      <c r="F179" s="78"/>
    </row>
    <row r="180">
      <c r="E180" s="78"/>
      <c r="F180" s="78"/>
    </row>
    <row r="181">
      <c r="E181" s="78"/>
      <c r="F181" s="78"/>
    </row>
    <row r="182">
      <c r="E182" s="78"/>
      <c r="F182" s="78"/>
    </row>
    <row r="183">
      <c r="E183" s="78"/>
      <c r="F183" s="78"/>
    </row>
    <row r="184">
      <c r="E184" s="78"/>
      <c r="F184" s="78"/>
    </row>
    <row r="185">
      <c r="E185" s="78"/>
      <c r="F185" s="78"/>
    </row>
    <row r="186">
      <c r="E186" s="78"/>
      <c r="F186" s="78"/>
    </row>
    <row r="187">
      <c r="E187" s="78"/>
      <c r="F187" s="78"/>
    </row>
    <row r="188">
      <c r="E188" s="78"/>
      <c r="F188" s="78"/>
    </row>
    <row r="189">
      <c r="E189" s="78"/>
      <c r="F189" s="78"/>
    </row>
    <row r="190">
      <c r="E190" s="78"/>
      <c r="F190" s="78"/>
    </row>
    <row r="191">
      <c r="E191" s="78"/>
      <c r="F191" s="78"/>
    </row>
    <row r="192">
      <c r="E192" s="78"/>
      <c r="F192" s="78"/>
    </row>
    <row r="193">
      <c r="E193" s="78"/>
      <c r="F193" s="78"/>
    </row>
    <row r="194">
      <c r="E194" s="78"/>
      <c r="F194" s="78"/>
    </row>
    <row r="195">
      <c r="E195" s="78"/>
      <c r="F195" s="78"/>
    </row>
    <row r="196">
      <c r="E196" s="78"/>
      <c r="F196" s="78"/>
    </row>
    <row r="197">
      <c r="E197" s="78"/>
      <c r="F197" s="78"/>
    </row>
    <row r="198">
      <c r="E198" s="78"/>
      <c r="F198" s="78"/>
    </row>
    <row r="199">
      <c r="E199" s="78"/>
      <c r="F199" s="78"/>
    </row>
    <row r="200">
      <c r="E200" s="78"/>
      <c r="F200" s="78"/>
    </row>
    <row r="201">
      <c r="E201" s="78"/>
      <c r="F201" s="78"/>
    </row>
    <row r="202">
      <c r="E202" s="78"/>
      <c r="F202" s="78"/>
    </row>
    <row r="203">
      <c r="E203" s="78"/>
      <c r="F203" s="78"/>
    </row>
    <row r="204">
      <c r="E204" s="78"/>
      <c r="F204" s="78"/>
    </row>
    <row r="205">
      <c r="E205" s="78"/>
      <c r="F205" s="78"/>
    </row>
    <row r="206">
      <c r="E206" s="78"/>
      <c r="F206" s="78"/>
    </row>
    <row r="207">
      <c r="E207" s="78"/>
      <c r="F207" s="78"/>
    </row>
    <row r="208">
      <c r="E208" s="78"/>
      <c r="F208" s="78"/>
    </row>
    <row r="209">
      <c r="E209" s="78"/>
      <c r="F209" s="78"/>
    </row>
    <row r="210">
      <c r="E210" s="78"/>
      <c r="F210" s="78"/>
    </row>
    <row r="211">
      <c r="E211" s="78"/>
      <c r="F211" s="78"/>
    </row>
    <row r="212">
      <c r="E212" s="78"/>
      <c r="F212" s="78"/>
    </row>
    <row r="213">
      <c r="E213" s="78"/>
      <c r="F213" s="78"/>
    </row>
    <row r="214">
      <c r="E214" s="78"/>
      <c r="F214" s="78"/>
    </row>
    <row r="215">
      <c r="E215" s="78"/>
      <c r="F215" s="78"/>
    </row>
    <row r="216">
      <c r="E216" s="78"/>
      <c r="F216" s="78"/>
    </row>
    <row r="217">
      <c r="E217" s="78"/>
      <c r="F217" s="78"/>
    </row>
    <row r="218">
      <c r="E218" s="78"/>
      <c r="F218" s="78"/>
    </row>
    <row r="219">
      <c r="E219" s="78"/>
      <c r="F219" s="78"/>
    </row>
    <row r="220">
      <c r="E220" s="78"/>
      <c r="F220" s="78"/>
    </row>
    <row r="221">
      <c r="E221" s="78"/>
      <c r="F221" s="78"/>
    </row>
    <row r="222">
      <c r="E222" s="78"/>
      <c r="F222" s="78"/>
    </row>
    <row r="223">
      <c r="E223" s="78"/>
      <c r="F223" s="78"/>
    </row>
    <row r="224">
      <c r="E224" s="78"/>
      <c r="F224" s="78"/>
    </row>
    <row r="225">
      <c r="E225" s="78"/>
      <c r="F225" s="78"/>
    </row>
    <row r="226">
      <c r="E226" s="78"/>
      <c r="F226" s="78"/>
    </row>
    <row r="227">
      <c r="E227" s="78"/>
      <c r="F227" s="78"/>
    </row>
    <row r="228">
      <c r="E228" s="78"/>
      <c r="F228" s="78"/>
    </row>
    <row r="229">
      <c r="E229" s="78"/>
      <c r="F229" s="78"/>
    </row>
    <row r="230">
      <c r="E230" s="78"/>
      <c r="F230" s="78"/>
    </row>
    <row r="231">
      <c r="E231" s="78"/>
      <c r="F231" s="78"/>
    </row>
    <row r="232">
      <c r="E232" s="78"/>
      <c r="F232" s="78"/>
    </row>
    <row r="233">
      <c r="E233" s="78"/>
      <c r="F233" s="78"/>
    </row>
    <row r="234">
      <c r="E234" s="78"/>
      <c r="F234" s="78"/>
    </row>
    <row r="235">
      <c r="E235" s="78"/>
      <c r="F235" s="78"/>
    </row>
    <row r="236">
      <c r="E236" s="78"/>
      <c r="F236" s="78"/>
    </row>
    <row r="237">
      <c r="E237" s="78"/>
      <c r="F237" s="78"/>
    </row>
    <row r="238">
      <c r="E238" s="78"/>
      <c r="F238" s="78"/>
    </row>
    <row r="239">
      <c r="E239" s="78"/>
      <c r="F239" s="78"/>
    </row>
    <row r="240">
      <c r="E240" s="78"/>
      <c r="F240" s="78"/>
    </row>
    <row r="241">
      <c r="E241" s="78"/>
      <c r="F241" s="78"/>
    </row>
    <row r="242">
      <c r="E242" s="78"/>
      <c r="F242" s="78"/>
    </row>
    <row r="243">
      <c r="E243" s="78"/>
      <c r="F243" s="78"/>
    </row>
    <row r="244">
      <c r="E244" s="78"/>
      <c r="F244" s="78"/>
    </row>
    <row r="245">
      <c r="E245" s="78"/>
      <c r="F245" s="78"/>
    </row>
    <row r="246">
      <c r="E246" s="78"/>
      <c r="F246" s="78"/>
    </row>
    <row r="247">
      <c r="E247" s="78"/>
      <c r="F247" s="78"/>
    </row>
    <row r="248">
      <c r="E248" s="78"/>
      <c r="F248" s="78"/>
    </row>
    <row r="249">
      <c r="E249" s="78"/>
      <c r="F249" s="78"/>
    </row>
    <row r="250">
      <c r="E250" s="78"/>
      <c r="F250" s="78"/>
    </row>
    <row r="251">
      <c r="E251" s="78"/>
      <c r="F251" s="78"/>
    </row>
    <row r="252">
      <c r="E252" s="78"/>
      <c r="F252" s="78"/>
    </row>
    <row r="253">
      <c r="E253" s="78"/>
      <c r="F253" s="78"/>
    </row>
    <row r="254">
      <c r="E254" s="78"/>
      <c r="F254" s="78"/>
    </row>
    <row r="255">
      <c r="E255" s="78"/>
      <c r="F255" s="78"/>
    </row>
    <row r="256">
      <c r="E256" s="78"/>
      <c r="F256" s="78"/>
    </row>
    <row r="257">
      <c r="E257" s="78"/>
      <c r="F257" s="78"/>
    </row>
    <row r="258">
      <c r="E258" s="78"/>
      <c r="F258" s="78"/>
    </row>
    <row r="259">
      <c r="E259" s="78"/>
      <c r="F259" s="78"/>
    </row>
    <row r="260">
      <c r="E260" s="78"/>
      <c r="F260" s="78"/>
    </row>
    <row r="261">
      <c r="E261" s="78"/>
      <c r="F261" s="78"/>
    </row>
    <row r="262">
      <c r="E262" s="78"/>
      <c r="F262" s="78"/>
    </row>
    <row r="263">
      <c r="E263" s="78"/>
      <c r="F263" s="78"/>
    </row>
    <row r="264">
      <c r="E264" s="78"/>
      <c r="F264" s="78"/>
    </row>
    <row r="265">
      <c r="E265" s="78"/>
      <c r="F265" s="78"/>
    </row>
    <row r="266">
      <c r="E266" s="78"/>
      <c r="F266" s="78"/>
    </row>
    <row r="267">
      <c r="E267" s="78"/>
      <c r="F267" s="78"/>
    </row>
    <row r="268">
      <c r="E268" s="78"/>
      <c r="F268" s="78"/>
    </row>
    <row r="269">
      <c r="E269" s="78"/>
      <c r="F269" s="78"/>
    </row>
    <row r="270">
      <c r="E270" s="78"/>
      <c r="F270" s="78"/>
    </row>
    <row r="271">
      <c r="E271" s="78"/>
      <c r="F271" s="78"/>
    </row>
    <row r="272">
      <c r="E272" s="78"/>
      <c r="F272" s="78"/>
    </row>
    <row r="273">
      <c r="E273" s="78"/>
      <c r="F273" s="78"/>
    </row>
    <row r="274">
      <c r="E274" s="78"/>
      <c r="F274" s="78"/>
    </row>
    <row r="275">
      <c r="E275" s="78"/>
      <c r="F275" s="78"/>
    </row>
    <row r="276">
      <c r="E276" s="78"/>
      <c r="F276" s="78"/>
    </row>
    <row r="277">
      <c r="E277" s="78"/>
      <c r="F277" s="78"/>
    </row>
    <row r="278">
      <c r="E278" s="78"/>
      <c r="F278" s="78"/>
    </row>
    <row r="279">
      <c r="E279" s="78"/>
      <c r="F279" s="78"/>
    </row>
    <row r="280">
      <c r="E280" s="78"/>
      <c r="F280" s="78"/>
    </row>
    <row r="281">
      <c r="E281" s="78"/>
      <c r="F281" s="78"/>
    </row>
    <row r="282">
      <c r="E282" s="78"/>
      <c r="F282" s="78"/>
    </row>
    <row r="283">
      <c r="E283" s="78"/>
      <c r="F283" s="78"/>
    </row>
    <row r="284">
      <c r="E284" s="78"/>
      <c r="F284" s="78"/>
    </row>
    <row r="285">
      <c r="E285" s="78"/>
      <c r="F285" s="78"/>
    </row>
    <row r="286">
      <c r="E286" s="78"/>
      <c r="F286" s="78"/>
    </row>
    <row r="287">
      <c r="E287" s="78"/>
      <c r="F287" s="78"/>
    </row>
    <row r="288">
      <c r="E288" s="78"/>
      <c r="F288" s="78"/>
    </row>
    <row r="289">
      <c r="E289" s="78"/>
      <c r="F289" s="78"/>
    </row>
    <row r="290">
      <c r="E290" s="78"/>
      <c r="F290" s="78"/>
    </row>
    <row r="291">
      <c r="E291" s="78"/>
      <c r="F291" s="78"/>
    </row>
    <row r="292">
      <c r="E292" s="78"/>
      <c r="F292" s="78"/>
    </row>
    <row r="293">
      <c r="E293" s="78"/>
      <c r="F293" s="78"/>
    </row>
    <row r="294">
      <c r="E294" s="78"/>
      <c r="F294" s="78"/>
    </row>
    <row r="295">
      <c r="E295" s="78"/>
      <c r="F295" s="78"/>
    </row>
    <row r="296">
      <c r="E296" s="78"/>
      <c r="F296" s="78"/>
    </row>
    <row r="297">
      <c r="E297" s="78"/>
      <c r="F297" s="78"/>
    </row>
    <row r="298">
      <c r="E298" s="78"/>
      <c r="F298" s="78"/>
    </row>
    <row r="299">
      <c r="E299" s="78"/>
      <c r="F299" s="78"/>
    </row>
    <row r="300">
      <c r="E300" s="78"/>
      <c r="F300" s="78"/>
    </row>
    <row r="301">
      <c r="E301" s="78"/>
      <c r="F301" s="78"/>
    </row>
    <row r="302">
      <c r="E302" s="78"/>
      <c r="F302" s="78"/>
    </row>
    <row r="303">
      <c r="E303" s="78"/>
      <c r="F303" s="78"/>
    </row>
    <row r="304">
      <c r="E304" s="78"/>
      <c r="F304" s="78"/>
    </row>
    <row r="305">
      <c r="E305" s="78"/>
      <c r="F305" s="78"/>
    </row>
    <row r="306">
      <c r="E306" s="78"/>
      <c r="F306" s="78"/>
    </row>
    <row r="307">
      <c r="E307" s="78"/>
      <c r="F307" s="78"/>
    </row>
    <row r="308">
      <c r="E308" s="78"/>
      <c r="F308" s="78"/>
    </row>
    <row r="309">
      <c r="E309" s="78"/>
      <c r="F309" s="78"/>
    </row>
    <row r="310">
      <c r="E310" s="78"/>
      <c r="F310" s="78"/>
    </row>
    <row r="311">
      <c r="E311" s="78"/>
      <c r="F311" s="78"/>
    </row>
    <row r="312">
      <c r="E312" s="78"/>
      <c r="F312" s="78"/>
    </row>
    <row r="313">
      <c r="E313" s="78"/>
      <c r="F313" s="78"/>
    </row>
    <row r="314">
      <c r="E314" s="78"/>
      <c r="F314" s="78"/>
    </row>
    <row r="315">
      <c r="E315" s="78"/>
      <c r="F315" s="78"/>
    </row>
    <row r="316">
      <c r="E316" s="78"/>
      <c r="F316" s="78"/>
    </row>
    <row r="317">
      <c r="E317" s="78"/>
      <c r="F317" s="78"/>
    </row>
    <row r="318">
      <c r="E318" s="78"/>
      <c r="F318" s="78"/>
    </row>
    <row r="319">
      <c r="E319" s="78"/>
      <c r="F319" s="78"/>
    </row>
    <row r="320">
      <c r="E320" s="78"/>
      <c r="F320" s="78"/>
    </row>
    <row r="321">
      <c r="E321" s="78"/>
      <c r="F321" s="78"/>
    </row>
    <row r="322">
      <c r="E322" s="78"/>
      <c r="F322" s="78"/>
    </row>
    <row r="323">
      <c r="E323" s="78"/>
      <c r="F323" s="78"/>
    </row>
    <row r="324">
      <c r="E324" s="78"/>
      <c r="F324" s="78"/>
    </row>
    <row r="325">
      <c r="E325" s="78"/>
      <c r="F325" s="78"/>
    </row>
    <row r="326">
      <c r="E326" s="78"/>
      <c r="F326" s="78"/>
    </row>
    <row r="327">
      <c r="E327" s="78"/>
      <c r="F327" s="78"/>
    </row>
    <row r="328">
      <c r="E328" s="78"/>
      <c r="F328" s="78"/>
    </row>
    <row r="329">
      <c r="E329" s="78"/>
      <c r="F329" s="78"/>
    </row>
    <row r="330">
      <c r="E330" s="78"/>
      <c r="F330" s="78"/>
    </row>
    <row r="331">
      <c r="E331" s="78"/>
      <c r="F331" s="78"/>
    </row>
    <row r="332">
      <c r="E332" s="78"/>
      <c r="F332" s="78"/>
    </row>
    <row r="333">
      <c r="E333" s="78"/>
      <c r="F333" s="78"/>
    </row>
    <row r="334">
      <c r="E334" s="78"/>
      <c r="F334" s="78"/>
    </row>
    <row r="335">
      <c r="E335" s="78"/>
      <c r="F335" s="78"/>
    </row>
    <row r="336">
      <c r="E336" s="78"/>
      <c r="F336" s="78"/>
    </row>
    <row r="337">
      <c r="E337" s="78"/>
      <c r="F337" s="78"/>
    </row>
    <row r="338">
      <c r="E338" s="78"/>
      <c r="F338" s="78"/>
    </row>
    <row r="339">
      <c r="E339" s="78"/>
      <c r="F339" s="78"/>
    </row>
    <row r="340">
      <c r="E340" s="78"/>
      <c r="F340" s="78"/>
    </row>
    <row r="341">
      <c r="E341" s="78"/>
      <c r="F341" s="78"/>
    </row>
    <row r="342">
      <c r="E342" s="78"/>
      <c r="F342" s="78"/>
    </row>
    <row r="343">
      <c r="E343" s="78"/>
      <c r="F343" s="78"/>
    </row>
    <row r="344">
      <c r="E344" s="78"/>
      <c r="F344" s="78"/>
    </row>
    <row r="345">
      <c r="E345" s="78"/>
      <c r="F345" s="78"/>
    </row>
    <row r="346">
      <c r="E346" s="78"/>
      <c r="F346" s="78"/>
    </row>
    <row r="347">
      <c r="E347" s="78"/>
      <c r="F347" s="78"/>
    </row>
    <row r="348">
      <c r="E348" s="78"/>
      <c r="F348" s="78"/>
    </row>
    <row r="349">
      <c r="E349" s="78"/>
      <c r="F349" s="78"/>
    </row>
    <row r="350">
      <c r="E350" s="78"/>
      <c r="F350" s="78"/>
    </row>
    <row r="351">
      <c r="E351" s="78"/>
      <c r="F351" s="78"/>
    </row>
    <row r="352">
      <c r="E352" s="78"/>
      <c r="F352" s="78"/>
    </row>
    <row r="353">
      <c r="E353" s="78"/>
      <c r="F353" s="78"/>
    </row>
    <row r="354">
      <c r="E354" s="78"/>
      <c r="F354" s="78"/>
    </row>
    <row r="355">
      <c r="E355" s="78"/>
      <c r="F355" s="78"/>
    </row>
    <row r="356">
      <c r="E356" s="78"/>
      <c r="F356" s="78"/>
    </row>
    <row r="357">
      <c r="E357" s="78"/>
      <c r="F357" s="78"/>
    </row>
    <row r="358">
      <c r="E358" s="78"/>
      <c r="F358" s="78"/>
    </row>
    <row r="359">
      <c r="E359" s="78"/>
      <c r="F359" s="78"/>
    </row>
    <row r="360">
      <c r="E360" s="78"/>
      <c r="F360" s="78"/>
    </row>
    <row r="361">
      <c r="E361" s="78"/>
      <c r="F361" s="78"/>
    </row>
    <row r="362">
      <c r="E362" s="78"/>
      <c r="F362" s="78"/>
    </row>
    <row r="363">
      <c r="E363" s="78"/>
      <c r="F363" s="78"/>
    </row>
    <row r="364">
      <c r="E364" s="78"/>
      <c r="F364" s="78"/>
    </row>
    <row r="365">
      <c r="E365" s="78"/>
      <c r="F365" s="78"/>
    </row>
    <row r="366">
      <c r="E366" s="78"/>
      <c r="F366" s="78"/>
    </row>
    <row r="367">
      <c r="E367" s="78"/>
      <c r="F367" s="78"/>
    </row>
    <row r="368">
      <c r="E368" s="78"/>
      <c r="F368" s="78"/>
    </row>
    <row r="369">
      <c r="E369" s="78"/>
      <c r="F369" s="78"/>
    </row>
    <row r="370">
      <c r="E370" s="78"/>
      <c r="F370" s="78"/>
    </row>
    <row r="371">
      <c r="E371" s="78"/>
      <c r="F371" s="78"/>
    </row>
    <row r="372">
      <c r="E372" s="78"/>
      <c r="F372" s="78"/>
    </row>
    <row r="373">
      <c r="E373" s="78"/>
      <c r="F373" s="78"/>
    </row>
    <row r="374">
      <c r="E374" s="78"/>
      <c r="F374" s="78"/>
    </row>
    <row r="375">
      <c r="E375" s="78"/>
      <c r="F375" s="78"/>
    </row>
    <row r="376">
      <c r="E376" s="78"/>
      <c r="F376" s="78"/>
    </row>
    <row r="377">
      <c r="E377" s="78"/>
      <c r="F377" s="78"/>
    </row>
    <row r="378">
      <c r="E378" s="78"/>
      <c r="F378" s="78"/>
    </row>
    <row r="379">
      <c r="E379" s="78"/>
      <c r="F379" s="78"/>
    </row>
    <row r="380">
      <c r="E380" s="78"/>
      <c r="F380" s="78"/>
    </row>
    <row r="381">
      <c r="E381" s="78"/>
      <c r="F381" s="78"/>
    </row>
    <row r="382">
      <c r="E382" s="78"/>
      <c r="F382" s="78"/>
    </row>
    <row r="383">
      <c r="E383" s="78"/>
      <c r="F383" s="78"/>
    </row>
    <row r="384">
      <c r="E384" s="78"/>
      <c r="F384" s="78"/>
    </row>
    <row r="385">
      <c r="E385" s="78"/>
      <c r="F385" s="78"/>
    </row>
    <row r="386">
      <c r="E386" s="78"/>
      <c r="F386" s="78"/>
    </row>
    <row r="387">
      <c r="E387" s="78"/>
      <c r="F387" s="78"/>
    </row>
    <row r="388">
      <c r="E388" s="78"/>
      <c r="F388" s="78"/>
    </row>
    <row r="389">
      <c r="E389" s="78"/>
      <c r="F389" s="78"/>
    </row>
    <row r="390">
      <c r="E390" s="78"/>
      <c r="F390" s="78"/>
    </row>
    <row r="391">
      <c r="E391" s="78"/>
      <c r="F391" s="78"/>
    </row>
    <row r="392">
      <c r="E392" s="78"/>
      <c r="F392" s="78"/>
    </row>
    <row r="393">
      <c r="E393" s="78"/>
      <c r="F393" s="78"/>
    </row>
    <row r="394">
      <c r="E394" s="78"/>
      <c r="F394" s="78"/>
    </row>
    <row r="395">
      <c r="E395" s="78"/>
      <c r="F395" s="78"/>
    </row>
    <row r="396">
      <c r="E396" s="78"/>
      <c r="F396" s="78"/>
    </row>
    <row r="397">
      <c r="E397" s="78"/>
      <c r="F397" s="78"/>
    </row>
    <row r="398">
      <c r="E398" s="78"/>
      <c r="F398" s="78"/>
    </row>
    <row r="399">
      <c r="E399" s="78"/>
      <c r="F399" s="78"/>
    </row>
    <row r="400">
      <c r="E400" s="78"/>
      <c r="F400" s="78"/>
    </row>
    <row r="401">
      <c r="E401" s="78"/>
      <c r="F401" s="78"/>
    </row>
    <row r="402">
      <c r="E402" s="78"/>
      <c r="F402" s="78"/>
    </row>
    <row r="403">
      <c r="E403" s="78"/>
      <c r="F403" s="78"/>
    </row>
    <row r="404">
      <c r="E404" s="78"/>
      <c r="F404" s="78"/>
    </row>
    <row r="405">
      <c r="E405" s="78"/>
      <c r="F405" s="78"/>
    </row>
    <row r="406">
      <c r="E406" s="78"/>
      <c r="F406" s="78"/>
    </row>
    <row r="407">
      <c r="E407" s="78"/>
      <c r="F407" s="78"/>
    </row>
    <row r="408">
      <c r="E408" s="78"/>
      <c r="F408" s="78"/>
    </row>
    <row r="409">
      <c r="E409" s="78"/>
      <c r="F409" s="78"/>
    </row>
    <row r="410">
      <c r="E410" s="78"/>
      <c r="F410" s="78"/>
    </row>
    <row r="411">
      <c r="E411" s="78"/>
      <c r="F411" s="78"/>
    </row>
    <row r="412">
      <c r="E412" s="78"/>
      <c r="F412" s="78"/>
    </row>
    <row r="413">
      <c r="E413" s="78"/>
      <c r="F413" s="78"/>
    </row>
    <row r="414">
      <c r="E414" s="78"/>
      <c r="F414" s="78"/>
    </row>
    <row r="415">
      <c r="E415" s="78"/>
      <c r="F415" s="78"/>
    </row>
    <row r="416">
      <c r="E416" s="78"/>
      <c r="F416" s="78"/>
    </row>
    <row r="417">
      <c r="E417" s="78"/>
      <c r="F417" s="78"/>
    </row>
    <row r="418">
      <c r="E418" s="78"/>
      <c r="F418" s="78"/>
    </row>
    <row r="419">
      <c r="E419" s="78"/>
      <c r="F419" s="78"/>
    </row>
    <row r="420">
      <c r="E420" s="78"/>
      <c r="F420" s="78"/>
    </row>
    <row r="421">
      <c r="E421" s="78"/>
      <c r="F421" s="78"/>
    </row>
    <row r="422">
      <c r="E422" s="78"/>
      <c r="F422" s="78"/>
    </row>
    <row r="423">
      <c r="E423" s="78"/>
      <c r="F423" s="78"/>
    </row>
    <row r="424">
      <c r="E424" s="78"/>
      <c r="F424" s="78"/>
    </row>
    <row r="425">
      <c r="E425" s="78"/>
      <c r="F425" s="78"/>
    </row>
    <row r="426">
      <c r="E426" s="78"/>
      <c r="F426" s="78"/>
    </row>
    <row r="427">
      <c r="E427" s="78"/>
      <c r="F427" s="78"/>
    </row>
    <row r="428">
      <c r="E428" s="78"/>
      <c r="F428" s="78"/>
    </row>
    <row r="429">
      <c r="E429" s="78"/>
      <c r="F429" s="78"/>
    </row>
    <row r="430">
      <c r="E430" s="78"/>
      <c r="F430" s="78"/>
    </row>
    <row r="431">
      <c r="E431" s="78"/>
      <c r="F431" s="78"/>
    </row>
    <row r="432">
      <c r="E432" s="78"/>
      <c r="F432" s="78"/>
    </row>
    <row r="433">
      <c r="E433" s="78"/>
      <c r="F433" s="78"/>
    </row>
    <row r="434">
      <c r="E434" s="78"/>
      <c r="F434" s="78"/>
    </row>
    <row r="435">
      <c r="E435" s="78"/>
      <c r="F435" s="78"/>
    </row>
    <row r="436">
      <c r="E436" s="78"/>
      <c r="F436" s="78"/>
    </row>
    <row r="437">
      <c r="E437" s="78"/>
      <c r="F437" s="78"/>
    </row>
    <row r="438">
      <c r="E438" s="78"/>
      <c r="F438" s="78"/>
    </row>
    <row r="439">
      <c r="E439" s="78"/>
      <c r="F439" s="78"/>
    </row>
    <row r="440">
      <c r="E440" s="78"/>
      <c r="F440" s="78"/>
    </row>
    <row r="441">
      <c r="E441" s="78"/>
      <c r="F441" s="78"/>
    </row>
    <row r="442">
      <c r="E442" s="78"/>
      <c r="F442" s="78"/>
    </row>
    <row r="443">
      <c r="E443" s="78"/>
      <c r="F443" s="78"/>
    </row>
    <row r="444">
      <c r="E444" s="78"/>
      <c r="F444" s="78"/>
    </row>
    <row r="445">
      <c r="E445" s="78"/>
      <c r="F445" s="78"/>
    </row>
    <row r="446">
      <c r="E446" s="78"/>
      <c r="F446" s="78"/>
    </row>
    <row r="447">
      <c r="E447" s="78"/>
      <c r="F447" s="78"/>
    </row>
    <row r="448">
      <c r="E448" s="78"/>
      <c r="F448" s="78"/>
    </row>
    <row r="449">
      <c r="E449" s="78"/>
      <c r="F449" s="78"/>
    </row>
    <row r="450">
      <c r="E450" s="78"/>
      <c r="F450" s="78"/>
    </row>
    <row r="451">
      <c r="E451" s="78"/>
      <c r="F451" s="78"/>
    </row>
    <row r="452">
      <c r="E452" s="78"/>
      <c r="F452" s="78"/>
    </row>
    <row r="453">
      <c r="E453" s="78"/>
      <c r="F453" s="78"/>
    </row>
    <row r="454">
      <c r="E454" s="78"/>
      <c r="F454" s="78"/>
    </row>
    <row r="455">
      <c r="E455" s="78"/>
      <c r="F455" s="78"/>
    </row>
    <row r="456">
      <c r="E456" s="78"/>
      <c r="F456" s="78"/>
    </row>
    <row r="457">
      <c r="E457" s="78"/>
      <c r="F457" s="78"/>
    </row>
    <row r="458">
      <c r="E458" s="78"/>
      <c r="F458" s="78"/>
    </row>
    <row r="459">
      <c r="E459" s="78"/>
      <c r="F459" s="78"/>
    </row>
    <row r="460">
      <c r="E460" s="78"/>
      <c r="F460" s="78"/>
    </row>
    <row r="461">
      <c r="E461" s="78"/>
      <c r="F461" s="78"/>
    </row>
    <row r="462">
      <c r="E462" s="78"/>
      <c r="F462" s="78"/>
    </row>
    <row r="463">
      <c r="E463" s="78"/>
      <c r="F463" s="78"/>
    </row>
    <row r="464">
      <c r="E464" s="78"/>
      <c r="F464" s="78"/>
    </row>
    <row r="465">
      <c r="E465" s="78"/>
      <c r="F465" s="78"/>
    </row>
    <row r="466">
      <c r="E466" s="78"/>
      <c r="F466" s="78"/>
    </row>
    <row r="467">
      <c r="E467" s="78"/>
      <c r="F467" s="78"/>
    </row>
    <row r="468">
      <c r="E468" s="78"/>
      <c r="F468" s="78"/>
    </row>
    <row r="469">
      <c r="E469" s="78"/>
      <c r="F469" s="78"/>
    </row>
    <row r="470">
      <c r="E470" s="78"/>
      <c r="F470" s="78"/>
    </row>
    <row r="471">
      <c r="E471" s="78"/>
      <c r="F471" s="78"/>
    </row>
    <row r="472">
      <c r="E472" s="78"/>
      <c r="F472" s="78"/>
    </row>
    <row r="473">
      <c r="E473" s="78"/>
      <c r="F473" s="78"/>
    </row>
    <row r="474">
      <c r="E474" s="78"/>
      <c r="F474" s="78"/>
    </row>
    <row r="475">
      <c r="E475" s="78"/>
      <c r="F475" s="78"/>
    </row>
    <row r="476">
      <c r="E476" s="78"/>
      <c r="F476" s="78"/>
    </row>
    <row r="477">
      <c r="E477" s="78"/>
      <c r="F477" s="78"/>
    </row>
    <row r="478">
      <c r="E478" s="78"/>
      <c r="F478" s="78"/>
    </row>
    <row r="479">
      <c r="E479" s="78"/>
      <c r="F479" s="78"/>
    </row>
    <row r="480">
      <c r="E480" s="78"/>
      <c r="F480" s="78"/>
    </row>
    <row r="481">
      <c r="E481" s="78"/>
      <c r="F481" s="78"/>
    </row>
    <row r="482">
      <c r="E482" s="78"/>
      <c r="F482" s="78"/>
    </row>
    <row r="483">
      <c r="E483" s="78"/>
      <c r="F483" s="78"/>
    </row>
    <row r="484">
      <c r="E484" s="78"/>
      <c r="F484" s="78"/>
    </row>
    <row r="485">
      <c r="E485" s="78"/>
      <c r="F485" s="78"/>
    </row>
    <row r="486">
      <c r="E486" s="78"/>
      <c r="F486" s="78"/>
    </row>
    <row r="487">
      <c r="E487" s="78"/>
      <c r="F487" s="78"/>
    </row>
    <row r="488">
      <c r="E488" s="78"/>
      <c r="F488" s="78"/>
    </row>
    <row r="489">
      <c r="E489" s="78"/>
      <c r="F489" s="78"/>
    </row>
    <row r="490">
      <c r="E490" s="78"/>
      <c r="F490" s="78"/>
    </row>
    <row r="491">
      <c r="E491" s="78"/>
      <c r="F491" s="78"/>
    </row>
    <row r="492">
      <c r="E492" s="78"/>
      <c r="F492" s="78"/>
    </row>
    <row r="493">
      <c r="E493" s="78"/>
      <c r="F493" s="78"/>
    </row>
    <row r="494">
      <c r="E494" s="78"/>
      <c r="F494" s="78"/>
    </row>
    <row r="495">
      <c r="E495" s="78"/>
      <c r="F495" s="78"/>
    </row>
    <row r="496">
      <c r="E496" s="78"/>
      <c r="F496" s="78"/>
    </row>
    <row r="497">
      <c r="E497" s="78"/>
      <c r="F497" s="78"/>
    </row>
    <row r="498">
      <c r="E498" s="78"/>
      <c r="F498" s="78"/>
    </row>
    <row r="499">
      <c r="E499" s="78"/>
      <c r="F499" s="78"/>
    </row>
    <row r="500">
      <c r="E500" s="78"/>
      <c r="F500" s="78"/>
    </row>
    <row r="501">
      <c r="E501" s="78"/>
      <c r="F501" s="78"/>
    </row>
    <row r="502">
      <c r="E502" s="78"/>
      <c r="F502" s="78"/>
    </row>
    <row r="503">
      <c r="E503" s="78"/>
      <c r="F503" s="78"/>
    </row>
    <row r="504">
      <c r="E504" s="78"/>
      <c r="F504" s="78"/>
    </row>
    <row r="505">
      <c r="E505" s="78"/>
      <c r="F505" s="78"/>
    </row>
    <row r="506">
      <c r="E506" s="78"/>
      <c r="F506" s="78"/>
    </row>
    <row r="507">
      <c r="E507" s="78"/>
      <c r="F507" s="78"/>
    </row>
    <row r="508">
      <c r="E508" s="78"/>
      <c r="F508" s="78"/>
    </row>
    <row r="509">
      <c r="E509" s="78"/>
      <c r="F509" s="78"/>
    </row>
    <row r="510">
      <c r="E510" s="78"/>
      <c r="F510" s="78"/>
    </row>
    <row r="511">
      <c r="E511" s="78"/>
      <c r="F511" s="78"/>
    </row>
    <row r="512">
      <c r="E512" s="78"/>
      <c r="F512" s="78"/>
    </row>
    <row r="513">
      <c r="E513" s="78"/>
      <c r="F513" s="78"/>
    </row>
    <row r="514">
      <c r="E514" s="78"/>
      <c r="F514" s="78"/>
    </row>
    <row r="515">
      <c r="E515" s="78"/>
      <c r="F515" s="78"/>
    </row>
    <row r="516">
      <c r="E516" s="78"/>
      <c r="F516" s="78"/>
    </row>
    <row r="517">
      <c r="E517" s="78"/>
      <c r="F517" s="78"/>
    </row>
    <row r="518">
      <c r="E518" s="78"/>
      <c r="F518" s="78"/>
    </row>
    <row r="519">
      <c r="E519" s="78"/>
      <c r="F519" s="78"/>
    </row>
    <row r="520">
      <c r="E520" s="78"/>
      <c r="F520" s="78"/>
    </row>
    <row r="521">
      <c r="E521" s="78"/>
      <c r="F521" s="78"/>
    </row>
    <row r="522">
      <c r="E522" s="78"/>
      <c r="F522" s="78"/>
    </row>
    <row r="523">
      <c r="E523" s="78"/>
      <c r="F523" s="78"/>
    </row>
    <row r="524">
      <c r="E524" s="78"/>
      <c r="F524" s="78"/>
    </row>
    <row r="525">
      <c r="E525" s="78"/>
      <c r="F525" s="78"/>
    </row>
    <row r="526">
      <c r="E526" s="78"/>
      <c r="F526" s="78"/>
    </row>
    <row r="527">
      <c r="E527" s="78"/>
      <c r="F527" s="78"/>
    </row>
    <row r="528">
      <c r="E528" s="78"/>
      <c r="F528" s="78"/>
    </row>
    <row r="529">
      <c r="E529" s="78"/>
      <c r="F529" s="78"/>
    </row>
    <row r="530">
      <c r="E530" s="78"/>
      <c r="F530" s="78"/>
    </row>
    <row r="531">
      <c r="E531" s="78"/>
      <c r="F531" s="78"/>
    </row>
    <row r="532">
      <c r="E532" s="78"/>
      <c r="F532" s="78"/>
    </row>
    <row r="533">
      <c r="E533" s="78"/>
      <c r="F533" s="78"/>
    </row>
    <row r="534">
      <c r="E534" s="78"/>
      <c r="F534" s="78"/>
    </row>
    <row r="535">
      <c r="E535" s="78"/>
      <c r="F535" s="78"/>
    </row>
    <row r="536">
      <c r="E536" s="78"/>
      <c r="F536" s="78"/>
    </row>
    <row r="537">
      <c r="E537" s="78"/>
      <c r="F537" s="78"/>
    </row>
    <row r="538">
      <c r="E538" s="78"/>
      <c r="F538" s="78"/>
    </row>
    <row r="539">
      <c r="E539" s="78"/>
      <c r="F539" s="78"/>
    </row>
    <row r="540">
      <c r="E540" s="78"/>
      <c r="F540" s="78"/>
    </row>
    <row r="541">
      <c r="E541" s="78"/>
      <c r="F541" s="78"/>
    </row>
    <row r="542">
      <c r="E542" s="78"/>
      <c r="F542" s="78"/>
    </row>
    <row r="543">
      <c r="E543" s="78"/>
      <c r="F543" s="78"/>
    </row>
    <row r="544">
      <c r="E544" s="78"/>
      <c r="F544" s="78"/>
    </row>
    <row r="545">
      <c r="E545" s="78"/>
      <c r="F545" s="78"/>
    </row>
    <row r="546">
      <c r="E546" s="78"/>
      <c r="F546" s="78"/>
    </row>
    <row r="547">
      <c r="E547" s="78"/>
      <c r="F547" s="78"/>
    </row>
    <row r="548">
      <c r="E548" s="78"/>
      <c r="F548" s="78"/>
    </row>
    <row r="549">
      <c r="E549" s="78"/>
      <c r="F549" s="78"/>
    </row>
    <row r="550">
      <c r="E550" s="78"/>
      <c r="F550" s="78"/>
    </row>
    <row r="551">
      <c r="E551" s="78"/>
      <c r="F551" s="78"/>
    </row>
    <row r="552">
      <c r="E552" s="78"/>
      <c r="F552" s="78"/>
    </row>
    <row r="553">
      <c r="E553" s="78"/>
      <c r="F553" s="78"/>
    </row>
    <row r="554">
      <c r="E554" s="78"/>
      <c r="F554" s="78"/>
    </row>
    <row r="555">
      <c r="E555" s="78"/>
      <c r="F555" s="78"/>
    </row>
    <row r="556">
      <c r="E556" s="78"/>
      <c r="F556" s="78"/>
    </row>
    <row r="557">
      <c r="E557" s="78"/>
      <c r="F557" s="78"/>
    </row>
    <row r="558">
      <c r="E558" s="78"/>
      <c r="F558" s="78"/>
    </row>
    <row r="559">
      <c r="E559" s="78"/>
      <c r="F559" s="78"/>
    </row>
    <row r="560">
      <c r="E560" s="78"/>
      <c r="F560" s="78"/>
    </row>
    <row r="561">
      <c r="E561" s="78"/>
      <c r="F561" s="78"/>
    </row>
    <row r="562">
      <c r="E562" s="78"/>
      <c r="F562" s="78"/>
    </row>
    <row r="563">
      <c r="E563" s="78"/>
      <c r="F563" s="78"/>
    </row>
    <row r="564">
      <c r="E564" s="78"/>
      <c r="F564" s="78"/>
    </row>
    <row r="565">
      <c r="E565" s="78"/>
      <c r="F565" s="78"/>
    </row>
    <row r="566">
      <c r="E566" s="78"/>
      <c r="F566" s="78"/>
    </row>
    <row r="567">
      <c r="E567" s="78"/>
      <c r="F567" s="78"/>
    </row>
    <row r="568">
      <c r="E568" s="78"/>
      <c r="F568" s="78"/>
    </row>
    <row r="569">
      <c r="E569" s="78"/>
      <c r="F569" s="78"/>
    </row>
    <row r="570">
      <c r="E570" s="78"/>
      <c r="F570" s="78"/>
    </row>
    <row r="571">
      <c r="E571" s="78"/>
      <c r="F571" s="78"/>
    </row>
    <row r="572">
      <c r="E572" s="78"/>
      <c r="F572" s="78"/>
    </row>
    <row r="573">
      <c r="E573" s="78"/>
      <c r="F573" s="78"/>
    </row>
    <row r="574">
      <c r="E574" s="78"/>
      <c r="F574" s="78"/>
    </row>
    <row r="575">
      <c r="E575" s="78"/>
      <c r="F575" s="78"/>
    </row>
    <row r="576">
      <c r="E576" s="78"/>
      <c r="F576" s="78"/>
    </row>
    <row r="577">
      <c r="E577" s="78"/>
      <c r="F577" s="78"/>
    </row>
    <row r="578">
      <c r="E578" s="78"/>
      <c r="F578" s="78"/>
    </row>
    <row r="579">
      <c r="E579" s="78"/>
      <c r="F579" s="78"/>
    </row>
    <row r="580">
      <c r="E580" s="78"/>
      <c r="F580" s="78"/>
    </row>
    <row r="581">
      <c r="E581" s="78"/>
      <c r="F581" s="78"/>
    </row>
    <row r="582">
      <c r="E582" s="78"/>
      <c r="F582" s="78"/>
    </row>
    <row r="583">
      <c r="E583" s="78"/>
      <c r="F583" s="78"/>
    </row>
    <row r="584">
      <c r="E584" s="78"/>
      <c r="F584" s="78"/>
    </row>
    <row r="585">
      <c r="E585" s="78"/>
      <c r="F585" s="78"/>
    </row>
    <row r="586">
      <c r="E586" s="78"/>
      <c r="F586" s="78"/>
    </row>
    <row r="587">
      <c r="E587" s="78"/>
      <c r="F587" s="78"/>
    </row>
    <row r="588">
      <c r="E588" s="78"/>
      <c r="F588" s="78"/>
    </row>
    <row r="589">
      <c r="E589" s="78"/>
      <c r="F589" s="78"/>
    </row>
    <row r="590">
      <c r="E590" s="78"/>
      <c r="F590" s="78"/>
    </row>
    <row r="591">
      <c r="E591" s="78"/>
      <c r="F591" s="78"/>
    </row>
    <row r="592">
      <c r="E592" s="78"/>
      <c r="F592" s="78"/>
    </row>
    <row r="593">
      <c r="E593" s="78"/>
      <c r="F593" s="78"/>
    </row>
    <row r="594">
      <c r="E594" s="78"/>
      <c r="F594" s="78"/>
    </row>
    <row r="595">
      <c r="E595" s="78"/>
      <c r="F595" s="78"/>
    </row>
    <row r="596">
      <c r="E596" s="78"/>
      <c r="F596" s="78"/>
    </row>
    <row r="597">
      <c r="E597" s="78"/>
      <c r="F597" s="78"/>
    </row>
    <row r="598">
      <c r="E598" s="78"/>
      <c r="F598" s="78"/>
    </row>
    <row r="599">
      <c r="E599" s="78"/>
      <c r="F599" s="78"/>
    </row>
    <row r="600">
      <c r="E600" s="78"/>
      <c r="F600" s="78"/>
    </row>
    <row r="601">
      <c r="E601" s="78"/>
      <c r="F601" s="78"/>
    </row>
    <row r="602">
      <c r="E602" s="78"/>
      <c r="F602" s="78"/>
    </row>
    <row r="603">
      <c r="E603" s="78"/>
      <c r="F603" s="78"/>
    </row>
    <row r="604">
      <c r="E604" s="78"/>
      <c r="F604" s="78"/>
    </row>
    <row r="605">
      <c r="E605" s="78"/>
      <c r="F605" s="78"/>
    </row>
    <row r="606">
      <c r="E606" s="78"/>
      <c r="F606" s="78"/>
    </row>
    <row r="607">
      <c r="E607" s="78"/>
      <c r="F607" s="78"/>
    </row>
    <row r="608">
      <c r="E608" s="78"/>
      <c r="F608" s="78"/>
    </row>
    <row r="609">
      <c r="E609" s="78"/>
      <c r="F609" s="78"/>
    </row>
    <row r="610">
      <c r="E610" s="78"/>
      <c r="F610" s="78"/>
    </row>
    <row r="611">
      <c r="E611" s="78"/>
      <c r="F611" s="78"/>
    </row>
    <row r="612">
      <c r="E612" s="78"/>
      <c r="F612" s="78"/>
    </row>
    <row r="613">
      <c r="E613" s="78"/>
      <c r="F613" s="78"/>
    </row>
    <row r="614">
      <c r="E614" s="78"/>
      <c r="F614" s="78"/>
    </row>
    <row r="615">
      <c r="E615" s="78"/>
      <c r="F615" s="78"/>
    </row>
    <row r="616">
      <c r="E616" s="78"/>
      <c r="F616" s="78"/>
    </row>
    <row r="617">
      <c r="E617" s="78"/>
      <c r="F617" s="78"/>
    </row>
    <row r="618">
      <c r="E618" s="78"/>
      <c r="F618" s="78"/>
    </row>
    <row r="619">
      <c r="E619" s="78"/>
      <c r="F619" s="78"/>
    </row>
    <row r="620">
      <c r="E620" s="78"/>
      <c r="F620" s="78"/>
    </row>
    <row r="621">
      <c r="E621" s="78"/>
      <c r="F621" s="78"/>
    </row>
    <row r="622">
      <c r="E622" s="78"/>
      <c r="F622" s="78"/>
    </row>
    <row r="623">
      <c r="E623" s="78"/>
      <c r="F623" s="78"/>
    </row>
    <row r="624">
      <c r="E624" s="78"/>
      <c r="F624" s="78"/>
    </row>
    <row r="625">
      <c r="E625" s="78"/>
      <c r="F625" s="78"/>
    </row>
    <row r="626">
      <c r="E626" s="78"/>
      <c r="F626" s="78"/>
    </row>
    <row r="627">
      <c r="E627" s="78"/>
      <c r="F627" s="78"/>
    </row>
    <row r="628">
      <c r="E628" s="78"/>
      <c r="F628" s="78"/>
    </row>
    <row r="629">
      <c r="E629" s="78"/>
      <c r="F629" s="78"/>
    </row>
    <row r="630">
      <c r="E630" s="78"/>
      <c r="F630" s="78"/>
    </row>
    <row r="631">
      <c r="E631" s="78"/>
      <c r="F631" s="78"/>
    </row>
    <row r="632">
      <c r="E632" s="78"/>
      <c r="F632" s="78"/>
    </row>
    <row r="633">
      <c r="E633" s="78"/>
      <c r="F633" s="78"/>
    </row>
    <row r="634">
      <c r="E634" s="78"/>
      <c r="F634" s="78"/>
    </row>
    <row r="635">
      <c r="E635" s="78"/>
      <c r="F635" s="78"/>
    </row>
    <row r="636">
      <c r="E636" s="78"/>
      <c r="F636" s="78"/>
    </row>
    <row r="637">
      <c r="E637" s="78"/>
      <c r="F637" s="78"/>
    </row>
    <row r="638">
      <c r="E638" s="78"/>
      <c r="F638" s="78"/>
    </row>
    <row r="639">
      <c r="E639" s="78"/>
      <c r="F639" s="78"/>
    </row>
    <row r="640">
      <c r="E640" s="78"/>
      <c r="F640" s="78"/>
    </row>
    <row r="641">
      <c r="E641" s="78"/>
      <c r="F641" s="78"/>
    </row>
    <row r="642">
      <c r="E642" s="78"/>
      <c r="F642" s="78"/>
    </row>
    <row r="643">
      <c r="E643" s="78"/>
      <c r="F643" s="78"/>
    </row>
    <row r="644">
      <c r="E644" s="78"/>
      <c r="F644" s="78"/>
    </row>
    <row r="645">
      <c r="E645" s="78"/>
      <c r="F645" s="78"/>
    </row>
    <row r="646">
      <c r="E646" s="78"/>
      <c r="F646" s="78"/>
    </row>
    <row r="647">
      <c r="E647" s="78"/>
      <c r="F647" s="78"/>
    </row>
    <row r="648">
      <c r="E648" s="78"/>
      <c r="F648" s="78"/>
    </row>
    <row r="649">
      <c r="E649" s="78"/>
      <c r="F649" s="78"/>
    </row>
    <row r="650">
      <c r="E650" s="78"/>
      <c r="F650" s="78"/>
    </row>
    <row r="651">
      <c r="E651" s="78"/>
      <c r="F651" s="78"/>
    </row>
    <row r="652">
      <c r="E652" s="78"/>
      <c r="F652" s="78"/>
    </row>
    <row r="653">
      <c r="E653" s="78"/>
      <c r="F653" s="78"/>
    </row>
    <row r="654">
      <c r="E654" s="78"/>
      <c r="F654" s="78"/>
    </row>
    <row r="655">
      <c r="E655" s="78"/>
      <c r="F655" s="78"/>
    </row>
    <row r="656">
      <c r="E656" s="78"/>
      <c r="F656" s="78"/>
    </row>
    <row r="657">
      <c r="E657" s="78"/>
      <c r="F657" s="78"/>
    </row>
    <row r="658">
      <c r="E658" s="78"/>
      <c r="F658" s="78"/>
    </row>
    <row r="659">
      <c r="E659" s="78"/>
      <c r="F659" s="78"/>
    </row>
    <row r="660">
      <c r="E660" s="78"/>
      <c r="F660" s="78"/>
    </row>
    <row r="661">
      <c r="E661" s="78"/>
      <c r="F661" s="78"/>
    </row>
    <row r="662">
      <c r="E662" s="78"/>
      <c r="F662" s="78"/>
    </row>
    <row r="663">
      <c r="E663" s="78"/>
      <c r="F663" s="78"/>
    </row>
    <row r="664">
      <c r="E664" s="78"/>
      <c r="F664" s="78"/>
    </row>
    <row r="665">
      <c r="E665" s="78"/>
      <c r="F665" s="78"/>
    </row>
    <row r="666">
      <c r="E666" s="78"/>
      <c r="F666" s="78"/>
    </row>
    <row r="667">
      <c r="E667" s="78"/>
      <c r="F667" s="78"/>
    </row>
    <row r="668">
      <c r="E668" s="78"/>
      <c r="F668" s="78"/>
    </row>
    <row r="669">
      <c r="E669" s="78"/>
      <c r="F669" s="78"/>
    </row>
    <row r="670">
      <c r="E670" s="78"/>
      <c r="F670" s="78"/>
    </row>
    <row r="671">
      <c r="E671" s="78"/>
      <c r="F671" s="78"/>
    </row>
    <row r="672">
      <c r="E672" s="78"/>
      <c r="F672" s="78"/>
    </row>
    <row r="673">
      <c r="E673" s="78"/>
      <c r="F673" s="78"/>
    </row>
    <row r="674">
      <c r="E674" s="78"/>
      <c r="F674" s="78"/>
    </row>
    <row r="675">
      <c r="E675" s="78"/>
      <c r="F675" s="78"/>
    </row>
    <row r="676">
      <c r="E676" s="78"/>
      <c r="F676" s="78"/>
    </row>
    <row r="677">
      <c r="E677" s="78"/>
      <c r="F677" s="78"/>
    </row>
    <row r="678">
      <c r="E678" s="78"/>
      <c r="F678" s="78"/>
    </row>
    <row r="679">
      <c r="E679" s="78"/>
      <c r="F679" s="78"/>
    </row>
    <row r="680">
      <c r="E680" s="78"/>
      <c r="F680" s="78"/>
    </row>
    <row r="681">
      <c r="E681" s="78"/>
      <c r="F681" s="78"/>
    </row>
    <row r="682">
      <c r="E682" s="78"/>
      <c r="F682" s="78"/>
    </row>
    <row r="683">
      <c r="E683" s="78"/>
      <c r="F683" s="78"/>
    </row>
    <row r="684">
      <c r="E684" s="78"/>
      <c r="F684" s="78"/>
    </row>
    <row r="685">
      <c r="E685" s="78"/>
      <c r="F685" s="78"/>
    </row>
    <row r="686">
      <c r="E686" s="78"/>
      <c r="F686" s="78"/>
    </row>
    <row r="687">
      <c r="E687" s="78"/>
      <c r="F687" s="78"/>
    </row>
    <row r="688">
      <c r="E688" s="78"/>
      <c r="F688" s="78"/>
    </row>
    <row r="689">
      <c r="E689" s="78"/>
      <c r="F689" s="78"/>
    </row>
    <row r="690">
      <c r="E690" s="78"/>
      <c r="F690" s="78"/>
    </row>
    <row r="691">
      <c r="E691" s="78"/>
      <c r="F691" s="78"/>
    </row>
    <row r="692">
      <c r="E692" s="78"/>
      <c r="F692" s="78"/>
    </row>
    <row r="693">
      <c r="E693" s="78"/>
      <c r="F693" s="78"/>
    </row>
    <row r="694">
      <c r="E694" s="78"/>
      <c r="F694" s="78"/>
    </row>
    <row r="695">
      <c r="E695" s="78"/>
      <c r="F695" s="78"/>
    </row>
    <row r="696">
      <c r="E696" s="78"/>
      <c r="F696" s="78"/>
    </row>
    <row r="697">
      <c r="E697" s="78"/>
      <c r="F697" s="78"/>
    </row>
    <row r="698">
      <c r="E698" s="78"/>
      <c r="F698" s="78"/>
    </row>
    <row r="699">
      <c r="E699" s="78"/>
      <c r="F699" s="78"/>
    </row>
    <row r="700">
      <c r="E700" s="78"/>
      <c r="F700" s="78"/>
    </row>
    <row r="701">
      <c r="E701" s="78"/>
      <c r="F701" s="78"/>
    </row>
    <row r="702">
      <c r="E702" s="78"/>
      <c r="F702" s="78"/>
    </row>
    <row r="703">
      <c r="E703" s="78"/>
      <c r="F703" s="78"/>
    </row>
    <row r="704">
      <c r="E704" s="78"/>
      <c r="F704" s="78"/>
    </row>
    <row r="705">
      <c r="E705" s="78"/>
      <c r="F705" s="78"/>
    </row>
    <row r="706">
      <c r="E706" s="78"/>
      <c r="F706" s="78"/>
    </row>
    <row r="707">
      <c r="E707" s="78"/>
      <c r="F707" s="78"/>
    </row>
    <row r="708">
      <c r="E708" s="78"/>
      <c r="F708" s="78"/>
    </row>
    <row r="709">
      <c r="E709" s="78"/>
      <c r="F709" s="78"/>
    </row>
    <row r="710">
      <c r="E710" s="78"/>
      <c r="F710" s="78"/>
    </row>
    <row r="711">
      <c r="E711" s="78"/>
      <c r="F711" s="78"/>
    </row>
    <row r="712">
      <c r="E712" s="78"/>
      <c r="F712" s="78"/>
    </row>
    <row r="713">
      <c r="E713" s="78"/>
      <c r="F713" s="78"/>
    </row>
    <row r="714">
      <c r="E714" s="78"/>
      <c r="F714" s="78"/>
    </row>
    <row r="715">
      <c r="E715" s="78"/>
      <c r="F715" s="78"/>
    </row>
    <row r="716">
      <c r="E716" s="78"/>
      <c r="F716" s="78"/>
    </row>
    <row r="717">
      <c r="E717" s="78"/>
      <c r="F717" s="78"/>
    </row>
    <row r="718">
      <c r="E718" s="78"/>
      <c r="F718" s="78"/>
    </row>
    <row r="719">
      <c r="E719" s="78"/>
      <c r="F719" s="78"/>
    </row>
    <row r="720">
      <c r="E720" s="78"/>
      <c r="F720" s="78"/>
    </row>
    <row r="721">
      <c r="E721" s="78"/>
      <c r="F721" s="78"/>
    </row>
    <row r="722">
      <c r="E722" s="78"/>
      <c r="F722" s="78"/>
    </row>
    <row r="723">
      <c r="E723" s="78"/>
      <c r="F723" s="78"/>
    </row>
    <row r="724">
      <c r="E724" s="78"/>
      <c r="F724" s="78"/>
    </row>
    <row r="725">
      <c r="E725" s="78"/>
      <c r="F725" s="78"/>
    </row>
    <row r="726">
      <c r="E726" s="78"/>
      <c r="F726" s="78"/>
    </row>
    <row r="727">
      <c r="E727" s="78"/>
      <c r="F727" s="78"/>
    </row>
    <row r="728">
      <c r="E728" s="78"/>
      <c r="F728" s="78"/>
    </row>
    <row r="729">
      <c r="E729" s="78"/>
      <c r="F729" s="78"/>
    </row>
    <row r="730">
      <c r="E730" s="78"/>
      <c r="F730" s="78"/>
    </row>
    <row r="731">
      <c r="E731" s="78"/>
      <c r="F731" s="78"/>
    </row>
    <row r="732">
      <c r="E732" s="78"/>
      <c r="F732" s="78"/>
    </row>
    <row r="733">
      <c r="E733" s="78"/>
      <c r="F733" s="78"/>
    </row>
    <row r="734">
      <c r="E734" s="78"/>
      <c r="F734" s="78"/>
    </row>
    <row r="735">
      <c r="E735" s="78"/>
      <c r="F735" s="78"/>
    </row>
    <row r="736">
      <c r="E736" s="78"/>
      <c r="F736" s="78"/>
    </row>
    <row r="737">
      <c r="E737" s="78"/>
      <c r="F737" s="78"/>
    </row>
    <row r="738">
      <c r="E738" s="78"/>
      <c r="F738" s="78"/>
    </row>
    <row r="739">
      <c r="E739" s="78"/>
      <c r="F739" s="78"/>
    </row>
    <row r="740">
      <c r="E740" s="78"/>
      <c r="F740" s="78"/>
    </row>
    <row r="741">
      <c r="E741" s="78"/>
      <c r="F741" s="78"/>
    </row>
    <row r="742">
      <c r="E742" s="78"/>
      <c r="F742" s="78"/>
    </row>
    <row r="743">
      <c r="E743" s="78"/>
      <c r="F743" s="78"/>
    </row>
    <row r="744">
      <c r="E744" s="78"/>
      <c r="F744" s="78"/>
    </row>
    <row r="745">
      <c r="E745" s="78"/>
      <c r="F745" s="78"/>
    </row>
    <row r="746">
      <c r="E746" s="78"/>
      <c r="F746" s="78"/>
    </row>
    <row r="747">
      <c r="E747" s="78"/>
      <c r="F747" s="78"/>
    </row>
    <row r="748">
      <c r="E748" s="78"/>
      <c r="F748" s="78"/>
    </row>
    <row r="749">
      <c r="E749" s="78"/>
      <c r="F749" s="78"/>
    </row>
    <row r="750">
      <c r="E750" s="78"/>
      <c r="F750" s="78"/>
    </row>
    <row r="751">
      <c r="E751" s="78"/>
      <c r="F751" s="78"/>
    </row>
    <row r="752">
      <c r="E752" s="78"/>
      <c r="F752" s="78"/>
    </row>
    <row r="753">
      <c r="E753" s="78"/>
      <c r="F753" s="78"/>
    </row>
    <row r="754">
      <c r="E754" s="78"/>
      <c r="F754" s="78"/>
    </row>
    <row r="755">
      <c r="E755" s="78"/>
      <c r="F755" s="78"/>
    </row>
    <row r="756">
      <c r="E756" s="78"/>
      <c r="F756" s="78"/>
    </row>
    <row r="757">
      <c r="E757" s="78"/>
      <c r="F757" s="78"/>
    </row>
    <row r="758">
      <c r="E758" s="78"/>
      <c r="F758" s="78"/>
    </row>
    <row r="759">
      <c r="E759" s="78"/>
      <c r="F759" s="78"/>
    </row>
    <row r="760">
      <c r="E760" s="78"/>
      <c r="F760" s="78"/>
    </row>
    <row r="761">
      <c r="E761" s="78"/>
      <c r="F761" s="78"/>
    </row>
    <row r="762">
      <c r="E762" s="78"/>
      <c r="F762" s="78"/>
    </row>
    <row r="763">
      <c r="E763" s="78"/>
      <c r="F763" s="78"/>
    </row>
    <row r="764">
      <c r="E764" s="78"/>
      <c r="F764" s="78"/>
    </row>
    <row r="765">
      <c r="E765" s="78"/>
      <c r="F765" s="78"/>
    </row>
    <row r="766">
      <c r="E766" s="78"/>
      <c r="F766" s="78"/>
    </row>
    <row r="767">
      <c r="E767" s="78"/>
      <c r="F767" s="78"/>
    </row>
    <row r="768">
      <c r="E768" s="78"/>
      <c r="F768" s="78"/>
    </row>
    <row r="769">
      <c r="E769" s="78"/>
      <c r="F769" s="78"/>
    </row>
    <row r="770">
      <c r="E770" s="78"/>
      <c r="F770" s="78"/>
    </row>
    <row r="771">
      <c r="E771" s="78"/>
      <c r="F771" s="78"/>
    </row>
    <row r="772">
      <c r="E772" s="78"/>
      <c r="F772" s="78"/>
    </row>
    <row r="773">
      <c r="E773" s="78"/>
      <c r="F773" s="78"/>
    </row>
    <row r="774">
      <c r="E774" s="78"/>
      <c r="F774" s="78"/>
    </row>
    <row r="775">
      <c r="E775" s="78"/>
      <c r="F775" s="78"/>
    </row>
    <row r="776">
      <c r="E776" s="78"/>
      <c r="F776" s="78"/>
    </row>
    <row r="777">
      <c r="E777" s="78"/>
      <c r="F777" s="78"/>
    </row>
    <row r="778">
      <c r="E778" s="78"/>
      <c r="F778" s="78"/>
    </row>
    <row r="779">
      <c r="E779" s="78"/>
      <c r="F779" s="78"/>
    </row>
    <row r="780">
      <c r="E780" s="78"/>
      <c r="F780" s="78"/>
    </row>
    <row r="781">
      <c r="E781" s="78"/>
      <c r="F781" s="78"/>
    </row>
    <row r="782">
      <c r="E782" s="78"/>
      <c r="F782" s="78"/>
    </row>
    <row r="783">
      <c r="E783" s="78"/>
      <c r="F783" s="78"/>
    </row>
    <row r="784">
      <c r="E784" s="78"/>
      <c r="F784" s="78"/>
    </row>
    <row r="785">
      <c r="E785" s="78"/>
      <c r="F785" s="78"/>
    </row>
    <row r="786">
      <c r="E786" s="78"/>
      <c r="F786" s="78"/>
    </row>
    <row r="787">
      <c r="E787" s="78"/>
      <c r="F787" s="78"/>
    </row>
    <row r="788">
      <c r="E788" s="78"/>
      <c r="F788" s="78"/>
    </row>
    <row r="789">
      <c r="E789" s="78"/>
      <c r="F789" s="78"/>
    </row>
    <row r="790">
      <c r="E790" s="78"/>
      <c r="F790" s="78"/>
    </row>
    <row r="791">
      <c r="E791" s="78"/>
      <c r="F791" s="78"/>
    </row>
    <row r="792">
      <c r="E792" s="78"/>
      <c r="F792" s="78"/>
    </row>
    <row r="793">
      <c r="E793" s="78"/>
      <c r="F793" s="78"/>
    </row>
    <row r="794">
      <c r="E794" s="78"/>
      <c r="F794" s="78"/>
    </row>
    <row r="795">
      <c r="E795" s="78"/>
      <c r="F795" s="78"/>
    </row>
    <row r="796">
      <c r="E796" s="78"/>
      <c r="F796" s="78"/>
    </row>
    <row r="797">
      <c r="E797" s="78"/>
      <c r="F797" s="78"/>
    </row>
    <row r="798">
      <c r="E798" s="78"/>
      <c r="F798" s="78"/>
    </row>
    <row r="799">
      <c r="E799" s="78"/>
      <c r="F799" s="78"/>
    </row>
    <row r="800">
      <c r="E800" s="78"/>
      <c r="F800" s="78"/>
    </row>
    <row r="801">
      <c r="E801" s="78"/>
      <c r="F801" s="78"/>
    </row>
    <row r="802">
      <c r="E802" s="78"/>
      <c r="F802" s="78"/>
    </row>
    <row r="803">
      <c r="E803" s="78"/>
      <c r="F803" s="78"/>
    </row>
    <row r="804">
      <c r="E804" s="78"/>
      <c r="F804" s="78"/>
    </row>
    <row r="805">
      <c r="E805" s="78"/>
      <c r="F805" s="78"/>
    </row>
    <row r="806">
      <c r="E806" s="78"/>
      <c r="F806" s="78"/>
    </row>
    <row r="807">
      <c r="E807" s="78"/>
      <c r="F807" s="78"/>
    </row>
    <row r="808">
      <c r="E808" s="78"/>
      <c r="F808" s="78"/>
    </row>
    <row r="809">
      <c r="E809" s="78"/>
      <c r="F809" s="78"/>
    </row>
    <row r="810">
      <c r="E810" s="78"/>
      <c r="F810" s="78"/>
    </row>
    <row r="811">
      <c r="E811" s="78"/>
      <c r="F811" s="78"/>
    </row>
    <row r="812">
      <c r="E812" s="78"/>
      <c r="F812" s="78"/>
    </row>
    <row r="813">
      <c r="E813" s="78"/>
      <c r="F813" s="78"/>
    </row>
    <row r="814">
      <c r="E814" s="78"/>
      <c r="F814" s="78"/>
    </row>
    <row r="815">
      <c r="E815" s="78"/>
      <c r="F815" s="78"/>
    </row>
    <row r="816">
      <c r="E816" s="78"/>
      <c r="F816" s="78"/>
    </row>
    <row r="817">
      <c r="E817" s="78"/>
      <c r="F817" s="78"/>
    </row>
    <row r="818">
      <c r="E818" s="78"/>
      <c r="F818" s="78"/>
    </row>
    <row r="819">
      <c r="E819" s="78"/>
      <c r="F819" s="78"/>
    </row>
    <row r="820">
      <c r="E820" s="78"/>
      <c r="F820" s="78"/>
    </row>
    <row r="821">
      <c r="E821" s="78"/>
      <c r="F821" s="78"/>
    </row>
    <row r="822">
      <c r="E822" s="78"/>
      <c r="F822" s="78"/>
    </row>
    <row r="823">
      <c r="E823" s="78"/>
      <c r="F823" s="78"/>
    </row>
    <row r="824">
      <c r="E824" s="78"/>
      <c r="F824" s="78"/>
    </row>
    <row r="825">
      <c r="E825" s="78"/>
      <c r="F825" s="78"/>
    </row>
    <row r="826">
      <c r="E826" s="78"/>
      <c r="F826" s="78"/>
    </row>
    <row r="827">
      <c r="E827" s="78"/>
      <c r="F827" s="78"/>
    </row>
    <row r="828">
      <c r="E828" s="78"/>
      <c r="F828" s="78"/>
    </row>
    <row r="829">
      <c r="E829" s="78"/>
      <c r="F829" s="78"/>
    </row>
    <row r="830">
      <c r="E830" s="78"/>
      <c r="F830" s="78"/>
    </row>
    <row r="831">
      <c r="E831" s="78"/>
      <c r="F831" s="78"/>
    </row>
    <row r="832">
      <c r="E832" s="78"/>
      <c r="F832" s="78"/>
    </row>
    <row r="833">
      <c r="E833" s="78"/>
      <c r="F833" s="78"/>
    </row>
    <row r="834">
      <c r="E834" s="78"/>
      <c r="F834" s="78"/>
    </row>
    <row r="835">
      <c r="E835" s="78"/>
      <c r="F835" s="78"/>
    </row>
    <row r="836">
      <c r="E836" s="78"/>
      <c r="F836" s="78"/>
    </row>
    <row r="837">
      <c r="E837" s="78"/>
      <c r="F837" s="78"/>
    </row>
    <row r="838">
      <c r="E838" s="78"/>
      <c r="F838" s="78"/>
    </row>
    <row r="839">
      <c r="E839" s="78"/>
      <c r="F839" s="78"/>
    </row>
    <row r="840">
      <c r="E840" s="78"/>
      <c r="F840" s="78"/>
    </row>
    <row r="841">
      <c r="E841" s="78"/>
      <c r="F841" s="78"/>
    </row>
    <row r="842">
      <c r="E842" s="78"/>
      <c r="F842" s="78"/>
    </row>
    <row r="843">
      <c r="E843" s="78"/>
      <c r="F843" s="78"/>
    </row>
    <row r="844">
      <c r="E844" s="78"/>
      <c r="F844" s="78"/>
    </row>
    <row r="845">
      <c r="E845" s="78"/>
      <c r="F845" s="78"/>
    </row>
    <row r="846">
      <c r="E846" s="78"/>
      <c r="F846" s="78"/>
    </row>
    <row r="847">
      <c r="E847" s="78"/>
      <c r="F847" s="78"/>
    </row>
    <row r="848">
      <c r="E848" s="78"/>
      <c r="F848" s="78"/>
    </row>
    <row r="849">
      <c r="E849" s="78"/>
      <c r="F849" s="78"/>
    </row>
    <row r="850">
      <c r="E850" s="78"/>
      <c r="F850" s="78"/>
    </row>
    <row r="851">
      <c r="E851" s="78"/>
      <c r="F851" s="78"/>
    </row>
    <row r="852">
      <c r="E852" s="78"/>
      <c r="F852" s="78"/>
    </row>
    <row r="853">
      <c r="E853" s="78"/>
      <c r="F853" s="78"/>
    </row>
    <row r="854">
      <c r="E854" s="78"/>
      <c r="F854" s="78"/>
    </row>
    <row r="855">
      <c r="E855" s="78"/>
      <c r="F855" s="78"/>
    </row>
    <row r="856">
      <c r="E856" s="78"/>
      <c r="F856" s="78"/>
    </row>
    <row r="857">
      <c r="E857" s="78"/>
      <c r="F857" s="78"/>
    </row>
    <row r="858">
      <c r="E858" s="78"/>
      <c r="F858" s="78"/>
    </row>
    <row r="859">
      <c r="E859" s="78"/>
      <c r="F859" s="78"/>
    </row>
    <row r="860">
      <c r="E860" s="78"/>
      <c r="F860" s="78"/>
    </row>
    <row r="861">
      <c r="E861" s="78"/>
      <c r="F861" s="78"/>
    </row>
    <row r="862">
      <c r="E862" s="78"/>
      <c r="F862" s="78"/>
    </row>
    <row r="863">
      <c r="E863" s="78"/>
      <c r="F863" s="78"/>
    </row>
    <row r="864">
      <c r="E864" s="78"/>
      <c r="F864" s="78"/>
    </row>
    <row r="865">
      <c r="E865" s="78"/>
      <c r="F865" s="78"/>
    </row>
    <row r="866">
      <c r="E866" s="78"/>
      <c r="F866" s="78"/>
    </row>
    <row r="867">
      <c r="E867" s="78"/>
      <c r="F867" s="78"/>
    </row>
    <row r="868">
      <c r="E868" s="78"/>
      <c r="F868" s="78"/>
    </row>
    <row r="869">
      <c r="E869" s="78"/>
      <c r="F869" s="78"/>
    </row>
    <row r="870">
      <c r="E870" s="78"/>
      <c r="F870" s="78"/>
    </row>
    <row r="871">
      <c r="E871" s="78"/>
      <c r="F871" s="78"/>
    </row>
    <row r="872">
      <c r="E872" s="78"/>
      <c r="F872" s="78"/>
    </row>
    <row r="873">
      <c r="E873" s="78"/>
      <c r="F873" s="78"/>
    </row>
    <row r="874">
      <c r="E874" s="78"/>
      <c r="F874" s="78"/>
    </row>
    <row r="875">
      <c r="E875" s="78"/>
      <c r="F875" s="78"/>
    </row>
    <row r="876">
      <c r="E876" s="78"/>
      <c r="F876" s="78"/>
    </row>
    <row r="877">
      <c r="E877" s="78"/>
      <c r="F877" s="78"/>
    </row>
    <row r="878">
      <c r="E878" s="78"/>
      <c r="F878" s="78"/>
    </row>
    <row r="879">
      <c r="E879" s="78"/>
      <c r="F879" s="78"/>
    </row>
    <row r="880">
      <c r="E880" s="78"/>
      <c r="F880" s="78"/>
    </row>
    <row r="881">
      <c r="E881" s="78"/>
      <c r="F881" s="78"/>
    </row>
    <row r="882">
      <c r="E882" s="78"/>
      <c r="F882" s="78"/>
    </row>
    <row r="883">
      <c r="E883" s="78"/>
      <c r="F883" s="78"/>
    </row>
    <row r="884">
      <c r="E884" s="78"/>
      <c r="F884" s="78"/>
    </row>
    <row r="885">
      <c r="E885" s="78"/>
      <c r="F885" s="78"/>
    </row>
    <row r="886">
      <c r="E886" s="78"/>
      <c r="F886" s="78"/>
    </row>
    <row r="887">
      <c r="E887" s="78"/>
      <c r="F887" s="78"/>
    </row>
    <row r="888">
      <c r="E888" s="78"/>
      <c r="F888" s="78"/>
    </row>
    <row r="889">
      <c r="E889" s="78"/>
      <c r="F889" s="78"/>
    </row>
    <row r="890">
      <c r="E890" s="78"/>
      <c r="F890" s="78"/>
    </row>
    <row r="891">
      <c r="E891" s="78"/>
      <c r="F891" s="78"/>
    </row>
    <row r="892">
      <c r="E892" s="78"/>
      <c r="F892" s="78"/>
    </row>
    <row r="893">
      <c r="E893" s="78"/>
      <c r="F893" s="78"/>
    </row>
    <row r="894">
      <c r="E894" s="78"/>
      <c r="F894" s="78"/>
    </row>
    <row r="895">
      <c r="E895" s="78"/>
      <c r="F895" s="78"/>
    </row>
    <row r="896">
      <c r="E896" s="78"/>
      <c r="F896" s="78"/>
    </row>
    <row r="897">
      <c r="E897" s="78"/>
      <c r="F897" s="78"/>
    </row>
    <row r="898">
      <c r="E898" s="78"/>
      <c r="F898" s="78"/>
    </row>
    <row r="899">
      <c r="E899" s="78"/>
      <c r="F899" s="78"/>
    </row>
    <row r="900">
      <c r="E900" s="78"/>
      <c r="F900" s="78"/>
    </row>
    <row r="901">
      <c r="E901" s="78"/>
      <c r="F901" s="78"/>
    </row>
    <row r="902">
      <c r="E902" s="78"/>
      <c r="F902" s="78"/>
    </row>
    <row r="903">
      <c r="E903" s="78"/>
      <c r="F903" s="78"/>
    </row>
    <row r="904">
      <c r="E904" s="78"/>
      <c r="F904" s="78"/>
    </row>
    <row r="905">
      <c r="E905" s="78"/>
      <c r="F905" s="78"/>
    </row>
    <row r="906">
      <c r="E906" s="78"/>
      <c r="F906" s="78"/>
    </row>
    <row r="907">
      <c r="E907" s="78"/>
      <c r="F907" s="78"/>
    </row>
    <row r="908">
      <c r="E908" s="78"/>
      <c r="F908" s="78"/>
    </row>
    <row r="909">
      <c r="E909" s="78"/>
      <c r="F909" s="78"/>
    </row>
    <row r="910">
      <c r="E910" s="78"/>
      <c r="F910" s="78"/>
    </row>
    <row r="911">
      <c r="E911" s="78"/>
      <c r="F911" s="78"/>
    </row>
    <row r="912">
      <c r="E912" s="78"/>
      <c r="F912" s="78"/>
    </row>
    <row r="913">
      <c r="E913" s="78"/>
      <c r="F913" s="78"/>
    </row>
    <row r="914">
      <c r="E914" s="78"/>
      <c r="F914" s="78"/>
    </row>
    <row r="915">
      <c r="E915" s="78"/>
      <c r="F915" s="78"/>
    </row>
    <row r="916">
      <c r="E916" s="78"/>
      <c r="F916" s="78"/>
    </row>
    <row r="917">
      <c r="E917" s="78"/>
      <c r="F917" s="78"/>
    </row>
    <row r="918">
      <c r="E918" s="78"/>
      <c r="F918" s="78"/>
    </row>
    <row r="919">
      <c r="E919" s="78"/>
      <c r="F919" s="78"/>
    </row>
    <row r="920">
      <c r="E920" s="78"/>
      <c r="F920" s="78"/>
    </row>
    <row r="921">
      <c r="E921" s="78"/>
      <c r="F921" s="78"/>
    </row>
    <row r="922">
      <c r="E922" s="78"/>
      <c r="F922" s="78"/>
    </row>
    <row r="923">
      <c r="E923" s="78"/>
      <c r="F923" s="78"/>
    </row>
    <row r="924">
      <c r="E924" s="78"/>
      <c r="F924" s="78"/>
    </row>
    <row r="925">
      <c r="E925" s="78"/>
      <c r="F925" s="78"/>
    </row>
    <row r="926">
      <c r="E926" s="78"/>
      <c r="F926" s="78"/>
    </row>
    <row r="927">
      <c r="E927" s="78"/>
      <c r="F927" s="78"/>
    </row>
    <row r="928">
      <c r="E928" s="78"/>
      <c r="F928" s="78"/>
    </row>
    <row r="929">
      <c r="E929" s="78"/>
      <c r="F929" s="78"/>
    </row>
    <row r="930">
      <c r="E930" s="78"/>
      <c r="F930" s="78"/>
    </row>
    <row r="931">
      <c r="E931" s="78"/>
      <c r="F931" s="78"/>
    </row>
    <row r="932">
      <c r="E932" s="78"/>
      <c r="F932" s="78"/>
    </row>
    <row r="933">
      <c r="E933" s="78"/>
      <c r="F933" s="78"/>
    </row>
    <row r="934">
      <c r="E934" s="78"/>
      <c r="F934" s="78"/>
    </row>
    <row r="935">
      <c r="E935" s="78"/>
      <c r="F935" s="78"/>
    </row>
    <row r="936">
      <c r="E936" s="78"/>
      <c r="F936" s="78"/>
    </row>
    <row r="937">
      <c r="E937" s="78"/>
      <c r="F937" s="78"/>
    </row>
    <row r="938">
      <c r="E938" s="78"/>
      <c r="F938" s="78"/>
    </row>
    <row r="939">
      <c r="E939" s="78"/>
      <c r="F939" s="78"/>
    </row>
    <row r="940">
      <c r="E940" s="78"/>
      <c r="F940" s="78"/>
    </row>
    <row r="941">
      <c r="E941" s="78"/>
      <c r="F941" s="78"/>
    </row>
    <row r="942">
      <c r="E942" s="78"/>
      <c r="F942" s="78"/>
    </row>
    <row r="943">
      <c r="E943" s="78"/>
      <c r="F943" s="78"/>
    </row>
    <row r="944">
      <c r="E944" s="78"/>
      <c r="F944" s="78"/>
    </row>
    <row r="945">
      <c r="E945" s="78"/>
      <c r="F945" s="78"/>
    </row>
    <row r="946">
      <c r="E946" s="78"/>
      <c r="F946" s="78"/>
    </row>
    <row r="947">
      <c r="E947" s="78"/>
      <c r="F947" s="78"/>
    </row>
    <row r="948">
      <c r="E948" s="78"/>
      <c r="F948" s="78"/>
    </row>
    <row r="949">
      <c r="E949" s="78"/>
      <c r="F949" s="78"/>
    </row>
    <row r="950">
      <c r="E950" s="78"/>
      <c r="F950" s="78"/>
    </row>
    <row r="951">
      <c r="E951" s="78"/>
      <c r="F951" s="78"/>
    </row>
    <row r="952">
      <c r="E952" s="78"/>
      <c r="F952" s="78"/>
    </row>
    <row r="953">
      <c r="E953" s="78"/>
      <c r="F953" s="78"/>
    </row>
    <row r="954">
      <c r="E954" s="78"/>
      <c r="F954" s="78"/>
    </row>
    <row r="955">
      <c r="E955" s="78"/>
      <c r="F955" s="78"/>
    </row>
    <row r="956">
      <c r="E956" s="78"/>
      <c r="F956" s="78"/>
    </row>
    <row r="957">
      <c r="E957" s="78"/>
      <c r="F957" s="78"/>
    </row>
    <row r="958">
      <c r="E958" s="78"/>
      <c r="F958" s="78"/>
    </row>
    <row r="959">
      <c r="E959" s="78"/>
      <c r="F959" s="78"/>
    </row>
    <row r="960">
      <c r="E960" s="78"/>
      <c r="F960" s="78"/>
    </row>
    <row r="961">
      <c r="E961" s="78"/>
      <c r="F961" s="78"/>
    </row>
    <row r="962">
      <c r="E962" s="78"/>
      <c r="F962" s="78"/>
    </row>
    <row r="963">
      <c r="E963" s="78"/>
      <c r="F963" s="78"/>
    </row>
    <row r="964">
      <c r="E964" s="78"/>
      <c r="F964" s="78"/>
    </row>
    <row r="965">
      <c r="E965" s="78"/>
      <c r="F965" s="78"/>
    </row>
    <row r="966">
      <c r="E966" s="78"/>
      <c r="F966" s="78"/>
    </row>
    <row r="967">
      <c r="E967" s="78"/>
      <c r="F967" s="78"/>
    </row>
    <row r="968">
      <c r="E968" s="78"/>
      <c r="F968" s="78"/>
    </row>
    <row r="969">
      <c r="E969" s="78"/>
      <c r="F969" s="78"/>
    </row>
    <row r="970">
      <c r="E970" s="78"/>
      <c r="F970" s="78"/>
    </row>
    <row r="971">
      <c r="E971" s="78"/>
      <c r="F971" s="78"/>
    </row>
    <row r="972">
      <c r="E972" s="78"/>
      <c r="F972" s="78"/>
    </row>
    <row r="973">
      <c r="E973" s="78"/>
      <c r="F973" s="78"/>
    </row>
    <row r="974">
      <c r="E974" s="78"/>
      <c r="F974" s="78"/>
    </row>
    <row r="975">
      <c r="E975" s="78"/>
      <c r="F975" s="78"/>
    </row>
    <row r="976">
      <c r="E976" s="78"/>
      <c r="F976" s="78"/>
    </row>
    <row r="977">
      <c r="E977" s="78"/>
      <c r="F977" s="78"/>
    </row>
    <row r="978">
      <c r="E978" s="78"/>
      <c r="F978" s="78"/>
    </row>
    <row r="979">
      <c r="E979" s="78"/>
      <c r="F979" s="78"/>
    </row>
    <row r="980">
      <c r="E980" s="78"/>
      <c r="F980" s="78"/>
    </row>
    <row r="981">
      <c r="E981" s="78"/>
      <c r="F981" s="78"/>
    </row>
    <row r="982">
      <c r="E982" s="78"/>
      <c r="F982" s="78"/>
    </row>
    <row r="983">
      <c r="E983" s="78"/>
      <c r="F983" s="78"/>
    </row>
    <row r="984">
      <c r="E984" s="78"/>
      <c r="F984" s="78"/>
    </row>
    <row r="985">
      <c r="E985" s="78"/>
      <c r="F985" s="78"/>
    </row>
    <row r="986">
      <c r="E986" s="78"/>
      <c r="F986" s="78"/>
    </row>
    <row r="987">
      <c r="E987" s="78"/>
      <c r="F987" s="78"/>
    </row>
    <row r="988">
      <c r="E988" s="78"/>
      <c r="F988" s="78"/>
    </row>
    <row r="989">
      <c r="E989" s="78"/>
      <c r="F989" s="78"/>
    </row>
    <row r="990">
      <c r="E990" s="78"/>
      <c r="F990" s="78"/>
    </row>
    <row r="991">
      <c r="E991" s="78"/>
      <c r="F991" s="78"/>
    </row>
    <row r="992">
      <c r="E992" s="78"/>
      <c r="F992" s="78"/>
    </row>
    <row r="993">
      <c r="E993" s="78"/>
      <c r="F993" s="78"/>
    </row>
    <row r="994">
      <c r="E994" s="78"/>
      <c r="F994" s="78"/>
    </row>
    <row r="995">
      <c r="E995" s="78"/>
      <c r="F995" s="78"/>
    </row>
    <row r="996">
      <c r="E996" s="78"/>
      <c r="F996" s="78"/>
    </row>
    <row r="997">
      <c r="E997" s="78"/>
      <c r="F997" s="78"/>
    </row>
    <row r="998">
      <c r="E998" s="78"/>
      <c r="F998" s="78"/>
    </row>
    <row r="999">
      <c r="E999" s="78"/>
      <c r="F999" s="78"/>
    </row>
    <row r="1000">
      <c r="E1000" s="78"/>
      <c r="F1000" s="78"/>
    </row>
  </sheetData>
  <printOptions gridLines="1" horizontalCentered="1"/>
  <pageMargins bottom="0.03405572755417957" footer="0.0" header="0.0" left="0.0" right="0.0" top="0.0"/>
  <pageSetup scale="6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33.25"/>
    <col hidden="1" min="2" max="11" width="12.63" outlineLevel="1"/>
    <col collapsed="1" min="12" max="12" width="12.63"/>
    <col customWidth="1" min="32" max="32" width="28.25"/>
  </cols>
  <sheetData>
    <row r="1">
      <c r="C1" s="78"/>
    </row>
    <row r="2">
      <c r="A2" s="90" t="s">
        <v>89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</row>
    <row r="3">
      <c r="A3" s="43" t="s">
        <v>11</v>
      </c>
      <c r="B3" s="91">
        <v>44675.0</v>
      </c>
      <c r="C3" s="3"/>
      <c r="D3" s="91">
        <v>44705.0</v>
      </c>
      <c r="E3" s="3"/>
      <c r="F3" s="91">
        <v>45101.0</v>
      </c>
      <c r="G3" s="3"/>
      <c r="H3" s="91">
        <v>44766.0</v>
      </c>
      <c r="I3" s="3"/>
      <c r="J3" s="91">
        <v>45162.0</v>
      </c>
      <c r="K3" s="3"/>
      <c r="L3" s="91">
        <v>44828.0</v>
      </c>
      <c r="M3" s="3"/>
      <c r="N3" s="91">
        <v>44858.0</v>
      </c>
      <c r="O3" s="3"/>
      <c r="P3" s="91">
        <v>44889.0</v>
      </c>
      <c r="Q3" s="3"/>
      <c r="R3" s="91">
        <v>44919.0</v>
      </c>
      <c r="S3" s="3"/>
      <c r="T3" s="91">
        <v>44586.0</v>
      </c>
      <c r="U3" s="3"/>
      <c r="V3" s="91">
        <v>44617.0</v>
      </c>
      <c r="W3" s="3"/>
      <c r="X3" s="91">
        <v>44645.0</v>
      </c>
      <c r="Y3" s="3"/>
      <c r="Z3" s="92" t="s">
        <v>6</v>
      </c>
      <c r="AA3" s="3"/>
    </row>
    <row r="4">
      <c r="A4" s="43" t="s">
        <v>12</v>
      </c>
      <c r="B4" s="43" t="s">
        <v>90</v>
      </c>
      <c r="C4" s="93" t="s">
        <v>4</v>
      </c>
      <c r="D4" s="43" t="s">
        <v>90</v>
      </c>
      <c r="E4" s="43" t="s">
        <v>4</v>
      </c>
      <c r="F4" s="43" t="s">
        <v>90</v>
      </c>
      <c r="G4" s="43" t="s">
        <v>4</v>
      </c>
      <c r="H4" s="43" t="s">
        <v>90</v>
      </c>
      <c r="I4" s="43" t="s">
        <v>4</v>
      </c>
      <c r="J4" s="43" t="s">
        <v>90</v>
      </c>
      <c r="K4" s="43" t="s">
        <v>4</v>
      </c>
      <c r="L4" s="43" t="s">
        <v>90</v>
      </c>
      <c r="M4" s="43" t="s">
        <v>4</v>
      </c>
      <c r="N4" s="43" t="s">
        <v>90</v>
      </c>
      <c r="O4" s="43" t="s">
        <v>4</v>
      </c>
      <c r="P4" s="43" t="s">
        <v>90</v>
      </c>
      <c r="Q4" s="43" t="s">
        <v>4</v>
      </c>
      <c r="R4" s="43" t="s">
        <v>90</v>
      </c>
      <c r="S4" s="43" t="s">
        <v>4</v>
      </c>
      <c r="T4" s="43" t="s">
        <v>90</v>
      </c>
      <c r="U4" s="43" t="s">
        <v>4</v>
      </c>
      <c r="V4" s="43" t="s">
        <v>90</v>
      </c>
      <c r="W4" s="43" t="s">
        <v>4</v>
      </c>
      <c r="X4" s="43" t="s">
        <v>90</v>
      </c>
      <c r="Y4" s="43" t="s">
        <v>4</v>
      </c>
      <c r="Z4" s="43" t="s">
        <v>90</v>
      </c>
      <c r="AA4" s="43" t="s">
        <v>4</v>
      </c>
    </row>
    <row r="5">
      <c r="A5" s="43" t="s">
        <v>91</v>
      </c>
      <c r="B5" s="47">
        <v>-185800.0</v>
      </c>
      <c r="C5" s="94">
        <v>21100.0</v>
      </c>
      <c r="D5" s="47">
        <v>-357395.0</v>
      </c>
      <c r="E5" s="47">
        <v>93625.0</v>
      </c>
      <c r="F5" s="47">
        <v>-466700.0</v>
      </c>
      <c r="G5" s="47">
        <v>68100.0</v>
      </c>
      <c r="H5" s="47">
        <v>-306950.0</v>
      </c>
      <c r="I5" s="47">
        <v>831760.0</v>
      </c>
      <c r="J5" s="47">
        <v>-90300.0</v>
      </c>
      <c r="K5" s="47">
        <v>34000.0</v>
      </c>
      <c r="L5" s="47">
        <v>-211750.0</v>
      </c>
      <c r="M5" s="47">
        <v>504568.0</v>
      </c>
      <c r="N5" s="46">
        <v>-278090.0</v>
      </c>
      <c r="O5" s="46">
        <v>1252554.0</v>
      </c>
      <c r="P5" s="89">
        <v>-174375.0</v>
      </c>
      <c r="Q5" s="89">
        <v>934760.0</v>
      </c>
      <c r="R5" s="46">
        <v>-34260.0</v>
      </c>
      <c r="S5" s="46">
        <v>2985320.0</v>
      </c>
      <c r="T5" s="46">
        <v>-137140.0</v>
      </c>
      <c r="U5" s="46">
        <v>1963740.0</v>
      </c>
      <c r="V5" s="46">
        <v>-291440.0</v>
      </c>
      <c r="W5" s="46">
        <v>1301740.0</v>
      </c>
      <c r="X5" s="46">
        <v>-313910.0</v>
      </c>
      <c r="Y5" s="46">
        <v>4109900.0</v>
      </c>
      <c r="Z5" s="80">
        <f t="shared" ref="Z5:AA5" si="1">B5+D5+F5+H5+J5+L5+N5+P5+R5+T5+V5+X5</f>
        <v>-2848110</v>
      </c>
      <c r="AA5" s="80">
        <f t="shared" si="1"/>
        <v>14101167</v>
      </c>
    </row>
    <row r="6">
      <c r="A6" s="95" t="s">
        <v>92</v>
      </c>
      <c r="B6" s="47">
        <v>-153087.0</v>
      </c>
      <c r="C6" s="94">
        <v>438354.0</v>
      </c>
      <c r="D6" s="47">
        <v>-70365.0</v>
      </c>
      <c r="E6" s="47">
        <v>689118.0</v>
      </c>
      <c r="F6" s="47">
        <v>-90516.0</v>
      </c>
      <c r="G6" s="47">
        <v>331096.0</v>
      </c>
      <c r="H6" s="47">
        <v>-93036.2</v>
      </c>
      <c r="I6" s="47">
        <v>660471.1</v>
      </c>
      <c r="J6" s="47">
        <v>-154739.0</v>
      </c>
      <c r="K6" s="47">
        <v>405367.0</v>
      </c>
      <c r="L6" s="47">
        <v>-245898.62</v>
      </c>
      <c r="M6" s="47">
        <v>1109012.5</v>
      </c>
      <c r="N6" s="46">
        <v>-227275.0</v>
      </c>
      <c r="O6" s="46">
        <v>785371.0</v>
      </c>
      <c r="P6" s="46">
        <v>-469382.0</v>
      </c>
      <c r="Q6" s="46">
        <v>815551.0</v>
      </c>
      <c r="R6" s="46">
        <v>-381502.0</v>
      </c>
      <c r="S6" s="46">
        <v>707616.0</v>
      </c>
      <c r="T6" s="46">
        <v>-530037.0</v>
      </c>
      <c r="U6" s="46">
        <v>887958.0</v>
      </c>
      <c r="V6" s="46">
        <v>-278457.0</v>
      </c>
      <c r="W6" s="46">
        <v>694922.0</v>
      </c>
      <c r="X6" s="46">
        <v>-206940.0</v>
      </c>
      <c r="Y6" s="46">
        <v>420627.0</v>
      </c>
      <c r="Z6" s="45">
        <f t="shared" ref="Z6:AA6" si="2">B6+D6+F6+H6+J6+L6+N6+P6+R6+T6+V6+X6</f>
        <v>-2901234.82</v>
      </c>
      <c r="AA6" s="80">
        <f t="shared" si="2"/>
        <v>7945463.6</v>
      </c>
    </row>
    <row r="7">
      <c r="A7" s="43" t="s">
        <v>93</v>
      </c>
      <c r="B7" s="47">
        <v>0.0</v>
      </c>
      <c r="C7" s="94">
        <v>11899.0</v>
      </c>
      <c r="D7" s="47">
        <v>-500.0</v>
      </c>
      <c r="E7" s="47">
        <v>30239.0</v>
      </c>
      <c r="F7" s="47">
        <v>-500.0</v>
      </c>
      <c r="G7" s="47">
        <v>17752.0</v>
      </c>
      <c r="H7" s="47">
        <v>-500.0</v>
      </c>
      <c r="I7" s="47">
        <v>20212.0</v>
      </c>
      <c r="J7" s="47">
        <v>-1432.0</v>
      </c>
      <c r="K7" s="47">
        <v>20520.0</v>
      </c>
      <c r="L7" s="47">
        <v>-649.0</v>
      </c>
      <c r="M7" s="47">
        <v>20772.0</v>
      </c>
      <c r="N7" s="46">
        <v>-1100.0</v>
      </c>
      <c r="O7" s="46">
        <v>32370.0</v>
      </c>
      <c r="P7" s="46">
        <v>0.0</v>
      </c>
      <c r="Q7" s="46">
        <v>9300.0</v>
      </c>
      <c r="R7" s="46">
        <v>-1153.0</v>
      </c>
      <c r="S7" s="46">
        <v>24312.0</v>
      </c>
      <c r="T7" s="46">
        <v>-1000.0</v>
      </c>
      <c r="U7" s="46">
        <v>36692.0</v>
      </c>
      <c r="V7" s="46">
        <v>-725.0</v>
      </c>
      <c r="W7" s="46">
        <v>21246.0</v>
      </c>
      <c r="X7" s="46">
        <v>-1045.0</v>
      </c>
      <c r="Y7" s="46">
        <v>25262.0</v>
      </c>
      <c r="Z7" s="45">
        <f t="shared" ref="Z7:AA7" si="3">B7+D7+F7+H7+J7+L7+N7+P7+R7+T7+V7+X7</f>
        <v>-8604</v>
      </c>
      <c r="AA7" s="80">
        <f t="shared" si="3"/>
        <v>270576</v>
      </c>
    </row>
    <row r="8">
      <c r="A8" s="95" t="s">
        <v>94</v>
      </c>
      <c r="B8" s="47">
        <v>-64311.0</v>
      </c>
      <c r="C8" s="94">
        <v>94231.0</v>
      </c>
      <c r="D8" s="47">
        <v>-88801.0</v>
      </c>
      <c r="E8" s="47">
        <v>141866.0</v>
      </c>
      <c r="F8" s="47">
        <v>-61202.0</v>
      </c>
      <c r="G8" s="47">
        <v>83255.0</v>
      </c>
      <c r="H8" s="47">
        <v>-103674.22</v>
      </c>
      <c r="I8" s="47">
        <v>127557.56</v>
      </c>
      <c r="J8" s="47">
        <v>-108206.0</v>
      </c>
      <c r="K8" s="47">
        <v>91956.0</v>
      </c>
      <c r="L8" s="47">
        <v>-295355.0</v>
      </c>
      <c r="M8" s="47">
        <v>95812.0</v>
      </c>
      <c r="N8" s="46">
        <v>-329111.0</v>
      </c>
      <c r="O8" s="46">
        <v>66466.0</v>
      </c>
      <c r="P8" s="46">
        <v>-206688.0</v>
      </c>
      <c r="Q8" s="46">
        <v>41208.0</v>
      </c>
      <c r="R8" s="46">
        <v>-299309.0</v>
      </c>
      <c r="S8" s="46">
        <v>52008.0</v>
      </c>
      <c r="T8" s="46">
        <v>-340057.0</v>
      </c>
      <c r="U8" s="46">
        <v>89306.0</v>
      </c>
      <c r="V8" s="46">
        <v>-259094.0</v>
      </c>
      <c r="W8" s="46">
        <v>74335.0</v>
      </c>
      <c r="X8" s="46">
        <v>-265821.0</v>
      </c>
      <c r="Y8" s="46">
        <v>77834.0</v>
      </c>
      <c r="Z8" s="45">
        <f t="shared" ref="Z8:AA8" si="4">B8+D8+F8+H8+J8+L8+N8+P8+R8+T8+V8+X8</f>
        <v>-2421629.22</v>
      </c>
      <c r="AA8" s="80">
        <f t="shared" si="4"/>
        <v>1035834.56</v>
      </c>
    </row>
    <row r="9">
      <c r="A9" s="43" t="s">
        <v>95</v>
      </c>
      <c r="B9" s="47">
        <v>-17095.0</v>
      </c>
      <c r="C9" s="94">
        <v>14947.0</v>
      </c>
      <c r="D9" s="47">
        <v>-17584.0</v>
      </c>
      <c r="E9" s="47">
        <v>1560.0</v>
      </c>
      <c r="F9" s="47">
        <v>-1516.0</v>
      </c>
      <c r="G9" s="47">
        <v>5250.0</v>
      </c>
      <c r="H9" s="47">
        <v>0.0</v>
      </c>
      <c r="I9" s="47">
        <v>10587.0</v>
      </c>
      <c r="J9" s="47">
        <v>-38576.0</v>
      </c>
      <c r="K9" s="47">
        <v>0.0</v>
      </c>
      <c r="L9" s="47">
        <v>-16744.0</v>
      </c>
      <c r="M9" s="96">
        <v>802.5</v>
      </c>
      <c r="N9" s="46">
        <v>-16800.0</v>
      </c>
      <c r="O9" s="46">
        <v>6660.0</v>
      </c>
      <c r="P9" s="46">
        <v>-18800.0</v>
      </c>
      <c r="Q9" s="46">
        <v>4998.0</v>
      </c>
      <c r="R9" s="46">
        <v>-29726.0</v>
      </c>
      <c r="S9" s="46">
        <v>0.0</v>
      </c>
      <c r="T9" s="46">
        <v>-9335.0</v>
      </c>
      <c r="U9" s="46">
        <v>17100.0</v>
      </c>
      <c r="V9" s="46">
        <v>-23140.0</v>
      </c>
      <c r="W9" s="46">
        <v>0.0</v>
      </c>
      <c r="X9" s="46">
        <v>-13800.0</v>
      </c>
      <c r="Y9" s="46">
        <v>24430.0</v>
      </c>
      <c r="Z9" s="45">
        <f t="shared" ref="Z9:AA9" si="5">B9+D9+F9+H9+J9+L9+N9+P9+R9+T9+V9+X9</f>
        <v>-203116</v>
      </c>
      <c r="AA9" s="80">
        <f t="shared" si="5"/>
        <v>86334.5</v>
      </c>
    </row>
    <row r="10">
      <c r="A10" s="52" t="s">
        <v>6</v>
      </c>
      <c r="B10" s="96">
        <f t="shared" ref="B10:Y10" si="6">SUM(B5:B9)</f>
        <v>-420293</v>
      </c>
      <c r="C10" s="97">
        <f t="shared" si="6"/>
        <v>580531</v>
      </c>
      <c r="D10" s="97">
        <f t="shared" si="6"/>
        <v>-534645</v>
      </c>
      <c r="E10" s="97">
        <f t="shared" si="6"/>
        <v>956408</v>
      </c>
      <c r="F10" s="97">
        <f t="shared" si="6"/>
        <v>-620434</v>
      </c>
      <c r="G10" s="97">
        <f t="shared" si="6"/>
        <v>505453</v>
      </c>
      <c r="H10" s="97">
        <f t="shared" si="6"/>
        <v>-504160.42</v>
      </c>
      <c r="I10" s="97">
        <f t="shared" si="6"/>
        <v>1650587.66</v>
      </c>
      <c r="J10" s="97">
        <f t="shared" si="6"/>
        <v>-393253</v>
      </c>
      <c r="K10" s="97">
        <f t="shared" si="6"/>
        <v>551843</v>
      </c>
      <c r="L10" s="97">
        <f t="shared" si="6"/>
        <v>-770396.62</v>
      </c>
      <c r="M10" s="97">
        <f t="shared" si="6"/>
        <v>1730967</v>
      </c>
      <c r="N10" s="97">
        <f t="shared" si="6"/>
        <v>-852376</v>
      </c>
      <c r="O10" s="97">
        <f t="shared" si="6"/>
        <v>2143421</v>
      </c>
      <c r="P10" s="97">
        <f t="shared" si="6"/>
        <v>-869245</v>
      </c>
      <c r="Q10" s="97">
        <f t="shared" si="6"/>
        <v>1805817</v>
      </c>
      <c r="R10" s="97">
        <f t="shared" si="6"/>
        <v>-745950</v>
      </c>
      <c r="S10" s="97">
        <f t="shared" si="6"/>
        <v>3769256</v>
      </c>
      <c r="T10" s="97">
        <f t="shared" si="6"/>
        <v>-1017569</v>
      </c>
      <c r="U10" s="97">
        <f t="shared" si="6"/>
        <v>2994796</v>
      </c>
      <c r="V10" s="97">
        <f t="shared" si="6"/>
        <v>-852856</v>
      </c>
      <c r="W10" s="97">
        <f t="shared" si="6"/>
        <v>2092243</v>
      </c>
      <c r="X10" s="97">
        <f t="shared" si="6"/>
        <v>-801516</v>
      </c>
      <c r="Y10" s="97">
        <f t="shared" si="6"/>
        <v>4658053</v>
      </c>
      <c r="Z10" s="80">
        <f t="shared" ref="Z10:AA10" si="7">B10+D10+F10+H10+J10+L10+N10+P10+R10+T10+V10+X10</f>
        <v>-8382694.04</v>
      </c>
      <c r="AA10" s="80">
        <f t="shared" si="7"/>
        <v>23439375.66</v>
      </c>
    </row>
    <row r="11">
      <c r="A11" s="51"/>
      <c r="B11" s="51"/>
      <c r="C11" s="86"/>
      <c r="D11" s="51"/>
      <c r="E11" s="51"/>
      <c r="F11" s="51"/>
      <c r="G11" s="51"/>
      <c r="H11" s="98"/>
      <c r="I11" s="98"/>
      <c r="J11" s="51"/>
      <c r="K11" s="51"/>
      <c r="L11" s="51"/>
      <c r="M11" s="51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G11" s="99"/>
    </row>
    <row r="12">
      <c r="A12" s="43" t="s">
        <v>96</v>
      </c>
      <c r="B12" s="47">
        <v>-1545775.0</v>
      </c>
      <c r="C12" s="94">
        <v>0.0</v>
      </c>
      <c r="D12" s="47">
        <v>-1859944.0</v>
      </c>
      <c r="E12" s="47">
        <v>0.0</v>
      </c>
      <c r="F12" s="47">
        <v>-819811.0</v>
      </c>
      <c r="G12" s="47">
        <v>0.0</v>
      </c>
      <c r="H12" s="47">
        <v>-1315370.0</v>
      </c>
      <c r="I12" s="47">
        <v>0.0</v>
      </c>
      <c r="J12" s="47">
        <v>-174377.0</v>
      </c>
      <c r="K12" s="47">
        <v>0.0</v>
      </c>
      <c r="L12" s="47">
        <v>-916772.0</v>
      </c>
      <c r="M12" s="47">
        <v>0.0</v>
      </c>
      <c r="N12" s="46">
        <v>-1389148.0</v>
      </c>
      <c r="O12" s="46">
        <v>0.0</v>
      </c>
      <c r="P12" s="46">
        <v>-350098.0</v>
      </c>
      <c r="Q12" s="46">
        <v>0.0</v>
      </c>
      <c r="R12" s="46">
        <v>-626119.0</v>
      </c>
      <c r="S12" s="46">
        <v>0.0</v>
      </c>
      <c r="T12" s="46">
        <v>-796845.0</v>
      </c>
      <c r="U12" s="46">
        <v>0.0</v>
      </c>
      <c r="V12" s="46">
        <v>-1239247.0</v>
      </c>
      <c r="W12" s="46">
        <v>0.0</v>
      </c>
      <c r="X12" s="46">
        <v>-2039204.0</v>
      </c>
      <c r="Y12" s="46">
        <v>0.0</v>
      </c>
      <c r="Z12" s="45">
        <f t="shared" ref="Z12:AA12" si="8">B12+D12+F12+H12+J12+L12+N12+P12+R12+T12+V12+X12</f>
        <v>-13072710</v>
      </c>
      <c r="AA12" s="80">
        <f t="shared" si="8"/>
        <v>0</v>
      </c>
      <c r="AH12" s="99"/>
    </row>
    <row r="13">
      <c r="A13" s="43" t="s">
        <v>97</v>
      </c>
      <c r="B13" s="47">
        <v>-244469.0</v>
      </c>
      <c r="C13" s="94">
        <v>156691.0</v>
      </c>
      <c r="D13" s="47">
        <v>-730917.0</v>
      </c>
      <c r="E13" s="47">
        <v>116120.0</v>
      </c>
      <c r="F13" s="47">
        <v>-670084.0</v>
      </c>
      <c r="G13" s="47">
        <v>82870.0</v>
      </c>
      <c r="H13" s="47">
        <v>-712230.33</v>
      </c>
      <c r="I13" s="47">
        <v>137285.5</v>
      </c>
      <c r="J13" s="47">
        <v>-399819.0</v>
      </c>
      <c r="K13" s="47">
        <v>112621.0</v>
      </c>
      <c r="L13" s="47">
        <v>-340355.0</v>
      </c>
      <c r="M13" s="47">
        <v>263153.0</v>
      </c>
      <c r="N13" s="46">
        <v>-758167.0</v>
      </c>
      <c r="O13" s="46">
        <v>354642.0</v>
      </c>
      <c r="P13" s="46">
        <v>-438023.0</v>
      </c>
      <c r="Q13" s="46">
        <v>167155.0</v>
      </c>
      <c r="R13" s="46">
        <v>-481816.0</v>
      </c>
      <c r="S13" s="46">
        <v>192329.0</v>
      </c>
      <c r="T13" s="46">
        <v>-682815.0</v>
      </c>
      <c r="U13" s="46">
        <v>324959.0</v>
      </c>
      <c r="V13" s="46">
        <v>-570921.0</v>
      </c>
      <c r="W13" s="46">
        <v>474946.0</v>
      </c>
      <c r="X13" s="46">
        <v>-770848.0</v>
      </c>
      <c r="Y13" s="46">
        <v>281319.0</v>
      </c>
      <c r="Z13" s="45">
        <f t="shared" ref="Z13:AA13" si="9">B13+D13+F13+H13+J13+L13+N13+P13+R13+T13+V13+X13</f>
        <v>-6800464.33</v>
      </c>
      <c r="AA13" s="80">
        <f t="shared" si="9"/>
        <v>2664090.5</v>
      </c>
      <c r="AH13" s="99"/>
    </row>
    <row r="14">
      <c r="A14" s="43" t="s">
        <v>98</v>
      </c>
      <c r="B14" s="47">
        <v>-160.0</v>
      </c>
      <c r="C14" s="94">
        <v>6152.0</v>
      </c>
      <c r="D14" s="47">
        <v>0.0</v>
      </c>
      <c r="E14" s="47">
        <v>5127.0</v>
      </c>
      <c r="F14" s="47">
        <v>-341.0</v>
      </c>
      <c r="G14" s="47">
        <v>3949.0</v>
      </c>
      <c r="H14" s="47">
        <v>0.0</v>
      </c>
      <c r="I14" s="47">
        <v>0.0</v>
      </c>
      <c r="J14" s="47">
        <v>-36142.0</v>
      </c>
      <c r="K14" s="47">
        <v>3360.0</v>
      </c>
      <c r="L14" s="47">
        <v>-999.0</v>
      </c>
      <c r="M14" s="47">
        <v>5203.0</v>
      </c>
      <c r="N14" s="46">
        <v>-1555.0</v>
      </c>
      <c r="O14" s="46">
        <v>4469.0</v>
      </c>
      <c r="P14" s="46">
        <v>-960.0</v>
      </c>
      <c r="Q14" s="46">
        <v>3397.0</v>
      </c>
      <c r="R14" s="46">
        <v>-1460.0</v>
      </c>
      <c r="S14" s="46">
        <v>3343.0</v>
      </c>
      <c r="T14" s="46">
        <v>-3462.0</v>
      </c>
      <c r="U14" s="46">
        <v>3826.0</v>
      </c>
      <c r="V14" s="46">
        <v>-1750.0</v>
      </c>
      <c r="W14" s="46">
        <v>4749.0</v>
      </c>
      <c r="X14" s="46">
        <v>-1918.0</v>
      </c>
      <c r="Y14" s="46">
        <v>3630.0</v>
      </c>
      <c r="Z14" s="45">
        <f t="shared" ref="Z14:AA14" si="10">B14+D14+F14+H14+J14+L14+N14+P14+R14+T14+V14+X14</f>
        <v>-48747</v>
      </c>
      <c r="AA14" s="80">
        <f t="shared" si="10"/>
        <v>47205</v>
      </c>
      <c r="AH14" s="99"/>
    </row>
    <row r="15">
      <c r="A15" s="43" t="s">
        <v>99</v>
      </c>
      <c r="B15" s="47">
        <v>-40077.0</v>
      </c>
      <c r="C15" s="94">
        <v>37443.0</v>
      </c>
      <c r="D15" s="47">
        <v>-12088.0</v>
      </c>
      <c r="E15" s="47">
        <v>38452.0</v>
      </c>
      <c r="F15" s="47">
        <v>-7515.0</v>
      </c>
      <c r="G15" s="47">
        <v>19638.0</v>
      </c>
      <c r="H15" s="47">
        <v>-13300.0</v>
      </c>
      <c r="I15" s="47">
        <v>29792.58</v>
      </c>
      <c r="J15" s="47">
        <v>-26134.0</v>
      </c>
      <c r="K15" s="47">
        <v>20103.0</v>
      </c>
      <c r="L15" s="47">
        <v>-37097.0</v>
      </c>
      <c r="M15" s="47">
        <v>8577.0</v>
      </c>
      <c r="N15" s="46">
        <v>-63289.0</v>
      </c>
      <c r="O15" s="46">
        <v>7780.0</v>
      </c>
      <c r="P15" s="46">
        <v>-42207.0</v>
      </c>
      <c r="Q15" s="46">
        <v>5680.0</v>
      </c>
      <c r="R15" s="46">
        <v>-77167.0</v>
      </c>
      <c r="S15" s="46">
        <v>10541.0</v>
      </c>
      <c r="T15" s="46">
        <v>-103880.0</v>
      </c>
      <c r="U15" s="46">
        <v>16734.0</v>
      </c>
      <c r="V15" s="46">
        <v>-50233.0</v>
      </c>
      <c r="W15" s="46">
        <v>15627.0</v>
      </c>
      <c r="X15" s="46">
        <v>-59438.0</v>
      </c>
      <c r="Y15" s="46">
        <v>16215.0</v>
      </c>
      <c r="Z15" s="45">
        <f t="shared" ref="Z15:AA15" si="11">B15+D15+F15+H15+J15+L15+N15+P15+R15+T15+V15+X15</f>
        <v>-532425</v>
      </c>
      <c r="AA15" s="80">
        <f t="shared" si="11"/>
        <v>226582.58</v>
      </c>
      <c r="AH15" s="99"/>
    </row>
    <row r="16">
      <c r="A16" s="43" t="s">
        <v>100</v>
      </c>
      <c r="B16" s="47">
        <v>-140317.0</v>
      </c>
      <c r="C16" s="94">
        <v>16019.0</v>
      </c>
      <c r="D16" s="47">
        <v>-144697.0</v>
      </c>
      <c r="E16" s="47">
        <v>65370.0</v>
      </c>
      <c r="F16" s="47">
        <v>-120184.0</v>
      </c>
      <c r="G16" s="47">
        <v>17882.0</v>
      </c>
      <c r="H16" s="47">
        <v>-182848.0</v>
      </c>
      <c r="I16" s="47">
        <v>294477.0</v>
      </c>
      <c r="J16" s="47">
        <v>-68236.0</v>
      </c>
      <c r="K16" s="47">
        <v>13118.0</v>
      </c>
      <c r="L16" s="47">
        <v>-74214.0</v>
      </c>
      <c r="M16" s="96">
        <v>222222.0</v>
      </c>
      <c r="N16" s="46">
        <v>-115771.0</v>
      </c>
      <c r="O16" s="46">
        <v>108076.0</v>
      </c>
      <c r="P16" s="46">
        <v>-63798.0</v>
      </c>
      <c r="Q16" s="46">
        <v>228374.0</v>
      </c>
      <c r="R16" s="46">
        <v>-117270.0</v>
      </c>
      <c r="S16" s="46">
        <v>137255.0</v>
      </c>
      <c r="T16" s="46">
        <v>-297279.0</v>
      </c>
      <c r="U16" s="46">
        <v>284578.0</v>
      </c>
      <c r="V16" s="46">
        <v>-149711.0</v>
      </c>
      <c r="W16" s="46">
        <v>162134.0</v>
      </c>
      <c r="X16" s="46">
        <v>-558020.0</v>
      </c>
      <c r="Y16" s="46">
        <v>250827.0</v>
      </c>
      <c r="Z16" s="45">
        <f t="shared" ref="Z16:AA16" si="12">B16+D16+F16+H16+J16+L16+N16+P16+R16+T16+V16+X16</f>
        <v>-2032345</v>
      </c>
      <c r="AA16" s="80">
        <f t="shared" si="12"/>
        <v>1800332</v>
      </c>
    </row>
    <row r="17">
      <c r="A17" s="52" t="s">
        <v>6</v>
      </c>
      <c r="B17" s="96">
        <f t="shared" ref="B17:Y17" si="13">SUM(B12:B16)</f>
        <v>-1970798</v>
      </c>
      <c r="C17" s="97">
        <f t="shared" si="13"/>
        <v>216305</v>
      </c>
      <c r="D17" s="97">
        <f t="shared" si="13"/>
        <v>-2747646</v>
      </c>
      <c r="E17" s="97">
        <f t="shared" si="13"/>
        <v>225069</v>
      </c>
      <c r="F17" s="97">
        <f t="shared" si="13"/>
        <v>-1617935</v>
      </c>
      <c r="G17" s="97">
        <f t="shared" si="13"/>
        <v>124339</v>
      </c>
      <c r="H17" s="97">
        <f t="shared" si="13"/>
        <v>-2223748.33</v>
      </c>
      <c r="I17" s="97">
        <f t="shared" si="13"/>
        <v>461555.08</v>
      </c>
      <c r="J17" s="97">
        <f t="shared" si="13"/>
        <v>-704708</v>
      </c>
      <c r="K17" s="97">
        <f t="shared" si="13"/>
        <v>149202</v>
      </c>
      <c r="L17" s="97">
        <f t="shared" si="13"/>
        <v>-1369437</v>
      </c>
      <c r="M17" s="97">
        <f t="shared" si="13"/>
        <v>499155</v>
      </c>
      <c r="N17" s="97">
        <f t="shared" si="13"/>
        <v>-2327930</v>
      </c>
      <c r="O17" s="97">
        <f t="shared" si="13"/>
        <v>474967</v>
      </c>
      <c r="P17" s="97">
        <f t="shared" si="13"/>
        <v>-895086</v>
      </c>
      <c r="Q17" s="97">
        <f t="shared" si="13"/>
        <v>404606</v>
      </c>
      <c r="R17" s="97">
        <f t="shared" si="13"/>
        <v>-1303832</v>
      </c>
      <c r="S17" s="97">
        <f t="shared" si="13"/>
        <v>343468</v>
      </c>
      <c r="T17" s="97">
        <f t="shared" si="13"/>
        <v>-1884281</v>
      </c>
      <c r="U17" s="97">
        <f t="shared" si="13"/>
        <v>630097</v>
      </c>
      <c r="V17" s="97">
        <f t="shared" si="13"/>
        <v>-2011862</v>
      </c>
      <c r="W17" s="97">
        <f t="shared" si="13"/>
        <v>657456</v>
      </c>
      <c r="X17" s="97">
        <f t="shared" si="13"/>
        <v>-3429428</v>
      </c>
      <c r="Y17" s="97">
        <f t="shared" si="13"/>
        <v>551991</v>
      </c>
      <c r="Z17" s="80">
        <f t="shared" ref="Z17:AA17" si="14">B17+D17+F17+H17+J17+L17+N17+P17+R17+T17+V17+X17</f>
        <v>-22486691.33</v>
      </c>
      <c r="AA17" s="80">
        <f t="shared" si="14"/>
        <v>4738210.08</v>
      </c>
    </row>
    <row r="18">
      <c r="A18" s="51"/>
      <c r="B18" s="51"/>
      <c r="C18" s="86"/>
      <c r="D18" s="51"/>
      <c r="E18" s="51"/>
      <c r="F18" s="51"/>
      <c r="G18" s="51"/>
      <c r="H18" s="98"/>
      <c r="I18" s="98"/>
      <c r="J18" s="51"/>
      <c r="K18" s="51"/>
      <c r="L18" s="51"/>
      <c r="M18" s="51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F18" s="99"/>
    </row>
    <row r="19">
      <c r="A19" s="43" t="s">
        <v>101</v>
      </c>
      <c r="B19" s="47">
        <v>-10992.0</v>
      </c>
      <c r="C19" s="94">
        <v>108984.0</v>
      </c>
      <c r="D19" s="47">
        <v>0.0</v>
      </c>
      <c r="E19" s="47">
        <v>92067.0</v>
      </c>
      <c r="F19" s="47">
        <v>-68865.0</v>
      </c>
      <c r="G19" s="47">
        <v>77448.0</v>
      </c>
      <c r="H19" s="47">
        <v>0.0</v>
      </c>
      <c r="I19" s="47">
        <v>56810.0</v>
      </c>
      <c r="J19" s="47">
        <v>-19476.0</v>
      </c>
      <c r="K19" s="47">
        <v>297704.0</v>
      </c>
      <c r="L19" s="47">
        <v>-33128.0</v>
      </c>
      <c r="M19" s="47">
        <v>0.0</v>
      </c>
      <c r="N19" s="46">
        <v>-46006.0</v>
      </c>
      <c r="O19" s="46">
        <v>280858.0</v>
      </c>
      <c r="P19" s="46">
        <v>0.0</v>
      </c>
      <c r="Q19" s="46">
        <v>106800.0</v>
      </c>
      <c r="R19" s="46">
        <v>-19246.0</v>
      </c>
      <c r="S19" s="46">
        <v>60192.0</v>
      </c>
      <c r="T19" s="46">
        <v>0.0</v>
      </c>
      <c r="U19" s="46">
        <v>129076.0</v>
      </c>
      <c r="V19" s="46">
        <v>0.0</v>
      </c>
      <c r="W19" s="46">
        <v>467808.0</v>
      </c>
      <c r="X19" s="46">
        <v>-32416.0</v>
      </c>
      <c r="Y19" s="46">
        <v>70250.0</v>
      </c>
      <c r="Z19" s="45">
        <f t="shared" ref="Z19:AA19" si="15">B19+D19+F19+H19+J19+L19+N19+P19+R19+T19+V19+X19</f>
        <v>-230129</v>
      </c>
      <c r="AA19" s="80">
        <f t="shared" si="15"/>
        <v>1747997</v>
      </c>
      <c r="AF19" s="99"/>
    </row>
    <row r="20">
      <c r="A20" s="43" t="s">
        <v>102</v>
      </c>
      <c r="B20" s="47">
        <v>-5669.0</v>
      </c>
      <c r="C20" s="94">
        <v>9044.0</v>
      </c>
      <c r="D20" s="47">
        <v>-18826.0</v>
      </c>
      <c r="E20" s="47">
        <v>7043.0</v>
      </c>
      <c r="F20" s="47">
        <v>-1944.0</v>
      </c>
      <c r="G20" s="47">
        <v>10217.0</v>
      </c>
      <c r="H20" s="47">
        <v>-10086.1</v>
      </c>
      <c r="I20" s="47">
        <v>7926.5</v>
      </c>
      <c r="J20" s="47">
        <v>-360.0</v>
      </c>
      <c r="K20" s="47">
        <v>5834.0</v>
      </c>
      <c r="L20" s="47">
        <v>-8884.0</v>
      </c>
      <c r="M20" s="47">
        <v>16093.0</v>
      </c>
      <c r="N20" s="46">
        <v>-17243.0</v>
      </c>
      <c r="O20" s="46">
        <v>4812.0</v>
      </c>
      <c r="P20" s="46">
        <v>-1683.0</v>
      </c>
      <c r="Q20" s="46">
        <v>5246.0</v>
      </c>
      <c r="R20" s="46">
        <v>-17057.0</v>
      </c>
      <c r="S20" s="46">
        <v>6893.0</v>
      </c>
      <c r="T20" s="46">
        <v>-12349.0</v>
      </c>
      <c r="U20" s="46">
        <v>20988.0</v>
      </c>
      <c r="V20" s="46">
        <v>-12053.0</v>
      </c>
      <c r="W20" s="46">
        <v>6373.0</v>
      </c>
      <c r="X20" s="46">
        <v>-30685.0</v>
      </c>
      <c r="Y20" s="46">
        <v>27723.0</v>
      </c>
      <c r="Z20" s="45">
        <f t="shared" ref="Z20:AA20" si="16">B20+D20+F20+H20+J20+L20+N20+P20+R20+T20+V20+X20</f>
        <v>-136839.1</v>
      </c>
      <c r="AA20" s="80">
        <f t="shared" si="16"/>
        <v>128192.5</v>
      </c>
      <c r="AF20" s="99"/>
    </row>
    <row r="21">
      <c r="A21" s="43" t="s">
        <v>103</v>
      </c>
      <c r="B21" s="47">
        <v>-600.0</v>
      </c>
      <c r="C21" s="94">
        <v>2640.0</v>
      </c>
      <c r="D21" s="47">
        <v>0.0</v>
      </c>
      <c r="E21" s="47">
        <v>640.0</v>
      </c>
      <c r="F21" s="47">
        <v>-10080.0</v>
      </c>
      <c r="G21" s="47">
        <v>0.0</v>
      </c>
      <c r="H21" s="47">
        <v>-12080.0</v>
      </c>
      <c r="I21" s="47">
        <v>0.0</v>
      </c>
      <c r="J21" s="47">
        <v>-6040.0</v>
      </c>
      <c r="K21" s="47">
        <v>0.0</v>
      </c>
      <c r="L21" s="47">
        <v>-3680.0</v>
      </c>
      <c r="M21" s="47">
        <v>0.0</v>
      </c>
      <c r="N21" s="46">
        <v>-1280.0</v>
      </c>
      <c r="O21" s="46">
        <v>0.0</v>
      </c>
      <c r="P21" s="46">
        <v>0.0</v>
      </c>
      <c r="Q21" s="46">
        <v>840.0</v>
      </c>
      <c r="R21" s="46">
        <v>0.0</v>
      </c>
      <c r="S21" s="46">
        <v>2920.0</v>
      </c>
      <c r="T21" s="46">
        <v>0.0</v>
      </c>
      <c r="U21" s="46">
        <v>4190.0</v>
      </c>
      <c r="V21" s="46">
        <v>0.0</v>
      </c>
      <c r="W21" s="46">
        <v>1740.0</v>
      </c>
      <c r="X21" s="46">
        <v>0.0</v>
      </c>
      <c r="Y21" s="46">
        <v>2800.0</v>
      </c>
      <c r="Z21" s="45">
        <f t="shared" ref="Z21:AA21" si="17">B21+D21+F21+H21+J21+L21+N21+P21+R21+T21+V21+X21</f>
        <v>-33760</v>
      </c>
      <c r="AA21" s="80">
        <f t="shared" si="17"/>
        <v>15770</v>
      </c>
      <c r="AF21" s="99"/>
    </row>
    <row r="22">
      <c r="A22" s="95" t="s">
        <v>104</v>
      </c>
      <c r="B22" s="47">
        <v>-6871.0</v>
      </c>
      <c r="C22" s="94">
        <v>7153.0</v>
      </c>
      <c r="D22" s="47">
        <v>-4688.0</v>
      </c>
      <c r="E22" s="47">
        <v>2111.0</v>
      </c>
      <c r="F22" s="47">
        <v>-5459.0</v>
      </c>
      <c r="G22" s="47">
        <v>7253.0</v>
      </c>
      <c r="H22" s="47">
        <v>-14180.34</v>
      </c>
      <c r="I22" s="47">
        <v>4229.18</v>
      </c>
      <c r="J22" s="47">
        <v>-20604.0</v>
      </c>
      <c r="K22" s="47">
        <v>3308.0</v>
      </c>
      <c r="L22" s="47">
        <v>-60376.0</v>
      </c>
      <c r="M22" s="96">
        <v>1694.0</v>
      </c>
      <c r="N22" s="46">
        <v>-83761.0</v>
      </c>
      <c r="O22" s="46">
        <v>4260.0</v>
      </c>
      <c r="P22" s="46">
        <v>-68300.0</v>
      </c>
      <c r="Q22" s="46">
        <v>2808.0</v>
      </c>
      <c r="R22" s="46">
        <v>-63499.0</v>
      </c>
      <c r="S22" s="46">
        <v>1658.0</v>
      </c>
      <c r="T22" s="46">
        <v>-84960.0</v>
      </c>
      <c r="U22" s="46">
        <v>4441.0</v>
      </c>
      <c r="V22" s="46">
        <v>-102928.0</v>
      </c>
      <c r="W22" s="46">
        <v>250.0</v>
      </c>
      <c r="X22" s="46">
        <v>-117500.0</v>
      </c>
      <c r="Y22" s="46">
        <v>1731.0</v>
      </c>
      <c r="Z22" s="45">
        <f t="shared" ref="Z22:AA22" si="18">B22+D22+F22+H22+J22+L22+N22+P22+R22+T22+V22+X22</f>
        <v>-633126.34</v>
      </c>
      <c r="AA22" s="80">
        <f t="shared" si="18"/>
        <v>40896.18</v>
      </c>
      <c r="AF22" s="99"/>
    </row>
    <row r="23">
      <c r="A23" s="95" t="s">
        <v>105</v>
      </c>
      <c r="B23" s="96">
        <v>-400.0</v>
      </c>
      <c r="C23" s="97">
        <v>294.0</v>
      </c>
      <c r="D23" s="96">
        <v>0.0</v>
      </c>
      <c r="E23" s="96">
        <v>609.0</v>
      </c>
      <c r="F23" s="96">
        <v>0.0</v>
      </c>
      <c r="G23" s="96">
        <v>930.0</v>
      </c>
      <c r="H23" s="96">
        <v>0.0</v>
      </c>
      <c r="I23" s="96">
        <v>1250.0</v>
      </c>
      <c r="J23" s="96">
        <v>0.0</v>
      </c>
      <c r="K23" s="96">
        <v>305.0</v>
      </c>
      <c r="L23" s="96">
        <v>-4367.0</v>
      </c>
      <c r="M23" s="96">
        <v>319.0</v>
      </c>
      <c r="N23" s="46">
        <v>0.0</v>
      </c>
      <c r="O23" s="46">
        <v>375.0</v>
      </c>
      <c r="P23" s="46">
        <v>0.0</v>
      </c>
      <c r="Q23" s="46">
        <v>270.0</v>
      </c>
      <c r="R23" s="46">
        <v>-100.0</v>
      </c>
      <c r="S23" s="46">
        <v>318.0</v>
      </c>
      <c r="T23" s="46">
        <v>-50.0</v>
      </c>
      <c r="U23" s="46">
        <v>540.0</v>
      </c>
      <c r="V23" s="46">
        <v>-350.0</v>
      </c>
      <c r="W23" s="46">
        <v>539.0</v>
      </c>
      <c r="X23" s="46">
        <v>-1150.0</v>
      </c>
      <c r="Y23" s="46">
        <v>1159.0</v>
      </c>
      <c r="Z23" s="45">
        <f t="shared" ref="Z23:AA23" si="19">B23+D23+F23+H23+J23+L23+N23+P23+R23+T23+V23+X23</f>
        <v>-6417</v>
      </c>
      <c r="AA23" s="80">
        <f t="shared" si="19"/>
        <v>6908</v>
      </c>
      <c r="AF23" s="99"/>
    </row>
    <row r="24">
      <c r="A24" s="52" t="s">
        <v>6</v>
      </c>
      <c r="B24" s="96">
        <f t="shared" ref="B24:Y24" si="20">SUM(B19:B23)</f>
        <v>-24532</v>
      </c>
      <c r="C24" s="97">
        <f t="shared" si="20"/>
        <v>128115</v>
      </c>
      <c r="D24" s="97">
        <f t="shared" si="20"/>
        <v>-23514</v>
      </c>
      <c r="E24" s="97">
        <f t="shared" si="20"/>
        <v>102470</v>
      </c>
      <c r="F24" s="97">
        <f t="shared" si="20"/>
        <v>-86348</v>
      </c>
      <c r="G24" s="97">
        <f t="shared" si="20"/>
        <v>95848</v>
      </c>
      <c r="H24" s="97">
        <f t="shared" si="20"/>
        <v>-36346.44</v>
      </c>
      <c r="I24" s="97">
        <f t="shared" si="20"/>
        <v>70215.68</v>
      </c>
      <c r="J24" s="97">
        <f t="shared" si="20"/>
        <v>-46480</v>
      </c>
      <c r="K24" s="97">
        <f t="shared" si="20"/>
        <v>307151</v>
      </c>
      <c r="L24" s="97">
        <f t="shared" si="20"/>
        <v>-110435</v>
      </c>
      <c r="M24" s="97">
        <f t="shared" si="20"/>
        <v>18106</v>
      </c>
      <c r="N24" s="97">
        <f t="shared" si="20"/>
        <v>-148290</v>
      </c>
      <c r="O24" s="97">
        <f t="shared" si="20"/>
        <v>290305</v>
      </c>
      <c r="P24" s="97">
        <f t="shared" si="20"/>
        <v>-69983</v>
      </c>
      <c r="Q24" s="97">
        <f t="shared" si="20"/>
        <v>115964</v>
      </c>
      <c r="R24" s="97">
        <f t="shared" si="20"/>
        <v>-99902</v>
      </c>
      <c r="S24" s="97">
        <f t="shared" si="20"/>
        <v>71981</v>
      </c>
      <c r="T24" s="97">
        <f t="shared" si="20"/>
        <v>-97359</v>
      </c>
      <c r="U24" s="97">
        <f t="shared" si="20"/>
        <v>159235</v>
      </c>
      <c r="V24" s="97">
        <f t="shared" si="20"/>
        <v>-115331</v>
      </c>
      <c r="W24" s="97">
        <f t="shared" si="20"/>
        <v>476710</v>
      </c>
      <c r="X24" s="97">
        <f t="shared" si="20"/>
        <v>-181751</v>
      </c>
      <c r="Y24" s="97">
        <f t="shared" si="20"/>
        <v>103663</v>
      </c>
      <c r="Z24" s="80">
        <f t="shared" ref="Z24:AA24" si="21">B24+D24+F24+H24+J24+L24+N24+P24+R24+T24+V24+X24</f>
        <v>-1040271.44</v>
      </c>
      <c r="AA24" s="80">
        <f t="shared" si="21"/>
        <v>1939763.68</v>
      </c>
      <c r="AF24" s="99"/>
    </row>
    <row r="25">
      <c r="A25" s="51"/>
      <c r="B25" s="51"/>
      <c r="C25" s="86"/>
      <c r="D25" s="51"/>
      <c r="E25" s="51"/>
      <c r="F25" s="51"/>
      <c r="G25" s="51"/>
      <c r="H25" s="98"/>
      <c r="I25" s="98"/>
      <c r="J25" s="51"/>
      <c r="K25" s="51"/>
      <c r="L25" s="51"/>
      <c r="M25" s="51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>
      <c r="A26" s="43" t="s">
        <v>106</v>
      </c>
      <c r="B26" s="47">
        <v>-297635.0</v>
      </c>
      <c r="C26" s="94">
        <v>1732120.0</v>
      </c>
      <c r="D26" s="47">
        <v>-2079680.0</v>
      </c>
      <c r="E26" s="47">
        <v>1187385.0</v>
      </c>
      <c r="F26" s="47">
        <v>-5645127.0</v>
      </c>
      <c r="G26" s="47">
        <v>1970120.0</v>
      </c>
      <c r="H26" s="47">
        <v>-2862545.0</v>
      </c>
      <c r="I26" s="47">
        <v>716695.0</v>
      </c>
      <c r="J26" s="47">
        <v>-726015.0</v>
      </c>
      <c r="K26" s="47">
        <v>547675.0</v>
      </c>
      <c r="L26" s="47">
        <v>-1359718.0</v>
      </c>
      <c r="M26" s="47">
        <v>4940895.0</v>
      </c>
      <c r="N26" s="46">
        <v>-802165.0</v>
      </c>
      <c r="O26" s="46">
        <v>4286595.0</v>
      </c>
      <c r="P26" s="46">
        <v>-603032.0</v>
      </c>
      <c r="Q26" s="46">
        <v>4029630.0</v>
      </c>
      <c r="R26" s="46">
        <v>-801700.0</v>
      </c>
      <c r="S26" s="46">
        <v>2453515.0</v>
      </c>
      <c r="T26" s="46">
        <v>-407225.0</v>
      </c>
      <c r="U26" s="46">
        <v>4651920.0</v>
      </c>
      <c r="V26" s="46">
        <v>-597480.0</v>
      </c>
      <c r="W26" s="46">
        <v>2436375.0</v>
      </c>
      <c r="X26" s="46">
        <v>-764782.0</v>
      </c>
      <c r="Y26" s="46">
        <v>9869555.0</v>
      </c>
      <c r="Z26" s="45">
        <f t="shared" ref="Z26:AA26" si="22">B26+D26+F26+H26+J26+L26+N26+P26+R26+T26+V26+X26</f>
        <v>-16947104</v>
      </c>
      <c r="AA26" s="80">
        <f t="shared" si="22"/>
        <v>38822480</v>
      </c>
    </row>
    <row r="27">
      <c r="A27" s="52" t="s">
        <v>107</v>
      </c>
      <c r="B27" s="96">
        <v>-128635.0</v>
      </c>
      <c r="C27" s="97">
        <v>59365.0</v>
      </c>
      <c r="D27" s="96">
        <v>-160464.0</v>
      </c>
      <c r="E27" s="96">
        <v>71034.0</v>
      </c>
      <c r="F27" s="96">
        <v>-644096.0</v>
      </c>
      <c r="G27" s="96">
        <v>70794.0</v>
      </c>
      <c r="H27" s="96">
        <v>-402520.5</v>
      </c>
      <c r="I27" s="96">
        <v>58617.9</v>
      </c>
      <c r="J27" s="96">
        <v>-93129.0</v>
      </c>
      <c r="K27" s="96">
        <v>45285.0</v>
      </c>
      <c r="L27" s="96">
        <v>-385548.0</v>
      </c>
      <c r="M27" s="96">
        <v>57654.0</v>
      </c>
      <c r="N27" s="46">
        <v>-253229.0</v>
      </c>
      <c r="O27" s="46">
        <v>99924.0</v>
      </c>
      <c r="P27" s="46">
        <v>-221690.0</v>
      </c>
      <c r="Q27" s="46">
        <v>84944.0</v>
      </c>
      <c r="R27" s="46">
        <v>-199197.0</v>
      </c>
      <c r="S27" s="46">
        <v>74113.0</v>
      </c>
      <c r="T27" s="46">
        <v>-278852.0</v>
      </c>
      <c r="U27" s="46">
        <v>99758.0</v>
      </c>
      <c r="V27" s="46">
        <v>-311958.0</v>
      </c>
      <c r="W27" s="46">
        <v>68553.0</v>
      </c>
      <c r="X27" s="46">
        <v>-566538.0</v>
      </c>
      <c r="Y27" s="46">
        <v>82613.0</v>
      </c>
      <c r="Z27" s="45">
        <f t="shared" ref="Z27:AA27" si="23">B27+D27+F27+H27+J27+L27+N27+P27+R27+T27+V27+X27</f>
        <v>-3645856.5</v>
      </c>
      <c r="AA27" s="80">
        <f t="shared" si="23"/>
        <v>872654.9</v>
      </c>
    </row>
    <row r="28">
      <c r="A28" s="52" t="s">
        <v>108</v>
      </c>
      <c r="B28" s="96">
        <v>-14341.0</v>
      </c>
      <c r="C28" s="97">
        <v>62028.0</v>
      </c>
      <c r="D28" s="96">
        <v>-37785.0</v>
      </c>
      <c r="E28" s="96">
        <v>79587.0</v>
      </c>
      <c r="F28" s="96">
        <v>-57920.0</v>
      </c>
      <c r="G28" s="96">
        <v>89741.0</v>
      </c>
      <c r="H28" s="96">
        <v>-62095.5</v>
      </c>
      <c r="I28" s="96">
        <v>16188.0</v>
      </c>
      <c r="J28" s="96">
        <v>-55397.0</v>
      </c>
      <c r="K28" s="96">
        <v>133953.0</v>
      </c>
      <c r="L28" s="96">
        <v>-36520.0</v>
      </c>
      <c r="M28" s="96">
        <v>3055.0</v>
      </c>
      <c r="N28" s="46">
        <v>-8750.0</v>
      </c>
      <c r="O28" s="46">
        <v>68287.0</v>
      </c>
      <c r="P28" s="46">
        <v>-48148.0</v>
      </c>
      <c r="Q28" s="46">
        <v>8436.0</v>
      </c>
      <c r="R28" s="46">
        <v>-86860.0</v>
      </c>
      <c r="S28" s="46">
        <v>176466.0</v>
      </c>
      <c r="T28" s="46">
        <v>-81758.0</v>
      </c>
      <c r="U28" s="46">
        <v>115159.0</v>
      </c>
      <c r="V28" s="46">
        <v>-47774.0</v>
      </c>
      <c r="W28" s="46">
        <v>34961.0</v>
      </c>
      <c r="X28" s="46">
        <v>-103433.0</v>
      </c>
      <c r="Y28" s="46">
        <v>219453.0</v>
      </c>
      <c r="Z28" s="45">
        <f t="shared" ref="Z28:AA28" si="24">B28+D28+F28+H28+J28+L28+N28+P28+R28+T28+V28+X28</f>
        <v>-640781.5</v>
      </c>
      <c r="AA28" s="80">
        <f t="shared" si="24"/>
        <v>1007314</v>
      </c>
    </row>
    <row r="29">
      <c r="A29" s="52" t="s">
        <v>109</v>
      </c>
      <c r="B29" s="96">
        <v>0.0</v>
      </c>
      <c r="C29" s="97">
        <v>20232.0</v>
      </c>
      <c r="D29" s="96">
        <v>0.0</v>
      </c>
      <c r="E29" s="96">
        <v>0.0</v>
      </c>
      <c r="F29" s="96">
        <v>0.0</v>
      </c>
      <c r="G29" s="96">
        <v>164598.0</v>
      </c>
      <c r="H29" s="96">
        <v>0.0</v>
      </c>
      <c r="I29" s="96">
        <v>47904.0</v>
      </c>
      <c r="J29" s="96">
        <v>0.0</v>
      </c>
      <c r="K29" s="96">
        <v>22440.0</v>
      </c>
      <c r="L29" s="96">
        <v>-36835.0</v>
      </c>
      <c r="M29" s="96">
        <v>32270.0</v>
      </c>
      <c r="N29" s="46">
        <v>0.0</v>
      </c>
      <c r="O29" s="46">
        <v>38280.0</v>
      </c>
      <c r="P29" s="46">
        <v>0.0</v>
      </c>
      <c r="Q29" s="46">
        <v>43816.0</v>
      </c>
      <c r="R29" s="46">
        <v>-8730.0</v>
      </c>
      <c r="S29" s="46">
        <v>52082.0</v>
      </c>
      <c r="T29" s="46">
        <v>0.0</v>
      </c>
      <c r="U29" s="46">
        <v>124732.0</v>
      </c>
      <c r="V29" s="46">
        <v>0.0</v>
      </c>
      <c r="W29" s="46">
        <v>21370.0</v>
      </c>
      <c r="X29" s="46">
        <v>0.0</v>
      </c>
      <c r="Y29" s="46">
        <v>31650.0</v>
      </c>
      <c r="Z29" s="45">
        <f t="shared" ref="Z29:AA29" si="25">B29+D29+F29+H29+J29+L29+N29+P29+R29+T29+V29+X29</f>
        <v>-45565</v>
      </c>
      <c r="AA29" s="80">
        <f t="shared" si="25"/>
        <v>599374</v>
      </c>
    </row>
    <row r="30">
      <c r="A30" s="52" t="s">
        <v>110</v>
      </c>
      <c r="B30" s="96">
        <v>-3360.0</v>
      </c>
      <c r="C30" s="97">
        <v>1287.0</v>
      </c>
      <c r="D30" s="96">
        <v>-3964.0</v>
      </c>
      <c r="E30" s="96">
        <v>1910.0</v>
      </c>
      <c r="F30" s="96">
        <v>-51677.0</v>
      </c>
      <c r="G30" s="96">
        <v>11082.0</v>
      </c>
      <c r="H30" s="96">
        <v>-101320.0</v>
      </c>
      <c r="I30" s="96">
        <v>19077.9</v>
      </c>
      <c r="J30" s="96">
        <v>-2320.0</v>
      </c>
      <c r="K30" s="96">
        <v>14043.0</v>
      </c>
      <c r="L30" s="96">
        <v>-1250.0</v>
      </c>
      <c r="M30" s="96">
        <v>16145.0</v>
      </c>
      <c r="N30" s="46">
        <v>-53199.0</v>
      </c>
      <c r="O30" s="46">
        <v>2560.0</v>
      </c>
      <c r="P30" s="46">
        <v>-10629.0</v>
      </c>
      <c r="Q30" s="46">
        <v>796.0</v>
      </c>
      <c r="R30" s="46">
        <v>-25042.0</v>
      </c>
      <c r="S30" s="46">
        <v>1165.0</v>
      </c>
      <c r="T30" s="46">
        <v>-21716.0</v>
      </c>
      <c r="U30" s="46">
        <v>2340.0</v>
      </c>
      <c r="V30" s="46">
        <v>-68988.0</v>
      </c>
      <c r="W30" s="46">
        <v>2100.0</v>
      </c>
      <c r="X30" s="46">
        <v>-18040.0</v>
      </c>
      <c r="Y30" s="46">
        <v>1557.0</v>
      </c>
      <c r="Z30" s="45">
        <f t="shared" ref="Z30:AA30" si="26">B30+D30+F30+H30+J30+L30+N30+P30+R30+T30+V30+X30</f>
        <v>-361505</v>
      </c>
      <c r="AA30" s="80">
        <f t="shared" si="26"/>
        <v>74062.9</v>
      </c>
    </row>
    <row r="31">
      <c r="A31" s="52" t="s">
        <v>6</v>
      </c>
      <c r="B31" s="96">
        <f t="shared" ref="B31:Y31" si="27">SUM(B26:B30)</f>
        <v>-443971</v>
      </c>
      <c r="C31" s="97">
        <f t="shared" si="27"/>
        <v>1875032</v>
      </c>
      <c r="D31" s="97">
        <f t="shared" si="27"/>
        <v>-2281893</v>
      </c>
      <c r="E31" s="97">
        <f t="shared" si="27"/>
        <v>1339916</v>
      </c>
      <c r="F31" s="97">
        <f t="shared" si="27"/>
        <v>-6398820</v>
      </c>
      <c r="G31" s="97">
        <f t="shared" si="27"/>
        <v>2306335</v>
      </c>
      <c r="H31" s="97">
        <f t="shared" si="27"/>
        <v>-3428481</v>
      </c>
      <c r="I31" s="97">
        <f t="shared" si="27"/>
        <v>858482.8</v>
      </c>
      <c r="J31" s="97">
        <f t="shared" si="27"/>
        <v>-876861</v>
      </c>
      <c r="K31" s="97">
        <f t="shared" si="27"/>
        <v>763396</v>
      </c>
      <c r="L31" s="97">
        <f t="shared" si="27"/>
        <v>-1819871</v>
      </c>
      <c r="M31" s="97">
        <f t="shared" si="27"/>
        <v>5050019</v>
      </c>
      <c r="N31" s="97">
        <f t="shared" si="27"/>
        <v>-1117343</v>
      </c>
      <c r="O31" s="97">
        <f t="shared" si="27"/>
        <v>4495646</v>
      </c>
      <c r="P31" s="97">
        <f t="shared" si="27"/>
        <v>-883499</v>
      </c>
      <c r="Q31" s="97">
        <f t="shared" si="27"/>
        <v>4167622</v>
      </c>
      <c r="R31" s="97">
        <f t="shared" si="27"/>
        <v>-1121529</v>
      </c>
      <c r="S31" s="97">
        <f t="shared" si="27"/>
        <v>2757341</v>
      </c>
      <c r="T31" s="97">
        <f t="shared" si="27"/>
        <v>-789551</v>
      </c>
      <c r="U31" s="97">
        <f t="shared" si="27"/>
        <v>4993909</v>
      </c>
      <c r="V31" s="97">
        <f t="shared" si="27"/>
        <v>-1026200</v>
      </c>
      <c r="W31" s="97">
        <f t="shared" si="27"/>
        <v>2563359</v>
      </c>
      <c r="X31" s="97">
        <f t="shared" si="27"/>
        <v>-1452793</v>
      </c>
      <c r="Y31" s="97">
        <f t="shared" si="27"/>
        <v>10204828</v>
      </c>
      <c r="Z31" s="80">
        <f t="shared" ref="Z31:AA31" si="28">B31+D31+F31+H31+J31+L31+N31+P31+R31+T31+V31+X31</f>
        <v>-21640812</v>
      </c>
      <c r="AA31" s="80">
        <f t="shared" si="28"/>
        <v>41375885.8</v>
      </c>
    </row>
    <row r="32">
      <c r="A32" s="51"/>
      <c r="B32" s="51"/>
      <c r="C32" s="86"/>
      <c r="D32" s="51"/>
      <c r="E32" s="51"/>
      <c r="F32" s="51"/>
      <c r="G32" s="51"/>
      <c r="H32" s="98"/>
      <c r="I32" s="98"/>
      <c r="J32" s="51"/>
      <c r="K32" s="51"/>
      <c r="L32" s="51"/>
      <c r="M32" s="51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>
      <c r="A33" s="51"/>
      <c r="B33" s="51"/>
      <c r="C33" s="86"/>
      <c r="D33" s="51"/>
      <c r="E33" s="51"/>
      <c r="F33" s="51"/>
      <c r="G33" s="51"/>
      <c r="H33" s="98"/>
      <c r="I33" s="98"/>
      <c r="J33" s="51"/>
      <c r="K33" s="51"/>
      <c r="L33" s="51"/>
      <c r="M33" s="51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>
      <c r="A34" s="95" t="s">
        <v>111</v>
      </c>
      <c r="B34" s="47">
        <v>0.0</v>
      </c>
      <c r="C34" s="94">
        <v>0.0</v>
      </c>
      <c r="D34" s="47">
        <v>-230.0</v>
      </c>
      <c r="E34" s="47">
        <v>17731.0</v>
      </c>
      <c r="F34" s="47">
        <v>-18853.0</v>
      </c>
      <c r="G34" s="47">
        <v>4560.0</v>
      </c>
      <c r="H34" s="47">
        <v>-2856.0</v>
      </c>
      <c r="I34" s="47">
        <v>0.0</v>
      </c>
      <c r="J34" s="47">
        <v>-2856.0</v>
      </c>
      <c r="K34" s="47">
        <v>0.0</v>
      </c>
      <c r="L34" s="47">
        <v>-29784.0</v>
      </c>
      <c r="M34" s="47">
        <v>18236.0</v>
      </c>
      <c r="N34" s="46">
        <v>-2066.0</v>
      </c>
      <c r="O34" s="46">
        <v>978.0</v>
      </c>
      <c r="P34" s="46">
        <v>0.0</v>
      </c>
      <c r="Q34" s="46">
        <v>1488.0</v>
      </c>
      <c r="R34" s="46">
        <v>-7265.0</v>
      </c>
      <c r="S34" s="46">
        <v>14288.0</v>
      </c>
      <c r="T34" s="46">
        <v>-23180.0</v>
      </c>
      <c r="U34" s="46">
        <v>21868.0</v>
      </c>
      <c r="V34" s="46">
        <v>-610.0</v>
      </c>
      <c r="W34" s="46">
        <v>19175.0</v>
      </c>
      <c r="X34" s="46">
        <v>0.0</v>
      </c>
      <c r="Y34" s="46">
        <v>7575.0</v>
      </c>
      <c r="Z34" s="45">
        <f t="shared" ref="Z34:AA34" si="29">B34+D34+F34+H34+J34+L34+N34+P34+R34+T34+V34+X34</f>
        <v>-87700</v>
      </c>
      <c r="AA34" s="80">
        <f t="shared" si="29"/>
        <v>105899</v>
      </c>
    </row>
    <row r="35">
      <c r="A35" s="95" t="s">
        <v>112</v>
      </c>
      <c r="B35" s="47">
        <v>0.0</v>
      </c>
      <c r="C35" s="94">
        <v>0.0</v>
      </c>
      <c r="D35" s="47">
        <v>0.0</v>
      </c>
      <c r="E35" s="47">
        <v>0.0</v>
      </c>
      <c r="F35" s="47">
        <v>0.0</v>
      </c>
      <c r="G35" s="47">
        <v>0.0</v>
      </c>
      <c r="H35" s="47">
        <v>0.0</v>
      </c>
      <c r="I35" s="47">
        <v>0.0</v>
      </c>
      <c r="J35" s="47">
        <v>0.0</v>
      </c>
      <c r="K35" s="47">
        <v>0.0</v>
      </c>
      <c r="L35" s="47">
        <v>0.0</v>
      </c>
      <c r="M35" s="47">
        <v>0.0</v>
      </c>
      <c r="N35" s="46">
        <v>0.0</v>
      </c>
      <c r="O35" s="46">
        <v>0.0</v>
      </c>
      <c r="P35" s="46">
        <v>0.0</v>
      </c>
      <c r="Q35" s="46">
        <v>0.0</v>
      </c>
      <c r="R35" s="46">
        <v>-39.0</v>
      </c>
      <c r="S35" s="46">
        <v>0.0</v>
      </c>
      <c r="T35" s="46">
        <v>0.0</v>
      </c>
      <c r="U35" s="46">
        <v>0.0</v>
      </c>
      <c r="V35" s="46">
        <v>-50.0</v>
      </c>
      <c r="W35" s="46">
        <v>0.0</v>
      </c>
      <c r="X35" s="46">
        <v>-50.0</v>
      </c>
      <c r="Y35" s="46">
        <v>0.0</v>
      </c>
      <c r="Z35" s="45">
        <f t="shared" ref="Z35:AA35" si="30">B35+D35+F35+H35+J35+L35+N35+P35+R35+T35+V35+X35</f>
        <v>-139</v>
      </c>
      <c r="AA35" s="80">
        <f t="shared" si="30"/>
        <v>0</v>
      </c>
    </row>
    <row r="36">
      <c r="A36" s="95" t="s">
        <v>113</v>
      </c>
      <c r="B36" s="47">
        <v>0.0</v>
      </c>
      <c r="C36" s="94">
        <v>390.0</v>
      </c>
      <c r="D36" s="47">
        <v>0.0</v>
      </c>
      <c r="E36" s="47">
        <v>0.0</v>
      </c>
      <c r="F36" s="47">
        <v>0.0</v>
      </c>
      <c r="G36" s="47">
        <v>0.0</v>
      </c>
      <c r="H36" s="47">
        <v>-693.0</v>
      </c>
      <c r="I36" s="47">
        <v>216.0</v>
      </c>
      <c r="J36" s="47">
        <v>-4471.0</v>
      </c>
      <c r="K36" s="47">
        <v>0.0</v>
      </c>
      <c r="L36" s="47">
        <v>0.0</v>
      </c>
      <c r="M36" s="47">
        <v>0.0</v>
      </c>
      <c r="N36" s="46">
        <v>0.0</v>
      </c>
      <c r="O36" s="46">
        <v>0.0</v>
      </c>
      <c r="P36" s="46">
        <v>-2756.0</v>
      </c>
      <c r="Q36" s="46">
        <v>0.0</v>
      </c>
      <c r="R36" s="46">
        <v>-804.0</v>
      </c>
      <c r="S36" s="46">
        <v>0.0</v>
      </c>
      <c r="T36" s="46">
        <v>-285.0</v>
      </c>
      <c r="U36" s="46">
        <v>0.0</v>
      </c>
      <c r="V36" s="46">
        <v>-972.0</v>
      </c>
      <c r="W36" s="46">
        <v>0.0</v>
      </c>
      <c r="X36" s="46">
        <v>-365.0</v>
      </c>
      <c r="Y36" s="46">
        <v>10.0</v>
      </c>
      <c r="Z36" s="45">
        <f t="shared" ref="Z36:AA36" si="31">B36+D36+F36+H36+J36+L36+N36+P36+R36+T36+V36+X36</f>
        <v>-10346</v>
      </c>
      <c r="AA36" s="80">
        <f t="shared" si="31"/>
        <v>616</v>
      </c>
    </row>
    <row r="37">
      <c r="A37" s="95" t="s">
        <v>114</v>
      </c>
      <c r="B37" s="47">
        <v>0.0</v>
      </c>
      <c r="C37" s="94">
        <v>0.0</v>
      </c>
      <c r="D37" s="47">
        <v>0.0</v>
      </c>
      <c r="E37" s="47">
        <v>0.0</v>
      </c>
      <c r="F37" s="47">
        <v>0.0</v>
      </c>
      <c r="G37" s="47">
        <v>0.0</v>
      </c>
      <c r="H37" s="47">
        <v>-5130.0</v>
      </c>
      <c r="I37" s="47">
        <v>0.0</v>
      </c>
      <c r="J37" s="47">
        <v>0.0</v>
      </c>
      <c r="K37" s="47">
        <v>0.0</v>
      </c>
      <c r="L37" s="47"/>
      <c r="M37" s="43"/>
      <c r="N37" s="46">
        <v>-48565.0</v>
      </c>
      <c r="O37" s="46">
        <v>1527.0</v>
      </c>
      <c r="P37" s="46">
        <v>0.0</v>
      </c>
      <c r="Q37" s="46">
        <v>0.0</v>
      </c>
      <c r="R37" s="46">
        <v>0.0</v>
      </c>
      <c r="S37" s="46">
        <v>8641.0</v>
      </c>
      <c r="T37" s="46">
        <v>0.0</v>
      </c>
      <c r="U37" s="46">
        <v>0.0</v>
      </c>
      <c r="V37" s="46">
        <v>0.0</v>
      </c>
      <c r="W37" s="46">
        <v>0.0</v>
      </c>
      <c r="X37" s="46">
        <v>0.0</v>
      </c>
      <c r="Y37" s="46">
        <v>303.0</v>
      </c>
      <c r="Z37" s="45">
        <f t="shared" ref="Z37:AA37" si="32">B37+D37+F37+H37+J37+L37+N37+P37+R37+T37+V37+X37</f>
        <v>-53695</v>
      </c>
      <c r="AA37" s="80">
        <f t="shared" si="32"/>
        <v>10471</v>
      </c>
    </row>
    <row r="38">
      <c r="A38" s="95" t="s">
        <v>115</v>
      </c>
      <c r="B38" s="47">
        <v>0.0</v>
      </c>
      <c r="C38" s="94">
        <v>0.0</v>
      </c>
      <c r="D38" s="47">
        <v>-1992.0</v>
      </c>
      <c r="E38" s="47">
        <v>0.0</v>
      </c>
      <c r="F38" s="47">
        <v>0.0</v>
      </c>
      <c r="G38" s="47">
        <v>0.0</v>
      </c>
      <c r="H38" s="47">
        <v>-3360.0</v>
      </c>
      <c r="I38" s="47">
        <v>0.0</v>
      </c>
      <c r="J38" s="47">
        <v>0.0</v>
      </c>
      <c r="K38" s="47">
        <v>0.0</v>
      </c>
      <c r="L38" s="47"/>
      <c r="M38" s="96"/>
      <c r="N38" s="46">
        <v>-2466.0</v>
      </c>
      <c r="O38" s="46">
        <v>0.0</v>
      </c>
      <c r="P38" s="46">
        <v>-1470.0</v>
      </c>
      <c r="Q38" s="46">
        <v>0.0</v>
      </c>
      <c r="R38" s="46">
        <v>-1050.0</v>
      </c>
      <c r="S38" s="46">
        <v>0.0</v>
      </c>
      <c r="T38" s="46">
        <v>-960.0</v>
      </c>
      <c r="U38" s="46">
        <v>0.0</v>
      </c>
      <c r="V38" s="46">
        <v>-2940.0</v>
      </c>
      <c r="W38" s="46">
        <v>0.0</v>
      </c>
      <c r="X38" s="46">
        <v>-120.0</v>
      </c>
      <c r="Y38" s="46">
        <v>0.0</v>
      </c>
      <c r="Z38" s="45">
        <f t="shared" ref="Z38:AA38" si="33">B38+D38+F38+H38+J38+L38+N38+P38+R38+T38+V38+X38</f>
        <v>-14358</v>
      </c>
      <c r="AA38" s="80">
        <f t="shared" si="33"/>
        <v>0</v>
      </c>
    </row>
    <row r="39">
      <c r="A39" s="52" t="s">
        <v>6</v>
      </c>
      <c r="B39" s="96">
        <f t="shared" ref="B39:Y39" si="34">SUM(B34:B38)</f>
        <v>0</v>
      </c>
      <c r="C39" s="97">
        <f t="shared" si="34"/>
        <v>390</v>
      </c>
      <c r="D39" s="97">
        <f t="shared" si="34"/>
        <v>-2222</v>
      </c>
      <c r="E39" s="97">
        <f t="shared" si="34"/>
        <v>17731</v>
      </c>
      <c r="F39" s="97">
        <f t="shared" si="34"/>
        <v>-18853</v>
      </c>
      <c r="G39" s="97">
        <f t="shared" si="34"/>
        <v>4560</v>
      </c>
      <c r="H39" s="97">
        <f t="shared" si="34"/>
        <v>-12039</v>
      </c>
      <c r="I39" s="97">
        <f t="shared" si="34"/>
        <v>216</v>
      </c>
      <c r="J39" s="97">
        <f t="shared" si="34"/>
        <v>-7327</v>
      </c>
      <c r="K39" s="97">
        <f t="shared" si="34"/>
        <v>0</v>
      </c>
      <c r="L39" s="97">
        <f t="shared" si="34"/>
        <v>-29784</v>
      </c>
      <c r="M39" s="97">
        <f t="shared" si="34"/>
        <v>18236</v>
      </c>
      <c r="N39" s="97">
        <f t="shared" si="34"/>
        <v>-53097</v>
      </c>
      <c r="O39" s="97">
        <f t="shared" si="34"/>
        <v>2505</v>
      </c>
      <c r="P39" s="97">
        <f t="shared" si="34"/>
        <v>-4226</v>
      </c>
      <c r="Q39" s="97">
        <f t="shared" si="34"/>
        <v>1488</v>
      </c>
      <c r="R39" s="97">
        <f t="shared" si="34"/>
        <v>-9158</v>
      </c>
      <c r="S39" s="97">
        <f t="shared" si="34"/>
        <v>22929</v>
      </c>
      <c r="T39" s="97">
        <f t="shared" si="34"/>
        <v>-24425</v>
      </c>
      <c r="U39" s="97">
        <f t="shared" si="34"/>
        <v>21868</v>
      </c>
      <c r="V39" s="97">
        <f t="shared" si="34"/>
        <v>-4572</v>
      </c>
      <c r="W39" s="97">
        <f t="shared" si="34"/>
        <v>19175</v>
      </c>
      <c r="X39" s="97">
        <f t="shared" si="34"/>
        <v>-535</v>
      </c>
      <c r="Y39" s="97">
        <f t="shared" si="34"/>
        <v>7888</v>
      </c>
      <c r="Z39" s="80">
        <f t="shared" ref="Z39:AA39" si="35">B39+D39+F39+H39+J39+L39+N39+P39+R39+T39+V39+X39</f>
        <v>-166238</v>
      </c>
      <c r="AA39" s="80">
        <f t="shared" si="35"/>
        <v>116986</v>
      </c>
    </row>
    <row r="40">
      <c r="A40" s="51"/>
      <c r="B40" s="51"/>
      <c r="C40" s="86"/>
      <c r="D40" s="51"/>
      <c r="E40" s="51"/>
      <c r="F40" s="51"/>
      <c r="G40" s="51"/>
      <c r="H40" s="98"/>
      <c r="I40" s="98"/>
      <c r="J40" s="51"/>
      <c r="K40" s="51"/>
      <c r="L40" s="51"/>
      <c r="M40" s="51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>
      <c r="A41" s="43" t="s">
        <v>39</v>
      </c>
      <c r="B41" s="47">
        <v>-42286.0</v>
      </c>
      <c r="C41" s="94">
        <v>61764.0</v>
      </c>
      <c r="D41" s="47">
        <v>-79146.0</v>
      </c>
      <c r="E41" s="47">
        <v>99590.0</v>
      </c>
      <c r="F41" s="47">
        <v>-166184.0</v>
      </c>
      <c r="G41" s="47">
        <v>150800.0</v>
      </c>
      <c r="H41" s="47">
        <v>-100745.0</v>
      </c>
      <c r="I41" s="47">
        <v>206151.0</v>
      </c>
      <c r="J41" s="47">
        <v>-101306.0</v>
      </c>
      <c r="K41" s="47">
        <v>108581.0</v>
      </c>
      <c r="L41" s="47">
        <v>-48191.0</v>
      </c>
      <c r="M41" s="47">
        <v>68966.0</v>
      </c>
      <c r="N41" s="46">
        <v>-77611.0</v>
      </c>
      <c r="O41" s="46">
        <v>91691.0</v>
      </c>
      <c r="P41" s="46">
        <v>-71855.0</v>
      </c>
      <c r="Q41" s="46">
        <v>62709.0</v>
      </c>
      <c r="R41" s="46">
        <v>-113406.0</v>
      </c>
      <c r="S41" s="46">
        <v>189905.0</v>
      </c>
      <c r="T41" s="46">
        <v>-76644.0</v>
      </c>
      <c r="U41" s="46">
        <v>216887.0</v>
      </c>
      <c r="V41" s="46">
        <v>-179085.0</v>
      </c>
      <c r="W41" s="46">
        <v>210130.0</v>
      </c>
      <c r="X41" s="46">
        <v>-122097.0</v>
      </c>
      <c r="Y41" s="46">
        <v>327907.0</v>
      </c>
      <c r="Z41" s="45">
        <f t="shared" ref="Z41:AA41" si="36">B41+D41+F41+H41+J41+L41+N41+P41+R41+T41+V41+X41</f>
        <v>-1178556</v>
      </c>
      <c r="AA41" s="80">
        <f t="shared" si="36"/>
        <v>1795081</v>
      </c>
    </row>
    <row r="42">
      <c r="A42" s="43" t="s">
        <v>116</v>
      </c>
      <c r="B42" s="47">
        <v>0.0</v>
      </c>
      <c r="C42" s="94">
        <v>0.0</v>
      </c>
      <c r="D42" s="47">
        <v>0.0</v>
      </c>
      <c r="E42" s="47">
        <v>0.0</v>
      </c>
      <c r="F42" s="47">
        <v>0.0</v>
      </c>
      <c r="G42" s="47">
        <v>0.0</v>
      </c>
      <c r="H42" s="47">
        <v>0.0</v>
      </c>
      <c r="I42" s="47">
        <v>0.0</v>
      </c>
      <c r="J42" s="47">
        <v>0.0</v>
      </c>
      <c r="K42" s="47">
        <v>0.0</v>
      </c>
      <c r="L42" s="47">
        <v>0.0</v>
      </c>
      <c r="M42" s="47">
        <v>0.0</v>
      </c>
      <c r="N42" s="46">
        <v>0.0</v>
      </c>
      <c r="O42" s="46">
        <v>0.0</v>
      </c>
      <c r="P42" s="46">
        <v>0.0</v>
      </c>
      <c r="Q42" s="46">
        <v>0.0</v>
      </c>
      <c r="R42" s="46">
        <v>0.0</v>
      </c>
      <c r="S42" s="46">
        <v>0.0</v>
      </c>
      <c r="T42" s="46">
        <v>0.0</v>
      </c>
      <c r="U42" s="46">
        <v>0.0</v>
      </c>
      <c r="V42" s="46">
        <v>0.0</v>
      </c>
      <c r="W42" s="46">
        <v>0.0</v>
      </c>
      <c r="X42" s="46"/>
      <c r="Y42" s="46"/>
      <c r="Z42" s="45">
        <f t="shared" ref="Z42:AA42" si="37">B42+D42+F42+H42+J42+L42+N42+P42+R42+T42+V42+X42</f>
        <v>0</v>
      </c>
      <c r="AA42" s="80">
        <f t="shared" si="37"/>
        <v>0</v>
      </c>
    </row>
    <row r="43">
      <c r="A43" s="52" t="s">
        <v>6</v>
      </c>
      <c r="B43" s="47">
        <f t="shared" ref="B43:Y43" si="38">SUM(B41:B42)</f>
        <v>-42286</v>
      </c>
      <c r="C43" s="94">
        <f t="shared" si="38"/>
        <v>61764</v>
      </c>
      <c r="D43" s="94">
        <f t="shared" si="38"/>
        <v>-79146</v>
      </c>
      <c r="E43" s="94">
        <f t="shared" si="38"/>
        <v>99590</v>
      </c>
      <c r="F43" s="94">
        <f t="shared" si="38"/>
        <v>-166184</v>
      </c>
      <c r="G43" s="94">
        <f t="shared" si="38"/>
        <v>150800</v>
      </c>
      <c r="H43" s="94">
        <f t="shared" si="38"/>
        <v>-100745</v>
      </c>
      <c r="I43" s="94">
        <f t="shared" si="38"/>
        <v>206151</v>
      </c>
      <c r="J43" s="94">
        <f t="shared" si="38"/>
        <v>-101306</v>
      </c>
      <c r="K43" s="94">
        <f t="shared" si="38"/>
        <v>108581</v>
      </c>
      <c r="L43" s="94">
        <f t="shared" si="38"/>
        <v>-48191</v>
      </c>
      <c r="M43" s="94">
        <f t="shared" si="38"/>
        <v>68966</v>
      </c>
      <c r="N43" s="94">
        <f t="shared" si="38"/>
        <v>-77611</v>
      </c>
      <c r="O43" s="94">
        <f t="shared" si="38"/>
        <v>91691</v>
      </c>
      <c r="P43" s="94">
        <f t="shared" si="38"/>
        <v>-71855</v>
      </c>
      <c r="Q43" s="94">
        <f t="shared" si="38"/>
        <v>62709</v>
      </c>
      <c r="R43" s="94">
        <f t="shared" si="38"/>
        <v>-113406</v>
      </c>
      <c r="S43" s="94">
        <f t="shared" si="38"/>
        <v>189905</v>
      </c>
      <c r="T43" s="94">
        <f t="shared" si="38"/>
        <v>-76644</v>
      </c>
      <c r="U43" s="94">
        <f t="shared" si="38"/>
        <v>216887</v>
      </c>
      <c r="V43" s="94">
        <f t="shared" si="38"/>
        <v>-179085</v>
      </c>
      <c r="W43" s="94">
        <f t="shared" si="38"/>
        <v>210130</v>
      </c>
      <c r="X43" s="94">
        <f t="shared" si="38"/>
        <v>-122097</v>
      </c>
      <c r="Y43" s="94">
        <f t="shared" si="38"/>
        <v>327907</v>
      </c>
      <c r="Z43" s="80">
        <f t="shared" ref="Z43:AA43" si="39">B43+D43+F43+H43+J43+L43+N43+P43+R43+T43+V43+X43</f>
        <v>-1178556</v>
      </c>
      <c r="AA43" s="80">
        <f t="shared" si="39"/>
        <v>1795081</v>
      </c>
    </row>
    <row r="44">
      <c r="A44" s="43"/>
      <c r="B44" s="47"/>
      <c r="C44" s="94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>
      <c r="A45" s="43" t="s">
        <v>21</v>
      </c>
      <c r="B45" s="47">
        <v>0.0</v>
      </c>
      <c r="C45" s="94">
        <v>0.0</v>
      </c>
      <c r="D45" s="47">
        <v>0.0</v>
      </c>
      <c r="E45" s="47">
        <v>0.0</v>
      </c>
      <c r="F45" s="47">
        <v>0.0</v>
      </c>
      <c r="G45" s="47">
        <v>0.0</v>
      </c>
      <c r="H45" s="47">
        <v>0.0</v>
      </c>
      <c r="I45" s="47">
        <v>30960.0</v>
      </c>
      <c r="J45" s="47">
        <v>0.0</v>
      </c>
      <c r="K45" s="47">
        <v>51600.0</v>
      </c>
      <c r="L45" s="47">
        <v>0.0</v>
      </c>
      <c r="M45" s="47">
        <v>116502.0</v>
      </c>
      <c r="N45" s="46">
        <v>0.0</v>
      </c>
      <c r="O45" s="46">
        <v>77200.0</v>
      </c>
      <c r="P45" s="46">
        <v>0.0</v>
      </c>
      <c r="Q45" s="46">
        <v>57600.0</v>
      </c>
      <c r="R45" s="46">
        <v>0.0</v>
      </c>
      <c r="S45" s="46">
        <v>60000.0</v>
      </c>
      <c r="T45" s="46">
        <v>0.0</v>
      </c>
      <c r="U45" s="46">
        <v>57000.0</v>
      </c>
      <c r="V45" s="46">
        <v>0.0</v>
      </c>
      <c r="W45" s="46">
        <v>130800.0</v>
      </c>
      <c r="X45" s="46">
        <v>0.0</v>
      </c>
      <c r="Y45" s="46">
        <v>172200.0</v>
      </c>
      <c r="Z45" s="45">
        <f t="shared" ref="Z45:AA45" si="40">B45+D45+F45+H45+J45+L45+N45+P45+R45+T45+V45+X45</f>
        <v>0</v>
      </c>
      <c r="AA45" s="80">
        <f t="shared" si="40"/>
        <v>753862</v>
      </c>
    </row>
    <row r="46">
      <c r="A46" s="43"/>
      <c r="B46" s="47"/>
      <c r="C46" s="94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>
      <c r="A47" s="52" t="s">
        <v>6</v>
      </c>
      <c r="B47" s="47">
        <f t="shared" ref="B47:Y47" si="41">SUM(B45:B46)</f>
        <v>0</v>
      </c>
      <c r="C47" s="94">
        <f t="shared" si="41"/>
        <v>0</v>
      </c>
      <c r="D47" s="94">
        <f t="shared" si="41"/>
        <v>0</v>
      </c>
      <c r="E47" s="94">
        <f t="shared" si="41"/>
        <v>0</v>
      </c>
      <c r="F47" s="94">
        <f t="shared" si="41"/>
        <v>0</v>
      </c>
      <c r="G47" s="94">
        <f t="shared" si="41"/>
        <v>0</v>
      </c>
      <c r="H47" s="94">
        <f t="shared" si="41"/>
        <v>0</v>
      </c>
      <c r="I47" s="94">
        <f t="shared" si="41"/>
        <v>30960</v>
      </c>
      <c r="J47" s="94">
        <f t="shared" si="41"/>
        <v>0</v>
      </c>
      <c r="K47" s="94">
        <f t="shared" si="41"/>
        <v>51600</v>
      </c>
      <c r="L47" s="94">
        <f t="shared" si="41"/>
        <v>0</v>
      </c>
      <c r="M47" s="94">
        <f t="shared" si="41"/>
        <v>116502</v>
      </c>
      <c r="N47" s="94">
        <f t="shared" si="41"/>
        <v>0</v>
      </c>
      <c r="O47" s="94">
        <f t="shared" si="41"/>
        <v>77200</v>
      </c>
      <c r="P47" s="94">
        <f t="shared" si="41"/>
        <v>0</v>
      </c>
      <c r="Q47" s="94">
        <f t="shared" si="41"/>
        <v>57600</v>
      </c>
      <c r="R47" s="94">
        <f t="shared" si="41"/>
        <v>0</v>
      </c>
      <c r="S47" s="94">
        <f t="shared" si="41"/>
        <v>60000</v>
      </c>
      <c r="T47" s="94">
        <f t="shared" si="41"/>
        <v>0</v>
      </c>
      <c r="U47" s="94">
        <f t="shared" si="41"/>
        <v>57000</v>
      </c>
      <c r="V47" s="94">
        <f t="shared" si="41"/>
        <v>0</v>
      </c>
      <c r="W47" s="94">
        <f t="shared" si="41"/>
        <v>130800</v>
      </c>
      <c r="X47" s="94">
        <f t="shared" si="41"/>
        <v>0</v>
      </c>
      <c r="Y47" s="94">
        <f t="shared" si="41"/>
        <v>172200</v>
      </c>
      <c r="Z47" s="80">
        <f t="shared" ref="Z47:AA47" si="42">B47+D47+F47+H47+J47+L47+N47+P47+R47+T47+V47+X47</f>
        <v>0</v>
      </c>
      <c r="AA47" s="80">
        <f t="shared" si="42"/>
        <v>753862</v>
      </c>
    </row>
    <row r="48">
      <c r="A48" s="43"/>
      <c r="B48" s="47"/>
      <c r="C48" s="94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>
      <c r="A49" s="43" t="s">
        <v>117</v>
      </c>
      <c r="B49" s="47">
        <v>0.0</v>
      </c>
      <c r="C49" s="94">
        <v>0.0</v>
      </c>
      <c r="D49" s="47">
        <v>0.0</v>
      </c>
      <c r="E49" s="47">
        <v>0.0</v>
      </c>
      <c r="F49" s="47">
        <v>0.0</v>
      </c>
      <c r="G49" s="47">
        <v>0.0</v>
      </c>
      <c r="H49" s="47">
        <v>0.0</v>
      </c>
      <c r="I49" s="47">
        <v>0.0</v>
      </c>
      <c r="J49" s="47">
        <v>0.0</v>
      </c>
      <c r="K49" s="47">
        <v>0.0</v>
      </c>
      <c r="L49" s="47">
        <v>0.0</v>
      </c>
      <c r="M49" s="47">
        <v>0.0</v>
      </c>
      <c r="N49" s="46">
        <v>-1400.0</v>
      </c>
      <c r="O49" s="46">
        <v>0.0</v>
      </c>
      <c r="P49" s="46"/>
      <c r="Q49" s="46"/>
      <c r="R49" s="46">
        <v>0.0</v>
      </c>
      <c r="S49" s="46">
        <v>0.0</v>
      </c>
      <c r="T49" s="46">
        <v>0.0</v>
      </c>
      <c r="U49" s="46">
        <v>0.0</v>
      </c>
      <c r="V49" s="46">
        <v>0.0</v>
      </c>
      <c r="W49" s="46">
        <v>0.0</v>
      </c>
      <c r="X49" s="46">
        <v>0.0</v>
      </c>
      <c r="Y49" s="46">
        <v>0.0</v>
      </c>
      <c r="Z49" s="45">
        <f t="shared" ref="Z49:AA49" si="43">B49+D49+F49+H49+J49+L49+N49+P49+R49+T49+V49</f>
        <v>-1400</v>
      </c>
      <c r="AA49" s="80">
        <f t="shared" si="43"/>
        <v>0</v>
      </c>
    </row>
    <row r="50">
      <c r="A50" s="43" t="s">
        <v>118</v>
      </c>
      <c r="B50" s="47">
        <v>0.0</v>
      </c>
      <c r="C50" s="94">
        <v>0.0</v>
      </c>
      <c r="D50" s="47">
        <v>0.0</v>
      </c>
      <c r="E50" s="47">
        <v>0.0</v>
      </c>
      <c r="F50" s="47">
        <v>0.0</v>
      </c>
      <c r="G50" s="47">
        <v>0.0</v>
      </c>
      <c r="H50" s="47">
        <v>0.0</v>
      </c>
      <c r="I50" s="47">
        <v>0.0</v>
      </c>
      <c r="J50" s="47">
        <v>0.0</v>
      </c>
      <c r="K50" s="47">
        <v>0.0</v>
      </c>
      <c r="L50" s="47">
        <v>0.0</v>
      </c>
      <c r="M50" s="47">
        <v>0.0</v>
      </c>
      <c r="N50" s="46">
        <v>0.0</v>
      </c>
      <c r="O50" s="46">
        <v>0.0</v>
      </c>
      <c r="P50" s="46"/>
      <c r="Q50" s="46"/>
      <c r="R50" s="46">
        <v>0.0</v>
      </c>
      <c r="S50" s="46">
        <v>0.0</v>
      </c>
      <c r="T50" s="46">
        <v>0.0</v>
      </c>
      <c r="U50" s="46">
        <v>0.0</v>
      </c>
      <c r="V50" s="46">
        <v>0.0</v>
      </c>
      <c r="W50" s="46">
        <v>0.0</v>
      </c>
      <c r="X50" s="46">
        <v>0.0</v>
      </c>
      <c r="Y50" s="46">
        <v>0.0</v>
      </c>
      <c r="Z50" s="45">
        <f t="shared" ref="Z50:AA50" si="44">B50+D50+F50+H50+J50+L50+N50+P50+R50+T50+V50</f>
        <v>0</v>
      </c>
      <c r="AA50" s="80">
        <f t="shared" si="44"/>
        <v>0</v>
      </c>
    </row>
    <row r="51">
      <c r="A51" s="95" t="s">
        <v>119</v>
      </c>
      <c r="B51" s="47">
        <v>0.0</v>
      </c>
      <c r="C51" s="94">
        <v>0.0</v>
      </c>
      <c r="D51" s="47">
        <v>0.0</v>
      </c>
      <c r="E51" s="47">
        <v>0.0</v>
      </c>
      <c r="F51" s="47">
        <v>0.0</v>
      </c>
      <c r="G51" s="47">
        <v>0.0</v>
      </c>
      <c r="H51" s="47">
        <v>0.0</v>
      </c>
      <c r="I51" s="47">
        <v>0.0</v>
      </c>
      <c r="J51" s="47">
        <v>0.0</v>
      </c>
      <c r="K51" s="47">
        <v>0.0</v>
      </c>
      <c r="L51" s="47">
        <v>0.0</v>
      </c>
      <c r="M51" s="47">
        <v>0.0</v>
      </c>
      <c r="N51" s="46">
        <v>0.0</v>
      </c>
      <c r="O51" s="46">
        <v>0.0</v>
      </c>
      <c r="P51" s="46"/>
      <c r="Q51" s="46"/>
      <c r="R51" s="46">
        <v>0.0</v>
      </c>
      <c r="S51" s="46">
        <v>0.0</v>
      </c>
      <c r="T51" s="46">
        <v>-12000.0</v>
      </c>
      <c r="U51" s="46">
        <v>0.0</v>
      </c>
      <c r="V51" s="46">
        <v>-2000.0</v>
      </c>
      <c r="W51" s="46">
        <v>0.0</v>
      </c>
      <c r="X51" s="46">
        <v>0.0</v>
      </c>
      <c r="Y51" s="46">
        <v>0.0</v>
      </c>
      <c r="Z51" s="45">
        <f t="shared" ref="Z51:AA51" si="45">B51+D51+F51+H51+J51+L51+N51+P51+R51+T51+V51</f>
        <v>-14000</v>
      </c>
      <c r="AA51" s="80">
        <f t="shared" si="45"/>
        <v>0</v>
      </c>
    </row>
    <row r="52">
      <c r="A52" s="52" t="s">
        <v>6</v>
      </c>
      <c r="B52" s="96">
        <f t="shared" ref="B52:O52" si="46">SUM(B49:B51)</f>
        <v>0</v>
      </c>
      <c r="C52" s="97">
        <f t="shared" si="46"/>
        <v>0</v>
      </c>
      <c r="D52" s="97">
        <f t="shared" si="46"/>
        <v>0</v>
      </c>
      <c r="E52" s="97">
        <f t="shared" si="46"/>
        <v>0</v>
      </c>
      <c r="F52" s="97">
        <f t="shared" si="46"/>
        <v>0</v>
      </c>
      <c r="G52" s="97">
        <f t="shared" si="46"/>
        <v>0</v>
      </c>
      <c r="H52" s="97">
        <f t="shared" si="46"/>
        <v>0</v>
      </c>
      <c r="I52" s="97">
        <f t="shared" si="46"/>
        <v>0</v>
      </c>
      <c r="J52" s="97">
        <f t="shared" si="46"/>
        <v>0</v>
      </c>
      <c r="K52" s="97">
        <f t="shared" si="46"/>
        <v>0</v>
      </c>
      <c r="L52" s="97">
        <f t="shared" si="46"/>
        <v>0</v>
      </c>
      <c r="M52" s="97">
        <f t="shared" si="46"/>
        <v>0</v>
      </c>
      <c r="N52" s="97">
        <f t="shared" si="46"/>
        <v>-1400</v>
      </c>
      <c r="O52" s="97">
        <f t="shared" si="46"/>
        <v>0</v>
      </c>
      <c r="P52" s="46">
        <v>0.0</v>
      </c>
      <c r="Q52" s="46">
        <v>0.0</v>
      </c>
      <c r="R52" s="46">
        <v>0.0</v>
      </c>
      <c r="S52" s="46">
        <v>0.0</v>
      </c>
      <c r="T52" s="97">
        <f>SUM(T49:T51)</f>
        <v>-12000</v>
      </c>
      <c r="U52" s="46">
        <v>0.0</v>
      </c>
      <c r="V52" s="97">
        <f>SUM(V49:V51)</f>
        <v>-2000</v>
      </c>
      <c r="W52" s="46">
        <v>0.0</v>
      </c>
      <c r="X52" s="46">
        <v>0.0</v>
      </c>
      <c r="Y52" s="46">
        <v>0.0</v>
      </c>
      <c r="Z52" s="80">
        <f t="shared" ref="Z52:AA52" si="47">B52+D52+F52+H52+J52+L52+N52+P52+R52+T52+V52</f>
        <v>-15400</v>
      </c>
      <c r="AA52" s="80">
        <f t="shared" si="47"/>
        <v>0</v>
      </c>
    </row>
    <row r="53">
      <c r="A53" s="51"/>
      <c r="B53" s="51"/>
      <c r="C53" s="86"/>
      <c r="D53" s="51"/>
      <c r="E53" s="51"/>
      <c r="F53" s="51"/>
      <c r="G53" s="51"/>
      <c r="H53" s="98"/>
      <c r="I53" s="98"/>
      <c r="J53" s="51"/>
      <c r="K53" s="51"/>
      <c r="L53" s="51"/>
      <c r="M53" s="51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>
      <c r="A54" s="43" t="s">
        <v>64</v>
      </c>
      <c r="B54" s="47">
        <v>-794290.0</v>
      </c>
      <c r="C54" s="94">
        <v>696867.0</v>
      </c>
      <c r="D54" s="47">
        <v>-6169278.0</v>
      </c>
      <c r="E54" s="47">
        <v>1076223.0</v>
      </c>
      <c r="F54" s="47">
        <v>-3283537.0</v>
      </c>
      <c r="G54" s="47">
        <v>2745660.0</v>
      </c>
      <c r="H54" s="47">
        <v>0.0</v>
      </c>
      <c r="I54" s="47">
        <v>0.0</v>
      </c>
      <c r="J54" s="47">
        <v>-541125.0</v>
      </c>
      <c r="K54" s="47">
        <v>897865.0</v>
      </c>
      <c r="L54" s="47">
        <v>-474639.0</v>
      </c>
      <c r="M54" s="47">
        <v>1145793.0</v>
      </c>
      <c r="N54" s="46">
        <v>-848338.0</v>
      </c>
      <c r="O54" s="46">
        <v>288993.0</v>
      </c>
      <c r="P54" s="46">
        <v>-535515.0</v>
      </c>
      <c r="Q54" s="46">
        <v>1067915.0</v>
      </c>
      <c r="R54" s="46">
        <v>-520890.0</v>
      </c>
      <c r="S54" s="46">
        <v>517397.0</v>
      </c>
      <c r="T54" s="46">
        <v>-829324.0</v>
      </c>
      <c r="U54" s="46">
        <v>628681.0</v>
      </c>
      <c r="V54" s="46">
        <f>-991974-2000</f>
        <v>-993974</v>
      </c>
      <c r="W54" s="46">
        <v>532944.0</v>
      </c>
      <c r="X54" s="46">
        <f>-669626-480</f>
        <v>-670106</v>
      </c>
      <c r="Y54" s="46">
        <v>678876.0</v>
      </c>
      <c r="Z54" s="45">
        <f t="shared" ref="Z54:AA54" si="48">B54+D54+F54+H54+J54+L54+N54+P54+R54+T54+V54+X54</f>
        <v>-15661016</v>
      </c>
      <c r="AA54" s="80">
        <f t="shared" si="48"/>
        <v>10277214</v>
      </c>
    </row>
    <row r="55">
      <c r="A55" s="51"/>
      <c r="B55" s="51"/>
      <c r="C55" s="86"/>
      <c r="D55" s="51"/>
      <c r="E55" s="51"/>
      <c r="F55" s="51"/>
      <c r="G55" s="51"/>
      <c r="H55" s="98"/>
      <c r="I55" s="98"/>
      <c r="J55" s="51"/>
      <c r="K55" s="51"/>
      <c r="L55" s="51"/>
      <c r="M55" s="51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>
      <c r="A56" s="52" t="s">
        <v>6</v>
      </c>
      <c r="B56" s="96">
        <f t="shared" ref="B56:Y56" si="49">SUM(B54:B55)</f>
        <v>-794290</v>
      </c>
      <c r="C56" s="97">
        <f t="shared" si="49"/>
        <v>696867</v>
      </c>
      <c r="D56" s="97">
        <f t="shared" si="49"/>
        <v>-6169278</v>
      </c>
      <c r="E56" s="97">
        <f t="shared" si="49"/>
        <v>1076223</v>
      </c>
      <c r="F56" s="97">
        <f t="shared" si="49"/>
        <v>-3283537</v>
      </c>
      <c r="G56" s="97">
        <f t="shared" si="49"/>
        <v>2745660</v>
      </c>
      <c r="H56" s="97">
        <f t="shared" si="49"/>
        <v>0</v>
      </c>
      <c r="I56" s="97">
        <f t="shared" si="49"/>
        <v>0</v>
      </c>
      <c r="J56" s="97">
        <f t="shared" si="49"/>
        <v>-541125</v>
      </c>
      <c r="K56" s="97">
        <f t="shared" si="49"/>
        <v>897865</v>
      </c>
      <c r="L56" s="97">
        <f t="shared" si="49"/>
        <v>-474639</v>
      </c>
      <c r="M56" s="97">
        <f t="shared" si="49"/>
        <v>1145793</v>
      </c>
      <c r="N56" s="97">
        <f t="shared" si="49"/>
        <v>-848338</v>
      </c>
      <c r="O56" s="97">
        <f t="shared" si="49"/>
        <v>288993</v>
      </c>
      <c r="P56" s="97">
        <f t="shared" si="49"/>
        <v>-535515</v>
      </c>
      <c r="Q56" s="97">
        <f t="shared" si="49"/>
        <v>1067915</v>
      </c>
      <c r="R56" s="97">
        <f t="shared" si="49"/>
        <v>-520890</v>
      </c>
      <c r="S56" s="97">
        <f t="shared" si="49"/>
        <v>517397</v>
      </c>
      <c r="T56" s="97">
        <f t="shared" si="49"/>
        <v>-829324</v>
      </c>
      <c r="U56" s="97">
        <f t="shared" si="49"/>
        <v>628681</v>
      </c>
      <c r="V56" s="97">
        <f t="shared" si="49"/>
        <v>-993974</v>
      </c>
      <c r="W56" s="97">
        <f t="shared" si="49"/>
        <v>532944</v>
      </c>
      <c r="X56" s="97">
        <f t="shared" si="49"/>
        <v>-670106</v>
      </c>
      <c r="Y56" s="97">
        <f t="shared" si="49"/>
        <v>678876</v>
      </c>
      <c r="Z56" s="80">
        <f t="shared" ref="Z56:AA56" si="50">B56+D56+F56+H56+J56+L56+N56+P56+R56+T56+V56+X56</f>
        <v>-15661016</v>
      </c>
      <c r="AA56" s="80">
        <f t="shared" si="50"/>
        <v>10277214</v>
      </c>
    </row>
    <row r="57">
      <c r="A57" s="51"/>
      <c r="B57" s="51"/>
      <c r="C57" s="86"/>
      <c r="D57" s="51"/>
      <c r="E57" s="51"/>
      <c r="F57" s="51"/>
      <c r="G57" s="51"/>
      <c r="H57" s="98"/>
      <c r="I57" s="98"/>
      <c r="J57" s="51"/>
      <c r="K57" s="51"/>
      <c r="L57" s="51"/>
      <c r="M57" s="51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>
      <c r="A58" s="50" t="s">
        <v>120</v>
      </c>
      <c r="B58" s="96">
        <f t="shared" ref="B58:Y58" si="51">SUMIF($A$5:$A$56,"TOTAL",B5:B56)</f>
        <v>-3696170</v>
      </c>
      <c r="C58" s="97">
        <f t="shared" si="51"/>
        <v>3559004</v>
      </c>
      <c r="D58" s="97">
        <f t="shared" si="51"/>
        <v>-11838344</v>
      </c>
      <c r="E58" s="97">
        <f t="shared" si="51"/>
        <v>3817407</v>
      </c>
      <c r="F58" s="97">
        <f t="shared" si="51"/>
        <v>-12192111</v>
      </c>
      <c r="G58" s="97">
        <f t="shared" si="51"/>
        <v>5932995</v>
      </c>
      <c r="H58" s="97">
        <f t="shared" si="51"/>
        <v>-6305520.19</v>
      </c>
      <c r="I58" s="97">
        <f t="shared" si="51"/>
        <v>3278168.22</v>
      </c>
      <c r="J58" s="97">
        <f t="shared" si="51"/>
        <v>-2671060</v>
      </c>
      <c r="K58" s="97">
        <f t="shared" si="51"/>
        <v>2829638</v>
      </c>
      <c r="L58" s="97">
        <f t="shared" si="51"/>
        <v>-4622753.62</v>
      </c>
      <c r="M58" s="97">
        <f t="shared" si="51"/>
        <v>8647744</v>
      </c>
      <c r="N58" s="97">
        <f t="shared" si="51"/>
        <v>-5426385</v>
      </c>
      <c r="O58" s="97">
        <f t="shared" si="51"/>
        <v>7864728</v>
      </c>
      <c r="P58" s="97">
        <f t="shared" si="51"/>
        <v>-3329409</v>
      </c>
      <c r="Q58" s="97">
        <f t="shared" si="51"/>
        <v>7683721</v>
      </c>
      <c r="R58" s="97">
        <f t="shared" si="51"/>
        <v>-3914667</v>
      </c>
      <c r="S58" s="97">
        <f t="shared" si="51"/>
        <v>7732277</v>
      </c>
      <c r="T58" s="97">
        <f t="shared" si="51"/>
        <v>-4731153</v>
      </c>
      <c r="U58" s="97">
        <f t="shared" si="51"/>
        <v>9702473</v>
      </c>
      <c r="V58" s="97">
        <f t="shared" si="51"/>
        <v>-5185880</v>
      </c>
      <c r="W58" s="97">
        <f t="shared" si="51"/>
        <v>6682817</v>
      </c>
      <c r="X58" s="97">
        <f t="shared" si="51"/>
        <v>-6658226</v>
      </c>
      <c r="Y58" s="97">
        <f t="shared" si="51"/>
        <v>16705406</v>
      </c>
      <c r="Z58" s="80">
        <f t="shared" ref="Z58:AA58" si="52">B58+D58+F58+H58+J58+L58+N58+P58+R58+T58+V58+X58</f>
        <v>-70571678.81</v>
      </c>
      <c r="AA58" s="80">
        <f t="shared" si="52"/>
        <v>84436378.22</v>
      </c>
    </row>
    <row r="59">
      <c r="A59" s="51"/>
      <c r="B59" s="51"/>
      <c r="C59" s="86"/>
      <c r="D59" s="51"/>
      <c r="E59" s="51"/>
      <c r="F59" s="51"/>
      <c r="G59" s="51"/>
      <c r="H59" s="98"/>
      <c r="I59" s="98"/>
      <c r="J59" s="51"/>
      <c r="K59" s="51"/>
      <c r="L59" s="51"/>
      <c r="M59" s="51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>
      <c r="A60" s="51"/>
      <c r="B60" s="51"/>
      <c r="C60" s="94">
        <f>B58+C58</f>
        <v>-137166</v>
      </c>
      <c r="D60" s="51"/>
      <c r="E60" s="94">
        <f>D58+E58</f>
        <v>-8020937</v>
      </c>
      <c r="F60" s="51"/>
      <c r="G60" s="94">
        <f>F58+G58</f>
        <v>-6259116</v>
      </c>
      <c r="H60" s="98"/>
      <c r="I60" s="94">
        <f>H58+I58</f>
        <v>-3027351.97</v>
      </c>
      <c r="J60" s="51"/>
      <c r="K60" s="94">
        <f>J58+K58</f>
        <v>158578</v>
      </c>
      <c r="L60" s="51"/>
      <c r="M60" s="94">
        <f>L58+M58</f>
        <v>4024990.38</v>
      </c>
      <c r="N60" s="45"/>
      <c r="O60" s="94">
        <f>N58+O58</f>
        <v>2438343</v>
      </c>
      <c r="P60" s="45"/>
      <c r="Q60" s="94">
        <f>P58+Q58</f>
        <v>4354312</v>
      </c>
      <c r="R60" s="45"/>
      <c r="S60" s="94">
        <f>R58+S58</f>
        <v>3817610</v>
      </c>
      <c r="T60" s="45"/>
      <c r="U60" s="94">
        <f>T58+U58</f>
        <v>4971320</v>
      </c>
      <c r="V60" s="45"/>
      <c r="W60" s="94">
        <f>V58+W58</f>
        <v>1496937</v>
      </c>
      <c r="X60" s="45"/>
      <c r="Y60" s="94">
        <f>X58+Y58</f>
        <v>10047180</v>
      </c>
      <c r="Z60" s="45"/>
      <c r="AA60" s="94">
        <f>Z58+AA58</f>
        <v>13864699.41</v>
      </c>
    </row>
    <row r="61">
      <c r="C61" s="78"/>
    </row>
    <row r="62">
      <c r="C62" s="78"/>
    </row>
    <row r="63">
      <c r="C63" s="78"/>
    </row>
    <row r="64">
      <c r="C64" s="78"/>
    </row>
    <row r="65">
      <c r="C65" s="78"/>
    </row>
    <row r="66">
      <c r="C66" s="78"/>
    </row>
    <row r="67">
      <c r="C67" s="78"/>
    </row>
    <row r="68">
      <c r="C68" s="78"/>
    </row>
    <row r="69">
      <c r="C69" s="78"/>
    </row>
    <row r="70">
      <c r="C70" s="78"/>
    </row>
    <row r="71">
      <c r="C71" s="78"/>
    </row>
    <row r="72">
      <c r="C72" s="78"/>
    </row>
    <row r="73">
      <c r="C73" s="78"/>
    </row>
    <row r="74">
      <c r="C74" s="78"/>
    </row>
    <row r="75">
      <c r="C75" s="78"/>
    </row>
    <row r="76">
      <c r="C76" s="78"/>
    </row>
    <row r="77">
      <c r="C77" s="78"/>
    </row>
    <row r="78">
      <c r="C78" s="78"/>
    </row>
    <row r="79">
      <c r="C79" s="78"/>
    </row>
    <row r="80">
      <c r="C80" s="78"/>
    </row>
    <row r="81">
      <c r="C81" s="78"/>
    </row>
    <row r="82">
      <c r="C82" s="78"/>
    </row>
    <row r="83">
      <c r="C83" s="78"/>
    </row>
    <row r="84">
      <c r="C84" s="78"/>
    </row>
    <row r="85">
      <c r="C85" s="78"/>
    </row>
    <row r="86">
      <c r="C86" s="78"/>
    </row>
    <row r="87">
      <c r="C87" s="78"/>
    </row>
    <row r="88">
      <c r="C88" s="78"/>
    </row>
    <row r="89">
      <c r="C89" s="78"/>
    </row>
    <row r="90">
      <c r="C90" s="78"/>
    </row>
    <row r="91">
      <c r="C91" s="78"/>
    </row>
    <row r="92">
      <c r="C92" s="78"/>
    </row>
    <row r="93">
      <c r="C93" s="78"/>
    </row>
    <row r="94">
      <c r="C94" s="78"/>
    </row>
    <row r="95">
      <c r="C95" s="78"/>
    </row>
    <row r="96">
      <c r="C96" s="78"/>
    </row>
    <row r="97">
      <c r="C97" s="78"/>
    </row>
    <row r="98">
      <c r="C98" s="78"/>
    </row>
    <row r="99">
      <c r="C99" s="78"/>
    </row>
    <row r="100">
      <c r="C100" s="78"/>
    </row>
    <row r="101">
      <c r="C101" s="78"/>
    </row>
    <row r="102">
      <c r="C102" s="78"/>
    </row>
    <row r="103">
      <c r="C103" s="78"/>
    </row>
    <row r="104">
      <c r="C104" s="78"/>
    </row>
    <row r="105">
      <c r="C105" s="78"/>
    </row>
    <row r="106">
      <c r="C106" s="78"/>
    </row>
    <row r="107">
      <c r="C107" s="78"/>
    </row>
    <row r="108">
      <c r="C108" s="78"/>
    </row>
    <row r="109">
      <c r="C109" s="78"/>
    </row>
    <row r="110">
      <c r="C110" s="78"/>
    </row>
    <row r="111">
      <c r="C111" s="78"/>
    </row>
    <row r="112">
      <c r="C112" s="78"/>
    </row>
    <row r="113">
      <c r="C113" s="78"/>
    </row>
    <row r="114">
      <c r="C114" s="78"/>
    </row>
    <row r="115">
      <c r="C115" s="78"/>
    </row>
    <row r="116">
      <c r="C116" s="78"/>
    </row>
    <row r="117">
      <c r="C117" s="78"/>
    </row>
    <row r="118">
      <c r="C118" s="78"/>
    </row>
    <row r="119">
      <c r="C119" s="78"/>
    </row>
    <row r="120">
      <c r="C120" s="78"/>
    </row>
    <row r="121">
      <c r="C121" s="78"/>
    </row>
    <row r="122">
      <c r="C122" s="78"/>
    </row>
    <row r="123">
      <c r="C123" s="78"/>
    </row>
    <row r="124">
      <c r="C124" s="78"/>
    </row>
    <row r="125">
      <c r="C125" s="78"/>
    </row>
    <row r="126">
      <c r="C126" s="78"/>
    </row>
    <row r="127">
      <c r="C127" s="78"/>
    </row>
    <row r="128">
      <c r="C128" s="78"/>
    </row>
    <row r="129">
      <c r="C129" s="78"/>
    </row>
    <row r="130">
      <c r="C130" s="78"/>
    </row>
    <row r="131">
      <c r="C131" s="78"/>
    </row>
    <row r="132">
      <c r="C132" s="78"/>
    </row>
    <row r="133">
      <c r="C133" s="78"/>
    </row>
    <row r="134">
      <c r="C134" s="78"/>
    </row>
    <row r="135">
      <c r="C135" s="78"/>
    </row>
    <row r="136">
      <c r="C136" s="78"/>
    </row>
    <row r="137">
      <c r="C137" s="78"/>
    </row>
    <row r="138">
      <c r="C138" s="78"/>
    </row>
    <row r="139">
      <c r="C139" s="78"/>
    </row>
    <row r="140">
      <c r="C140" s="78"/>
    </row>
    <row r="141">
      <c r="C141" s="78"/>
    </row>
    <row r="142">
      <c r="C142" s="78"/>
    </row>
    <row r="143">
      <c r="C143" s="78"/>
    </row>
    <row r="144">
      <c r="C144" s="78"/>
    </row>
    <row r="145">
      <c r="C145" s="78"/>
    </row>
    <row r="146">
      <c r="C146" s="78"/>
    </row>
    <row r="147">
      <c r="C147" s="78"/>
    </row>
    <row r="148">
      <c r="C148" s="78"/>
    </row>
    <row r="149">
      <c r="C149" s="78"/>
    </row>
    <row r="150">
      <c r="C150" s="78"/>
    </row>
    <row r="151">
      <c r="C151" s="78"/>
    </row>
    <row r="152">
      <c r="C152" s="78"/>
    </row>
    <row r="153">
      <c r="C153" s="78"/>
    </row>
    <row r="154">
      <c r="C154" s="78"/>
    </row>
    <row r="155">
      <c r="C155" s="78"/>
    </row>
    <row r="156">
      <c r="C156" s="78"/>
    </row>
    <row r="157">
      <c r="C157" s="78"/>
    </row>
    <row r="158">
      <c r="C158" s="78"/>
    </row>
    <row r="159">
      <c r="C159" s="78"/>
    </row>
    <row r="160">
      <c r="C160" s="78"/>
    </row>
    <row r="161">
      <c r="C161" s="78"/>
    </row>
    <row r="162">
      <c r="C162" s="78"/>
    </row>
    <row r="163">
      <c r="C163" s="78"/>
    </row>
    <row r="164">
      <c r="C164" s="78"/>
    </row>
    <row r="165">
      <c r="C165" s="78"/>
    </row>
    <row r="166">
      <c r="C166" s="78"/>
    </row>
    <row r="167">
      <c r="C167" s="78"/>
    </row>
    <row r="168">
      <c r="C168" s="78"/>
    </row>
    <row r="169">
      <c r="C169" s="78"/>
    </row>
    <row r="170">
      <c r="C170" s="78"/>
    </row>
    <row r="171">
      <c r="C171" s="78"/>
    </row>
    <row r="172">
      <c r="C172" s="78"/>
    </row>
    <row r="173">
      <c r="C173" s="78"/>
    </row>
    <row r="174">
      <c r="C174" s="78"/>
    </row>
    <row r="175">
      <c r="C175" s="78"/>
    </row>
    <row r="176">
      <c r="C176" s="78"/>
    </row>
    <row r="177">
      <c r="C177" s="78"/>
    </row>
    <row r="178">
      <c r="C178" s="78"/>
    </row>
    <row r="179">
      <c r="C179" s="78"/>
    </row>
    <row r="180">
      <c r="C180" s="78"/>
    </row>
    <row r="181">
      <c r="C181" s="78"/>
    </row>
    <row r="182">
      <c r="C182" s="78"/>
    </row>
    <row r="183">
      <c r="C183" s="78"/>
    </row>
    <row r="184">
      <c r="C184" s="78"/>
    </row>
    <row r="185">
      <c r="C185" s="78"/>
    </row>
    <row r="186">
      <c r="C186" s="78"/>
    </row>
    <row r="187">
      <c r="C187" s="78"/>
    </row>
    <row r="188">
      <c r="C188" s="78"/>
    </row>
    <row r="189">
      <c r="C189" s="78"/>
    </row>
    <row r="190">
      <c r="C190" s="78"/>
    </row>
    <row r="191">
      <c r="C191" s="78"/>
    </row>
    <row r="192">
      <c r="C192" s="78"/>
    </row>
    <row r="193">
      <c r="C193" s="78"/>
    </row>
    <row r="194">
      <c r="C194" s="78"/>
    </row>
    <row r="195">
      <c r="C195" s="78"/>
    </row>
    <row r="196">
      <c r="C196" s="78"/>
    </row>
    <row r="197">
      <c r="C197" s="78"/>
    </row>
    <row r="198">
      <c r="C198" s="78"/>
    </row>
    <row r="199">
      <c r="C199" s="78"/>
    </row>
    <row r="200">
      <c r="C200" s="78"/>
    </row>
    <row r="201">
      <c r="C201" s="78"/>
    </row>
    <row r="202">
      <c r="C202" s="78"/>
    </row>
    <row r="203">
      <c r="C203" s="78"/>
    </row>
    <row r="204">
      <c r="C204" s="78"/>
    </row>
    <row r="205">
      <c r="C205" s="78"/>
    </row>
    <row r="206">
      <c r="C206" s="78"/>
    </row>
    <row r="207">
      <c r="C207" s="78"/>
    </row>
    <row r="208">
      <c r="C208" s="78"/>
    </row>
    <row r="209">
      <c r="C209" s="78"/>
    </row>
    <row r="210">
      <c r="C210" s="78"/>
    </row>
    <row r="211">
      <c r="C211" s="78"/>
    </row>
    <row r="212">
      <c r="C212" s="78"/>
    </row>
    <row r="213">
      <c r="C213" s="78"/>
    </row>
    <row r="214">
      <c r="C214" s="78"/>
    </row>
    <row r="215">
      <c r="C215" s="78"/>
    </row>
    <row r="216">
      <c r="C216" s="78"/>
    </row>
    <row r="217">
      <c r="C217" s="78"/>
    </row>
    <row r="218">
      <c r="C218" s="78"/>
    </row>
    <row r="219">
      <c r="C219" s="78"/>
    </row>
    <row r="220">
      <c r="C220" s="78"/>
    </row>
    <row r="221">
      <c r="C221" s="78"/>
    </row>
    <row r="222">
      <c r="C222" s="78"/>
    </row>
    <row r="223">
      <c r="C223" s="78"/>
    </row>
    <row r="224">
      <c r="C224" s="78"/>
    </row>
    <row r="225">
      <c r="C225" s="78"/>
    </row>
    <row r="226">
      <c r="C226" s="78"/>
    </row>
    <row r="227">
      <c r="C227" s="78"/>
    </row>
    <row r="228">
      <c r="C228" s="78"/>
    </row>
    <row r="229">
      <c r="C229" s="78"/>
    </row>
    <row r="230">
      <c r="C230" s="78"/>
    </row>
    <row r="231">
      <c r="C231" s="78"/>
    </row>
    <row r="232">
      <c r="C232" s="78"/>
    </row>
    <row r="233">
      <c r="C233" s="78"/>
    </row>
    <row r="234">
      <c r="C234" s="78"/>
    </row>
    <row r="235">
      <c r="C235" s="78"/>
    </row>
    <row r="236">
      <c r="C236" s="78"/>
    </row>
    <row r="237">
      <c r="C237" s="78"/>
    </row>
    <row r="238">
      <c r="C238" s="78"/>
    </row>
    <row r="239">
      <c r="C239" s="78"/>
    </row>
    <row r="240">
      <c r="C240" s="78"/>
    </row>
    <row r="241">
      <c r="C241" s="78"/>
    </row>
    <row r="242">
      <c r="C242" s="78"/>
    </row>
    <row r="243">
      <c r="C243" s="78"/>
    </row>
    <row r="244">
      <c r="C244" s="78"/>
    </row>
    <row r="245">
      <c r="C245" s="78"/>
    </row>
    <row r="246">
      <c r="C246" s="78"/>
    </row>
    <row r="247">
      <c r="C247" s="78"/>
    </row>
    <row r="248">
      <c r="C248" s="78"/>
    </row>
    <row r="249">
      <c r="C249" s="78"/>
    </row>
    <row r="250">
      <c r="C250" s="78"/>
    </row>
    <row r="251">
      <c r="C251" s="78"/>
    </row>
    <row r="252">
      <c r="C252" s="78"/>
    </row>
    <row r="253">
      <c r="C253" s="78"/>
    </row>
    <row r="254">
      <c r="C254" s="78"/>
    </row>
    <row r="255">
      <c r="C255" s="78"/>
    </row>
    <row r="256">
      <c r="C256" s="78"/>
    </row>
    <row r="257">
      <c r="C257" s="78"/>
    </row>
    <row r="258">
      <c r="C258" s="78"/>
    </row>
    <row r="259">
      <c r="C259" s="78"/>
    </row>
    <row r="260">
      <c r="C260" s="78"/>
    </row>
    <row r="261">
      <c r="C261" s="78"/>
    </row>
    <row r="262">
      <c r="C262" s="78"/>
    </row>
    <row r="263">
      <c r="C263" s="78"/>
    </row>
    <row r="264">
      <c r="C264" s="78"/>
    </row>
    <row r="265">
      <c r="C265" s="78"/>
    </row>
    <row r="266">
      <c r="C266" s="78"/>
    </row>
    <row r="267">
      <c r="C267" s="78"/>
    </row>
    <row r="268">
      <c r="C268" s="78"/>
    </row>
    <row r="269">
      <c r="C269" s="78"/>
    </row>
    <row r="270">
      <c r="C270" s="78"/>
    </row>
    <row r="271">
      <c r="C271" s="78"/>
    </row>
    <row r="272">
      <c r="C272" s="78"/>
    </row>
    <row r="273">
      <c r="C273" s="78"/>
    </row>
    <row r="274">
      <c r="C274" s="78"/>
    </row>
    <row r="275">
      <c r="C275" s="78"/>
    </row>
    <row r="276">
      <c r="C276" s="78"/>
    </row>
    <row r="277">
      <c r="C277" s="78"/>
    </row>
    <row r="278">
      <c r="C278" s="78"/>
    </row>
    <row r="279">
      <c r="C279" s="78"/>
    </row>
    <row r="280">
      <c r="C280" s="78"/>
    </row>
    <row r="281">
      <c r="C281" s="78"/>
    </row>
    <row r="282">
      <c r="C282" s="78"/>
    </row>
    <row r="283">
      <c r="C283" s="78"/>
    </row>
    <row r="284">
      <c r="C284" s="78"/>
    </row>
    <row r="285">
      <c r="C285" s="78"/>
    </row>
    <row r="286">
      <c r="C286" s="78"/>
    </row>
    <row r="287">
      <c r="C287" s="78"/>
    </row>
    <row r="288">
      <c r="C288" s="78"/>
    </row>
    <row r="289">
      <c r="C289" s="78"/>
    </row>
    <row r="290">
      <c r="C290" s="78"/>
    </row>
    <row r="291">
      <c r="C291" s="78"/>
    </row>
    <row r="292">
      <c r="C292" s="78"/>
    </row>
    <row r="293">
      <c r="C293" s="78"/>
    </row>
    <row r="294">
      <c r="C294" s="78"/>
    </row>
    <row r="295">
      <c r="C295" s="78"/>
    </row>
    <row r="296">
      <c r="C296" s="78"/>
    </row>
    <row r="297">
      <c r="C297" s="78"/>
    </row>
    <row r="298">
      <c r="C298" s="78"/>
    </row>
    <row r="299">
      <c r="C299" s="78"/>
    </row>
    <row r="300">
      <c r="C300" s="78"/>
    </row>
    <row r="301">
      <c r="C301" s="78"/>
    </row>
    <row r="302">
      <c r="C302" s="78"/>
    </row>
    <row r="303">
      <c r="C303" s="78"/>
    </row>
    <row r="304">
      <c r="C304" s="78"/>
    </row>
    <row r="305">
      <c r="C305" s="78"/>
    </row>
    <row r="306">
      <c r="C306" s="78"/>
    </row>
    <row r="307">
      <c r="C307" s="78"/>
    </row>
    <row r="308">
      <c r="C308" s="78"/>
    </row>
    <row r="309">
      <c r="C309" s="78"/>
    </row>
    <row r="310">
      <c r="C310" s="78"/>
    </row>
    <row r="311">
      <c r="C311" s="78"/>
    </row>
    <row r="312">
      <c r="C312" s="78"/>
    </row>
    <row r="313">
      <c r="C313" s="78"/>
    </row>
    <row r="314">
      <c r="C314" s="78"/>
    </row>
    <row r="315">
      <c r="C315" s="78"/>
    </row>
    <row r="316">
      <c r="C316" s="78"/>
    </row>
    <row r="317">
      <c r="C317" s="78"/>
    </row>
    <row r="318">
      <c r="C318" s="78"/>
    </row>
    <row r="319">
      <c r="C319" s="78"/>
    </row>
    <row r="320">
      <c r="C320" s="78"/>
    </row>
    <row r="321">
      <c r="C321" s="78"/>
    </row>
    <row r="322">
      <c r="C322" s="78"/>
    </row>
    <row r="323">
      <c r="C323" s="78"/>
    </row>
    <row r="324">
      <c r="C324" s="78"/>
    </row>
    <row r="325">
      <c r="C325" s="78"/>
    </row>
    <row r="326">
      <c r="C326" s="78"/>
    </row>
    <row r="327">
      <c r="C327" s="78"/>
    </row>
    <row r="328">
      <c r="C328" s="78"/>
    </row>
    <row r="329">
      <c r="C329" s="78"/>
    </row>
    <row r="330">
      <c r="C330" s="78"/>
    </row>
    <row r="331">
      <c r="C331" s="78"/>
    </row>
    <row r="332">
      <c r="C332" s="78"/>
    </row>
    <row r="333">
      <c r="C333" s="78"/>
    </row>
    <row r="334">
      <c r="C334" s="78"/>
    </row>
    <row r="335">
      <c r="C335" s="78"/>
    </row>
    <row r="336">
      <c r="C336" s="78"/>
    </row>
    <row r="337">
      <c r="C337" s="78"/>
    </row>
    <row r="338">
      <c r="C338" s="78"/>
    </row>
    <row r="339">
      <c r="C339" s="78"/>
    </row>
    <row r="340">
      <c r="C340" s="78"/>
    </row>
    <row r="341">
      <c r="C341" s="78"/>
    </row>
    <row r="342">
      <c r="C342" s="78"/>
    </row>
    <row r="343">
      <c r="C343" s="78"/>
    </row>
    <row r="344">
      <c r="C344" s="78"/>
    </row>
    <row r="345">
      <c r="C345" s="78"/>
    </row>
    <row r="346">
      <c r="C346" s="78"/>
    </row>
    <row r="347">
      <c r="C347" s="78"/>
    </row>
    <row r="348">
      <c r="C348" s="78"/>
    </row>
    <row r="349">
      <c r="C349" s="78"/>
    </row>
    <row r="350">
      <c r="C350" s="78"/>
    </row>
    <row r="351">
      <c r="C351" s="78"/>
    </row>
    <row r="352">
      <c r="C352" s="78"/>
    </row>
    <row r="353">
      <c r="C353" s="78"/>
    </row>
    <row r="354">
      <c r="C354" s="78"/>
    </row>
    <row r="355">
      <c r="C355" s="78"/>
    </row>
    <row r="356">
      <c r="C356" s="78"/>
    </row>
    <row r="357">
      <c r="C357" s="78"/>
    </row>
    <row r="358">
      <c r="C358" s="78"/>
    </row>
    <row r="359">
      <c r="C359" s="78"/>
    </row>
    <row r="360">
      <c r="C360" s="78"/>
    </row>
    <row r="361">
      <c r="C361" s="78"/>
    </row>
    <row r="362">
      <c r="C362" s="78"/>
    </row>
    <row r="363">
      <c r="C363" s="78"/>
    </row>
    <row r="364">
      <c r="C364" s="78"/>
    </row>
    <row r="365">
      <c r="C365" s="78"/>
    </row>
    <row r="366">
      <c r="C366" s="78"/>
    </row>
    <row r="367">
      <c r="C367" s="78"/>
    </row>
    <row r="368">
      <c r="C368" s="78"/>
    </row>
    <row r="369">
      <c r="C369" s="78"/>
    </row>
    <row r="370">
      <c r="C370" s="78"/>
    </row>
    <row r="371">
      <c r="C371" s="78"/>
    </row>
    <row r="372">
      <c r="C372" s="78"/>
    </row>
    <row r="373">
      <c r="C373" s="78"/>
    </row>
    <row r="374">
      <c r="C374" s="78"/>
    </row>
    <row r="375">
      <c r="C375" s="78"/>
    </row>
    <row r="376">
      <c r="C376" s="78"/>
    </row>
    <row r="377">
      <c r="C377" s="78"/>
    </row>
    <row r="378">
      <c r="C378" s="78"/>
    </row>
    <row r="379">
      <c r="C379" s="78"/>
    </row>
    <row r="380">
      <c r="C380" s="78"/>
    </row>
    <row r="381">
      <c r="C381" s="78"/>
    </row>
    <row r="382">
      <c r="C382" s="78"/>
    </row>
    <row r="383">
      <c r="C383" s="78"/>
    </row>
    <row r="384">
      <c r="C384" s="78"/>
    </row>
    <row r="385">
      <c r="C385" s="78"/>
    </row>
    <row r="386">
      <c r="C386" s="78"/>
    </row>
    <row r="387">
      <c r="C387" s="78"/>
    </row>
    <row r="388">
      <c r="C388" s="78"/>
    </row>
    <row r="389">
      <c r="C389" s="78"/>
    </row>
    <row r="390">
      <c r="C390" s="78"/>
    </row>
    <row r="391">
      <c r="C391" s="78"/>
    </row>
    <row r="392">
      <c r="C392" s="78"/>
    </row>
    <row r="393">
      <c r="C393" s="78"/>
    </row>
    <row r="394">
      <c r="C394" s="78"/>
    </row>
    <row r="395">
      <c r="C395" s="78"/>
    </row>
    <row r="396">
      <c r="C396" s="78"/>
    </row>
    <row r="397">
      <c r="C397" s="78"/>
    </row>
    <row r="398">
      <c r="C398" s="78"/>
    </row>
    <row r="399">
      <c r="C399" s="78"/>
    </row>
    <row r="400">
      <c r="C400" s="78"/>
    </row>
    <row r="401">
      <c r="C401" s="78"/>
    </row>
    <row r="402">
      <c r="C402" s="78"/>
    </row>
    <row r="403">
      <c r="C403" s="78"/>
    </row>
    <row r="404">
      <c r="C404" s="78"/>
    </row>
    <row r="405">
      <c r="C405" s="78"/>
    </row>
    <row r="406">
      <c r="C406" s="78"/>
    </row>
    <row r="407">
      <c r="C407" s="78"/>
    </row>
    <row r="408">
      <c r="C408" s="78"/>
    </row>
    <row r="409">
      <c r="C409" s="78"/>
    </row>
    <row r="410">
      <c r="C410" s="78"/>
    </row>
    <row r="411">
      <c r="C411" s="78"/>
    </row>
    <row r="412">
      <c r="C412" s="78"/>
    </row>
    <row r="413">
      <c r="C413" s="78"/>
    </row>
    <row r="414">
      <c r="C414" s="78"/>
    </row>
    <row r="415">
      <c r="C415" s="78"/>
    </row>
    <row r="416">
      <c r="C416" s="78"/>
    </row>
    <row r="417">
      <c r="C417" s="78"/>
    </row>
    <row r="418">
      <c r="C418" s="78"/>
    </row>
    <row r="419">
      <c r="C419" s="78"/>
    </row>
    <row r="420">
      <c r="C420" s="78"/>
    </row>
    <row r="421">
      <c r="C421" s="78"/>
    </row>
    <row r="422">
      <c r="C422" s="78"/>
    </row>
    <row r="423">
      <c r="C423" s="78"/>
    </row>
    <row r="424">
      <c r="C424" s="78"/>
    </row>
    <row r="425">
      <c r="C425" s="78"/>
    </row>
    <row r="426">
      <c r="C426" s="78"/>
    </row>
    <row r="427">
      <c r="C427" s="78"/>
    </row>
    <row r="428">
      <c r="C428" s="78"/>
    </row>
    <row r="429">
      <c r="C429" s="78"/>
    </row>
    <row r="430">
      <c r="C430" s="78"/>
    </row>
    <row r="431">
      <c r="C431" s="78"/>
    </row>
    <row r="432">
      <c r="C432" s="78"/>
    </row>
    <row r="433">
      <c r="C433" s="78"/>
    </row>
    <row r="434">
      <c r="C434" s="78"/>
    </row>
    <row r="435">
      <c r="C435" s="78"/>
    </row>
    <row r="436">
      <c r="C436" s="78"/>
    </row>
    <row r="437">
      <c r="C437" s="78"/>
    </row>
    <row r="438">
      <c r="C438" s="78"/>
    </row>
    <row r="439">
      <c r="C439" s="78"/>
    </row>
    <row r="440">
      <c r="C440" s="78"/>
    </row>
    <row r="441">
      <c r="C441" s="78"/>
    </row>
    <row r="442">
      <c r="C442" s="78"/>
    </row>
    <row r="443">
      <c r="C443" s="78"/>
    </row>
    <row r="444">
      <c r="C444" s="78"/>
    </row>
    <row r="445">
      <c r="C445" s="78"/>
    </row>
    <row r="446">
      <c r="C446" s="78"/>
    </row>
    <row r="447">
      <c r="C447" s="78"/>
    </row>
    <row r="448">
      <c r="C448" s="78"/>
    </row>
    <row r="449">
      <c r="C449" s="78"/>
    </row>
    <row r="450">
      <c r="C450" s="78"/>
    </row>
    <row r="451">
      <c r="C451" s="78"/>
    </row>
    <row r="452">
      <c r="C452" s="78"/>
    </row>
    <row r="453">
      <c r="C453" s="78"/>
    </row>
    <row r="454">
      <c r="C454" s="78"/>
    </row>
    <row r="455">
      <c r="C455" s="78"/>
    </row>
    <row r="456">
      <c r="C456" s="78"/>
    </row>
    <row r="457">
      <c r="C457" s="78"/>
    </row>
    <row r="458">
      <c r="C458" s="78"/>
    </row>
    <row r="459">
      <c r="C459" s="78"/>
    </row>
    <row r="460">
      <c r="C460" s="78"/>
    </row>
    <row r="461">
      <c r="C461" s="78"/>
    </row>
    <row r="462">
      <c r="C462" s="78"/>
    </row>
    <row r="463">
      <c r="C463" s="78"/>
    </row>
    <row r="464">
      <c r="C464" s="78"/>
    </row>
    <row r="465">
      <c r="C465" s="78"/>
    </row>
    <row r="466">
      <c r="C466" s="78"/>
    </row>
    <row r="467">
      <c r="C467" s="78"/>
    </row>
    <row r="468">
      <c r="C468" s="78"/>
    </row>
    <row r="469">
      <c r="C469" s="78"/>
    </row>
    <row r="470">
      <c r="C470" s="78"/>
    </row>
    <row r="471">
      <c r="C471" s="78"/>
    </row>
    <row r="472">
      <c r="C472" s="78"/>
    </row>
    <row r="473">
      <c r="C473" s="78"/>
    </row>
    <row r="474">
      <c r="C474" s="78"/>
    </row>
    <row r="475">
      <c r="C475" s="78"/>
    </row>
    <row r="476">
      <c r="C476" s="78"/>
    </row>
    <row r="477">
      <c r="C477" s="78"/>
    </row>
    <row r="478">
      <c r="C478" s="78"/>
    </row>
    <row r="479">
      <c r="C479" s="78"/>
    </row>
    <row r="480">
      <c r="C480" s="78"/>
    </row>
    <row r="481">
      <c r="C481" s="78"/>
    </row>
    <row r="482">
      <c r="C482" s="78"/>
    </row>
    <row r="483">
      <c r="C483" s="78"/>
    </row>
    <row r="484">
      <c r="C484" s="78"/>
    </row>
    <row r="485">
      <c r="C485" s="78"/>
    </row>
    <row r="486">
      <c r="C486" s="78"/>
    </row>
    <row r="487">
      <c r="C487" s="78"/>
    </row>
    <row r="488">
      <c r="C488" s="78"/>
    </row>
    <row r="489">
      <c r="C489" s="78"/>
    </row>
    <row r="490">
      <c r="C490" s="78"/>
    </row>
    <row r="491">
      <c r="C491" s="78"/>
    </row>
    <row r="492">
      <c r="C492" s="78"/>
    </row>
    <row r="493">
      <c r="C493" s="78"/>
    </row>
    <row r="494">
      <c r="C494" s="78"/>
    </row>
    <row r="495">
      <c r="C495" s="78"/>
    </row>
    <row r="496">
      <c r="C496" s="78"/>
    </row>
    <row r="497">
      <c r="C497" s="78"/>
    </row>
    <row r="498">
      <c r="C498" s="78"/>
    </row>
    <row r="499">
      <c r="C499" s="78"/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72">
      <c r="C672" s="78"/>
    </row>
    <row r="673">
      <c r="C673" s="78"/>
    </row>
    <row r="674">
      <c r="C674" s="78"/>
    </row>
    <row r="675">
      <c r="C675" s="78"/>
    </row>
    <row r="676">
      <c r="C676" s="78"/>
    </row>
    <row r="677">
      <c r="C677" s="78"/>
    </row>
    <row r="678">
      <c r="C678" s="78"/>
    </row>
    <row r="679">
      <c r="C679" s="78"/>
    </row>
    <row r="680">
      <c r="C680" s="78"/>
    </row>
    <row r="681">
      <c r="C681" s="78"/>
    </row>
    <row r="682">
      <c r="C682" s="78"/>
    </row>
    <row r="683">
      <c r="C683" s="78"/>
    </row>
    <row r="684">
      <c r="C684" s="78"/>
    </row>
    <row r="685">
      <c r="C685" s="78"/>
    </row>
    <row r="686">
      <c r="C686" s="78"/>
    </row>
    <row r="687">
      <c r="C687" s="78"/>
    </row>
    <row r="688">
      <c r="C688" s="78"/>
    </row>
    <row r="689">
      <c r="C689" s="78"/>
    </row>
    <row r="690">
      <c r="C690" s="78"/>
    </row>
    <row r="691">
      <c r="C691" s="78"/>
    </row>
    <row r="692">
      <c r="C692" s="78"/>
    </row>
    <row r="693">
      <c r="C693" s="78"/>
    </row>
    <row r="694">
      <c r="C694" s="78"/>
    </row>
    <row r="695">
      <c r="C695" s="78"/>
    </row>
    <row r="696">
      <c r="C696" s="78"/>
    </row>
    <row r="697">
      <c r="C697" s="78"/>
    </row>
    <row r="698">
      <c r="C698" s="78"/>
    </row>
    <row r="699">
      <c r="C699" s="78"/>
    </row>
    <row r="700">
      <c r="C700" s="78"/>
    </row>
    <row r="701">
      <c r="C701" s="78"/>
    </row>
    <row r="702">
      <c r="C702" s="78"/>
    </row>
    <row r="703">
      <c r="C703" s="78"/>
    </row>
    <row r="704">
      <c r="C704" s="78"/>
    </row>
    <row r="705">
      <c r="C705" s="78"/>
    </row>
    <row r="706">
      <c r="C706" s="78"/>
    </row>
    <row r="707">
      <c r="C707" s="78"/>
    </row>
    <row r="708">
      <c r="C708" s="78"/>
    </row>
    <row r="709">
      <c r="C709" s="78"/>
    </row>
    <row r="710">
      <c r="C710" s="78"/>
    </row>
    <row r="711">
      <c r="C711" s="78"/>
    </row>
    <row r="712">
      <c r="C712" s="78"/>
    </row>
    <row r="713">
      <c r="C713" s="78"/>
    </row>
    <row r="714">
      <c r="C714" s="78"/>
    </row>
    <row r="715">
      <c r="C715" s="78"/>
    </row>
    <row r="716">
      <c r="C716" s="78"/>
    </row>
    <row r="717">
      <c r="C717" s="78"/>
    </row>
    <row r="718">
      <c r="C718" s="78"/>
    </row>
    <row r="719">
      <c r="C719" s="78"/>
    </row>
    <row r="720">
      <c r="C720" s="78"/>
    </row>
    <row r="721">
      <c r="C721" s="78"/>
    </row>
    <row r="722">
      <c r="C722" s="78"/>
    </row>
    <row r="723">
      <c r="C723" s="78"/>
    </row>
    <row r="724">
      <c r="C724" s="78"/>
    </row>
    <row r="725">
      <c r="C725" s="78"/>
    </row>
    <row r="726">
      <c r="C726" s="78"/>
    </row>
    <row r="727">
      <c r="C727" s="78"/>
    </row>
    <row r="728">
      <c r="C728" s="78"/>
    </row>
    <row r="729">
      <c r="C729" s="78"/>
    </row>
    <row r="730">
      <c r="C730" s="78"/>
    </row>
    <row r="731">
      <c r="C731" s="78"/>
    </row>
    <row r="732">
      <c r="C732" s="78"/>
    </row>
    <row r="733">
      <c r="C733" s="78"/>
    </row>
    <row r="734">
      <c r="C734" s="78"/>
    </row>
    <row r="735">
      <c r="C735" s="78"/>
    </row>
    <row r="736">
      <c r="C736" s="78"/>
    </row>
    <row r="737">
      <c r="C737" s="78"/>
    </row>
    <row r="738">
      <c r="C738" s="78"/>
    </row>
    <row r="739">
      <c r="C739" s="78"/>
    </row>
    <row r="740">
      <c r="C740" s="78"/>
    </row>
    <row r="741">
      <c r="C741" s="78"/>
    </row>
    <row r="742">
      <c r="C742" s="78"/>
    </row>
    <row r="743">
      <c r="C743" s="78"/>
    </row>
    <row r="744">
      <c r="C744" s="78"/>
    </row>
    <row r="745">
      <c r="C745" s="78"/>
    </row>
    <row r="746">
      <c r="C746" s="78"/>
    </row>
    <row r="747">
      <c r="C747" s="78"/>
    </row>
    <row r="748">
      <c r="C748" s="78"/>
    </row>
    <row r="749">
      <c r="C749" s="78"/>
    </row>
    <row r="750">
      <c r="C750" s="78"/>
    </row>
    <row r="751">
      <c r="C751" s="78"/>
    </row>
    <row r="752">
      <c r="C752" s="78"/>
    </row>
    <row r="753">
      <c r="C753" s="78"/>
    </row>
    <row r="754">
      <c r="C754" s="78"/>
    </row>
    <row r="755">
      <c r="C755" s="78"/>
    </row>
    <row r="756">
      <c r="C756" s="78"/>
    </row>
    <row r="757">
      <c r="C757" s="78"/>
    </row>
    <row r="758">
      <c r="C758" s="78"/>
    </row>
    <row r="759">
      <c r="C759" s="78"/>
    </row>
    <row r="760">
      <c r="C760" s="78"/>
    </row>
    <row r="761">
      <c r="C761" s="78"/>
    </row>
    <row r="762">
      <c r="C762" s="78"/>
    </row>
    <row r="763">
      <c r="C763" s="78"/>
    </row>
    <row r="764">
      <c r="C764" s="78"/>
    </row>
    <row r="765">
      <c r="C765" s="78"/>
    </row>
    <row r="766">
      <c r="C766" s="78"/>
    </row>
    <row r="767">
      <c r="C767" s="78"/>
    </row>
    <row r="768">
      <c r="C768" s="78"/>
    </row>
    <row r="769">
      <c r="C769" s="78"/>
    </row>
    <row r="770">
      <c r="C770" s="78"/>
    </row>
    <row r="771">
      <c r="C771" s="78"/>
    </row>
    <row r="772">
      <c r="C772" s="78"/>
    </row>
    <row r="773">
      <c r="C773" s="78"/>
    </row>
    <row r="774">
      <c r="C774" s="78"/>
    </row>
    <row r="775">
      <c r="C775" s="78"/>
    </row>
    <row r="776">
      <c r="C776" s="78"/>
    </row>
    <row r="777">
      <c r="C777" s="78"/>
    </row>
    <row r="778">
      <c r="C778" s="78"/>
    </row>
    <row r="779">
      <c r="C779" s="78"/>
    </row>
    <row r="780">
      <c r="C780" s="78"/>
    </row>
    <row r="781">
      <c r="C781" s="78"/>
    </row>
    <row r="782">
      <c r="C782" s="78"/>
    </row>
    <row r="783">
      <c r="C783" s="78"/>
    </row>
    <row r="784">
      <c r="C784" s="78"/>
    </row>
    <row r="785">
      <c r="C785" s="78"/>
    </row>
    <row r="786">
      <c r="C786" s="78"/>
    </row>
    <row r="787">
      <c r="C787" s="78"/>
    </row>
    <row r="788">
      <c r="C788" s="78"/>
    </row>
    <row r="789">
      <c r="C789" s="78"/>
    </row>
    <row r="790">
      <c r="C790" s="78"/>
    </row>
    <row r="791">
      <c r="C791" s="78"/>
    </row>
    <row r="792">
      <c r="C792" s="78"/>
    </row>
    <row r="793">
      <c r="C793" s="78"/>
    </row>
    <row r="794">
      <c r="C794" s="78"/>
    </row>
    <row r="795">
      <c r="C795" s="78"/>
    </row>
    <row r="796">
      <c r="C796" s="78"/>
    </row>
    <row r="797">
      <c r="C797" s="78"/>
    </row>
    <row r="798">
      <c r="C798" s="78"/>
    </row>
    <row r="799">
      <c r="C799" s="78"/>
    </row>
    <row r="800">
      <c r="C800" s="78"/>
    </row>
    <row r="801">
      <c r="C801" s="78"/>
    </row>
    <row r="802">
      <c r="C802" s="78"/>
    </row>
    <row r="803">
      <c r="C803" s="78"/>
    </row>
    <row r="804">
      <c r="C804" s="78"/>
    </row>
    <row r="805">
      <c r="C805" s="78"/>
    </row>
    <row r="806">
      <c r="C806" s="78"/>
    </row>
    <row r="807">
      <c r="C807" s="78"/>
    </row>
    <row r="808">
      <c r="C808" s="78"/>
    </row>
    <row r="809">
      <c r="C809" s="78"/>
    </row>
    <row r="810">
      <c r="C810" s="78"/>
    </row>
    <row r="811">
      <c r="C811" s="78"/>
    </row>
    <row r="812">
      <c r="C812" s="78"/>
    </row>
    <row r="813">
      <c r="C813" s="78"/>
    </row>
    <row r="814">
      <c r="C814" s="78"/>
    </row>
    <row r="815">
      <c r="C815" s="78"/>
    </row>
    <row r="816">
      <c r="C816" s="78"/>
    </row>
    <row r="817">
      <c r="C817" s="78"/>
    </row>
    <row r="818">
      <c r="C818" s="78"/>
    </row>
    <row r="819">
      <c r="C819" s="78"/>
    </row>
    <row r="820">
      <c r="C820" s="78"/>
    </row>
    <row r="821">
      <c r="C821" s="78"/>
    </row>
    <row r="822">
      <c r="C822" s="78"/>
    </row>
    <row r="823">
      <c r="C823" s="78"/>
    </row>
    <row r="824">
      <c r="C824" s="78"/>
    </row>
    <row r="825">
      <c r="C825" s="78"/>
    </row>
    <row r="826">
      <c r="C826" s="78"/>
    </row>
    <row r="827">
      <c r="C827" s="78"/>
    </row>
    <row r="828">
      <c r="C828" s="78"/>
    </row>
    <row r="829">
      <c r="C829" s="78"/>
    </row>
    <row r="830">
      <c r="C830" s="78"/>
    </row>
    <row r="831">
      <c r="C831" s="78"/>
    </row>
    <row r="832">
      <c r="C832" s="78"/>
    </row>
    <row r="833">
      <c r="C833" s="78"/>
    </row>
    <row r="834">
      <c r="C834" s="78"/>
    </row>
    <row r="835">
      <c r="C835" s="78"/>
    </row>
    <row r="836">
      <c r="C836" s="78"/>
    </row>
    <row r="837">
      <c r="C837" s="78"/>
    </row>
    <row r="838">
      <c r="C838" s="78"/>
    </row>
    <row r="839">
      <c r="C839" s="78"/>
    </row>
    <row r="840">
      <c r="C840" s="78"/>
    </row>
    <row r="841">
      <c r="C841" s="78"/>
    </row>
    <row r="842">
      <c r="C842" s="78"/>
    </row>
    <row r="843">
      <c r="C843" s="78"/>
    </row>
    <row r="844">
      <c r="C844" s="78"/>
    </row>
    <row r="845">
      <c r="C845" s="78"/>
    </row>
    <row r="846">
      <c r="C846" s="78"/>
    </row>
    <row r="847">
      <c r="C847" s="78"/>
    </row>
    <row r="848">
      <c r="C848" s="78"/>
    </row>
    <row r="849">
      <c r="C849" s="78"/>
    </row>
    <row r="850">
      <c r="C850" s="78"/>
    </row>
    <row r="851">
      <c r="C851" s="78"/>
    </row>
    <row r="852">
      <c r="C852" s="78"/>
    </row>
    <row r="853">
      <c r="C853" s="78"/>
    </row>
    <row r="854">
      <c r="C854" s="78"/>
    </row>
    <row r="855">
      <c r="C855" s="78"/>
    </row>
    <row r="856">
      <c r="C856" s="78"/>
    </row>
    <row r="857">
      <c r="C857" s="78"/>
    </row>
    <row r="858">
      <c r="C858" s="78"/>
    </row>
    <row r="859">
      <c r="C859" s="78"/>
    </row>
    <row r="860">
      <c r="C860" s="78"/>
    </row>
    <row r="861">
      <c r="C861" s="78"/>
    </row>
    <row r="862">
      <c r="C862" s="78"/>
    </row>
    <row r="863">
      <c r="C863" s="78"/>
    </row>
    <row r="864">
      <c r="C864" s="78"/>
    </row>
    <row r="865">
      <c r="C865" s="78"/>
    </row>
    <row r="866">
      <c r="C866" s="78"/>
    </row>
    <row r="867">
      <c r="C867" s="78"/>
    </row>
    <row r="868">
      <c r="C868" s="78"/>
    </row>
    <row r="869">
      <c r="C869" s="78"/>
    </row>
    <row r="870">
      <c r="C870" s="78"/>
    </row>
    <row r="871">
      <c r="C871" s="78"/>
    </row>
    <row r="872">
      <c r="C872" s="78"/>
    </row>
    <row r="873">
      <c r="C873" s="78"/>
    </row>
    <row r="874">
      <c r="C874" s="78"/>
    </row>
    <row r="875">
      <c r="C875" s="78"/>
    </row>
    <row r="876">
      <c r="C876" s="78"/>
    </row>
    <row r="877">
      <c r="C877" s="78"/>
    </row>
    <row r="878">
      <c r="C878" s="78"/>
    </row>
    <row r="879">
      <c r="C879" s="78"/>
    </row>
    <row r="880">
      <c r="C880" s="78"/>
    </row>
    <row r="881">
      <c r="C881" s="78"/>
    </row>
    <row r="882">
      <c r="C882" s="78"/>
    </row>
    <row r="883">
      <c r="C883" s="78"/>
    </row>
    <row r="884">
      <c r="C884" s="78"/>
    </row>
    <row r="885">
      <c r="C885" s="78"/>
    </row>
    <row r="886">
      <c r="C886" s="78"/>
    </row>
    <row r="887">
      <c r="C887" s="78"/>
    </row>
    <row r="888">
      <c r="C888" s="78"/>
    </row>
    <row r="889">
      <c r="C889" s="78"/>
    </row>
    <row r="890">
      <c r="C890" s="78"/>
    </row>
    <row r="891">
      <c r="C891" s="78"/>
    </row>
    <row r="892">
      <c r="C892" s="78"/>
    </row>
    <row r="893">
      <c r="C893" s="78"/>
    </row>
    <row r="894">
      <c r="C894" s="78"/>
    </row>
    <row r="895">
      <c r="C895" s="78"/>
    </row>
    <row r="896">
      <c r="C896" s="78"/>
    </row>
    <row r="897">
      <c r="C897" s="78"/>
    </row>
    <row r="898">
      <c r="C898" s="78"/>
    </row>
    <row r="899">
      <c r="C899" s="78"/>
    </row>
    <row r="900">
      <c r="C900" s="78"/>
    </row>
    <row r="901">
      <c r="C901" s="78"/>
    </row>
    <row r="902">
      <c r="C902" s="78"/>
    </row>
    <row r="903">
      <c r="C903" s="78"/>
    </row>
    <row r="904">
      <c r="C904" s="78"/>
    </row>
    <row r="905">
      <c r="C905" s="78"/>
    </row>
    <row r="906">
      <c r="C906" s="78"/>
    </row>
    <row r="907">
      <c r="C907" s="78"/>
    </row>
    <row r="908">
      <c r="C908" s="78"/>
    </row>
    <row r="909">
      <c r="C909" s="78"/>
    </row>
    <row r="910">
      <c r="C910" s="78"/>
    </row>
    <row r="911">
      <c r="C911" s="78"/>
    </row>
    <row r="912">
      <c r="C912" s="78"/>
    </row>
    <row r="913">
      <c r="C913" s="78"/>
    </row>
    <row r="914">
      <c r="C914" s="78"/>
    </row>
    <row r="915">
      <c r="C915" s="78"/>
    </row>
    <row r="916">
      <c r="C916" s="78"/>
    </row>
    <row r="917">
      <c r="C917" s="78"/>
    </row>
    <row r="918">
      <c r="C918" s="78"/>
    </row>
    <row r="919">
      <c r="C919" s="78"/>
    </row>
    <row r="920">
      <c r="C920" s="78"/>
    </row>
    <row r="921">
      <c r="C921" s="78"/>
    </row>
    <row r="922">
      <c r="C922" s="78"/>
    </row>
    <row r="923">
      <c r="C923" s="78"/>
    </row>
    <row r="924">
      <c r="C924" s="78"/>
    </row>
    <row r="925">
      <c r="C925" s="78"/>
    </row>
    <row r="926">
      <c r="C926" s="78"/>
    </row>
    <row r="927">
      <c r="C927" s="78"/>
    </row>
    <row r="928">
      <c r="C928" s="78"/>
    </row>
    <row r="929">
      <c r="C929" s="78"/>
    </row>
    <row r="930">
      <c r="C930" s="78"/>
    </row>
    <row r="931">
      <c r="C931" s="78"/>
    </row>
    <row r="932">
      <c r="C932" s="78"/>
    </row>
    <row r="933">
      <c r="C933" s="78"/>
    </row>
    <row r="934">
      <c r="C934" s="78"/>
    </row>
    <row r="935">
      <c r="C935" s="78"/>
    </row>
    <row r="936">
      <c r="C936" s="78"/>
    </row>
    <row r="937">
      <c r="C937" s="78"/>
    </row>
    <row r="938">
      <c r="C938" s="78"/>
    </row>
    <row r="939">
      <c r="C939" s="78"/>
    </row>
    <row r="940">
      <c r="C940" s="78"/>
    </row>
    <row r="941">
      <c r="C941" s="78"/>
    </row>
    <row r="942">
      <c r="C942" s="78"/>
    </row>
    <row r="943">
      <c r="C943" s="78"/>
    </row>
    <row r="944">
      <c r="C944" s="78"/>
    </row>
    <row r="945">
      <c r="C945" s="78"/>
    </row>
    <row r="946">
      <c r="C946" s="78"/>
    </row>
    <row r="947">
      <c r="C947" s="78"/>
    </row>
    <row r="948">
      <c r="C948" s="78"/>
    </row>
    <row r="949">
      <c r="C949" s="78"/>
    </row>
    <row r="950">
      <c r="C950" s="78"/>
    </row>
    <row r="951">
      <c r="C951" s="78"/>
    </row>
    <row r="952">
      <c r="C952" s="78"/>
    </row>
    <row r="953">
      <c r="C953" s="78"/>
    </row>
    <row r="954">
      <c r="C954" s="78"/>
    </row>
    <row r="955">
      <c r="C955" s="78"/>
    </row>
    <row r="956">
      <c r="C956" s="78"/>
    </row>
    <row r="957">
      <c r="C957" s="78"/>
    </row>
    <row r="958">
      <c r="C958" s="78"/>
    </row>
    <row r="959">
      <c r="C959" s="78"/>
    </row>
    <row r="960">
      <c r="C960" s="78"/>
    </row>
    <row r="961">
      <c r="C961" s="78"/>
    </row>
    <row r="962">
      <c r="C962" s="78"/>
    </row>
    <row r="963">
      <c r="C963" s="78"/>
    </row>
    <row r="964">
      <c r="C964" s="78"/>
    </row>
    <row r="965">
      <c r="C965" s="78"/>
    </row>
    <row r="966">
      <c r="C966" s="78"/>
    </row>
    <row r="967">
      <c r="C967" s="78"/>
    </row>
    <row r="968">
      <c r="C968" s="78"/>
    </row>
    <row r="969">
      <c r="C969" s="78"/>
    </row>
    <row r="970">
      <c r="C970" s="78"/>
    </row>
    <row r="971">
      <c r="C971" s="78"/>
    </row>
    <row r="972">
      <c r="C972" s="78"/>
    </row>
    <row r="973">
      <c r="C973" s="78"/>
    </row>
    <row r="974">
      <c r="C974" s="78"/>
    </row>
    <row r="975">
      <c r="C975" s="78"/>
    </row>
    <row r="976">
      <c r="C976" s="78"/>
    </row>
    <row r="977">
      <c r="C977" s="78"/>
    </row>
    <row r="978">
      <c r="C978" s="78"/>
    </row>
    <row r="979">
      <c r="C979" s="78"/>
    </row>
    <row r="980">
      <c r="C980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  <row r="995">
      <c r="C995" s="78"/>
    </row>
    <row r="996">
      <c r="C996" s="78"/>
    </row>
    <row r="997">
      <c r="C997" s="78"/>
    </row>
    <row r="998">
      <c r="C998" s="78"/>
    </row>
    <row r="999">
      <c r="C999" s="78"/>
    </row>
    <row r="1000">
      <c r="C1000" s="78"/>
    </row>
    <row r="1001">
      <c r="C1001" s="78"/>
    </row>
    <row r="1002">
      <c r="C1002" s="78"/>
    </row>
    <row r="1003">
      <c r="C1003" s="78"/>
    </row>
    <row r="1004">
      <c r="C1004" s="78"/>
    </row>
  </sheetData>
  <mergeCells count="14">
    <mergeCell ref="N3:O3"/>
    <mergeCell ref="P3:Q3"/>
    <mergeCell ref="R3:S3"/>
    <mergeCell ref="T3:U3"/>
    <mergeCell ref="V3:W3"/>
    <mergeCell ref="X3:Y3"/>
    <mergeCell ref="A2:AA2"/>
    <mergeCell ref="B3:C3"/>
    <mergeCell ref="D3:E3"/>
    <mergeCell ref="F3:G3"/>
    <mergeCell ref="H3:I3"/>
    <mergeCell ref="J3:K3"/>
    <mergeCell ref="L3:M3"/>
    <mergeCell ref="Z3:AA3"/>
  </mergeCells>
  <printOptions gridLines="1" horizontalCentered="1"/>
  <pageMargins bottom="0.5448916408668731" footer="0.0" header="0.0" left="0.164506480558325" right="0.19740777666999004" top="0.2522432701894317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hidden="1" min="1" max="1" width="20.88"/>
    <col customWidth="1" min="2" max="2" width="20.88"/>
    <col customWidth="1" min="13" max="13" width="14.5"/>
  </cols>
  <sheetData>
    <row r="1">
      <c r="B1" s="46" t="s">
        <v>121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>
      <c r="A2" s="100"/>
      <c r="B2" s="43" t="s">
        <v>11</v>
      </c>
      <c r="C2" s="46" t="s">
        <v>67</v>
      </c>
      <c r="D2" s="46" t="s">
        <v>68</v>
      </c>
      <c r="E2" s="89" t="s">
        <v>69</v>
      </c>
      <c r="F2" s="89" t="s">
        <v>70</v>
      </c>
      <c r="G2" s="46" t="s">
        <v>71</v>
      </c>
      <c r="H2" s="46" t="s">
        <v>72</v>
      </c>
      <c r="I2" s="46" t="s">
        <v>73</v>
      </c>
      <c r="J2" s="46" t="s">
        <v>74</v>
      </c>
      <c r="K2" s="46" t="s">
        <v>75</v>
      </c>
      <c r="L2" s="46" t="s">
        <v>76</v>
      </c>
      <c r="M2" s="46" t="s">
        <v>77</v>
      </c>
      <c r="N2" s="46" t="s">
        <v>78</v>
      </c>
      <c r="P2" s="22"/>
    </row>
    <row r="3">
      <c r="A3" s="101"/>
      <c r="B3" s="5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>
      <c r="A4" s="100" t="s">
        <v>122</v>
      </c>
      <c r="B4" s="43" t="s">
        <v>91</v>
      </c>
      <c r="C4" s="89">
        <v>6620200.0</v>
      </c>
      <c r="D4" s="83">
        <v>1.328195E7</v>
      </c>
      <c r="E4" s="83">
        <v>8180800.0</v>
      </c>
      <c r="F4" s="83">
        <v>1.4456965E7</v>
      </c>
      <c r="G4" s="83">
        <v>2887400.0</v>
      </c>
      <c r="H4" s="83">
        <v>1.5210132E7</v>
      </c>
      <c r="I4" s="102">
        <v>1.1164386E7</v>
      </c>
      <c r="J4" s="102">
        <v>8569940.0</v>
      </c>
      <c r="K4" s="102">
        <v>1.104194E7</v>
      </c>
      <c r="L4" s="103">
        <v>1.32423E7</v>
      </c>
      <c r="M4" s="103">
        <v>1.31383E7</v>
      </c>
      <c r="N4" s="103">
        <v>2.138001E7</v>
      </c>
      <c r="O4" s="104"/>
      <c r="P4" s="105"/>
    </row>
    <row r="5">
      <c r="A5" s="106" t="s">
        <v>92</v>
      </c>
      <c r="B5" s="95" t="s">
        <v>92</v>
      </c>
      <c r="C5" s="89">
        <v>2832733.0</v>
      </c>
      <c r="D5" s="83">
        <v>2987513.0</v>
      </c>
      <c r="E5" s="83">
        <v>3048297.0</v>
      </c>
      <c r="F5" s="83">
        <v>3634748.0</v>
      </c>
      <c r="G5" s="83">
        <v>2992085.0</v>
      </c>
      <c r="H5" s="83">
        <v>6371417.0</v>
      </c>
      <c r="I5" s="102">
        <v>6076328.0</v>
      </c>
      <c r="J5" s="102">
        <v>7199884.0</v>
      </c>
      <c r="K5" s="102">
        <v>4451169.0</v>
      </c>
      <c r="L5" s="103">
        <v>6826937.0</v>
      </c>
      <c r="M5" s="103">
        <v>5844921.0</v>
      </c>
      <c r="N5" s="103">
        <v>3354031.0</v>
      </c>
      <c r="O5" s="104"/>
      <c r="P5" s="105"/>
    </row>
    <row r="6">
      <c r="A6" s="100" t="s">
        <v>93</v>
      </c>
      <c r="B6" s="43" t="s">
        <v>93</v>
      </c>
      <c r="C6" s="89">
        <v>369132.0</v>
      </c>
      <c r="D6" s="83">
        <v>528541.0</v>
      </c>
      <c r="E6" s="83">
        <v>276608.0</v>
      </c>
      <c r="F6" s="83">
        <v>358268.0</v>
      </c>
      <c r="G6" s="83">
        <v>319720.0</v>
      </c>
      <c r="H6" s="83">
        <v>444848.0</v>
      </c>
      <c r="I6" s="102">
        <v>496500.0</v>
      </c>
      <c r="J6" s="102">
        <v>147430.0</v>
      </c>
      <c r="K6" s="102">
        <v>313973.0</v>
      </c>
      <c r="L6" s="103">
        <v>466988.0</v>
      </c>
      <c r="M6" s="103">
        <v>332314.0</v>
      </c>
      <c r="N6" s="103">
        <v>350798.0</v>
      </c>
      <c r="O6" s="104"/>
      <c r="P6" s="105"/>
    </row>
    <row r="7">
      <c r="A7" s="106" t="s">
        <v>94</v>
      </c>
      <c r="B7" s="95" t="s">
        <v>94</v>
      </c>
      <c r="C7" s="89">
        <v>4310711.0</v>
      </c>
      <c r="D7" s="83">
        <v>4750133.0</v>
      </c>
      <c r="E7" s="83">
        <v>2850807.0</v>
      </c>
      <c r="F7" s="83">
        <v>4715397.0</v>
      </c>
      <c r="G7" s="83">
        <v>3332183.0</v>
      </c>
      <c r="H7" s="83">
        <v>5553572.0</v>
      </c>
      <c r="I7" s="102">
        <v>4723821.0</v>
      </c>
      <c r="J7" s="102">
        <v>2861131.0</v>
      </c>
      <c r="K7" s="102">
        <v>3889715.0</v>
      </c>
      <c r="L7" s="103">
        <v>5332760.0</v>
      </c>
      <c r="M7" s="103">
        <v>3925636.0</v>
      </c>
      <c r="N7" s="103">
        <v>4027223.0</v>
      </c>
      <c r="O7" s="104"/>
      <c r="P7" s="105"/>
    </row>
    <row r="8">
      <c r="A8" s="100" t="s">
        <v>95</v>
      </c>
      <c r="B8" s="43" t="s">
        <v>95</v>
      </c>
      <c r="C8" s="89">
        <v>567718.0</v>
      </c>
      <c r="D8" s="83">
        <v>660782.0</v>
      </c>
      <c r="E8" s="83">
        <v>417550.0</v>
      </c>
      <c r="F8" s="83">
        <v>958793.0</v>
      </c>
      <c r="G8" s="83">
        <v>564790.0</v>
      </c>
      <c r="H8" s="83">
        <v>264326.0</v>
      </c>
      <c r="I8" s="102">
        <v>759930.0</v>
      </c>
      <c r="J8" s="102">
        <v>282630.0</v>
      </c>
      <c r="K8" s="102">
        <v>408935.0</v>
      </c>
      <c r="L8" s="103">
        <v>785895.0</v>
      </c>
      <c r="M8" s="103">
        <v>496820.0</v>
      </c>
      <c r="N8" s="103">
        <v>351840.0</v>
      </c>
      <c r="O8" s="104"/>
      <c r="P8" s="105"/>
    </row>
    <row r="9">
      <c r="A9" s="107"/>
      <c r="B9" s="52" t="s">
        <v>6</v>
      </c>
      <c r="C9" s="80">
        <f t="shared" ref="C9:E9" si="1">SUM(C4:C8)</f>
        <v>14700494</v>
      </c>
      <c r="D9" s="80">
        <f t="shared" si="1"/>
        <v>22208919</v>
      </c>
      <c r="E9" s="80">
        <f t="shared" si="1"/>
        <v>14774062</v>
      </c>
      <c r="F9" s="80">
        <v>2.4124171E7</v>
      </c>
      <c r="G9" s="80">
        <f t="shared" ref="G9:N9" si="2">SUM(G4:G8)</f>
        <v>10096178</v>
      </c>
      <c r="H9" s="80">
        <f t="shared" si="2"/>
        <v>27844295</v>
      </c>
      <c r="I9" s="80">
        <f t="shared" si="2"/>
        <v>23220965</v>
      </c>
      <c r="J9" s="80">
        <f t="shared" si="2"/>
        <v>19061015</v>
      </c>
      <c r="K9" s="80">
        <f t="shared" si="2"/>
        <v>20105732</v>
      </c>
      <c r="L9" s="80">
        <f t="shared" si="2"/>
        <v>26654880</v>
      </c>
      <c r="M9" s="80">
        <f t="shared" si="2"/>
        <v>23737991</v>
      </c>
      <c r="N9" s="80">
        <f t="shared" si="2"/>
        <v>29463902</v>
      </c>
      <c r="O9" s="104"/>
      <c r="P9" s="79"/>
    </row>
    <row r="10">
      <c r="A10" s="101"/>
      <c r="B10" s="51"/>
      <c r="C10" s="80" t="s">
        <v>79</v>
      </c>
      <c r="D10" s="80" t="s">
        <v>79</v>
      </c>
      <c r="E10" s="80" t="s">
        <v>79</v>
      </c>
      <c r="F10" s="80" t="s">
        <v>79</v>
      </c>
      <c r="G10" s="80" t="s">
        <v>79</v>
      </c>
      <c r="H10" s="80" t="s">
        <v>79</v>
      </c>
      <c r="I10" s="45"/>
      <c r="J10" s="45"/>
      <c r="K10" s="45"/>
      <c r="L10" s="45"/>
      <c r="M10" s="45"/>
      <c r="N10" s="45"/>
    </row>
    <row r="11">
      <c r="A11" s="100" t="s">
        <v>123</v>
      </c>
      <c r="B11" s="43" t="s">
        <v>96</v>
      </c>
      <c r="C11" s="89">
        <v>1.665048E7</v>
      </c>
      <c r="D11" s="83">
        <v>1.3279509E7</v>
      </c>
      <c r="E11" s="83">
        <v>5696469.0</v>
      </c>
      <c r="F11" s="83">
        <v>1.154097E7</v>
      </c>
      <c r="G11" s="83">
        <v>3210942.0</v>
      </c>
      <c r="H11" s="83">
        <v>1.1694738E7</v>
      </c>
      <c r="I11" s="102">
        <v>1.4110253E7</v>
      </c>
      <c r="J11" s="102">
        <v>4287631.0</v>
      </c>
      <c r="K11" s="102">
        <v>1.1273506E7</v>
      </c>
      <c r="L11" s="103">
        <v>1.1953887E7</v>
      </c>
      <c r="M11" s="103">
        <v>1.3389479E7</v>
      </c>
      <c r="N11" s="103">
        <v>1.7073872E7</v>
      </c>
      <c r="O11" s="104"/>
      <c r="P11" s="105"/>
    </row>
    <row r="12">
      <c r="A12" s="100" t="s">
        <v>97</v>
      </c>
      <c r="B12" s="43" t="s">
        <v>97</v>
      </c>
      <c r="C12" s="89">
        <v>1.4865097E7</v>
      </c>
      <c r="D12" s="83">
        <v>1.6636841E7</v>
      </c>
      <c r="E12" s="83">
        <v>1.3097361E7</v>
      </c>
      <c r="F12" s="83">
        <v>1.5716638E7</v>
      </c>
      <c r="G12" s="83">
        <v>1.1221103E7</v>
      </c>
      <c r="H12" s="83">
        <v>1.4910131E7</v>
      </c>
      <c r="I12" s="102">
        <v>2.1566935E7</v>
      </c>
      <c r="J12" s="102">
        <v>1.1361227E7</v>
      </c>
      <c r="K12" s="102">
        <v>1.3880671E7</v>
      </c>
      <c r="L12" s="103">
        <v>2.0964492E7</v>
      </c>
      <c r="M12" s="103">
        <v>1.8112504E7</v>
      </c>
      <c r="N12" s="103">
        <v>1.7434196E7</v>
      </c>
      <c r="O12" s="104"/>
      <c r="P12" s="105"/>
    </row>
    <row r="13">
      <c r="A13" s="100" t="s">
        <v>98</v>
      </c>
      <c r="B13" s="43" t="s">
        <v>98</v>
      </c>
      <c r="C13" s="89">
        <v>106018.0</v>
      </c>
      <c r="D13" s="83">
        <v>200155.0</v>
      </c>
      <c r="E13" s="83">
        <v>195341.0</v>
      </c>
      <c r="F13" s="83">
        <v>209025.0</v>
      </c>
      <c r="G13" s="83">
        <v>385525.0</v>
      </c>
      <c r="H13" s="83">
        <v>287786.0</v>
      </c>
      <c r="I13" s="102">
        <v>227779.0</v>
      </c>
      <c r="J13" s="102">
        <v>183843.0</v>
      </c>
      <c r="K13" s="102">
        <v>207435.0</v>
      </c>
      <c r="L13" s="103">
        <v>311506.0</v>
      </c>
      <c r="M13" s="103">
        <v>245731.0</v>
      </c>
      <c r="N13" s="103">
        <v>387904.0</v>
      </c>
      <c r="O13" s="104"/>
      <c r="P13" s="105"/>
    </row>
    <row r="14">
      <c r="A14" s="100" t="s">
        <v>99</v>
      </c>
      <c r="B14" s="43" t="s">
        <v>99</v>
      </c>
      <c r="C14" s="89">
        <v>1316856.0</v>
      </c>
      <c r="D14" s="83">
        <v>1003637.0</v>
      </c>
      <c r="E14" s="83">
        <v>828867.0</v>
      </c>
      <c r="F14" s="83">
        <v>1009598.0</v>
      </c>
      <c r="G14" s="83">
        <v>1148141.0</v>
      </c>
      <c r="H14" s="83">
        <v>892312.0</v>
      </c>
      <c r="I14" s="102">
        <v>1354702.0</v>
      </c>
      <c r="J14" s="102">
        <v>689352.0</v>
      </c>
      <c r="K14" s="102">
        <v>1333471.0</v>
      </c>
      <c r="L14" s="103">
        <v>1277476.0</v>
      </c>
      <c r="M14" s="103">
        <v>1335681.0</v>
      </c>
      <c r="N14" s="103">
        <v>1510434.0</v>
      </c>
      <c r="O14" s="104"/>
      <c r="P14" s="105"/>
    </row>
    <row r="15">
      <c r="A15" s="100" t="s">
        <v>100</v>
      </c>
      <c r="B15" s="43" t="s">
        <v>100</v>
      </c>
      <c r="C15" s="89">
        <v>4177526.0</v>
      </c>
      <c r="D15" s="83">
        <v>5881705.0</v>
      </c>
      <c r="E15" s="83">
        <v>5118570.0</v>
      </c>
      <c r="F15" s="83">
        <v>7025278.0</v>
      </c>
      <c r="G15" s="83">
        <v>3247518.0</v>
      </c>
      <c r="H15" s="83">
        <v>6466813.0</v>
      </c>
      <c r="I15" s="102">
        <v>5132994.0</v>
      </c>
      <c r="J15" s="102">
        <v>4983944.0</v>
      </c>
      <c r="K15" s="102">
        <v>8745196.0</v>
      </c>
      <c r="L15" s="103">
        <v>1.3158188E7</v>
      </c>
      <c r="M15" s="103">
        <v>6878140.0</v>
      </c>
      <c r="N15" s="103">
        <v>1.2915916E7</v>
      </c>
      <c r="O15" s="104"/>
      <c r="P15" s="105"/>
    </row>
    <row r="16">
      <c r="A16" s="107"/>
      <c r="B16" s="52" t="s">
        <v>6</v>
      </c>
      <c r="C16" s="80">
        <f t="shared" ref="C16:E16" si="3">SUM(C11:C15)</f>
        <v>37115977</v>
      </c>
      <c r="D16" s="80">
        <f t="shared" si="3"/>
        <v>37001847</v>
      </c>
      <c r="E16" s="80">
        <f t="shared" si="3"/>
        <v>24936608</v>
      </c>
      <c r="F16" s="80">
        <v>3.5501509E7</v>
      </c>
      <c r="G16" s="80">
        <f t="shared" ref="G16:N16" si="4">SUM(G11:G15)</f>
        <v>19213229</v>
      </c>
      <c r="H16" s="80">
        <f t="shared" si="4"/>
        <v>34251780</v>
      </c>
      <c r="I16" s="80">
        <f t="shared" si="4"/>
        <v>42392663</v>
      </c>
      <c r="J16" s="80">
        <f t="shared" si="4"/>
        <v>21505997</v>
      </c>
      <c r="K16" s="80">
        <f t="shared" si="4"/>
        <v>35440279</v>
      </c>
      <c r="L16" s="80">
        <f t="shared" si="4"/>
        <v>47665549</v>
      </c>
      <c r="M16" s="80">
        <f t="shared" si="4"/>
        <v>39961535</v>
      </c>
      <c r="N16" s="80">
        <f t="shared" si="4"/>
        <v>49322322</v>
      </c>
      <c r="O16" s="104"/>
      <c r="P16" s="79"/>
    </row>
    <row r="17">
      <c r="A17" s="101"/>
      <c r="B17" s="51"/>
      <c r="C17" s="80" t="s">
        <v>79</v>
      </c>
      <c r="D17" s="80" t="s">
        <v>79</v>
      </c>
      <c r="E17" s="80" t="s">
        <v>79</v>
      </c>
      <c r="F17" s="80" t="s">
        <v>79</v>
      </c>
      <c r="G17" s="80" t="s">
        <v>79</v>
      </c>
      <c r="H17" s="80" t="s">
        <v>79</v>
      </c>
      <c r="I17" s="45"/>
      <c r="J17" s="45"/>
      <c r="K17" s="45"/>
      <c r="L17" s="45"/>
      <c r="M17" s="45"/>
      <c r="N17" s="45"/>
    </row>
    <row r="18">
      <c r="A18" s="100" t="s">
        <v>124</v>
      </c>
      <c r="B18" s="43" t="s">
        <v>101</v>
      </c>
      <c r="C18" s="89">
        <v>4101413.0</v>
      </c>
      <c r="D18" s="83">
        <v>5941343.0</v>
      </c>
      <c r="E18" s="83">
        <v>5543017.0</v>
      </c>
      <c r="F18" s="83">
        <v>4641200.0</v>
      </c>
      <c r="G18" s="83">
        <v>4231472.0</v>
      </c>
      <c r="H18" s="83">
        <v>4908758.0</v>
      </c>
      <c r="I18" s="102">
        <v>8466630.0</v>
      </c>
      <c r="J18" s="102">
        <v>1073340.0</v>
      </c>
      <c r="K18" s="102">
        <v>6571868.0</v>
      </c>
      <c r="L18" s="103">
        <v>4532230.0</v>
      </c>
      <c r="M18" s="103">
        <v>7039170.0</v>
      </c>
      <c r="N18" s="103">
        <v>9991266.0</v>
      </c>
      <c r="O18" s="104"/>
      <c r="P18" s="105"/>
    </row>
    <row r="19">
      <c r="A19" s="100" t="s">
        <v>102</v>
      </c>
      <c r="B19" s="43" t="s">
        <v>102</v>
      </c>
      <c r="C19" s="89">
        <v>648504.0</v>
      </c>
      <c r="D19" s="83">
        <v>757146.0</v>
      </c>
      <c r="E19" s="83">
        <v>506771.0</v>
      </c>
      <c r="F19" s="83">
        <v>625074.0</v>
      </c>
      <c r="G19" s="83">
        <v>221007.0</v>
      </c>
      <c r="H19" s="83">
        <v>590690.0</v>
      </c>
      <c r="I19" s="102">
        <v>667449.0</v>
      </c>
      <c r="J19" s="102">
        <v>419503.0</v>
      </c>
      <c r="K19" s="102">
        <v>572334.0</v>
      </c>
      <c r="L19" s="103">
        <v>924045.0</v>
      </c>
      <c r="M19" s="103">
        <v>528969.0</v>
      </c>
      <c r="N19" s="103">
        <v>1467747.0</v>
      </c>
      <c r="O19" s="104"/>
      <c r="P19" s="105"/>
    </row>
    <row r="20">
      <c r="A20" s="100" t="s">
        <v>103</v>
      </c>
      <c r="B20" s="43" t="s">
        <v>103</v>
      </c>
      <c r="C20" s="89">
        <v>96370.0</v>
      </c>
      <c r="D20" s="83">
        <v>126430.0</v>
      </c>
      <c r="E20" s="83">
        <v>136000.0</v>
      </c>
      <c r="F20" s="83">
        <v>180740.0</v>
      </c>
      <c r="G20" s="83">
        <v>51800.0</v>
      </c>
      <c r="H20" s="83">
        <v>45100.0</v>
      </c>
      <c r="I20" s="102">
        <v>69800.0</v>
      </c>
      <c r="J20" s="102">
        <v>97800.0</v>
      </c>
      <c r="K20" s="102">
        <v>98600.0</v>
      </c>
      <c r="L20" s="103">
        <v>129000.0</v>
      </c>
      <c r="M20" s="103">
        <v>98100.0</v>
      </c>
      <c r="N20" s="103">
        <v>141380.0</v>
      </c>
      <c r="O20" s="104"/>
      <c r="P20" s="105"/>
    </row>
    <row r="21">
      <c r="A21" s="106" t="s">
        <v>104</v>
      </c>
      <c r="B21" s="95" t="s">
        <v>104</v>
      </c>
      <c r="C21" s="89">
        <v>735602.0</v>
      </c>
      <c r="D21" s="83">
        <v>343251.0</v>
      </c>
      <c r="E21" s="83">
        <v>530060.0</v>
      </c>
      <c r="F21" s="83">
        <v>488335.0</v>
      </c>
      <c r="G21" s="83">
        <v>380606.0</v>
      </c>
      <c r="H21" s="83">
        <v>606741.0</v>
      </c>
      <c r="I21" s="102">
        <v>633416.0</v>
      </c>
      <c r="J21" s="102">
        <v>469329.0</v>
      </c>
      <c r="K21" s="102">
        <v>496716.0</v>
      </c>
      <c r="L21" s="103">
        <v>647164.0</v>
      </c>
      <c r="M21" s="103">
        <v>815462.0</v>
      </c>
      <c r="N21" s="103">
        <v>1091909.0</v>
      </c>
      <c r="O21" s="104"/>
      <c r="P21" s="105"/>
    </row>
    <row r="22">
      <c r="A22" s="106" t="s">
        <v>105</v>
      </c>
      <c r="B22" s="95" t="s">
        <v>105</v>
      </c>
      <c r="C22" s="89">
        <v>179700.0</v>
      </c>
      <c r="D22" s="83">
        <v>272100.0</v>
      </c>
      <c r="E22" s="83">
        <v>101150.0</v>
      </c>
      <c r="F22" s="83">
        <v>135750.0</v>
      </c>
      <c r="G22" s="83">
        <v>117250.0</v>
      </c>
      <c r="H22" s="83">
        <v>438220.0</v>
      </c>
      <c r="I22" s="102">
        <v>175000.0</v>
      </c>
      <c r="J22" s="102">
        <v>366400.0</v>
      </c>
      <c r="K22" s="102">
        <v>115400.0</v>
      </c>
      <c r="L22" s="103">
        <v>193500.0</v>
      </c>
      <c r="M22" s="103">
        <v>252200.0</v>
      </c>
      <c r="N22" s="103">
        <v>578650.0</v>
      </c>
      <c r="O22" s="104"/>
      <c r="P22" s="105"/>
    </row>
    <row r="23">
      <c r="A23" s="107"/>
      <c r="B23" s="52" t="s">
        <v>6</v>
      </c>
      <c r="C23" s="80">
        <f t="shared" ref="C23:E23" si="5">SUM(C18:C22)</f>
        <v>5761589</v>
      </c>
      <c r="D23" s="80">
        <f t="shared" si="5"/>
        <v>7440270</v>
      </c>
      <c r="E23" s="80">
        <f t="shared" si="5"/>
        <v>6816998</v>
      </c>
      <c r="F23" s="80">
        <v>6071099.0</v>
      </c>
      <c r="G23" s="80">
        <f t="shared" ref="G23:N23" si="6">SUM(G18:G22)</f>
        <v>5002135</v>
      </c>
      <c r="H23" s="80">
        <f t="shared" si="6"/>
        <v>6589509</v>
      </c>
      <c r="I23" s="80">
        <f t="shared" si="6"/>
        <v>10012295</v>
      </c>
      <c r="J23" s="80">
        <f t="shared" si="6"/>
        <v>2426372</v>
      </c>
      <c r="K23" s="80">
        <f t="shared" si="6"/>
        <v>7854918</v>
      </c>
      <c r="L23" s="80">
        <f t="shared" si="6"/>
        <v>6425939</v>
      </c>
      <c r="M23" s="80">
        <f t="shared" si="6"/>
        <v>8733901</v>
      </c>
      <c r="N23" s="80">
        <f t="shared" si="6"/>
        <v>13270952</v>
      </c>
      <c r="O23" s="104"/>
      <c r="P23" s="79"/>
    </row>
    <row r="24">
      <c r="A24" s="101"/>
      <c r="B24" s="51"/>
      <c r="C24" s="80" t="s">
        <v>79</v>
      </c>
      <c r="D24" s="80" t="s">
        <v>79</v>
      </c>
      <c r="E24" s="80" t="s">
        <v>79</v>
      </c>
      <c r="F24" s="80" t="s">
        <v>79</v>
      </c>
      <c r="G24" s="80" t="s">
        <v>79</v>
      </c>
      <c r="H24" s="80" t="s">
        <v>79</v>
      </c>
      <c r="I24" s="45"/>
      <c r="J24" s="45"/>
      <c r="K24" s="45"/>
      <c r="L24" s="45"/>
      <c r="M24" s="45"/>
      <c r="N24" s="45"/>
    </row>
    <row r="25">
      <c r="A25" s="107" t="s">
        <v>125</v>
      </c>
      <c r="B25" s="43" t="s">
        <v>106</v>
      </c>
      <c r="C25" s="89">
        <v>4.1882835E7</v>
      </c>
      <c r="D25" s="83">
        <v>3.6217216E7</v>
      </c>
      <c r="E25" s="83">
        <v>6.6025658E7</v>
      </c>
      <c r="F25" s="83">
        <v>4.04223E7</v>
      </c>
      <c r="G25" s="83">
        <v>3.6269195E7</v>
      </c>
      <c r="H25" s="83">
        <v>8.8338898E7</v>
      </c>
      <c r="I25" s="102">
        <v>6.0046825E7</v>
      </c>
      <c r="J25" s="102">
        <v>4.8625122E7</v>
      </c>
      <c r="K25" s="102">
        <v>5.0938085E7</v>
      </c>
      <c r="L25" s="103">
        <v>4.692803E7</v>
      </c>
      <c r="M25" s="103">
        <v>4.4030704E7</v>
      </c>
      <c r="N25" s="103">
        <v>7.6675377E7</v>
      </c>
      <c r="O25" s="104"/>
      <c r="P25" s="105"/>
    </row>
    <row r="26">
      <c r="A26" s="107" t="s">
        <v>107</v>
      </c>
      <c r="B26" s="52" t="s">
        <v>107</v>
      </c>
      <c r="C26" s="89">
        <v>2347914.0</v>
      </c>
      <c r="D26" s="83">
        <v>2544985.0</v>
      </c>
      <c r="E26" s="83">
        <v>6532416.0</v>
      </c>
      <c r="F26" s="83">
        <v>4784126.0</v>
      </c>
      <c r="G26" s="83">
        <v>2680285.0</v>
      </c>
      <c r="H26" s="83">
        <v>7508084.0</v>
      </c>
      <c r="I26" s="102">
        <v>5423326.0</v>
      </c>
      <c r="J26" s="102">
        <v>4207315.0</v>
      </c>
      <c r="K26" s="102">
        <v>4615801.0</v>
      </c>
      <c r="L26" s="103">
        <v>4569138.0</v>
      </c>
      <c r="M26" s="103">
        <v>4315685.0</v>
      </c>
      <c r="N26" s="103">
        <v>6821046.0</v>
      </c>
      <c r="O26" s="104"/>
      <c r="P26" s="105"/>
    </row>
    <row r="27">
      <c r="A27" s="107" t="s">
        <v>108</v>
      </c>
      <c r="B27" s="52" t="s">
        <v>108</v>
      </c>
      <c r="C27" s="89">
        <v>770539.0</v>
      </c>
      <c r="D27" s="83">
        <v>1030810.0</v>
      </c>
      <c r="E27" s="83">
        <v>1195170.0</v>
      </c>
      <c r="F27" s="83">
        <v>1389531.0</v>
      </c>
      <c r="G27" s="83">
        <v>1188847.0</v>
      </c>
      <c r="H27" s="83">
        <v>728844.0</v>
      </c>
      <c r="I27" s="102">
        <v>1312157.0</v>
      </c>
      <c r="J27" s="102">
        <v>728996.0</v>
      </c>
      <c r="K27" s="102">
        <v>1108878.0</v>
      </c>
      <c r="L27" s="103">
        <v>977993.0</v>
      </c>
      <c r="M27" s="103">
        <v>852946.0</v>
      </c>
      <c r="N27" s="103">
        <v>1604659.0</v>
      </c>
      <c r="O27" s="104"/>
      <c r="P27" s="105"/>
    </row>
    <row r="28">
      <c r="A28" s="107" t="s">
        <v>109</v>
      </c>
      <c r="B28" s="52" t="s">
        <v>109</v>
      </c>
      <c r="C28" s="89">
        <v>343608.0</v>
      </c>
      <c r="D28" s="88">
        <v>0.0</v>
      </c>
      <c r="E28" s="83">
        <v>779454.0</v>
      </c>
      <c r="F28" s="83">
        <v>319776.0</v>
      </c>
      <c r="G28" s="83">
        <v>285720.0</v>
      </c>
      <c r="H28" s="83">
        <v>566645.0</v>
      </c>
      <c r="I28" s="102">
        <v>438688.0</v>
      </c>
      <c r="J28" s="102">
        <v>370728.0</v>
      </c>
      <c r="K28" s="102">
        <v>433084.0</v>
      </c>
      <c r="L28" s="103">
        <v>630448.0</v>
      </c>
      <c r="M28" s="103">
        <v>262410.0</v>
      </c>
      <c r="N28" s="103">
        <v>428710.0</v>
      </c>
      <c r="O28" s="104"/>
      <c r="P28" s="105"/>
    </row>
    <row r="29">
      <c r="A29" s="107" t="s">
        <v>110</v>
      </c>
      <c r="B29" s="52" t="s">
        <v>110</v>
      </c>
      <c r="C29" s="89">
        <v>24327.0</v>
      </c>
      <c r="D29" s="83">
        <v>283153.0</v>
      </c>
      <c r="E29" s="83">
        <v>512140.0</v>
      </c>
      <c r="F29" s="83">
        <v>597790.0</v>
      </c>
      <c r="G29" s="83">
        <v>364265.0</v>
      </c>
      <c r="H29" s="83">
        <v>381508.0</v>
      </c>
      <c r="I29" s="102">
        <v>615174.0</v>
      </c>
      <c r="J29" s="102">
        <v>340205.0</v>
      </c>
      <c r="K29" s="102">
        <v>639870.0</v>
      </c>
      <c r="L29" s="103">
        <v>513245.0</v>
      </c>
      <c r="M29" s="103">
        <v>442361.0</v>
      </c>
      <c r="N29" s="103">
        <v>476315.0</v>
      </c>
      <c r="O29" s="104"/>
      <c r="P29" s="105"/>
    </row>
    <row r="30">
      <c r="A30" s="107"/>
      <c r="B30" s="52" t="s">
        <v>6</v>
      </c>
      <c r="C30" s="80">
        <f t="shared" ref="C30:E30" si="7">SUM(C25:C29)</f>
        <v>45369223</v>
      </c>
      <c r="D30" s="80">
        <f t="shared" si="7"/>
        <v>40076164</v>
      </c>
      <c r="E30" s="80">
        <f t="shared" si="7"/>
        <v>75044838</v>
      </c>
      <c r="F30" s="80">
        <v>4.7513523E7</v>
      </c>
      <c r="G30" s="80">
        <f t="shared" ref="G30:N30" si="8">SUM(G25:G29)</f>
        <v>40788312</v>
      </c>
      <c r="H30" s="80">
        <f t="shared" si="8"/>
        <v>97523979</v>
      </c>
      <c r="I30" s="80">
        <f t="shared" si="8"/>
        <v>67836170</v>
      </c>
      <c r="J30" s="80">
        <f t="shared" si="8"/>
        <v>54272366</v>
      </c>
      <c r="K30" s="80">
        <f t="shared" si="8"/>
        <v>57735718</v>
      </c>
      <c r="L30" s="80">
        <f t="shared" si="8"/>
        <v>53618854</v>
      </c>
      <c r="M30" s="80">
        <f t="shared" si="8"/>
        <v>49904106</v>
      </c>
      <c r="N30" s="80">
        <f t="shared" si="8"/>
        <v>86006107</v>
      </c>
      <c r="O30" s="104"/>
      <c r="P30" s="79"/>
    </row>
    <row r="31">
      <c r="A31" s="101"/>
      <c r="B31" s="51"/>
      <c r="C31" s="80" t="s">
        <v>79</v>
      </c>
      <c r="D31" s="80" t="s">
        <v>79</v>
      </c>
      <c r="E31" s="80" t="s">
        <v>79</v>
      </c>
      <c r="F31" s="80" t="s">
        <v>79</v>
      </c>
      <c r="G31" s="80" t="s">
        <v>79</v>
      </c>
      <c r="H31" s="80" t="s">
        <v>79</v>
      </c>
      <c r="I31" s="45"/>
      <c r="J31" s="45"/>
      <c r="K31" s="45"/>
      <c r="L31" s="45"/>
      <c r="M31" s="45"/>
      <c r="N31" s="45"/>
    </row>
    <row r="32">
      <c r="A32" s="101"/>
      <c r="B32" s="51"/>
      <c r="C32" s="80" t="s">
        <v>79</v>
      </c>
      <c r="D32" s="80" t="s">
        <v>79</v>
      </c>
      <c r="E32" s="80" t="s">
        <v>79</v>
      </c>
      <c r="F32" s="80" t="s">
        <v>79</v>
      </c>
      <c r="G32" s="80" t="s">
        <v>79</v>
      </c>
      <c r="H32" s="80" t="s">
        <v>79</v>
      </c>
      <c r="I32" s="45"/>
      <c r="J32" s="45"/>
      <c r="K32" s="45"/>
      <c r="L32" s="45"/>
      <c r="M32" s="45"/>
      <c r="N32" s="45"/>
    </row>
    <row r="33">
      <c r="A33" s="106" t="s">
        <v>126</v>
      </c>
      <c r="B33" s="95" t="s">
        <v>111</v>
      </c>
      <c r="C33" s="89">
        <v>45016.0</v>
      </c>
      <c r="D33" s="83">
        <v>255154.0</v>
      </c>
      <c r="E33" s="83">
        <v>119085.0</v>
      </c>
      <c r="F33" s="83">
        <v>683943.0</v>
      </c>
      <c r="G33" s="83">
        <v>6000.0</v>
      </c>
      <c r="H33" s="83">
        <v>289234.0</v>
      </c>
      <c r="I33" s="102">
        <v>302974.0</v>
      </c>
      <c r="J33" s="102">
        <v>13000.0</v>
      </c>
      <c r="K33" s="102">
        <v>205945.0</v>
      </c>
      <c r="L33" s="103">
        <v>328935.0</v>
      </c>
      <c r="M33" s="103">
        <v>155205.0</v>
      </c>
      <c r="N33" s="103">
        <v>111380.0</v>
      </c>
      <c r="O33" s="104"/>
      <c r="P33" s="105"/>
    </row>
    <row r="34">
      <c r="A34" s="106" t="s">
        <v>127</v>
      </c>
      <c r="B34" s="95" t="s">
        <v>112</v>
      </c>
      <c r="C34" s="89">
        <v>0.0</v>
      </c>
      <c r="D34" s="83">
        <v>2700.0</v>
      </c>
      <c r="E34" s="88">
        <v>0.0</v>
      </c>
      <c r="F34" s="83">
        <v>9100.0</v>
      </c>
      <c r="G34" s="88">
        <v>0.0</v>
      </c>
      <c r="H34" s="83">
        <v>15610.0</v>
      </c>
      <c r="I34" s="102">
        <v>21500.0</v>
      </c>
      <c r="J34" s="102">
        <v>0.0</v>
      </c>
      <c r="K34" s="102">
        <v>4453.0</v>
      </c>
      <c r="L34" s="103">
        <v>2000.0</v>
      </c>
      <c r="M34" s="103">
        <v>5050.0</v>
      </c>
      <c r="N34" s="103">
        <v>3270.0</v>
      </c>
      <c r="O34" s="104"/>
      <c r="P34" s="105"/>
    </row>
    <row r="35">
      <c r="A35" s="106" t="s">
        <v>128</v>
      </c>
      <c r="B35" s="95" t="s">
        <v>113</v>
      </c>
      <c r="C35" s="89">
        <v>9110.0</v>
      </c>
      <c r="D35" s="83">
        <v>16544.0</v>
      </c>
      <c r="E35" s="83">
        <v>5570.0</v>
      </c>
      <c r="F35" s="83">
        <v>22417.0</v>
      </c>
      <c r="G35" s="83">
        <v>25703.0</v>
      </c>
      <c r="H35" s="83">
        <v>23576.0</v>
      </c>
      <c r="I35" s="102">
        <v>0.0</v>
      </c>
      <c r="J35" s="102">
        <v>17606.0</v>
      </c>
      <c r="K35" s="102">
        <v>6604.0</v>
      </c>
      <c r="L35" s="103">
        <v>15902.0</v>
      </c>
      <c r="M35" s="103">
        <v>8962.0</v>
      </c>
      <c r="N35" s="103">
        <v>18580.0</v>
      </c>
      <c r="O35" s="104"/>
      <c r="P35" s="105"/>
    </row>
    <row r="36">
      <c r="A36" s="108" t="s">
        <v>114</v>
      </c>
      <c r="B36" s="95" t="s">
        <v>114</v>
      </c>
      <c r="C36" s="89">
        <v>0.0</v>
      </c>
      <c r="D36" s="88">
        <v>0.0</v>
      </c>
      <c r="E36" s="88">
        <v>0.0</v>
      </c>
      <c r="F36" s="83">
        <v>657404.0</v>
      </c>
      <c r="G36" s="88">
        <v>0.0</v>
      </c>
      <c r="H36" s="88">
        <v>0.0</v>
      </c>
      <c r="I36" s="102">
        <v>632328.0</v>
      </c>
      <c r="J36" s="102">
        <v>0.0</v>
      </c>
      <c r="K36" s="102">
        <v>752094.0</v>
      </c>
      <c r="L36" s="88">
        <v>0.0</v>
      </c>
      <c r="M36" s="88">
        <v>0.0</v>
      </c>
      <c r="N36" s="103">
        <v>196637.0</v>
      </c>
      <c r="O36" s="104"/>
    </row>
    <row r="37">
      <c r="A37" s="106" t="s">
        <v>129</v>
      </c>
      <c r="B37" s="95" t="s">
        <v>115</v>
      </c>
      <c r="C37" s="89">
        <v>0.0</v>
      </c>
      <c r="D37" s="83">
        <v>61944.0</v>
      </c>
      <c r="E37" s="88">
        <v>0.0</v>
      </c>
      <c r="F37" s="83">
        <v>75936.0</v>
      </c>
      <c r="G37" s="88">
        <v>0.0</v>
      </c>
      <c r="H37" s="83">
        <v>7350.0</v>
      </c>
      <c r="I37" s="102">
        <v>315788.0</v>
      </c>
      <c r="J37" s="102">
        <v>103950.0</v>
      </c>
      <c r="K37" s="102">
        <v>72450.0</v>
      </c>
      <c r="L37" s="103">
        <v>43200.0</v>
      </c>
      <c r="M37" s="103">
        <v>73164.0</v>
      </c>
      <c r="N37" s="103">
        <v>5400.0</v>
      </c>
      <c r="O37" s="104"/>
      <c r="P37" s="105"/>
    </row>
    <row r="38">
      <c r="A38" s="107"/>
      <c r="B38" s="52" t="s">
        <v>6</v>
      </c>
      <c r="C38" s="80">
        <f t="shared" ref="C38:E38" si="9">SUM(C33:C37)</f>
        <v>54126</v>
      </c>
      <c r="D38" s="80">
        <f t="shared" si="9"/>
        <v>336342</v>
      </c>
      <c r="E38" s="80">
        <f t="shared" si="9"/>
        <v>124655</v>
      </c>
      <c r="F38" s="80">
        <v>1448800.0</v>
      </c>
      <c r="G38" s="80">
        <f t="shared" ref="G38:N38" si="10">SUM(G33:G37)</f>
        <v>31703</v>
      </c>
      <c r="H38" s="80">
        <f t="shared" si="10"/>
        <v>335770</v>
      </c>
      <c r="I38" s="80">
        <f t="shared" si="10"/>
        <v>1272590</v>
      </c>
      <c r="J38" s="80">
        <f t="shared" si="10"/>
        <v>134556</v>
      </c>
      <c r="K38" s="80">
        <f t="shared" si="10"/>
        <v>1041546</v>
      </c>
      <c r="L38" s="80">
        <f t="shared" si="10"/>
        <v>390037</v>
      </c>
      <c r="M38" s="80">
        <f t="shared" si="10"/>
        <v>242381</v>
      </c>
      <c r="N38" s="80">
        <f t="shared" si="10"/>
        <v>335267</v>
      </c>
      <c r="O38" s="104"/>
      <c r="P38" s="79"/>
    </row>
    <row r="39">
      <c r="A39" s="101"/>
      <c r="B39" s="51"/>
      <c r="C39" s="80" t="s">
        <v>79</v>
      </c>
      <c r="D39" s="80" t="s">
        <v>79</v>
      </c>
      <c r="E39" s="80" t="s">
        <v>79</v>
      </c>
      <c r="F39" s="80" t="s">
        <v>79</v>
      </c>
      <c r="G39" s="80" t="s">
        <v>79</v>
      </c>
      <c r="H39" s="80" t="s">
        <v>79</v>
      </c>
      <c r="I39" s="45"/>
      <c r="J39" s="45"/>
      <c r="K39" s="45"/>
      <c r="L39" s="45"/>
      <c r="M39" s="45"/>
      <c r="N39" s="45"/>
    </row>
    <row r="40">
      <c r="A40" s="100" t="s">
        <v>130</v>
      </c>
      <c r="B40" s="43" t="s">
        <v>39</v>
      </c>
      <c r="C40" s="89">
        <v>4107513.0</v>
      </c>
      <c r="D40" s="83">
        <v>4976335.0</v>
      </c>
      <c r="E40" s="83">
        <v>6725061.0</v>
      </c>
      <c r="F40" s="83">
        <v>7158925.0</v>
      </c>
      <c r="G40" s="83">
        <v>4787397.0</v>
      </c>
      <c r="H40" s="83">
        <v>4578646.0</v>
      </c>
      <c r="I40" s="102">
        <v>5110980.0</v>
      </c>
      <c r="J40" s="102">
        <v>4726158.0</v>
      </c>
      <c r="K40" s="102">
        <v>7341373.0</v>
      </c>
      <c r="L40" s="103">
        <v>8247624.0</v>
      </c>
      <c r="M40" s="103">
        <v>4951234.0</v>
      </c>
      <c r="N40" s="103">
        <v>1.0240029E7</v>
      </c>
      <c r="O40" s="105"/>
      <c r="P40" s="105"/>
    </row>
    <row r="41">
      <c r="A41" s="100" t="s">
        <v>116</v>
      </c>
      <c r="B41" s="43" t="s">
        <v>116</v>
      </c>
      <c r="C41" s="89">
        <v>0.0</v>
      </c>
      <c r="D41" s="83">
        <v>94990.0</v>
      </c>
      <c r="E41" s="88">
        <v>0.0</v>
      </c>
      <c r="F41" s="88">
        <v>0.0</v>
      </c>
      <c r="G41" s="88">
        <v>0.0</v>
      </c>
      <c r="H41" s="83">
        <v>41170.0</v>
      </c>
      <c r="I41" s="102">
        <v>36685.0</v>
      </c>
      <c r="J41" s="102">
        <v>0.0</v>
      </c>
      <c r="K41" s="102">
        <v>0.0</v>
      </c>
      <c r="L41" s="102">
        <v>0.0</v>
      </c>
      <c r="M41" s="102">
        <v>0.0</v>
      </c>
      <c r="N41" s="102">
        <v>0.0</v>
      </c>
      <c r="O41" s="104"/>
      <c r="P41" s="104"/>
    </row>
    <row r="42">
      <c r="A42" s="107"/>
      <c r="B42" s="52" t="s">
        <v>6</v>
      </c>
      <c r="C42" s="89">
        <f t="shared" ref="C42:E42" si="11">SUM(C40:C41)</f>
        <v>4107513</v>
      </c>
      <c r="D42" s="80">
        <f t="shared" si="11"/>
        <v>5071325</v>
      </c>
      <c r="E42" s="80">
        <f t="shared" si="11"/>
        <v>6725061</v>
      </c>
      <c r="F42" s="80">
        <v>7158925.0</v>
      </c>
      <c r="G42" s="80">
        <f t="shared" ref="G42:N42" si="12">SUM(G40:G41)</f>
        <v>4787397</v>
      </c>
      <c r="H42" s="80">
        <f t="shared" si="12"/>
        <v>4619816</v>
      </c>
      <c r="I42" s="80">
        <f t="shared" si="12"/>
        <v>5147665</v>
      </c>
      <c r="J42" s="80">
        <f t="shared" si="12"/>
        <v>4726158</v>
      </c>
      <c r="K42" s="80">
        <f t="shared" si="12"/>
        <v>7341373</v>
      </c>
      <c r="L42" s="80">
        <f t="shared" si="12"/>
        <v>8247624</v>
      </c>
      <c r="M42" s="80">
        <f t="shared" si="12"/>
        <v>4951234</v>
      </c>
      <c r="N42" s="80">
        <f t="shared" si="12"/>
        <v>10240029</v>
      </c>
      <c r="O42" s="78"/>
      <c r="P42" s="78"/>
    </row>
    <row r="43">
      <c r="A43" s="100"/>
      <c r="B43" s="43"/>
      <c r="C43" s="80" t="s">
        <v>79</v>
      </c>
      <c r="D43" s="80" t="s">
        <v>79</v>
      </c>
      <c r="E43" s="80" t="s">
        <v>79</v>
      </c>
      <c r="F43" s="80" t="s">
        <v>79</v>
      </c>
      <c r="G43" s="80" t="s">
        <v>79</v>
      </c>
      <c r="H43" s="80" t="s">
        <v>79</v>
      </c>
      <c r="I43" s="45"/>
      <c r="J43" s="45"/>
      <c r="K43" s="45"/>
      <c r="L43" s="45"/>
      <c r="M43" s="45"/>
      <c r="N43" s="45"/>
    </row>
    <row r="44">
      <c r="A44" s="100" t="s">
        <v>21</v>
      </c>
      <c r="B44" s="43" t="s">
        <v>21</v>
      </c>
      <c r="C44" s="89">
        <v>504000.0</v>
      </c>
      <c r="D44" s="83">
        <v>27000.0</v>
      </c>
      <c r="E44" s="88">
        <v>0.0</v>
      </c>
      <c r="F44" s="83">
        <v>354840.0</v>
      </c>
      <c r="G44" s="83">
        <v>342000.0</v>
      </c>
      <c r="H44" s="83">
        <v>881298.0</v>
      </c>
      <c r="I44" s="102">
        <v>528000.0</v>
      </c>
      <c r="J44" s="102">
        <v>345600.0</v>
      </c>
      <c r="K44" s="102">
        <v>360000.0</v>
      </c>
      <c r="L44" s="103">
        <v>455400.0</v>
      </c>
      <c r="M44" s="103">
        <v>784800.0</v>
      </c>
      <c r="N44" s="103">
        <v>1146600.0</v>
      </c>
      <c r="O44" s="104"/>
      <c r="P44" s="104"/>
    </row>
    <row r="45">
      <c r="A45" s="100"/>
      <c r="B45" s="43"/>
      <c r="C45" s="80" t="s">
        <v>79</v>
      </c>
      <c r="D45" s="80" t="s">
        <v>79</v>
      </c>
      <c r="E45" s="80" t="s">
        <v>79</v>
      </c>
      <c r="F45" s="80" t="s">
        <v>79</v>
      </c>
      <c r="G45" s="80" t="s">
        <v>79</v>
      </c>
      <c r="H45" s="80" t="s">
        <v>79</v>
      </c>
      <c r="I45" s="45"/>
      <c r="J45" s="45"/>
      <c r="K45" s="45"/>
      <c r="L45" s="45"/>
      <c r="M45" s="45"/>
      <c r="N45" s="45"/>
    </row>
    <row r="46">
      <c r="A46" s="107"/>
      <c r="B46" s="52" t="s">
        <v>6</v>
      </c>
      <c r="C46" s="89">
        <f t="shared" ref="C46:E46" si="13">SUM(C44:C45)</f>
        <v>504000</v>
      </c>
      <c r="D46" s="89">
        <f t="shared" si="13"/>
        <v>27000</v>
      </c>
      <c r="E46" s="89">
        <f t="shared" si="13"/>
        <v>0</v>
      </c>
      <c r="F46" s="89">
        <v>354840.0</v>
      </c>
      <c r="G46" s="89">
        <f t="shared" ref="G46:N46" si="14">SUM(G44:G45)</f>
        <v>342000</v>
      </c>
      <c r="H46" s="89">
        <f t="shared" si="14"/>
        <v>881298</v>
      </c>
      <c r="I46" s="89">
        <f t="shared" si="14"/>
        <v>528000</v>
      </c>
      <c r="J46" s="89">
        <f t="shared" si="14"/>
        <v>345600</v>
      </c>
      <c r="K46" s="89">
        <f t="shared" si="14"/>
        <v>360000</v>
      </c>
      <c r="L46" s="89">
        <f t="shared" si="14"/>
        <v>455400</v>
      </c>
      <c r="M46" s="89">
        <f t="shared" si="14"/>
        <v>784800</v>
      </c>
      <c r="N46" s="89">
        <f t="shared" si="14"/>
        <v>1146600</v>
      </c>
      <c r="O46" s="79"/>
      <c r="P46" s="79"/>
    </row>
    <row r="47">
      <c r="A47" s="100"/>
      <c r="B47" s="43"/>
      <c r="C47" s="80" t="s">
        <v>79</v>
      </c>
      <c r="D47" s="80" t="s">
        <v>79</v>
      </c>
      <c r="E47" s="80" t="s">
        <v>79</v>
      </c>
      <c r="F47" s="80" t="s">
        <v>79</v>
      </c>
      <c r="G47" s="80" t="s">
        <v>79</v>
      </c>
      <c r="H47" s="80" t="s">
        <v>79</v>
      </c>
      <c r="I47" s="45"/>
      <c r="J47" s="45"/>
      <c r="K47" s="45"/>
      <c r="L47" s="45"/>
      <c r="M47" s="45"/>
      <c r="N47" s="45"/>
    </row>
    <row r="48">
      <c r="A48" s="100" t="s">
        <v>117</v>
      </c>
      <c r="B48" s="43" t="s">
        <v>117</v>
      </c>
      <c r="C48" s="89">
        <v>0.0</v>
      </c>
      <c r="D48" s="88">
        <v>0.0</v>
      </c>
      <c r="E48" s="88">
        <v>0.0</v>
      </c>
      <c r="F48" s="88">
        <v>0.0</v>
      </c>
      <c r="G48" s="88">
        <v>0.0</v>
      </c>
      <c r="H48" s="88">
        <v>0.0</v>
      </c>
      <c r="I48" s="88">
        <v>0.0</v>
      </c>
      <c r="J48" s="88">
        <v>0.0</v>
      </c>
      <c r="K48" s="88">
        <v>0.0</v>
      </c>
      <c r="L48" s="88">
        <v>0.0</v>
      </c>
      <c r="M48" s="102">
        <v>0.0</v>
      </c>
      <c r="N48" s="102">
        <v>0.0</v>
      </c>
    </row>
    <row r="49">
      <c r="A49" s="100" t="s">
        <v>118</v>
      </c>
      <c r="B49" s="43" t="s">
        <v>118</v>
      </c>
      <c r="C49" s="89">
        <v>0.0</v>
      </c>
      <c r="D49" s="88">
        <v>0.0</v>
      </c>
      <c r="E49" s="88">
        <v>0.0</v>
      </c>
      <c r="F49" s="88">
        <v>0.0</v>
      </c>
      <c r="G49" s="88">
        <v>0.0</v>
      </c>
      <c r="H49" s="88">
        <v>0.0</v>
      </c>
      <c r="I49" s="88">
        <v>0.0</v>
      </c>
      <c r="J49" s="88">
        <v>0.0</v>
      </c>
      <c r="K49" s="88">
        <v>0.0</v>
      </c>
      <c r="L49" s="88">
        <v>0.0</v>
      </c>
      <c r="M49" s="102">
        <v>0.0</v>
      </c>
      <c r="N49" s="102">
        <v>0.0</v>
      </c>
    </row>
    <row r="50">
      <c r="A50" s="106" t="s">
        <v>131</v>
      </c>
      <c r="B50" s="95" t="s">
        <v>131</v>
      </c>
      <c r="C50" s="89">
        <v>0.0</v>
      </c>
      <c r="D50" s="88">
        <v>0.0</v>
      </c>
      <c r="E50" s="88">
        <v>0.0</v>
      </c>
      <c r="F50" s="88">
        <v>0.0</v>
      </c>
      <c r="G50" s="88">
        <v>0.0</v>
      </c>
      <c r="H50" s="88">
        <v>0.0</v>
      </c>
      <c r="I50" s="88">
        <v>0.0</v>
      </c>
      <c r="J50" s="88">
        <v>0.0</v>
      </c>
      <c r="K50" s="88">
        <v>0.0</v>
      </c>
      <c r="L50" s="88">
        <v>0.0</v>
      </c>
      <c r="M50" s="102">
        <v>0.0</v>
      </c>
      <c r="N50" s="102">
        <v>0.0</v>
      </c>
    </row>
    <row r="51">
      <c r="A51" s="107" t="s">
        <v>119</v>
      </c>
      <c r="B51" s="95" t="s">
        <v>119</v>
      </c>
      <c r="C51" s="89">
        <v>56940.0</v>
      </c>
      <c r="D51" s="88">
        <v>0.0</v>
      </c>
      <c r="E51" s="88">
        <v>0.0</v>
      </c>
      <c r="F51" s="88">
        <v>0.0</v>
      </c>
      <c r="G51" s="88">
        <v>0.0</v>
      </c>
      <c r="H51" s="88">
        <v>0.0</v>
      </c>
      <c r="I51" s="102">
        <v>15050.0</v>
      </c>
      <c r="J51" s="88">
        <v>0.0</v>
      </c>
      <c r="K51" s="88">
        <v>0.0</v>
      </c>
      <c r="L51" s="103">
        <v>129000.0</v>
      </c>
      <c r="M51" s="103">
        <v>21500.0</v>
      </c>
      <c r="N51" s="102">
        <v>0.0</v>
      </c>
    </row>
    <row r="52">
      <c r="A52" s="107"/>
      <c r="B52" s="52" t="s">
        <v>6</v>
      </c>
      <c r="C52" s="80">
        <f t="shared" ref="C52:E52" si="15">SUM(C48:C51)</f>
        <v>56940</v>
      </c>
      <c r="D52" s="80">
        <f t="shared" si="15"/>
        <v>0</v>
      </c>
      <c r="E52" s="80">
        <f t="shared" si="15"/>
        <v>0</v>
      </c>
      <c r="F52" s="80">
        <v>0.0</v>
      </c>
      <c r="G52" s="80">
        <f t="shared" ref="G52:M52" si="16">SUM(G48:G51)</f>
        <v>0</v>
      </c>
      <c r="H52" s="80">
        <f t="shared" si="16"/>
        <v>0</v>
      </c>
      <c r="I52" s="80">
        <f t="shared" si="16"/>
        <v>15050</v>
      </c>
      <c r="J52" s="80">
        <f t="shared" si="16"/>
        <v>0</v>
      </c>
      <c r="K52" s="80">
        <f t="shared" si="16"/>
        <v>0</v>
      </c>
      <c r="L52" s="80">
        <f t="shared" si="16"/>
        <v>129000</v>
      </c>
      <c r="M52" s="80">
        <f t="shared" si="16"/>
        <v>21500</v>
      </c>
      <c r="N52" s="89">
        <v>0.0</v>
      </c>
      <c r="O52" s="78"/>
      <c r="P52" s="78"/>
    </row>
    <row r="53">
      <c r="A53" s="101"/>
      <c r="B53" s="51"/>
      <c r="C53" s="80" t="s">
        <v>79</v>
      </c>
      <c r="D53" s="80" t="s">
        <v>79</v>
      </c>
      <c r="E53" s="80" t="s">
        <v>79</v>
      </c>
      <c r="F53" s="80" t="s">
        <v>79</v>
      </c>
      <c r="G53" s="80" t="s">
        <v>79</v>
      </c>
      <c r="H53" s="80" t="s">
        <v>79</v>
      </c>
      <c r="I53" s="45"/>
      <c r="J53" s="45"/>
      <c r="K53" s="45"/>
      <c r="L53" s="45"/>
      <c r="M53" s="45"/>
      <c r="N53" s="45"/>
    </row>
    <row r="54">
      <c r="A54" s="100" t="s">
        <v>132</v>
      </c>
      <c r="B54" s="43" t="s">
        <v>64</v>
      </c>
      <c r="C54" s="89">
        <v>0.0</v>
      </c>
      <c r="D54" s="83">
        <v>18240.0</v>
      </c>
      <c r="E54" s="83">
        <v>52740.0</v>
      </c>
      <c r="F54" s="83">
        <v>24680.0</v>
      </c>
      <c r="G54" s="83">
        <v>2400.0</v>
      </c>
      <c r="H54" s="83">
        <v>285549.0</v>
      </c>
      <c r="I54" s="102">
        <v>43737.0</v>
      </c>
      <c r="J54" s="102">
        <v>20397.0</v>
      </c>
      <c r="K54" s="102">
        <v>17412.0</v>
      </c>
      <c r="L54" s="103">
        <v>9500.0</v>
      </c>
      <c r="M54" s="103">
        <v>27000.0</v>
      </c>
      <c r="N54" s="103">
        <v>10800.0</v>
      </c>
      <c r="O54" s="104"/>
    </row>
    <row r="55">
      <c r="A55" s="43" t="s">
        <v>133</v>
      </c>
      <c r="B55" s="43" t="s">
        <v>133</v>
      </c>
      <c r="C55" s="89">
        <v>2318000.0</v>
      </c>
      <c r="D55" s="83">
        <v>8196284.0</v>
      </c>
      <c r="E55" s="83">
        <v>5567214.0</v>
      </c>
      <c r="F55" s="83">
        <v>5008117.0</v>
      </c>
      <c r="G55" s="83">
        <v>1377025.0</v>
      </c>
      <c r="H55" s="83">
        <v>2659917.0</v>
      </c>
      <c r="I55" s="102">
        <v>2556895.0</v>
      </c>
      <c r="J55" s="102">
        <v>1752637.0</v>
      </c>
      <c r="K55" s="102">
        <v>1857839.0</v>
      </c>
      <c r="L55" s="103">
        <v>2049374.0</v>
      </c>
      <c r="M55" s="103">
        <v>2442066.0</v>
      </c>
      <c r="N55" s="103">
        <v>2415148.0</v>
      </c>
      <c r="O55" s="104"/>
      <c r="P55" s="104"/>
    </row>
    <row r="56">
      <c r="A56" s="107" t="s">
        <v>134</v>
      </c>
      <c r="B56" s="107" t="s">
        <v>134</v>
      </c>
      <c r="C56" s="89">
        <v>0.0</v>
      </c>
      <c r="D56" s="89">
        <v>0.0</v>
      </c>
      <c r="E56" s="88">
        <v>0.0</v>
      </c>
      <c r="F56" s="88">
        <v>0.0</v>
      </c>
      <c r="G56" s="88">
        <v>0.0</v>
      </c>
      <c r="H56" s="88">
        <v>0.0</v>
      </c>
      <c r="I56" s="46"/>
      <c r="J56" s="46"/>
      <c r="K56" s="80"/>
      <c r="L56" s="80"/>
      <c r="M56" s="80"/>
      <c r="N56" s="80"/>
      <c r="O56" s="78"/>
      <c r="P56" s="78"/>
    </row>
    <row r="57">
      <c r="A57" s="107"/>
      <c r="B57" s="52" t="s">
        <v>6</v>
      </c>
      <c r="C57" s="80">
        <f t="shared" ref="C57:E57" si="17">SUM(C54:C56)</f>
        <v>2318000</v>
      </c>
      <c r="D57" s="80">
        <f t="shared" si="17"/>
        <v>8214524</v>
      </c>
      <c r="E57" s="80">
        <f t="shared" si="17"/>
        <v>5619954</v>
      </c>
      <c r="F57" s="80">
        <v>5032797.0</v>
      </c>
      <c r="G57" s="80">
        <f t="shared" ref="G57:N57" si="18">SUM(G54:G56)</f>
        <v>1379425</v>
      </c>
      <c r="H57" s="80">
        <f t="shared" si="18"/>
        <v>2945466</v>
      </c>
      <c r="I57" s="80">
        <f t="shared" si="18"/>
        <v>2600632</v>
      </c>
      <c r="J57" s="80">
        <f t="shared" si="18"/>
        <v>1773034</v>
      </c>
      <c r="K57" s="80">
        <f t="shared" si="18"/>
        <v>1875251</v>
      </c>
      <c r="L57" s="80">
        <f t="shared" si="18"/>
        <v>2058874</v>
      </c>
      <c r="M57" s="80">
        <f t="shared" si="18"/>
        <v>2469066</v>
      </c>
      <c r="N57" s="80">
        <f t="shared" si="18"/>
        <v>2425948</v>
      </c>
      <c r="O57" s="80"/>
      <c r="P57" s="78"/>
    </row>
    <row r="58">
      <c r="A58" s="101"/>
      <c r="B58" s="51"/>
      <c r="C58" s="80" t="s">
        <v>79</v>
      </c>
      <c r="D58" s="45"/>
      <c r="E58" s="80"/>
      <c r="F58" s="45"/>
      <c r="G58" s="45"/>
      <c r="H58" s="45"/>
      <c r="I58" s="45"/>
      <c r="J58" s="45"/>
      <c r="K58" s="45"/>
      <c r="L58" s="45"/>
      <c r="M58" s="45"/>
      <c r="N58" s="45"/>
    </row>
    <row r="59">
      <c r="A59" s="109"/>
      <c r="B59" s="50" t="s">
        <v>120</v>
      </c>
      <c r="C59" s="80">
        <f t="shared" ref="C59:E59" si="19">SUMIF($B$3:$B$57,"TOTAL",C3:C57)</f>
        <v>109987862</v>
      </c>
      <c r="D59" s="80">
        <f t="shared" si="19"/>
        <v>120376391</v>
      </c>
      <c r="E59" s="80">
        <f t="shared" si="19"/>
        <v>134042176</v>
      </c>
      <c r="F59" s="80">
        <v>1.27205664E8</v>
      </c>
      <c r="G59" s="80">
        <f t="shared" ref="G59:N59" si="20">SUMIF($B$3:$B$57,"TOTAL",G3:G57)</f>
        <v>81640379</v>
      </c>
      <c r="H59" s="80">
        <f t="shared" si="20"/>
        <v>174991913</v>
      </c>
      <c r="I59" s="80">
        <f t="shared" si="20"/>
        <v>153026030</v>
      </c>
      <c r="J59" s="80">
        <f t="shared" si="20"/>
        <v>104245098</v>
      </c>
      <c r="K59" s="80">
        <f t="shared" si="20"/>
        <v>131754817</v>
      </c>
      <c r="L59" s="80">
        <f t="shared" si="20"/>
        <v>145646157</v>
      </c>
      <c r="M59" s="80">
        <f t="shared" si="20"/>
        <v>130806514</v>
      </c>
      <c r="N59" s="80">
        <f t="shared" si="20"/>
        <v>192211127</v>
      </c>
      <c r="O59" s="78"/>
      <c r="P59" s="78"/>
    </row>
    <row r="60">
      <c r="A60" s="101"/>
      <c r="B60" s="51"/>
      <c r="C60" s="80" t="s">
        <v>79</v>
      </c>
      <c r="D60" s="45"/>
      <c r="E60" s="80"/>
      <c r="F60" s="45"/>
      <c r="G60" s="45"/>
      <c r="H60" s="45"/>
      <c r="I60" s="45"/>
      <c r="J60" s="45"/>
      <c r="K60" s="45"/>
      <c r="L60" s="45"/>
      <c r="M60" s="45"/>
      <c r="N60" s="45"/>
    </row>
    <row r="61">
      <c r="A61" s="101"/>
      <c r="B61" s="43" t="s">
        <v>88</v>
      </c>
      <c r="C61" s="80">
        <f>SUM(C59:N59)</f>
        <v>1605934128</v>
      </c>
      <c r="D61" s="45"/>
      <c r="E61" s="80"/>
      <c r="F61" s="45"/>
      <c r="G61" s="45"/>
      <c r="H61" s="45"/>
      <c r="I61" s="45"/>
      <c r="J61" s="45"/>
      <c r="K61" s="45"/>
      <c r="L61" s="45"/>
      <c r="M61" s="45"/>
      <c r="N61" s="45"/>
    </row>
    <row r="63">
      <c r="K63" s="110"/>
    </row>
  </sheetData>
  <printOptions gridLines="1" horizontalCentered="1"/>
  <pageMargins bottom="0.06597671410090557" footer="0.0" header="0.0" left="0.3408796895213454" right="0.2522432701894317" top="0.19740777666999004"/>
  <pageSetup scale="55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1">
      <c r="C1" s="78"/>
    </row>
    <row r="2">
      <c r="C2" s="78"/>
    </row>
    <row r="3">
      <c r="B3" s="22" t="s">
        <v>132</v>
      </c>
      <c r="C3" s="79">
        <v>343471.33</v>
      </c>
    </row>
    <row r="4">
      <c r="B4" s="22" t="s">
        <v>97</v>
      </c>
      <c r="C4" s="79">
        <v>1.64289416E7</v>
      </c>
    </row>
    <row r="5">
      <c r="B5" s="22" t="s">
        <v>98</v>
      </c>
      <c r="C5" s="79">
        <v>161927.91</v>
      </c>
    </row>
    <row r="6">
      <c r="B6" s="22" t="s">
        <v>99</v>
      </c>
      <c r="C6" s="79">
        <v>1180956.22</v>
      </c>
    </row>
    <row r="7">
      <c r="B7" s="22" t="s">
        <v>123</v>
      </c>
      <c r="C7" s="79">
        <v>9725166.0</v>
      </c>
    </row>
    <row r="8">
      <c r="B8" s="22" t="s">
        <v>100</v>
      </c>
      <c r="C8" s="79">
        <v>6604255.3</v>
      </c>
    </row>
    <row r="9">
      <c r="B9" s="22" t="s">
        <v>135</v>
      </c>
      <c r="C9" s="79">
        <v>4968738.74</v>
      </c>
    </row>
    <row r="10">
      <c r="B10" s="22" t="s">
        <v>113</v>
      </c>
      <c r="C10" s="79">
        <v>27622.6</v>
      </c>
    </row>
    <row r="11">
      <c r="B11" s="22" t="s">
        <v>126</v>
      </c>
      <c r="C11" s="79">
        <v>291676.0</v>
      </c>
    </row>
    <row r="12">
      <c r="B12" s="22" t="s">
        <v>127</v>
      </c>
      <c r="C12" s="79">
        <v>5018.0</v>
      </c>
    </row>
    <row r="13">
      <c r="B13" s="22" t="s">
        <v>128</v>
      </c>
      <c r="C13" s="79">
        <v>46036.1</v>
      </c>
    </row>
    <row r="14">
      <c r="B14" s="22" t="s">
        <v>107</v>
      </c>
      <c r="C14" s="79">
        <v>4341450.15</v>
      </c>
    </row>
    <row r="15">
      <c r="B15" s="22" t="s">
        <v>110</v>
      </c>
      <c r="C15" s="79">
        <v>243873.68</v>
      </c>
    </row>
    <row r="16">
      <c r="B16" s="22" t="s">
        <v>108</v>
      </c>
      <c r="C16" s="79">
        <v>1090859.47</v>
      </c>
    </row>
    <row r="17">
      <c r="B17" s="22" t="s">
        <v>125</v>
      </c>
      <c r="C17" s="79">
        <v>1.052931588E8</v>
      </c>
    </row>
    <row r="18">
      <c r="B18" s="22" t="s">
        <v>109</v>
      </c>
      <c r="C18" s="79">
        <v>833596.08</v>
      </c>
    </row>
    <row r="19">
      <c r="B19" s="22" t="s">
        <v>92</v>
      </c>
      <c r="C19" s="79">
        <v>5306788.7</v>
      </c>
    </row>
    <row r="20">
      <c r="B20" s="22" t="s">
        <v>93</v>
      </c>
      <c r="C20" s="79">
        <v>797139.0</v>
      </c>
    </row>
    <row r="21">
      <c r="B21" s="22" t="s">
        <v>94</v>
      </c>
      <c r="C21" s="79">
        <v>3879289.23</v>
      </c>
    </row>
    <row r="22">
      <c r="B22" s="22" t="s">
        <v>122</v>
      </c>
      <c r="C22" s="79">
        <v>1.9384666E7</v>
      </c>
    </row>
    <row r="23">
      <c r="B23" s="22" t="s">
        <v>95</v>
      </c>
      <c r="C23" s="79">
        <v>3896120.0</v>
      </c>
    </row>
    <row r="24">
      <c r="B24" s="22" t="s">
        <v>116</v>
      </c>
      <c r="C24" s="79">
        <v>49650.0</v>
      </c>
    </row>
    <row r="25">
      <c r="B25" s="22" t="s">
        <v>130</v>
      </c>
      <c r="C25" s="79">
        <v>4683724.0</v>
      </c>
    </row>
    <row r="26">
      <c r="B26" s="22" t="s">
        <v>102</v>
      </c>
      <c r="C26" s="79">
        <v>822962.76</v>
      </c>
    </row>
    <row r="27">
      <c r="B27" s="22" t="s">
        <v>103</v>
      </c>
      <c r="C27" s="79">
        <v>149900.0</v>
      </c>
    </row>
    <row r="28">
      <c r="B28" s="22" t="s">
        <v>104</v>
      </c>
      <c r="C28" s="79">
        <v>548162.66</v>
      </c>
    </row>
    <row r="29">
      <c r="B29" s="22" t="s">
        <v>124</v>
      </c>
      <c r="C29" s="79">
        <v>3926127.12</v>
      </c>
    </row>
    <row r="30">
      <c r="B30" s="22" t="s">
        <v>105</v>
      </c>
      <c r="C30" s="79">
        <v>45250.0</v>
      </c>
    </row>
    <row r="31">
      <c r="C31" s="78"/>
    </row>
    <row r="32">
      <c r="C32" s="78"/>
    </row>
    <row r="33">
      <c r="C33" s="78"/>
    </row>
    <row r="34">
      <c r="C34" s="78"/>
    </row>
    <row r="35">
      <c r="C35" s="78"/>
    </row>
    <row r="36">
      <c r="C36" s="78"/>
    </row>
    <row r="37">
      <c r="C37" s="78"/>
    </row>
    <row r="38">
      <c r="C38" s="78"/>
    </row>
    <row r="39">
      <c r="C39" s="78"/>
    </row>
    <row r="40">
      <c r="C40" s="78"/>
    </row>
    <row r="41">
      <c r="C41" s="78"/>
    </row>
    <row r="42">
      <c r="C42" s="78"/>
    </row>
    <row r="43">
      <c r="C43" s="78"/>
    </row>
    <row r="44">
      <c r="C44" s="78"/>
    </row>
    <row r="45">
      <c r="C45" s="78"/>
    </row>
    <row r="46">
      <c r="C46" s="78"/>
    </row>
    <row r="47">
      <c r="C47" s="78"/>
    </row>
    <row r="48">
      <c r="C48" s="78"/>
    </row>
    <row r="49">
      <c r="C49" s="78"/>
    </row>
    <row r="50">
      <c r="C50" s="78"/>
    </row>
    <row r="51">
      <c r="C51" s="78"/>
    </row>
    <row r="52">
      <c r="C52" s="78"/>
    </row>
    <row r="53">
      <c r="C53" s="78"/>
    </row>
    <row r="54">
      <c r="C54" s="78"/>
    </row>
    <row r="55">
      <c r="C55" s="78"/>
    </row>
    <row r="56">
      <c r="C56" s="78"/>
    </row>
    <row r="57">
      <c r="C57" s="78"/>
    </row>
    <row r="58">
      <c r="C58" s="78"/>
    </row>
    <row r="59">
      <c r="C59" s="78"/>
    </row>
    <row r="60">
      <c r="C60" s="78"/>
    </row>
    <row r="61">
      <c r="C61" s="78"/>
    </row>
    <row r="62">
      <c r="C62" s="78"/>
    </row>
    <row r="63">
      <c r="C63" s="78"/>
    </row>
    <row r="64">
      <c r="C64" s="78"/>
    </row>
    <row r="65">
      <c r="C65" s="78"/>
    </row>
    <row r="66">
      <c r="C66" s="78"/>
    </row>
    <row r="67">
      <c r="C67" s="78"/>
    </row>
    <row r="68">
      <c r="C68" s="78"/>
    </row>
    <row r="69">
      <c r="C69" s="78"/>
    </row>
    <row r="70">
      <c r="C70" s="78"/>
    </row>
    <row r="71">
      <c r="C71" s="78"/>
    </row>
    <row r="72">
      <c r="C72" s="78"/>
    </row>
    <row r="73">
      <c r="C73" s="78"/>
    </row>
    <row r="74">
      <c r="C74" s="78"/>
    </row>
    <row r="75">
      <c r="C75" s="78"/>
    </row>
    <row r="76">
      <c r="C76" s="78"/>
    </row>
    <row r="77">
      <c r="C77" s="78"/>
    </row>
    <row r="78">
      <c r="C78" s="78"/>
    </row>
    <row r="79">
      <c r="C79" s="78"/>
    </row>
    <row r="80">
      <c r="C80" s="78"/>
    </row>
    <row r="81">
      <c r="C81" s="78"/>
    </row>
    <row r="82">
      <c r="C82" s="78"/>
    </row>
    <row r="83">
      <c r="C83" s="78"/>
    </row>
    <row r="84">
      <c r="C84" s="78"/>
    </row>
    <row r="85">
      <c r="C85" s="78"/>
    </row>
    <row r="86">
      <c r="C86" s="78"/>
    </row>
    <row r="87">
      <c r="C87" s="78"/>
    </row>
    <row r="88">
      <c r="C88" s="78"/>
    </row>
    <row r="89">
      <c r="C89" s="78"/>
    </row>
    <row r="90">
      <c r="C90" s="78"/>
    </row>
    <row r="91">
      <c r="C91" s="78"/>
    </row>
    <row r="92">
      <c r="C92" s="78"/>
    </row>
    <row r="93">
      <c r="C93" s="78"/>
    </row>
    <row r="94">
      <c r="C94" s="78"/>
    </row>
    <row r="95">
      <c r="C95" s="78"/>
    </row>
    <row r="96">
      <c r="C96" s="78"/>
    </row>
    <row r="97">
      <c r="C97" s="78"/>
    </row>
    <row r="98">
      <c r="C98" s="78"/>
    </row>
    <row r="99">
      <c r="C99" s="78"/>
    </row>
    <row r="100">
      <c r="C100" s="78"/>
    </row>
    <row r="101">
      <c r="C101" s="78"/>
    </row>
    <row r="102">
      <c r="C102" s="78"/>
    </row>
    <row r="103">
      <c r="C103" s="78"/>
    </row>
    <row r="104">
      <c r="C104" s="78"/>
    </row>
    <row r="105">
      <c r="C105" s="78"/>
    </row>
    <row r="106">
      <c r="C106" s="78"/>
    </row>
    <row r="107">
      <c r="C107" s="78"/>
    </row>
    <row r="108">
      <c r="C108" s="78"/>
    </row>
    <row r="109">
      <c r="C109" s="78"/>
    </row>
    <row r="110">
      <c r="C110" s="78"/>
    </row>
    <row r="111">
      <c r="C111" s="78"/>
    </row>
    <row r="112">
      <c r="C112" s="78"/>
    </row>
    <row r="113">
      <c r="C113" s="78"/>
    </row>
    <row r="114">
      <c r="C114" s="78"/>
    </row>
    <row r="115">
      <c r="C115" s="78"/>
    </row>
    <row r="116">
      <c r="C116" s="78"/>
    </row>
    <row r="117">
      <c r="C117" s="78"/>
    </row>
    <row r="118">
      <c r="C118" s="78"/>
    </row>
    <row r="119">
      <c r="C119" s="78"/>
    </row>
    <row r="120">
      <c r="C120" s="78"/>
    </row>
    <row r="121">
      <c r="C121" s="78"/>
    </row>
    <row r="122">
      <c r="C122" s="78"/>
    </row>
    <row r="123">
      <c r="C123" s="78"/>
    </row>
    <row r="124">
      <c r="C124" s="78"/>
    </row>
    <row r="125">
      <c r="C125" s="78"/>
    </row>
    <row r="126">
      <c r="C126" s="78"/>
    </row>
    <row r="127">
      <c r="C127" s="78"/>
    </row>
    <row r="128">
      <c r="C128" s="78"/>
    </row>
    <row r="129">
      <c r="C129" s="78"/>
    </row>
    <row r="130">
      <c r="C130" s="78"/>
    </row>
    <row r="131">
      <c r="C131" s="78"/>
    </row>
    <row r="132">
      <c r="C132" s="78"/>
    </row>
    <row r="133">
      <c r="C133" s="78"/>
    </row>
    <row r="134">
      <c r="C134" s="78"/>
    </row>
    <row r="135">
      <c r="C135" s="78"/>
    </row>
    <row r="136">
      <c r="C136" s="78"/>
    </row>
    <row r="137">
      <c r="C137" s="78"/>
    </row>
    <row r="138">
      <c r="C138" s="78"/>
    </row>
    <row r="139">
      <c r="C139" s="78"/>
    </row>
    <row r="140">
      <c r="C140" s="78"/>
    </row>
    <row r="141">
      <c r="C141" s="78"/>
    </row>
    <row r="142">
      <c r="C142" s="78"/>
    </row>
    <row r="143">
      <c r="C143" s="78"/>
    </row>
    <row r="144">
      <c r="C144" s="78"/>
    </row>
    <row r="145">
      <c r="C145" s="78"/>
    </row>
    <row r="146">
      <c r="C146" s="78"/>
    </row>
    <row r="147">
      <c r="C147" s="78"/>
    </row>
    <row r="148">
      <c r="C148" s="78"/>
    </row>
    <row r="149">
      <c r="C149" s="78"/>
    </row>
    <row r="150">
      <c r="C150" s="78"/>
    </row>
    <row r="151">
      <c r="C151" s="78"/>
    </row>
    <row r="152">
      <c r="C152" s="78"/>
    </row>
    <row r="153">
      <c r="C153" s="78"/>
    </row>
    <row r="154">
      <c r="C154" s="78"/>
    </row>
    <row r="155">
      <c r="C155" s="78"/>
    </row>
    <row r="156">
      <c r="C156" s="78"/>
    </row>
    <row r="157">
      <c r="C157" s="78"/>
    </row>
    <row r="158">
      <c r="C158" s="78"/>
    </row>
    <row r="159">
      <c r="C159" s="78"/>
    </row>
    <row r="160">
      <c r="C160" s="78"/>
    </row>
    <row r="161">
      <c r="C161" s="78"/>
    </row>
    <row r="162">
      <c r="C162" s="78"/>
    </row>
    <row r="163">
      <c r="C163" s="78"/>
    </row>
    <row r="164">
      <c r="C164" s="78"/>
    </row>
    <row r="165">
      <c r="C165" s="78"/>
    </row>
    <row r="166">
      <c r="C166" s="78"/>
    </row>
    <row r="167">
      <c r="C167" s="78"/>
    </row>
    <row r="168">
      <c r="C168" s="78"/>
    </row>
    <row r="169">
      <c r="C169" s="78"/>
    </row>
    <row r="170">
      <c r="C170" s="78"/>
    </row>
    <row r="171">
      <c r="C171" s="78"/>
    </row>
    <row r="172">
      <c r="C172" s="78"/>
    </row>
    <row r="173">
      <c r="C173" s="78"/>
    </row>
    <row r="174">
      <c r="C174" s="78"/>
    </row>
    <row r="175">
      <c r="C175" s="78"/>
    </row>
    <row r="176">
      <c r="C176" s="78"/>
    </row>
    <row r="177">
      <c r="C177" s="78"/>
    </row>
    <row r="178">
      <c r="C178" s="78"/>
    </row>
    <row r="179">
      <c r="C179" s="78"/>
    </row>
    <row r="180">
      <c r="C180" s="78"/>
    </row>
    <row r="181">
      <c r="C181" s="78"/>
    </row>
    <row r="182">
      <c r="C182" s="78"/>
    </row>
    <row r="183">
      <c r="C183" s="78"/>
    </row>
    <row r="184">
      <c r="C184" s="78"/>
    </row>
    <row r="185">
      <c r="C185" s="78"/>
    </row>
    <row r="186">
      <c r="C186" s="78"/>
    </row>
    <row r="187">
      <c r="C187" s="78"/>
    </row>
    <row r="188">
      <c r="C188" s="78"/>
    </row>
    <row r="189">
      <c r="C189" s="78"/>
    </row>
    <row r="190">
      <c r="C190" s="78"/>
    </row>
    <row r="191">
      <c r="C191" s="78"/>
    </row>
    <row r="192">
      <c r="C192" s="78"/>
    </row>
    <row r="193">
      <c r="C193" s="78"/>
    </row>
    <row r="194">
      <c r="C194" s="78"/>
    </row>
    <row r="195">
      <c r="C195" s="78"/>
    </row>
    <row r="196">
      <c r="C196" s="78"/>
    </row>
    <row r="197">
      <c r="C197" s="78"/>
    </row>
    <row r="198">
      <c r="C198" s="78"/>
    </row>
    <row r="199">
      <c r="C199" s="78"/>
    </row>
    <row r="200">
      <c r="C200" s="78"/>
    </row>
    <row r="201">
      <c r="C201" s="78"/>
    </row>
    <row r="202">
      <c r="C202" s="78"/>
    </row>
    <row r="203">
      <c r="C203" s="78"/>
    </row>
    <row r="204">
      <c r="C204" s="78"/>
    </row>
    <row r="205">
      <c r="C205" s="78"/>
    </row>
    <row r="206">
      <c r="C206" s="78"/>
    </row>
    <row r="207">
      <c r="C207" s="78"/>
    </row>
    <row r="208">
      <c r="C208" s="78"/>
    </row>
    <row r="209">
      <c r="C209" s="78"/>
    </row>
    <row r="210">
      <c r="C210" s="78"/>
    </row>
    <row r="211">
      <c r="C211" s="78"/>
    </row>
    <row r="212">
      <c r="C212" s="78"/>
    </row>
    <row r="213">
      <c r="C213" s="78"/>
    </row>
    <row r="214">
      <c r="C214" s="78"/>
    </row>
    <row r="215">
      <c r="C215" s="78"/>
    </row>
    <row r="216">
      <c r="C216" s="78"/>
    </row>
    <row r="217">
      <c r="C217" s="78"/>
    </row>
    <row r="218">
      <c r="C218" s="78"/>
    </row>
    <row r="219">
      <c r="C219" s="78"/>
    </row>
    <row r="220">
      <c r="C220" s="78"/>
    </row>
    <row r="221">
      <c r="C221" s="78"/>
    </row>
    <row r="222">
      <c r="C222" s="78"/>
    </row>
    <row r="223">
      <c r="C223" s="78"/>
    </row>
    <row r="224">
      <c r="C224" s="78"/>
    </row>
    <row r="225">
      <c r="C225" s="78"/>
    </row>
    <row r="226">
      <c r="C226" s="78"/>
    </row>
    <row r="227">
      <c r="C227" s="78"/>
    </row>
    <row r="228">
      <c r="C228" s="78"/>
    </row>
    <row r="229">
      <c r="C229" s="78"/>
    </row>
    <row r="230">
      <c r="C230" s="78"/>
    </row>
    <row r="231">
      <c r="C231" s="78"/>
    </row>
    <row r="232">
      <c r="C232" s="78"/>
    </row>
    <row r="233">
      <c r="C233" s="78"/>
    </row>
    <row r="234">
      <c r="C234" s="78"/>
    </row>
    <row r="235">
      <c r="C235" s="78"/>
    </row>
    <row r="236">
      <c r="C236" s="78"/>
    </row>
    <row r="237">
      <c r="C237" s="78"/>
    </row>
    <row r="238">
      <c r="C238" s="78"/>
    </row>
    <row r="239">
      <c r="C239" s="78"/>
    </row>
    <row r="240">
      <c r="C240" s="78"/>
    </row>
    <row r="241">
      <c r="C241" s="78"/>
    </row>
    <row r="242">
      <c r="C242" s="78"/>
    </row>
    <row r="243">
      <c r="C243" s="78"/>
    </row>
    <row r="244">
      <c r="C244" s="78"/>
    </row>
    <row r="245">
      <c r="C245" s="78"/>
    </row>
    <row r="246">
      <c r="C246" s="78"/>
    </row>
    <row r="247">
      <c r="C247" s="78"/>
    </row>
    <row r="248">
      <c r="C248" s="78"/>
    </row>
    <row r="249">
      <c r="C249" s="78"/>
    </row>
    <row r="250">
      <c r="C250" s="78"/>
    </row>
    <row r="251">
      <c r="C251" s="78"/>
    </row>
    <row r="252">
      <c r="C252" s="78"/>
    </row>
    <row r="253">
      <c r="C253" s="78"/>
    </row>
    <row r="254">
      <c r="C254" s="78"/>
    </row>
    <row r="255">
      <c r="C255" s="78"/>
    </row>
    <row r="256">
      <c r="C256" s="78"/>
    </row>
    <row r="257">
      <c r="C257" s="78"/>
    </row>
    <row r="258">
      <c r="C258" s="78"/>
    </row>
    <row r="259">
      <c r="C259" s="78"/>
    </row>
    <row r="260">
      <c r="C260" s="78"/>
    </row>
    <row r="261">
      <c r="C261" s="78"/>
    </row>
    <row r="262">
      <c r="C262" s="78"/>
    </row>
    <row r="263">
      <c r="C263" s="78"/>
    </row>
    <row r="264">
      <c r="C264" s="78"/>
    </row>
    <row r="265">
      <c r="C265" s="78"/>
    </row>
    <row r="266">
      <c r="C266" s="78"/>
    </row>
    <row r="267">
      <c r="C267" s="78"/>
    </row>
    <row r="268">
      <c r="C268" s="78"/>
    </row>
    <row r="269">
      <c r="C269" s="78"/>
    </row>
    <row r="270">
      <c r="C270" s="78"/>
    </row>
    <row r="271">
      <c r="C271" s="78"/>
    </row>
    <row r="272">
      <c r="C272" s="78"/>
    </row>
    <row r="273">
      <c r="C273" s="78"/>
    </row>
    <row r="274">
      <c r="C274" s="78"/>
    </row>
    <row r="275">
      <c r="C275" s="78"/>
    </row>
    <row r="276">
      <c r="C276" s="78"/>
    </row>
    <row r="277">
      <c r="C277" s="78"/>
    </row>
    <row r="278">
      <c r="C278" s="78"/>
    </row>
    <row r="279">
      <c r="C279" s="78"/>
    </row>
    <row r="280">
      <c r="C280" s="78"/>
    </row>
    <row r="281">
      <c r="C281" s="78"/>
    </row>
    <row r="282">
      <c r="C282" s="78"/>
    </row>
    <row r="283">
      <c r="C283" s="78"/>
    </row>
    <row r="284">
      <c r="C284" s="78"/>
    </row>
    <row r="285">
      <c r="C285" s="78"/>
    </row>
    <row r="286">
      <c r="C286" s="78"/>
    </row>
    <row r="287">
      <c r="C287" s="78"/>
    </row>
    <row r="288">
      <c r="C288" s="78"/>
    </row>
    <row r="289">
      <c r="C289" s="78"/>
    </row>
    <row r="290">
      <c r="C290" s="78"/>
    </row>
    <row r="291">
      <c r="C291" s="78"/>
    </row>
    <row r="292">
      <c r="C292" s="78"/>
    </row>
    <row r="293">
      <c r="C293" s="78"/>
    </row>
    <row r="294">
      <c r="C294" s="78"/>
    </row>
    <row r="295">
      <c r="C295" s="78"/>
    </row>
    <row r="296">
      <c r="C296" s="78"/>
    </row>
    <row r="297">
      <c r="C297" s="78"/>
    </row>
    <row r="298">
      <c r="C298" s="78"/>
    </row>
    <row r="299">
      <c r="C299" s="78"/>
    </row>
    <row r="300">
      <c r="C300" s="78"/>
    </row>
    <row r="301">
      <c r="C301" s="78"/>
    </row>
    <row r="302">
      <c r="C302" s="78"/>
    </row>
    <row r="303">
      <c r="C303" s="78"/>
    </row>
    <row r="304">
      <c r="C304" s="78"/>
    </row>
    <row r="305">
      <c r="C305" s="78"/>
    </row>
    <row r="306">
      <c r="C306" s="78"/>
    </row>
    <row r="307">
      <c r="C307" s="78"/>
    </row>
    <row r="308">
      <c r="C308" s="78"/>
    </row>
    <row r="309">
      <c r="C309" s="78"/>
    </row>
    <row r="310">
      <c r="C310" s="78"/>
    </row>
    <row r="311">
      <c r="C311" s="78"/>
    </row>
    <row r="312">
      <c r="C312" s="78"/>
    </row>
    <row r="313">
      <c r="C313" s="78"/>
    </row>
    <row r="314">
      <c r="C314" s="78"/>
    </row>
    <row r="315">
      <c r="C315" s="78"/>
    </row>
    <row r="316">
      <c r="C316" s="78"/>
    </row>
    <row r="317">
      <c r="C317" s="78"/>
    </row>
    <row r="318">
      <c r="C318" s="78"/>
    </row>
    <row r="319">
      <c r="C319" s="78"/>
    </row>
    <row r="320">
      <c r="C320" s="78"/>
    </row>
    <row r="321">
      <c r="C321" s="78"/>
    </row>
    <row r="322">
      <c r="C322" s="78"/>
    </row>
    <row r="323">
      <c r="C323" s="78"/>
    </row>
    <row r="324">
      <c r="C324" s="78"/>
    </row>
    <row r="325">
      <c r="C325" s="78"/>
    </row>
    <row r="326">
      <c r="C326" s="78"/>
    </row>
    <row r="327">
      <c r="C327" s="78"/>
    </row>
    <row r="328">
      <c r="C328" s="78"/>
    </row>
    <row r="329">
      <c r="C329" s="78"/>
    </row>
    <row r="330">
      <c r="C330" s="78"/>
    </row>
    <row r="331">
      <c r="C331" s="78"/>
    </row>
    <row r="332">
      <c r="C332" s="78"/>
    </row>
    <row r="333">
      <c r="C333" s="78"/>
    </row>
    <row r="334">
      <c r="C334" s="78"/>
    </row>
    <row r="335">
      <c r="C335" s="78"/>
    </row>
    <row r="336">
      <c r="C336" s="78"/>
    </row>
    <row r="337">
      <c r="C337" s="78"/>
    </row>
    <row r="338">
      <c r="C338" s="78"/>
    </row>
    <row r="339">
      <c r="C339" s="78"/>
    </row>
    <row r="340">
      <c r="C340" s="78"/>
    </row>
    <row r="341">
      <c r="C341" s="78"/>
    </row>
    <row r="342">
      <c r="C342" s="78"/>
    </row>
    <row r="343">
      <c r="C343" s="78"/>
    </row>
    <row r="344">
      <c r="C344" s="78"/>
    </row>
    <row r="345">
      <c r="C345" s="78"/>
    </row>
    <row r="346">
      <c r="C346" s="78"/>
    </row>
    <row r="347">
      <c r="C347" s="78"/>
    </row>
    <row r="348">
      <c r="C348" s="78"/>
    </row>
    <row r="349">
      <c r="C349" s="78"/>
    </row>
    <row r="350">
      <c r="C350" s="78"/>
    </row>
    <row r="351">
      <c r="C351" s="78"/>
    </row>
    <row r="352">
      <c r="C352" s="78"/>
    </row>
    <row r="353">
      <c r="C353" s="78"/>
    </row>
    <row r="354">
      <c r="C354" s="78"/>
    </row>
    <row r="355">
      <c r="C355" s="78"/>
    </row>
    <row r="356">
      <c r="C356" s="78"/>
    </row>
    <row r="357">
      <c r="C357" s="78"/>
    </row>
    <row r="358">
      <c r="C358" s="78"/>
    </row>
    <row r="359">
      <c r="C359" s="78"/>
    </row>
    <row r="360">
      <c r="C360" s="78"/>
    </row>
    <row r="361">
      <c r="C361" s="78"/>
    </row>
    <row r="362">
      <c r="C362" s="78"/>
    </row>
    <row r="363">
      <c r="C363" s="78"/>
    </row>
    <row r="364">
      <c r="C364" s="78"/>
    </row>
    <row r="365">
      <c r="C365" s="78"/>
    </row>
    <row r="366">
      <c r="C366" s="78"/>
    </row>
    <row r="367">
      <c r="C367" s="78"/>
    </row>
    <row r="368">
      <c r="C368" s="78"/>
    </row>
    <row r="369">
      <c r="C369" s="78"/>
    </row>
    <row r="370">
      <c r="C370" s="78"/>
    </row>
    <row r="371">
      <c r="C371" s="78"/>
    </row>
    <row r="372">
      <c r="C372" s="78"/>
    </row>
    <row r="373">
      <c r="C373" s="78"/>
    </row>
    <row r="374">
      <c r="C374" s="78"/>
    </row>
    <row r="375">
      <c r="C375" s="78"/>
    </row>
    <row r="376">
      <c r="C376" s="78"/>
    </row>
    <row r="377">
      <c r="C377" s="78"/>
    </row>
    <row r="378">
      <c r="C378" s="78"/>
    </row>
    <row r="379">
      <c r="C379" s="78"/>
    </row>
    <row r="380">
      <c r="C380" s="78"/>
    </row>
    <row r="381">
      <c r="C381" s="78"/>
    </row>
    <row r="382">
      <c r="C382" s="78"/>
    </row>
    <row r="383">
      <c r="C383" s="78"/>
    </row>
    <row r="384">
      <c r="C384" s="78"/>
    </row>
    <row r="385">
      <c r="C385" s="78"/>
    </row>
    <row r="386">
      <c r="C386" s="78"/>
    </row>
    <row r="387">
      <c r="C387" s="78"/>
    </row>
    <row r="388">
      <c r="C388" s="78"/>
    </row>
    <row r="389">
      <c r="C389" s="78"/>
    </row>
    <row r="390">
      <c r="C390" s="78"/>
    </row>
    <row r="391">
      <c r="C391" s="78"/>
    </row>
    <row r="392">
      <c r="C392" s="78"/>
    </row>
    <row r="393">
      <c r="C393" s="78"/>
    </row>
    <row r="394">
      <c r="C394" s="78"/>
    </row>
    <row r="395">
      <c r="C395" s="78"/>
    </row>
    <row r="396">
      <c r="C396" s="78"/>
    </row>
    <row r="397">
      <c r="C397" s="78"/>
    </row>
    <row r="398">
      <c r="C398" s="78"/>
    </row>
    <row r="399">
      <c r="C399" s="78"/>
    </row>
    <row r="400">
      <c r="C400" s="78"/>
    </row>
    <row r="401">
      <c r="C401" s="78"/>
    </row>
    <row r="402">
      <c r="C402" s="78"/>
    </row>
    <row r="403">
      <c r="C403" s="78"/>
    </row>
    <row r="404">
      <c r="C404" s="78"/>
    </row>
    <row r="405">
      <c r="C405" s="78"/>
    </row>
    <row r="406">
      <c r="C406" s="78"/>
    </row>
    <row r="407">
      <c r="C407" s="78"/>
    </row>
    <row r="408">
      <c r="C408" s="78"/>
    </row>
    <row r="409">
      <c r="C409" s="78"/>
    </row>
    <row r="410">
      <c r="C410" s="78"/>
    </row>
    <row r="411">
      <c r="C411" s="78"/>
    </row>
    <row r="412">
      <c r="C412" s="78"/>
    </row>
    <row r="413">
      <c r="C413" s="78"/>
    </row>
    <row r="414">
      <c r="C414" s="78"/>
    </row>
    <row r="415">
      <c r="C415" s="78"/>
    </row>
    <row r="416">
      <c r="C416" s="78"/>
    </row>
    <row r="417">
      <c r="C417" s="78"/>
    </row>
    <row r="418">
      <c r="C418" s="78"/>
    </row>
    <row r="419">
      <c r="C419" s="78"/>
    </row>
    <row r="420">
      <c r="C420" s="78"/>
    </row>
    <row r="421">
      <c r="C421" s="78"/>
    </row>
    <row r="422">
      <c r="C422" s="78"/>
    </row>
    <row r="423">
      <c r="C423" s="78"/>
    </row>
    <row r="424">
      <c r="C424" s="78"/>
    </row>
    <row r="425">
      <c r="C425" s="78"/>
    </row>
    <row r="426">
      <c r="C426" s="78"/>
    </row>
    <row r="427">
      <c r="C427" s="78"/>
    </row>
    <row r="428">
      <c r="C428" s="78"/>
    </row>
    <row r="429">
      <c r="C429" s="78"/>
    </row>
    <row r="430">
      <c r="C430" s="78"/>
    </row>
    <row r="431">
      <c r="C431" s="78"/>
    </row>
    <row r="432">
      <c r="C432" s="78"/>
    </row>
    <row r="433">
      <c r="C433" s="78"/>
    </row>
    <row r="434">
      <c r="C434" s="78"/>
    </row>
    <row r="435">
      <c r="C435" s="78"/>
    </row>
    <row r="436">
      <c r="C436" s="78"/>
    </row>
    <row r="437">
      <c r="C437" s="78"/>
    </row>
    <row r="438">
      <c r="C438" s="78"/>
    </row>
    <row r="439">
      <c r="C439" s="78"/>
    </row>
    <row r="440">
      <c r="C440" s="78"/>
    </row>
    <row r="441">
      <c r="C441" s="78"/>
    </row>
    <row r="442">
      <c r="C442" s="78"/>
    </row>
    <row r="443">
      <c r="C443" s="78"/>
    </row>
    <row r="444">
      <c r="C444" s="78"/>
    </row>
    <row r="445">
      <c r="C445" s="78"/>
    </row>
    <row r="446">
      <c r="C446" s="78"/>
    </row>
    <row r="447">
      <c r="C447" s="78"/>
    </row>
    <row r="448">
      <c r="C448" s="78"/>
    </row>
    <row r="449">
      <c r="C449" s="78"/>
    </row>
    <row r="450">
      <c r="C450" s="78"/>
    </row>
    <row r="451">
      <c r="C451" s="78"/>
    </row>
    <row r="452">
      <c r="C452" s="78"/>
    </row>
    <row r="453">
      <c r="C453" s="78"/>
    </row>
    <row r="454">
      <c r="C454" s="78"/>
    </row>
    <row r="455">
      <c r="C455" s="78"/>
    </row>
    <row r="456">
      <c r="C456" s="78"/>
    </row>
    <row r="457">
      <c r="C457" s="78"/>
    </row>
    <row r="458">
      <c r="C458" s="78"/>
    </row>
    <row r="459">
      <c r="C459" s="78"/>
    </row>
    <row r="460">
      <c r="C460" s="78"/>
    </row>
    <row r="461">
      <c r="C461" s="78"/>
    </row>
    <row r="462">
      <c r="C462" s="78"/>
    </row>
    <row r="463">
      <c r="C463" s="78"/>
    </row>
    <row r="464">
      <c r="C464" s="78"/>
    </row>
    <row r="465">
      <c r="C465" s="78"/>
    </row>
    <row r="466">
      <c r="C466" s="78"/>
    </row>
    <row r="467">
      <c r="C467" s="78"/>
    </row>
    <row r="468">
      <c r="C468" s="78"/>
    </row>
    <row r="469">
      <c r="C469" s="78"/>
    </row>
    <row r="470">
      <c r="C470" s="78"/>
    </row>
    <row r="471">
      <c r="C471" s="78"/>
    </row>
    <row r="472">
      <c r="C472" s="78"/>
    </row>
    <row r="473">
      <c r="C473" s="78"/>
    </row>
    <row r="474">
      <c r="C474" s="78"/>
    </row>
    <row r="475">
      <c r="C475" s="78"/>
    </row>
    <row r="476">
      <c r="C476" s="78"/>
    </row>
    <row r="477">
      <c r="C477" s="78"/>
    </row>
    <row r="478">
      <c r="C478" s="78"/>
    </row>
    <row r="479">
      <c r="C479" s="78"/>
    </row>
    <row r="480">
      <c r="C480" s="78"/>
    </row>
    <row r="481">
      <c r="C481" s="78"/>
    </row>
    <row r="482">
      <c r="C482" s="78"/>
    </row>
    <row r="483">
      <c r="C483" s="78"/>
    </row>
    <row r="484">
      <c r="C484" s="78"/>
    </row>
    <row r="485">
      <c r="C485" s="78"/>
    </row>
    <row r="486">
      <c r="C486" s="78"/>
    </row>
    <row r="487">
      <c r="C487" s="78"/>
    </row>
    <row r="488">
      <c r="C488" s="78"/>
    </row>
    <row r="489">
      <c r="C489" s="78"/>
    </row>
    <row r="490">
      <c r="C490" s="78"/>
    </row>
    <row r="491">
      <c r="C491" s="78"/>
    </row>
    <row r="492">
      <c r="C492" s="78"/>
    </row>
    <row r="493">
      <c r="C493" s="78"/>
    </row>
    <row r="494">
      <c r="C494" s="78"/>
    </row>
    <row r="495">
      <c r="C495" s="78"/>
    </row>
    <row r="496">
      <c r="C496" s="78"/>
    </row>
    <row r="497">
      <c r="C497" s="78"/>
    </row>
    <row r="498">
      <c r="C498" s="78"/>
    </row>
    <row r="499">
      <c r="C499" s="78"/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72">
      <c r="C672" s="78"/>
    </row>
    <row r="673">
      <c r="C673" s="78"/>
    </row>
    <row r="674">
      <c r="C674" s="78"/>
    </row>
    <row r="675">
      <c r="C675" s="78"/>
    </row>
    <row r="676">
      <c r="C676" s="78"/>
    </row>
    <row r="677">
      <c r="C677" s="78"/>
    </row>
    <row r="678">
      <c r="C678" s="78"/>
    </row>
    <row r="679">
      <c r="C679" s="78"/>
    </row>
    <row r="680">
      <c r="C680" s="78"/>
    </row>
    <row r="681">
      <c r="C681" s="78"/>
    </row>
    <row r="682">
      <c r="C682" s="78"/>
    </row>
    <row r="683">
      <c r="C683" s="78"/>
    </row>
    <row r="684">
      <c r="C684" s="78"/>
    </row>
    <row r="685">
      <c r="C685" s="78"/>
    </row>
    <row r="686">
      <c r="C686" s="78"/>
    </row>
    <row r="687">
      <c r="C687" s="78"/>
    </row>
    <row r="688">
      <c r="C688" s="78"/>
    </row>
    <row r="689">
      <c r="C689" s="78"/>
    </row>
    <row r="690">
      <c r="C690" s="78"/>
    </row>
    <row r="691">
      <c r="C691" s="78"/>
    </row>
    <row r="692">
      <c r="C692" s="78"/>
    </row>
    <row r="693">
      <c r="C693" s="78"/>
    </row>
    <row r="694">
      <c r="C694" s="78"/>
    </row>
    <row r="695">
      <c r="C695" s="78"/>
    </row>
    <row r="696">
      <c r="C696" s="78"/>
    </row>
    <row r="697">
      <c r="C697" s="78"/>
    </row>
    <row r="698">
      <c r="C698" s="78"/>
    </row>
    <row r="699">
      <c r="C699" s="78"/>
    </row>
    <row r="700">
      <c r="C700" s="78"/>
    </row>
    <row r="701">
      <c r="C701" s="78"/>
    </row>
    <row r="702">
      <c r="C702" s="78"/>
    </row>
    <row r="703">
      <c r="C703" s="78"/>
    </row>
    <row r="704">
      <c r="C704" s="78"/>
    </row>
    <row r="705">
      <c r="C705" s="78"/>
    </row>
    <row r="706">
      <c r="C706" s="78"/>
    </row>
    <row r="707">
      <c r="C707" s="78"/>
    </row>
    <row r="708">
      <c r="C708" s="78"/>
    </row>
    <row r="709">
      <c r="C709" s="78"/>
    </row>
    <row r="710">
      <c r="C710" s="78"/>
    </row>
    <row r="711">
      <c r="C711" s="78"/>
    </row>
    <row r="712">
      <c r="C712" s="78"/>
    </row>
    <row r="713">
      <c r="C713" s="78"/>
    </row>
    <row r="714">
      <c r="C714" s="78"/>
    </row>
    <row r="715">
      <c r="C715" s="78"/>
    </row>
    <row r="716">
      <c r="C716" s="78"/>
    </row>
    <row r="717">
      <c r="C717" s="78"/>
    </row>
    <row r="718">
      <c r="C718" s="78"/>
    </row>
    <row r="719">
      <c r="C719" s="78"/>
    </row>
    <row r="720">
      <c r="C720" s="78"/>
    </row>
    <row r="721">
      <c r="C721" s="78"/>
    </row>
    <row r="722">
      <c r="C722" s="78"/>
    </row>
    <row r="723">
      <c r="C723" s="78"/>
    </row>
    <row r="724">
      <c r="C724" s="78"/>
    </row>
    <row r="725">
      <c r="C725" s="78"/>
    </row>
    <row r="726">
      <c r="C726" s="78"/>
    </row>
    <row r="727">
      <c r="C727" s="78"/>
    </row>
    <row r="728">
      <c r="C728" s="78"/>
    </row>
    <row r="729">
      <c r="C729" s="78"/>
    </row>
    <row r="730">
      <c r="C730" s="78"/>
    </row>
    <row r="731">
      <c r="C731" s="78"/>
    </row>
    <row r="732">
      <c r="C732" s="78"/>
    </row>
    <row r="733">
      <c r="C733" s="78"/>
    </row>
    <row r="734">
      <c r="C734" s="78"/>
    </row>
    <row r="735">
      <c r="C735" s="78"/>
    </row>
    <row r="736">
      <c r="C736" s="78"/>
    </row>
    <row r="737">
      <c r="C737" s="78"/>
    </row>
    <row r="738">
      <c r="C738" s="78"/>
    </row>
    <row r="739">
      <c r="C739" s="78"/>
    </row>
    <row r="740">
      <c r="C740" s="78"/>
    </row>
    <row r="741">
      <c r="C741" s="78"/>
    </row>
    <row r="742">
      <c r="C742" s="78"/>
    </row>
    <row r="743">
      <c r="C743" s="78"/>
    </row>
    <row r="744">
      <c r="C744" s="78"/>
    </row>
    <row r="745">
      <c r="C745" s="78"/>
    </row>
    <row r="746">
      <c r="C746" s="78"/>
    </row>
    <row r="747">
      <c r="C747" s="78"/>
    </row>
    <row r="748">
      <c r="C748" s="78"/>
    </row>
    <row r="749">
      <c r="C749" s="78"/>
    </row>
    <row r="750">
      <c r="C750" s="78"/>
    </row>
    <row r="751">
      <c r="C751" s="78"/>
    </row>
    <row r="752">
      <c r="C752" s="78"/>
    </row>
    <row r="753">
      <c r="C753" s="78"/>
    </row>
    <row r="754">
      <c r="C754" s="78"/>
    </row>
    <row r="755">
      <c r="C755" s="78"/>
    </row>
    <row r="756">
      <c r="C756" s="78"/>
    </row>
    <row r="757">
      <c r="C757" s="78"/>
    </row>
    <row r="758">
      <c r="C758" s="78"/>
    </row>
    <row r="759">
      <c r="C759" s="78"/>
    </row>
    <row r="760">
      <c r="C760" s="78"/>
    </row>
    <row r="761">
      <c r="C761" s="78"/>
    </row>
    <row r="762">
      <c r="C762" s="78"/>
    </row>
    <row r="763">
      <c r="C763" s="78"/>
    </row>
    <row r="764">
      <c r="C764" s="78"/>
    </row>
    <row r="765">
      <c r="C765" s="78"/>
    </row>
    <row r="766">
      <c r="C766" s="78"/>
    </row>
    <row r="767">
      <c r="C767" s="78"/>
    </row>
    <row r="768">
      <c r="C768" s="78"/>
    </row>
    <row r="769">
      <c r="C769" s="78"/>
    </row>
    <row r="770">
      <c r="C770" s="78"/>
    </row>
    <row r="771">
      <c r="C771" s="78"/>
    </row>
    <row r="772">
      <c r="C772" s="78"/>
    </row>
    <row r="773">
      <c r="C773" s="78"/>
    </row>
    <row r="774">
      <c r="C774" s="78"/>
    </row>
    <row r="775">
      <c r="C775" s="78"/>
    </row>
    <row r="776">
      <c r="C776" s="78"/>
    </row>
    <row r="777">
      <c r="C777" s="78"/>
    </row>
    <row r="778">
      <c r="C778" s="78"/>
    </row>
    <row r="779">
      <c r="C779" s="78"/>
    </row>
    <row r="780">
      <c r="C780" s="78"/>
    </row>
    <row r="781">
      <c r="C781" s="78"/>
    </row>
    <row r="782">
      <c r="C782" s="78"/>
    </row>
    <row r="783">
      <c r="C783" s="78"/>
    </row>
    <row r="784">
      <c r="C784" s="78"/>
    </row>
    <row r="785">
      <c r="C785" s="78"/>
    </row>
    <row r="786">
      <c r="C786" s="78"/>
    </row>
    <row r="787">
      <c r="C787" s="78"/>
    </row>
    <row r="788">
      <c r="C788" s="78"/>
    </row>
    <row r="789">
      <c r="C789" s="78"/>
    </row>
    <row r="790">
      <c r="C790" s="78"/>
    </row>
    <row r="791">
      <c r="C791" s="78"/>
    </row>
    <row r="792">
      <c r="C792" s="78"/>
    </row>
    <row r="793">
      <c r="C793" s="78"/>
    </row>
    <row r="794">
      <c r="C794" s="78"/>
    </row>
    <row r="795">
      <c r="C795" s="78"/>
    </row>
    <row r="796">
      <c r="C796" s="78"/>
    </row>
    <row r="797">
      <c r="C797" s="78"/>
    </row>
    <row r="798">
      <c r="C798" s="78"/>
    </row>
    <row r="799">
      <c r="C799" s="78"/>
    </row>
    <row r="800">
      <c r="C800" s="78"/>
    </row>
    <row r="801">
      <c r="C801" s="78"/>
    </row>
    <row r="802">
      <c r="C802" s="78"/>
    </row>
    <row r="803">
      <c r="C803" s="78"/>
    </row>
    <row r="804">
      <c r="C804" s="78"/>
    </row>
    <row r="805">
      <c r="C805" s="78"/>
    </row>
    <row r="806">
      <c r="C806" s="78"/>
    </row>
    <row r="807">
      <c r="C807" s="78"/>
    </row>
    <row r="808">
      <c r="C808" s="78"/>
    </row>
    <row r="809">
      <c r="C809" s="78"/>
    </row>
    <row r="810">
      <c r="C810" s="78"/>
    </row>
    <row r="811">
      <c r="C811" s="78"/>
    </row>
    <row r="812">
      <c r="C812" s="78"/>
    </row>
    <row r="813">
      <c r="C813" s="78"/>
    </row>
    <row r="814">
      <c r="C814" s="78"/>
    </row>
    <row r="815">
      <c r="C815" s="78"/>
    </row>
    <row r="816">
      <c r="C816" s="78"/>
    </row>
    <row r="817">
      <c r="C817" s="78"/>
    </row>
    <row r="818">
      <c r="C818" s="78"/>
    </row>
    <row r="819">
      <c r="C819" s="78"/>
    </row>
    <row r="820">
      <c r="C820" s="78"/>
    </row>
    <row r="821">
      <c r="C821" s="78"/>
    </row>
    <row r="822">
      <c r="C822" s="78"/>
    </row>
    <row r="823">
      <c r="C823" s="78"/>
    </row>
    <row r="824">
      <c r="C824" s="78"/>
    </row>
    <row r="825">
      <c r="C825" s="78"/>
    </row>
    <row r="826">
      <c r="C826" s="78"/>
    </row>
    <row r="827">
      <c r="C827" s="78"/>
    </row>
    <row r="828">
      <c r="C828" s="78"/>
    </row>
    <row r="829">
      <c r="C829" s="78"/>
    </row>
    <row r="830">
      <c r="C830" s="78"/>
    </row>
    <row r="831">
      <c r="C831" s="78"/>
    </row>
    <row r="832">
      <c r="C832" s="78"/>
    </row>
    <row r="833">
      <c r="C833" s="78"/>
    </row>
    <row r="834">
      <c r="C834" s="78"/>
    </row>
    <row r="835">
      <c r="C835" s="78"/>
    </row>
    <row r="836">
      <c r="C836" s="78"/>
    </row>
    <row r="837">
      <c r="C837" s="78"/>
    </row>
    <row r="838">
      <c r="C838" s="78"/>
    </row>
    <row r="839">
      <c r="C839" s="78"/>
    </row>
    <row r="840">
      <c r="C840" s="78"/>
    </row>
    <row r="841">
      <c r="C841" s="78"/>
    </row>
    <row r="842">
      <c r="C842" s="78"/>
    </row>
    <row r="843">
      <c r="C843" s="78"/>
    </row>
    <row r="844">
      <c r="C844" s="78"/>
    </row>
    <row r="845">
      <c r="C845" s="78"/>
    </row>
    <row r="846">
      <c r="C846" s="78"/>
    </row>
    <row r="847">
      <c r="C847" s="78"/>
    </row>
    <row r="848">
      <c r="C848" s="78"/>
    </row>
    <row r="849">
      <c r="C849" s="78"/>
    </row>
    <row r="850">
      <c r="C850" s="78"/>
    </row>
    <row r="851">
      <c r="C851" s="78"/>
    </row>
    <row r="852">
      <c r="C852" s="78"/>
    </row>
    <row r="853">
      <c r="C853" s="78"/>
    </row>
    <row r="854">
      <c r="C854" s="78"/>
    </row>
    <row r="855">
      <c r="C855" s="78"/>
    </row>
    <row r="856">
      <c r="C856" s="78"/>
    </row>
    <row r="857">
      <c r="C857" s="78"/>
    </row>
    <row r="858">
      <c r="C858" s="78"/>
    </row>
    <row r="859">
      <c r="C859" s="78"/>
    </row>
    <row r="860">
      <c r="C860" s="78"/>
    </row>
    <row r="861">
      <c r="C861" s="78"/>
    </row>
    <row r="862">
      <c r="C862" s="78"/>
    </row>
    <row r="863">
      <c r="C863" s="78"/>
    </row>
    <row r="864">
      <c r="C864" s="78"/>
    </row>
    <row r="865">
      <c r="C865" s="78"/>
    </row>
    <row r="866">
      <c r="C866" s="78"/>
    </row>
    <row r="867">
      <c r="C867" s="78"/>
    </row>
    <row r="868">
      <c r="C868" s="78"/>
    </row>
    <row r="869">
      <c r="C869" s="78"/>
    </row>
    <row r="870">
      <c r="C870" s="78"/>
    </row>
    <row r="871">
      <c r="C871" s="78"/>
    </row>
    <row r="872">
      <c r="C872" s="78"/>
    </row>
    <row r="873">
      <c r="C873" s="78"/>
    </row>
    <row r="874">
      <c r="C874" s="78"/>
    </row>
    <row r="875">
      <c r="C875" s="78"/>
    </row>
    <row r="876">
      <c r="C876" s="78"/>
    </row>
    <row r="877">
      <c r="C877" s="78"/>
    </row>
    <row r="878">
      <c r="C878" s="78"/>
    </row>
    <row r="879">
      <c r="C879" s="78"/>
    </row>
    <row r="880">
      <c r="C880" s="78"/>
    </row>
    <row r="881">
      <c r="C881" s="78"/>
    </row>
    <row r="882">
      <c r="C882" s="78"/>
    </row>
    <row r="883">
      <c r="C883" s="78"/>
    </row>
    <row r="884">
      <c r="C884" s="78"/>
    </row>
    <row r="885">
      <c r="C885" s="78"/>
    </row>
    <row r="886">
      <c r="C886" s="78"/>
    </row>
    <row r="887">
      <c r="C887" s="78"/>
    </row>
    <row r="888">
      <c r="C888" s="78"/>
    </row>
    <row r="889">
      <c r="C889" s="78"/>
    </row>
    <row r="890">
      <c r="C890" s="78"/>
    </row>
    <row r="891">
      <c r="C891" s="78"/>
    </row>
    <row r="892">
      <c r="C892" s="78"/>
    </row>
    <row r="893">
      <c r="C893" s="78"/>
    </row>
    <row r="894">
      <c r="C894" s="78"/>
    </row>
    <row r="895">
      <c r="C895" s="78"/>
    </row>
    <row r="896">
      <c r="C896" s="78"/>
    </row>
    <row r="897">
      <c r="C897" s="78"/>
    </row>
    <row r="898">
      <c r="C898" s="78"/>
    </row>
    <row r="899">
      <c r="C899" s="78"/>
    </row>
    <row r="900">
      <c r="C900" s="78"/>
    </row>
    <row r="901">
      <c r="C901" s="78"/>
    </row>
    <row r="902">
      <c r="C902" s="78"/>
    </row>
    <row r="903">
      <c r="C903" s="78"/>
    </row>
    <row r="904">
      <c r="C904" s="78"/>
    </row>
    <row r="905">
      <c r="C905" s="78"/>
    </row>
    <row r="906">
      <c r="C906" s="78"/>
    </row>
    <row r="907">
      <c r="C907" s="78"/>
    </row>
    <row r="908">
      <c r="C908" s="78"/>
    </row>
    <row r="909">
      <c r="C909" s="78"/>
    </row>
    <row r="910">
      <c r="C910" s="78"/>
    </row>
    <row r="911">
      <c r="C911" s="78"/>
    </row>
    <row r="912">
      <c r="C912" s="78"/>
    </row>
    <row r="913">
      <c r="C913" s="78"/>
    </row>
    <row r="914">
      <c r="C914" s="78"/>
    </row>
    <row r="915">
      <c r="C915" s="78"/>
    </row>
    <row r="916">
      <c r="C916" s="78"/>
    </row>
    <row r="917">
      <c r="C917" s="78"/>
    </row>
    <row r="918">
      <c r="C918" s="78"/>
    </row>
    <row r="919">
      <c r="C919" s="78"/>
    </row>
    <row r="920">
      <c r="C920" s="78"/>
    </row>
    <row r="921">
      <c r="C921" s="78"/>
    </row>
    <row r="922">
      <c r="C922" s="78"/>
    </row>
    <row r="923">
      <c r="C923" s="78"/>
    </row>
    <row r="924">
      <c r="C924" s="78"/>
    </row>
    <row r="925">
      <c r="C925" s="78"/>
    </row>
    <row r="926">
      <c r="C926" s="78"/>
    </row>
    <row r="927">
      <c r="C927" s="78"/>
    </row>
    <row r="928">
      <c r="C928" s="78"/>
    </row>
    <row r="929">
      <c r="C929" s="78"/>
    </row>
    <row r="930">
      <c r="C930" s="78"/>
    </row>
    <row r="931">
      <c r="C931" s="78"/>
    </row>
    <row r="932">
      <c r="C932" s="78"/>
    </row>
    <row r="933">
      <c r="C933" s="78"/>
    </row>
    <row r="934">
      <c r="C934" s="78"/>
    </row>
    <row r="935">
      <c r="C935" s="78"/>
    </row>
    <row r="936">
      <c r="C936" s="78"/>
    </row>
    <row r="937">
      <c r="C937" s="78"/>
    </row>
    <row r="938">
      <c r="C938" s="78"/>
    </row>
    <row r="939">
      <c r="C939" s="78"/>
    </row>
    <row r="940">
      <c r="C940" s="78"/>
    </row>
    <row r="941">
      <c r="C941" s="78"/>
    </row>
    <row r="942">
      <c r="C942" s="78"/>
    </row>
    <row r="943">
      <c r="C943" s="78"/>
    </row>
    <row r="944">
      <c r="C944" s="78"/>
    </row>
    <row r="945">
      <c r="C945" s="78"/>
    </row>
    <row r="946">
      <c r="C946" s="78"/>
    </row>
    <row r="947">
      <c r="C947" s="78"/>
    </row>
    <row r="948">
      <c r="C948" s="78"/>
    </row>
    <row r="949">
      <c r="C949" s="78"/>
    </row>
    <row r="950">
      <c r="C950" s="78"/>
    </row>
    <row r="951">
      <c r="C951" s="78"/>
    </row>
    <row r="952">
      <c r="C952" s="78"/>
    </row>
    <row r="953">
      <c r="C953" s="78"/>
    </row>
    <row r="954">
      <c r="C954" s="78"/>
    </row>
    <row r="955">
      <c r="C955" s="78"/>
    </row>
    <row r="956">
      <c r="C956" s="78"/>
    </row>
    <row r="957">
      <c r="C957" s="78"/>
    </row>
    <row r="958">
      <c r="C958" s="78"/>
    </row>
    <row r="959">
      <c r="C959" s="78"/>
    </row>
    <row r="960">
      <c r="C960" s="78"/>
    </row>
    <row r="961">
      <c r="C961" s="78"/>
    </row>
    <row r="962">
      <c r="C962" s="78"/>
    </row>
    <row r="963">
      <c r="C963" s="78"/>
    </row>
    <row r="964">
      <c r="C964" s="78"/>
    </row>
    <row r="965">
      <c r="C965" s="78"/>
    </row>
    <row r="966">
      <c r="C966" s="78"/>
    </row>
    <row r="967">
      <c r="C967" s="78"/>
    </row>
    <row r="968">
      <c r="C968" s="78"/>
    </row>
    <row r="969">
      <c r="C969" s="78"/>
    </row>
    <row r="970">
      <c r="C970" s="78"/>
    </row>
    <row r="971">
      <c r="C971" s="78"/>
    </row>
    <row r="972">
      <c r="C972" s="78"/>
    </row>
    <row r="973">
      <c r="C973" s="78"/>
    </row>
    <row r="974">
      <c r="C974" s="78"/>
    </row>
    <row r="975">
      <c r="C975" s="78"/>
    </row>
    <row r="976">
      <c r="C976" s="78"/>
    </row>
    <row r="977">
      <c r="C977" s="78"/>
    </row>
    <row r="978">
      <c r="C978" s="78"/>
    </row>
    <row r="979">
      <c r="C979" s="78"/>
    </row>
    <row r="980">
      <c r="C980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  <row r="995">
      <c r="C995" s="78"/>
    </row>
    <row r="996">
      <c r="C996" s="78"/>
    </row>
    <row r="997">
      <c r="C997" s="78"/>
    </row>
    <row r="998">
      <c r="C998" s="78"/>
    </row>
    <row r="999">
      <c r="C999" s="78"/>
    </row>
    <row r="1000">
      <c r="C1000" s="7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2">
      <c r="A2" s="111" t="s">
        <v>10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8" t="s">
        <v>11</v>
      </c>
      <c r="B3" s="112">
        <v>44673.0</v>
      </c>
      <c r="C3" s="3"/>
      <c r="D3" s="113">
        <v>44703.0</v>
      </c>
      <c r="E3" s="3"/>
      <c r="F3" s="112">
        <v>44734.0</v>
      </c>
      <c r="G3" s="3"/>
      <c r="H3" s="112">
        <v>44764.0</v>
      </c>
      <c r="I3" s="3"/>
      <c r="J3" s="112">
        <v>44795.0</v>
      </c>
      <c r="K3" s="3"/>
      <c r="L3" s="112">
        <v>44826.0</v>
      </c>
      <c r="M3" s="3"/>
      <c r="N3" s="112">
        <v>44856.0</v>
      </c>
      <c r="O3" s="3"/>
      <c r="P3" s="112">
        <v>44887.0</v>
      </c>
      <c r="Q3" s="3"/>
      <c r="R3" s="112">
        <v>44917.0</v>
      </c>
      <c r="S3" s="3"/>
      <c r="T3" s="112">
        <v>44584.0</v>
      </c>
      <c r="U3" s="3"/>
      <c r="V3" s="112">
        <v>44615.0</v>
      </c>
      <c r="W3" s="3"/>
      <c r="X3" s="112">
        <v>44643.0</v>
      </c>
      <c r="Y3" s="3"/>
    </row>
    <row r="4">
      <c r="A4" s="8" t="s">
        <v>12</v>
      </c>
      <c r="B4" s="9" t="s">
        <v>3</v>
      </c>
      <c r="C4" s="9" t="s">
        <v>4</v>
      </c>
      <c r="D4" s="9" t="s">
        <v>3</v>
      </c>
      <c r="E4" s="9" t="s">
        <v>4</v>
      </c>
      <c r="F4" s="9" t="s">
        <v>3</v>
      </c>
      <c r="G4" s="9" t="s">
        <v>4</v>
      </c>
      <c r="H4" s="9" t="s">
        <v>3</v>
      </c>
      <c r="I4" s="9" t="s">
        <v>4</v>
      </c>
      <c r="J4" s="9" t="s">
        <v>3</v>
      </c>
      <c r="K4" s="9" t="s">
        <v>4</v>
      </c>
      <c r="L4" s="9" t="s">
        <v>3</v>
      </c>
      <c r="M4" s="9" t="s">
        <v>4</v>
      </c>
      <c r="N4" s="9" t="s">
        <v>3</v>
      </c>
      <c r="O4" s="9" t="s">
        <v>4</v>
      </c>
      <c r="P4" s="9" t="s">
        <v>3</v>
      </c>
      <c r="Q4" s="9" t="s">
        <v>4</v>
      </c>
      <c r="R4" s="9" t="s">
        <v>3</v>
      </c>
      <c r="S4" s="9" t="s">
        <v>4</v>
      </c>
      <c r="T4" s="9" t="s">
        <v>3</v>
      </c>
      <c r="U4" s="9" t="s">
        <v>4</v>
      </c>
      <c r="V4" s="9" t="s">
        <v>3</v>
      </c>
      <c r="W4" s="9" t="s">
        <v>4</v>
      </c>
      <c r="X4" s="9" t="s">
        <v>3</v>
      </c>
      <c r="Y4" s="9" t="s">
        <v>4</v>
      </c>
    </row>
    <row r="5">
      <c r="A5" s="43" t="s">
        <v>14</v>
      </c>
      <c r="B5" s="46">
        <v>-556429.0</v>
      </c>
      <c r="C5" s="46">
        <v>641444.0</v>
      </c>
      <c r="D5" s="13">
        <v>-877471.0</v>
      </c>
      <c r="E5" s="13">
        <v>534917.0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43" t="s">
        <v>15</v>
      </c>
      <c r="B6" s="46">
        <v>-49118.0</v>
      </c>
      <c r="C6" s="46">
        <v>24128.0</v>
      </c>
      <c r="D6" s="13">
        <v>-157741.0</v>
      </c>
      <c r="E6" s="13">
        <v>15596.0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43" t="s">
        <v>16</v>
      </c>
      <c r="B7" s="46">
        <v>-24079.0</v>
      </c>
      <c r="C7" s="46">
        <v>1977.0</v>
      </c>
      <c r="D7" s="13">
        <v>-97294.0</v>
      </c>
      <c r="E7" s="13">
        <v>2831.0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46" t="s">
        <v>17</v>
      </c>
      <c r="B8" s="46">
        <v>-29148.0</v>
      </c>
      <c r="C8" s="46">
        <v>14663.0</v>
      </c>
      <c r="D8" s="13">
        <v>-36036.0</v>
      </c>
      <c r="E8" s="13">
        <v>18281.0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43" t="s">
        <v>18</v>
      </c>
      <c r="B9" s="46">
        <v>-548.0</v>
      </c>
      <c r="C9" s="46">
        <v>227.0</v>
      </c>
      <c r="D9" s="13">
        <v>-1666.0</v>
      </c>
      <c r="E9" s="13">
        <v>897.0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7"/>
    </row>
    <row r="10">
      <c r="A10" s="49"/>
      <c r="B10" s="45"/>
      <c r="C10" s="45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0" t="s">
        <v>6</v>
      </c>
      <c r="B11" s="45">
        <f t="shared" ref="B11:E11" si="1">SUM(B5:B9)</f>
        <v>-659322</v>
      </c>
      <c r="C11" s="45">
        <f t="shared" si="1"/>
        <v>682439</v>
      </c>
      <c r="D11" s="45">
        <f t="shared" si="1"/>
        <v>-1170208</v>
      </c>
      <c r="E11" s="45">
        <f t="shared" si="1"/>
        <v>572522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51"/>
      <c r="B12" s="45"/>
      <c r="C12" s="45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3" t="s">
        <v>19</v>
      </c>
      <c r="B13" s="46">
        <v>-206455.0</v>
      </c>
      <c r="C13" s="46">
        <v>3684006.0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43" t="s">
        <v>20</v>
      </c>
      <c r="B14" s="46">
        <v>-118450.0</v>
      </c>
      <c r="C14" s="46">
        <v>425417.0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43" t="s">
        <v>23</v>
      </c>
      <c r="B15" s="45"/>
      <c r="C15" s="45"/>
      <c r="D15" s="13"/>
      <c r="E15" s="13"/>
      <c r="F15" s="13"/>
      <c r="G15" s="13"/>
      <c r="H15" s="7"/>
      <c r="I15" s="7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7"/>
      <c r="Y15" s="7"/>
    </row>
    <row r="16">
      <c r="A16" s="51"/>
      <c r="B16" s="45"/>
      <c r="C16" s="45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1"/>
      <c r="B17" s="45"/>
      <c r="C17" s="45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0" t="s">
        <v>6</v>
      </c>
      <c r="B18" s="45">
        <f t="shared" ref="B18:C18" si="2">SUM(B13:B17)</f>
        <v>-324905</v>
      </c>
      <c r="C18" s="45">
        <f t="shared" si="2"/>
        <v>4109423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51"/>
      <c r="B19" s="45"/>
      <c r="C19" s="45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3" t="s">
        <v>24</v>
      </c>
      <c r="B20" s="46">
        <v>-172626.0</v>
      </c>
      <c r="C20" s="46">
        <v>556404.0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43" t="s">
        <v>25</v>
      </c>
      <c r="B21" s="46">
        <v>-14153.0</v>
      </c>
      <c r="C21" s="46">
        <v>12091.0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43" t="s">
        <v>26</v>
      </c>
      <c r="B22" s="46">
        <v>0.0</v>
      </c>
      <c r="C22" s="46">
        <v>17863.0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51"/>
      <c r="B23" s="45"/>
      <c r="C23" s="45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50" t="s">
        <v>6</v>
      </c>
      <c r="B24" s="45">
        <f t="shared" ref="B24:C24" si="3">SUM(B20:B23)</f>
        <v>-186779</v>
      </c>
      <c r="C24" s="45">
        <f t="shared" si="3"/>
        <v>586358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>
      <c r="A25" s="51"/>
      <c r="B25" s="45"/>
      <c r="C25" s="45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3" t="s">
        <v>27</v>
      </c>
      <c r="B26" s="46">
        <v>-205501.0</v>
      </c>
      <c r="C26" s="46">
        <v>861487.0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43" t="s">
        <v>28</v>
      </c>
      <c r="B27" s="46">
        <v>0.0</v>
      </c>
      <c r="C27" s="46">
        <v>1294677.0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43" t="s">
        <v>29</v>
      </c>
      <c r="B28" s="46">
        <v>-271643.0</v>
      </c>
      <c r="C28" s="46">
        <v>63425.0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43" t="s">
        <v>30</v>
      </c>
      <c r="B29" s="46">
        <v>-5221.0</v>
      </c>
      <c r="C29" s="46">
        <v>141152.0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43" t="s">
        <v>31</v>
      </c>
      <c r="B30" s="46">
        <v>-84862.0</v>
      </c>
      <c r="C30" s="46">
        <v>460273.0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43" t="s">
        <v>32</v>
      </c>
      <c r="B31" s="46">
        <v>-113773.0</v>
      </c>
      <c r="C31" s="46">
        <v>107142.0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43" t="s">
        <v>33</v>
      </c>
      <c r="B32" s="46">
        <v>-9385.0</v>
      </c>
      <c r="C32" s="46">
        <v>84520.0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51"/>
      <c r="B33" s="45"/>
      <c r="C33" s="45"/>
      <c r="D33" s="7"/>
      <c r="E33" s="7"/>
      <c r="F33" s="7"/>
      <c r="G33" s="7"/>
      <c r="H33" s="13"/>
      <c r="I33" s="13"/>
      <c r="J33" s="7"/>
      <c r="K33" s="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51"/>
      <c r="B34" s="45"/>
      <c r="C34" s="45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13"/>
      <c r="S34" s="13"/>
      <c r="T34" s="13"/>
      <c r="U34" s="13"/>
      <c r="V34" s="13"/>
      <c r="W34" s="13"/>
      <c r="X34" s="13"/>
      <c r="Y34" s="13"/>
    </row>
    <row r="35">
      <c r="A35" s="50" t="s">
        <v>6</v>
      </c>
      <c r="B35" s="45">
        <f t="shared" ref="B35:C35" si="4">SUM(B26:B34)</f>
        <v>-690385</v>
      </c>
      <c r="C35" s="45">
        <f t="shared" si="4"/>
        <v>3012676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51"/>
      <c r="B36" s="45"/>
      <c r="C36" s="45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>
      <c r="A37" s="51"/>
      <c r="B37" s="45"/>
      <c r="C37" s="45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43" t="s">
        <v>36</v>
      </c>
      <c r="B38" s="46">
        <v>-35674.0</v>
      </c>
      <c r="C38" s="46">
        <v>57478.0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51"/>
      <c r="B39" s="45"/>
      <c r="C39" s="45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51"/>
      <c r="B40" s="45"/>
      <c r="C40" s="45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51"/>
      <c r="B41" s="45"/>
      <c r="C41" s="45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51"/>
      <c r="B42" s="45"/>
      <c r="C42" s="45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50" t="s">
        <v>6</v>
      </c>
      <c r="B43" s="45">
        <f t="shared" ref="B43:C43" si="5">SUM(B38:B42)</f>
        <v>-35674</v>
      </c>
      <c r="C43" s="45">
        <f t="shared" si="5"/>
        <v>57478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51"/>
      <c r="B44" s="45"/>
      <c r="C44" s="45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>
      <c r="A45" s="43" t="s">
        <v>37</v>
      </c>
      <c r="B45" s="46">
        <v>-85052.0</v>
      </c>
      <c r="C45" s="46">
        <v>35344.0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43" t="s">
        <v>38</v>
      </c>
      <c r="B46" s="46">
        <v>-17824.0</v>
      </c>
      <c r="C46" s="46">
        <v>70504.0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43" t="s">
        <v>21</v>
      </c>
      <c r="B47" s="46">
        <v>0.0</v>
      </c>
      <c r="C47" s="46">
        <v>3334.0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52" t="s">
        <v>6</v>
      </c>
      <c r="B48" s="45">
        <f t="shared" ref="B48:C48" si="6">SUM(B45:B47)</f>
        <v>-102876</v>
      </c>
      <c r="C48" s="45">
        <f t="shared" si="6"/>
        <v>109182</v>
      </c>
      <c r="D48" s="7"/>
      <c r="E48" s="7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51"/>
      <c r="B49" s="45"/>
      <c r="C49" s="45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43" t="s">
        <v>39</v>
      </c>
      <c r="B50" s="46">
        <v>-288471.0</v>
      </c>
      <c r="C50" s="46">
        <v>354634.0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51"/>
      <c r="B51" s="45"/>
      <c r="C51" s="45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52" t="s">
        <v>6</v>
      </c>
      <c r="B52" s="45">
        <f t="shared" ref="B52:C52" si="7">SUM(B50:B51)</f>
        <v>-288471</v>
      </c>
      <c r="C52" s="45">
        <f t="shared" si="7"/>
        <v>354634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51"/>
      <c r="B53" s="45"/>
      <c r="C53" s="45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43" t="s">
        <v>40</v>
      </c>
      <c r="B54" s="45">
        <f t="shared" ref="B54:C54" si="8">SUMIF($A$5:$A$52,"TOTAL",B5:B53)</f>
        <v>-2288412</v>
      </c>
      <c r="C54" s="45">
        <f t="shared" si="8"/>
        <v>8912190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45"/>
      <c r="B55" s="45"/>
      <c r="C55" s="45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45"/>
      <c r="B56" s="45">
        <f>B54</f>
        <v>-2288412</v>
      </c>
      <c r="C56" s="45">
        <f>C54-D54</f>
        <v>8912190</v>
      </c>
      <c r="D56" s="7"/>
      <c r="E56" s="13"/>
      <c r="F56" s="7"/>
      <c r="G56" s="13"/>
      <c r="H56" s="7"/>
      <c r="I56" s="13"/>
      <c r="J56" s="7"/>
      <c r="K56" s="13"/>
      <c r="L56" s="7"/>
      <c r="M56" s="13"/>
      <c r="N56" s="7"/>
      <c r="O56" s="13"/>
      <c r="P56" s="7"/>
      <c r="Q56" s="13"/>
      <c r="R56" s="7"/>
      <c r="S56" s="13"/>
      <c r="T56" s="7"/>
      <c r="U56" s="13"/>
      <c r="V56" s="7"/>
      <c r="W56" s="13"/>
      <c r="X56" s="7"/>
      <c r="Y56" s="13"/>
    </row>
    <row r="57">
      <c r="A57" s="45"/>
      <c r="B57" s="45"/>
      <c r="C57" s="45"/>
    </row>
    <row r="58">
      <c r="A58" s="45"/>
      <c r="B58" s="46" t="s">
        <v>136</v>
      </c>
      <c r="C58" s="45">
        <f>B56+C56</f>
        <v>6623778</v>
      </c>
    </row>
  </sheetData>
  <mergeCells count="13">
    <mergeCell ref="N3:O3"/>
    <mergeCell ref="P3:Q3"/>
    <mergeCell ref="R3:S3"/>
    <mergeCell ref="T3:U3"/>
    <mergeCell ref="V3:W3"/>
    <mergeCell ref="X3:Y3"/>
    <mergeCell ref="A2:Y2"/>
    <mergeCell ref="B3:C3"/>
    <mergeCell ref="D3:E3"/>
    <mergeCell ref="F3:G3"/>
    <mergeCell ref="H3:I3"/>
    <mergeCell ref="J3:K3"/>
    <mergeCell ref="L3:M3"/>
  </mergeCells>
  <drawing r:id="rId1"/>
</worksheet>
</file>