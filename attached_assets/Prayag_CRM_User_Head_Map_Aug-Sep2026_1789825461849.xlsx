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ad_Summary" sheetId="1" state="visible" r:id="rId3"/>
    <sheet name="User_to_Head" sheetId="2" state="visible" r:id="rId4"/>
  </sheets>
  <definedNames>
    <definedName function="false" hidden="true" localSheetId="1" name="_xlnm._FilterDatabase" vbProcedure="false">User_to_Head!$A$1:$M$153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<sst xmlns="http://schemas.openxmlformats.org/spreadsheetml/2006/main" count="1255" uniqueCount="430">
  <si>
    <t xml:space="preserve">August 2026 order booking by state head — roster-based attribution</t>
  </si>
  <si>
    <t xml:space="preserve">Every CRM sales user mapped to a head using the STATE HEAD DASHBOARD 2026-27 roster first, then the CRM reporting-manager chain. Source: Aug_month_order_booking.xlsx, September_Order_Booking.xlsx (1–17 Sep).</t>
  </si>
  <si>
    <t xml:space="preserve">State head</t>
  </si>
  <si>
    <t xml:space="preserve">Aug value — roster-based (Rs)</t>
  </si>
  <si>
    <t xml:space="preserve">Aug value — app today, Product-Wise by person (Rs)</t>
  </si>
  <si>
    <t xml:space="preserve">Difference (Rs)</t>
  </si>
  <si>
    <t xml:space="preserve">secondary_head_month ordered, Aug (Rs)</t>
  </si>
  <si>
    <t xml:space="preserve">Roster-based vs head_month (Rs)</t>
  </si>
  <si>
    <t xml:space="preserve">Sep 1–17 value — roster-based (Rs)</t>
  </si>
  <si>
    <t xml:space="preserve">Sandeep Dadheech</t>
  </si>
  <si>
    <t xml:space="preserve">Syed Aqil Rizvi</t>
  </si>
  <si>
    <t xml:space="preserve">Lalan Kumar</t>
  </si>
  <si>
    <t xml:space="preserve">Anant Singh</t>
  </si>
  <si>
    <t xml:space="preserve">Biju C.O</t>
  </si>
  <si>
    <t xml:space="preserve">Pawan Kumar Sharma</t>
  </si>
  <si>
    <t xml:space="preserve">Sunil Patel</t>
  </si>
  <si>
    <t xml:space="preserve">Sulinder Pal</t>
  </si>
  <si>
    <t xml:space="preserve">Nasir Hussain Khan</t>
  </si>
  <si>
    <t xml:space="preserve">Not attributed to any head (app today)</t>
  </si>
  <si>
    <t xml:space="preserve">Total</t>
  </si>
  <si>
    <t xml:space="preserve">Notes</t>
  </si>
  <si>
    <t xml:space="preserve">Column C = figures the app reported on 19 Sep (Prompt 119 E table) via person_registry; it leaves Rs 4.19 Cr with no head.</t>
  </si>
  <si>
    <t xml:space="preserve">Column E = secondary_head_month ordered after the 19 Sep 11:11 UTC reload (run 381): Pawan +Rs 9,95,810.26 (Vikash Gour), Biju +Rs 8,67,880.20 (J. Suresh Kumar). Source: Replit report 19 Sep.</t>
  </si>
  <si>
    <t xml:space="preserve">Roster-based attribution places 100% of August value (Rs 19,57,88,289) with a named head: 144 of 152 users by exact roster name, 8 by the CRM reporting-manager chain.</t>
  </si>
  <si>
    <t xml:space="preserve">Sunil Patel: the roster team is Gujarat only (Devdutt Joshi, Dhaval Parmar, Rathod Vijaybhai). The app gives him about Rs 80 L more; the same amount is missing from Syed Aqil Rizvi.</t>
  </si>
  <si>
    <t xml:space="preserve">Two roster heads are spelled two ways (Sulindar/Sulinder Pal; Biju C.O/Biju CO) and treated as one here.</t>
  </si>
  <si>
    <t xml:space="preserve">CRM Sales User Name</t>
  </si>
  <si>
    <t xml:space="preserve">Employee ID</t>
  </si>
  <si>
    <t xml:space="preserve">Proposed state head</t>
  </si>
  <si>
    <t xml:space="preserve">Basis</t>
  </si>
  <si>
    <t xml:space="preserve">Roster head (STATE HEAD DASHBOARD 2026-27)</t>
  </si>
  <si>
    <t xml:space="preserve">CRM reporting manager</t>
  </si>
  <si>
    <t xml:space="preserve">CRM chain to head</t>
  </si>
  <si>
    <t xml:space="preserve">Main states</t>
  </si>
  <si>
    <t xml:space="preserve">Aug rows</t>
  </si>
  <si>
    <t xml:space="preserve">Sep rows (1-17)</t>
  </si>
  <si>
    <t xml:space="preserve">Aug value (Rs ex-GST)</t>
  </si>
  <si>
    <t xml:space="preserve">Sep value 1-17 (Rs ex-GST)</t>
  </si>
  <si>
    <t xml:space="preserve">Note</t>
  </si>
  <si>
    <t xml:space="preserve">RAVINDER PURI</t>
  </si>
  <si>
    <t xml:space="preserve">PRG-361</t>
  </si>
  <si>
    <t xml:space="preserve">Roster (exact name)</t>
  </si>
  <si>
    <t xml:space="preserve">ANANT SINGH</t>
  </si>
  <si>
    <t xml:space="preserve">UTTAR PRADESH</t>
  </si>
  <si>
    <t xml:space="preserve">SHIVAM CHAUHAN</t>
  </si>
  <si>
    <t xml:space="preserve">PRG-056</t>
  </si>
  <si>
    <t xml:space="preserve">UTTARAKHAND, UTTAR PRADESH</t>
  </si>
  <si>
    <t xml:space="preserve">RINKU</t>
  </si>
  <si>
    <t xml:space="preserve">PRG-124</t>
  </si>
  <si>
    <t xml:space="preserve">TARUN GIRI</t>
  </si>
  <si>
    <t xml:space="preserve">PRG-029</t>
  </si>
  <si>
    <t xml:space="preserve">MANISH GUPTA</t>
  </si>
  <si>
    <t xml:space="preserve">PRG-128</t>
  </si>
  <si>
    <t xml:space="preserve">UTTAR PRADESH, DELHI</t>
  </si>
  <si>
    <t xml:space="preserve">PRASUN CHATTERJEE</t>
  </si>
  <si>
    <t xml:space="preserve">PRG-354</t>
  </si>
  <si>
    <t xml:space="preserve">DELHI</t>
  </si>
  <si>
    <t xml:space="preserve">RAHUL SINGH</t>
  </si>
  <si>
    <t xml:space="preserve">PRG-001</t>
  </si>
  <si>
    <t xml:space="preserve">ASHUTOSH KUMAR (RUDRAPUR)</t>
  </si>
  <si>
    <t xml:space="preserve">PRG-102</t>
  </si>
  <si>
    <t xml:space="preserve">CRM chain</t>
  </si>
  <si>
    <t xml:space="preserve">Anant Singh / Sandeep Dadheech</t>
  </si>
  <si>
    <t xml:space="preserve">UTTARAKHAND</t>
  </si>
  <si>
    <t xml:space="preserve">Two Ashutosh Kumar in roster. This one sells in Uttarakhand and reports to Anant.</t>
  </si>
  <si>
    <t xml:space="preserve">ANKIT KUMAR</t>
  </si>
  <si>
    <t xml:space="preserve">PRG-036</t>
  </si>
  <si>
    <t xml:space="preserve">UTTAR PRADESH, WEST U.P</t>
  </si>
  <si>
    <t xml:space="preserve">K.V.THAMIZHSELVAN</t>
  </si>
  <si>
    <t xml:space="preserve">PRG-341</t>
  </si>
  <si>
    <t xml:space="preserve">BIJU C.O</t>
  </si>
  <si>
    <t xml:space="preserve">TAMIL NADU, ANDHRA PRADESH</t>
  </si>
  <si>
    <t xml:space="preserve">SAIBULLA S.</t>
  </si>
  <si>
    <t xml:space="preserve">PRG-112</t>
  </si>
  <si>
    <t xml:space="preserve">TAMIL NADU</t>
  </si>
  <si>
    <t xml:space="preserve">J.SURESH KUMAR</t>
  </si>
  <si>
    <t xml:space="preserve">PRG-338</t>
  </si>
  <si>
    <t xml:space="preserve">TAMIL NADU, PUDUCHERRY</t>
  </si>
  <si>
    <t xml:space="preserve">K SURESH KUMAR</t>
  </si>
  <si>
    <t xml:space="preserve">PRG-028</t>
  </si>
  <si>
    <t xml:space="preserve">GIRISH B</t>
  </si>
  <si>
    <t xml:space="preserve">PRG-149</t>
  </si>
  <si>
    <t xml:space="preserve">KERALA</t>
  </si>
  <si>
    <t xml:space="preserve">AMEERALI EK (OFF ROLL)</t>
  </si>
  <si>
    <t xml:space="preserve">PRG-095</t>
  </si>
  <si>
    <t xml:space="preserve">RIYAS V</t>
  </si>
  <si>
    <t xml:space="preserve">PRG-082</t>
  </si>
  <si>
    <t xml:space="preserve">PRATHEESH CC</t>
  </si>
  <si>
    <t xml:space="preserve">PRG-355</t>
  </si>
  <si>
    <t xml:space="preserve">PRATHAM KYASTI</t>
  </si>
  <si>
    <t xml:space="preserve">PRG-014</t>
  </si>
  <si>
    <t xml:space="preserve">PRASHANT ONAM NAIK</t>
  </si>
  <si>
    <t xml:space="preserve">KARNATAKA</t>
  </si>
  <si>
    <t xml:space="preserve">ABHISHEK RAVINDRA PADADAR</t>
  </si>
  <si>
    <t xml:space="preserve">PRG-008</t>
  </si>
  <si>
    <t xml:space="preserve">PRASHANTHA M</t>
  </si>
  <si>
    <t xml:space="preserve">PRASHANTHA M(roster)</t>
  </si>
  <si>
    <t xml:space="preserve">Roster says Biju C.O; CRM manager Prashantha M is Sandeep primary team. Roster kept.</t>
  </si>
  <si>
    <t xml:space="preserve">MILIND ASHOK SADANAND</t>
  </si>
  <si>
    <t xml:space="preserve">PRG-031</t>
  </si>
  <si>
    <t xml:space="preserve">ABHISHEKGOUD .K. PATIL</t>
  </si>
  <si>
    <t xml:space="preserve">NJ-7</t>
  </si>
  <si>
    <t xml:space="preserve">MILIND ASHOK SADANAND(roster)</t>
  </si>
  <si>
    <t xml:space="preserve">Not in roster. Manager Milind Ashok Sadanand is in Biju roster (Hubli).</t>
  </si>
  <si>
    <t xml:space="preserve">HARSHA K RAO</t>
  </si>
  <si>
    <t xml:space="preserve">PRG-021</t>
  </si>
  <si>
    <t xml:space="preserve">KRISHNA KUMAR K</t>
  </si>
  <si>
    <t xml:space="preserve">NJ-5</t>
  </si>
  <si>
    <t xml:space="preserve">AMEY DEODHAR</t>
  </si>
  <si>
    <t xml:space="preserve">PRG-323</t>
  </si>
  <si>
    <t xml:space="preserve">LALAN KUMAR</t>
  </si>
  <si>
    <t xml:space="preserve">MAHARASHTRA</t>
  </si>
  <si>
    <t xml:space="preserve">TEJAS LUNAWAT</t>
  </si>
  <si>
    <t xml:space="preserve">PRG-430</t>
  </si>
  <si>
    <t xml:space="preserve">SANDEEP AMRUT SONAWANE</t>
  </si>
  <si>
    <t xml:space="preserve">PRG-377</t>
  </si>
  <si>
    <t xml:space="preserve">TEJAS LUNAWAT(roster)</t>
  </si>
  <si>
    <t xml:space="preserve">UNMESH DILIP THAKAR</t>
  </si>
  <si>
    <t xml:space="preserve">PRG-016</t>
  </si>
  <si>
    <t xml:space="preserve">AMEY DEODHAR(roster)</t>
  </si>
  <si>
    <t xml:space="preserve">AMIT DAMODHAR JADHAV</t>
  </si>
  <si>
    <t xml:space="preserve">PRG-324</t>
  </si>
  <si>
    <t xml:space="preserve">VIJAY DNYANESHWAR</t>
  </si>
  <si>
    <t xml:space="preserve">PRG-242</t>
  </si>
  <si>
    <t xml:space="preserve">CHANDRAKANT MANDAVE</t>
  </si>
  <si>
    <t xml:space="preserve">PRG-330</t>
  </si>
  <si>
    <t xml:space="preserve">VAIBHAV BAPURAO WAGHE</t>
  </si>
  <si>
    <t xml:space="preserve">PRG-007</t>
  </si>
  <si>
    <t xml:space="preserve">TUSHAR RAVINDRA KANTHALE</t>
  </si>
  <si>
    <t xml:space="preserve">PRG-321</t>
  </si>
  <si>
    <t xml:space="preserve">KUNAL SANJAY SASANE</t>
  </si>
  <si>
    <t xml:space="preserve">PRG-133</t>
  </si>
  <si>
    <t xml:space="preserve">PRASAD PUNDALIK YEDGE</t>
  </si>
  <si>
    <t xml:space="preserve">PRG-013</t>
  </si>
  <si>
    <t xml:space="preserve">SYED SOHEL HASHMI</t>
  </si>
  <si>
    <t xml:space="preserve">PRG-155</t>
  </si>
  <si>
    <t xml:space="preserve">RAHUL RAMCHANDRA BHOSALE</t>
  </si>
  <si>
    <t xml:space="preserve">PRG-055</t>
  </si>
  <si>
    <t xml:space="preserve">ANAND BHAGWAN MORE</t>
  </si>
  <si>
    <t xml:space="preserve">PRG-168</t>
  </si>
  <si>
    <t xml:space="preserve">SWAPNIL RAJPUT</t>
  </si>
  <si>
    <t xml:space="preserve">PRG-049</t>
  </si>
  <si>
    <t xml:space="preserve">PAWAN KUMAR</t>
  </si>
  <si>
    <t xml:space="preserve">PRG-350</t>
  </si>
  <si>
    <t xml:space="preserve">NASIR HUSSAIN KHAN</t>
  </si>
  <si>
    <t xml:space="preserve">JAMMU AND KASHMIR</t>
  </si>
  <si>
    <t xml:space="preserve">BASHARAT MAJEED MAGLOO</t>
  </si>
  <si>
    <t xml:space="preserve">NJ-6</t>
  </si>
  <si>
    <t xml:space="preserve">TAFAZUL NAZIR</t>
  </si>
  <si>
    <t xml:space="preserve">PRG-278</t>
  </si>
  <si>
    <t xml:space="preserve">DEEP KUMAR</t>
  </si>
  <si>
    <t xml:space="preserve">PRG-027</t>
  </si>
  <si>
    <t xml:space="preserve">BASIT AHMAD PALA</t>
  </si>
  <si>
    <t xml:space="preserve">PRG-166</t>
  </si>
  <si>
    <t xml:space="preserve">VIKASH GOUR</t>
  </si>
  <si>
    <t xml:space="preserve">PRG-092</t>
  </si>
  <si>
    <t xml:space="preserve">PAWAN KUMAR SHARMA</t>
  </si>
  <si>
    <t xml:space="preserve">RAJASTHAN</t>
  </si>
  <si>
    <t xml:space="preserve">DINESH KUMAR KAUSHIK</t>
  </si>
  <si>
    <t xml:space="preserve">PRG-271</t>
  </si>
  <si>
    <t xml:space="preserve">GULAB SINGH</t>
  </si>
  <si>
    <t xml:space="preserve">PRG-283</t>
  </si>
  <si>
    <t xml:space="preserve">HARYANA</t>
  </si>
  <si>
    <t xml:space="preserve">ISHANT</t>
  </si>
  <si>
    <t xml:space="preserve">PRG-040</t>
  </si>
  <si>
    <t xml:space="preserve">SHOYKARAN NAI</t>
  </si>
  <si>
    <t xml:space="preserve">PRG-061</t>
  </si>
  <si>
    <t xml:space="preserve">KANHAIYA LAL SALVI</t>
  </si>
  <si>
    <t xml:space="preserve">PRG-131</t>
  </si>
  <si>
    <t xml:space="preserve">MOHIT (CHARKHI DADRI)</t>
  </si>
  <si>
    <t xml:space="preserve">PRG-018</t>
  </si>
  <si>
    <t xml:space="preserve">PRAMOD KUMAR</t>
  </si>
  <si>
    <t xml:space="preserve">PRG-353</t>
  </si>
  <si>
    <t xml:space="preserve">SUJEET SINGH</t>
  </si>
  <si>
    <t xml:space="preserve">SUJEET SINGH(roster)</t>
  </si>
  <si>
    <t xml:space="preserve">BIHAR</t>
  </si>
  <si>
    <t xml:space="preserve">DEBASISH ADHIKARY</t>
  </si>
  <si>
    <t xml:space="preserve">PRG-331</t>
  </si>
  <si>
    <t xml:space="preserve">SANDEEP DADHEECH</t>
  </si>
  <si>
    <t xml:space="preserve">WEST BENGAL</t>
  </si>
  <si>
    <t xml:space="preserve">SUVEN SENGUPTA</t>
  </si>
  <si>
    <t xml:space="preserve">PRG-428</t>
  </si>
  <si>
    <t xml:space="preserve">SUBHAJIT KOLEY</t>
  </si>
  <si>
    <t xml:space="preserve">PRG-411</t>
  </si>
  <si>
    <t xml:space="preserve">SOUMEN GHOSH</t>
  </si>
  <si>
    <t xml:space="preserve">SOUMEN GHOSH(roster)</t>
  </si>
  <si>
    <t xml:space="preserve">PRABHAKAR PRATAP SINGH</t>
  </si>
  <si>
    <t xml:space="preserve">PRG-351</t>
  </si>
  <si>
    <t xml:space="preserve">RAKESH KUMAR SINHA</t>
  </si>
  <si>
    <t xml:space="preserve">PRG-359</t>
  </si>
  <si>
    <t xml:space="preserve">JHARKHAND, BIHAR</t>
  </si>
  <si>
    <t xml:space="preserve">SUJAN GHATA</t>
  </si>
  <si>
    <t xml:space="preserve">PRG-417</t>
  </si>
  <si>
    <t xml:space="preserve">SHYAM KUMAR MISHRA</t>
  </si>
  <si>
    <t xml:space="preserve">PRG-172</t>
  </si>
  <si>
    <t xml:space="preserve">VIVEK SHANKAR</t>
  </si>
  <si>
    <t xml:space="preserve">VIVEK SHANKAR(roster)</t>
  </si>
  <si>
    <t xml:space="preserve">JHARKHAND</t>
  </si>
  <si>
    <t xml:space="preserve">RAJESH CHAKRABORTY</t>
  </si>
  <si>
    <t xml:space="preserve">PRG-290</t>
  </si>
  <si>
    <t xml:space="preserve">SUDIPTA THOM</t>
  </si>
  <si>
    <t xml:space="preserve">SUDIPTA THOM(roster)</t>
  </si>
  <si>
    <t xml:space="preserve">RUDRAPRAKASH JANA</t>
  </si>
  <si>
    <t xml:space="preserve">PRG-109</t>
  </si>
  <si>
    <t xml:space="preserve">RONI GUPTA</t>
  </si>
  <si>
    <t xml:space="preserve">PRG-309</t>
  </si>
  <si>
    <t xml:space="preserve">GONESH DEY</t>
  </si>
  <si>
    <t xml:space="preserve">PRG-297</t>
  </si>
  <si>
    <t xml:space="preserve">SANTANU KALITA</t>
  </si>
  <si>
    <t xml:space="preserve">PRG-386</t>
  </si>
  <si>
    <t xml:space="preserve">ASSAM, ARUNACHAL PRADESH</t>
  </si>
  <si>
    <t xml:space="preserve">SUNIL KUMAR PANI</t>
  </si>
  <si>
    <t xml:space="preserve">PRG-422</t>
  </si>
  <si>
    <t xml:space="preserve">PRAVAT KUMAR DASH</t>
  </si>
  <si>
    <t xml:space="preserve">PRAVAT KUMAR DASH(roster)</t>
  </si>
  <si>
    <t xml:space="preserve">ODISHA</t>
  </si>
  <si>
    <t xml:space="preserve">PRIYABRATA BISWAS</t>
  </si>
  <si>
    <t xml:space="preserve">PRG-357</t>
  </si>
  <si>
    <t xml:space="preserve">PRG-356</t>
  </si>
  <si>
    <t xml:space="preserve">SUDIP GUHA ROY</t>
  </si>
  <si>
    <t xml:space="preserve">PRG-414</t>
  </si>
  <si>
    <t xml:space="preserve">WEST BENGAL, JHARKHAND</t>
  </si>
  <si>
    <t xml:space="preserve">SHUVADIP GHOSH</t>
  </si>
  <si>
    <t xml:space="preserve">PRG-067</t>
  </si>
  <si>
    <t xml:space="preserve">BISWAJIT ROY</t>
  </si>
  <si>
    <t xml:space="preserve">PRG-258</t>
  </si>
  <si>
    <t xml:space="preserve">SARBJIT SINGH CHAWLA</t>
  </si>
  <si>
    <t xml:space="preserve">SARBJIT SINGH CHAWLA(roster)</t>
  </si>
  <si>
    <t xml:space="preserve">SUDHANSHU KUMAR</t>
  </si>
  <si>
    <t xml:space="preserve">PRG-232</t>
  </si>
  <si>
    <t xml:space="preserve">PRG-391</t>
  </si>
  <si>
    <t xml:space="preserve">SUSOVAN SINGHA</t>
  </si>
  <si>
    <t xml:space="preserve">PRG-084</t>
  </si>
  <si>
    <t xml:space="preserve">SUDIP SARKAR</t>
  </si>
  <si>
    <t xml:space="preserve">PRG-164</t>
  </si>
  <si>
    <t xml:space="preserve">ASHOK DAS</t>
  </si>
  <si>
    <t xml:space="preserve">ASHOK DAS(roster)</t>
  </si>
  <si>
    <t xml:space="preserve">SOURAV SAMANTA</t>
  </si>
  <si>
    <t xml:space="preserve">PRG-263</t>
  </si>
  <si>
    <t xml:space="preserve">SHAIK JANI BASHA</t>
  </si>
  <si>
    <t xml:space="preserve">PRG-396</t>
  </si>
  <si>
    <t xml:space="preserve">SURESH KUMAR NAIR</t>
  </si>
  <si>
    <t xml:space="preserve">ANDHRA PRADESH</t>
  </si>
  <si>
    <t xml:space="preserve">ANIRBAN BISWAS</t>
  </si>
  <si>
    <t xml:space="preserve">PRG-030</t>
  </si>
  <si>
    <t xml:space="preserve">MONMON PAUL</t>
  </si>
  <si>
    <t xml:space="preserve">MONMON PAUL(roster)</t>
  </si>
  <si>
    <t xml:space="preserve">LINGARAJ MOHARANA</t>
  </si>
  <si>
    <t xml:space="preserve">PRG-011</t>
  </si>
  <si>
    <t xml:space="preserve">PRADEEP KUMAR</t>
  </si>
  <si>
    <t xml:space="preserve">PRG-352</t>
  </si>
  <si>
    <t xml:space="preserve">PRABHAKAR PRATAP SINGH(roster)</t>
  </si>
  <si>
    <t xml:space="preserve">BIHAR, JHARKHAND</t>
  </si>
  <si>
    <t xml:space="preserve">RAM SHANKAR MISHRA</t>
  </si>
  <si>
    <t xml:space="preserve">PRG-136</t>
  </si>
  <si>
    <t xml:space="preserve">NIKHIL KUMAR</t>
  </si>
  <si>
    <t xml:space="preserve">PRG-108</t>
  </si>
  <si>
    <t xml:space="preserve">SUROJIT MONDAL</t>
  </si>
  <si>
    <t xml:space="preserve">PRG-424</t>
  </si>
  <si>
    <t xml:space="preserve">SUMANTA SINGHA</t>
  </si>
  <si>
    <t xml:space="preserve">PRG-310</t>
  </si>
  <si>
    <t xml:space="preserve">PRIYABRATA BISWAS(roster)</t>
  </si>
  <si>
    <t xml:space="preserve">NARAYAN BAISHYA</t>
  </si>
  <si>
    <t xml:space="preserve">PRG-193</t>
  </si>
  <si>
    <t xml:space="preserve">ASSAM, MEGHALAYA</t>
  </si>
  <si>
    <t xml:space="preserve">HRUSIKESH SATAPATHY</t>
  </si>
  <si>
    <t xml:space="preserve">PRG-204</t>
  </si>
  <si>
    <t xml:space="preserve">SASIKANT PRASAD</t>
  </si>
  <si>
    <t xml:space="preserve">PRG-393</t>
  </si>
  <si>
    <t xml:space="preserve">DASARI ADISESHU</t>
  </si>
  <si>
    <t xml:space="preserve">PRG-111</t>
  </si>
  <si>
    <t xml:space="preserve">TELANGANA</t>
  </si>
  <si>
    <t xml:space="preserve">ASHUTOSH KUMAR</t>
  </si>
  <si>
    <t xml:space="preserve">PRG-327</t>
  </si>
  <si>
    <t xml:space="preserve">Two Ashutosh Kumar in roster (Anant, Sandeep). This one sells in Jharkhand and reports to Sandeep.</t>
  </si>
  <si>
    <t xml:space="preserve">VIJAY KUMAR</t>
  </si>
  <si>
    <t xml:space="preserve">PRG-107</t>
  </si>
  <si>
    <t xml:space="preserve">KUMAR AVINISH</t>
  </si>
  <si>
    <t xml:space="preserve">PRG-216</t>
  </si>
  <si>
    <t xml:space="preserve">LITAN SAHA</t>
  </si>
  <si>
    <t xml:space="preserve">PRG-344</t>
  </si>
  <si>
    <t xml:space="preserve">TRIPURA</t>
  </si>
  <si>
    <t xml:space="preserve">KAILASH CH. GHADEI</t>
  </si>
  <si>
    <t xml:space="preserve">PRG-342</t>
  </si>
  <si>
    <t xml:space="preserve">ATANU PAUL</t>
  </si>
  <si>
    <t xml:space="preserve">PRG-190</t>
  </si>
  <si>
    <t xml:space="preserve">DIBYENDU SAHA</t>
  </si>
  <si>
    <t xml:space="preserve">DIBYENDU SAHA(roster)</t>
  </si>
  <si>
    <t xml:space="preserve">GAURAV KUMAR</t>
  </si>
  <si>
    <t xml:space="preserve">PRG-212</t>
  </si>
  <si>
    <t xml:space="preserve">SUSANTA BEHERA</t>
  </si>
  <si>
    <t xml:space="preserve">PRG-015</t>
  </si>
  <si>
    <t xml:space="preserve">ARUPANANDA MANDAL</t>
  </si>
  <si>
    <t xml:space="preserve">PRG-279</t>
  </si>
  <si>
    <t xml:space="preserve">SRAVAN KUMAR SHARMA</t>
  </si>
  <si>
    <t xml:space="preserve">PRG-214</t>
  </si>
  <si>
    <t xml:space="preserve">INDRAJIT GHOSH</t>
  </si>
  <si>
    <t xml:space="preserve">PRG-077</t>
  </si>
  <si>
    <t xml:space="preserve">VIKASH KUMAR SINGH</t>
  </si>
  <si>
    <t xml:space="preserve">PRG-322</t>
  </si>
  <si>
    <t xml:space="preserve">PAWAN KUMAR PAREEK (OFF-ROLL)</t>
  </si>
  <si>
    <t xml:space="preserve">PRG-025</t>
  </si>
  <si>
    <t xml:space="preserve">SANTANU KALITA(roster)</t>
  </si>
  <si>
    <t xml:space="preserve">DIPAK SHARMA</t>
  </si>
  <si>
    <t xml:space="preserve">PRG-333</t>
  </si>
  <si>
    <t xml:space="preserve">ASSAM</t>
  </si>
  <si>
    <t xml:space="preserve">SUSHANTA BARMAN</t>
  </si>
  <si>
    <t xml:space="preserve">PRG-098</t>
  </si>
  <si>
    <t xml:space="preserve">J.KAMAL KISHORE</t>
  </si>
  <si>
    <t xml:space="preserve">PRG-337</t>
  </si>
  <si>
    <t xml:space="preserve">JITHENDER REDDY KATUKURI</t>
  </si>
  <si>
    <t xml:space="preserve">PRG-340</t>
  </si>
  <si>
    <t xml:space="preserve">DIKART KUMAR BORAH</t>
  </si>
  <si>
    <t xml:space="preserve">PRG-262</t>
  </si>
  <si>
    <t xml:space="preserve">ASSAM, NAGALAND</t>
  </si>
  <si>
    <t xml:space="preserve">AJAY MORTHAD</t>
  </si>
  <si>
    <t xml:space="preserve">PRG-165</t>
  </si>
  <si>
    <t xml:space="preserve">PARIPALLY SRIDHAR</t>
  </si>
  <si>
    <t xml:space="preserve">PRG-002</t>
  </si>
  <si>
    <t xml:space="preserve">ADARSH GAURAV</t>
  </si>
  <si>
    <t xml:space="preserve">PRG-147</t>
  </si>
  <si>
    <t xml:space="preserve">S.TIRUMALA RAO</t>
  </si>
  <si>
    <t xml:space="preserve">PRG-368</t>
  </si>
  <si>
    <t xml:space="preserve">SHAIK JANI BASHA(roster)</t>
  </si>
  <si>
    <t xml:space="preserve">TANINKI RAMESH BABU</t>
  </si>
  <si>
    <t xml:space="preserve">PRG-429</t>
  </si>
  <si>
    <t xml:space="preserve">JAHIR ABBAS HALDER</t>
  </si>
  <si>
    <t xml:space="preserve">PRG-054</t>
  </si>
  <si>
    <t xml:space="preserve">AVINASH KUMAR</t>
  </si>
  <si>
    <t xml:space="preserve">PRG-218</t>
  </si>
  <si>
    <t xml:space="preserve">MANAS RANJAN DAS</t>
  </si>
  <si>
    <t xml:space="preserve">PRG-170</t>
  </si>
  <si>
    <t xml:space="preserve">PRG-416</t>
  </si>
  <si>
    <t xml:space="preserve">SUBHA CHOWDHURY</t>
  </si>
  <si>
    <t xml:space="preserve">PRG-615</t>
  </si>
  <si>
    <t xml:space="preserve">SUDIP GUHA ROY(roster)</t>
  </si>
  <si>
    <t xml:space="preserve">RANJIT KUMAR</t>
  </si>
  <si>
    <t xml:space="preserve">PRG-195</t>
  </si>
  <si>
    <t xml:space="preserve">SULINDER PAL</t>
  </si>
  <si>
    <t xml:space="preserve">PUNJAB</t>
  </si>
  <si>
    <t xml:space="preserve">AMIT TANGRI</t>
  </si>
  <si>
    <t xml:space="preserve">PRG-178</t>
  </si>
  <si>
    <t xml:space="preserve">ARVIND KUMAR</t>
  </si>
  <si>
    <t xml:space="preserve">PRG-099</t>
  </si>
  <si>
    <t xml:space="preserve">Sulindar Pal</t>
  </si>
  <si>
    <t xml:space="preserve">HIMACHAL PRADESH</t>
  </si>
  <si>
    <t xml:space="preserve">DEVDUTT JOSHI</t>
  </si>
  <si>
    <t xml:space="preserve">PRG-332</t>
  </si>
  <si>
    <t xml:space="preserve">SUNIL PATEL</t>
  </si>
  <si>
    <t xml:space="preserve">GUJARAT</t>
  </si>
  <si>
    <t xml:space="preserve">RATHOD VIJAYBHAI</t>
  </si>
  <si>
    <t xml:space="preserve">PRG-078</t>
  </si>
  <si>
    <t xml:space="preserve">DHAVAL PARMAR</t>
  </si>
  <si>
    <t xml:space="preserve">PRG-034</t>
  </si>
  <si>
    <t xml:space="preserve">FARAZ KHAN</t>
  </si>
  <si>
    <t xml:space="preserve">PRG-334</t>
  </si>
  <si>
    <t xml:space="preserve">AQIL RIZVI</t>
  </si>
  <si>
    <t xml:space="preserve">MADHYA PRADESH</t>
  </si>
  <si>
    <t xml:space="preserve">JITENDER BIRLA</t>
  </si>
  <si>
    <t xml:space="preserve">PRG-339</t>
  </si>
  <si>
    <t xml:space="preserve">RAJAN SRIVASTAVA</t>
  </si>
  <si>
    <t xml:space="preserve">PRG-358</t>
  </si>
  <si>
    <t xml:space="preserve">UTTAR PRADESH, MADHYA PRADESH</t>
  </si>
  <si>
    <t xml:space="preserve">HEMANT KUMAR SRIVASTAVA</t>
  </si>
  <si>
    <t xml:space="preserve">PRG-335</t>
  </si>
  <si>
    <t xml:space="preserve">OM DUTT DWIVEDI</t>
  </si>
  <si>
    <t xml:space="preserve">PRG-349</t>
  </si>
  <si>
    <t xml:space="preserve">UTTAR PRADESH, EAST U.P</t>
  </si>
  <si>
    <t xml:space="preserve">SAQIB JUNED</t>
  </si>
  <si>
    <t xml:space="preserve">PRG-243</t>
  </si>
  <si>
    <t xml:space="preserve">FARAZ KHAN(roster)</t>
  </si>
  <si>
    <t xml:space="preserve">SIDDHARTH SRIVASTAVA</t>
  </si>
  <si>
    <t xml:space="preserve">PRG-273</t>
  </si>
  <si>
    <t xml:space="preserve">AJEET YADAV</t>
  </si>
  <si>
    <t xml:space="preserve">PRG-253</t>
  </si>
  <si>
    <t xml:space="preserve">RAJAN SRIVASTAVA(roster)</t>
  </si>
  <si>
    <t xml:space="preserve">DEEPENDRA SINGH</t>
  </si>
  <si>
    <t xml:space="preserve">PRG-117</t>
  </si>
  <si>
    <t xml:space="preserve">WASIM AHMAD</t>
  </si>
  <si>
    <t xml:space="preserve">PRG-156</t>
  </si>
  <si>
    <t xml:space="preserve">RAVI KUMAR VERMA</t>
  </si>
  <si>
    <t xml:space="preserve">RAVI KUMAR VERMA(roster)</t>
  </si>
  <si>
    <t xml:space="preserve">PRG-360</t>
  </si>
  <si>
    <t xml:space="preserve">NITIN PRASAD BAGHEL</t>
  </si>
  <si>
    <t xml:space="preserve">PRG-348</t>
  </si>
  <si>
    <t xml:space="preserve">CHHATTISGARH</t>
  </si>
  <si>
    <t xml:space="preserve">DHIRAJ RAVINDRA PATLE</t>
  </si>
  <si>
    <t xml:space="preserve">PRG-188</t>
  </si>
  <si>
    <t xml:space="preserve">VISHAL KUMAR GAURAV</t>
  </si>
  <si>
    <t xml:space="preserve">PRG-252</t>
  </si>
  <si>
    <t xml:space="preserve">ARUN SHARMA</t>
  </si>
  <si>
    <t xml:space="preserve">PRG-230</t>
  </si>
  <si>
    <t xml:space="preserve">HIMANSHU SABLE</t>
  </si>
  <si>
    <t xml:space="preserve">PRG-336</t>
  </si>
  <si>
    <t xml:space="preserve">ROHIT KUMAR</t>
  </si>
  <si>
    <t xml:space="preserve">PRG-063</t>
  </si>
  <si>
    <t xml:space="preserve">HEMANT KUMAR SRIVASTAVA(roster)</t>
  </si>
  <si>
    <t xml:space="preserve">PRADEEP RAJAK</t>
  </si>
  <si>
    <t xml:space="preserve">PRG-069</t>
  </si>
  <si>
    <t xml:space="preserve">NANDKISHOR UPADHYAY</t>
  </si>
  <si>
    <t xml:space="preserve">PRG-255</t>
  </si>
  <si>
    <t xml:space="preserve">AMAN KHAN</t>
  </si>
  <si>
    <t xml:space="preserve">PRG-246</t>
  </si>
  <si>
    <t xml:space="preserve">VISHAL DHEER</t>
  </si>
  <si>
    <t xml:space="preserve">PRG-533</t>
  </si>
  <si>
    <t xml:space="preserve">NEEL KAMAL CHOURE</t>
  </si>
  <si>
    <t xml:space="preserve">PRG-347</t>
  </si>
  <si>
    <t xml:space="preserve">ABHISHEK KUMAR GUPTA</t>
  </si>
  <si>
    <t xml:space="preserve">PRG-009</t>
  </si>
  <si>
    <t xml:space="preserve">SHUBHAM SHUKLA</t>
  </si>
  <si>
    <t xml:space="preserve">PRG-035</t>
  </si>
  <si>
    <t xml:space="preserve">RAJESH PATEL</t>
  </si>
  <si>
    <t xml:space="preserve">PRG-042</t>
  </si>
  <si>
    <t xml:space="preserve">SAQIB JUNED(roster)</t>
  </si>
  <si>
    <t xml:space="preserve">SUNIL KUMAR</t>
  </si>
  <si>
    <t xml:space="preserve">PRG-037</t>
  </si>
  <si>
    <t xml:space="preserve">JITENDER BIRLA(roster)</t>
  </si>
  <si>
    <t xml:space="preserve">SIDDHARTH SHANKER SINGH</t>
  </si>
  <si>
    <t xml:space="preserve">PRG-404</t>
  </si>
  <si>
    <t xml:space="preserve">MANOJ YADAV</t>
  </si>
  <si>
    <t xml:space="preserve">PRG-103</t>
  </si>
  <si>
    <t xml:space="preserve">PRADEEP KUMAR DWIVEDI</t>
  </si>
  <si>
    <t xml:space="preserve">PRG-045</t>
  </si>
  <si>
    <t xml:space="preserve">VIKAS KUMAR (BAREILLY)</t>
  </si>
  <si>
    <t xml:space="preserve">PRG-046</t>
  </si>
  <si>
    <t xml:space="preserve">SAMIR SENGUPTA</t>
  </si>
  <si>
    <t xml:space="preserve">PRG-616</t>
  </si>
  <si>
    <t xml:space="preserve">Not in roster. Nagpur = Vidarbha, covered by Aqil team (Amravati/Akola/Gondia).</t>
  </si>
  <si>
    <t xml:space="preserve">MANISH KUMAR KARTIKEY</t>
  </si>
  <si>
    <t xml:space="preserve">PRG-012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</si>
</sst>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##,##0;[RED]\-###,##0"/>
    <numFmt numFmtId="166" formatCode="##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5A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5A"/>
        <bgColor rgb="FF003366"/>
      </patternFill>
    </fill>
    <fill>
      <patternFill patternType="solid">
        <fgColor rgb="FFFBF3E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A5A"/>
          <bgColor rgb="FF000000"/>
        </patternFill>
      </fill>
    </dxf>
    <dxf>
      <fill>
        <patternFill patternType="solid">
          <fgColor rgb="FFFBF3E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2CC"/>
      <rgbColor rgb="FF808080"/>
      <rgbColor rgb="FF9999FF"/>
      <rgbColor rgb="FF993366"/>
      <rgbColor rgb="FFFBF3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7" min="6" style="0" width="20"/>
  </cols>
  <sheetData>
    <row r="1" customFormat="false" ht="17.35" hidden="false" customHeight="false" outlineLevel="0" collapsed="false">
      <c r="A1" s="1" t="s">
        <v>0</v>
      </c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4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f aca="false">SUMIFS(User_to_Head!$K$2:$K$153,User_to_Head!$C$2:$C$153,A5)</f>
        <v>123742880</v>
      </c>
      <c r="C5" s="5" t="n">
        <v>91774735</v>
      </c>
      <c r="D5" s="5" t="n">
        <f aca="false">B5-C5</f>
        <v>31968145</v>
      </c>
      <c r="E5" s="5" t="n">
        <v>110417853.16</v>
      </c>
      <c r="F5" s="5" t="n">
        <f aca="false">B5-E5</f>
        <v>13325026.84</v>
      </c>
      <c r="G5" s="5" t="n">
        <f aca="false">SUMIFS(User_to_Head!$L$2:$L$153,User_to_Head!$C$2:$C$153,A5)</f>
        <v>41382251</v>
      </c>
    </row>
    <row r="6" customFormat="false" ht="15" hidden="false" customHeight="false" outlineLevel="0" collapsed="false">
      <c r="A6" s="4" t="s">
        <v>10</v>
      </c>
      <c r="B6" s="5" t="n">
        <f aca="false">SUMIFS(User_to_Head!$K$2:$K$153,User_to_Head!$C$2:$C$153,A6)</f>
        <v>37557506</v>
      </c>
      <c r="C6" s="5" t="n">
        <v>29558636</v>
      </c>
      <c r="D6" s="5" t="n">
        <f aca="false">B6-C6</f>
        <v>7998870</v>
      </c>
      <c r="E6" s="5" t="n">
        <v>13040396.18</v>
      </c>
      <c r="F6" s="5" t="n">
        <f aca="false">B6-E6</f>
        <v>24517109.82</v>
      </c>
      <c r="G6" s="5" t="n">
        <f aca="false">SUMIFS(User_to_Head!$L$2:$L$153,User_to_Head!$C$2:$C$153,A6)</f>
        <v>7785866</v>
      </c>
    </row>
    <row r="7" customFormat="false" ht="15" hidden="false" customHeight="false" outlineLevel="0" collapsed="false">
      <c r="A7" s="4" t="s">
        <v>11</v>
      </c>
      <c r="B7" s="5" t="n">
        <f aca="false">SUMIFS(User_to_Head!$K$2:$K$153,User_to_Head!$C$2:$C$153,A7)</f>
        <v>11240415</v>
      </c>
      <c r="C7" s="5" t="n">
        <v>8645386</v>
      </c>
      <c r="D7" s="5" t="n">
        <f aca="false">B7-C7</f>
        <v>2595029</v>
      </c>
      <c r="E7" s="5" t="n">
        <v>8322015.46</v>
      </c>
      <c r="F7" s="5" t="n">
        <f aca="false">B7-E7</f>
        <v>2918399.54</v>
      </c>
      <c r="G7" s="5" t="n">
        <f aca="false">SUMIFS(User_to_Head!$L$2:$L$153,User_to_Head!$C$2:$C$153,A7)</f>
        <v>2006801</v>
      </c>
    </row>
    <row r="8" customFormat="false" ht="15" hidden="false" customHeight="false" outlineLevel="0" collapsed="false">
      <c r="A8" s="4" t="s">
        <v>12</v>
      </c>
      <c r="B8" s="5" t="n">
        <f aca="false">SUMIFS(User_to_Head!$K$2:$K$153,User_to_Head!$C$2:$C$153,A8)</f>
        <v>8646568</v>
      </c>
      <c r="C8" s="5" t="n">
        <v>5286655</v>
      </c>
      <c r="D8" s="5" t="n">
        <f aca="false">B8-C8</f>
        <v>3359913</v>
      </c>
      <c r="E8" s="5" t="n">
        <v>6385850.33</v>
      </c>
      <c r="F8" s="5" t="n">
        <f aca="false">B8-E8</f>
        <v>2260717.67</v>
      </c>
      <c r="G8" s="5" t="n">
        <f aca="false">SUMIFS(User_to_Head!$L$2:$L$153,User_to_Head!$C$2:$C$153,A8)</f>
        <v>3336577</v>
      </c>
    </row>
    <row r="9" customFormat="false" ht="15" hidden="false" customHeight="false" outlineLevel="0" collapsed="false">
      <c r="A9" s="4" t="s">
        <v>13</v>
      </c>
      <c r="B9" s="5" t="n">
        <f aca="false">SUMIFS(User_to_Head!$K$2:$K$153,User_to_Head!$C$2:$C$153,A9)</f>
        <v>6725577</v>
      </c>
      <c r="C9" s="5" t="n">
        <v>5049235</v>
      </c>
      <c r="D9" s="5" t="n">
        <f aca="false">B9-C9</f>
        <v>1676342</v>
      </c>
      <c r="E9" s="5" t="n">
        <v>3635465.24</v>
      </c>
      <c r="F9" s="5" t="n">
        <f aca="false">B9-E9</f>
        <v>3090111.76</v>
      </c>
      <c r="G9" s="5" t="n">
        <f aca="false">SUMIFS(User_to_Head!$L$2:$L$153,User_to_Head!$C$2:$C$153,A9)</f>
        <v>2260578</v>
      </c>
    </row>
    <row r="10" customFormat="false" ht="15" hidden="false" customHeight="false" outlineLevel="0" collapsed="false">
      <c r="A10" s="4" t="s">
        <v>14</v>
      </c>
      <c r="B10" s="5" t="n">
        <f aca="false">SUMIFS(User_to_Head!$K$2:$K$153,User_to_Head!$C$2:$C$153,A10)</f>
        <v>3511104</v>
      </c>
      <c r="C10" s="5" t="n">
        <v>2957156</v>
      </c>
      <c r="D10" s="5" t="n">
        <f aca="false">B10-C10</f>
        <v>553948</v>
      </c>
      <c r="E10" s="5" t="n">
        <v>995810.26</v>
      </c>
      <c r="F10" s="5" t="n">
        <f aca="false">B10-E10</f>
        <v>2515293.74</v>
      </c>
      <c r="G10" s="5" t="n">
        <f aca="false">SUMIFS(User_to_Head!$L$2:$L$153,User_to_Head!$C$2:$C$153,A10)</f>
        <v>2175556</v>
      </c>
    </row>
    <row r="11" customFormat="false" ht="15" hidden="false" customHeight="false" outlineLevel="0" collapsed="false">
      <c r="A11" s="4" t="s">
        <v>15</v>
      </c>
      <c r="B11" s="5" t="n">
        <f aca="false">SUMIFS(User_to_Head!$K$2:$K$153,User_to_Head!$C$2:$C$153,A11)</f>
        <v>1722676</v>
      </c>
      <c r="C11" s="5" t="n">
        <v>9722299</v>
      </c>
      <c r="D11" s="5" t="n">
        <f aca="false">B11-C11</f>
        <v>-7999623</v>
      </c>
      <c r="E11" s="5" t="n">
        <v>1253434.02</v>
      </c>
      <c r="F11" s="5" t="n">
        <f aca="false">B11-E11</f>
        <v>469241.98</v>
      </c>
      <c r="G11" s="5" t="n">
        <f aca="false">SUMIFS(User_to_Head!$L$2:$L$153,User_to_Head!$C$2:$C$153,A11)</f>
        <v>731842</v>
      </c>
    </row>
    <row r="12" customFormat="false" ht="15" hidden="false" customHeight="false" outlineLevel="0" collapsed="false">
      <c r="A12" s="4" t="s">
        <v>16</v>
      </c>
      <c r="B12" s="5" t="n">
        <f aca="false">SUMIFS(User_to_Head!$K$2:$K$153,User_to_Head!$C$2:$C$153,A12)</f>
        <v>1404844</v>
      </c>
      <c r="C12" s="5" t="n">
        <v>748919</v>
      </c>
      <c r="D12" s="5" t="n">
        <f aca="false">B12-C12</f>
        <v>655925</v>
      </c>
      <c r="E12" s="5" t="n">
        <v>1290551.94</v>
      </c>
      <c r="F12" s="5" t="n">
        <f aca="false">B12-E12</f>
        <v>114292.06</v>
      </c>
      <c r="G12" s="5" t="n">
        <f aca="false">SUMIFS(User_to_Head!$L$2:$L$153,User_to_Head!$C$2:$C$153,A12)</f>
        <v>520711</v>
      </c>
    </row>
    <row r="13" customFormat="false" ht="15" hidden="false" customHeight="false" outlineLevel="0" collapsed="false">
      <c r="A13" s="4" t="s">
        <v>17</v>
      </c>
      <c r="B13" s="5" t="n">
        <f aca="false">SUMIFS(User_to_Head!$K$2:$K$153,User_to_Head!$C$2:$C$153,A13)</f>
        <v>1236719</v>
      </c>
      <c r="C13" s="5" t="n">
        <v>197314</v>
      </c>
      <c r="D13" s="5" t="n">
        <f aca="false">B13-C13</f>
        <v>1039405</v>
      </c>
      <c r="E13" s="5" t="n">
        <v>668308.1</v>
      </c>
      <c r="F13" s="5" t="n">
        <f aca="false">B13-E13</f>
        <v>568410.9</v>
      </c>
      <c r="G13" s="5" t="n">
        <f aca="false">SUMIFS(User_to_Head!$L$2:$L$153,User_to_Head!$C$2:$C$153,A13)</f>
        <v>1105629</v>
      </c>
    </row>
    <row r="14" customFormat="false" ht="15" hidden="false" customHeight="false" outlineLevel="0" collapsed="false">
      <c r="A14" s="4" t="s">
        <v>18</v>
      </c>
      <c r="B14" s="5" t="n">
        <v>0</v>
      </c>
      <c r="C14" s="5" t="n">
        <f aca="false">195788289-SUM(C5:C13)</f>
        <v>41847954</v>
      </c>
      <c r="D14" s="5" t="n">
        <f aca="false">B14-C14</f>
        <v>-41847954</v>
      </c>
      <c r="E14" s="5" t="n">
        <v>0</v>
      </c>
      <c r="F14" s="5" t="n">
        <f aca="false">B14-E14</f>
        <v>0</v>
      </c>
      <c r="G14" s="5" t="n">
        <v>0</v>
      </c>
    </row>
    <row r="15" customFormat="false" ht="15" hidden="false" customHeight="false" outlineLevel="0" collapsed="false">
      <c r="A15" s="6" t="s">
        <v>19</v>
      </c>
      <c r="B15" s="7" t="n">
        <f aca="false">SUM(B5:B14)</f>
        <v>195788289</v>
      </c>
      <c r="C15" s="7" t="n">
        <f aca="false">SUM(C5:C14)</f>
        <v>195788289</v>
      </c>
      <c r="D15" s="7" t="n">
        <f aca="false">SUM(D5:D14)</f>
        <v>0</v>
      </c>
      <c r="E15" s="7" t="n">
        <f aca="false">SUM(E5:E14)</f>
        <v>146009684.69</v>
      </c>
      <c r="F15" s="7" t="n">
        <f aca="false">SUM(F5:F14)</f>
        <v>49778604.31</v>
      </c>
      <c r="G15" s="7" t="n">
        <f aca="false">SUM(G5:G14)</f>
        <v>61305811</v>
      </c>
    </row>
    <row r="17" customFormat="false" ht="15" hidden="false" customHeight="false" outlineLevel="0" collapsed="false">
      <c r="A17" s="8" t="s">
        <v>20</v>
      </c>
    </row>
    <row r="18" customFormat="false" ht="30" hidden="false" customHeight="true" outlineLevel="0" collapsed="false">
      <c r="A18" s="2" t="s">
        <v>21</v>
      </c>
      <c r="B18" s="2"/>
      <c r="C18" s="2"/>
      <c r="D18" s="2"/>
      <c r="E18" s="2"/>
      <c r="F18" s="2"/>
      <c r="G18" s="2"/>
    </row>
    <row r="19" customFormat="false" ht="30" hidden="false" customHeight="true" outlineLevel="0" collapsed="false">
      <c r="A19" s="2" t="s">
        <v>22</v>
      </c>
      <c r="B19" s="2"/>
      <c r="C19" s="2"/>
      <c r="D19" s="2"/>
      <c r="E19" s="2"/>
      <c r="F19" s="2"/>
      <c r="G19" s="2"/>
    </row>
    <row r="20" customFormat="false" ht="30" hidden="false" customHeight="true" outlineLevel="0" collapsed="false">
      <c r="A20" s="2" t="s">
        <v>23</v>
      </c>
      <c r="B20" s="2"/>
      <c r="C20" s="2"/>
      <c r="D20" s="2"/>
      <c r="E20" s="2"/>
      <c r="F20" s="2"/>
      <c r="G20" s="2"/>
    </row>
    <row r="21" customFormat="false" ht="30" hidden="false" customHeight="true" outlineLevel="0" collapsed="false">
      <c r="A21" s="2" t="s">
        <v>24</v>
      </c>
      <c r="B21" s="2"/>
      <c r="C21" s="2"/>
      <c r="D21" s="2"/>
      <c r="E21" s="2"/>
      <c r="F21" s="2"/>
      <c r="G21" s="2"/>
    </row>
    <row r="22" customFormat="false" ht="30" hidden="false" customHeight="true" outlineLevel="0" collapsed="false">
      <c r="A22" s="2" t="s">
        <v>25</v>
      </c>
      <c r="B22" s="2"/>
      <c r="C22" s="2"/>
      <c r="D22" s="2"/>
      <c r="E22" s="2"/>
      <c r="F22" s="2"/>
      <c r="G22" s="2"/>
    </row>
  </sheetData>
  <mergeCells count="6">
    <mergeCell ref="A2:G2"/>
    <mergeCell ref="A18:G18"/>
    <mergeCell ref="A19:G19"/>
    <mergeCell ref="A20:G20"/>
    <mergeCell ref="A21:G21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6" min="5" style="0" width="26"/>
    <col collapsed="false" customWidth="true" hidden="false" outlineLevel="0" max="7" min="7" style="0" width="40"/>
    <col collapsed="false" customWidth="true" hidden="false" outlineLevel="0" max="8" min="8" style="0" width="26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2" min="11" style="0" width="16"/>
    <col collapsed="false" customWidth="true" hidden="false" outlineLevel="0" max="13" min="13" style="0" width="50"/>
  </cols>
  <sheetData>
    <row r="1" customFormat="false" ht="39.55" hidden="false" customHeight="false" outlineLevel="0" collapsed="false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</row>
    <row r="2" customFormat="false" ht="15" hidden="false" customHeight="false" outlineLevel="0" collapsed="false">
      <c r="A2" s="9" t="s">
        <v>39</v>
      </c>
      <c r="B2" s="9" t="s">
        <v>40</v>
      </c>
      <c r="C2" s="9" t="s">
        <v>12</v>
      </c>
      <c r="D2" s="9" t="s">
        <v>41</v>
      </c>
      <c r="E2" s="10" t="s">
        <v>12</v>
      </c>
      <c r="F2" s="9" t="s">
        <v>42</v>
      </c>
      <c r="G2" s="10" t="s">
        <v>42</v>
      </c>
      <c r="H2" s="9" t="s">
        <v>43</v>
      </c>
      <c r="I2" s="9" t="n">
        <v>407</v>
      </c>
      <c r="J2" s="9" t="n">
        <v>105</v>
      </c>
      <c r="K2" s="11" t="n">
        <v>1770801</v>
      </c>
      <c r="L2" s="11" t="n">
        <v>439943</v>
      </c>
      <c r="M2" s="10"/>
    </row>
    <row r="3" customFormat="false" ht="15" hidden="false" customHeight="false" outlineLevel="0" collapsed="false">
      <c r="A3" s="9" t="s">
        <v>44</v>
      </c>
      <c r="B3" s="9" t="s">
        <v>45</v>
      </c>
      <c r="C3" s="9" t="s">
        <v>12</v>
      </c>
      <c r="D3" s="9" t="s">
        <v>41</v>
      </c>
      <c r="E3" s="10" t="s">
        <v>12</v>
      </c>
      <c r="F3" s="9" t="s">
        <v>42</v>
      </c>
      <c r="G3" s="10" t="s">
        <v>42</v>
      </c>
      <c r="H3" s="9" t="s">
        <v>46</v>
      </c>
      <c r="I3" s="9" t="n">
        <v>153</v>
      </c>
      <c r="J3" s="9" t="n">
        <v>135</v>
      </c>
      <c r="K3" s="11" t="n">
        <v>1223544</v>
      </c>
      <c r="L3" s="11" t="n">
        <v>543081</v>
      </c>
      <c r="M3" s="10"/>
    </row>
    <row r="4" customFormat="false" ht="15" hidden="false" customHeight="false" outlineLevel="0" collapsed="false">
      <c r="A4" s="9" t="s">
        <v>47</v>
      </c>
      <c r="B4" s="9" t="s">
        <v>48</v>
      </c>
      <c r="C4" s="9" t="s">
        <v>12</v>
      </c>
      <c r="D4" s="9" t="s">
        <v>41</v>
      </c>
      <c r="E4" s="10" t="s">
        <v>12</v>
      </c>
      <c r="F4" s="9" t="s">
        <v>42</v>
      </c>
      <c r="G4" s="10" t="s">
        <v>42</v>
      </c>
      <c r="H4" s="9" t="s">
        <v>43</v>
      </c>
      <c r="I4" s="9" t="n">
        <v>135</v>
      </c>
      <c r="J4" s="9" t="n">
        <v>0</v>
      </c>
      <c r="K4" s="11" t="n">
        <v>959597</v>
      </c>
      <c r="L4" s="11" t="n">
        <v>0</v>
      </c>
      <c r="M4" s="10"/>
    </row>
    <row r="5" customFormat="false" ht="15" hidden="false" customHeight="false" outlineLevel="0" collapsed="false">
      <c r="A5" s="9" t="s">
        <v>49</v>
      </c>
      <c r="B5" s="9" t="s">
        <v>50</v>
      </c>
      <c r="C5" s="9" t="s">
        <v>12</v>
      </c>
      <c r="D5" s="9" t="s">
        <v>41</v>
      </c>
      <c r="E5" s="10" t="s">
        <v>12</v>
      </c>
      <c r="F5" s="9" t="s">
        <v>42</v>
      </c>
      <c r="G5" s="10" t="s">
        <v>42</v>
      </c>
      <c r="H5" s="9" t="s">
        <v>43</v>
      </c>
      <c r="I5" s="9" t="n">
        <v>155</v>
      </c>
      <c r="J5" s="9" t="n">
        <v>115</v>
      </c>
      <c r="K5" s="11" t="n">
        <v>949948</v>
      </c>
      <c r="L5" s="11" t="n">
        <v>643954</v>
      </c>
      <c r="M5" s="10"/>
    </row>
    <row r="6" customFormat="false" ht="15" hidden="false" customHeight="false" outlineLevel="0" collapsed="false">
      <c r="A6" s="9" t="s">
        <v>51</v>
      </c>
      <c r="B6" s="9" t="s">
        <v>52</v>
      </c>
      <c r="C6" s="9" t="s">
        <v>12</v>
      </c>
      <c r="D6" s="9" t="s">
        <v>41</v>
      </c>
      <c r="E6" s="10" t="s">
        <v>12</v>
      </c>
      <c r="F6" s="9" t="s">
        <v>42</v>
      </c>
      <c r="G6" s="10" t="s">
        <v>42</v>
      </c>
      <c r="H6" s="9" t="s">
        <v>53</v>
      </c>
      <c r="I6" s="9" t="n">
        <v>243</v>
      </c>
      <c r="J6" s="9" t="n">
        <v>141</v>
      </c>
      <c r="K6" s="11" t="n">
        <v>916901</v>
      </c>
      <c r="L6" s="11" t="n">
        <v>691968</v>
      </c>
      <c r="M6" s="10"/>
    </row>
    <row r="7" customFormat="false" ht="15" hidden="false" customHeight="false" outlineLevel="0" collapsed="false">
      <c r="A7" s="9" t="s">
        <v>54</v>
      </c>
      <c r="B7" s="9" t="s">
        <v>55</v>
      </c>
      <c r="C7" s="9" t="s">
        <v>12</v>
      </c>
      <c r="D7" s="9" t="s">
        <v>41</v>
      </c>
      <c r="E7" s="10" t="s">
        <v>12</v>
      </c>
      <c r="F7" s="9" t="s">
        <v>42</v>
      </c>
      <c r="G7" s="10" t="s">
        <v>42</v>
      </c>
      <c r="H7" s="9" t="s">
        <v>56</v>
      </c>
      <c r="I7" s="9" t="n">
        <v>28</v>
      </c>
      <c r="J7" s="9" t="n">
        <v>0</v>
      </c>
      <c r="K7" s="11" t="n">
        <v>761005</v>
      </c>
      <c r="L7" s="11" t="n">
        <v>0</v>
      </c>
      <c r="M7" s="10"/>
    </row>
    <row r="8" customFormat="false" ht="15" hidden="false" customHeight="false" outlineLevel="0" collapsed="false">
      <c r="A8" s="9" t="s">
        <v>57</v>
      </c>
      <c r="B8" s="9" t="s">
        <v>58</v>
      </c>
      <c r="C8" s="9" t="s">
        <v>12</v>
      </c>
      <c r="D8" s="9" t="s">
        <v>41</v>
      </c>
      <c r="E8" s="10" t="s">
        <v>12</v>
      </c>
      <c r="F8" s="9" t="s">
        <v>42</v>
      </c>
      <c r="G8" s="10" t="s">
        <v>42</v>
      </c>
      <c r="H8" s="9" t="s">
        <v>43</v>
      </c>
      <c r="I8" s="9" t="n">
        <v>115</v>
      </c>
      <c r="J8" s="9" t="n">
        <v>68</v>
      </c>
      <c r="K8" s="11" t="n">
        <v>737716</v>
      </c>
      <c r="L8" s="11" t="n">
        <v>285048</v>
      </c>
      <c r="M8" s="10"/>
    </row>
    <row r="9" customFormat="false" ht="26.85" hidden="false" customHeight="false" outlineLevel="0" collapsed="false">
      <c r="A9" s="12" t="s">
        <v>59</v>
      </c>
      <c r="B9" s="12" t="s">
        <v>60</v>
      </c>
      <c r="C9" s="12" t="s">
        <v>12</v>
      </c>
      <c r="D9" s="12" t="s">
        <v>61</v>
      </c>
      <c r="E9" s="13" t="s">
        <v>62</v>
      </c>
      <c r="F9" s="12" t="s">
        <v>42</v>
      </c>
      <c r="G9" s="13" t="s">
        <v>42</v>
      </c>
      <c r="H9" s="12" t="s">
        <v>63</v>
      </c>
      <c r="I9" s="12" t="n">
        <v>121</v>
      </c>
      <c r="J9" s="12" t="n">
        <v>34</v>
      </c>
      <c r="K9" s="14" t="n">
        <v>722410</v>
      </c>
      <c r="L9" s="14" t="n">
        <v>439058</v>
      </c>
      <c r="M9" s="13" t="s">
        <v>64</v>
      </c>
    </row>
    <row r="10" customFormat="false" ht="15" hidden="false" customHeight="false" outlineLevel="0" collapsed="false">
      <c r="A10" s="9" t="s">
        <v>65</v>
      </c>
      <c r="B10" s="9" t="s">
        <v>66</v>
      </c>
      <c r="C10" s="9" t="s">
        <v>12</v>
      </c>
      <c r="D10" s="9" t="s">
        <v>41</v>
      </c>
      <c r="E10" s="10" t="s">
        <v>12</v>
      </c>
      <c r="F10" s="9" t="s">
        <v>42</v>
      </c>
      <c r="G10" s="10" t="s">
        <v>42</v>
      </c>
      <c r="H10" s="9" t="s">
        <v>67</v>
      </c>
      <c r="I10" s="9" t="n">
        <v>82</v>
      </c>
      <c r="J10" s="9" t="n">
        <v>53</v>
      </c>
      <c r="K10" s="11" t="n">
        <v>604646</v>
      </c>
      <c r="L10" s="11" t="n">
        <v>293525</v>
      </c>
      <c r="M10" s="10"/>
    </row>
    <row r="11" customFormat="false" ht="15" hidden="false" customHeight="false" outlineLevel="0" collapsed="false">
      <c r="A11" s="9" t="s">
        <v>68</v>
      </c>
      <c r="B11" s="9" t="s">
        <v>69</v>
      </c>
      <c r="C11" s="9" t="s">
        <v>13</v>
      </c>
      <c r="D11" s="9" t="s">
        <v>41</v>
      </c>
      <c r="E11" s="10" t="s">
        <v>13</v>
      </c>
      <c r="F11" s="9" t="s">
        <v>70</v>
      </c>
      <c r="G11" s="10" t="s">
        <v>70</v>
      </c>
      <c r="H11" s="9" t="s">
        <v>71</v>
      </c>
      <c r="I11" s="9" t="n">
        <v>353</v>
      </c>
      <c r="J11" s="9" t="n">
        <v>129</v>
      </c>
      <c r="K11" s="11" t="n">
        <v>1370253</v>
      </c>
      <c r="L11" s="11" t="n">
        <v>489184</v>
      </c>
      <c r="M11" s="10"/>
    </row>
    <row r="12" customFormat="false" ht="15" hidden="false" customHeight="false" outlineLevel="0" collapsed="false">
      <c r="A12" s="9" t="s">
        <v>72</v>
      </c>
      <c r="B12" s="9" t="s">
        <v>73</v>
      </c>
      <c r="C12" s="9" t="s">
        <v>13</v>
      </c>
      <c r="D12" s="9" t="s">
        <v>41</v>
      </c>
      <c r="E12" s="10" t="s">
        <v>13</v>
      </c>
      <c r="F12" s="9" t="s">
        <v>70</v>
      </c>
      <c r="G12" s="10" t="s">
        <v>70</v>
      </c>
      <c r="H12" s="9" t="s">
        <v>74</v>
      </c>
      <c r="I12" s="9" t="n">
        <v>168</v>
      </c>
      <c r="J12" s="9" t="n">
        <v>6</v>
      </c>
      <c r="K12" s="11" t="n">
        <v>903787</v>
      </c>
      <c r="L12" s="11" t="n">
        <v>23887</v>
      </c>
      <c r="M12" s="10"/>
    </row>
    <row r="13" customFormat="false" ht="15" hidden="false" customHeight="false" outlineLevel="0" collapsed="false">
      <c r="A13" s="9" t="s">
        <v>75</v>
      </c>
      <c r="B13" s="9" t="s">
        <v>76</v>
      </c>
      <c r="C13" s="9" t="s">
        <v>13</v>
      </c>
      <c r="D13" s="9" t="s">
        <v>41</v>
      </c>
      <c r="E13" s="10" t="s">
        <v>13</v>
      </c>
      <c r="F13" s="9" t="s">
        <v>70</v>
      </c>
      <c r="G13" s="10" t="s">
        <v>70</v>
      </c>
      <c r="H13" s="9" t="s">
        <v>77</v>
      </c>
      <c r="I13" s="9" t="n">
        <v>157</v>
      </c>
      <c r="J13" s="9" t="n">
        <v>59</v>
      </c>
      <c r="K13" s="11" t="n">
        <v>867882</v>
      </c>
      <c r="L13" s="11" t="n">
        <v>287471</v>
      </c>
      <c r="M13" s="10"/>
    </row>
    <row r="14" customFormat="false" ht="15" hidden="false" customHeight="false" outlineLevel="0" collapsed="false">
      <c r="A14" s="9" t="s">
        <v>78</v>
      </c>
      <c r="B14" s="9" t="s">
        <v>79</v>
      </c>
      <c r="C14" s="9" t="s">
        <v>13</v>
      </c>
      <c r="D14" s="9" t="s">
        <v>41</v>
      </c>
      <c r="E14" s="10" t="s">
        <v>13</v>
      </c>
      <c r="F14" s="9" t="s">
        <v>70</v>
      </c>
      <c r="G14" s="10" t="s">
        <v>70</v>
      </c>
      <c r="H14" s="9" t="s">
        <v>74</v>
      </c>
      <c r="I14" s="9" t="n">
        <v>185</v>
      </c>
      <c r="J14" s="9" t="n">
        <v>73</v>
      </c>
      <c r="K14" s="11" t="n">
        <v>759158</v>
      </c>
      <c r="L14" s="11" t="n">
        <v>275693</v>
      </c>
      <c r="M14" s="10"/>
    </row>
    <row r="15" customFormat="false" ht="15" hidden="false" customHeight="false" outlineLevel="0" collapsed="false">
      <c r="A15" s="9" t="s">
        <v>80</v>
      </c>
      <c r="B15" s="9" t="s">
        <v>81</v>
      </c>
      <c r="C15" s="9" t="s">
        <v>13</v>
      </c>
      <c r="D15" s="9" t="s">
        <v>41</v>
      </c>
      <c r="E15" s="10" t="s">
        <v>13</v>
      </c>
      <c r="F15" s="9" t="s">
        <v>70</v>
      </c>
      <c r="G15" s="10" t="s">
        <v>70</v>
      </c>
      <c r="H15" s="9" t="s">
        <v>82</v>
      </c>
      <c r="I15" s="9" t="n">
        <v>117</v>
      </c>
      <c r="J15" s="9" t="n">
        <v>110</v>
      </c>
      <c r="K15" s="11" t="n">
        <v>638179</v>
      </c>
      <c r="L15" s="11" t="n">
        <v>541986</v>
      </c>
      <c r="M15" s="10"/>
    </row>
    <row r="16" customFormat="false" ht="15" hidden="false" customHeight="false" outlineLevel="0" collapsed="false">
      <c r="A16" s="9" t="s">
        <v>83</v>
      </c>
      <c r="B16" s="9" t="s">
        <v>84</v>
      </c>
      <c r="C16" s="9" t="s">
        <v>13</v>
      </c>
      <c r="D16" s="9" t="s">
        <v>41</v>
      </c>
      <c r="E16" s="10" t="s">
        <v>13</v>
      </c>
      <c r="F16" s="9" t="s">
        <v>70</v>
      </c>
      <c r="G16" s="10" t="s">
        <v>70</v>
      </c>
      <c r="H16" s="9" t="s">
        <v>82</v>
      </c>
      <c r="I16" s="9" t="n">
        <v>84</v>
      </c>
      <c r="J16" s="9" t="n">
        <v>8</v>
      </c>
      <c r="K16" s="11" t="n">
        <v>613655</v>
      </c>
      <c r="L16" s="11" t="n">
        <v>72888</v>
      </c>
      <c r="M16" s="10"/>
    </row>
    <row r="17" customFormat="false" ht="15" hidden="false" customHeight="false" outlineLevel="0" collapsed="false">
      <c r="A17" s="9" t="s">
        <v>85</v>
      </c>
      <c r="B17" s="9" t="s">
        <v>86</v>
      </c>
      <c r="C17" s="9" t="s">
        <v>13</v>
      </c>
      <c r="D17" s="9" t="s">
        <v>41</v>
      </c>
      <c r="E17" s="10" t="s">
        <v>13</v>
      </c>
      <c r="F17" s="9" t="s">
        <v>70</v>
      </c>
      <c r="G17" s="10" t="s">
        <v>70</v>
      </c>
      <c r="H17" s="9" t="s">
        <v>82</v>
      </c>
      <c r="I17" s="9" t="n">
        <v>69</v>
      </c>
      <c r="J17" s="9" t="n">
        <v>90</v>
      </c>
      <c r="K17" s="11" t="n">
        <v>527216</v>
      </c>
      <c r="L17" s="11" t="n">
        <v>449016</v>
      </c>
      <c r="M17" s="10"/>
    </row>
    <row r="18" customFormat="false" ht="15" hidden="false" customHeight="false" outlineLevel="0" collapsed="false">
      <c r="A18" s="9" t="s">
        <v>87</v>
      </c>
      <c r="B18" s="9" t="s">
        <v>88</v>
      </c>
      <c r="C18" s="9" t="s">
        <v>13</v>
      </c>
      <c r="D18" s="9" t="s">
        <v>41</v>
      </c>
      <c r="E18" s="10" t="s">
        <v>13</v>
      </c>
      <c r="F18" s="9" t="s">
        <v>70</v>
      </c>
      <c r="G18" s="10" t="s">
        <v>70</v>
      </c>
      <c r="H18" s="9" t="s">
        <v>82</v>
      </c>
      <c r="I18" s="9" t="n">
        <v>60</v>
      </c>
      <c r="J18" s="9" t="n">
        <v>0</v>
      </c>
      <c r="K18" s="11" t="n">
        <v>452594</v>
      </c>
      <c r="L18" s="11" t="n">
        <v>0</v>
      </c>
      <c r="M18" s="10"/>
    </row>
    <row r="19" customFormat="false" ht="15" hidden="false" customHeight="false" outlineLevel="0" collapsed="false">
      <c r="A19" s="9" t="s">
        <v>89</v>
      </c>
      <c r="B19" s="9" t="s">
        <v>90</v>
      </c>
      <c r="C19" s="9" t="s">
        <v>13</v>
      </c>
      <c r="D19" s="9" t="s">
        <v>41</v>
      </c>
      <c r="E19" s="10" t="s">
        <v>13</v>
      </c>
      <c r="F19" s="9" t="s">
        <v>91</v>
      </c>
      <c r="G19" s="10" t="s">
        <v>91</v>
      </c>
      <c r="H19" s="9" t="s">
        <v>92</v>
      </c>
      <c r="I19" s="9" t="n">
        <v>118</v>
      </c>
      <c r="J19" s="9" t="n">
        <v>16</v>
      </c>
      <c r="K19" s="11" t="n">
        <v>275044</v>
      </c>
      <c r="L19" s="11" t="n">
        <v>37352</v>
      </c>
      <c r="M19" s="10"/>
    </row>
    <row r="20" customFormat="false" ht="26.85" hidden="false" customHeight="false" outlineLevel="0" collapsed="false">
      <c r="A20" s="12" t="s">
        <v>93</v>
      </c>
      <c r="B20" s="12" t="s">
        <v>94</v>
      </c>
      <c r="C20" s="12" t="s">
        <v>13</v>
      </c>
      <c r="D20" s="12" t="s">
        <v>41</v>
      </c>
      <c r="E20" s="13" t="s">
        <v>13</v>
      </c>
      <c r="F20" s="12" t="s">
        <v>95</v>
      </c>
      <c r="G20" s="13" t="s">
        <v>96</v>
      </c>
      <c r="H20" s="12" t="s">
        <v>92</v>
      </c>
      <c r="I20" s="12" t="n">
        <v>87</v>
      </c>
      <c r="J20" s="12" t="n">
        <v>44</v>
      </c>
      <c r="K20" s="14" t="n">
        <v>224885</v>
      </c>
      <c r="L20" s="14" t="n">
        <v>83101</v>
      </c>
      <c r="M20" s="13" t="s">
        <v>97</v>
      </c>
    </row>
    <row r="21" customFormat="false" ht="15" hidden="false" customHeight="false" outlineLevel="0" collapsed="false">
      <c r="A21" s="9" t="s">
        <v>98</v>
      </c>
      <c r="B21" s="9" t="s">
        <v>99</v>
      </c>
      <c r="C21" s="9" t="s">
        <v>13</v>
      </c>
      <c r="D21" s="9" t="s">
        <v>41</v>
      </c>
      <c r="E21" s="10" t="s">
        <v>13</v>
      </c>
      <c r="F21" s="9" t="s">
        <v>91</v>
      </c>
      <c r="G21" s="10" t="s">
        <v>91</v>
      </c>
      <c r="H21" s="9" t="s">
        <v>92</v>
      </c>
      <c r="I21" s="9" t="n">
        <v>22</v>
      </c>
      <c r="J21" s="9" t="n">
        <v>0</v>
      </c>
      <c r="K21" s="11" t="n">
        <v>41651</v>
      </c>
      <c r="L21" s="11" t="n">
        <v>0</v>
      </c>
      <c r="M21" s="10"/>
    </row>
    <row r="22" customFormat="false" ht="26.85" hidden="false" customHeight="false" outlineLevel="0" collapsed="false">
      <c r="A22" s="12" t="s">
        <v>100</v>
      </c>
      <c r="B22" s="12" t="s">
        <v>101</v>
      </c>
      <c r="C22" s="12" t="s">
        <v>13</v>
      </c>
      <c r="D22" s="12" t="s">
        <v>61</v>
      </c>
      <c r="E22" s="13"/>
      <c r="F22" s="12" t="s">
        <v>98</v>
      </c>
      <c r="G22" s="13" t="s">
        <v>102</v>
      </c>
      <c r="H22" s="12" t="s">
        <v>92</v>
      </c>
      <c r="I22" s="12" t="n">
        <v>3</v>
      </c>
      <c r="J22" s="12" t="n">
        <v>0</v>
      </c>
      <c r="K22" s="14" t="n">
        <v>23170</v>
      </c>
      <c r="L22" s="14" t="n">
        <v>0</v>
      </c>
      <c r="M22" s="13" t="s">
        <v>103</v>
      </c>
    </row>
    <row r="23" customFormat="false" ht="15" hidden="false" customHeight="false" outlineLevel="0" collapsed="false">
      <c r="A23" s="9" t="s">
        <v>104</v>
      </c>
      <c r="B23" s="9" t="s">
        <v>105</v>
      </c>
      <c r="C23" s="9" t="s">
        <v>13</v>
      </c>
      <c r="D23" s="9" t="s">
        <v>41</v>
      </c>
      <c r="E23" s="10" t="s">
        <v>13</v>
      </c>
      <c r="F23" s="9" t="s">
        <v>91</v>
      </c>
      <c r="G23" s="10" t="s">
        <v>91</v>
      </c>
      <c r="H23" s="9" t="s">
        <v>92</v>
      </c>
      <c r="I23" s="9" t="n">
        <v>17</v>
      </c>
      <c r="J23" s="9" t="n">
        <v>0</v>
      </c>
      <c r="K23" s="11" t="n">
        <v>22739</v>
      </c>
      <c r="L23" s="11" t="n">
        <v>0</v>
      </c>
      <c r="M23" s="10"/>
    </row>
    <row r="24" customFormat="false" ht="15" hidden="false" customHeight="false" outlineLevel="0" collapsed="false">
      <c r="A24" s="9" t="s">
        <v>106</v>
      </c>
      <c r="B24" s="9" t="s">
        <v>107</v>
      </c>
      <c r="C24" s="9" t="s">
        <v>13</v>
      </c>
      <c r="D24" s="9" t="s">
        <v>61</v>
      </c>
      <c r="E24" s="10"/>
      <c r="F24" s="9" t="s">
        <v>70</v>
      </c>
      <c r="G24" s="10" t="s">
        <v>70</v>
      </c>
      <c r="H24" s="9" t="s">
        <v>82</v>
      </c>
      <c r="I24" s="9" t="n">
        <v>1</v>
      </c>
      <c r="J24" s="9" t="n">
        <v>0</v>
      </c>
      <c r="K24" s="11" t="n">
        <v>5364</v>
      </c>
      <c r="L24" s="11" t="n">
        <v>0</v>
      </c>
      <c r="M24" s="10"/>
    </row>
    <row r="25" customFormat="false" ht="15" hidden="false" customHeight="false" outlineLevel="0" collapsed="false">
      <c r="A25" s="9" t="s">
        <v>108</v>
      </c>
      <c r="B25" s="9" t="s">
        <v>109</v>
      </c>
      <c r="C25" s="9" t="s">
        <v>11</v>
      </c>
      <c r="D25" s="9" t="s">
        <v>41</v>
      </c>
      <c r="E25" s="10" t="s">
        <v>11</v>
      </c>
      <c r="F25" s="9" t="s">
        <v>110</v>
      </c>
      <c r="G25" s="10" t="s">
        <v>110</v>
      </c>
      <c r="H25" s="9" t="s">
        <v>111</v>
      </c>
      <c r="I25" s="9" t="n">
        <v>145</v>
      </c>
      <c r="J25" s="9" t="n">
        <v>8</v>
      </c>
      <c r="K25" s="11" t="n">
        <v>1825278</v>
      </c>
      <c r="L25" s="11" t="n">
        <v>115126</v>
      </c>
      <c r="M25" s="10"/>
    </row>
    <row r="26" customFormat="false" ht="15" hidden="false" customHeight="false" outlineLevel="0" collapsed="false">
      <c r="A26" s="9" t="s">
        <v>112</v>
      </c>
      <c r="B26" s="9" t="s">
        <v>113</v>
      </c>
      <c r="C26" s="9" t="s">
        <v>11</v>
      </c>
      <c r="D26" s="9" t="s">
        <v>41</v>
      </c>
      <c r="E26" s="10" t="s">
        <v>11</v>
      </c>
      <c r="F26" s="9" t="s">
        <v>110</v>
      </c>
      <c r="G26" s="10" t="s">
        <v>110</v>
      </c>
      <c r="H26" s="9" t="s">
        <v>111</v>
      </c>
      <c r="I26" s="9" t="n">
        <v>40</v>
      </c>
      <c r="J26" s="9" t="n">
        <v>0</v>
      </c>
      <c r="K26" s="11" t="n">
        <v>1131452</v>
      </c>
      <c r="L26" s="11" t="n">
        <v>0</v>
      </c>
      <c r="M26" s="10"/>
    </row>
    <row r="27" customFormat="false" ht="15" hidden="false" customHeight="false" outlineLevel="0" collapsed="false">
      <c r="A27" s="9" t="s">
        <v>114</v>
      </c>
      <c r="B27" s="9" t="s">
        <v>115</v>
      </c>
      <c r="C27" s="9" t="s">
        <v>11</v>
      </c>
      <c r="D27" s="9" t="s">
        <v>41</v>
      </c>
      <c r="E27" s="10" t="s">
        <v>11</v>
      </c>
      <c r="F27" s="9" t="s">
        <v>112</v>
      </c>
      <c r="G27" s="10" t="s">
        <v>116</v>
      </c>
      <c r="H27" s="9" t="s">
        <v>111</v>
      </c>
      <c r="I27" s="9" t="n">
        <v>145</v>
      </c>
      <c r="J27" s="9" t="n">
        <v>36</v>
      </c>
      <c r="K27" s="11" t="n">
        <v>1056280</v>
      </c>
      <c r="L27" s="11" t="n">
        <v>431321</v>
      </c>
      <c r="M27" s="10"/>
    </row>
    <row r="28" customFormat="false" ht="15" hidden="false" customHeight="false" outlineLevel="0" collapsed="false">
      <c r="A28" s="9" t="s">
        <v>117</v>
      </c>
      <c r="B28" s="9" t="s">
        <v>118</v>
      </c>
      <c r="C28" s="9" t="s">
        <v>11</v>
      </c>
      <c r="D28" s="9" t="s">
        <v>41</v>
      </c>
      <c r="E28" s="10" t="s">
        <v>11</v>
      </c>
      <c r="F28" s="9" t="s">
        <v>108</v>
      </c>
      <c r="G28" s="10" t="s">
        <v>119</v>
      </c>
      <c r="H28" s="9" t="s">
        <v>111</v>
      </c>
      <c r="I28" s="9" t="n">
        <v>197</v>
      </c>
      <c r="J28" s="9" t="n">
        <v>3</v>
      </c>
      <c r="K28" s="11" t="n">
        <v>954040</v>
      </c>
      <c r="L28" s="11" t="n">
        <v>40395</v>
      </c>
      <c r="M28" s="10"/>
    </row>
    <row r="29" customFormat="false" ht="15" hidden="false" customHeight="false" outlineLevel="0" collapsed="false">
      <c r="A29" s="9" t="s">
        <v>120</v>
      </c>
      <c r="B29" s="9" t="s">
        <v>121</v>
      </c>
      <c r="C29" s="9" t="s">
        <v>11</v>
      </c>
      <c r="D29" s="9" t="s">
        <v>41</v>
      </c>
      <c r="E29" s="10" t="s">
        <v>11</v>
      </c>
      <c r="F29" s="9" t="s">
        <v>110</v>
      </c>
      <c r="G29" s="10" t="s">
        <v>110</v>
      </c>
      <c r="H29" s="9" t="s">
        <v>111</v>
      </c>
      <c r="I29" s="9" t="n">
        <v>136</v>
      </c>
      <c r="J29" s="9" t="n">
        <v>37</v>
      </c>
      <c r="K29" s="11" t="n">
        <v>939289</v>
      </c>
      <c r="L29" s="11" t="n">
        <v>217983</v>
      </c>
      <c r="M29" s="10"/>
    </row>
    <row r="30" customFormat="false" ht="15" hidden="false" customHeight="false" outlineLevel="0" collapsed="false">
      <c r="A30" s="9" t="s">
        <v>122</v>
      </c>
      <c r="B30" s="9" t="s">
        <v>123</v>
      </c>
      <c r="C30" s="9" t="s">
        <v>11</v>
      </c>
      <c r="D30" s="9" t="s">
        <v>41</v>
      </c>
      <c r="E30" s="10" t="s">
        <v>11</v>
      </c>
      <c r="F30" s="9" t="s">
        <v>110</v>
      </c>
      <c r="G30" s="10" t="s">
        <v>110</v>
      </c>
      <c r="H30" s="9" t="s">
        <v>111</v>
      </c>
      <c r="I30" s="9" t="n">
        <v>175</v>
      </c>
      <c r="J30" s="9" t="n">
        <v>31</v>
      </c>
      <c r="K30" s="11" t="n">
        <v>919531</v>
      </c>
      <c r="L30" s="11" t="n">
        <v>158279</v>
      </c>
      <c r="M30" s="10"/>
    </row>
    <row r="31" customFormat="false" ht="15" hidden="false" customHeight="false" outlineLevel="0" collapsed="false">
      <c r="A31" s="9" t="s">
        <v>124</v>
      </c>
      <c r="B31" s="9" t="s">
        <v>125</v>
      </c>
      <c r="C31" s="9" t="s">
        <v>11</v>
      </c>
      <c r="D31" s="9" t="s">
        <v>41</v>
      </c>
      <c r="E31" s="10" t="s">
        <v>11</v>
      </c>
      <c r="F31" s="9" t="s">
        <v>110</v>
      </c>
      <c r="G31" s="10" t="s">
        <v>110</v>
      </c>
      <c r="H31" s="9" t="s">
        <v>111</v>
      </c>
      <c r="I31" s="9" t="n">
        <v>132</v>
      </c>
      <c r="J31" s="9" t="n">
        <v>20</v>
      </c>
      <c r="K31" s="11" t="n">
        <v>787879</v>
      </c>
      <c r="L31" s="11" t="n">
        <v>194413</v>
      </c>
      <c r="M31" s="10"/>
    </row>
    <row r="32" customFormat="false" ht="15" hidden="false" customHeight="false" outlineLevel="0" collapsed="false">
      <c r="A32" s="9" t="s">
        <v>126</v>
      </c>
      <c r="B32" s="9" t="s">
        <v>127</v>
      </c>
      <c r="C32" s="9" t="s">
        <v>11</v>
      </c>
      <c r="D32" s="9" t="s">
        <v>41</v>
      </c>
      <c r="E32" s="10" t="s">
        <v>11</v>
      </c>
      <c r="F32" s="9" t="s">
        <v>112</v>
      </c>
      <c r="G32" s="10" t="s">
        <v>116</v>
      </c>
      <c r="H32" s="9" t="s">
        <v>111</v>
      </c>
      <c r="I32" s="9" t="n">
        <v>126</v>
      </c>
      <c r="J32" s="9" t="n">
        <v>19</v>
      </c>
      <c r="K32" s="11" t="n">
        <v>639346</v>
      </c>
      <c r="L32" s="11" t="n">
        <v>47071</v>
      </c>
      <c r="M32" s="10"/>
    </row>
    <row r="33" customFormat="false" ht="15" hidden="false" customHeight="false" outlineLevel="0" collapsed="false">
      <c r="A33" s="9" t="s">
        <v>128</v>
      </c>
      <c r="B33" s="9" t="s">
        <v>129</v>
      </c>
      <c r="C33" s="9" t="s">
        <v>11</v>
      </c>
      <c r="D33" s="9" t="s">
        <v>41</v>
      </c>
      <c r="E33" s="10" t="s">
        <v>11</v>
      </c>
      <c r="F33" s="9" t="s">
        <v>112</v>
      </c>
      <c r="G33" s="10" t="s">
        <v>116</v>
      </c>
      <c r="H33" s="9" t="s">
        <v>111</v>
      </c>
      <c r="I33" s="9" t="n">
        <v>125</v>
      </c>
      <c r="J33" s="9" t="n">
        <v>0</v>
      </c>
      <c r="K33" s="11" t="n">
        <v>590932</v>
      </c>
      <c r="L33" s="11" t="n">
        <v>0</v>
      </c>
      <c r="M33" s="10"/>
    </row>
    <row r="34" customFormat="false" ht="15" hidden="false" customHeight="false" outlineLevel="0" collapsed="false">
      <c r="A34" s="9" t="s">
        <v>130</v>
      </c>
      <c r="B34" s="9" t="s">
        <v>131</v>
      </c>
      <c r="C34" s="9" t="s">
        <v>11</v>
      </c>
      <c r="D34" s="9" t="s">
        <v>41</v>
      </c>
      <c r="E34" s="10" t="s">
        <v>11</v>
      </c>
      <c r="F34" s="9" t="s">
        <v>108</v>
      </c>
      <c r="G34" s="10" t="s">
        <v>119</v>
      </c>
      <c r="H34" s="9" t="s">
        <v>111</v>
      </c>
      <c r="I34" s="9" t="n">
        <v>161</v>
      </c>
      <c r="J34" s="9" t="n">
        <v>0</v>
      </c>
      <c r="K34" s="11" t="n">
        <v>483995</v>
      </c>
      <c r="L34" s="11" t="n">
        <v>0</v>
      </c>
      <c r="M34" s="10"/>
    </row>
    <row r="35" customFormat="false" ht="15" hidden="false" customHeight="false" outlineLevel="0" collapsed="false">
      <c r="A35" s="9" t="s">
        <v>132</v>
      </c>
      <c r="B35" s="9" t="s">
        <v>133</v>
      </c>
      <c r="C35" s="9" t="s">
        <v>11</v>
      </c>
      <c r="D35" s="9" t="s">
        <v>41</v>
      </c>
      <c r="E35" s="10" t="s">
        <v>11</v>
      </c>
      <c r="F35" s="9" t="s">
        <v>110</v>
      </c>
      <c r="G35" s="10" t="s">
        <v>110</v>
      </c>
      <c r="H35" s="9" t="s">
        <v>111</v>
      </c>
      <c r="I35" s="9" t="n">
        <v>195</v>
      </c>
      <c r="J35" s="9" t="n">
        <v>22</v>
      </c>
      <c r="K35" s="11" t="n">
        <v>426405</v>
      </c>
      <c r="L35" s="11" t="n">
        <v>43883</v>
      </c>
      <c r="M35" s="10"/>
    </row>
    <row r="36" customFormat="false" ht="15" hidden="false" customHeight="false" outlineLevel="0" collapsed="false">
      <c r="A36" s="9" t="s">
        <v>134</v>
      </c>
      <c r="B36" s="9" t="s">
        <v>135</v>
      </c>
      <c r="C36" s="9" t="s">
        <v>11</v>
      </c>
      <c r="D36" s="9" t="s">
        <v>41</v>
      </c>
      <c r="E36" s="10" t="s">
        <v>11</v>
      </c>
      <c r="F36" s="9" t="s">
        <v>112</v>
      </c>
      <c r="G36" s="10" t="s">
        <v>116</v>
      </c>
      <c r="H36" s="9" t="s">
        <v>111</v>
      </c>
      <c r="I36" s="9" t="n">
        <v>77</v>
      </c>
      <c r="J36" s="9" t="n">
        <v>103</v>
      </c>
      <c r="K36" s="11" t="n">
        <v>410026</v>
      </c>
      <c r="L36" s="11" t="n">
        <v>458050</v>
      </c>
      <c r="M36" s="10"/>
    </row>
    <row r="37" customFormat="false" ht="15" hidden="false" customHeight="false" outlineLevel="0" collapsed="false">
      <c r="A37" s="9" t="s">
        <v>136</v>
      </c>
      <c r="B37" s="9" t="s">
        <v>137</v>
      </c>
      <c r="C37" s="9" t="s">
        <v>11</v>
      </c>
      <c r="D37" s="9" t="s">
        <v>41</v>
      </c>
      <c r="E37" s="10" t="s">
        <v>11</v>
      </c>
      <c r="F37" s="9" t="s">
        <v>112</v>
      </c>
      <c r="G37" s="10" t="s">
        <v>116</v>
      </c>
      <c r="H37" s="9" t="s">
        <v>111</v>
      </c>
      <c r="I37" s="9" t="n">
        <v>66</v>
      </c>
      <c r="J37" s="9" t="n">
        <v>11</v>
      </c>
      <c r="K37" s="11" t="n">
        <v>375023</v>
      </c>
      <c r="L37" s="11" t="n">
        <v>86745</v>
      </c>
      <c r="M37" s="10"/>
    </row>
    <row r="38" customFormat="false" ht="15" hidden="false" customHeight="false" outlineLevel="0" collapsed="false">
      <c r="A38" s="9" t="s">
        <v>138</v>
      </c>
      <c r="B38" s="9" t="s">
        <v>139</v>
      </c>
      <c r="C38" s="9" t="s">
        <v>11</v>
      </c>
      <c r="D38" s="9" t="s">
        <v>41</v>
      </c>
      <c r="E38" s="10" t="s">
        <v>11</v>
      </c>
      <c r="F38" s="9" t="s">
        <v>112</v>
      </c>
      <c r="G38" s="10" t="s">
        <v>116</v>
      </c>
      <c r="H38" s="9" t="s">
        <v>111</v>
      </c>
      <c r="I38" s="9" t="n">
        <v>145</v>
      </c>
      <c r="J38" s="9" t="n">
        <v>17</v>
      </c>
      <c r="K38" s="11" t="n">
        <v>359725</v>
      </c>
      <c r="L38" s="11" t="n">
        <v>118281</v>
      </c>
      <c r="M38" s="10"/>
    </row>
    <row r="39" customFormat="false" ht="15" hidden="false" customHeight="false" outlineLevel="0" collapsed="false">
      <c r="A39" s="9" t="s">
        <v>140</v>
      </c>
      <c r="B39" s="9" t="s">
        <v>141</v>
      </c>
      <c r="C39" s="9" t="s">
        <v>11</v>
      </c>
      <c r="D39" s="9" t="s">
        <v>41</v>
      </c>
      <c r="E39" s="10" t="s">
        <v>11</v>
      </c>
      <c r="F39" s="9" t="s">
        <v>112</v>
      </c>
      <c r="G39" s="10" t="s">
        <v>116</v>
      </c>
      <c r="H39" s="9" t="s">
        <v>111</v>
      </c>
      <c r="I39" s="9" t="n">
        <v>59</v>
      </c>
      <c r="J39" s="9" t="n">
        <v>39</v>
      </c>
      <c r="K39" s="11" t="n">
        <v>341214</v>
      </c>
      <c r="L39" s="11" t="n">
        <v>95254</v>
      </c>
      <c r="M39" s="10"/>
    </row>
    <row r="40" customFormat="false" ht="15" hidden="false" customHeight="false" outlineLevel="0" collapsed="false">
      <c r="A40" s="9" t="s">
        <v>142</v>
      </c>
      <c r="B40" s="9" t="s">
        <v>143</v>
      </c>
      <c r="C40" s="9" t="s">
        <v>17</v>
      </c>
      <c r="D40" s="9" t="s">
        <v>41</v>
      </c>
      <c r="E40" s="10" t="s">
        <v>17</v>
      </c>
      <c r="F40" s="9" t="s">
        <v>144</v>
      </c>
      <c r="G40" s="10" t="s">
        <v>144</v>
      </c>
      <c r="H40" s="9" t="s">
        <v>145</v>
      </c>
      <c r="I40" s="9" t="n">
        <v>66</v>
      </c>
      <c r="J40" s="9" t="n">
        <v>11</v>
      </c>
      <c r="K40" s="11" t="n">
        <v>469566</v>
      </c>
      <c r="L40" s="11" t="n">
        <v>1105629</v>
      </c>
      <c r="M40" s="10"/>
    </row>
    <row r="41" customFormat="false" ht="15" hidden="false" customHeight="false" outlineLevel="0" collapsed="false">
      <c r="A41" s="9" t="s">
        <v>146</v>
      </c>
      <c r="B41" s="9" t="s">
        <v>147</v>
      </c>
      <c r="C41" s="9" t="s">
        <v>17</v>
      </c>
      <c r="D41" s="9" t="s">
        <v>61</v>
      </c>
      <c r="E41" s="10"/>
      <c r="F41" s="9" t="s">
        <v>144</v>
      </c>
      <c r="G41" s="10" t="s">
        <v>144</v>
      </c>
      <c r="H41" s="9" t="s">
        <v>145</v>
      </c>
      <c r="I41" s="9" t="n">
        <v>31</v>
      </c>
      <c r="J41" s="9" t="n">
        <v>0</v>
      </c>
      <c r="K41" s="11" t="n">
        <v>444284</v>
      </c>
      <c r="L41" s="11" t="n">
        <v>0</v>
      </c>
      <c r="M41" s="10"/>
    </row>
    <row r="42" customFormat="false" ht="15" hidden="false" customHeight="false" outlineLevel="0" collapsed="false">
      <c r="A42" s="9" t="s">
        <v>148</v>
      </c>
      <c r="B42" s="9" t="s">
        <v>149</v>
      </c>
      <c r="C42" s="9" t="s">
        <v>17</v>
      </c>
      <c r="D42" s="9" t="s">
        <v>41</v>
      </c>
      <c r="E42" s="10" t="s">
        <v>17</v>
      </c>
      <c r="F42" s="9" t="s">
        <v>144</v>
      </c>
      <c r="G42" s="10" t="s">
        <v>144</v>
      </c>
      <c r="H42" s="9" t="s">
        <v>145</v>
      </c>
      <c r="I42" s="9" t="n">
        <v>13</v>
      </c>
      <c r="J42" s="9" t="n">
        <v>0</v>
      </c>
      <c r="K42" s="11" t="n">
        <v>125555</v>
      </c>
      <c r="L42" s="11" t="n">
        <v>0</v>
      </c>
      <c r="M42" s="10"/>
    </row>
    <row r="43" customFormat="false" ht="15" hidden="false" customHeight="false" outlineLevel="0" collapsed="false">
      <c r="A43" s="9" t="s">
        <v>150</v>
      </c>
      <c r="B43" s="9" t="s">
        <v>151</v>
      </c>
      <c r="C43" s="9" t="s">
        <v>17</v>
      </c>
      <c r="D43" s="9" t="s">
        <v>41</v>
      </c>
      <c r="E43" s="10" t="s">
        <v>17</v>
      </c>
      <c r="F43" s="9" t="s">
        <v>144</v>
      </c>
      <c r="G43" s="10" t="s">
        <v>144</v>
      </c>
      <c r="H43" s="9" t="s">
        <v>145</v>
      </c>
      <c r="I43" s="9" t="n">
        <v>25</v>
      </c>
      <c r="J43" s="9" t="n">
        <v>0</v>
      </c>
      <c r="K43" s="11" t="n">
        <v>101416</v>
      </c>
      <c r="L43" s="11" t="n">
        <v>0</v>
      </c>
      <c r="M43" s="10"/>
    </row>
    <row r="44" customFormat="false" ht="15" hidden="false" customHeight="false" outlineLevel="0" collapsed="false">
      <c r="A44" s="9" t="s">
        <v>152</v>
      </c>
      <c r="B44" s="9" t="s">
        <v>153</v>
      </c>
      <c r="C44" s="9" t="s">
        <v>17</v>
      </c>
      <c r="D44" s="9" t="s">
        <v>41</v>
      </c>
      <c r="E44" s="10" t="s">
        <v>17</v>
      </c>
      <c r="F44" s="9" t="s">
        <v>144</v>
      </c>
      <c r="G44" s="10" t="s">
        <v>144</v>
      </c>
      <c r="H44" s="9" t="s">
        <v>145</v>
      </c>
      <c r="I44" s="9" t="n">
        <v>20</v>
      </c>
      <c r="J44" s="9" t="n">
        <v>0</v>
      </c>
      <c r="K44" s="11" t="n">
        <v>95898</v>
      </c>
      <c r="L44" s="11" t="n">
        <v>0</v>
      </c>
      <c r="M44" s="10"/>
    </row>
    <row r="45" customFormat="false" ht="15" hidden="false" customHeight="false" outlineLevel="0" collapsed="false">
      <c r="A45" s="9" t="s">
        <v>154</v>
      </c>
      <c r="B45" s="9" t="s">
        <v>155</v>
      </c>
      <c r="C45" s="9" t="s">
        <v>14</v>
      </c>
      <c r="D45" s="9" t="s">
        <v>41</v>
      </c>
      <c r="E45" s="10" t="s">
        <v>14</v>
      </c>
      <c r="F45" s="9" t="s">
        <v>156</v>
      </c>
      <c r="G45" s="10" t="s">
        <v>156</v>
      </c>
      <c r="H45" s="9" t="s">
        <v>157</v>
      </c>
      <c r="I45" s="9" t="n">
        <v>201</v>
      </c>
      <c r="J45" s="9" t="n">
        <v>68</v>
      </c>
      <c r="K45" s="11" t="n">
        <v>995808</v>
      </c>
      <c r="L45" s="11" t="n">
        <v>471835</v>
      </c>
      <c r="M45" s="10"/>
    </row>
    <row r="46" customFormat="false" ht="15" hidden="false" customHeight="false" outlineLevel="0" collapsed="false">
      <c r="A46" s="9" t="s">
        <v>158</v>
      </c>
      <c r="B46" s="9" t="s">
        <v>159</v>
      </c>
      <c r="C46" s="9" t="s">
        <v>14</v>
      </c>
      <c r="D46" s="9" t="s">
        <v>41</v>
      </c>
      <c r="E46" s="10" t="s">
        <v>14</v>
      </c>
      <c r="F46" s="9" t="s">
        <v>156</v>
      </c>
      <c r="G46" s="10" t="s">
        <v>156</v>
      </c>
      <c r="H46" s="9" t="s">
        <v>157</v>
      </c>
      <c r="I46" s="9" t="n">
        <v>128</v>
      </c>
      <c r="J46" s="9" t="n">
        <v>40</v>
      </c>
      <c r="K46" s="11" t="n">
        <v>755087</v>
      </c>
      <c r="L46" s="11" t="n">
        <v>225867</v>
      </c>
      <c r="M46" s="10"/>
    </row>
    <row r="47" customFormat="false" ht="15" hidden="false" customHeight="false" outlineLevel="0" collapsed="false">
      <c r="A47" s="9" t="s">
        <v>160</v>
      </c>
      <c r="B47" s="9" t="s">
        <v>161</v>
      </c>
      <c r="C47" s="9" t="s">
        <v>14</v>
      </c>
      <c r="D47" s="9" t="s">
        <v>41</v>
      </c>
      <c r="E47" s="10" t="s">
        <v>14</v>
      </c>
      <c r="F47" s="9" t="s">
        <v>156</v>
      </c>
      <c r="G47" s="10" t="s">
        <v>156</v>
      </c>
      <c r="H47" s="9" t="s">
        <v>162</v>
      </c>
      <c r="I47" s="9" t="n">
        <v>97</v>
      </c>
      <c r="J47" s="9" t="n">
        <v>155</v>
      </c>
      <c r="K47" s="11" t="n">
        <v>553948</v>
      </c>
      <c r="L47" s="11" t="n">
        <v>995479</v>
      </c>
      <c r="M47" s="10"/>
    </row>
    <row r="48" customFormat="false" ht="15" hidden="false" customHeight="false" outlineLevel="0" collapsed="false">
      <c r="A48" s="9" t="s">
        <v>163</v>
      </c>
      <c r="B48" s="9" t="s">
        <v>164</v>
      </c>
      <c r="C48" s="9" t="s">
        <v>14</v>
      </c>
      <c r="D48" s="9" t="s">
        <v>41</v>
      </c>
      <c r="E48" s="10" t="s">
        <v>14</v>
      </c>
      <c r="F48" s="9" t="s">
        <v>156</v>
      </c>
      <c r="G48" s="10" t="s">
        <v>156</v>
      </c>
      <c r="H48" s="9" t="s">
        <v>162</v>
      </c>
      <c r="I48" s="9" t="n">
        <v>28</v>
      </c>
      <c r="J48" s="9" t="n">
        <v>16</v>
      </c>
      <c r="K48" s="11" t="n">
        <v>475090</v>
      </c>
      <c r="L48" s="11" t="n">
        <v>261530</v>
      </c>
      <c r="M48" s="10"/>
    </row>
    <row r="49" customFormat="false" ht="15" hidden="false" customHeight="false" outlineLevel="0" collapsed="false">
      <c r="A49" s="9" t="s">
        <v>165</v>
      </c>
      <c r="B49" s="9" t="s">
        <v>166</v>
      </c>
      <c r="C49" s="9" t="s">
        <v>14</v>
      </c>
      <c r="D49" s="9" t="s">
        <v>41</v>
      </c>
      <c r="E49" s="10" t="s">
        <v>14</v>
      </c>
      <c r="F49" s="9" t="s">
        <v>156</v>
      </c>
      <c r="G49" s="10" t="s">
        <v>156</v>
      </c>
      <c r="H49" s="9" t="s">
        <v>157</v>
      </c>
      <c r="I49" s="9" t="n">
        <v>63</v>
      </c>
      <c r="J49" s="9" t="n">
        <v>30</v>
      </c>
      <c r="K49" s="11" t="n">
        <v>399512</v>
      </c>
      <c r="L49" s="11" t="n">
        <v>104689</v>
      </c>
      <c r="M49" s="10"/>
    </row>
    <row r="50" customFormat="false" ht="15" hidden="false" customHeight="false" outlineLevel="0" collapsed="false">
      <c r="A50" s="9" t="s">
        <v>167</v>
      </c>
      <c r="B50" s="9" t="s">
        <v>168</v>
      </c>
      <c r="C50" s="9" t="s">
        <v>14</v>
      </c>
      <c r="D50" s="9" t="s">
        <v>41</v>
      </c>
      <c r="E50" s="10" t="s">
        <v>14</v>
      </c>
      <c r="F50" s="9" t="s">
        <v>156</v>
      </c>
      <c r="G50" s="10" t="s">
        <v>156</v>
      </c>
      <c r="H50" s="9" t="s">
        <v>157</v>
      </c>
      <c r="I50" s="9" t="n">
        <v>104</v>
      </c>
      <c r="J50" s="9" t="n">
        <v>13</v>
      </c>
      <c r="K50" s="11" t="n">
        <v>331659</v>
      </c>
      <c r="L50" s="11" t="n">
        <v>24452</v>
      </c>
      <c r="M50" s="10"/>
    </row>
    <row r="51" customFormat="false" ht="15" hidden="false" customHeight="false" outlineLevel="0" collapsed="false">
      <c r="A51" s="9" t="s">
        <v>169</v>
      </c>
      <c r="B51" s="9" t="s">
        <v>170</v>
      </c>
      <c r="C51" s="9" t="s">
        <v>14</v>
      </c>
      <c r="D51" s="9" t="s">
        <v>41</v>
      </c>
      <c r="E51" s="10" t="s">
        <v>14</v>
      </c>
      <c r="F51" s="9" t="s">
        <v>156</v>
      </c>
      <c r="G51" s="10" t="s">
        <v>156</v>
      </c>
      <c r="H51" s="9" t="s">
        <v>162</v>
      </c>
      <c r="I51" s="9" t="n">
        <v>0</v>
      </c>
      <c r="J51" s="9" t="n">
        <v>8</v>
      </c>
      <c r="K51" s="11" t="n">
        <v>0</v>
      </c>
      <c r="L51" s="11" t="n">
        <v>91704</v>
      </c>
      <c r="M51" s="10"/>
    </row>
    <row r="52" customFormat="false" ht="15" hidden="false" customHeight="false" outlineLevel="0" collapsed="false">
      <c r="A52" s="9" t="s">
        <v>171</v>
      </c>
      <c r="B52" s="9" t="s">
        <v>172</v>
      </c>
      <c r="C52" s="9" t="s">
        <v>9</v>
      </c>
      <c r="D52" s="9" t="s">
        <v>41</v>
      </c>
      <c r="E52" s="10" t="s">
        <v>9</v>
      </c>
      <c r="F52" s="9" t="s">
        <v>173</v>
      </c>
      <c r="G52" s="10" t="s">
        <v>174</v>
      </c>
      <c r="H52" s="9" t="s">
        <v>175</v>
      </c>
      <c r="I52" s="9" t="n">
        <v>1332</v>
      </c>
      <c r="J52" s="9" t="n">
        <v>334</v>
      </c>
      <c r="K52" s="11" t="n">
        <v>7683890</v>
      </c>
      <c r="L52" s="11" t="n">
        <v>1874658</v>
      </c>
      <c r="M52" s="10"/>
    </row>
    <row r="53" customFormat="false" ht="15" hidden="false" customHeight="false" outlineLevel="0" collapsed="false">
      <c r="A53" s="9" t="s">
        <v>176</v>
      </c>
      <c r="B53" s="9" t="s">
        <v>177</v>
      </c>
      <c r="C53" s="9" t="s">
        <v>9</v>
      </c>
      <c r="D53" s="9" t="s">
        <v>41</v>
      </c>
      <c r="E53" s="10" t="s">
        <v>9</v>
      </c>
      <c r="F53" s="9" t="s">
        <v>178</v>
      </c>
      <c r="G53" s="10" t="s">
        <v>178</v>
      </c>
      <c r="H53" s="9" t="s">
        <v>179</v>
      </c>
      <c r="I53" s="9" t="n">
        <v>303</v>
      </c>
      <c r="J53" s="9" t="n">
        <v>58</v>
      </c>
      <c r="K53" s="11" t="n">
        <v>6206161</v>
      </c>
      <c r="L53" s="11" t="n">
        <v>1319388</v>
      </c>
      <c r="M53" s="10"/>
    </row>
    <row r="54" customFormat="false" ht="15" hidden="false" customHeight="false" outlineLevel="0" collapsed="false">
      <c r="A54" s="9" t="s">
        <v>180</v>
      </c>
      <c r="B54" s="9" t="s">
        <v>181</v>
      </c>
      <c r="C54" s="9" t="s">
        <v>9</v>
      </c>
      <c r="D54" s="9" t="s">
        <v>41</v>
      </c>
      <c r="E54" s="10" t="s">
        <v>9</v>
      </c>
      <c r="F54" s="9" t="s">
        <v>178</v>
      </c>
      <c r="G54" s="10" t="s">
        <v>178</v>
      </c>
      <c r="H54" s="9" t="s">
        <v>179</v>
      </c>
      <c r="I54" s="9" t="n">
        <v>595</v>
      </c>
      <c r="J54" s="9" t="n">
        <v>108</v>
      </c>
      <c r="K54" s="11" t="n">
        <v>6095910</v>
      </c>
      <c r="L54" s="11" t="n">
        <v>867003</v>
      </c>
      <c r="M54" s="10"/>
    </row>
    <row r="55" customFormat="false" ht="15" hidden="false" customHeight="false" outlineLevel="0" collapsed="false">
      <c r="A55" s="9" t="s">
        <v>182</v>
      </c>
      <c r="B55" s="9" t="s">
        <v>183</v>
      </c>
      <c r="C55" s="9" t="s">
        <v>9</v>
      </c>
      <c r="D55" s="9" t="s">
        <v>41</v>
      </c>
      <c r="E55" s="10" t="s">
        <v>9</v>
      </c>
      <c r="F55" s="9" t="s">
        <v>184</v>
      </c>
      <c r="G55" s="10" t="s">
        <v>185</v>
      </c>
      <c r="H55" s="9" t="s">
        <v>179</v>
      </c>
      <c r="I55" s="9" t="n">
        <v>147</v>
      </c>
      <c r="J55" s="9" t="n">
        <v>51</v>
      </c>
      <c r="K55" s="11" t="n">
        <v>5100134</v>
      </c>
      <c r="L55" s="11" t="n">
        <v>1953605</v>
      </c>
      <c r="M55" s="10"/>
    </row>
    <row r="56" customFormat="false" ht="15" hidden="false" customHeight="false" outlineLevel="0" collapsed="false">
      <c r="A56" s="9" t="s">
        <v>186</v>
      </c>
      <c r="B56" s="9" t="s">
        <v>187</v>
      </c>
      <c r="C56" s="9" t="s">
        <v>9</v>
      </c>
      <c r="D56" s="9" t="s">
        <v>41</v>
      </c>
      <c r="E56" s="10" t="s">
        <v>9</v>
      </c>
      <c r="F56" s="9" t="s">
        <v>178</v>
      </c>
      <c r="G56" s="10" t="s">
        <v>178</v>
      </c>
      <c r="H56" s="9" t="s">
        <v>175</v>
      </c>
      <c r="I56" s="9" t="n">
        <v>257</v>
      </c>
      <c r="J56" s="9" t="n">
        <v>265</v>
      </c>
      <c r="K56" s="11" t="n">
        <v>4917353</v>
      </c>
      <c r="L56" s="11" t="n">
        <v>1972349</v>
      </c>
      <c r="M56" s="10"/>
    </row>
    <row r="57" customFormat="false" ht="15" hidden="false" customHeight="false" outlineLevel="0" collapsed="false">
      <c r="A57" s="9" t="s">
        <v>188</v>
      </c>
      <c r="B57" s="9" t="s">
        <v>189</v>
      </c>
      <c r="C57" s="9" t="s">
        <v>9</v>
      </c>
      <c r="D57" s="9" t="s">
        <v>41</v>
      </c>
      <c r="E57" s="10" t="s">
        <v>9</v>
      </c>
      <c r="F57" s="9" t="s">
        <v>178</v>
      </c>
      <c r="G57" s="10" t="s">
        <v>178</v>
      </c>
      <c r="H57" s="9" t="s">
        <v>190</v>
      </c>
      <c r="I57" s="9" t="n">
        <v>710</v>
      </c>
      <c r="J57" s="9" t="n">
        <v>597</v>
      </c>
      <c r="K57" s="11" t="n">
        <v>4607041</v>
      </c>
      <c r="L57" s="11" t="n">
        <v>2715948</v>
      </c>
      <c r="M57" s="10"/>
    </row>
    <row r="58" customFormat="false" ht="15" hidden="false" customHeight="false" outlineLevel="0" collapsed="false">
      <c r="A58" s="9" t="s">
        <v>191</v>
      </c>
      <c r="B58" s="9" t="s">
        <v>192</v>
      </c>
      <c r="C58" s="9" t="s">
        <v>9</v>
      </c>
      <c r="D58" s="9" t="s">
        <v>41</v>
      </c>
      <c r="E58" s="10" t="s">
        <v>9</v>
      </c>
      <c r="F58" s="9" t="s">
        <v>178</v>
      </c>
      <c r="G58" s="10" t="s">
        <v>178</v>
      </c>
      <c r="H58" s="9" t="s">
        <v>179</v>
      </c>
      <c r="I58" s="9" t="n">
        <v>334</v>
      </c>
      <c r="J58" s="9" t="n">
        <v>144</v>
      </c>
      <c r="K58" s="11" t="n">
        <v>4575110</v>
      </c>
      <c r="L58" s="11" t="n">
        <v>2440226</v>
      </c>
      <c r="M58" s="10"/>
    </row>
    <row r="59" customFormat="false" ht="15" hidden="false" customHeight="false" outlineLevel="0" collapsed="false">
      <c r="A59" s="9" t="s">
        <v>193</v>
      </c>
      <c r="B59" s="9" t="s">
        <v>194</v>
      </c>
      <c r="C59" s="9" t="s">
        <v>9</v>
      </c>
      <c r="D59" s="9" t="s">
        <v>41</v>
      </c>
      <c r="E59" s="10" t="s">
        <v>9</v>
      </c>
      <c r="F59" s="9" t="s">
        <v>195</v>
      </c>
      <c r="G59" s="10" t="s">
        <v>196</v>
      </c>
      <c r="H59" s="9" t="s">
        <v>197</v>
      </c>
      <c r="I59" s="9" t="n">
        <v>499</v>
      </c>
      <c r="J59" s="9" t="n">
        <v>266</v>
      </c>
      <c r="K59" s="11" t="n">
        <v>3976857</v>
      </c>
      <c r="L59" s="11" t="n">
        <v>1692712</v>
      </c>
      <c r="M59" s="10"/>
    </row>
    <row r="60" customFormat="false" ht="15" hidden="false" customHeight="false" outlineLevel="0" collapsed="false">
      <c r="A60" s="9" t="s">
        <v>198</v>
      </c>
      <c r="B60" s="9" t="s">
        <v>199</v>
      </c>
      <c r="C60" s="9" t="s">
        <v>9</v>
      </c>
      <c r="D60" s="9" t="s">
        <v>41</v>
      </c>
      <c r="E60" s="10" t="s">
        <v>9</v>
      </c>
      <c r="F60" s="9" t="s">
        <v>200</v>
      </c>
      <c r="G60" s="10" t="s">
        <v>201</v>
      </c>
      <c r="H60" s="9" t="s">
        <v>179</v>
      </c>
      <c r="I60" s="9" t="n">
        <v>389</v>
      </c>
      <c r="J60" s="9" t="n">
        <v>114</v>
      </c>
      <c r="K60" s="11" t="n">
        <v>3576957</v>
      </c>
      <c r="L60" s="11" t="n">
        <v>1552400</v>
      </c>
      <c r="M60" s="10"/>
    </row>
    <row r="61" customFormat="false" ht="15" hidden="false" customHeight="false" outlineLevel="0" collapsed="false">
      <c r="A61" s="9" t="s">
        <v>202</v>
      </c>
      <c r="B61" s="9" t="s">
        <v>203</v>
      </c>
      <c r="C61" s="9" t="s">
        <v>9</v>
      </c>
      <c r="D61" s="9" t="s">
        <v>41</v>
      </c>
      <c r="E61" s="10" t="s">
        <v>9</v>
      </c>
      <c r="F61" s="9" t="s">
        <v>184</v>
      </c>
      <c r="G61" s="10" t="s">
        <v>185</v>
      </c>
      <c r="H61" s="9" t="s">
        <v>179</v>
      </c>
      <c r="I61" s="9" t="n">
        <v>245</v>
      </c>
      <c r="J61" s="9" t="n">
        <v>6</v>
      </c>
      <c r="K61" s="11" t="n">
        <v>3363039</v>
      </c>
      <c r="L61" s="11" t="n">
        <v>34802</v>
      </c>
      <c r="M61" s="10"/>
    </row>
    <row r="62" customFormat="false" ht="15" hidden="false" customHeight="false" outlineLevel="0" collapsed="false">
      <c r="A62" s="9" t="s">
        <v>204</v>
      </c>
      <c r="B62" s="9" t="s">
        <v>205</v>
      </c>
      <c r="C62" s="9" t="s">
        <v>9</v>
      </c>
      <c r="D62" s="9" t="s">
        <v>41</v>
      </c>
      <c r="E62" s="10" t="s">
        <v>9</v>
      </c>
      <c r="F62" s="9" t="s">
        <v>200</v>
      </c>
      <c r="G62" s="10" t="s">
        <v>201</v>
      </c>
      <c r="H62" s="9" t="s">
        <v>179</v>
      </c>
      <c r="I62" s="9" t="n">
        <v>359</v>
      </c>
      <c r="J62" s="9" t="n">
        <v>0</v>
      </c>
      <c r="K62" s="11" t="n">
        <v>3325428</v>
      </c>
      <c r="L62" s="11" t="n">
        <v>0</v>
      </c>
      <c r="M62" s="10"/>
    </row>
    <row r="63" customFormat="false" ht="15" hidden="false" customHeight="false" outlineLevel="0" collapsed="false">
      <c r="A63" s="9" t="s">
        <v>206</v>
      </c>
      <c r="B63" s="9" t="s">
        <v>207</v>
      </c>
      <c r="C63" s="9" t="s">
        <v>9</v>
      </c>
      <c r="D63" s="9" t="s">
        <v>41</v>
      </c>
      <c r="E63" s="10" t="s">
        <v>9</v>
      </c>
      <c r="F63" s="9" t="s">
        <v>200</v>
      </c>
      <c r="G63" s="10" t="s">
        <v>201</v>
      </c>
      <c r="H63" s="9" t="s">
        <v>179</v>
      </c>
      <c r="I63" s="9" t="n">
        <v>111</v>
      </c>
      <c r="J63" s="9" t="n">
        <v>0</v>
      </c>
      <c r="K63" s="11" t="n">
        <v>3308404</v>
      </c>
      <c r="L63" s="11" t="n">
        <v>0</v>
      </c>
      <c r="M63" s="10"/>
    </row>
    <row r="64" customFormat="false" ht="15" hidden="false" customHeight="false" outlineLevel="0" collapsed="false">
      <c r="A64" s="9" t="s">
        <v>208</v>
      </c>
      <c r="B64" s="9" t="s">
        <v>209</v>
      </c>
      <c r="C64" s="9" t="s">
        <v>9</v>
      </c>
      <c r="D64" s="9" t="s">
        <v>41</v>
      </c>
      <c r="E64" s="10" t="s">
        <v>9</v>
      </c>
      <c r="F64" s="9" t="s">
        <v>178</v>
      </c>
      <c r="G64" s="10" t="s">
        <v>178</v>
      </c>
      <c r="H64" s="9" t="s">
        <v>210</v>
      </c>
      <c r="I64" s="9" t="n">
        <v>170</v>
      </c>
      <c r="J64" s="9" t="n">
        <v>224</v>
      </c>
      <c r="K64" s="11" t="n">
        <v>3082270</v>
      </c>
      <c r="L64" s="11" t="n">
        <v>3862940</v>
      </c>
      <c r="M64" s="10"/>
    </row>
    <row r="65" customFormat="false" ht="15" hidden="false" customHeight="false" outlineLevel="0" collapsed="false">
      <c r="A65" s="9" t="s">
        <v>211</v>
      </c>
      <c r="B65" s="9" t="s">
        <v>212</v>
      </c>
      <c r="C65" s="9" t="s">
        <v>9</v>
      </c>
      <c r="D65" s="9" t="s">
        <v>41</v>
      </c>
      <c r="E65" s="10" t="s">
        <v>9</v>
      </c>
      <c r="F65" s="9" t="s">
        <v>213</v>
      </c>
      <c r="G65" s="10" t="s">
        <v>214</v>
      </c>
      <c r="H65" s="9" t="s">
        <v>215</v>
      </c>
      <c r="I65" s="9" t="n">
        <v>302</v>
      </c>
      <c r="J65" s="9" t="n">
        <v>30</v>
      </c>
      <c r="K65" s="11" t="n">
        <v>3023632</v>
      </c>
      <c r="L65" s="11" t="n">
        <v>311495</v>
      </c>
      <c r="M65" s="10"/>
    </row>
    <row r="66" customFormat="false" ht="15" hidden="false" customHeight="false" outlineLevel="0" collapsed="false">
      <c r="A66" s="9" t="s">
        <v>216</v>
      </c>
      <c r="B66" s="9" t="s">
        <v>217</v>
      </c>
      <c r="C66" s="9" t="s">
        <v>9</v>
      </c>
      <c r="D66" s="9" t="s">
        <v>41</v>
      </c>
      <c r="E66" s="10" t="s">
        <v>9</v>
      </c>
      <c r="F66" s="9" t="s">
        <v>178</v>
      </c>
      <c r="G66" s="10" t="s">
        <v>178</v>
      </c>
      <c r="H66" s="9" t="s">
        <v>179</v>
      </c>
      <c r="I66" s="9" t="n">
        <v>151</v>
      </c>
      <c r="J66" s="9" t="n">
        <v>85</v>
      </c>
      <c r="K66" s="11" t="n">
        <v>2906952</v>
      </c>
      <c r="L66" s="11" t="n">
        <v>1951750</v>
      </c>
      <c r="M66" s="10"/>
    </row>
    <row r="67" customFormat="false" ht="15" hidden="false" customHeight="false" outlineLevel="0" collapsed="false">
      <c r="A67" s="9" t="s">
        <v>213</v>
      </c>
      <c r="B67" s="9" t="s">
        <v>218</v>
      </c>
      <c r="C67" s="9" t="s">
        <v>9</v>
      </c>
      <c r="D67" s="9" t="s">
        <v>41</v>
      </c>
      <c r="E67" s="10" t="s">
        <v>9</v>
      </c>
      <c r="F67" s="9" t="s">
        <v>178</v>
      </c>
      <c r="G67" s="10" t="s">
        <v>178</v>
      </c>
      <c r="H67" s="9" t="s">
        <v>215</v>
      </c>
      <c r="I67" s="9" t="n">
        <v>361</v>
      </c>
      <c r="J67" s="9" t="n">
        <v>183</v>
      </c>
      <c r="K67" s="11" t="n">
        <v>2800122</v>
      </c>
      <c r="L67" s="11" t="n">
        <v>1026675</v>
      </c>
      <c r="M67" s="10"/>
    </row>
    <row r="68" customFormat="false" ht="15" hidden="false" customHeight="false" outlineLevel="0" collapsed="false">
      <c r="A68" s="9" t="s">
        <v>219</v>
      </c>
      <c r="B68" s="9" t="s">
        <v>220</v>
      </c>
      <c r="C68" s="9" t="s">
        <v>9</v>
      </c>
      <c r="D68" s="9" t="s">
        <v>41</v>
      </c>
      <c r="E68" s="10" t="s">
        <v>9</v>
      </c>
      <c r="F68" s="9" t="s">
        <v>178</v>
      </c>
      <c r="G68" s="10" t="s">
        <v>178</v>
      </c>
      <c r="H68" s="9" t="s">
        <v>221</v>
      </c>
      <c r="I68" s="9" t="n">
        <v>180</v>
      </c>
      <c r="J68" s="9" t="n">
        <v>0</v>
      </c>
      <c r="K68" s="11" t="n">
        <v>2750562</v>
      </c>
      <c r="L68" s="11" t="n">
        <v>0</v>
      </c>
      <c r="M68" s="10"/>
    </row>
    <row r="69" customFormat="false" ht="15" hidden="false" customHeight="false" outlineLevel="0" collapsed="false">
      <c r="A69" s="9" t="s">
        <v>222</v>
      </c>
      <c r="B69" s="9" t="s">
        <v>223</v>
      </c>
      <c r="C69" s="9" t="s">
        <v>9</v>
      </c>
      <c r="D69" s="9" t="s">
        <v>41</v>
      </c>
      <c r="E69" s="10" t="s">
        <v>9</v>
      </c>
      <c r="F69" s="9" t="s">
        <v>184</v>
      </c>
      <c r="G69" s="10" t="s">
        <v>185</v>
      </c>
      <c r="H69" s="9" t="s">
        <v>179</v>
      </c>
      <c r="I69" s="9" t="n">
        <v>424</v>
      </c>
      <c r="J69" s="9" t="n">
        <v>0</v>
      </c>
      <c r="K69" s="11" t="n">
        <v>2678268</v>
      </c>
      <c r="L69" s="11" t="n">
        <v>0</v>
      </c>
      <c r="M69" s="10"/>
    </row>
    <row r="70" customFormat="false" ht="15" hidden="false" customHeight="false" outlineLevel="0" collapsed="false">
      <c r="A70" s="9" t="s">
        <v>224</v>
      </c>
      <c r="B70" s="9" t="s">
        <v>225</v>
      </c>
      <c r="C70" s="9" t="s">
        <v>9</v>
      </c>
      <c r="D70" s="9" t="s">
        <v>41</v>
      </c>
      <c r="E70" s="10" t="s">
        <v>9</v>
      </c>
      <c r="F70" s="9" t="s">
        <v>226</v>
      </c>
      <c r="G70" s="10" t="s">
        <v>227</v>
      </c>
      <c r="H70" s="9" t="s">
        <v>179</v>
      </c>
      <c r="I70" s="9" t="n">
        <v>400</v>
      </c>
      <c r="J70" s="9" t="n">
        <v>3</v>
      </c>
      <c r="K70" s="11" t="n">
        <v>2366288</v>
      </c>
      <c r="L70" s="11" t="n">
        <v>57000</v>
      </c>
      <c r="M70" s="10"/>
    </row>
    <row r="71" customFormat="false" ht="15" hidden="false" customHeight="false" outlineLevel="0" collapsed="false">
      <c r="A71" s="9" t="s">
        <v>228</v>
      </c>
      <c r="B71" s="9" t="s">
        <v>229</v>
      </c>
      <c r="C71" s="9" t="s">
        <v>9</v>
      </c>
      <c r="D71" s="9" t="s">
        <v>41</v>
      </c>
      <c r="E71" s="10" t="s">
        <v>9</v>
      </c>
      <c r="F71" s="9" t="s">
        <v>178</v>
      </c>
      <c r="G71" s="10" t="s">
        <v>178</v>
      </c>
      <c r="H71" s="9" t="s">
        <v>197</v>
      </c>
      <c r="I71" s="9" t="n">
        <v>324</v>
      </c>
      <c r="J71" s="9" t="n">
        <v>199</v>
      </c>
      <c r="K71" s="11" t="n">
        <v>2291311</v>
      </c>
      <c r="L71" s="11" t="n">
        <v>1238605</v>
      </c>
      <c r="M71" s="10"/>
    </row>
    <row r="72" customFormat="false" ht="15" hidden="false" customHeight="false" outlineLevel="0" collapsed="false">
      <c r="A72" s="9" t="s">
        <v>226</v>
      </c>
      <c r="B72" s="9" t="s">
        <v>230</v>
      </c>
      <c r="C72" s="9" t="s">
        <v>9</v>
      </c>
      <c r="D72" s="9" t="s">
        <v>41</v>
      </c>
      <c r="E72" s="10" t="s">
        <v>9</v>
      </c>
      <c r="F72" s="9" t="s">
        <v>178</v>
      </c>
      <c r="G72" s="10" t="s">
        <v>178</v>
      </c>
      <c r="H72" s="9" t="s">
        <v>179</v>
      </c>
      <c r="I72" s="9" t="n">
        <v>13</v>
      </c>
      <c r="J72" s="9" t="n">
        <v>1</v>
      </c>
      <c r="K72" s="11" t="n">
        <v>2113464</v>
      </c>
      <c r="L72" s="11" t="n">
        <v>208000</v>
      </c>
      <c r="M72" s="10"/>
    </row>
    <row r="73" customFormat="false" ht="15" hidden="false" customHeight="false" outlineLevel="0" collapsed="false">
      <c r="A73" s="9" t="s">
        <v>231</v>
      </c>
      <c r="B73" s="9" t="s">
        <v>232</v>
      </c>
      <c r="C73" s="9" t="s">
        <v>9</v>
      </c>
      <c r="D73" s="9" t="s">
        <v>41</v>
      </c>
      <c r="E73" s="10" t="s">
        <v>9</v>
      </c>
      <c r="F73" s="9" t="s">
        <v>184</v>
      </c>
      <c r="G73" s="10" t="s">
        <v>185</v>
      </c>
      <c r="H73" s="9" t="s">
        <v>179</v>
      </c>
      <c r="I73" s="9" t="n">
        <v>108</v>
      </c>
      <c r="J73" s="9" t="n">
        <v>45</v>
      </c>
      <c r="K73" s="11" t="n">
        <v>1882985</v>
      </c>
      <c r="L73" s="11" t="n">
        <v>720996</v>
      </c>
      <c r="M73" s="10"/>
    </row>
    <row r="74" customFormat="false" ht="15" hidden="false" customHeight="false" outlineLevel="0" collapsed="false">
      <c r="A74" s="9" t="s">
        <v>233</v>
      </c>
      <c r="B74" s="9" t="s">
        <v>234</v>
      </c>
      <c r="C74" s="9" t="s">
        <v>9</v>
      </c>
      <c r="D74" s="9" t="s">
        <v>41</v>
      </c>
      <c r="E74" s="10" t="s">
        <v>9</v>
      </c>
      <c r="F74" s="9" t="s">
        <v>235</v>
      </c>
      <c r="G74" s="10" t="s">
        <v>236</v>
      </c>
      <c r="H74" s="9" t="s">
        <v>179</v>
      </c>
      <c r="I74" s="9" t="n">
        <v>326</v>
      </c>
      <c r="J74" s="9" t="n">
        <v>0</v>
      </c>
      <c r="K74" s="11" t="n">
        <v>1817716</v>
      </c>
      <c r="L74" s="11" t="n">
        <v>0</v>
      </c>
      <c r="M74" s="10"/>
    </row>
    <row r="75" customFormat="false" ht="15" hidden="false" customHeight="false" outlineLevel="0" collapsed="false">
      <c r="A75" s="9" t="s">
        <v>237</v>
      </c>
      <c r="B75" s="9" t="s">
        <v>238</v>
      </c>
      <c r="C75" s="9" t="s">
        <v>9</v>
      </c>
      <c r="D75" s="9" t="s">
        <v>41</v>
      </c>
      <c r="E75" s="10" t="s">
        <v>9</v>
      </c>
      <c r="F75" s="9" t="s">
        <v>184</v>
      </c>
      <c r="G75" s="10" t="s">
        <v>185</v>
      </c>
      <c r="H75" s="9" t="s">
        <v>179</v>
      </c>
      <c r="I75" s="9" t="n">
        <v>42</v>
      </c>
      <c r="J75" s="9" t="n">
        <v>60</v>
      </c>
      <c r="K75" s="11" t="n">
        <v>1735304</v>
      </c>
      <c r="L75" s="11" t="n">
        <v>1999880</v>
      </c>
      <c r="M75" s="10"/>
    </row>
    <row r="76" customFormat="false" ht="15" hidden="false" customHeight="false" outlineLevel="0" collapsed="false">
      <c r="A76" s="9" t="s">
        <v>239</v>
      </c>
      <c r="B76" s="9" t="s">
        <v>240</v>
      </c>
      <c r="C76" s="9" t="s">
        <v>9</v>
      </c>
      <c r="D76" s="9" t="s">
        <v>41</v>
      </c>
      <c r="E76" s="10" t="s">
        <v>9</v>
      </c>
      <c r="F76" s="9" t="s">
        <v>241</v>
      </c>
      <c r="G76" s="10" t="s">
        <v>241</v>
      </c>
      <c r="H76" s="9" t="s">
        <v>242</v>
      </c>
      <c r="I76" s="9" t="n">
        <v>345</v>
      </c>
      <c r="J76" s="9" t="n">
        <v>131</v>
      </c>
      <c r="K76" s="11" t="n">
        <v>1700809</v>
      </c>
      <c r="L76" s="11" t="n">
        <v>588052</v>
      </c>
      <c r="M76" s="10"/>
    </row>
    <row r="77" customFormat="false" ht="15" hidden="false" customHeight="false" outlineLevel="0" collapsed="false">
      <c r="A77" s="9" t="s">
        <v>243</v>
      </c>
      <c r="B77" s="9" t="s">
        <v>244</v>
      </c>
      <c r="C77" s="9" t="s">
        <v>9</v>
      </c>
      <c r="D77" s="9" t="s">
        <v>41</v>
      </c>
      <c r="E77" s="10" t="s">
        <v>9</v>
      </c>
      <c r="F77" s="9" t="s">
        <v>245</v>
      </c>
      <c r="G77" s="10" t="s">
        <v>246</v>
      </c>
      <c r="H77" s="9" t="s">
        <v>179</v>
      </c>
      <c r="I77" s="9" t="n">
        <v>153</v>
      </c>
      <c r="J77" s="9" t="n">
        <v>6</v>
      </c>
      <c r="K77" s="11" t="n">
        <v>1592504</v>
      </c>
      <c r="L77" s="11" t="n">
        <v>117819</v>
      </c>
      <c r="M77" s="10"/>
    </row>
    <row r="78" customFormat="false" ht="15" hidden="false" customHeight="false" outlineLevel="0" collapsed="false">
      <c r="A78" s="9" t="s">
        <v>247</v>
      </c>
      <c r="B78" s="9" t="s">
        <v>248</v>
      </c>
      <c r="C78" s="9" t="s">
        <v>9</v>
      </c>
      <c r="D78" s="9" t="s">
        <v>41</v>
      </c>
      <c r="E78" s="10" t="s">
        <v>9</v>
      </c>
      <c r="F78" s="9" t="s">
        <v>213</v>
      </c>
      <c r="G78" s="10" t="s">
        <v>214</v>
      </c>
      <c r="H78" s="9" t="s">
        <v>215</v>
      </c>
      <c r="I78" s="9" t="n">
        <v>203</v>
      </c>
      <c r="J78" s="9" t="n">
        <v>22</v>
      </c>
      <c r="K78" s="11" t="n">
        <v>1531664</v>
      </c>
      <c r="L78" s="11" t="n">
        <v>187329</v>
      </c>
      <c r="M78" s="10"/>
    </row>
    <row r="79" customFormat="false" ht="15" hidden="false" customHeight="false" outlineLevel="0" collapsed="false">
      <c r="A79" s="9" t="s">
        <v>249</v>
      </c>
      <c r="B79" s="9" t="s">
        <v>250</v>
      </c>
      <c r="C79" s="9" t="s">
        <v>9</v>
      </c>
      <c r="D79" s="9" t="s">
        <v>41</v>
      </c>
      <c r="E79" s="10" t="s">
        <v>9</v>
      </c>
      <c r="F79" s="9" t="s">
        <v>186</v>
      </c>
      <c r="G79" s="10" t="s">
        <v>251</v>
      </c>
      <c r="H79" s="9" t="s">
        <v>252</v>
      </c>
      <c r="I79" s="9" t="n">
        <v>74</v>
      </c>
      <c r="J79" s="9" t="n">
        <v>43</v>
      </c>
      <c r="K79" s="11" t="n">
        <v>1521597</v>
      </c>
      <c r="L79" s="11" t="n">
        <v>447897</v>
      </c>
      <c r="M79" s="10"/>
    </row>
    <row r="80" customFormat="false" ht="15" hidden="false" customHeight="false" outlineLevel="0" collapsed="false">
      <c r="A80" s="9" t="s">
        <v>253</v>
      </c>
      <c r="B80" s="9" t="s">
        <v>254</v>
      </c>
      <c r="C80" s="9" t="s">
        <v>9</v>
      </c>
      <c r="D80" s="9" t="s">
        <v>41</v>
      </c>
      <c r="E80" s="10" t="s">
        <v>9</v>
      </c>
      <c r="F80" s="9" t="s">
        <v>173</v>
      </c>
      <c r="G80" s="10" t="s">
        <v>174</v>
      </c>
      <c r="H80" s="9" t="s">
        <v>175</v>
      </c>
      <c r="I80" s="9" t="n">
        <v>374</v>
      </c>
      <c r="J80" s="9" t="n">
        <v>217</v>
      </c>
      <c r="K80" s="11" t="n">
        <v>1438020</v>
      </c>
      <c r="L80" s="11" t="n">
        <v>1194089</v>
      </c>
      <c r="M80" s="10"/>
    </row>
    <row r="81" customFormat="false" ht="15" hidden="false" customHeight="false" outlineLevel="0" collapsed="false">
      <c r="A81" s="9" t="s">
        <v>255</v>
      </c>
      <c r="B81" s="9" t="s">
        <v>256</v>
      </c>
      <c r="C81" s="9" t="s">
        <v>9</v>
      </c>
      <c r="D81" s="9" t="s">
        <v>41</v>
      </c>
      <c r="E81" s="10" t="s">
        <v>9</v>
      </c>
      <c r="F81" s="9" t="s">
        <v>195</v>
      </c>
      <c r="G81" s="10" t="s">
        <v>196</v>
      </c>
      <c r="H81" s="9" t="s">
        <v>197</v>
      </c>
      <c r="I81" s="9" t="n">
        <v>219</v>
      </c>
      <c r="J81" s="9" t="n">
        <v>50</v>
      </c>
      <c r="K81" s="11" t="n">
        <v>1407306</v>
      </c>
      <c r="L81" s="11" t="n">
        <v>255366</v>
      </c>
      <c r="M81" s="10"/>
    </row>
    <row r="82" customFormat="false" ht="15" hidden="false" customHeight="false" outlineLevel="0" collapsed="false">
      <c r="A82" s="9" t="s">
        <v>257</v>
      </c>
      <c r="B82" s="9" t="s">
        <v>258</v>
      </c>
      <c r="C82" s="9" t="s">
        <v>9</v>
      </c>
      <c r="D82" s="9" t="s">
        <v>41</v>
      </c>
      <c r="E82" s="10" t="s">
        <v>9</v>
      </c>
      <c r="F82" s="9" t="s">
        <v>178</v>
      </c>
      <c r="G82" s="10" t="s">
        <v>178</v>
      </c>
      <c r="H82" s="9" t="s">
        <v>179</v>
      </c>
      <c r="I82" s="9" t="n">
        <v>111</v>
      </c>
      <c r="J82" s="9" t="n">
        <v>110</v>
      </c>
      <c r="K82" s="11" t="n">
        <v>1385390</v>
      </c>
      <c r="L82" s="11" t="n">
        <v>1175690</v>
      </c>
      <c r="M82" s="10"/>
    </row>
    <row r="83" customFormat="false" ht="15" hidden="false" customHeight="false" outlineLevel="0" collapsed="false">
      <c r="A83" s="9" t="s">
        <v>259</v>
      </c>
      <c r="B83" s="9" t="s">
        <v>260</v>
      </c>
      <c r="C83" s="9" t="s">
        <v>9</v>
      </c>
      <c r="D83" s="9" t="s">
        <v>41</v>
      </c>
      <c r="E83" s="10" t="s">
        <v>9</v>
      </c>
      <c r="F83" s="9" t="s">
        <v>216</v>
      </c>
      <c r="G83" s="10" t="s">
        <v>261</v>
      </c>
      <c r="H83" s="9" t="s">
        <v>179</v>
      </c>
      <c r="I83" s="9" t="n">
        <v>111</v>
      </c>
      <c r="J83" s="9" t="n">
        <v>4</v>
      </c>
      <c r="K83" s="11" t="n">
        <v>1298410</v>
      </c>
      <c r="L83" s="11" t="n">
        <v>78960</v>
      </c>
      <c r="M83" s="10"/>
    </row>
    <row r="84" customFormat="false" ht="15" hidden="false" customHeight="false" outlineLevel="0" collapsed="false">
      <c r="A84" s="9" t="s">
        <v>262</v>
      </c>
      <c r="B84" s="9" t="s">
        <v>263</v>
      </c>
      <c r="C84" s="9" t="s">
        <v>9</v>
      </c>
      <c r="D84" s="9" t="s">
        <v>41</v>
      </c>
      <c r="E84" s="10" t="s">
        <v>9</v>
      </c>
      <c r="F84" s="9" t="s">
        <v>178</v>
      </c>
      <c r="G84" s="10" t="s">
        <v>178</v>
      </c>
      <c r="H84" s="9" t="s">
        <v>264</v>
      </c>
      <c r="I84" s="9" t="n">
        <v>156</v>
      </c>
      <c r="J84" s="9" t="n">
        <v>0</v>
      </c>
      <c r="K84" s="11" t="n">
        <v>1287458</v>
      </c>
      <c r="L84" s="11" t="n">
        <v>0</v>
      </c>
      <c r="M84" s="10"/>
    </row>
    <row r="85" customFormat="false" ht="15" hidden="false" customHeight="false" outlineLevel="0" collapsed="false">
      <c r="A85" s="9" t="s">
        <v>265</v>
      </c>
      <c r="B85" s="9" t="s">
        <v>266</v>
      </c>
      <c r="C85" s="9" t="s">
        <v>9</v>
      </c>
      <c r="D85" s="9" t="s">
        <v>41</v>
      </c>
      <c r="E85" s="10" t="s">
        <v>9</v>
      </c>
      <c r="F85" s="9" t="s">
        <v>213</v>
      </c>
      <c r="G85" s="10" t="s">
        <v>214</v>
      </c>
      <c r="H85" s="9" t="s">
        <v>215</v>
      </c>
      <c r="I85" s="9" t="n">
        <v>137</v>
      </c>
      <c r="J85" s="9" t="n">
        <v>36</v>
      </c>
      <c r="K85" s="11" t="n">
        <v>1277508</v>
      </c>
      <c r="L85" s="11" t="n">
        <v>500251</v>
      </c>
      <c r="M85" s="10"/>
    </row>
    <row r="86" customFormat="false" ht="15" hidden="false" customHeight="false" outlineLevel="0" collapsed="false">
      <c r="A86" s="9" t="s">
        <v>267</v>
      </c>
      <c r="B86" s="9" t="s">
        <v>268</v>
      </c>
      <c r="C86" s="9" t="s">
        <v>9</v>
      </c>
      <c r="D86" s="9" t="s">
        <v>41</v>
      </c>
      <c r="E86" s="10" t="s">
        <v>9</v>
      </c>
      <c r="F86" s="9" t="s">
        <v>213</v>
      </c>
      <c r="G86" s="10" t="s">
        <v>214</v>
      </c>
      <c r="H86" s="9" t="s">
        <v>215</v>
      </c>
      <c r="I86" s="9" t="n">
        <v>222</v>
      </c>
      <c r="J86" s="9" t="n">
        <v>141</v>
      </c>
      <c r="K86" s="11" t="n">
        <v>1252088</v>
      </c>
      <c r="L86" s="11" t="n">
        <v>1000505</v>
      </c>
      <c r="M86" s="10"/>
    </row>
    <row r="87" customFormat="false" ht="15" hidden="false" customHeight="false" outlineLevel="0" collapsed="false">
      <c r="A87" s="9" t="s">
        <v>269</v>
      </c>
      <c r="B87" s="9" t="s">
        <v>270</v>
      </c>
      <c r="C87" s="9" t="s">
        <v>9</v>
      </c>
      <c r="D87" s="9" t="s">
        <v>41</v>
      </c>
      <c r="E87" s="10" t="s">
        <v>9</v>
      </c>
      <c r="F87" s="9" t="s">
        <v>241</v>
      </c>
      <c r="G87" s="10" t="s">
        <v>241</v>
      </c>
      <c r="H87" s="9" t="s">
        <v>271</v>
      </c>
      <c r="I87" s="9" t="n">
        <v>232</v>
      </c>
      <c r="J87" s="9" t="n">
        <v>130</v>
      </c>
      <c r="K87" s="11" t="n">
        <v>1250465</v>
      </c>
      <c r="L87" s="11" t="n">
        <v>640842</v>
      </c>
      <c r="M87" s="10"/>
    </row>
    <row r="88" customFormat="false" ht="26.85" hidden="false" customHeight="false" outlineLevel="0" collapsed="false">
      <c r="A88" s="12" t="s">
        <v>272</v>
      </c>
      <c r="B88" s="12" t="s">
        <v>273</v>
      </c>
      <c r="C88" s="12" t="s">
        <v>9</v>
      </c>
      <c r="D88" s="12" t="s">
        <v>61</v>
      </c>
      <c r="E88" s="13" t="s">
        <v>62</v>
      </c>
      <c r="F88" s="12" t="s">
        <v>178</v>
      </c>
      <c r="G88" s="13" t="s">
        <v>178</v>
      </c>
      <c r="H88" s="12" t="s">
        <v>197</v>
      </c>
      <c r="I88" s="12" t="n">
        <v>221</v>
      </c>
      <c r="J88" s="12" t="n">
        <v>18</v>
      </c>
      <c r="K88" s="14" t="n">
        <v>1244505</v>
      </c>
      <c r="L88" s="14" t="n">
        <v>159832</v>
      </c>
      <c r="M88" s="13" t="s">
        <v>274</v>
      </c>
    </row>
    <row r="89" customFormat="false" ht="15" hidden="false" customHeight="false" outlineLevel="0" collapsed="false">
      <c r="A89" s="9" t="s">
        <v>275</v>
      </c>
      <c r="B89" s="9" t="s">
        <v>276</v>
      </c>
      <c r="C89" s="9" t="s">
        <v>9</v>
      </c>
      <c r="D89" s="9" t="s">
        <v>41</v>
      </c>
      <c r="E89" s="10" t="s">
        <v>9</v>
      </c>
      <c r="F89" s="9" t="s">
        <v>173</v>
      </c>
      <c r="G89" s="10" t="s">
        <v>174</v>
      </c>
      <c r="H89" s="9" t="s">
        <v>175</v>
      </c>
      <c r="I89" s="9" t="n">
        <v>249</v>
      </c>
      <c r="J89" s="9" t="n">
        <v>124</v>
      </c>
      <c r="K89" s="11" t="n">
        <v>1154356</v>
      </c>
      <c r="L89" s="11" t="n">
        <v>1133835</v>
      </c>
      <c r="M89" s="10"/>
    </row>
    <row r="90" customFormat="false" ht="15" hidden="false" customHeight="false" outlineLevel="0" collapsed="false">
      <c r="A90" s="9" t="s">
        <v>277</v>
      </c>
      <c r="B90" s="9" t="s">
        <v>278</v>
      </c>
      <c r="C90" s="9" t="s">
        <v>9</v>
      </c>
      <c r="D90" s="9" t="s">
        <v>41</v>
      </c>
      <c r="E90" s="10" t="s">
        <v>9</v>
      </c>
      <c r="F90" s="9" t="s">
        <v>173</v>
      </c>
      <c r="G90" s="10" t="s">
        <v>174</v>
      </c>
      <c r="H90" s="9" t="s">
        <v>175</v>
      </c>
      <c r="I90" s="9" t="n">
        <v>303</v>
      </c>
      <c r="J90" s="9" t="n">
        <v>17</v>
      </c>
      <c r="K90" s="11" t="n">
        <v>1145174</v>
      </c>
      <c r="L90" s="11" t="n">
        <v>91577</v>
      </c>
      <c r="M90" s="10"/>
    </row>
    <row r="91" customFormat="false" ht="15" hidden="false" customHeight="false" outlineLevel="0" collapsed="false">
      <c r="A91" s="9" t="s">
        <v>279</v>
      </c>
      <c r="B91" s="9" t="s">
        <v>280</v>
      </c>
      <c r="C91" s="9" t="s">
        <v>9</v>
      </c>
      <c r="D91" s="9" t="s">
        <v>41</v>
      </c>
      <c r="E91" s="10" t="s">
        <v>9</v>
      </c>
      <c r="F91" s="9" t="s">
        <v>178</v>
      </c>
      <c r="G91" s="10" t="s">
        <v>178</v>
      </c>
      <c r="H91" s="9" t="s">
        <v>281</v>
      </c>
      <c r="I91" s="9" t="n">
        <v>166</v>
      </c>
      <c r="J91" s="9" t="n">
        <v>1</v>
      </c>
      <c r="K91" s="11" t="n">
        <v>1126726</v>
      </c>
      <c r="L91" s="11" t="n">
        <v>3481</v>
      </c>
      <c r="M91" s="10"/>
    </row>
    <row r="92" customFormat="false" ht="15" hidden="false" customHeight="false" outlineLevel="0" collapsed="false">
      <c r="A92" s="9" t="s">
        <v>282</v>
      </c>
      <c r="B92" s="9" t="s">
        <v>283</v>
      </c>
      <c r="C92" s="9" t="s">
        <v>9</v>
      </c>
      <c r="D92" s="9" t="s">
        <v>41</v>
      </c>
      <c r="E92" s="10" t="s">
        <v>9</v>
      </c>
      <c r="F92" s="9" t="s">
        <v>213</v>
      </c>
      <c r="G92" s="10" t="s">
        <v>214</v>
      </c>
      <c r="H92" s="9" t="s">
        <v>215</v>
      </c>
      <c r="I92" s="9" t="n">
        <v>82</v>
      </c>
      <c r="J92" s="9" t="n">
        <v>41</v>
      </c>
      <c r="K92" s="11" t="n">
        <v>1114100</v>
      </c>
      <c r="L92" s="11" t="n">
        <v>687760</v>
      </c>
      <c r="M92" s="10"/>
    </row>
    <row r="93" customFormat="false" ht="15" hidden="false" customHeight="false" outlineLevel="0" collapsed="false">
      <c r="A93" s="9" t="s">
        <v>284</v>
      </c>
      <c r="B93" s="9" t="s">
        <v>285</v>
      </c>
      <c r="C93" s="9" t="s">
        <v>9</v>
      </c>
      <c r="D93" s="9" t="s">
        <v>41</v>
      </c>
      <c r="E93" s="10" t="s">
        <v>9</v>
      </c>
      <c r="F93" s="9" t="s">
        <v>286</v>
      </c>
      <c r="G93" s="10" t="s">
        <v>287</v>
      </c>
      <c r="H93" s="9" t="s">
        <v>179</v>
      </c>
      <c r="I93" s="9" t="n">
        <v>260</v>
      </c>
      <c r="J93" s="9" t="n">
        <v>12</v>
      </c>
      <c r="K93" s="11" t="n">
        <v>1057981</v>
      </c>
      <c r="L93" s="11" t="n">
        <v>98112</v>
      </c>
      <c r="M93" s="10"/>
    </row>
    <row r="94" customFormat="false" ht="15" hidden="false" customHeight="false" outlineLevel="0" collapsed="false">
      <c r="A94" s="9" t="s">
        <v>288</v>
      </c>
      <c r="B94" s="9" t="s">
        <v>289</v>
      </c>
      <c r="C94" s="9" t="s">
        <v>9</v>
      </c>
      <c r="D94" s="9" t="s">
        <v>41</v>
      </c>
      <c r="E94" s="10" t="s">
        <v>9</v>
      </c>
      <c r="F94" s="9" t="s">
        <v>173</v>
      </c>
      <c r="G94" s="10" t="s">
        <v>174</v>
      </c>
      <c r="H94" s="9" t="s">
        <v>175</v>
      </c>
      <c r="I94" s="9" t="n">
        <v>103</v>
      </c>
      <c r="J94" s="9" t="n">
        <v>46</v>
      </c>
      <c r="K94" s="11" t="n">
        <v>1057477</v>
      </c>
      <c r="L94" s="11" t="n">
        <v>456985</v>
      </c>
      <c r="M94" s="10"/>
    </row>
    <row r="95" customFormat="false" ht="15" hidden="false" customHeight="false" outlineLevel="0" collapsed="false">
      <c r="A95" s="9" t="s">
        <v>290</v>
      </c>
      <c r="B95" s="9" t="s">
        <v>291</v>
      </c>
      <c r="C95" s="9" t="s">
        <v>9</v>
      </c>
      <c r="D95" s="9" t="s">
        <v>41</v>
      </c>
      <c r="E95" s="10" t="s">
        <v>9</v>
      </c>
      <c r="F95" s="9" t="s">
        <v>213</v>
      </c>
      <c r="G95" s="10" t="s">
        <v>214</v>
      </c>
      <c r="H95" s="9" t="s">
        <v>215</v>
      </c>
      <c r="I95" s="9" t="n">
        <v>179</v>
      </c>
      <c r="J95" s="9" t="n">
        <v>27</v>
      </c>
      <c r="K95" s="11" t="n">
        <v>1010524</v>
      </c>
      <c r="L95" s="11" t="n">
        <v>107229</v>
      </c>
      <c r="M95" s="10"/>
    </row>
    <row r="96" customFormat="false" ht="15" hidden="false" customHeight="false" outlineLevel="0" collapsed="false">
      <c r="A96" s="9" t="s">
        <v>292</v>
      </c>
      <c r="B96" s="9" t="s">
        <v>293</v>
      </c>
      <c r="C96" s="9" t="s">
        <v>9</v>
      </c>
      <c r="D96" s="9" t="s">
        <v>41</v>
      </c>
      <c r="E96" s="10" t="s">
        <v>9</v>
      </c>
      <c r="F96" s="9" t="s">
        <v>245</v>
      </c>
      <c r="G96" s="10" t="s">
        <v>246</v>
      </c>
      <c r="H96" s="9" t="s">
        <v>179</v>
      </c>
      <c r="I96" s="9" t="n">
        <v>188</v>
      </c>
      <c r="J96" s="9" t="n">
        <v>53</v>
      </c>
      <c r="K96" s="11" t="n">
        <v>1006455</v>
      </c>
      <c r="L96" s="11" t="n">
        <v>215116</v>
      </c>
      <c r="M96" s="10"/>
    </row>
    <row r="97" customFormat="false" ht="15" hidden="false" customHeight="false" outlineLevel="0" collapsed="false">
      <c r="A97" s="9" t="s">
        <v>294</v>
      </c>
      <c r="B97" s="9" t="s">
        <v>295</v>
      </c>
      <c r="C97" s="9" t="s">
        <v>9</v>
      </c>
      <c r="D97" s="9" t="s">
        <v>41</v>
      </c>
      <c r="E97" s="10" t="s">
        <v>9</v>
      </c>
      <c r="F97" s="9" t="s">
        <v>195</v>
      </c>
      <c r="G97" s="10" t="s">
        <v>196</v>
      </c>
      <c r="H97" s="9" t="s">
        <v>197</v>
      </c>
      <c r="I97" s="9" t="n">
        <v>152</v>
      </c>
      <c r="J97" s="9" t="n">
        <v>187</v>
      </c>
      <c r="K97" s="11" t="n">
        <v>983386</v>
      </c>
      <c r="L97" s="11" t="n">
        <v>1673846</v>
      </c>
      <c r="M97" s="10"/>
    </row>
    <row r="98" customFormat="false" ht="15" hidden="false" customHeight="false" outlineLevel="0" collapsed="false">
      <c r="A98" s="9" t="s">
        <v>296</v>
      </c>
      <c r="B98" s="9" t="s">
        <v>297</v>
      </c>
      <c r="C98" s="9" t="s">
        <v>9</v>
      </c>
      <c r="D98" s="9" t="s">
        <v>41</v>
      </c>
      <c r="E98" s="10" t="s">
        <v>9</v>
      </c>
      <c r="F98" s="9" t="s">
        <v>235</v>
      </c>
      <c r="G98" s="10" t="s">
        <v>236</v>
      </c>
      <c r="H98" s="9" t="s">
        <v>179</v>
      </c>
      <c r="I98" s="9" t="n">
        <v>201</v>
      </c>
      <c r="J98" s="9" t="n">
        <v>0</v>
      </c>
      <c r="K98" s="11" t="n">
        <v>969273</v>
      </c>
      <c r="L98" s="11" t="n">
        <v>0</v>
      </c>
      <c r="M98" s="10"/>
    </row>
    <row r="99" customFormat="false" ht="15" hidden="false" customHeight="false" outlineLevel="0" collapsed="false">
      <c r="A99" s="9" t="s">
        <v>298</v>
      </c>
      <c r="B99" s="9" t="s">
        <v>299</v>
      </c>
      <c r="C99" s="9" t="s">
        <v>9</v>
      </c>
      <c r="D99" s="9" t="s">
        <v>41</v>
      </c>
      <c r="E99" s="10" t="s">
        <v>9</v>
      </c>
      <c r="F99" s="9" t="s">
        <v>178</v>
      </c>
      <c r="G99" s="10" t="s">
        <v>178</v>
      </c>
      <c r="H99" s="9" t="s">
        <v>197</v>
      </c>
      <c r="I99" s="9" t="n">
        <v>86</v>
      </c>
      <c r="J99" s="9" t="n">
        <v>8</v>
      </c>
      <c r="K99" s="11" t="n">
        <v>957941</v>
      </c>
      <c r="L99" s="11" t="n">
        <v>103406</v>
      </c>
      <c r="M99" s="10"/>
    </row>
    <row r="100" customFormat="false" ht="15" hidden="false" customHeight="false" outlineLevel="0" collapsed="false">
      <c r="A100" s="9" t="s">
        <v>300</v>
      </c>
      <c r="B100" s="9" t="s">
        <v>301</v>
      </c>
      <c r="C100" s="9" t="s">
        <v>9</v>
      </c>
      <c r="D100" s="9" t="s">
        <v>41</v>
      </c>
      <c r="E100" s="10" t="s">
        <v>9</v>
      </c>
      <c r="F100" s="9" t="s">
        <v>208</v>
      </c>
      <c r="G100" s="10" t="s">
        <v>302</v>
      </c>
      <c r="H100" s="9" t="s">
        <v>210</v>
      </c>
      <c r="I100" s="9" t="n">
        <v>220</v>
      </c>
      <c r="J100" s="9" t="n">
        <v>8</v>
      </c>
      <c r="K100" s="11" t="n">
        <v>948367</v>
      </c>
      <c r="L100" s="11" t="n">
        <v>37727</v>
      </c>
      <c r="M100" s="10"/>
    </row>
    <row r="101" customFormat="false" ht="15" hidden="false" customHeight="false" outlineLevel="0" collapsed="false">
      <c r="A101" s="9" t="s">
        <v>303</v>
      </c>
      <c r="B101" s="9" t="s">
        <v>304</v>
      </c>
      <c r="C101" s="9" t="s">
        <v>9</v>
      </c>
      <c r="D101" s="9" t="s">
        <v>41</v>
      </c>
      <c r="E101" s="10" t="s">
        <v>9</v>
      </c>
      <c r="F101" s="9" t="s">
        <v>178</v>
      </c>
      <c r="G101" s="10" t="s">
        <v>178</v>
      </c>
      <c r="H101" s="9" t="s">
        <v>305</v>
      </c>
      <c r="I101" s="9" t="n">
        <v>185</v>
      </c>
      <c r="J101" s="9" t="n">
        <v>0</v>
      </c>
      <c r="K101" s="11" t="n">
        <v>936207</v>
      </c>
      <c r="L101" s="11" t="n">
        <v>0</v>
      </c>
      <c r="M101" s="10"/>
    </row>
    <row r="102" customFormat="false" ht="15" hidden="false" customHeight="false" outlineLevel="0" collapsed="false">
      <c r="A102" s="9" t="s">
        <v>306</v>
      </c>
      <c r="B102" s="9" t="s">
        <v>307</v>
      </c>
      <c r="C102" s="9" t="s">
        <v>9</v>
      </c>
      <c r="D102" s="9" t="s">
        <v>41</v>
      </c>
      <c r="E102" s="10" t="s">
        <v>9</v>
      </c>
      <c r="F102" s="9" t="s">
        <v>286</v>
      </c>
      <c r="G102" s="10" t="s">
        <v>287</v>
      </c>
      <c r="H102" s="9" t="s">
        <v>179</v>
      </c>
      <c r="I102" s="9" t="n">
        <v>93</v>
      </c>
      <c r="J102" s="9" t="n">
        <v>36</v>
      </c>
      <c r="K102" s="11" t="n">
        <v>872040</v>
      </c>
      <c r="L102" s="11" t="n">
        <v>383027</v>
      </c>
      <c r="M102" s="10"/>
    </row>
    <row r="103" customFormat="false" ht="15" hidden="false" customHeight="false" outlineLevel="0" collapsed="false">
      <c r="A103" s="9" t="s">
        <v>308</v>
      </c>
      <c r="B103" s="9" t="s">
        <v>309</v>
      </c>
      <c r="C103" s="9" t="s">
        <v>9</v>
      </c>
      <c r="D103" s="9" t="s">
        <v>41</v>
      </c>
      <c r="E103" s="10" t="s">
        <v>9</v>
      </c>
      <c r="F103" s="9" t="s">
        <v>241</v>
      </c>
      <c r="G103" s="10" t="s">
        <v>241</v>
      </c>
      <c r="H103" s="9" t="s">
        <v>242</v>
      </c>
      <c r="I103" s="9" t="n">
        <v>206</v>
      </c>
      <c r="J103" s="9" t="n">
        <v>65</v>
      </c>
      <c r="K103" s="11" t="n">
        <v>869195</v>
      </c>
      <c r="L103" s="11" t="n">
        <v>326135</v>
      </c>
      <c r="M103" s="10"/>
    </row>
    <row r="104" customFormat="false" ht="15" hidden="false" customHeight="false" outlineLevel="0" collapsed="false">
      <c r="A104" s="9" t="s">
        <v>310</v>
      </c>
      <c r="B104" s="9" t="s">
        <v>311</v>
      </c>
      <c r="C104" s="9" t="s">
        <v>9</v>
      </c>
      <c r="D104" s="9" t="s">
        <v>41</v>
      </c>
      <c r="E104" s="10" t="s">
        <v>9</v>
      </c>
      <c r="F104" s="9" t="s">
        <v>241</v>
      </c>
      <c r="G104" s="10" t="s">
        <v>241</v>
      </c>
      <c r="H104" s="9" t="s">
        <v>271</v>
      </c>
      <c r="I104" s="9" t="n">
        <v>214</v>
      </c>
      <c r="J104" s="9" t="n">
        <v>84</v>
      </c>
      <c r="K104" s="11" t="n">
        <v>749625</v>
      </c>
      <c r="L104" s="11" t="n">
        <v>369412</v>
      </c>
      <c r="M104" s="10"/>
    </row>
    <row r="105" customFormat="false" ht="15" hidden="false" customHeight="false" outlineLevel="0" collapsed="false">
      <c r="A105" s="9" t="s">
        <v>312</v>
      </c>
      <c r="B105" s="9" t="s">
        <v>313</v>
      </c>
      <c r="C105" s="9" t="s">
        <v>9</v>
      </c>
      <c r="D105" s="9" t="s">
        <v>41</v>
      </c>
      <c r="E105" s="10" t="s">
        <v>9</v>
      </c>
      <c r="F105" s="9" t="s">
        <v>178</v>
      </c>
      <c r="G105" s="10" t="s">
        <v>178</v>
      </c>
      <c r="H105" s="9" t="s">
        <v>314</v>
      </c>
      <c r="I105" s="9" t="n">
        <v>50</v>
      </c>
      <c r="J105" s="9" t="n">
        <v>0</v>
      </c>
      <c r="K105" s="11" t="n">
        <v>701389</v>
      </c>
      <c r="L105" s="11" t="n">
        <v>0</v>
      </c>
      <c r="M105" s="10"/>
    </row>
    <row r="106" customFormat="false" ht="15" hidden="false" customHeight="false" outlineLevel="0" collapsed="false">
      <c r="A106" s="9" t="s">
        <v>315</v>
      </c>
      <c r="B106" s="9" t="s">
        <v>316</v>
      </c>
      <c r="C106" s="9" t="s">
        <v>9</v>
      </c>
      <c r="D106" s="9" t="s">
        <v>41</v>
      </c>
      <c r="E106" s="10" t="s">
        <v>9</v>
      </c>
      <c r="F106" s="9" t="s">
        <v>241</v>
      </c>
      <c r="G106" s="10" t="s">
        <v>241</v>
      </c>
      <c r="H106" s="9" t="s">
        <v>271</v>
      </c>
      <c r="I106" s="9" t="n">
        <v>117</v>
      </c>
      <c r="J106" s="9" t="n">
        <v>25</v>
      </c>
      <c r="K106" s="11" t="n">
        <v>640389</v>
      </c>
      <c r="L106" s="11" t="n">
        <v>91116</v>
      </c>
      <c r="M106" s="10"/>
    </row>
    <row r="107" customFormat="false" ht="15" hidden="false" customHeight="false" outlineLevel="0" collapsed="false">
      <c r="A107" s="9" t="s">
        <v>317</v>
      </c>
      <c r="B107" s="9" t="s">
        <v>318</v>
      </c>
      <c r="C107" s="9" t="s">
        <v>9</v>
      </c>
      <c r="D107" s="9" t="s">
        <v>41</v>
      </c>
      <c r="E107" s="10" t="s">
        <v>9</v>
      </c>
      <c r="F107" s="9" t="s">
        <v>178</v>
      </c>
      <c r="G107" s="10" t="s">
        <v>178</v>
      </c>
      <c r="H107" s="9" t="s">
        <v>271</v>
      </c>
      <c r="I107" s="9" t="n">
        <v>61</v>
      </c>
      <c r="J107" s="9" t="n">
        <v>67</v>
      </c>
      <c r="K107" s="11" t="n">
        <v>571918</v>
      </c>
      <c r="L107" s="11" t="n">
        <v>450716</v>
      </c>
      <c r="M107" s="10"/>
    </row>
    <row r="108" customFormat="false" ht="15" hidden="false" customHeight="false" outlineLevel="0" collapsed="false">
      <c r="A108" s="9" t="s">
        <v>319</v>
      </c>
      <c r="B108" s="9" t="s">
        <v>320</v>
      </c>
      <c r="C108" s="9" t="s">
        <v>9</v>
      </c>
      <c r="D108" s="9" t="s">
        <v>61</v>
      </c>
      <c r="E108" s="10"/>
      <c r="F108" s="9" t="s">
        <v>173</v>
      </c>
      <c r="G108" s="10" t="s">
        <v>174</v>
      </c>
      <c r="H108" s="9" t="s">
        <v>175</v>
      </c>
      <c r="I108" s="9" t="n">
        <v>174</v>
      </c>
      <c r="J108" s="9" t="n">
        <v>0</v>
      </c>
      <c r="K108" s="11" t="n">
        <v>565657</v>
      </c>
      <c r="L108" s="11" t="n">
        <v>0</v>
      </c>
      <c r="M108" s="10"/>
    </row>
    <row r="109" customFormat="false" ht="15" hidden="false" customHeight="false" outlineLevel="0" collapsed="false">
      <c r="A109" s="9" t="s">
        <v>321</v>
      </c>
      <c r="B109" s="9" t="s">
        <v>322</v>
      </c>
      <c r="C109" s="9" t="s">
        <v>9</v>
      </c>
      <c r="D109" s="9" t="s">
        <v>41</v>
      </c>
      <c r="E109" s="10" t="s">
        <v>9</v>
      </c>
      <c r="F109" s="9" t="s">
        <v>239</v>
      </c>
      <c r="G109" s="10" t="s">
        <v>323</v>
      </c>
      <c r="H109" s="9" t="s">
        <v>242</v>
      </c>
      <c r="I109" s="9" t="n">
        <v>93</v>
      </c>
      <c r="J109" s="9" t="n">
        <v>5</v>
      </c>
      <c r="K109" s="11" t="n">
        <v>470237</v>
      </c>
      <c r="L109" s="11" t="n">
        <v>95363</v>
      </c>
      <c r="M109" s="10"/>
    </row>
    <row r="110" customFormat="false" ht="15" hidden="false" customHeight="false" outlineLevel="0" collapsed="false">
      <c r="A110" s="9" t="s">
        <v>324</v>
      </c>
      <c r="B110" s="9" t="s">
        <v>325</v>
      </c>
      <c r="C110" s="9" t="s">
        <v>9</v>
      </c>
      <c r="D110" s="9" t="s">
        <v>41</v>
      </c>
      <c r="E110" s="10" t="s">
        <v>9</v>
      </c>
      <c r="F110" s="9" t="s">
        <v>241</v>
      </c>
      <c r="G110" s="10" t="s">
        <v>241</v>
      </c>
      <c r="H110" s="9" t="s">
        <v>242</v>
      </c>
      <c r="I110" s="9" t="n">
        <v>78</v>
      </c>
      <c r="J110" s="9" t="n">
        <v>22</v>
      </c>
      <c r="K110" s="11" t="n">
        <v>312837</v>
      </c>
      <c r="L110" s="11" t="n">
        <v>193413</v>
      </c>
      <c r="M110" s="10"/>
    </row>
    <row r="111" customFormat="false" ht="15" hidden="false" customHeight="false" outlineLevel="0" collapsed="false">
      <c r="A111" s="9" t="s">
        <v>326</v>
      </c>
      <c r="B111" s="9" t="s">
        <v>327</v>
      </c>
      <c r="C111" s="9" t="s">
        <v>9</v>
      </c>
      <c r="D111" s="9" t="s">
        <v>41</v>
      </c>
      <c r="E111" s="10" t="s">
        <v>9</v>
      </c>
      <c r="F111" s="9" t="s">
        <v>245</v>
      </c>
      <c r="G111" s="10" t="s">
        <v>246</v>
      </c>
      <c r="H111" s="9" t="s">
        <v>179</v>
      </c>
      <c r="I111" s="9" t="n">
        <v>2</v>
      </c>
      <c r="J111" s="9" t="n">
        <v>2</v>
      </c>
      <c r="K111" s="11" t="n">
        <v>70512</v>
      </c>
      <c r="L111" s="11" t="n">
        <v>282100</v>
      </c>
      <c r="M111" s="10"/>
    </row>
    <row r="112" customFormat="false" ht="15" hidden="false" customHeight="false" outlineLevel="0" collapsed="false">
      <c r="A112" s="9" t="s">
        <v>328</v>
      </c>
      <c r="B112" s="9" t="s">
        <v>329</v>
      </c>
      <c r="C112" s="9" t="s">
        <v>9</v>
      </c>
      <c r="D112" s="9" t="s">
        <v>41</v>
      </c>
      <c r="E112" s="10" t="s">
        <v>9</v>
      </c>
      <c r="F112" s="9" t="s">
        <v>186</v>
      </c>
      <c r="G112" s="10" t="s">
        <v>251</v>
      </c>
      <c r="H112" s="9" t="s">
        <v>175</v>
      </c>
      <c r="I112" s="9" t="n">
        <v>7</v>
      </c>
      <c r="J112" s="9" t="n">
        <v>5</v>
      </c>
      <c r="K112" s="11" t="n">
        <v>69026</v>
      </c>
      <c r="L112" s="11" t="n">
        <v>62881</v>
      </c>
      <c r="M112" s="10"/>
    </row>
    <row r="113" customFormat="false" ht="15" hidden="false" customHeight="false" outlineLevel="0" collapsed="false">
      <c r="A113" s="9" t="s">
        <v>330</v>
      </c>
      <c r="B113" s="9" t="s">
        <v>331</v>
      </c>
      <c r="C113" s="9" t="s">
        <v>9</v>
      </c>
      <c r="D113" s="9" t="s">
        <v>41</v>
      </c>
      <c r="E113" s="10" t="s">
        <v>9</v>
      </c>
      <c r="F113" s="9" t="s">
        <v>213</v>
      </c>
      <c r="G113" s="10" t="s">
        <v>214</v>
      </c>
      <c r="H113" s="9" t="s">
        <v>215</v>
      </c>
      <c r="I113" s="9" t="n">
        <v>5</v>
      </c>
      <c r="J113" s="9" t="n">
        <v>2</v>
      </c>
      <c r="K113" s="11" t="n">
        <v>9206</v>
      </c>
      <c r="L113" s="11" t="n">
        <v>33084</v>
      </c>
      <c r="M113" s="10"/>
    </row>
    <row r="114" customFormat="false" ht="15" hidden="false" customHeight="false" outlineLevel="0" collapsed="false">
      <c r="A114" s="9" t="s">
        <v>200</v>
      </c>
      <c r="B114" s="9" t="s">
        <v>332</v>
      </c>
      <c r="C114" s="9" t="s">
        <v>9</v>
      </c>
      <c r="D114" s="9" t="s">
        <v>41</v>
      </c>
      <c r="E114" s="10" t="s">
        <v>9</v>
      </c>
      <c r="F114" s="9" t="s">
        <v>178</v>
      </c>
      <c r="G114" s="10" t="s">
        <v>178</v>
      </c>
      <c r="H114" s="9" t="s">
        <v>179</v>
      </c>
      <c r="I114" s="9" t="n">
        <v>0</v>
      </c>
      <c r="J114" s="9" t="n">
        <v>5</v>
      </c>
      <c r="K114" s="11" t="n">
        <v>0</v>
      </c>
      <c r="L114" s="11" t="n">
        <v>283139</v>
      </c>
      <c r="M114" s="10"/>
    </row>
    <row r="115" customFormat="false" ht="15" hidden="false" customHeight="false" outlineLevel="0" collapsed="false">
      <c r="A115" s="9" t="s">
        <v>333</v>
      </c>
      <c r="B115" s="9" t="s">
        <v>334</v>
      </c>
      <c r="C115" s="9" t="s">
        <v>9</v>
      </c>
      <c r="D115" s="9" t="s">
        <v>61</v>
      </c>
      <c r="E115" s="10"/>
      <c r="F115" s="9" t="s">
        <v>219</v>
      </c>
      <c r="G115" s="10" t="s">
        <v>335</v>
      </c>
      <c r="H115" s="9" t="s">
        <v>179</v>
      </c>
      <c r="I115" s="9" t="n">
        <v>0</v>
      </c>
      <c r="J115" s="9" t="n">
        <v>11</v>
      </c>
      <c r="K115" s="11" t="n">
        <v>0</v>
      </c>
      <c r="L115" s="11" t="n">
        <v>55727</v>
      </c>
      <c r="M115" s="10"/>
    </row>
    <row r="116" customFormat="false" ht="15" hidden="false" customHeight="false" outlineLevel="0" collapsed="false">
      <c r="A116" s="9" t="s">
        <v>336</v>
      </c>
      <c r="B116" s="9" t="s">
        <v>337</v>
      </c>
      <c r="C116" s="9" t="s">
        <v>16</v>
      </c>
      <c r="D116" s="9" t="s">
        <v>41</v>
      </c>
      <c r="E116" s="10" t="s">
        <v>16</v>
      </c>
      <c r="F116" s="9" t="s">
        <v>338</v>
      </c>
      <c r="G116" s="10" t="s">
        <v>338</v>
      </c>
      <c r="H116" s="9" t="s">
        <v>339</v>
      </c>
      <c r="I116" s="9" t="n">
        <v>226</v>
      </c>
      <c r="J116" s="9" t="n">
        <v>108</v>
      </c>
      <c r="K116" s="11" t="n">
        <v>655925</v>
      </c>
      <c r="L116" s="11" t="n">
        <v>275000</v>
      </c>
      <c r="M116" s="10"/>
    </row>
    <row r="117" customFormat="false" ht="15" hidden="false" customHeight="false" outlineLevel="0" collapsed="false">
      <c r="A117" s="9" t="s">
        <v>340</v>
      </c>
      <c r="B117" s="9" t="s">
        <v>341</v>
      </c>
      <c r="C117" s="9" t="s">
        <v>16</v>
      </c>
      <c r="D117" s="9" t="s">
        <v>41</v>
      </c>
      <c r="E117" s="10" t="s">
        <v>16</v>
      </c>
      <c r="F117" s="9" t="s">
        <v>338</v>
      </c>
      <c r="G117" s="10" t="s">
        <v>338</v>
      </c>
      <c r="H117" s="9" t="s">
        <v>339</v>
      </c>
      <c r="I117" s="9" t="n">
        <v>252</v>
      </c>
      <c r="J117" s="9" t="n">
        <v>90</v>
      </c>
      <c r="K117" s="11" t="n">
        <v>634610</v>
      </c>
      <c r="L117" s="11" t="n">
        <v>245711</v>
      </c>
      <c r="M117" s="10"/>
    </row>
    <row r="118" customFormat="false" ht="15" hidden="false" customHeight="false" outlineLevel="0" collapsed="false">
      <c r="A118" s="9" t="s">
        <v>342</v>
      </c>
      <c r="B118" s="9" t="s">
        <v>343</v>
      </c>
      <c r="C118" s="9" t="s">
        <v>16</v>
      </c>
      <c r="D118" s="9" t="s">
        <v>41</v>
      </c>
      <c r="E118" s="10" t="s">
        <v>344</v>
      </c>
      <c r="F118" s="9" t="s">
        <v>338</v>
      </c>
      <c r="G118" s="10" t="s">
        <v>338</v>
      </c>
      <c r="H118" s="9" t="s">
        <v>345</v>
      </c>
      <c r="I118" s="9" t="n">
        <v>14</v>
      </c>
      <c r="J118" s="9" t="n">
        <v>0</v>
      </c>
      <c r="K118" s="11" t="n">
        <v>114309</v>
      </c>
      <c r="L118" s="11" t="n">
        <v>0</v>
      </c>
      <c r="M118" s="10"/>
    </row>
    <row r="119" customFormat="false" ht="15" hidden="false" customHeight="false" outlineLevel="0" collapsed="false">
      <c r="A119" s="9" t="s">
        <v>346</v>
      </c>
      <c r="B119" s="9" t="s">
        <v>347</v>
      </c>
      <c r="C119" s="9" t="s">
        <v>15</v>
      </c>
      <c r="D119" s="9" t="s">
        <v>41</v>
      </c>
      <c r="E119" s="10" t="s">
        <v>15</v>
      </c>
      <c r="F119" s="9" t="s">
        <v>348</v>
      </c>
      <c r="G119" s="10" t="s">
        <v>348</v>
      </c>
      <c r="H119" s="9" t="s">
        <v>349</v>
      </c>
      <c r="I119" s="9" t="n">
        <v>112</v>
      </c>
      <c r="J119" s="9" t="n">
        <v>48</v>
      </c>
      <c r="K119" s="11" t="n">
        <v>787058</v>
      </c>
      <c r="L119" s="11" t="n">
        <v>420834</v>
      </c>
      <c r="M119" s="10"/>
    </row>
    <row r="120" customFormat="false" ht="15" hidden="false" customHeight="false" outlineLevel="0" collapsed="false">
      <c r="A120" s="9" t="s">
        <v>350</v>
      </c>
      <c r="B120" s="9" t="s">
        <v>351</v>
      </c>
      <c r="C120" s="9" t="s">
        <v>15</v>
      </c>
      <c r="D120" s="9" t="s">
        <v>41</v>
      </c>
      <c r="E120" s="10" t="s">
        <v>15</v>
      </c>
      <c r="F120" s="9" t="s">
        <v>348</v>
      </c>
      <c r="G120" s="10" t="s">
        <v>348</v>
      </c>
      <c r="H120" s="9" t="s">
        <v>349</v>
      </c>
      <c r="I120" s="9" t="n">
        <v>150</v>
      </c>
      <c r="J120" s="9" t="n">
        <v>11</v>
      </c>
      <c r="K120" s="11" t="n">
        <v>469241</v>
      </c>
      <c r="L120" s="11" t="n">
        <v>54126</v>
      </c>
      <c r="M120" s="10"/>
    </row>
    <row r="121" customFormat="false" ht="15" hidden="false" customHeight="false" outlineLevel="0" collapsed="false">
      <c r="A121" s="9" t="s">
        <v>352</v>
      </c>
      <c r="B121" s="9" t="s">
        <v>353</v>
      </c>
      <c r="C121" s="9" t="s">
        <v>15</v>
      </c>
      <c r="D121" s="9" t="s">
        <v>41</v>
      </c>
      <c r="E121" s="10" t="s">
        <v>15</v>
      </c>
      <c r="F121" s="9" t="s">
        <v>348</v>
      </c>
      <c r="G121" s="10" t="s">
        <v>348</v>
      </c>
      <c r="H121" s="9" t="s">
        <v>349</v>
      </c>
      <c r="I121" s="9" t="n">
        <v>116</v>
      </c>
      <c r="J121" s="9" t="n">
        <v>67</v>
      </c>
      <c r="K121" s="11" t="n">
        <v>466377</v>
      </c>
      <c r="L121" s="11" t="n">
        <v>256882</v>
      </c>
      <c r="M121" s="10"/>
    </row>
    <row r="122" customFormat="false" ht="15" hidden="false" customHeight="false" outlineLevel="0" collapsed="false">
      <c r="A122" s="9" t="s">
        <v>354</v>
      </c>
      <c r="B122" s="9" t="s">
        <v>355</v>
      </c>
      <c r="C122" s="9" t="s">
        <v>10</v>
      </c>
      <c r="D122" s="9" t="s">
        <v>41</v>
      </c>
      <c r="E122" s="10" t="s">
        <v>10</v>
      </c>
      <c r="F122" s="9" t="s">
        <v>356</v>
      </c>
      <c r="G122" s="10" t="s">
        <v>356</v>
      </c>
      <c r="H122" s="9" t="s">
        <v>357</v>
      </c>
      <c r="I122" s="9" t="n">
        <v>593</v>
      </c>
      <c r="J122" s="9" t="n">
        <v>337</v>
      </c>
      <c r="K122" s="11" t="n">
        <v>4899721</v>
      </c>
      <c r="L122" s="11" t="n">
        <v>1997046</v>
      </c>
      <c r="M122" s="10"/>
    </row>
    <row r="123" customFormat="false" ht="15" hidden="false" customHeight="false" outlineLevel="0" collapsed="false">
      <c r="A123" s="9" t="s">
        <v>358</v>
      </c>
      <c r="B123" s="9" t="s">
        <v>359</v>
      </c>
      <c r="C123" s="9" t="s">
        <v>10</v>
      </c>
      <c r="D123" s="9" t="s">
        <v>41</v>
      </c>
      <c r="E123" s="10" t="s">
        <v>10</v>
      </c>
      <c r="F123" s="9" t="s">
        <v>356</v>
      </c>
      <c r="G123" s="10" t="s">
        <v>356</v>
      </c>
      <c r="H123" s="9" t="s">
        <v>357</v>
      </c>
      <c r="I123" s="9" t="n">
        <v>701</v>
      </c>
      <c r="J123" s="9" t="n">
        <v>0</v>
      </c>
      <c r="K123" s="11" t="n">
        <v>3082678</v>
      </c>
      <c r="L123" s="11" t="n">
        <v>0</v>
      </c>
      <c r="M123" s="10"/>
    </row>
    <row r="124" customFormat="false" ht="15" hidden="false" customHeight="false" outlineLevel="0" collapsed="false">
      <c r="A124" s="9" t="s">
        <v>360</v>
      </c>
      <c r="B124" s="9" t="s">
        <v>361</v>
      </c>
      <c r="C124" s="9" t="s">
        <v>10</v>
      </c>
      <c r="D124" s="9" t="s">
        <v>41</v>
      </c>
      <c r="E124" s="10" t="s">
        <v>10</v>
      </c>
      <c r="F124" s="9" t="s">
        <v>356</v>
      </c>
      <c r="G124" s="10" t="s">
        <v>356</v>
      </c>
      <c r="H124" s="9" t="s">
        <v>362</v>
      </c>
      <c r="I124" s="9" t="n">
        <v>450</v>
      </c>
      <c r="J124" s="9" t="n">
        <v>16</v>
      </c>
      <c r="K124" s="11" t="n">
        <v>2921985</v>
      </c>
      <c r="L124" s="11" t="n">
        <v>92517</v>
      </c>
      <c r="M124" s="10"/>
    </row>
    <row r="125" customFormat="false" ht="15" hidden="false" customHeight="false" outlineLevel="0" collapsed="false">
      <c r="A125" s="9" t="s">
        <v>363</v>
      </c>
      <c r="B125" s="9" t="s">
        <v>364</v>
      </c>
      <c r="C125" s="9" t="s">
        <v>10</v>
      </c>
      <c r="D125" s="9" t="s">
        <v>41</v>
      </c>
      <c r="E125" s="10" t="s">
        <v>10</v>
      </c>
      <c r="F125" s="9" t="s">
        <v>356</v>
      </c>
      <c r="G125" s="10" t="s">
        <v>356</v>
      </c>
      <c r="H125" s="9" t="s">
        <v>43</v>
      </c>
      <c r="I125" s="9" t="n">
        <v>669</v>
      </c>
      <c r="J125" s="9" t="n">
        <v>147</v>
      </c>
      <c r="K125" s="11" t="n">
        <v>2307520</v>
      </c>
      <c r="L125" s="11" t="n">
        <v>595158</v>
      </c>
      <c r="M125" s="10"/>
    </row>
    <row r="126" customFormat="false" ht="15" hidden="false" customHeight="false" outlineLevel="0" collapsed="false">
      <c r="A126" s="9" t="s">
        <v>365</v>
      </c>
      <c r="B126" s="9" t="s">
        <v>366</v>
      </c>
      <c r="C126" s="9" t="s">
        <v>10</v>
      </c>
      <c r="D126" s="9" t="s">
        <v>41</v>
      </c>
      <c r="E126" s="10" t="s">
        <v>10</v>
      </c>
      <c r="F126" s="9" t="s">
        <v>356</v>
      </c>
      <c r="G126" s="10" t="s">
        <v>356</v>
      </c>
      <c r="H126" s="9" t="s">
        <v>367</v>
      </c>
      <c r="I126" s="9" t="n">
        <v>505</v>
      </c>
      <c r="J126" s="9" t="n">
        <v>135</v>
      </c>
      <c r="K126" s="11" t="n">
        <v>2222581</v>
      </c>
      <c r="L126" s="11" t="n">
        <v>502641</v>
      </c>
      <c r="M126" s="10"/>
    </row>
    <row r="127" customFormat="false" ht="15" hidden="false" customHeight="false" outlineLevel="0" collapsed="false">
      <c r="A127" s="9" t="s">
        <v>368</v>
      </c>
      <c r="B127" s="9" t="s">
        <v>369</v>
      </c>
      <c r="C127" s="9" t="s">
        <v>10</v>
      </c>
      <c r="D127" s="9" t="s">
        <v>41</v>
      </c>
      <c r="E127" s="10" t="s">
        <v>10</v>
      </c>
      <c r="F127" s="9" t="s">
        <v>354</v>
      </c>
      <c r="G127" s="10" t="s">
        <v>370</v>
      </c>
      <c r="H127" s="9" t="s">
        <v>357</v>
      </c>
      <c r="I127" s="9" t="n">
        <v>703</v>
      </c>
      <c r="J127" s="9" t="n">
        <v>286</v>
      </c>
      <c r="K127" s="11" t="n">
        <v>2198209</v>
      </c>
      <c r="L127" s="11" t="n">
        <v>1105581</v>
      </c>
      <c r="M127" s="10"/>
    </row>
    <row r="128" customFormat="false" ht="15" hidden="false" customHeight="false" outlineLevel="0" collapsed="false">
      <c r="A128" s="9" t="s">
        <v>371</v>
      </c>
      <c r="B128" s="9" t="s">
        <v>372</v>
      </c>
      <c r="C128" s="9" t="s">
        <v>10</v>
      </c>
      <c r="D128" s="9" t="s">
        <v>41</v>
      </c>
      <c r="E128" s="10" t="s">
        <v>10</v>
      </c>
      <c r="F128" s="9" t="s">
        <v>356</v>
      </c>
      <c r="G128" s="10" t="s">
        <v>356</v>
      </c>
      <c r="H128" s="9" t="s">
        <v>43</v>
      </c>
      <c r="I128" s="9" t="n">
        <v>175</v>
      </c>
      <c r="J128" s="9" t="n">
        <v>57</v>
      </c>
      <c r="K128" s="11" t="n">
        <v>1989015</v>
      </c>
      <c r="L128" s="11" t="n">
        <v>444804</v>
      </c>
      <c r="M128" s="10"/>
    </row>
    <row r="129" customFormat="false" ht="15" hidden="false" customHeight="false" outlineLevel="0" collapsed="false">
      <c r="A129" s="9" t="s">
        <v>373</v>
      </c>
      <c r="B129" s="9" t="s">
        <v>374</v>
      </c>
      <c r="C129" s="9" t="s">
        <v>10</v>
      </c>
      <c r="D129" s="9" t="s">
        <v>41</v>
      </c>
      <c r="E129" s="10" t="s">
        <v>10</v>
      </c>
      <c r="F129" s="9" t="s">
        <v>360</v>
      </c>
      <c r="G129" s="10" t="s">
        <v>375</v>
      </c>
      <c r="H129" s="9" t="s">
        <v>43</v>
      </c>
      <c r="I129" s="9" t="n">
        <v>270</v>
      </c>
      <c r="J129" s="9" t="n">
        <v>0</v>
      </c>
      <c r="K129" s="11" t="n">
        <v>1736804</v>
      </c>
      <c r="L129" s="11" t="n">
        <v>0</v>
      </c>
      <c r="M129" s="10"/>
    </row>
    <row r="130" customFormat="false" ht="15" hidden="false" customHeight="false" outlineLevel="0" collapsed="false">
      <c r="A130" s="9" t="s">
        <v>376</v>
      </c>
      <c r="B130" s="9" t="s">
        <v>377</v>
      </c>
      <c r="C130" s="9" t="s">
        <v>10</v>
      </c>
      <c r="D130" s="9" t="s">
        <v>41</v>
      </c>
      <c r="E130" s="10" t="s">
        <v>10</v>
      </c>
      <c r="F130" s="9" t="s">
        <v>356</v>
      </c>
      <c r="G130" s="10" t="s">
        <v>356</v>
      </c>
      <c r="H130" s="9" t="s">
        <v>43</v>
      </c>
      <c r="I130" s="9" t="n">
        <v>252</v>
      </c>
      <c r="J130" s="9" t="n">
        <v>28</v>
      </c>
      <c r="K130" s="11" t="n">
        <v>1410373</v>
      </c>
      <c r="L130" s="11" t="n">
        <v>224810</v>
      </c>
      <c r="M130" s="10"/>
    </row>
    <row r="131" customFormat="false" ht="15" hidden="false" customHeight="false" outlineLevel="0" collapsed="false">
      <c r="A131" s="9" t="s">
        <v>378</v>
      </c>
      <c r="B131" s="9" t="s">
        <v>379</v>
      </c>
      <c r="C131" s="9" t="s">
        <v>10</v>
      </c>
      <c r="D131" s="9" t="s">
        <v>41</v>
      </c>
      <c r="E131" s="10" t="s">
        <v>10</v>
      </c>
      <c r="F131" s="9" t="s">
        <v>380</v>
      </c>
      <c r="G131" s="10" t="s">
        <v>381</v>
      </c>
      <c r="H131" s="9" t="s">
        <v>43</v>
      </c>
      <c r="I131" s="9" t="n">
        <v>306</v>
      </c>
      <c r="J131" s="9" t="n">
        <v>0</v>
      </c>
      <c r="K131" s="11" t="n">
        <v>1248638</v>
      </c>
      <c r="L131" s="11" t="n">
        <v>0</v>
      </c>
      <c r="M131" s="10"/>
    </row>
    <row r="132" customFormat="false" ht="15" hidden="false" customHeight="false" outlineLevel="0" collapsed="false">
      <c r="A132" s="9" t="s">
        <v>380</v>
      </c>
      <c r="B132" s="9" t="s">
        <v>382</v>
      </c>
      <c r="C132" s="9" t="s">
        <v>10</v>
      </c>
      <c r="D132" s="9" t="s">
        <v>41</v>
      </c>
      <c r="E132" s="10" t="s">
        <v>10</v>
      </c>
      <c r="F132" s="9" t="s">
        <v>356</v>
      </c>
      <c r="G132" s="10" t="s">
        <v>356</v>
      </c>
      <c r="H132" s="9" t="s">
        <v>43</v>
      </c>
      <c r="I132" s="9" t="n">
        <v>40</v>
      </c>
      <c r="J132" s="9" t="n">
        <v>0</v>
      </c>
      <c r="K132" s="11" t="n">
        <v>1213424</v>
      </c>
      <c r="L132" s="11" t="n">
        <v>0</v>
      </c>
      <c r="M132" s="10"/>
    </row>
    <row r="133" customFormat="false" ht="15" hidden="false" customHeight="false" outlineLevel="0" collapsed="false">
      <c r="A133" s="9" t="s">
        <v>383</v>
      </c>
      <c r="B133" s="9" t="s">
        <v>384</v>
      </c>
      <c r="C133" s="9" t="s">
        <v>10</v>
      </c>
      <c r="D133" s="9" t="s">
        <v>41</v>
      </c>
      <c r="E133" s="10" t="s">
        <v>10</v>
      </c>
      <c r="F133" s="9" t="s">
        <v>356</v>
      </c>
      <c r="G133" s="10" t="s">
        <v>356</v>
      </c>
      <c r="H133" s="9" t="s">
        <v>385</v>
      </c>
      <c r="I133" s="9" t="n">
        <v>161</v>
      </c>
      <c r="J133" s="9" t="n">
        <v>0</v>
      </c>
      <c r="K133" s="11" t="n">
        <v>1023548</v>
      </c>
      <c r="L133" s="11" t="n">
        <v>0</v>
      </c>
      <c r="M133" s="10"/>
    </row>
    <row r="134" customFormat="false" ht="15" hidden="false" customHeight="false" outlineLevel="0" collapsed="false">
      <c r="A134" s="9" t="s">
        <v>386</v>
      </c>
      <c r="B134" s="9" t="s">
        <v>387</v>
      </c>
      <c r="C134" s="9" t="s">
        <v>10</v>
      </c>
      <c r="D134" s="9" t="s">
        <v>41</v>
      </c>
      <c r="E134" s="10" t="s">
        <v>10</v>
      </c>
      <c r="F134" s="9" t="s">
        <v>356</v>
      </c>
      <c r="G134" s="10" t="s">
        <v>356</v>
      </c>
      <c r="H134" s="9" t="s">
        <v>111</v>
      </c>
      <c r="I134" s="9" t="n">
        <v>168</v>
      </c>
      <c r="J134" s="9" t="n">
        <v>0</v>
      </c>
      <c r="K134" s="11" t="n">
        <v>911376</v>
      </c>
      <c r="L134" s="11" t="n">
        <v>0</v>
      </c>
      <c r="M134" s="10"/>
    </row>
    <row r="135" customFormat="false" ht="15" hidden="false" customHeight="false" outlineLevel="0" collapsed="false">
      <c r="A135" s="9" t="s">
        <v>388</v>
      </c>
      <c r="B135" s="9" t="s">
        <v>389</v>
      </c>
      <c r="C135" s="9" t="s">
        <v>10</v>
      </c>
      <c r="D135" s="9" t="s">
        <v>41</v>
      </c>
      <c r="E135" s="10" t="s">
        <v>10</v>
      </c>
      <c r="F135" s="9" t="s">
        <v>360</v>
      </c>
      <c r="G135" s="10" t="s">
        <v>375</v>
      </c>
      <c r="H135" s="9" t="s">
        <v>43</v>
      </c>
      <c r="I135" s="9" t="n">
        <v>264</v>
      </c>
      <c r="J135" s="9" t="n">
        <v>115</v>
      </c>
      <c r="K135" s="11" t="n">
        <v>897047</v>
      </c>
      <c r="L135" s="11" t="n">
        <v>462317</v>
      </c>
      <c r="M135" s="10"/>
    </row>
    <row r="136" customFormat="false" ht="15" hidden="false" customHeight="false" outlineLevel="0" collapsed="false">
      <c r="A136" s="9" t="s">
        <v>390</v>
      </c>
      <c r="B136" s="9" t="s">
        <v>391</v>
      </c>
      <c r="C136" s="9" t="s">
        <v>10</v>
      </c>
      <c r="D136" s="9" t="s">
        <v>41</v>
      </c>
      <c r="E136" s="10" t="s">
        <v>10</v>
      </c>
      <c r="F136" s="9" t="s">
        <v>356</v>
      </c>
      <c r="G136" s="10" t="s">
        <v>356</v>
      </c>
      <c r="H136" s="9" t="s">
        <v>43</v>
      </c>
      <c r="I136" s="9" t="n">
        <v>216</v>
      </c>
      <c r="J136" s="9" t="n">
        <v>83</v>
      </c>
      <c r="K136" s="11" t="n">
        <v>876592</v>
      </c>
      <c r="L136" s="11" t="n">
        <v>302996</v>
      </c>
      <c r="M136" s="10"/>
    </row>
    <row r="137" customFormat="false" ht="15" hidden="false" customHeight="false" outlineLevel="0" collapsed="false">
      <c r="A137" s="9" t="s">
        <v>392</v>
      </c>
      <c r="B137" s="9" t="s">
        <v>393</v>
      </c>
      <c r="C137" s="9" t="s">
        <v>10</v>
      </c>
      <c r="D137" s="9" t="s">
        <v>41</v>
      </c>
      <c r="E137" s="10" t="s">
        <v>10</v>
      </c>
      <c r="F137" s="9" t="s">
        <v>356</v>
      </c>
      <c r="G137" s="10" t="s">
        <v>356</v>
      </c>
      <c r="H137" s="9" t="s">
        <v>111</v>
      </c>
      <c r="I137" s="9" t="n">
        <v>233</v>
      </c>
      <c r="J137" s="9" t="n">
        <v>114</v>
      </c>
      <c r="K137" s="11" t="n">
        <v>836002</v>
      </c>
      <c r="L137" s="11" t="n">
        <v>308067</v>
      </c>
      <c r="M137" s="10"/>
    </row>
    <row r="138" customFormat="false" ht="15" hidden="false" customHeight="false" outlineLevel="0" collapsed="false">
      <c r="A138" s="9" t="s">
        <v>394</v>
      </c>
      <c r="B138" s="9" t="s">
        <v>395</v>
      </c>
      <c r="C138" s="9" t="s">
        <v>10</v>
      </c>
      <c r="D138" s="9" t="s">
        <v>41</v>
      </c>
      <c r="E138" s="10" t="s">
        <v>10</v>
      </c>
      <c r="F138" s="9" t="s">
        <v>363</v>
      </c>
      <c r="G138" s="10" t="s">
        <v>396</v>
      </c>
      <c r="H138" s="9" t="s">
        <v>43</v>
      </c>
      <c r="I138" s="9" t="n">
        <v>188</v>
      </c>
      <c r="J138" s="9" t="n">
        <v>6</v>
      </c>
      <c r="K138" s="11" t="n">
        <v>829013</v>
      </c>
      <c r="L138" s="11" t="n">
        <v>37205</v>
      </c>
      <c r="M138" s="10"/>
    </row>
    <row r="139" customFormat="false" ht="15" hidden="false" customHeight="false" outlineLevel="0" collapsed="false">
      <c r="A139" s="9" t="s">
        <v>397</v>
      </c>
      <c r="B139" s="9" t="s">
        <v>398</v>
      </c>
      <c r="C139" s="9" t="s">
        <v>10</v>
      </c>
      <c r="D139" s="9" t="s">
        <v>41</v>
      </c>
      <c r="E139" s="10" t="s">
        <v>10</v>
      </c>
      <c r="F139" s="9" t="s">
        <v>356</v>
      </c>
      <c r="G139" s="10" t="s">
        <v>356</v>
      </c>
      <c r="H139" s="9" t="s">
        <v>385</v>
      </c>
      <c r="I139" s="9" t="n">
        <v>161</v>
      </c>
      <c r="J139" s="9" t="n">
        <v>57</v>
      </c>
      <c r="K139" s="11" t="n">
        <v>819461</v>
      </c>
      <c r="L139" s="11" t="n">
        <v>280405</v>
      </c>
      <c r="M139" s="10"/>
    </row>
    <row r="140" customFormat="false" ht="15" hidden="false" customHeight="false" outlineLevel="0" collapsed="false">
      <c r="A140" s="9" t="s">
        <v>399</v>
      </c>
      <c r="B140" s="9" t="s">
        <v>400</v>
      </c>
      <c r="C140" s="9" t="s">
        <v>10</v>
      </c>
      <c r="D140" s="9" t="s">
        <v>41</v>
      </c>
      <c r="E140" s="10" t="s">
        <v>10</v>
      </c>
      <c r="F140" s="9" t="s">
        <v>356</v>
      </c>
      <c r="G140" s="10" t="s">
        <v>356</v>
      </c>
      <c r="H140" s="9" t="s">
        <v>111</v>
      </c>
      <c r="I140" s="9" t="n">
        <v>162</v>
      </c>
      <c r="J140" s="9" t="n">
        <v>0</v>
      </c>
      <c r="K140" s="11" t="n">
        <v>787505</v>
      </c>
      <c r="L140" s="11" t="n">
        <v>0</v>
      </c>
      <c r="M140" s="10"/>
    </row>
    <row r="141" customFormat="false" ht="15" hidden="false" customHeight="false" outlineLevel="0" collapsed="false">
      <c r="A141" s="9" t="s">
        <v>401</v>
      </c>
      <c r="B141" s="9" t="s">
        <v>402</v>
      </c>
      <c r="C141" s="9" t="s">
        <v>10</v>
      </c>
      <c r="D141" s="9" t="s">
        <v>41</v>
      </c>
      <c r="E141" s="10" t="s">
        <v>10</v>
      </c>
      <c r="F141" s="9" t="s">
        <v>354</v>
      </c>
      <c r="G141" s="10" t="s">
        <v>370</v>
      </c>
      <c r="H141" s="9" t="s">
        <v>357</v>
      </c>
      <c r="I141" s="9" t="n">
        <v>354</v>
      </c>
      <c r="J141" s="9" t="n">
        <v>0</v>
      </c>
      <c r="K141" s="11" t="n">
        <v>750408</v>
      </c>
      <c r="L141" s="11" t="n">
        <v>0</v>
      </c>
      <c r="M141" s="10"/>
    </row>
    <row r="142" customFormat="false" ht="15" hidden="false" customHeight="false" outlineLevel="0" collapsed="false">
      <c r="A142" s="9" t="s">
        <v>403</v>
      </c>
      <c r="B142" s="9" t="s">
        <v>404</v>
      </c>
      <c r="C142" s="9" t="s">
        <v>10</v>
      </c>
      <c r="D142" s="9" t="s">
        <v>41</v>
      </c>
      <c r="E142" s="10" t="s">
        <v>10</v>
      </c>
      <c r="F142" s="9" t="s">
        <v>356</v>
      </c>
      <c r="G142" s="10" t="s">
        <v>356</v>
      </c>
      <c r="H142" s="9" t="s">
        <v>43</v>
      </c>
      <c r="I142" s="9" t="n">
        <v>72</v>
      </c>
      <c r="J142" s="9" t="n">
        <v>12</v>
      </c>
      <c r="K142" s="11" t="n">
        <v>720828</v>
      </c>
      <c r="L142" s="11" t="n">
        <v>66064</v>
      </c>
      <c r="M142" s="10"/>
    </row>
    <row r="143" customFormat="false" ht="15" hidden="false" customHeight="false" outlineLevel="0" collapsed="false">
      <c r="A143" s="9" t="s">
        <v>405</v>
      </c>
      <c r="B143" s="9" t="s">
        <v>406</v>
      </c>
      <c r="C143" s="9" t="s">
        <v>10</v>
      </c>
      <c r="D143" s="9" t="s">
        <v>41</v>
      </c>
      <c r="E143" s="10" t="s">
        <v>10</v>
      </c>
      <c r="F143" s="9" t="s">
        <v>354</v>
      </c>
      <c r="G143" s="10" t="s">
        <v>370</v>
      </c>
      <c r="H143" s="9" t="s">
        <v>357</v>
      </c>
      <c r="I143" s="9" t="n">
        <v>122</v>
      </c>
      <c r="J143" s="9" t="n">
        <v>0</v>
      </c>
      <c r="K143" s="11" t="n">
        <v>565919</v>
      </c>
      <c r="L143" s="11" t="n">
        <v>0</v>
      </c>
      <c r="M143" s="10"/>
    </row>
    <row r="144" customFormat="false" ht="15" hidden="false" customHeight="false" outlineLevel="0" collapsed="false">
      <c r="A144" s="9" t="s">
        <v>407</v>
      </c>
      <c r="B144" s="9" t="s">
        <v>408</v>
      </c>
      <c r="C144" s="9" t="s">
        <v>10</v>
      </c>
      <c r="D144" s="9" t="s">
        <v>41</v>
      </c>
      <c r="E144" s="10" t="s">
        <v>10</v>
      </c>
      <c r="F144" s="9" t="s">
        <v>360</v>
      </c>
      <c r="G144" s="10" t="s">
        <v>375</v>
      </c>
      <c r="H144" s="9" t="s">
        <v>43</v>
      </c>
      <c r="I144" s="9" t="n">
        <v>172</v>
      </c>
      <c r="J144" s="9" t="n">
        <v>65</v>
      </c>
      <c r="K144" s="11" t="n">
        <v>556995</v>
      </c>
      <c r="L144" s="11" t="n">
        <v>213276</v>
      </c>
      <c r="M144" s="10"/>
    </row>
    <row r="145" customFormat="false" ht="15" hidden="false" customHeight="false" outlineLevel="0" collapsed="false">
      <c r="A145" s="9" t="s">
        <v>409</v>
      </c>
      <c r="B145" s="9" t="s">
        <v>410</v>
      </c>
      <c r="C145" s="9" t="s">
        <v>10</v>
      </c>
      <c r="D145" s="9" t="s">
        <v>41</v>
      </c>
      <c r="E145" s="10" t="s">
        <v>10</v>
      </c>
      <c r="F145" s="9" t="s">
        <v>354</v>
      </c>
      <c r="G145" s="10" t="s">
        <v>370</v>
      </c>
      <c r="H145" s="9" t="s">
        <v>357</v>
      </c>
      <c r="I145" s="9" t="n">
        <v>50</v>
      </c>
      <c r="J145" s="9" t="n">
        <v>61</v>
      </c>
      <c r="K145" s="11" t="n">
        <v>508655</v>
      </c>
      <c r="L145" s="11" t="n">
        <v>274853</v>
      </c>
      <c r="M145" s="10"/>
    </row>
    <row r="146" customFormat="false" ht="15" hidden="false" customHeight="false" outlineLevel="0" collapsed="false">
      <c r="A146" s="9" t="s">
        <v>411</v>
      </c>
      <c r="B146" s="9" t="s">
        <v>412</v>
      </c>
      <c r="C146" s="9" t="s">
        <v>10</v>
      </c>
      <c r="D146" s="9" t="s">
        <v>41</v>
      </c>
      <c r="E146" s="10" t="s">
        <v>10</v>
      </c>
      <c r="F146" s="9" t="s">
        <v>368</v>
      </c>
      <c r="G146" s="10" t="s">
        <v>413</v>
      </c>
      <c r="H146" s="9" t="s">
        <v>357</v>
      </c>
      <c r="I146" s="9" t="n">
        <v>181</v>
      </c>
      <c r="J146" s="9" t="n">
        <v>7</v>
      </c>
      <c r="K146" s="11" t="n">
        <v>471882</v>
      </c>
      <c r="L146" s="11" t="n">
        <v>27959</v>
      </c>
      <c r="M146" s="10"/>
    </row>
    <row r="147" customFormat="false" ht="15" hidden="false" customHeight="false" outlineLevel="0" collapsed="false">
      <c r="A147" s="9" t="s">
        <v>414</v>
      </c>
      <c r="B147" s="9" t="s">
        <v>415</v>
      </c>
      <c r="C147" s="9" t="s">
        <v>10</v>
      </c>
      <c r="D147" s="9" t="s">
        <v>41</v>
      </c>
      <c r="E147" s="10" t="s">
        <v>10</v>
      </c>
      <c r="F147" s="9" t="s">
        <v>358</v>
      </c>
      <c r="G147" s="10" t="s">
        <v>416</v>
      </c>
      <c r="H147" s="9" t="s">
        <v>357</v>
      </c>
      <c r="I147" s="9" t="n">
        <v>70</v>
      </c>
      <c r="J147" s="9" t="n">
        <v>35</v>
      </c>
      <c r="K147" s="11" t="n">
        <v>460891</v>
      </c>
      <c r="L147" s="11" t="n">
        <v>246687</v>
      </c>
      <c r="M147" s="10"/>
    </row>
    <row r="148" customFormat="false" ht="15" hidden="false" customHeight="false" outlineLevel="0" collapsed="false">
      <c r="A148" s="9" t="s">
        <v>417</v>
      </c>
      <c r="B148" s="9" t="s">
        <v>418</v>
      </c>
      <c r="C148" s="9" t="s">
        <v>10</v>
      </c>
      <c r="D148" s="9" t="s">
        <v>41</v>
      </c>
      <c r="E148" s="10" t="s">
        <v>10</v>
      </c>
      <c r="F148" s="9" t="s">
        <v>356</v>
      </c>
      <c r="G148" s="10" t="s">
        <v>356</v>
      </c>
      <c r="H148" s="9" t="s">
        <v>43</v>
      </c>
      <c r="I148" s="9" t="n">
        <v>79</v>
      </c>
      <c r="J148" s="9" t="n">
        <v>0</v>
      </c>
      <c r="K148" s="11" t="n">
        <v>393006</v>
      </c>
      <c r="L148" s="11" t="n">
        <v>0</v>
      </c>
      <c r="M148" s="10"/>
    </row>
    <row r="149" customFormat="false" ht="15" hidden="false" customHeight="false" outlineLevel="0" collapsed="false">
      <c r="A149" s="9" t="s">
        <v>419</v>
      </c>
      <c r="B149" s="9" t="s">
        <v>420</v>
      </c>
      <c r="C149" s="9" t="s">
        <v>10</v>
      </c>
      <c r="D149" s="9" t="s">
        <v>41</v>
      </c>
      <c r="E149" s="10" t="s">
        <v>10</v>
      </c>
      <c r="F149" s="9" t="s">
        <v>354</v>
      </c>
      <c r="G149" s="10" t="s">
        <v>370</v>
      </c>
      <c r="H149" s="9" t="s">
        <v>357</v>
      </c>
      <c r="I149" s="9" t="n">
        <v>80</v>
      </c>
      <c r="J149" s="9" t="n">
        <v>2</v>
      </c>
      <c r="K149" s="11" t="n">
        <v>300631</v>
      </c>
      <c r="L149" s="11" t="n">
        <v>13550</v>
      </c>
      <c r="M149" s="10"/>
    </row>
    <row r="150" customFormat="false" ht="15" hidden="false" customHeight="false" outlineLevel="0" collapsed="false">
      <c r="A150" s="9" t="s">
        <v>421</v>
      </c>
      <c r="B150" s="9" t="s">
        <v>422</v>
      </c>
      <c r="C150" s="9" t="s">
        <v>10</v>
      </c>
      <c r="D150" s="9" t="s">
        <v>41</v>
      </c>
      <c r="E150" s="10" t="s">
        <v>10</v>
      </c>
      <c r="F150" s="9" t="s">
        <v>354</v>
      </c>
      <c r="G150" s="10" t="s">
        <v>370</v>
      </c>
      <c r="H150" s="9" t="s">
        <v>357</v>
      </c>
      <c r="I150" s="9" t="n">
        <v>78</v>
      </c>
      <c r="J150" s="9" t="n">
        <v>21</v>
      </c>
      <c r="K150" s="11" t="n">
        <v>262217</v>
      </c>
      <c r="L150" s="11" t="n">
        <v>138495</v>
      </c>
      <c r="M150" s="10"/>
    </row>
    <row r="151" customFormat="false" ht="15" hidden="false" customHeight="false" outlineLevel="0" collapsed="false">
      <c r="A151" s="9" t="s">
        <v>423</v>
      </c>
      <c r="B151" s="9" t="s">
        <v>424</v>
      </c>
      <c r="C151" s="9" t="s">
        <v>10</v>
      </c>
      <c r="D151" s="9" t="s">
        <v>41</v>
      </c>
      <c r="E151" s="10" t="s">
        <v>10</v>
      </c>
      <c r="F151" s="9" t="s">
        <v>356</v>
      </c>
      <c r="G151" s="10" t="s">
        <v>356</v>
      </c>
      <c r="H151" s="9" t="s">
        <v>367</v>
      </c>
      <c r="I151" s="9" t="n">
        <v>21</v>
      </c>
      <c r="J151" s="9" t="n">
        <v>21</v>
      </c>
      <c r="K151" s="11" t="n">
        <v>151394</v>
      </c>
      <c r="L151" s="11" t="n">
        <v>296741</v>
      </c>
      <c r="M151" s="10"/>
    </row>
    <row r="152" customFormat="false" ht="26.85" hidden="false" customHeight="false" outlineLevel="0" collapsed="false">
      <c r="A152" s="12" t="s">
        <v>425</v>
      </c>
      <c r="B152" s="12" t="s">
        <v>426</v>
      </c>
      <c r="C152" s="12" t="s">
        <v>10</v>
      </c>
      <c r="D152" s="12" t="s">
        <v>61</v>
      </c>
      <c r="E152" s="13"/>
      <c r="F152" s="12" t="s">
        <v>356</v>
      </c>
      <c r="G152" s="13" t="s">
        <v>356</v>
      </c>
      <c r="H152" s="12" t="s">
        <v>111</v>
      </c>
      <c r="I152" s="12" t="n">
        <v>46</v>
      </c>
      <c r="J152" s="12" t="n">
        <v>0</v>
      </c>
      <c r="K152" s="14" t="n">
        <v>129146</v>
      </c>
      <c r="L152" s="14" t="n">
        <v>0</v>
      </c>
      <c r="M152" s="13" t="s">
        <v>427</v>
      </c>
    </row>
    <row r="153" customFormat="false" ht="15" hidden="false" customHeight="false" outlineLevel="0" collapsed="false">
      <c r="A153" s="9" t="s">
        <v>428</v>
      </c>
      <c r="B153" s="9" t="s">
        <v>429</v>
      </c>
      <c r="C153" s="9" t="s">
        <v>10</v>
      </c>
      <c r="D153" s="9" t="s">
        <v>41</v>
      </c>
      <c r="E153" s="10" t="s">
        <v>10</v>
      </c>
      <c r="F153" s="9" t="s">
        <v>354</v>
      </c>
      <c r="G153" s="10" t="s">
        <v>370</v>
      </c>
      <c r="H153" s="9" t="s">
        <v>357</v>
      </c>
      <c r="I153" s="9" t="n">
        <v>79</v>
      </c>
      <c r="J153" s="9" t="n">
        <v>101</v>
      </c>
      <c r="K153" s="11" t="n">
        <v>74042</v>
      </c>
      <c r="L153" s="11" t="n">
        <v>154694</v>
      </c>
      <c r="M153" s="10"/>
    </row>
    <row r="154" customFormat="false" ht="15" hidden="false" customHeight="false" outlineLevel="0" collapsed="false">
      <c r="A154" s="8" t="s">
        <v>19</v>
      </c>
      <c r="I154" s="15" t="n">
        <f aca="false">SUM(I2:I153)</f>
        <v>28185</v>
      </c>
      <c r="J154" s="15" t="n">
        <f aca="false">SUM(J2:J153)</f>
        <v>8437</v>
      </c>
      <c r="K154" s="15" t="n">
        <f aca="false">SUM(K2:K153)</f>
        <v>195788289</v>
      </c>
      <c r="L154" s="15" t="n">
        <f aca="false">SUM(L2:L153)</f>
        <v>61305811</v>
      </c>
    </row>
  </sheetData>
  <autoFilter ref="A1:M1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2026-09-19T13:41:48Z</dcterms:created>
  <dc:creator>openpyxl</dc:creator>
  <dc:description/>
  <dc:language>en-US</dc:language>
  <cp:lastModifiedBy/>
  <dcterms:modified xsi:type="dcterms:W3CDTF">2026-09-19T13:41:48Z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