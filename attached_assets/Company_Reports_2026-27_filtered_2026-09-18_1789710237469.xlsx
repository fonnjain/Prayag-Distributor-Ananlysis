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4" name="Report 1" state="visible" r:id="rId5"/>
    <sheet sheetId="5" name="Report 2" state="visible" r:id="rId6"/>
    <sheet sheetId="6" name="R3 By Group" state="visible" r:id="rId7"/>
    <sheet sheetId="7" name="R3A State x Group" state="visible" r:id="rId8"/>
    <sheet sheetId="8" name="R3B Party x Group" state="visible" r:id="rId9"/>
    <sheet sheetId="9" name="R4 Quantity" state="visible" r:id="rId10"/>
    <sheet sheetId="10" name="R5 By Customer" state="visible" r:id="rId11"/>
    <sheet sheetId="11" name="R6 By Group (full prior)" state="visible" r:id="rId12"/>
  </sheets>
  <calcPr calcId="171027" fullCalcOnLoad="1"/>
</workbook>
</file>

<file path=xl/sharedStrings.xml><?xml version="1.0" encoding="utf-8"?>
<sst xmlns="http://schemas.openxmlformats.org/spreadsheetml/2006/main" count="11350" uniqueCount="229">
  <si>
    <t>Page</t>
  </si>
  <si>
    <t>Company Reports 1-7 (primary sales — Prayag to distributors)</t>
  </si>
  <si>
    <t>FY</t>
  </si>
  <si>
    <t>2026-27</t>
  </si>
  <si>
    <t>Prior FY</t>
  </si>
  <si>
    <t>2025-26</t>
  </si>
  <si>
    <t>Like months (this FY)</t>
  </si>
  <si>
    <t>Apr-26, May-26, Jun-26, Jul-26, Aug-26</t>
  </si>
  <si>
    <t>Like months (prior FY)</t>
  </si>
  <si>
    <t>Apr-25, May-25, Jun-25, Jul-25, Aug-25</t>
  </si>
  <si>
    <t>As of</t>
  </si>
  <si>
    <t>2026-09-18</t>
  </si>
  <si>
    <t>State Head filter</t>
  </si>
  <si>
    <t>Sandeep Dadheech</t>
  </si>
  <si>
    <t>State filter</t>
  </si>
  <si>
    <t>All</t>
  </si>
  <si>
    <t>Distributor filter</t>
  </si>
  <si>
    <t>Month filter</t>
  </si>
  <si>
    <t>All complete months</t>
  </si>
  <si>
    <t>Provisional months</t>
  </si>
  <si>
    <t>Jun–Sep 2026 are provisional and may change until they close.</t>
  </si>
  <si>
    <t>Note</t>
  </si>
  <si>
    <t>Figures are territory + project combined as shown on the page. Quantity is never summed across groups (litres vs pieces).</t>
  </si>
  <si>
    <t>Source — all sale figures</t>
  </si>
  <si>
    <t>sale_line taxable amount (primary sales), filtered by FY, complete months, head/state/customer scope; server-computed values are authoritative. C1 export comparisons apply those explicit filters directly to both FYs.</t>
  </si>
  <si>
    <t>Report 1 district source</t>
  </si>
  <si>
    <t>customer_master.company exact normalized match to sale customer. District is blank when no unique exact district exists; this metadata lookup never joins sale rows.</t>
  </si>
  <si>
    <t>Report 2 month source</t>
  </si>
  <si>
    <t>sale_line grouped independently by state/month and customer/month using the same explicit head/state/customer filters in both FYs. Future/incomplete current-FY months and prior-only rows are intentionally blank.</t>
  </si>
  <si>
    <t>Party detail cap</t>
  </si>
  <si>
    <t>C1 party detail cap: 1,000 parties per state. No state was truncated.</t>
  </si>
  <si>
    <t>C1 Report 7 decision</t>
  </si>
  <si>
    <t>Later Report 7 will use PTMT, PLUMBING (including Water Tank), C P, SANITARYWARE, SINK, HARDWARE. This changes Sandeep's format: Water Tank will disappear into Plumbing (~₹6.58 Cr), and Hardware (~₹0.87 Cr) will be added. Report 7 is not changed in C1.</t>
  </si>
  <si>
    <t>Grand Total / State</t>
  </si>
  <si>
    <t>WEST BENGAL</t>
  </si>
  <si>
    <t>State</t>
  </si>
  <si>
    <t>Prior FY (2025-26)</t>
  </si>
  <si>
    <t>Current FY (2026-27)</t>
  </si>
  <si>
    <t>Difference</t>
  </si>
  <si>
    <t>Growth %</t>
  </si>
  <si>
    <t>Share %</t>
  </si>
  <si>
    <t>District</t>
  </si>
  <si>
    <t>Party</t>
  </si>
  <si>
    <t/>
  </si>
  <si>
    <t>AVIRASICO INTERNATIONAL (KOLKATTA)</t>
  </si>
  <si>
    <t>BIHAR</t>
  </si>
  <si>
    <t>East Midnapore</t>
  </si>
  <si>
    <t>MAJI TRADING</t>
  </si>
  <si>
    <t>JHARKHAND</t>
  </si>
  <si>
    <t>SUBHAM ENTERPRISE (W.B)</t>
  </si>
  <si>
    <t>ODISHA</t>
  </si>
  <si>
    <t>Purba Bardhaman</t>
  </si>
  <si>
    <t>TAPAN SMRITI HARDWARE</t>
  </si>
  <si>
    <t>ASSAM</t>
  </si>
  <si>
    <t>SAINTHIA PAINTS HOUSE (WB)</t>
  </si>
  <si>
    <t>TAMIL NADU</t>
  </si>
  <si>
    <t>Kolkata</t>
  </si>
  <si>
    <t>MAHABIR SALES CORPORATION</t>
  </si>
  <si>
    <t>ANDHRA PRADESH</t>
  </si>
  <si>
    <t>Paschim Bardhaman</t>
  </si>
  <si>
    <t>ASHISH BATH GALAXY</t>
  </si>
  <si>
    <t>TELANGANA</t>
  </si>
  <si>
    <t>AVIRASICO EXIM PRIVATE LIMITED</t>
  </si>
  <si>
    <t>NEPAL</t>
  </si>
  <si>
    <t>UNIQUE PIPE &amp; SANITATION (BANKUDA)</t>
  </si>
  <si>
    <t>MAHARASHTRA</t>
  </si>
  <si>
    <t>SIDHI BINAYAK ENTERPRISE(WB)</t>
  </si>
  <si>
    <t>PSA BHARAT PIPE AND PUMPS PRIVATE LIMITED</t>
  </si>
  <si>
    <t>Howrah</t>
  </si>
  <si>
    <t>ARIHANT TILES &amp; SANITATION</t>
  </si>
  <si>
    <t>Hooghly</t>
  </si>
  <si>
    <t>VAIDIK CONSTRUCTION</t>
  </si>
  <si>
    <t>LAXMI STORES (BURDWAN)</t>
  </si>
  <si>
    <t>DAS ENTERPRISE</t>
  </si>
  <si>
    <t>ROY ENTERPRISE</t>
  </si>
  <si>
    <t>AYAN ENTERPRISE</t>
  </si>
  <si>
    <t>JAY MAA TARA ENTERPRISE (WB)</t>
  </si>
  <si>
    <t>LAKSHMI ENGINEERING WORKS</t>
  </si>
  <si>
    <t>Murshidabad</t>
  </si>
  <si>
    <t>UREKA HARDWARE</t>
  </si>
  <si>
    <t>UNIQUE SANITATION (BANKURA)</t>
  </si>
  <si>
    <t>South 24 Parganas</t>
  </si>
  <si>
    <t>SUPREME SYNDICATE</t>
  </si>
  <si>
    <t>SWASTIK IMPACT</t>
  </si>
  <si>
    <t>North 24 Parganas</t>
  </si>
  <si>
    <t>KARMAKAR ENTERPRISE</t>
  </si>
  <si>
    <t>MAHAMAYA TRADING (WB)</t>
  </si>
  <si>
    <t>SURAJ SANITATION (WB)</t>
  </si>
  <si>
    <t>BEHARILALL MADANLALL (SILIGURI)</t>
  </si>
  <si>
    <t>RAMSWARUP &amp; SONS.</t>
  </si>
  <si>
    <t>SRI TIRUPATI PIPE HOUSE (WB)</t>
  </si>
  <si>
    <t>NISTTHA TRADING AND CO</t>
  </si>
  <si>
    <t>LOKENATH ENTERPRISE</t>
  </si>
  <si>
    <t>Malda</t>
  </si>
  <si>
    <t>K T SUPPLIERS</t>
  </si>
  <si>
    <t>BALAJI  TRADERS (kolkatta)</t>
  </si>
  <si>
    <t>KONARK MARBLES (WB)</t>
  </si>
  <si>
    <t>Cooch Behar</t>
  </si>
  <si>
    <t>COOCH BEHAR STORES</t>
  </si>
  <si>
    <t>SANTRA ENTERPRISE</t>
  </si>
  <si>
    <t>ARADHYA KEDIA DISTRIBUTION HOUSE PVT LTD</t>
  </si>
  <si>
    <t>NEW BHARAT PIPE</t>
  </si>
  <si>
    <t>NEW KALIMATA HARDWARE STORES</t>
  </si>
  <si>
    <t>SILIGURI SALES AGENCIES (SILIGURI)</t>
  </si>
  <si>
    <t>Selected state</t>
  </si>
  <si>
    <t>Apr-25 LY</t>
  </si>
  <si>
    <t>Apr-26 TY</t>
  </si>
  <si>
    <t>Apr-26 Growth %</t>
  </si>
  <si>
    <t>May-25 LY</t>
  </si>
  <si>
    <t>May-26 TY</t>
  </si>
  <si>
    <t>May-26 Growth %</t>
  </si>
  <si>
    <t>Jun-25 LY</t>
  </si>
  <si>
    <t>Jun-26 TY</t>
  </si>
  <si>
    <t>Jun-26 Growth %</t>
  </si>
  <si>
    <t>Jul-25 LY</t>
  </si>
  <si>
    <t>Jul-26 TY</t>
  </si>
  <si>
    <t>Jul-26 Growth %</t>
  </si>
  <si>
    <t>Aug-25 LY</t>
  </si>
  <si>
    <t>Aug-26 TY</t>
  </si>
  <si>
    <t>Aug-26 Growth %</t>
  </si>
  <si>
    <t>Master group</t>
  </si>
  <si>
    <t>Sub-category</t>
  </si>
  <si>
    <t>This FY (2026-27)</t>
  </si>
  <si>
    <t>Last FY (2025-26)</t>
  </si>
  <si>
    <t>Diff</t>
  </si>
  <si>
    <t>PTMT</t>
  </si>
  <si>
    <t>C P</t>
  </si>
  <si>
    <t>PLUMBING</t>
  </si>
  <si>
    <t>SWR</t>
  </si>
  <si>
    <t>UPVC</t>
  </si>
  <si>
    <t>CPVC</t>
  </si>
  <si>
    <t>SANITARYWARE</t>
  </si>
  <si>
    <t>SINK</t>
  </si>
  <si>
    <t>WATER TANK</t>
  </si>
  <si>
    <t>CP ACCESSORIES</t>
  </si>
  <si>
    <t>CISTERN</t>
  </si>
  <si>
    <t>CONNECTION</t>
  </si>
  <si>
    <t>GARDEN PIPE</t>
  </si>
  <si>
    <t>AGRI</t>
  </si>
  <si>
    <t>WASTE PIPE</t>
  </si>
  <si>
    <t>SEAT COVER</t>
  </si>
  <si>
    <t>TEFELON TAPE</t>
  </si>
  <si>
    <t>FLOOR TRAP</t>
  </si>
  <si>
    <t>HARDWARE</t>
  </si>
  <si>
    <t>CABINET</t>
  </si>
  <si>
    <t>PLATE RACK</t>
  </si>
  <si>
    <t>HDPE PIPE</t>
  </si>
  <si>
    <t>GEYSER</t>
  </si>
  <si>
    <t>WT LID</t>
  </si>
  <si>
    <t>QUAA</t>
  </si>
  <si>
    <t>Unmapped</t>
  </si>
  <si>
    <t>COLUMN</t>
  </si>
  <si>
    <t>Connection / Waste</t>
  </si>
  <si>
    <t>CP (Chrome-Plated)</t>
  </si>
  <si>
    <t>Garden Pipe</t>
  </si>
  <si>
    <t>Hardware</t>
  </si>
  <si>
    <t>PTMT / Faucets</t>
  </si>
  <si>
    <t>Sanitaryware</t>
  </si>
  <si>
    <t>Sink</t>
  </si>
  <si>
    <t>This FY</t>
  </si>
  <si>
    <t>Last FY</t>
  </si>
  <si>
    <t>MITTAL AGENCIES (Patna)</t>
  </si>
  <si>
    <t>SRI LAKSHMI LALITHA AGENCIES</t>
  </si>
  <si>
    <t>BMW POLYTUBE (UNIT OF BMW VENTURES LTD)</t>
  </si>
  <si>
    <t>GRAHAA PRIYA ENTERPRISES</t>
  </si>
  <si>
    <t>CHHINAMASTIKE SANITATION PRIVATE LIMITED</t>
  </si>
  <si>
    <t>PRAYAG SALES CORPORATION (BHUBANESHWAR)</t>
  </si>
  <si>
    <t>SB ENTERPRISES</t>
  </si>
  <si>
    <t>PRAYAG SALES CORPORATION (NE) (GUWAHATI)</t>
  </si>
  <si>
    <t>ANAND SANITARYWARE</t>
  </si>
  <si>
    <t>BAJRANG HOME INNOVATIONS</t>
  </si>
  <si>
    <t>NATIONAL CASTING &amp; METALS(RANCHI)</t>
  </si>
  <si>
    <t>SRIRAM PACKAGING</t>
  </si>
  <si>
    <t>JVM ENTERPRISES (SECUNDRABAD)</t>
  </si>
  <si>
    <t>MAGADH TUBEWELL</t>
  </si>
  <si>
    <t>BABA ENTERPRISES (DHANBAD)</t>
  </si>
  <si>
    <t>SHIV SALES (SILCHAR)</t>
  </si>
  <si>
    <t>BASUKI COMMOTRADE PVT. LTD.( JAMSHEDPUR)</t>
  </si>
  <si>
    <t>VIJAYA SAI AGENCIES</t>
  </si>
  <si>
    <t>INDIA TRADING ( MOTIHARI )</t>
  </si>
  <si>
    <t>MAHADEV HARDWARE (AURANGABAD - BIHAR)</t>
  </si>
  <si>
    <t>RATNAM ENTERPRISES</t>
  </si>
  <si>
    <t>PP Enterprises</t>
  </si>
  <si>
    <t>NATIONAL MACHINERY STORE(BEGUSARAI)</t>
  </si>
  <si>
    <t>MEERA ASSOCIATES</t>
  </si>
  <si>
    <t>HIND SANITARY WORLD</t>
  </si>
  <si>
    <t>SHREE RAM MARKETING (ASSAM)</t>
  </si>
  <si>
    <t>N.G.ENTERPRISES</t>
  </si>
  <si>
    <t>SHREE MAHADEV TRADERS (DARBHANGA)</t>
  </si>
  <si>
    <t>BISHWAKARMA HARDWARE STORE (NEPAL)</t>
  </si>
  <si>
    <t>MAHABIR TILES</t>
  </si>
  <si>
    <t>SHRI GANESH PIPE</t>
  </si>
  <si>
    <t>VISHAL HARDWARE.</t>
  </si>
  <si>
    <t>RANJAN KUMAR RAO ENTERPRISES</t>
  </si>
  <si>
    <t>MILAN MARKETING</t>
  </si>
  <si>
    <t>VIJAY BELTING STORE</t>
  </si>
  <si>
    <t>CHANDIMATA ENTERPRISE</t>
  </si>
  <si>
    <t>HINDUSTAN ENTERPRISES (BHAGALPUR)</t>
  </si>
  <si>
    <t>SUVIDHA TRADERS (SIWAN)</t>
  </si>
  <si>
    <t>SRI LAXMI TRADERS</t>
  </si>
  <si>
    <t>VIJAY AGENCIES</t>
  </si>
  <si>
    <t>ALLIED TRADES CORPORATION</t>
  </si>
  <si>
    <t>STANDARD AGENCIES(BEGUSARAI)</t>
  </si>
  <si>
    <t>FRIENDS ELECTRICALS AND PLUMBING</t>
  </si>
  <si>
    <t>BHARAT CORPORATION</t>
  </si>
  <si>
    <t>R.K.SANITATION</t>
  </si>
  <si>
    <t>JAGANNATH ENTERPRISE</t>
  </si>
  <si>
    <t>HOME CENTRE</t>
  </si>
  <si>
    <t>GUPTA TRADERS</t>
  </si>
  <si>
    <t>SHREE HARDWARE (Muzaffarpur)</t>
  </si>
  <si>
    <t>SHREE LAXMI TRADERS</t>
  </si>
  <si>
    <t>AVIRASICO INTERNATIONAL(MUMBAI)</t>
  </si>
  <si>
    <t>BAJRANG TRADERS</t>
  </si>
  <si>
    <t>SIVANI SALES</t>
  </si>
  <si>
    <t>Group</t>
  </si>
  <si>
    <t>Qty this FY</t>
  </si>
  <si>
    <t>Qty last FY</t>
  </si>
  <si>
    <t>Unit</t>
  </si>
  <si>
    <t>Amount this FY</t>
  </si>
  <si>
    <t>Amount last FY</t>
  </si>
  <si>
    <t>NOS</t>
  </si>
  <si>
    <t>Ltr</t>
  </si>
  <si>
    <t>Customer</t>
  </si>
  <si>
    <t>State Head</t>
  </si>
  <si>
    <t>This FY (like months)</t>
  </si>
  <si>
    <t>Last FY (like months)</t>
  </si>
  <si>
    <t>Last FY (full year)</t>
  </si>
  <si>
    <t>Growth % (like)</t>
  </si>
  <si>
    <t>HDPE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</si>
</sst>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,##0.00;[Red]-₹#,##,##0.00"/>
    <numFmt numFmtId="165" formatCode="0.00%;[Red]-0.00%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DF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15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  <row r="12" spans="1:2" x14ac:dyDescent="0.25">
      <c r="A12" s="1" t="s">
        <v>21</v>
      </c>
      <c r="B12" t="s">
        <v>22</v>
      </c>
    </row>
    <row r="13" spans="1:2" x14ac:dyDescent="0.25">
      <c r="A13" s="1" t="s">
        <v>23</v>
      </c>
      <c r="B13" t="s">
        <v>24</v>
      </c>
    </row>
    <row r="14" spans="1:2" x14ac:dyDescent="0.25">
      <c r="A14" s="1" t="s">
        <v>25</v>
      </c>
      <c r="B14" t="s">
        <v>26</v>
      </c>
    </row>
    <row r="15" spans="1:2" x14ac:dyDescent="0.25">
      <c r="A15" s="1" t="s">
        <v>27</v>
      </c>
      <c r="B15" t="s">
        <v>28</v>
      </c>
    </row>
    <row r="16" spans="1:2" x14ac:dyDescent="0.25">
      <c r="A16" s="1" t="s">
        <v>29</v>
      </c>
      <c r="B16" t="s">
        <v>30</v>
      </c>
    </row>
    <row r="17" spans="1:2" x14ac:dyDescent="0.25">
      <c r="A17" s="1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20" customWidth="1"/>
    <col min="5" max="6" width="14" customWidth="1"/>
    <col min="7" max="7" width="24" customWidth="1"/>
    <col min="8" max="8" width="38" customWidth="1"/>
    <col min="9" max="11" width="20" customWidth="1"/>
    <col min="12" max="13" width="14" customWidth="1"/>
  </cols>
  <sheetData>
    <row r="1" spans="7:16" x14ac:dyDescent="0.25"/>
    <row r="2" spans="7:16" x14ac:dyDescent="0.25"/>
    <row r="3" spans="1:16" s="1" customFormat="1" x14ac:dyDescent="0.25">
      <c r="A3" s="1" t="s">
        <v>33</v>
      </c>
      <c r="B3" s="2">
        <f>SUM(C5:C14)</f>
        <v>615961744</v>
      </c>
      <c r="C3" s="2">
        <f>SUM(D5:D14)</f>
        <v>714907309</v>
      </c>
      <c r="D3" s="2">
        <f>D3-C3</f>
        <v>98945565</v>
      </c>
      <c r="E3" s="3">
        <f>IF(C3=0,"",(D3-C3)/ABS(C3))</f>
        <v>0.16063589332262168</v>
      </c>
      <c r="F3" s="3">
        <f>SUM(G5:G14)</f>
        <v>1</v>
      </c>
      <c r="G3" s="1" t="s">
        <v>34</v>
      </c>
      <c r="H3" s="1">
        <f>COUNTIF(K5:K44,"?*")</f>
        <v>40</v>
      </c>
      <c r="I3" s="2">
        <f>SUM(L5:L44)</f>
        <v>255005838</v>
      </c>
      <c r="J3" s="2">
        <f>SUM(M5:M44)</f>
        <v>293286101</v>
      </c>
      <c r="K3" s="2">
        <f>M3-L3</f>
        <v>38280263</v>
      </c>
      <c r="L3" s="3">
        <f>IF(OR(L3="",L3=0),"",(M3-L3)/ABS(L3))</f>
        <v>0.15011524167536902</v>
      </c>
      <c r="M3" s="3">
        <f>SUM(P5:P44)</f>
        <v>1</v>
      </c>
    </row>
    <row r="4" spans="1:16" x14ac:dyDescent="0.25">
      <c r="A4" s="4" t="s">
        <v>35</v>
      </c>
      <c r="B4" s="5" t="s">
        <v>36</v>
      </c>
      <c r="C4" s="5" t="s">
        <v>37</v>
      </c>
      <c r="D4" s="5" t="s">
        <v>38</v>
      </c>
      <c r="E4" s="6" t="s">
        <v>39</v>
      </c>
      <c r="F4" s="6" t="s">
        <v>40</v>
      </c>
      <c r="G4" s="4" t="s">
        <v>41</v>
      </c>
      <c r="H4" s="4" t="s">
        <v>42</v>
      </c>
      <c r="I4" s="5" t="s">
        <v>36</v>
      </c>
      <c r="J4" s="5" t="s">
        <v>37</v>
      </c>
      <c r="K4" s="5" t="s">
        <v>38</v>
      </c>
      <c r="L4" s="6" t="s">
        <v>39</v>
      </c>
      <c r="M4" s="6" t="s">
        <v>40</v>
      </c>
    </row>
    <row r="5" spans="1:16" x14ac:dyDescent="0.25">
      <c r="A5" s="7" t="s">
        <v>34</v>
      </c>
      <c r="B5" s="8">
        <v>255005839</v>
      </c>
      <c r="C5" s="8">
        <v>293286102</v>
      </c>
      <c r="D5" s="8">
        <f>D5-C5</f>
        <v>38280263</v>
      </c>
      <c r="E5" s="9">
        <f>IF(C5=0,"",(D5-C5)/ABS(C5))</f>
        <v>0.15</v>
      </c>
      <c r="F5" s="9">
        <f>IF($D$3=0,"",D5/$D$3)</f>
        <v>0.41</v>
      </c>
      <c r="G5" s="7" t="s">
        <v>43</v>
      </c>
      <c r="H5" s="7" t="s">
        <v>44</v>
      </c>
      <c r="I5" s="8">
        <v>47031210</v>
      </c>
      <c r="J5" s="8">
        <v>37500579</v>
      </c>
      <c r="K5" s="8">
        <f>IF(K5="","",M5-L5)</f>
        <v>-9530631</v>
      </c>
      <c r="L5" s="9">
        <f>IF(OR(K5="",L5=0),"",(M5-L5)/ABS(L5))</f>
        <v>-0.20264481819625735</v>
      </c>
      <c r="M5" s="9">
        <f>IF(OR(K5="",$M$3=0),"",M5/$M$3)</f>
        <v>0.12786347144353766</v>
      </c>
    </row>
    <row r="6" spans="1:16" x14ac:dyDescent="0.25">
      <c r="A6" s="7" t="s">
        <v>45</v>
      </c>
      <c r="B6" s="8">
        <v>101542207</v>
      </c>
      <c r="C6" s="8">
        <v>125794611</v>
      </c>
      <c r="D6" s="8">
        <f>D6-C6</f>
        <v>24252404</v>
      </c>
      <c r="E6" s="9">
        <f>IF(C6=0,"",(D6-C6)/ABS(C6))</f>
        <v>0.239</v>
      </c>
      <c r="F6" s="9">
        <f>IF($D$3=0,"",D6/$D$3)</f>
        <v>0.17600000000000002</v>
      </c>
      <c r="G6" s="7" t="s">
        <v>46</v>
      </c>
      <c r="H6" s="7" t="s">
        <v>47</v>
      </c>
      <c r="I6" s="8">
        <v>30124950</v>
      </c>
      <c r="J6" s="8">
        <v>34500186</v>
      </c>
      <c r="K6" s="8">
        <f>IF(K6="","",M6-L6)</f>
        <v>4375236</v>
      </c>
      <c r="L6" s="9">
        <f>IF(OR(K6="",L6=0),"",(M6-L6)/ABS(L6))</f>
        <v>0.14523629084861553</v>
      </c>
      <c r="M6" s="9">
        <f>IF(OR(K6="",$M$3=0),"",M6/$M$3)</f>
        <v>0.11763321167408475</v>
      </c>
    </row>
    <row r="7" spans="1:16" x14ac:dyDescent="0.25">
      <c r="A7" s="7" t="s">
        <v>48</v>
      </c>
      <c r="B7" s="8">
        <v>76549575</v>
      </c>
      <c r="C7" s="8">
        <v>82768055</v>
      </c>
      <c r="D7" s="8">
        <f>D7-C7</f>
        <v>6218480</v>
      </c>
      <c r="E7" s="9">
        <f>IF(C7=0,"",(D7-C7)/ABS(C7))</f>
        <v>0.081</v>
      </c>
      <c r="F7" s="9">
        <f>IF($D$3=0,"",D7/$D$3)</f>
        <v>0.11599999999999999</v>
      </c>
      <c r="G7" s="7" t="s">
        <v>43</v>
      </c>
      <c r="H7" s="7" t="s">
        <v>49</v>
      </c>
      <c r="I7" s="8">
        <v>28946198</v>
      </c>
      <c r="J7" s="8">
        <v>31708100</v>
      </c>
      <c r="K7" s="8">
        <f>IF(K7="","",M7-L7)</f>
        <v>2761902</v>
      </c>
      <c r="L7" s="9">
        <f>IF(OR(K7="",L7=0),"",(M7-L7)/ABS(L7))</f>
        <v>0.09541501788939605</v>
      </c>
      <c r="M7" s="9">
        <f>IF(OR(K7="",$M$3=0),"",M7/$M$3)</f>
        <v>0.10811320376890278</v>
      </c>
    </row>
    <row r="8" spans="1:16" x14ac:dyDescent="0.25">
      <c r="A8" s="7" t="s">
        <v>50</v>
      </c>
      <c r="B8" s="8">
        <v>62458298</v>
      </c>
      <c r="C8" s="8">
        <v>79980268</v>
      </c>
      <c r="D8" s="8">
        <f>D8-C8</f>
        <v>17521970</v>
      </c>
      <c r="E8" s="9">
        <f>IF(C8=0,"",(D8-C8)/ABS(C8))</f>
        <v>0.281</v>
      </c>
      <c r="F8" s="9">
        <f>IF($D$3=0,"",D8/$D$3)</f>
        <v>0.11199999999999999</v>
      </c>
      <c r="G8" s="7" t="s">
        <v>51</v>
      </c>
      <c r="H8" s="7" t="s">
        <v>52</v>
      </c>
      <c r="I8" s="8" t="s">
        <v>43</v>
      </c>
      <c r="J8" s="8">
        <v>30917223</v>
      </c>
      <c r="K8" s="8">
        <f>IF(K8="","",M8-L8)</f>
        <v>30917223</v>
      </c>
      <c r="L8" s="9">
        <f>IF(OR(K8="",L8=0),"",(M8-L8)/ABS(L8))</f>
      </c>
      <c r="M8" s="9">
        <f>IF(OR(K8="",$M$3=0),"",M8/$M$3)</f>
        <v>0.10541659797236692</v>
      </c>
    </row>
    <row r="9" spans="1:16" x14ac:dyDescent="0.25">
      <c r="A9" s="7" t="s">
        <v>53</v>
      </c>
      <c r="B9" s="8">
        <v>48637856</v>
      </c>
      <c r="C9" s="8">
        <v>50043631</v>
      </c>
      <c r="D9" s="8">
        <f>D9-C9</f>
        <v>1405775</v>
      </c>
      <c r="E9" s="9">
        <f>IF(C9=0,"",(D9-C9)/ABS(C9))</f>
        <v>0.028999999999999998</v>
      </c>
      <c r="F9" s="9">
        <f>IF($D$3=0,"",D9/$D$3)</f>
        <v>0.07</v>
      </c>
      <c r="G9" s="7" t="s">
        <v>43</v>
      </c>
      <c r="H9" s="7" t="s">
        <v>54</v>
      </c>
      <c r="I9" s="8" t="s">
        <v>43</v>
      </c>
      <c r="J9" s="8">
        <v>27162649</v>
      </c>
      <c r="K9" s="8">
        <f>IF(K9="","",M9-L9)</f>
        <v>27162649</v>
      </c>
      <c r="L9" s="9">
        <f>IF(OR(K9="",L9=0),"",(M9-L9)/ABS(L9))</f>
      </c>
      <c r="M9" s="9">
        <f>IF(OR(K9="",$M$3=0),"",M9/$M$3)</f>
        <v>0.0926148525531389</v>
      </c>
    </row>
    <row r="10" spans="1:16" x14ac:dyDescent="0.25">
      <c r="A10" s="7" t="s">
        <v>55</v>
      </c>
      <c r="B10" s="8">
        <v>46269259</v>
      </c>
      <c r="C10" s="8">
        <v>32231470</v>
      </c>
      <c r="D10" s="8">
        <f>D10-C10</f>
        <v>-14037789</v>
      </c>
      <c r="E10" s="9">
        <f>IF(C10=0,"",(D10-C10)/ABS(C10))</f>
        <v>-0.303</v>
      </c>
      <c r="F10" s="9">
        <f>IF($D$3=0,"",D10/$D$3)</f>
        <v>0.045</v>
      </c>
      <c r="G10" s="7" t="s">
        <v>56</v>
      </c>
      <c r="H10" s="7" t="s">
        <v>57</v>
      </c>
      <c r="I10" s="8">
        <v>12596425</v>
      </c>
      <c r="J10" s="8">
        <v>19961157</v>
      </c>
      <c r="K10" s="8">
        <f>IF(K10="","",M10-L10)</f>
        <v>7364732</v>
      </c>
      <c r="L10" s="9">
        <f>IF(OR(K10="",L10=0),"",(M10-L10)/ABS(L10))</f>
        <v>0.5846684277483493</v>
      </c>
      <c r="M10" s="9">
        <f>IF(OR(K10="",$M$3=0),"",M10/$M$3)</f>
        <v>0.06806035789605999</v>
      </c>
    </row>
    <row r="11" spans="1:16" x14ac:dyDescent="0.25">
      <c r="A11" s="7" t="s">
        <v>58</v>
      </c>
      <c r="B11" s="8">
        <v>10438218</v>
      </c>
      <c r="C11" s="8">
        <v>29346625</v>
      </c>
      <c r="D11" s="8">
        <f>D11-C11</f>
        <v>18908407</v>
      </c>
      <c r="E11" s="9">
        <f>IF(C11=0,"",(D11-C11)/ABS(C11))</f>
        <v>1.811</v>
      </c>
      <c r="F11" s="9">
        <f>IF($D$3=0,"",D11/$D$3)</f>
        <v>0.040999999999999995</v>
      </c>
      <c r="G11" s="7" t="s">
        <v>59</v>
      </c>
      <c r="H11" s="7" t="s">
        <v>60</v>
      </c>
      <c r="I11" s="8" t="s">
        <v>43</v>
      </c>
      <c r="J11" s="8">
        <v>18338301</v>
      </c>
      <c r="K11" s="8">
        <f>IF(K11="","",M11-L11)</f>
        <v>18338301</v>
      </c>
      <c r="L11" s="9">
        <f>IF(OR(K11="",L11=0),"",(M11-L11)/ABS(L11))</f>
      </c>
      <c r="M11" s="9">
        <f>IF(OR(K11="",$M$3=0),"",M11/$M$3)</f>
        <v>0.06252700328270926</v>
      </c>
    </row>
    <row r="12" spans="1:16" x14ac:dyDescent="0.25">
      <c r="A12" s="7" t="s">
        <v>61</v>
      </c>
      <c r="B12" s="8">
        <v>14962757</v>
      </c>
      <c r="C12" s="8">
        <v>19603984</v>
      </c>
      <c r="D12" s="8">
        <f>D12-C12</f>
        <v>4641227</v>
      </c>
      <c r="E12" s="9">
        <f>IF(C12=0,"",(D12-C12)/ABS(C12))</f>
        <v>0.31</v>
      </c>
      <c r="F12" s="9">
        <f>IF($D$3=0,"",D12/$D$3)</f>
        <v>0.027000000000000003</v>
      </c>
      <c r="G12" s="7" t="s">
        <v>43</v>
      </c>
      <c r="H12" s="7" t="s">
        <v>62</v>
      </c>
      <c r="I12" s="8">
        <v>12022451</v>
      </c>
      <c r="J12" s="8">
        <v>17583047</v>
      </c>
      <c r="K12" s="8">
        <f>IF(K12="","",M12-L12)</f>
        <v>5560596</v>
      </c>
      <c r="L12" s="9">
        <f>IF(OR(K12="",L12=0),"",(M12-L12)/ABS(L12))</f>
        <v>0.4625176679863366</v>
      </c>
      <c r="M12" s="9">
        <f>IF(OR(K12="",$M$3=0),"",M12/$M$3)</f>
        <v>0.05995185908929247</v>
      </c>
    </row>
    <row r="13" spans="1:16" x14ac:dyDescent="0.25">
      <c r="A13" s="7" t="s">
        <v>63</v>
      </c>
      <c r="B13" s="8">
        <v>0</v>
      </c>
      <c r="C13" s="8">
        <v>1685430</v>
      </c>
      <c r="D13" s="8">
        <f>D13-C13</f>
        <v>1685430</v>
      </c>
      <c r="E13" s="9">
        <f>IF(C13=0,"",(D13-C13)/ABS(C13))</f>
      </c>
      <c r="F13" s="9">
        <f>IF($D$3=0,"",D13/$D$3)</f>
        <v>0.002</v>
      </c>
      <c r="G13" s="7" t="s">
        <v>43</v>
      </c>
      <c r="H13" s="7" t="s">
        <v>64</v>
      </c>
      <c r="I13" s="8">
        <v>13999154</v>
      </c>
      <c r="J13" s="8">
        <v>17166339</v>
      </c>
      <c r="K13" s="8">
        <f>IF(K13="","",M13-L13)</f>
        <v>3167185</v>
      </c>
      <c r="L13" s="9">
        <f>IF(OR(K13="",L13=0),"",(M13-L13)/ABS(L13))</f>
        <v>0.2262411714307879</v>
      </c>
      <c r="M13" s="9">
        <f>IF(OR(K13="",$M$3=0),"",M13/$M$3)</f>
        <v>0.05853103485459749</v>
      </c>
    </row>
    <row r="14" spans="1:16" x14ac:dyDescent="0.25">
      <c r="A14" s="7" t="s">
        <v>65</v>
      </c>
      <c r="B14" s="8">
        <v>97735</v>
      </c>
      <c r="C14" s="8">
        <v>167133</v>
      </c>
      <c r="D14" s="8">
        <f>D14-C14</f>
        <v>69398</v>
      </c>
      <c r="E14" s="9">
        <f>IF(C14=0,"",(D14-C14)/ABS(C14))</f>
        <v>0.71</v>
      </c>
      <c r="F14" s="9">
        <f>IF($D$3=0,"",D14/$D$3)</f>
      </c>
      <c r="G14" s="7" t="s">
        <v>43</v>
      </c>
      <c r="H14" s="7" t="s">
        <v>66</v>
      </c>
      <c r="I14" s="8">
        <v>885489</v>
      </c>
      <c r="J14" s="8">
        <v>8108097</v>
      </c>
      <c r="K14" s="8">
        <f>IF(K14="","",M14-L14)</f>
        <v>7222608</v>
      </c>
      <c r="L14" s="9">
        <f>IF(OR(K14="",L14=0),"",(M14-L14)/ABS(L14))</f>
        <v>8.15663209819659</v>
      </c>
      <c r="M14" s="9">
        <f>IF(OR(K14="",$M$3=0),"",M14/$M$3)</f>
        <v>0.02764569126308512</v>
      </c>
    </row>
    <row r="15" spans="1:16" x14ac:dyDescent="0.25">
      <c r="A15" s="7"/>
      <c r="B15" s="8"/>
      <c r="C15" s="8"/>
      <c r="D15" s="8"/>
      <c r="E15" s="9"/>
      <c r="F15" s="9"/>
      <c r="G15" s="7" t="s">
        <v>43</v>
      </c>
      <c r="H15" s="7" t="s">
        <v>67</v>
      </c>
      <c r="I15" s="8">
        <v>4509505</v>
      </c>
      <c r="J15" s="8">
        <v>6818821</v>
      </c>
      <c r="K15" s="8">
        <f>IF(K15="","",M15-L15)</f>
        <v>2309316</v>
      </c>
      <c r="L15" s="9">
        <f>IF(OR(K15="",L15=0),"",(M15-L15)/ABS(L15))</f>
        <v>0.5120996650408415</v>
      </c>
      <c r="M15" s="9">
        <f>IF(OR(K15="",$M$3=0),"",M15/$M$3)</f>
        <v>0.023249724336578775</v>
      </c>
    </row>
    <row r="16" spans="1:16" x14ac:dyDescent="0.25">
      <c r="A16" s="7"/>
      <c r="B16" s="8"/>
      <c r="C16" s="8"/>
      <c r="D16" s="8"/>
      <c r="E16" s="9"/>
      <c r="F16" s="9"/>
      <c r="G16" s="7" t="s">
        <v>68</v>
      </c>
      <c r="H16" s="7" t="s">
        <v>69</v>
      </c>
      <c r="I16" s="8">
        <v>3228185</v>
      </c>
      <c r="J16" s="8">
        <v>5488272</v>
      </c>
      <c r="K16" s="8">
        <f>IF(K16="","",M16-L16)</f>
        <v>2260087</v>
      </c>
      <c r="L16" s="9">
        <f>IF(OR(K16="",L16=0),"",(M16-L16)/ABS(L16))</f>
        <v>0.7001107433433957</v>
      </c>
      <c r="M16" s="9">
        <f>IF(OR(K16="",$M$3=0),"",M16/$M$3)</f>
        <v>0.018713031341365885</v>
      </c>
    </row>
    <row r="17" spans="1:16" x14ac:dyDescent="0.25">
      <c r="A17" s="7"/>
      <c r="B17" s="8"/>
      <c r="C17" s="8"/>
      <c r="D17" s="8"/>
      <c r="E17" s="9"/>
      <c r="F17" s="9"/>
      <c r="G17" s="7" t="s">
        <v>70</v>
      </c>
      <c r="H17" s="7" t="s">
        <v>71</v>
      </c>
      <c r="I17" s="8">
        <v>6516504</v>
      </c>
      <c r="J17" s="8">
        <v>5267750</v>
      </c>
      <c r="K17" s="8">
        <f>IF(K17="","",M17-L17)</f>
        <v>-1248754</v>
      </c>
      <c r="L17" s="9">
        <f>IF(OR(K17="",L17=0),"",(M17-L17)/ABS(L17))</f>
        <v>-0.19162943811589772</v>
      </c>
      <c r="M17" s="9">
        <f>IF(OR(K17="",$M$3=0),"",M17/$M$3)</f>
        <v>0.017961130725386812</v>
      </c>
    </row>
    <row r="18" spans="1:16" x14ac:dyDescent="0.25">
      <c r="A18" s="7"/>
      <c r="B18" s="8"/>
      <c r="C18" s="8"/>
      <c r="D18" s="8"/>
      <c r="E18" s="9"/>
      <c r="F18" s="9"/>
      <c r="G18" s="7" t="s">
        <v>43</v>
      </c>
      <c r="H18" s="7" t="s">
        <v>72</v>
      </c>
      <c r="I18" s="8" t="s">
        <v>43</v>
      </c>
      <c r="J18" s="8">
        <v>4719479</v>
      </c>
      <c r="K18" s="8">
        <f>IF(K18="","",M18-L18)</f>
        <v>4719479</v>
      </c>
      <c r="L18" s="9">
        <f>IF(OR(K18="",L18=0),"",(M18-L18)/ABS(L18))</f>
      </c>
      <c r="M18" s="9">
        <f>IF(OR(K18="",$M$3=0),"",M18/$M$3)</f>
        <v>0.016091724032977615</v>
      </c>
    </row>
    <row r="19" spans="1:16" x14ac:dyDescent="0.25">
      <c r="A19" s="7"/>
      <c r="B19" s="8"/>
      <c r="C19" s="8"/>
      <c r="D19" s="8"/>
      <c r="E19" s="9"/>
      <c r="F19" s="9"/>
      <c r="G19" s="7" t="s">
        <v>43</v>
      </c>
      <c r="H19" s="7" t="s">
        <v>73</v>
      </c>
      <c r="I19" s="8">
        <v>10625462</v>
      </c>
      <c r="J19" s="8">
        <v>4270790</v>
      </c>
      <c r="K19" s="8">
        <f>IF(K19="","",M19-L19)</f>
        <v>-6354672</v>
      </c>
      <c r="L19" s="9">
        <f>IF(OR(K19="",L19=0),"",(M19-L19)/ABS(L19))</f>
        <v>-0.5980607713810467</v>
      </c>
      <c r="M19" s="9">
        <f>IF(OR(K19="",$M$3=0),"",M19/$M$3)</f>
        <v>0.014561856103777656</v>
      </c>
    </row>
    <row r="20" spans="1:16" x14ac:dyDescent="0.25">
      <c r="A20" s="7"/>
      <c r="B20" s="8"/>
      <c r="C20" s="8"/>
      <c r="D20" s="8"/>
      <c r="E20" s="9"/>
      <c r="F20" s="9"/>
      <c r="G20" s="7" t="s">
        <v>43</v>
      </c>
      <c r="H20" s="7" t="s">
        <v>74</v>
      </c>
      <c r="I20" s="8">
        <v>3508559</v>
      </c>
      <c r="J20" s="8">
        <v>2852443</v>
      </c>
      <c r="K20" s="8">
        <f>IF(K20="","",M20-L20)</f>
        <v>-656116</v>
      </c>
      <c r="L20" s="9">
        <f>IF(OR(K20="",L20=0),"",(M20-L20)/ABS(L20))</f>
        <v>-0.18700440836252147</v>
      </c>
      <c r="M20" s="9">
        <f>IF(OR(K20="",$M$3=0),"",M20/$M$3)</f>
        <v>0.009725803542255143</v>
      </c>
    </row>
    <row r="21" spans="1:16" x14ac:dyDescent="0.25">
      <c r="A21" s="7"/>
      <c r="B21" s="8"/>
      <c r="C21" s="8"/>
      <c r="D21" s="8"/>
      <c r="E21" s="9"/>
      <c r="F21" s="9"/>
      <c r="G21" s="7" t="s">
        <v>43</v>
      </c>
      <c r="H21" s="7" t="s">
        <v>75</v>
      </c>
      <c r="I21" s="8">
        <v>884419</v>
      </c>
      <c r="J21" s="8">
        <v>2768964</v>
      </c>
      <c r="K21" s="8">
        <f>IF(K21="","",M21-L21)</f>
        <v>1884545</v>
      </c>
      <c r="L21" s="9">
        <f>IF(OR(K21="",L21=0),"",(M21-L21)/ABS(L21))</f>
        <v>2.130828261265305</v>
      </c>
      <c r="M21" s="9">
        <f>IF(OR(K21="",$M$3=0),"",M21/$M$3)</f>
        <v>0.00944117021079018</v>
      </c>
    </row>
    <row r="22" spans="1:16" x14ac:dyDescent="0.25">
      <c r="A22" s="7"/>
      <c r="B22" s="8"/>
      <c r="C22" s="8"/>
      <c r="D22" s="8"/>
      <c r="E22" s="9"/>
      <c r="F22" s="9"/>
      <c r="G22" s="7" t="s">
        <v>43</v>
      </c>
      <c r="H22" s="7" t="s">
        <v>76</v>
      </c>
      <c r="I22" s="8" t="s">
        <v>43</v>
      </c>
      <c r="J22" s="8">
        <v>2660697</v>
      </c>
      <c r="K22" s="8">
        <f>IF(K22="","",M22-L22)</f>
        <v>2660697</v>
      </c>
      <c r="L22" s="9">
        <f>IF(OR(K22="",L22=0),"",(M22-L22)/ABS(L22))</f>
      </c>
      <c r="M22" s="9">
        <f>IF(OR(K22="",$M$3=0),"",M22/$M$3)</f>
        <v>0.009072018724815056</v>
      </c>
    </row>
    <row r="23" spans="1:16" x14ac:dyDescent="0.25">
      <c r="A23" s="7"/>
      <c r="B23" s="8"/>
      <c r="C23" s="8"/>
      <c r="D23" s="8"/>
      <c r="E23" s="9"/>
      <c r="F23" s="9"/>
      <c r="G23" s="7" t="s">
        <v>43</v>
      </c>
      <c r="H23" s="7" t="s">
        <v>77</v>
      </c>
      <c r="I23" s="8">
        <v>4689669</v>
      </c>
      <c r="J23" s="8">
        <v>2624289</v>
      </c>
      <c r="K23" s="8">
        <f>IF(K23="","",M23-L23)</f>
        <v>-2065380</v>
      </c>
      <c r="L23" s="9">
        <f>IF(OR(K23="",L23=0),"",(M23-L23)/ABS(L23))</f>
        <v>-0.4404106132010596</v>
      </c>
      <c r="M23" s="9">
        <f>IF(OR(K23="",$M$3=0),"",M23/$M$3)</f>
        <v>0.008947880554353306</v>
      </c>
    </row>
    <row r="24" spans="1:16" x14ac:dyDescent="0.25">
      <c r="A24" s="7"/>
      <c r="B24" s="8"/>
      <c r="C24" s="8"/>
      <c r="D24" s="8"/>
      <c r="E24" s="9"/>
      <c r="F24" s="9"/>
      <c r="G24" s="7" t="s">
        <v>78</v>
      </c>
      <c r="H24" s="7" t="s">
        <v>79</v>
      </c>
      <c r="I24" s="8" t="s">
        <v>43</v>
      </c>
      <c r="J24" s="8">
        <v>2590055</v>
      </c>
      <c r="K24" s="8">
        <f>IF(K24="","",M24-L24)</f>
        <v>2590055</v>
      </c>
      <c r="L24" s="9">
        <f>IF(OR(K24="",L24=0),"",(M24-L24)/ABS(L24))</f>
      </c>
      <c r="M24" s="9">
        <f>IF(OR(K24="",$M$3=0),"",M24/$M$3)</f>
        <v>0.008831154941092828</v>
      </c>
    </row>
    <row r="25" spans="1:16" x14ac:dyDescent="0.25">
      <c r="A25" s="7"/>
      <c r="B25" s="8"/>
      <c r="C25" s="8"/>
      <c r="D25" s="8"/>
      <c r="E25" s="9"/>
      <c r="F25" s="9"/>
      <c r="G25" s="7" t="s">
        <v>43</v>
      </c>
      <c r="H25" s="7" t="s">
        <v>80</v>
      </c>
      <c r="I25" s="8">
        <v>3259902</v>
      </c>
      <c r="J25" s="8">
        <v>1891733</v>
      </c>
      <c r="K25" s="8">
        <f>IF(K25="","",M25-L25)</f>
        <v>-1368169</v>
      </c>
      <c r="L25" s="9">
        <f>IF(OR(K25="",L25=0),"",(M25-L25)/ABS(L25))</f>
        <v>-0.41969635897030033</v>
      </c>
      <c r="M25" s="9">
        <f>IF(OR(K25="",$M$3=0),"",M25/$M$3)</f>
        <v>0.006450128367999273</v>
      </c>
    </row>
    <row r="26" spans="1:16" x14ac:dyDescent="0.25">
      <c r="A26" s="7"/>
      <c r="B26" s="8"/>
      <c r="C26" s="8"/>
      <c r="D26" s="8"/>
      <c r="E26" s="9"/>
      <c r="F26" s="9"/>
      <c r="G26" s="7" t="s">
        <v>81</v>
      </c>
      <c r="H26" s="7" t="s">
        <v>82</v>
      </c>
      <c r="I26" s="8">
        <v>1475412</v>
      </c>
      <c r="J26" s="8">
        <v>1784904</v>
      </c>
      <c r="K26" s="8">
        <f>IF(K26="","",M26-L26)</f>
        <v>309492</v>
      </c>
      <c r="L26" s="9">
        <f>IF(OR(K26="",L26=0),"",(M26-L26)/ABS(L26))</f>
        <v>0.2097664923424779</v>
      </c>
      <c r="M26" s="9">
        <f>IF(OR(K26="",$M$3=0),"",M26/$M$3)</f>
        <v>0.006085879944239158</v>
      </c>
    </row>
    <row r="27" spans="1:16" x14ac:dyDescent="0.25">
      <c r="A27" s="7"/>
      <c r="B27" s="8"/>
      <c r="C27" s="8"/>
      <c r="D27" s="8"/>
      <c r="E27" s="9"/>
      <c r="F27" s="9"/>
      <c r="G27" s="7" t="s">
        <v>81</v>
      </c>
      <c r="H27" s="7" t="s">
        <v>83</v>
      </c>
      <c r="I27" s="8" t="s">
        <v>43</v>
      </c>
      <c r="J27" s="8">
        <v>1476910</v>
      </c>
      <c r="K27" s="8">
        <f>IF(K27="","",M27-L27)</f>
        <v>1476910</v>
      </c>
      <c r="L27" s="9">
        <f>IF(OR(K27="",L27=0),"",(M27-L27)/ABS(L27))</f>
      </c>
      <c r="M27" s="9">
        <f>IF(OR(K27="",$M$3=0),"",M27/$M$3)</f>
        <v>0.005035731304566663</v>
      </c>
    </row>
    <row r="28" spans="1:16" x14ac:dyDescent="0.25">
      <c r="A28" s="7"/>
      <c r="B28" s="8"/>
      <c r="C28" s="8"/>
      <c r="D28" s="8"/>
      <c r="E28" s="9"/>
      <c r="F28" s="9"/>
      <c r="G28" s="7" t="s">
        <v>84</v>
      </c>
      <c r="H28" s="7" t="s">
        <v>85</v>
      </c>
      <c r="I28" s="8">
        <v>1559827</v>
      </c>
      <c r="J28" s="8">
        <v>1263584</v>
      </c>
      <c r="K28" s="8">
        <f>IF(K28="","",M28-L28)</f>
        <v>-296243</v>
      </c>
      <c r="L28" s="9">
        <f>IF(OR(K28="",L28=0),"",(M28-L28)/ABS(L28))</f>
        <v>-0.18992042066203496</v>
      </c>
      <c r="M28" s="9">
        <f>IF(OR(K28="",$M$3=0),"",M28/$M$3)</f>
        <v>0.004308366457502192</v>
      </c>
    </row>
    <row r="29" spans="1:16" x14ac:dyDescent="0.25">
      <c r="A29" s="7"/>
      <c r="B29" s="8"/>
      <c r="C29" s="8"/>
      <c r="D29" s="8"/>
      <c r="E29" s="9"/>
      <c r="F29" s="9"/>
      <c r="G29" s="7" t="s">
        <v>43</v>
      </c>
      <c r="H29" s="7" t="s">
        <v>86</v>
      </c>
      <c r="I29" s="8" t="s">
        <v>43</v>
      </c>
      <c r="J29" s="8">
        <v>637070</v>
      </c>
      <c r="K29" s="8">
        <f>IF(K29="","",M29-L29)</f>
        <v>637070</v>
      </c>
      <c r="L29" s="9">
        <f>IF(OR(K29="",L29=0),"",(M29-L29)/ABS(L29))</f>
      </c>
      <c r="M29" s="9">
        <f>IF(OR(K29="",$M$3=0),"",M29/$M$3)</f>
        <v>0.0021721793082857344</v>
      </c>
    </row>
    <row r="30" spans="1:16" x14ac:dyDescent="0.25">
      <c r="A30" s="7"/>
      <c r="B30" s="8"/>
      <c r="C30" s="8"/>
      <c r="D30" s="8"/>
      <c r="E30" s="9"/>
      <c r="F30" s="9"/>
      <c r="G30" s="7" t="s">
        <v>43</v>
      </c>
      <c r="H30" s="7" t="s">
        <v>87</v>
      </c>
      <c r="I30" s="8" t="s">
        <v>43</v>
      </c>
      <c r="J30" s="8">
        <v>557959</v>
      </c>
      <c r="K30" s="8">
        <f>IF(K30="","",M30-L30)</f>
        <v>557959</v>
      </c>
      <c r="L30" s="9">
        <f>IF(OR(K30="",L30=0),"",(M30-L30)/ABS(L30))</f>
      </c>
      <c r="M30" s="9">
        <f>IF(OR(K30="",$M$3=0),"",M30/$M$3)</f>
        <v>0.00190243928402185</v>
      </c>
    </row>
    <row r="31" spans="1:16" x14ac:dyDescent="0.25">
      <c r="A31" s="7"/>
      <c r="B31" s="8"/>
      <c r="C31" s="8"/>
      <c r="D31" s="8"/>
      <c r="E31" s="9"/>
      <c r="F31" s="9"/>
      <c r="G31" s="7" t="s">
        <v>43</v>
      </c>
      <c r="H31" s="7" t="s">
        <v>88</v>
      </c>
      <c r="I31" s="8">
        <v>730034</v>
      </c>
      <c r="J31" s="8">
        <v>545862</v>
      </c>
      <c r="K31" s="8">
        <f>IF(K31="","",M31-L31)</f>
        <v>-184172</v>
      </c>
      <c r="L31" s="9">
        <f>IF(OR(K31="",L31=0),"",(M31-L31)/ABS(L31))</f>
        <v>-0.25227866099387153</v>
      </c>
      <c r="M31" s="9">
        <f>IF(OR(K31="",$M$3=0),"",M31/$M$3)</f>
        <v>0.0018611928698250859</v>
      </c>
    </row>
    <row r="32" spans="1:16" x14ac:dyDescent="0.25">
      <c r="A32" s="7"/>
      <c r="B32" s="8"/>
      <c r="C32" s="8"/>
      <c r="D32" s="8"/>
      <c r="E32" s="9"/>
      <c r="F32" s="9"/>
      <c r="G32" s="7" t="s">
        <v>43</v>
      </c>
      <c r="H32" s="7" t="s">
        <v>89</v>
      </c>
      <c r="I32" s="8">
        <v>1802935</v>
      </c>
      <c r="J32" s="8">
        <v>510409</v>
      </c>
      <c r="K32" s="8">
        <f>IF(K32="","",M32-L32)</f>
        <v>-1292526</v>
      </c>
      <c r="L32" s="9">
        <f>IF(OR(K32="",L32=0),"",(M32-L32)/ABS(L32))</f>
        <v>-0.7169010530052387</v>
      </c>
      <c r="M32" s="9">
        <f>IF(OR(K32="",$M$3=0),"",M32/$M$3)</f>
        <v>0.0017403109054936088</v>
      </c>
    </row>
    <row r="33" spans="1:16" x14ac:dyDescent="0.25">
      <c r="A33" s="7"/>
      <c r="B33" s="8"/>
      <c r="C33" s="8"/>
      <c r="D33" s="8"/>
      <c r="E33" s="9"/>
      <c r="F33" s="9"/>
      <c r="G33" s="7" t="s">
        <v>43</v>
      </c>
      <c r="H33" s="7" t="s">
        <v>90</v>
      </c>
      <c r="I33" s="8" t="s">
        <v>43</v>
      </c>
      <c r="J33" s="8">
        <v>363640</v>
      </c>
      <c r="K33" s="8">
        <f>IF(K33="","",M33-L33)</f>
        <v>363640</v>
      </c>
      <c r="L33" s="9">
        <f>IF(OR(K33="",L33=0),"",(M33-L33)/ABS(L33))</f>
      </c>
      <c r="M33" s="9">
        <f>IF(OR(K33="",$M$3=0),"",M33/$M$3)</f>
        <v>0.0012398814630496247</v>
      </c>
    </row>
    <row r="34" spans="1:16" x14ac:dyDescent="0.25">
      <c r="A34" s="7"/>
      <c r="B34" s="8"/>
      <c r="C34" s="8"/>
      <c r="D34" s="8"/>
      <c r="E34" s="9"/>
      <c r="F34" s="9"/>
      <c r="G34" s="7" t="s">
        <v>43</v>
      </c>
      <c r="H34" s="7" t="s">
        <v>91</v>
      </c>
      <c r="I34" s="8">
        <v>14655</v>
      </c>
      <c r="J34" s="8">
        <v>294306</v>
      </c>
      <c r="K34" s="8">
        <f>IF(K34="","",M34-L34)</f>
        <v>279651</v>
      </c>
      <c r="L34" s="9">
        <f>IF(OR(K34="",L34=0),"",(M34-L34)/ABS(L34))</f>
        <v>19.08229273285568</v>
      </c>
      <c r="M34" s="9">
        <f>IF(OR(K34="",$M$3=0),"",M34/$M$3)</f>
        <v>0.0010034774883518943</v>
      </c>
    </row>
    <row r="35" spans="1:16" x14ac:dyDescent="0.25">
      <c r="A35" s="7"/>
      <c r="B35" s="8"/>
      <c r="C35" s="8"/>
      <c r="D35" s="8"/>
      <c r="E35" s="9"/>
      <c r="F35" s="9"/>
      <c r="G35" s="7" t="s">
        <v>43</v>
      </c>
      <c r="H35" s="7" t="s">
        <v>92</v>
      </c>
      <c r="I35" s="8" t="s">
        <v>43</v>
      </c>
      <c r="J35" s="8">
        <v>268113</v>
      </c>
      <c r="K35" s="8">
        <f>IF(K35="","",M35-L35)</f>
        <v>268113</v>
      </c>
      <c r="L35" s="9">
        <f>IF(OR(K35="",L35=0),"",(M35-L35)/ABS(L35))</f>
      </c>
      <c r="M35" s="9">
        <f>IF(OR(K35="",$M$3=0),"",M35/$M$3)</f>
        <v>0.0009141687897443186</v>
      </c>
    </row>
    <row r="36" spans="1:16" x14ac:dyDescent="0.25">
      <c r="A36" s="7"/>
      <c r="B36" s="8"/>
      <c r="C36" s="8"/>
      <c r="D36" s="8"/>
      <c r="E36" s="9"/>
      <c r="F36" s="9"/>
      <c r="G36" s="7" t="s">
        <v>93</v>
      </c>
      <c r="H36" s="7" t="s">
        <v>94</v>
      </c>
      <c r="I36" s="8">
        <v>452495</v>
      </c>
      <c r="J36" s="8">
        <v>167500</v>
      </c>
      <c r="K36" s="8">
        <f>IF(K36="","",M36-L36)</f>
        <v>-284995</v>
      </c>
      <c r="L36" s="9">
        <f>IF(OR(K36="",L36=0),"",(M36-L36)/ABS(L36))</f>
        <v>-0.629830163869214</v>
      </c>
      <c r="M36" s="9">
        <f>IF(OR(K36="",$M$3=0),"",M36/$M$3)</f>
        <v>0.0005711146877703557</v>
      </c>
    </row>
    <row r="37" spans="1:16" x14ac:dyDescent="0.25">
      <c r="A37" s="7"/>
      <c r="B37" s="8"/>
      <c r="C37" s="8"/>
      <c r="D37" s="8"/>
      <c r="E37" s="9"/>
      <c r="F37" s="9"/>
      <c r="G37" s="7" t="s">
        <v>43</v>
      </c>
      <c r="H37" s="7" t="s">
        <v>95</v>
      </c>
      <c r="I37" s="8">
        <v>8109</v>
      </c>
      <c r="J37" s="8">
        <v>135967</v>
      </c>
      <c r="K37" s="8">
        <f>IF(K37="","",M37-L37)</f>
        <v>127858</v>
      </c>
      <c r="L37" s="9">
        <f>IF(OR(K37="",L37=0),"",(M37-L37)/ABS(L37))</f>
        <v>15.767418917252435</v>
      </c>
      <c r="M37" s="9">
        <f>IF(OR(K37="",$M$3=0),"",M37/$M$3)</f>
        <v>0.00046359851195266837</v>
      </c>
    </row>
    <row r="38" spans="1:16" x14ac:dyDescent="0.25">
      <c r="A38" s="7"/>
      <c r="B38" s="8"/>
      <c r="C38" s="8"/>
      <c r="D38" s="8"/>
      <c r="E38" s="9"/>
      <c r="F38" s="9"/>
      <c r="G38" s="7" t="s">
        <v>43</v>
      </c>
      <c r="H38" s="7" t="s">
        <v>96</v>
      </c>
      <c r="I38" s="8" t="s">
        <v>43</v>
      </c>
      <c r="J38" s="8">
        <v>134917</v>
      </c>
      <c r="K38" s="8">
        <f>IF(K38="","",M38-L38)</f>
        <v>134917</v>
      </c>
      <c r="L38" s="9">
        <f>IF(OR(K38="",L38=0),"",(M38-L38)/ABS(L38))</f>
      </c>
      <c r="M38" s="9">
        <f>IF(OR(K38="",$M$3=0),"",M38/$M$3)</f>
        <v>0.00046001839002933183</v>
      </c>
    </row>
    <row r="39" spans="1:16" x14ac:dyDescent="0.25">
      <c r="A39" s="7"/>
      <c r="B39" s="8"/>
      <c r="C39" s="8"/>
      <c r="D39" s="8"/>
      <c r="E39" s="9"/>
      <c r="F39" s="9"/>
      <c r="G39" s="7" t="s">
        <v>97</v>
      </c>
      <c r="H39" s="7" t="s">
        <v>98</v>
      </c>
      <c r="I39" s="8">
        <v>353403</v>
      </c>
      <c r="J39" s="8">
        <v>134753</v>
      </c>
      <c r="K39" s="8">
        <f>IF(K39="","",M39-L39)</f>
        <v>-218650</v>
      </c>
      <c r="L39" s="9">
        <f>IF(OR(K39="",L39=0),"",(M39-L39)/ABS(L39))</f>
        <v>-0.6186987659980249</v>
      </c>
      <c r="M39" s="9">
        <f>IF(OR(K39="",$M$3=0),"",M39/$M$3)</f>
        <v>0.0004594592090813059</v>
      </c>
    </row>
    <row r="40" spans="1:16" x14ac:dyDescent="0.25">
      <c r="A40" s="7"/>
      <c r="B40" s="8"/>
      <c r="C40" s="8"/>
      <c r="D40" s="8"/>
      <c r="E40" s="9"/>
      <c r="F40" s="9"/>
      <c r="G40" s="7" t="s">
        <v>43</v>
      </c>
      <c r="H40" s="7" t="s">
        <v>99</v>
      </c>
      <c r="I40" s="8">
        <v>637408</v>
      </c>
      <c r="J40" s="8">
        <v>111236</v>
      </c>
      <c r="K40" s="8">
        <f>IF(K40="","",M40-L40)</f>
        <v>-526172</v>
      </c>
      <c r="L40" s="9">
        <f>IF(OR(K40="",L40=0),"",(M40-L40)/ABS(L40))</f>
        <v>-0.8254869722375622</v>
      </c>
      <c r="M40" s="9">
        <f>IF(OR(K40="",$M$3=0),"",M40/$M$3)</f>
        <v>0.00037927470691834794</v>
      </c>
    </row>
    <row r="41" spans="1:16" x14ac:dyDescent="0.25">
      <c r="A41" s="7"/>
      <c r="B41" s="8"/>
      <c r="C41" s="8"/>
      <c r="D41" s="8"/>
      <c r="E41" s="9"/>
      <c r="F41" s="9"/>
      <c r="G41" s="7" t="s">
        <v>43</v>
      </c>
      <c r="H41" s="7" t="s">
        <v>100</v>
      </c>
      <c r="I41" s="8">
        <v>52574849</v>
      </c>
      <c r="J41" s="8" t="s">
        <v>43</v>
      </c>
      <c r="K41" s="8">
        <f>IF(K41="","",M41-L41)</f>
        <v>-52574849</v>
      </c>
      <c r="L41" s="9">
        <f>IF(OR(K41="",L41=0),"",(M41-L41)/ABS(L41))</f>
        <v>-1</v>
      </c>
      <c r="M41" s="9">
        <f>IF(OR(K41="",$M$3=0),"",M41/$M$3)</f>
      </c>
    </row>
    <row r="42" spans="1:16" x14ac:dyDescent="0.25">
      <c r="A42" s="7"/>
      <c r="B42" s="8"/>
      <c r="C42" s="8"/>
      <c r="D42" s="8"/>
      <c r="E42" s="9"/>
      <c r="F42" s="9"/>
      <c r="G42" s="7" t="s">
        <v>70</v>
      </c>
      <c r="H42" s="7" t="s">
        <v>101</v>
      </c>
      <c r="I42" s="8">
        <v>11959313</v>
      </c>
      <c r="J42" s="8" t="s">
        <v>43</v>
      </c>
      <c r="K42" s="8">
        <f>IF(K42="","",M42-L42)</f>
        <v>-11959313</v>
      </c>
      <c r="L42" s="9">
        <f>IF(OR(K42="",L42=0),"",(M42-L42)/ABS(L42))</f>
        <v>-1</v>
      </c>
      <c r="M42" s="9">
        <f>IF(OR(K42="",$M$3=0),"",M42/$M$3)</f>
      </c>
    </row>
    <row r="43" spans="1:16" x14ac:dyDescent="0.25">
      <c r="A43" s="7"/>
      <c r="B43" s="8"/>
      <c r="C43" s="8"/>
      <c r="D43" s="8"/>
      <c r="E43" s="9"/>
      <c r="F43" s="9"/>
      <c r="G43" s="7" t="s">
        <v>43</v>
      </c>
      <c r="H43" s="7" t="s">
        <v>102</v>
      </c>
      <c r="I43" s="8">
        <v>494390</v>
      </c>
      <c r="J43" s="8" t="s">
        <v>43</v>
      </c>
      <c r="K43" s="8">
        <f>IF(K43="","",M43-L43)</f>
        <v>-494390</v>
      </c>
      <c r="L43" s="9">
        <f>IF(OR(K43="",L43=0),"",(M43-L43)/ABS(L43))</f>
        <v>-1</v>
      </c>
      <c r="M43" s="9">
        <f>IF(OR(K43="",$M$3=0),"",M43/$M$3)</f>
      </c>
    </row>
    <row r="44" spans="1:16" x14ac:dyDescent="0.25">
      <c r="A44" s="7"/>
      <c r="B44" s="8"/>
      <c r="C44" s="8"/>
      <c r="D44" s="8"/>
      <c r="E44" s="9"/>
      <c r="F44" s="9"/>
      <c r="G44" s="7" t="s">
        <v>43</v>
      </c>
      <c r="H44" s="7" t="s">
        <v>103</v>
      </c>
      <c r="I44" s="8">
        <v>114926</v>
      </c>
      <c r="J44" s="8" t="s">
        <v>43</v>
      </c>
      <c r="K44" s="8">
        <f>IF(K44="","",M44-L44)</f>
        <v>-114926</v>
      </c>
      <c r="L44" s="9">
        <f>IF(OR(K44="",L44=0),"",(M44-L44)/ABS(L44))</f>
        <v>-1</v>
      </c>
      <c r="M44" s="9">
        <f>IF(OR(K44="",$M$3=0),"",M44/$M$3)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20" customWidth="1"/>
    <col min="7" max="7" width="38" customWidth="1"/>
    <col min="8" max="8" width="24" customWidth="1"/>
    <col min="9" max="23" width="16" customWidth="1"/>
  </cols>
  <sheetData>
    <row r="1" spans="7:26" x14ac:dyDescent="0.25"/>
    <row r="2" spans="1:26" s="1" customFormat="1" x14ac:dyDescent="0.25">
      <c r="A2" s="1" t="s">
        <v>33</v>
      </c>
      <c r="B2" s="2">
        <f>SUM(C4:C13)</f>
        <v>615961744</v>
      </c>
      <c r="C2" s="2">
        <f>SUM(D4:D13)</f>
        <v>714907309</v>
      </c>
      <c r="D2" s="2">
        <f>D2-C2</f>
        <v>98945565</v>
      </c>
      <c r="E2" s="3">
        <f>IF(C2=0,"",(D2-C2)/ABS(C2))</f>
        <v>0.16063589332262168</v>
      </c>
      <c r="F2" s="3">
        <f>SUM(G4:G13)</f>
        <v>1</v>
      </c>
      <c r="G2" s="1" t="s">
        <v>104</v>
      </c>
      <c r="H2" s="1" t="s">
        <v>34</v>
      </c>
      <c r="I2" s="2">
        <v>16740551</v>
      </c>
      <c r="J2" s="2">
        <v>17556270</v>
      </c>
      <c r="K2" s="3">
        <f>IF(OR(L2="",M2="",L2=0),"",(M2-L2)/ABS(L2))</f>
        <v>0.04872712971036616</v>
      </c>
      <c r="L2" s="2">
        <v>54981515</v>
      </c>
      <c r="M2" s="2">
        <v>41435429</v>
      </c>
      <c r="N2" s="3">
        <f>IF(OR(O2="",P2="",O2=0),"",(P2-O2)/ABS(O2))</f>
        <v>-0.2463752772181705</v>
      </c>
      <c r="O2" s="2">
        <v>89613198</v>
      </c>
      <c r="P2" s="2">
        <v>80272708</v>
      </c>
      <c r="Q2" s="3">
        <f>IF(OR(R2="",S2="",R2=0),"",(S2-R2)/ABS(R2))</f>
        <v>-0.10423118701778727</v>
      </c>
      <c r="R2" s="2">
        <v>49715189</v>
      </c>
      <c r="S2" s="2">
        <v>78282866</v>
      </c>
      <c r="T2" s="3">
        <f>IF(OR(U2="",V2="",U2=0),"",(V2-U2)/ABS(U2))</f>
        <v>0.5746267403308072</v>
      </c>
      <c r="U2" s="2">
        <v>43955386</v>
      </c>
      <c r="V2" s="2">
        <v>75738829</v>
      </c>
      <c r="W2" s="3">
        <f>IF(OR(X2="",Y2="",X2=0),"",(Y2-X2)/ABS(X2))</f>
        <v>0.7230841517351253</v>
      </c>
    </row>
    <row r="3" spans="1:26" x14ac:dyDescent="0.25">
      <c r="A3" s="4" t="s">
        <v>35</v>
      </c>
      <c r="B3" s="5" t="s">
        <v>36</v>
      </c>
      <c r="C3" s="5" t="s">
        <v>37</v>
      </c>
      <c r="D3" s="5" t="s">
        <v>38</v>
      </c>
      <c r="E3" s="6" t="s">
        <v>39</v>
      </c>
      <c r="F3" s="6" t="s">
        <v>40</v>
      </c>
      <c r="G3" s="4" t="s">
        <v>42</v>
      </c>
      <c r="H3" s="4" t="s">
        <v>41</v>
      </c>
      <c r="I3" s="4" t="s">
        <v>105</v>
      </c>
      <c r="J3" s="4" t="s">
        <v>106</v>
      </c>
      <c r="K3" s="4" t="s">
        <v>107</v>
      </c>
      <c r="L3" s="4" t="s">
        <v>108</v>
      </c>
      <c r="M3" s="4" t="s">
        <v>109</v>
      </c>
      <c r="N3" s="4" t="s">
        <v>110</v>
      </c>
      <c r="O3" s="4" t="s">
        <v>111</v>
      </c>
      <c r="P3" s="4" t="s">
        <v>112</v>
      </c>
      <c r="Q3" s="4" t="s">
        <v>113</v>
      </c>
      <c r="R3" s="4" t="s">
        <v>114</v>
      </c>
      <c r="S3" s="4" t="s">
        <v>115</v>
      </c>
      <c r="T3" s="4" t="s">
        <v>116</v>
      </c>
      <c r="U3" s="4" t="s">
        <v>117</v>
      </c>
      <c r="V3" s="4" t="s">
        <v>118</v>
      </c>
      <c r="W3" s="4" t="s">
        <v>119</v>
      </c>
    </row>
    <row r="4" spans="1:26" x14ac:dyDescent="0.25">
      <c r="A4" s="7" t="s">
        <v>34</v>
      </c>
      <c r="B4" s="8">
        <v>255005839</v>
      </c>
      <c r="C4" s="8">
        <v>293286102</v>
      </c>
      <c r="D4" s="8">
        <f>D4-C4</f>
        <v>38280263</v>
      </c>
      <c r="E4" s="9">
        <f>IF(C4=0,"",(D4-C4)/ABS(C4))</f>
        <v>0.15</v>
      </c>
      <c r="F4" s="9">
        <f>IF($D$2=0,"",D4/$D$2)</f>
        <v>0.41</v>
      </c>
      <c r="G4" s="7" t="s">
        <v>44</v>
      </c>
      <c r="H4" s="7" t="s">
        <v>43</v>
      </c>
      <c r="I4" s="8">
        <v>6022948</v>
      </c>
      <c r="J4" s="8">
        <v>2113177</v>
      </c>
      <c r="K4" s="9">
        <f>IF(OR(L4="",M4="",L4=0),"",(M4-L4)/ABS(L4))</f>
        <v>-0.6491457339495543</v>
      </c>
      <c r="L4" s="8">
        <v>8109395</v>
      </c>
      <c r="M4" s="8">
        <v>6575079</v>
      </c>
      <c r="N4" s="9">
        <f>IF(OR(O4="",P4="",O4=0),"",(P4-O4)/ABS(O4))</f>
        <v>-0.18920227711191773</v>
      </c>
      <c r="O4" s="8">
        <v>15499815</v>
      </c>
      <c r="P4" s="8">
        <v>9563658</v>
      </c>
      <c r="Q4" s="9">
        <f>IF(OR(R4="",S4="",R4=0),"",(S4-R4)/ABS(R4))</f>
        <v>-0.38298244204850185</v>
      </c>
      <c r="R4" s="8">
        <v>9637086</v>
      </c>
      <c r="S4" s="8">
        <v>7753890</v>
      </c>
      <c r="T4" s="9">
        <f>IF(OR(U4="",V4="",U4=0),"",(V4-U4)/ABS(U4))</f>
        <v>-0.19541135152264907</v>
      </c>
      <c r="U4" s="8">
        <v>7761966</v>
      </c>
      <c r="V4" s="8">
        <v>11494775</v>
      </c>
      <c r="W4" s="9">
        <f>IF(OR(X4="",Y4="",X4=0),"",(Y4-X4)/ABS(X4))</f>
        <v>0.4809102487694484</v>
      </c>
    </row>
    <row r="5" spans="1:26" x14ac:dyDescent="0.25">
      <c r="A5" s="7" t="s">
        <v>45</v>
      </c>
      <c r="B5" s="8">
        <v>101542207</v>
      </c>
      <c r="C5" s="8">
        <v>125794611</v>
      </c>
      <c r="D5" s="8">
        <f>D5-C5</f>
        <v>24252404</v>
      </c>
      <c r="E5" s="9">
        <f>IF(C5=0,"",(D5-C5)/ABS(C5))</f>
        <v>0.239</v>
      </c>
      <c r="F5" s="9">
        <f>IF($D$2=0,"",D5/$D$2)</f>
        <v>0.17600000000000002</v>
      </c>
      <c r="G5" s="7" t="s">
        <v>47</v>
      </c>
      <c r="H5" s="7" t="s">
        <v>46</v>
      </c>
      <c r="I5" s="8">
        <v>413235</v>
      </c>
      <c r="J5" s="8">
        <v>3042751</v>
      </c>
      <c r="K5" s="9">
        <f>IF(OR(L5="",M5="",L5=0),"",(M5-L5)/ABS(L5))</f>
        <v>6.363246094837078</v>
      </c>
      <c r="L5" s="8">
        <v>7375986</v>
      </c>
      <c r="M5" s="8">
        <v>1033553</v>
      </c>
      <c r="N5" s="9">
        <f>IF(OR(O5="",P5="",O5=0),"",(P5-O5)/ABS(O5))</f>
        <v>-0.8598759542114098</v>
      </c>
      <c r="O5" s="8">
        <v>9264373</v>
      </c>
      <c r="P5" s="8">
        <v>11344068</v>
      </c>
      <c r="Q5" s="9">
        <f>IF(OR(R5="",S5="",R5=0),"",(S5-R5)/ABS(R5))</f>
        <v>0.2244830815857695</v>
      </c>
      <c r="R5" s="8">
        <v>7008465</v>
      </c>
      <c r="S5" s="8">
        <v>9487327</v>
      </c>
      <c r="T5" s="9">
        <f>IF(OR(U5="",V5="",U5=0),"",(V5-U5)/ABS(U5))</f>
        <v>0.35369542403365073</v>
      </c>
      <c r="U5" s="8">
        <v>6062891</v>
      </c>
      <c r="V5" s="8">
        <v>9592488</v>
      </c>
      <c r="W5" s="9">
        <f>IF(OR(X5="",Y5="",X5=0),"",(Y5-X5)/ABS(X5))</f>
        <v>0.5821640204318369</v>
      </c>
    </row>
    <row r="6" spans="1:26" x14ac:dyDescent="0.25">
      <c r="A6" s="7" t="s">
        <v>48</v>
      </c>
      <c r="B6" s="8">
        <v>76549575</v>
      </c>
      <c r="C6" s="8">
        <v>82768055</v>
      </c>
      <c r="D6" s="8">
        <f>D6-C6</f>
        <v>6218480</v>
      </c>
      <c r="E6" s="9">
        <f>IF(C6=0,"",(D6-C6)/ABS(C6))</f>
        <v>0.081</v>
      </c>
      <c r="F6" s="9">
        <f>IF($D$2=0,"",D6/$D$2)</f>
        <v>0.11599999999999999</v>
      </c>
      <c r="G6" s="7" t="s">
        <v>49</v>
      </c>
      <c r="H6" s="7" t="s">
        <v>43</v>
      </c>
      <c r="I6" s="8">
        <v>2343773</v>
      </c>
      <c r="J6" s="8">
        <v>934161</v>
      </c>
      <c r="K6" s="9">
        <f>IF(OR(L6="",M6="",L6=0),"",(M6-L6)/ABS(L6))</f>
        <v>-0.6014285513144831</v>
      </c>
      <c r="L6" s="8">
        <v>6543273</v>
      </c>
      <c r="M6" s="8">
        <v>9163309</v>
      </c>
      <c r="N6" s="9">
        <f>IF(OR(O6="",P6="",O6=0),"",(P6-O6)/ABS(O6))</f>
        <v>0.4004167333381933</v>
      </c>
      <c r="O6" s="8">
        <v>8659322</v>
      </c>
      <c r="P6" s="8">
        <v>9399075</v>
      </c>
      <c r="Q6" s="9">
        <f>IF(OR(R6="",S6="",R6=0),"",(S6-R6)/ABS(R6))</f>
        <v>0.0854285127634704</v>
      </c>
      <c r="R6" s="8">
        <v>6428345</v>
      </c>
      <c r="S6" s="8">
        <v>5708818</v>
      </c>
      <c r="T6" s="9">
        <f>IF(OR(U6="",V6="",U6=0),"",(V6-U6)/ABS(U6))</f>
        <v>-0.11193036465839963</v>
      </c>
      <c r="U6" s="8">
        <v>4971485</v>
      </c>
      <c r="V6" s="8">
        <v>6502737</v>
      </c>
      <c r="W6" s="9">
        <f>IF(OR(X6="",Y6="",X6=0),"",(Y6-X6)/ABS(X6))</f>
        <v>0.3080069637140613</v>
      </c>
    </row>
    <row r="7" spans="1:26" x14ac:dyDescent="0.25">
      <c r="A7" s="7" t="s">
        <v>50</v>
      </c>
      <c r="B7" s="8">
        <v>62458298</v>
      </c>
      <c r="C7" s="8">
        <v>79980268</v>
      </c>
      <c r="D7" s="8">
        <f>D7-C7</f>
        <v>17521970</v>
      </c>
      <c r="E7" s="9">
        <f>IF(C7=0,"",(D7-C7)/ABS(C7))</f>
        <v>0.281</v>
      </c>
      <c r="F7" s="9">
        <f>IF($D$2=0,"",D7/$D$2)</f>
        <v>0.11199999999999999</v>
      </c>
      <c r="G7" s="7" t="s">
        <v>52</v>
      </c>
      <c r="H7" s="7" t="s">
        <v>51</v>
      </c>
      <c r="I7" s="8" t="s">
        <v>43</v>
      </c>
      <c r="J7" s="8" t="s">
        <v>43</v>
      </c>
      <c r="K7" s="9">
        <f>IF(OR(L7="",M7="",L7=0),"",(M7-L7)/ABS(L7))</f>
      </c>
      <c r="L7" s="8" t="s">
        <v>43</v>
      </c>
      <c r="M7" s="8" t="s">
        <v>43</v>
      </c>
      <c r="N7" s="9">
        <f>IF(OR(O7="",P7="",O7=0),"",(P7-O7)/ABS(O7))</f>
      </c>
      <c r="O7" s="8" t="s">
        <v>43</v>
      </c>
      <c r="P7" s="8" t="s">
        <v>43</v>
      </c>
      <c r="Q7" s="9">
        <f>IF(OR(R7="",S7="",R7=0),"",(S7-R7)/ABS(R7))</f>
      </c>
      <c r="R7" s="8" t="s">
        <v>43</v>
      </c>
      <c r="S7" s="8" t="s">
        <v>43</v>
      </c>
      <c r="T7" s="9">
        <f>IF(OR(U7="",V7="",U7=0),"",(V7-U7)/ABS(U7))</f>
      </c>
      <c r="U7" s="8" t="s">
        <v>43</v>
      </c>
      <c r="V7" s="8" t="s">
        <v>43</v>
      </c>
      <c r="W7" s="9">
        <f>IF(OR(X7="",Y7="",X7=0),"",(Y7-X7)/ABS(X7))</f>
      </c>
    </row>
    <row r="8" spans="1:26" x14ac:dyDescent="0.25">
      <c r="A8" s="7" t="s">
        <v>53</v>
      </c>
      <c r="B8" s="8">
        <v>48637856</v>
      </c>
      <c r="C8" s="8">
        <v>50043631</v>
      </c>
      <c r="D8" s="8">
        <f>D8-C8</f>
        <v>1405775</v>
      </c>
      <c r="E8" s="9">
        <f>IF(C8=0,"",(D8-C8)/ABS(C8))</f>
        <v>0.028999999999999998</v>
      </c>
      <c r="F8" s="9">
        <f>IF($D$2=0,"",D8/$D$2)</f>
        <v>0.07</v>
      </c>
      <c r="G8" s="7" t="s">
        <v>54</v>
      </c>
      <c r="H8" s="7" t="s">
        <v>43</v>
      </c>
      <c r="I8" s="8" t="s">
        <v>43</v>
      </c>
      <c r="J8" s="8" t="s">
        <v>43</v>
      </c>
      <c r="K8" s="9">
        <f>IF(OR(L8="",M8="",L8=0),"",(M8-L8)/ABS(L8))</f>
      </c>
      <c r="L8" s="8" t="s">
        <v>43</v>
      </c>
      <c r="M8" s="8" t="s">
        <v>43</v>
      </c>
      <c r="N8" s="9">
        <f>IF(OR(O8="",P8="",O8=0),"",(P8-O8)/ABS(O8))</f>
      </c>
      <c r="O8" s="8" t="s">
        <v>43</v>
      </c>
      <c r="P8" s="8" t="s">
        <v>43</v>
      </c>
      <c r="Q8" s="9">
        <f>IF(OR(R8="",S8="",R8=0),"",(S8-R8)/ABS(R8))</f>
      </c>
      <c r="R8" s="8" t="s">
        <v>43</v>
      </c>
      <c r="S8" s="8" t="s">
        <v>43</v>
      </c>
      <c r="T8" s="9">
        <f>IF(OR(U8="",V8="",U8=0),"",(V8-U8)/ABS(U8))</f>
      </c>
      <c r="U8" s="8" t="s">
        <v>43</v>
      </c>
      <c r="V8" s="8" t="s">
        <v>43</v>
      </c>
      <c r="W8" s="9">
        <f>IF(OR(X8="",Y8="",X8=0),"",(Y8-X8)/ABS(X8))</f>
      </c>
    </row>
    <row r="9" spans="1:26" x14ac:dyDescent="0.25">
      <c r="A9" s="7" t="s">
        <v>55</v>
      </c>
      <c r="B9" s="8">
        <v>46269259</v>
      </c>
      <c r="C9" s="8">
        <v>32231470</v>
      </c>
      <c r="D9" s="8">
        <f>D9-C9</f>
        <v>-14037789</v>
      </c>
      <c r="E9" s="9">
        <f>IF(C9=0,"",(D9-C9)/ABS(C9))</f>
        <v>-0.303</v>
      </c>
      <c r="F9" s="9">
        <f>IF($D$2=0,"",D9/$D$2)</f>
        <v>0.045</v>
      </c>
      <c r="G9" s="7" t="s">
        <v>57</v>
      </c>
      <c r="H9" s="7" t="s">
        <v>56</v>
      </c>
      <c r="I9" s="8">
        <v>123932</v>
      </c>
      <c r="J9" s="8">
        <v>2042394</v>
      </c>
      <c r="K9" s="9">
        <f>IF(OR(L9="",M9="",L9=0),"",(M9-L9)/ABS(L9))</f>
        <v>15.479956750476067</v>
      </c>
      <c r="L9" s="8">
        <v>3558537</v>
      </c>
      <c r="M9" s="8">
        <v>5786147</v>
      </c>
      <c r="N9" s="9">
        <f>IF(OR(O9="",P9="",O9=0),"",(P9-O9)/ABS(O9))</f>
        <v>0.6259903999874106</v>
      </c>
      <c r="O9" s="8">
        <v>3250248</v>
      </c>
      <c r="P9" s="8">
        <v>3565061</v>
      </c>
      <c r="Q9" s="9">
        <f>IF(OR(R9="",S9="",R9=0),"",(S9-R9)/ABS(R9))</f>
        <v>0.09685814743982613</v>
      </c>
      <c r="R9" s="8">
        <v>2546743</v>
      </c>
      <c r="S9" s="8">
        <v>4622346</v>
      </c>
      <c r="T9" s="9">
        <f>IF(OR(U9="",V9="",U9=0),"",(V9-U9)/ABS(U9))</f>
        <v>0.8150029272682795</v>
      </c>
      <c r="U9" s="8">
        <v>3116965</v>
      </c>
      <c r="V9" s="8">
        <v>3945209</v>
      </c>
      <c r="W9" s="9">
        <f>IF(OR(X9="",Y9="",X9=0),"",(Y9-X9)/ABS(X9))</f>
        <v>0.26572130261327925</v>
      </c>
    </row>
    <row r="10" spans="1:26" x14ac:dyDescent="0.25">
      <c r="A10" s="7" t="s">
        <v>58</v>
      </c>
      <c r="B10" s="8">
        <v>10438218</v>
      </c>
      <c r="C10" s="8">
        <v>29346625</v>
      </c>
      <c r="D10" s="8">
        <f>D10-C10</f>
        <v>18908407</v>
      </c>
      <c r="E10" s="9">
        <f>IF(C10=0,"",(D10-C10)/ABS(C10))</f>
        <v>1.811</v>
      </c>
      <c r="F10" s="9">
        <f>IF($D$2=0,"",D10/$D$2)</f>
        <v>0.040999999999999995</v>
      </c>
      <c r="G10" s="7" t="s">
        <v>60</v>
      </c>
      <c r="H10" s="7" t="s">
        <v>59</v>
      </c>
      <c r="I10" s="8" t="s">
        <v>43</v>
      </c>
      <c r="J10" s="8" t="s">
        <v>43</v>
      </c>
      <c r="K10" s="9">
        <f>IF(OR(L10="",M10="",L10=0),"",(M10-L10)/ABS(L10))</f>
      </c>
      <c r="L10" s="8" t="s">
        <v>43</v>
      </c>
      <c r="M10" s="8" t="s">
        <v>43</v>
      </c>
      <c r="N10" s="9">
        <f>IF(OR(O10="",P10="",O10=0),"",(P10-O10)/ABS(O10))</f>
      </c>
      <c r="O10" s="8" t="s">
        <v>43</v>
      </c>
      <c r="P10" s="8" t="s">
        <v>43</v>
      </c>
      <c r="Q10" s="9">
        <f>IF(OR(R10="",S10="",R10=0),"",(S10-R10)/ABS(R10))</f>
      </c>
      <c r="R10" s="8" t="s">
        <v>43</v>
      </c>
      <c r="S10" s="8" t="s">
        <v>43</v>
      </c>
      <c r="T10" s="9">
        <f>IF(OR(U10="",V10="",U10=0),"",(V10-U10)/ABS(U10))</f>
      </c>
      <c r="U10" s="8" t="s">
        <v>43</v>
      </c>
      <c r="V10" s="8" t="s">
        <v>43</v>
      </c>
      <c r="W10" s="9">
        <f>IF(OR(X10="",Y10="",X10=0),"",(Y10-X10)/ABS(X10))</f>
      </c>
    </row>
    <row r="11" spans="1:26" x14ac:dyDescent="0.25">
      <c r="A11" s="7" t="s">
        <v>61</v>
      </c>
      <c r="B11" s="8">
        <v>14962757</v>
      </c>
      <c r="C11" s="8">
        <v>19603984</v>
      </c>
      <c r="D11" s="8">
        <f>D11-C11</f>
        <v>4641227</v>
      </c>
      <c r="E11" s="9">
        <f>IF(C11=0,"",(D11-C11)/ABS(C11))</f>
        <v>0.31</v>
      </c>
      <c r="F11" s="9">
        <f>IF($D$2=0,"",D11/$D$2)</f>
        <v>0.027000000000000003</v>
      </c>
      <c r="G11" s="7" t="s">
        <v>62</v>
      </c>
      <c r="H11" s="7" t="s">
        <v>43</v>
      </c>
      <c r="I11" s="8">
        <v>1506851</v>
      </c>
      <c r="J11" s="8">
        <v>2258074</v>
      </c>
      <c r="K11" s="9">
        <f>IF(OR(L11="",M11="",L11=0),"",(M11-L11)/ABS(L11))</f>
        <v>0.4985383425434897</v>
      </c>
      <c r="L11" s="8">
        <v>2695039</v>
      </c>
      <c r="M11" s="8">
        <v>4445350</v>
      </c>
      <c r="N11" s="9">
        <f>IF(OR(O11="",P11="",O11=0),"",(P11-O11)/ABS(O11))</f>
        <v>0.649456649792452</v>
      </c>
      <c r="O11" s="8">
        <v>2240907</v>
      </c>
      <c r="P11" s="8">
        <v>4528875</v>
      </c>
      <c r="Q11" s="9">
        <f>IF(OR(R11="",S11="",R11=0),"",(S11-R11)/ABS(R11))</f>
        <v>1.0210008715221113</v>
      </c>
      <c r="R11" s="8">
        <v>2973202</v>
      </c>
      <c r="S11" s="8">
        <v>2464992</v>
      </c>
      <c r="T11" s="9">
        <f>IF(OR(U11="",V11="",U11=0),"",(V11-U11)/ABS(U11))</f>
        <v>-0.1709301957956439</v>
      </c>
      <c r="U11" s="8">
        <v>2606452</v>
      </c>
      <c r="V11" s="8">
        <v>3885757</v>
      </c>
      <c r="W11" s="9">
        <f>IF(OR(X11="",Y11="",X11=0),"",(Y11-X11)/ABS(X11))</f>
        <v>0.4908223899768728</v>
      </c>
    </row>
    <row r="12" spans="1:26" x14ac:dyDescent="0.25">
      <c r="A12" s="7" t="s">
        <v>63</v>
      </c>
      <c r="B12" s="8">
        <v>0</v>
      </c>
      <c r="C12" s="8">
        <v>1685430</v>
      </c>
      <c r="D12" s="8">
        <f>D12-C12</f>
        <v>1685430</v>
      </c>
      <c r="E12" s="9">
        <f>IF(C12=0,"",(D12-C12)/ABS(C12))</f>
      </c>
      <c r="F12" s="9">
        <f>IF($D$2=0,"",D12/$D$2)</f>
        <v>0.002</v>
      </c>
      <c r="G12" s="7" t="s">
        <v>64</v>
      </c>
      <c r="H12" s="7" t="s">
        <v>43</v>
      </c>
      <c r="I12" s="8">
        <v>475048</v>
      </c>
      <c r="J12" s="8">
        <v>4163169</v>
      </c>
      <c r="K12" s="9">
        <f>IF(OR(L12="",M12="",L12=0),"",(M12-L12)/ABS(L12))</f>
        <v>7.763680722790118</v>
      </c>
      <c r="L12" s="8">
        <v>1137518</v>
      </c>
      <c r="M12" s="8">
        <v>2216160</v>
      </c>
      <c r="N12" s="9">
        <f>IF(OR(O12="",P12="",O12=0),"",(P12-O12)/ABS(O12))</f>
        <v>0.9482416981533479</v>
      </c>
      <c r="O12" s="8">
        <v>3652380</v>
      </c>
      <c r="P12" s="8">
        <v>4023618</v>
      </c>
      <c r="Q12" s="9">
        <f>IF(OR(R12="",S12="",R12=0),"",(S12-R12)/ABS(R12))</f>
        <v>0.10164276444400637</v>
      </c>
      <c r="R12" s="8">
        <v>3503607</v>
      </c>
      <c r="S12" s="8">
        <v>2612735</v>
      </c>
      <c r="T12" s="9">
        <f>IF(OR(U12="",V12="",U12=0),"",(V12-U12)/ABS(U12))</f>
        <v>-0.25427281084893366</v>
      </c>
      <c r="U12" s="8">
        <v>5230601</v>
      </c>
      <c r="V12" s="8">
        <v>4150657</v>
      </c>
      <c r="W12" s="9">
        <f>IF(OR(X12="",Y12="",X12=0),"",(Y12-X12)/ABS(X12))</f>
        <v>-0.20646652268066326</v>
      </c>
    </row>
    <row r="13" spans="1:26" x14ac:dyDescent="0.25">
      <c r="A13" s="7" t="s">
        <v>65</v>
      </c>
      <c r="B13" s="8">
        <v>97735</v>
      </c>
      <c r="C13" s="8">
        <v>167133</v>
      </c>
      <c r="D13" s="8">
        <f>D13-C13</f>
        <v>69398</v>
      </c>
      <c r="E13" s="9">
        <f>IF(C13=0,"",(D13-C13)/ABS(C13))</f>
        <v>0.71</v>
      </c>
      <c r="F13" s="9">
        <f>IF($D$2=0,"",D13/$D$2)</f>
      </c>
      <c r="G13" s="7" t="s">
        <v>66</v>
      </c>
      <c r="H13" s="7" t="s">
        <v>43</v>
      </c>
      <c r="I13" s="8" t="s">
        <v>43</v>
      </c>
      <c r="J13" s="8" t="s">
        <v>43</v>
      </c>
      <c r="K13" s="9">
        <f>IF(OR(L13="",M13="",L13=0),"",(M13-L13)/ABS(L13))</f>
      </c>
      <c r="L13" s="8" t="s">
        <v>43</v>
      </c>
      <c r="M13" s="8" t="s">
        <v>43</v>
      </c>
      <c r="N13" s="9">
        <f>IF(OR(O13="",P13="",O13=0),"",(P13-O13)/ABS(O13))</f>
      </c>
      <c r="O13" s="8" t="s">
        <v>43</v>
      </c>
      <c r="P13" s="8" t="s">
        <v>43</v>
      </c>
      <c r="Q13" s="9">
        <f>IF(OR(R13="",S13="",R13=0),"",(S13-R13)/ABS(R13))</f>
      </c>
      <c r="R13" s="8" t="s">
        <v>43</v>
      </c>
      <c r="S13" s="8" t="s">
        <v>43</v>
      </c>
      <c r="T13" s="9">
        <f>IF(OR(U13="",V13="",U13=0),"",(V13-U13)/ABS(U13))</f>
      </c>
      <c r="U13" s="8">
        <v>885489</v>
      </c>
      <c r="V13" s="8">
        <v>3005960</v>
      </c>
      <c r="W13" s="9">
        <f>IF(OR(X13="",Y13="",X13=0),"",(Y13-X13)/ABS(X13))</f>
        <v>2.3946892620913416</v>
      </c>
    </row>
    <row r="14" spans="1:26" x14ac:dyDescent="0.25">
      <c r="A14" s="7"/>
      <c r="B14" s="8"/>
      <c r="C14" s="8"/>
      <c r="D14" s="8"/>
      <c r="E14" s="9"/>
      <c r="F14" s="9"/>
      <c r="G14" s="7" t="s">
        <v>67</v>
      </c>
      <c r="H14" s="7" t="s">
        <v>43</v>
      </c>
      <c r="I14" s="8" t="s">
        <v>43</v>
      </c>
      <c r="J14" s="8" t="s">
        <v>43</v>
      </c>
      <c r="K14" s="9">
        <f>IF(OR(L14="",M14="",L14=0),"",(M14-L14)/ABS(L14))</f>
      </c>
      <c r="L14" s="8" t="s">
        <v>43</v>
      </c>
      <c r="M14" s="8" t="s">
        <v>43</v>
      </c>
      <c r="N14" s="9">
        <f>IF(OR(O14="",P14="",O14=0),"",(P14-O14)/ABS(O14))</f>
      </c>
      <c r="O14" s="8" t="s">
        <v>43</v>
      </c>
      <c r="P14" s="8" t="s">
        <v>43</v>
      </c>
      <c r="Q14" s="9">
        <f>IF(OR(R14="",S14="",R14=0),"",(S14-R14)/ABS(R14))</f>
      </c>
      <c r="R14" s="8">
        <v>2121052</v>
      </c>
      <c r="S14" s="8">
        <v>3697387</v>
      </c>
      <c r="T14" s="9">
        <f>IF(OR(U14="",V14="",U14=0),"",(V14-U14)/ABS(U14))</f>
        <v>0.7431854570279276</v>
      </c>
      <c r="U14" s="8">
        <v>2388453</v>
      </c>
      <c r="V14" s="8">
        <v>129305</v>
      </c>
      <c r="W14" s="9">
        <f>IF(OR(X14="",Y14="",X14=0),"",(Y14-X14)/ABS(X14))</f>
        <v>-0.945862447366559</v>
      </c>
    </row>
    <row r="15" spans="1:26" x14ac:dyDescent="0.25">
      <c r="A15" s="7"/>
      <c r="B15" s="8"/>
      <c r="C15" s="8"/>
      <c r="D15" s="8"/>
      <c r="E15" s="9"/>
      <c r="F15" s="9"/>
      <c r="G15" s="7" t="s">
        <v>69</v>
      </c>
      <c r="H15" s="7" t="s">
        <v>68</v>
      </c>
      <c r="I15" s="8">
        <v>53366</v>
      </c>
      <c r="J15" s="8">
        <v>147780</v>
      </c>
      <c r="K15" s="9">
        <f>IF(OR(L15="",M15="",L15=0),"",(M15-L15)/ABS(L15))</f>
        <v>1.7691788779372635</v>
      </c>
      <c r="L15" s="8">
        <v>371973</v>
      </c>
      <c r="M15" s="8">
        <v>840975</v>
      </c>
      <c r="N15" s="9">
        <f>IF(OR(O15="",P15="",O15=0),"",(P15-O15)/ABS(O15))</f>
        <v>1.2608495777919364</v>
      </c>
      <c r="O15" s="8">
        <v>1401563</v>
      </c>
      <c r="P15" s="8">
        <v>809086</v>
      </c>
      <c r="Q15" s="9">
        <f>IF(OR(R15="",S15="",R15=0),"",(S15-R15)/ABS(R15))</f>
        <v>-0.42272591385474645</v>
      </c>
      <c r="R15" s="8">
        <v>856719</v>
      </c>
      <c r="S15" s="8">
        <v>2202776</v>
      </c>
      <c r="T15" s="9">
        <f>IF(OR(U15="",V15="",U15=0),"",(V15-U15)/ABS(U15))</f>
        <v>1.5711767802511676</v>
      </c>
      <c r="U15" s="8">
        <v>544563</v>
      </c>
      <c r="V15" s="8">
        <v>1487655</v>
      </c>
      <c r="W15" s="9">
        <f>IF(OR(X15="",Y15="",X15=0),"",(Y15-X15)/ABS(X15))</f>
        <v>1.7318326805163038</v>
      </c>
    </row>
    <row r="16" spans="1:26" x14ac:dyDescent="0.25">
      <c r="A16" s="7"/>
      <c r="B16" s="8"/>
      <c r="C16" s="8"/>
      <c r="D16" s="8"/>
      <c r="E16" s="9"/>
      <c r="F16" s="9"/>
      <c r="G16" s="7" t="s">
        <v>71</v>
      </c>
      <c r="H16" s="7" t="s">
        <v>70</v>
      </c>
      <c r="I16" s="8" t="s">
        <v>43</v>
      </c>
      <c r="J16" s="8" t="s">
        <v>43</v>
      </c>
      <c r="K16" s="9">
        <f>IF(OR(L16="",M16="",L16=0),"",(M16-L16)/ABS(L16))</f>
      </c>
      <c r="L16" s="8">
        <v>1639225</v>
      </c>
      <c r="M16" s="8">
        <v>563954</v>
      </c>
      <c r="N16" s="9">
        <f>IF(OR(O16="",P16="",O16=0),"",(P16-O16)/ABS(O16))</f>
        <v>-0.6559630313105278</v>
      </c>
      <c r="O16" s="8">
        <v>1432353</v>
      </c>
      <c r="P16" s="8">
        <v>823376</v>
      </c>
      <c r="Q16" s="9">
        <f>IF(OR(R16="",S16="",R16=0),"",(S16-R16)/ABS(R16))</f>
        <v>-0.42515846303250665</v>
      </c>
      <c r="R16" s="8">
        <v>1813094</v>
      </c>
      <c r="S16" s="8">
        <v>1515956</v>
      </c>
      <c r="T16" s="9">
        <f>IF(OR(U16="",V16="",U16=0),"",(V16-U16)/ABS(U16))</f>
        <v>-0.16388449799072746</v>
      </c>
      <c r="U16" s="8">
        <v>1631832</v>
      </c>
      <c r="V16" s="8">
        <v>2364464</v>
      </c>
      <c r="W16" s="9">
        <f>IF(OR(X16="",Y16="",X16=0),"",(Y16-X16)/ABS(X16))</f>
        <v>0.448962883434079</v>
      </c>
    </row>
    <row r="17" spans="1:26" x14ac:dyDescent="0.25">
      <c r="A17" s="7"/>
      <c r="B17" s="8"/>
      <c r="C17" s="8"/>
      <c r="D17" s="8"/>
      <c r="E17" s="9"/>
      <c r="F17" s="9"/>
      <c r="G17" s="7" t="s">
        <v>72</v>
      </c>
      <c r="H17" s="7" t="s">
        <v>43</v>
      </c>
      <c r="I17" s="8" t="s">
        <v>43</v>
      </c>
      <c r="J17" s="8" t="s">
        <v>43</v>
      </c>
      <c r="K17" s="9">
        <f>IF(OR(L17="",M17="",L17=0),"",(M17-L17)/ABS(L17))</f>
      </c>
      <c r="L17" s="8" t="s">
        <v>43</v>
      </c>
      <c r="M17" s="8" t="s">
        <v>43</v>
      </c>
      <c r="N17" s="9">
        <f>IF(OR(O17="",P17="",O17=0),"",(P17-O17)/ABS(O17))</f>
      </c>
      <c r="O17" s="8" t="s">
        <v>43</v>
      </c>
      <c r="P17" s="8" t="s">
        <v>43</v>
      </c>
      <c r="Q17" s="9">
        <f>IF(OR(R17="",S17="",R17=0),"",(S17-R17)/ABS(R17))</f>
      </c>
      <c r="R17" s="8" t="s">
        <v>43</v>
      </c>
      <c r="S17" s="8" t="s">
        <v>43</v>
      </c>
      <c r="T17" s="9">
        <f>IF(OR(U17="",V17="",U17=0),"",(V17-U17)/ABS(U17))</f>
      </c>
      <c r="U17" s="8" t="s">
        <v>43</v>
      </c>
      <c r="V17" s="8" t="s">
        <v>43</v>
      </c>
      <c r="W17" s="9">
        <f>IF(OR(X17="",Y17="",X17=0),"",(Y17-X17)/ABS(X17))</f>
      </c>
    </row>
    <row r="18" spans="1:26" x14ac:dyDescent="0.25">
      <c r="A18" s="7"/>
      <c r="B18" s="8"/>
      <c r="C18" s="8"/>
      <c r="D18" s="8"/>
      <c r="E18" s="9"/>
      <c r="F18" s="9"/>
      <c r="G18" s="7" t="s">
        <v>73</v>
      </c>
      <c r="H18" s="7" t="s">
        <v>43</v>
      </c>
      <c r="I18" s="8">
        <v>1873776</v>
      </c>
      <c r="J18" s="8">
        <v>281331</v>
      </c>
      <c r="K18" s="9">
        <f>IF(OR(L18="",M18="",L18=0),"",(M18-L18)/ABS(L18))</f>
        <v>-0.8498587878166868</v>
      </c>
      <c r="L18" s="8">
        <v>1042822</v>
      </c>
      <c r="M18" s="8">
        <v>590996</v>
      </c>
      <c r="N18" s="9">
        <f>IF(OR(O18="",P18="",O18=0),"",(P18-O18)/ABS(O18))</f>
        <v>-0.43327240890583435</v>
      </c>
      <c r="O18" s="8">
        <v>3520868</v>
      </c>
      <c r="P18" s="8">
        <v>404155</v>
      </c>
      <c r="Q18" s="9">
        <f>IF(OR(R18="",S18="",R18=0),"",(S18-R18)/ABS(R18))</f>
        <v>-0.8852115444259768</v>
      </c>
      <c r="R18" s="8">
        <v>2259522</v>
      </c>
      <c r="S18" s="8">
        <v>343836</v>
      </c>
      <c r="T18" s="9">
        <f>IF(OR(U18="",V18="",U18=0),"",(V18-U18)/ABS(U18))</f>
        <v>-0.8478279919381179</v>
      </c>
      <c r="U18" s="8">
        <v>1928474</v>
      </c>
      <c r="V18" s="8">
        <v>2650472</v>
      </c>
      <c r="W18" s="9">
        <f>IF(OR(X18="",Y18="",X18=0),"",(Y18-X18)/ABS(X18))</f>
        <v>0.3743882468729161</v>
      </c>
    </row>
    <row r="19" spans="1:26" x14ac:dyDescent="0.25">
      <c r="A19" s="7"/>
      <c r="B19" s="8"/>
      <c r="C19" s="8"/>
      <c r="D19" s="8"/>
      <c r="E19" s="9"/>
      <c r="F19" s="9"/>
      <c r="G19" s="7" t="s">
        <v>74</v>
      </c>
      <c r="H19" s="7" t="s">
        <v>43</v>
      </c>
      <c r="I19" s="8" t="s">
        <v>43</v>
      </c>
      <c r="J19" s="8" t="s">
        <v>43</v>
      </c>
      <c r="K19" s="9">
        <f>IF(OR(L19="",M19="",L19=0),"",(M19-L19)/ABS(L19))</f>
      </c>
      <c r="L19" s="8">
        <v>476725</v>
      </c>
      <c r="M19" s="8">
        <v>115843</v>
      </c>
      <c r="N19" s="9">
        <f>IF(OR(O19="",P19="",O19=0),"",(P19-O19)/ABS(O19))</f>
        <v>-0.7570024647333369</v>
      </c>
      <c r="O19" s="8">
        <v>666493</v>
      </c>
      <c r="P19" s="8">
        <v>813414</v>
      </c>
      <c r="Q19" s="9">
        <f>IF(OR(R19="",S19="",R19=0),"",(S19-R19)/ABS(R19))</f>
        <v>0.2204389243397905</v>
      </c>
      <c r="R19" s="8">
        <v>306248</v>
      </c>
      <c r="S19" s="8">
        <v>998459</v>
      </c>
      <c r="T19" s="9">
        <f>IF(OR(U19="",V19="",U19=0),"",(V19-U19)/ABS(U19))</f>
        <v>2.260295577440506</v>
      </c>
      <c r="U19" s="8">
        <v>1550764</v>
      </c>
      <c r="V19" s="8">
        <v>924727</v>
      </c>
      <c r="W19" s="9">
        <f>IF(OR(X19="",Y19="",X19=0),"",(Y19-X19)/ABS(X19))</f>
        <v>-0.40369585572014827</v>
      </c>
    </row>
    <row r="20" spans="1:26" x14ac:dyDescent="0.25">
      <c r="A20" s="7"/>
      <c r="B20" s="8"/>
      <c r="C20" s="8"/>
      <c r="D20" s="8"/>
      <c r="E20" s="9"/>
      <c r="F20" s="9"/>
      <c r="G20" s="7" t="s">
        <v>75</v>
      </c>
      <c r="H20" s="7" t="s">
        <v>43</v>
      </c>
      <c r="I20" s="8" t="s">
        <v>43</v>
      </c>
      <c r="J20" s="8" t="s">
        <v>43</v>
      </c>
      <c r="K20" s="9">
        <f>IF(OR(L20="",M20="",L20=0),"",(M20-L20)/ABS(L20))</f>
      </c>
      <c r="L20" s="8">
        <v>250839</v>
      </c>
      <c r="M20" s="8">
        <v>527648</v>
      </c>
      <c r="N20" s="9">
        <f>IF(OR(O20="",P20="",O20=0),"",(P20-O20)/ABS(O20))</f>
        <v>1.1035325447797193</v>
      </c>
      <c r="O20" s="8" t="s">
        <v>43</v>
      </c>
      <c r="P20" s="8" t="s">
        <v>43</v>
      </c>
      <c r="Q20" s="9">
        <f>IF(OR(R20="",S20="",R20=0),"",(S20-R20)/ABS(R20))</f>
      </c>
      <c r="R20" s="8" t="s">
        <v>43</v>
      </c>
      <c r="S20" s="8" t="s">
        <v>43</v>
      </c>
      <c r="T20" s="9">
        <f>IF(OR(U20="",V20="",U20=0),"",(V20-U20)/ABS(U20))</f>
      </c>
      <c r="U20" s="8">
        <v>633580</v>
      </c>
      <c r="V20" s="8">
        <v>2236015</v>
      </c>
      <c r="W20" s="9">
        <f>IF(OR(X20="",Y20="",X20=0),"",(Y20-X20)/ABS(X20))</f>
        <v>2.529175479023959</v>
      </c>
    </row>
    <row r="21" spans="1:26" x14ac:dyDescent="0.25">
      <c r="A21" s="7"/>
      <c r="B21" s="8"/>
      <c r="C21" s="8"/>
      <c r="D21" s="8"/>
      <c r="E21" s="9"/>
      <c r="F21" s="9"/>
      <c r="G21" s="7" t="s">
        <v>76</v>
      </c>
      <c r="H21" s="7" t="s">
        <v>43</v>
      </c>
      <c r="I21" s="8" t="s">
        <v>43</v>
      </c>
      <c r="J21" s="8" t="s">
        <v>43</v>
      </c>
      <c r="K21" s="9">
        <f>IF(OR(L21="",M21="",L21=0),"",(M21-L21)/ABS(L21))</f>
      </c>
      <c r="L21" s="8" t="s">
        <v>43</v>
      </c>
      <c r="M21" s="8" t="s">
        <v>43</v>
      </c>
      <c r="N21" s="9">
        <f>IF(OR(O21="",P21="",O21=0),"",(P21-O21)/ABS(O21))</f>
      </c>
      <c r="O21" s="8" t="s">
        <v>43</v>
      </c>
      <c r="P21" s="8" t="s">
        <v>43</v>
      </c>
      <c r="Q21" s="9">
        <f>IF(OR(R21="",S21="",R21=0),"",(S21-R21)/ABS(R21))</f>
      </c>
      <c r="R21" s="8" t="s">
        <v>43</v>
      </c>
      <c r="S21" s="8" t="s">
        <v>43</v>
      </c>
      <c r="T21" s="9">
        <f>IF(OR(U21="",V21="",U21=0),"",(V21-U21)/ABS(U21))</f>
      </c>
      <c r="U21" s="8" t="s">
        <v>43</v>
      </c>
      <c r="V21" s="8" t="s">
        <v>43</v>
      </c>
      <c r="W21" s="9">
        <f>IF(OR(X21="",Y21="",X21=0),"",(Y21-X21)/ABS(X21))</f>
      </c>
    </row>
    <row r="22" spans="1:26" x14ac:dyDescent="0.25">
      <c r="A22" s="7"/>
      <c r="B22" s="8"/>
      <c r="C22" s="8"/>
      <c r="D22" s="8"/>
      <c r="E22" s="9"/>
      <c r="F22" s="9"/>
      <c r="G22" s="7" t="s">
        <v>77</v>
      </c>
      <c r="H22" s="7" t="s">
        <v>43</v>
      </c>
      <c r="I22" s="8" t="s">
        <v>43</v>
      </c>
      <c r="J22" s="8" t="s">
        <v>43</v>
      </c>
      <c r="K22" s="9">
        <f>IF(OR(L22="",M22="",L22=0),"",(M22-L22)/ABS(L22))</f>
      </c>
      <c r="L22" s="8">
        <v>726440</v>
      </c>
      <c r="M22" s="8">
        <v>113995</v>
      </c>
      <c r="N22" s="9">
        <f>IF(OR(O22="",P22="",O22=0),"",(P22-O22)/ABS(O22))</f>
        <v>-0.843077198392159</v>
      </c>
      <c r="O22" s="8">
        <v>1024227</v>
      </c>
      <c r="P22" s="8">
        <v>1026931</v>
      </c>
      <c r="Q22" s="9">
        <f>IF(OR(R22="",S22="",R22=0),"",(S22-R22)/ABS(R22))</f>
        <v>0.0026400397568117225</v>
      </c>
      <c r="R22" s="8">
        <v>1280290</v>
      </c>
      <c r="S22" s="8">
        <v>108595</v>
      </c>
      <c r="T22" s="9">
        <f>IF(OR(U22="",V22="",U22=0),"",(V22-U22)/ABS(U22))</f>
        <v>-0.9151793734232088</v>
      </c>
      <c r="U22" s="8">
        <v>1264239</v>
      </c>
      <c r="V22" s="8">
        <v>1374768</v>
      </c>
      <c r="W22" s="9">
        <f>IF(OR(X22="",Y22="",X22=0),"",(Y22-X22)/ABS(X22))</f>
        <v>0.0874272981611863</v>
      </c>
    </row>
    <row r="23" spans="1:26" x14ac:dyDescent="0.25">
      <c r="A23" s="7"/>
      <c r="B23" s="8"/>
      <c r="C23" s="8"/>
      <c r="D23" s="8"/>
      <c r="E23" s="9"/>
      <c r="F23" s="9"/>
      <c r="G23" s="7" t="s">
        <v>79</v>
      </c>
      <c r="H23" s="7" t="s">
        <v>78</v>
      </c>
      <c r="I23" s="8" t="s">
        <v>43</v>
      </c>
      <c r="J23" s="8" t="s">
        <v>43</v>
      </c>
      <c r="K23" s="9">
        <f>IF(OR(L23="",M23="",L23=0),"",(M23-L23)/ABS(L23))</f>
      </c>
      <c r="L23" s="8" t="s">
        <v>43</v>
      </c>
      <c r="M23" s="8" t="s">
        <v>43</v>
      </c>
      <c r="N23" s="9">
        <f>IF(OR(O23="",P23="",O23=0),"",(P23-O23)/ABS(O23))</f>
      </c>
      <c r="O23" s="8" t="s">
        <v>43</v>
      </c>
      <c r="P23" s="8" t="s">
        <v>43</v>
      </c>
      <c r="Q23" s="9">
        <f>IF(OR(R23="",S23="",R23=0),"",(S23-R23)/ABS(R23))</f>
      </c>
      <c r="R23" s="8" t="s">
        <v>43</v>
      </c>
      <c r="S23" s="8" t="s">
        <v>43</v>
      </c>
      <c r="T23" s="9">
        <f>IF(OR(U23="",V23="",U23=0),"",(V23-U23)/ABS(U23))</f>
      </c>
      <c r="U23" s="8" t="s">
        <v>43</v>
      </c>
      <c r="V23" s="8" t="s">
        <v>43</v>
      </c>
      <c r="W23" s="9">
        <f>IF(OR(X23="",Y23="",X23=0),"",(Y23-X23)/ABS(X23))</f>
      </c>
    </row>
    <row r="24" spans="1:26" x14ac:dyDescent="0.25">
      <c r="A24" s="7"/>
      <c r="B24" s="8"/>
      <c r="C24" s="8"/>
      <c r="D24" s="8"/>
      <c r="E24" s="9"/>
      <c r="F24" s="9"/>
      <c r="G24" s="7" t="s">
        <v>80</v>
      </c>
      <c r="H24" s="7" t="s">
        <v>43</v>
      </c>
      <c r="I24" s="8" t="s">
        <v>43</v>
      </c>
      <c r="J24" s="8" t="s">
        <v>43</v>
      </c>
      <c r="K24" s="9">
        <f>IF(OR(L24="",M24="",L24=0),"",(M24-L24)/ABS(L24))</f>
      </c>
      <c r="L24" s="8">
        <v>298709</v>
      </c>
      <c r="M24" s="8">
        <v>719904</v>
      </c>
      <c r="N24" s="9">
        <f>IF(OR(O24="",P24="",O24=0),"",(P24-O24)/ABS(O24))</f>
        <v>1.4100512538959322</v>
      </c>
      <c r="O24" s="8">
        <v>700819</v>
      </c>
      <c r="P24" s="8">
        <v>535192</v>
      </c>
      <c r="Q24" s="9">
        <f>IF(OR(R24="",S24="",R24=0),"",(S24-R24)/ABS(R24))</f>
        <v>-0.2363334898169142</v>
      </c>
      <c r="R24" s="8">
        <v>515136</v>
      </c>
      <c r="S24" s="8">
        <v>578953</v>
      </c>
      <c r="T24" s="9">
        <f>IF(OR(U24="",V24="",U24=0),"",(V24-U24)/ABS(U24))</f>
        <v>0.12388378991179029</v>
      </c>
      <c r="U24" s="8">
        <v>1029440</v>
      </c>
      <c r="V24" s="8">
        <v>57684</v>
      </c>
      <c r="W24" s="9">
        <f>IF(OR(X24="",Y24="",X24=0),"",(Y24-X24)/ABS(X24))</f>
        <v>-0.943965651227852</v>
      </c>
    </row>
    <row r="25" spans="1:26" x14ac:dyDescent="0.25">
      <c r="A25" s="7"/>
      <c r="B25" s="8"/>
      <c r="C25" s="8"/>
      <c r="D25" s="8"/>
      <c r="E25" s="9"/>
      <c r="F25" s="9"/>
      <c r="G25" s="7" t="s">
        <v>82</v>
      </c>
      <c r="H25" s="7" t="s">
        <v>81</v>
      </c>
      <c r="I25" s="8" t="s">
        <v>43</v>
      </c>
      <c r="J25" s="8" t="s">
        <v>43</v>
      </c>
      <c r="K25" s="9">
        <f>IF(OR(L25="",M25="",L25=0),"",(M25-L25)/ABS(L25))</f>
      </c>
      <c r="L25" s="8">
        <v>449785</v>
      </c>
      <c r="M25" s="8">
        <v>311842</v>
      </c>
      <c r="N25" s="9">
        <f>IF(OR(O25="",P25="",O25=0),"",(P25-O25)/ABS(O25))</f>
        <v>-0.306686528007826</v>
      </c>
      <c r="O25" s="8">
        <v>341822</v>
      </c>
      <c r="P25" s="8">
        <v>649840</v>
      </c>
      <c r="Q25" s="9">
        <f>IF(OR(R25="",S25="",R25=0),"",(S25-R25)/ABS(R25))</f>
        <v>0.9011064238112234</v>
      </c>
      <c r="R25" s="8" t="s">
        <v>43</v>
      </c>
      <c r="S25" s="8" t="s">
        <v>43</v>
      </c>
      <c r="T25" s="9">
        <f>IF(OR(U25="",V25="",U25=0),"",(V25-U25)/ABS(U25))</f>
      </c>
      <c r="U25" s="8">
        <v>683805</v>
      </c>
      <c r="V25" s="8">
        <v>526967</v>
      </c>
      <c r="W25" s="9">
        <f>IF(OR(X25="",Y25="",X25=0),"",(Y25-X25)/ABS(X25))</f>
        <v>-0.2293607095590117</v>
      </c>
    </row>
    <row r="26" spans="1:26" x14ac:dyDescent="0.25">
      <c r="A26" s="7"/>
      <c r="B26" s="8"/>
      <c r="C26" s="8"/>
      <c r="D26" s="8"/>
      <c r="E26" s="9"/>
      <c r="F26" s="9"/>
      <c r="G26" s="7" t="s">
        <v>83</v>
      </c>
      <c r="H26" s="7" t="s">
        <v>81</v>
      </c>
      <c r="I26" s="8" t="s">
        <v>43</v>
      </c>
      <c r="J26" s="8" t="s">
        <v>43</v>
      </c>
      <c r="K26" s="9">
        <f>IF(OR(L26="",M26="",L26=0),"",(M26-L26)/ABS(L26))</f>
      </c>
      <c r="L26" s="8" t="s">
        <v>43</v>
      </c>
      <c r="M26" s="8" t="s">
        <v>43</v>
      </c>
      <c r="N26" s="9">
        <f>IF(OR(O26="",P26="",O26=0),"",(P26-O26)/ABS(O26))</f>
      </c>
      <c r="O26" s="8" t="s">
        <v>43</v>
      </c>
      <c r="P26" s="8" t="s">
        <v>43</v>
      </c>
      <c r="Q26" s="9">
        <f>IF(OR(R26="",S26="",R26=0),"",(S26-R26)/ABS(R26))</f>
      </c>
      <c r="R26" s="8" t="s">
        <v>43</v>
      </c>
      <c r="S26" s="8" t="s">
        <v>43</v>
      </c>
      <c r="T26" s="9">
        <f>IF(OR(U26="",V26="",U26=0),"",(V26-U26)/ABS(U26))</f>
      </c>
      <c r="U26" s="8" t="s">
        <v>43</v>
      </c>
      <c r="V26" s="8" t="s">
        <v>43</v>
      </c>
      <c r="W26" s="9">
        <f>IF(OR(X26="",Y26="",X26=0),"",(Y26-X26)/ABS(X26))</f>
      </c>
    </row>
    <row r="27" spans="1:26" x14ac:dyDescent="0.25">
      <c r="A27" s="7"/>
      <c r="B27" s="8"/>
      <c r="C27" s="8"/>
      <c r="D27" s="8"/>
      <c r="E27" s="9"/>
      <c r="F27" s="9"/>
      <c r="G27" s="7" t="s">
        <v>85</v>
      </c>
      <c r="H27" s="7" t="s">
        <v>84</v>
      </c>
      <c r="I27" s="8">
        <v>248589</v>
      </c>
      <c r="J27" s="8">
        <v>165515</v>
      </c>
      <c r="K27" s="9">
        <f>IF(OR(L27="",M27="",L27=0),"",(M27-L27)/ABS(L27))</f>
        <v>-0.334182123907333</v>
      </c>
      <c r="L27" s="8">
        <v>248909</v>
      </c>
      <c r="M27" s="8">
        <v>448527</v>
      </c>
      <c r="N27" s="9">
        <f>IF(OR(O27="",P27="",O27=0),"",(P27-O27)/ABS(O27))</f>
        <v>0.8019718049568316</v>
      </c>
      <c r="O27" s="8">
        <v>366163</v>
      </c>
      <c r="P27" s="8">
        <v>268681</v>
      </c>
      <c r="Q27" s="9">
        <f>IF(OR(R27="",S27="",R27=0),"",(S27-R27)/ABS(R27))</f>
        <v>-0.266225697298744</v>
      </c>
      <c r="R27" s="8">
        <v>196205</v>
      </c>
      <c r="S27" s="8">
        <v>211729</v>
      </c>
      <c r="T27" s="9">
        <f>IF(OR(U27="",V27="",U27=0),"",(V27-U27)/ABS(U27))</f>
        <v>0.07912132718330318</v>
      </c>
      <c r="U27" s="8">
        <v>499961</v>
      </c>
      <c r="V27" s="8">
        <v>169132</v>
      </c>
      <c r="W27" s="9">
        <f>IF(OR(X27="",Y27="",X27=0),"",(Y27-X27)/ABS(X27))</f>
        <v>-0.6617096133498412</v>
      </c>
    </row>
    <row r="28" spans="1:26" x14ac:dyDescent="0.25">
      <c r="A28" s="7"/>
      <c r="B28" s="8"/>
      <c r="C28" s="8"/>
      <c r="D28" s="8"/>
      <c r="E28" s="9"/>
      <c r="F28" s="9"/>
      <c r="G28" s="7" t="s">
        <v>86</v>
      </c>
      <c r="H28" s="7" t="s">
        <v>43</v>
      </c>
      <c r="I28" s="8" t="s">
        <v>43</v>
      </c>
      <c r="J28" s="8" t="s">
        <v>43</v>
      </c>
      <c r="K28" s="9">
        <f>IF(OR(L28="",M28="",L28=0),"",(M28-L28)/ABS(L28))</f>
      </c>
      <c r="L28" s="8" t="s">
        <v>43</v>
      </c>
      <c r="M28" s="8" t="s">
        <v>43</v>
      </c>
      <c r="N28" s="9">
        <f>IF(OR(O28="",P28="",O28=0),"",(P28-O28)/ABS(O28))</f>
      </c>
      <c r="O28" s="8" t="s">
        <v>43</v>
      </c>
      <c r="P28" s="8" t="s">
        <v>43</v>
      </c>
      <c r="Q28" s="9">
        <f>IF(OR(R28="",S28="",R28=0),"",(S28-R28)/ABS(R28))</f>
      </c>
      <c r="R28" s="8" t="s">
        <v>43</v>
      </c>
      <c r="S28" s="8" t="s">
        <v>43</v>
      </c>
      <c r="T28" s="9">
        <f>IF(OR(U28="",V28="",U28=0),"",(V28-U28)/ABS(U28))</f>
      </c>
      <c r="U28" s="8" t="s">
        <v>43</v>
      </c>
      <c r="V28" s="8" t="s">
        <v>43</v>
      </c>
      <c r="W28" s="9">
        <f>IF(OR(X28="",Y28="",X28=0),"",(Y28-X28)/ABS(X28))</f>
      </c>
    </row>
    <row r="29" spans="1:26" x14ac:dyDescent="0.25">
      <c r="A29" s="7"/>
      <c r="B29" s="8"/>
      <c r="C29" s="8"/>
      <c r="D29" s="8"/>
      <c r="E29" s="9"/>
      <c r="F29" s="9"/>
      <c r="G29" s="7" t="s">
        <v>87</v>
      </c>
      <c r="H29" s="7" t="s">
        <v>43</v>
      </c>
      <c r="I29" s="8" t="s">
        <v>43</v>
      </c>
      <c r="J29" s="8" t="s">
        <v>43</v>
      </c>
      <c r="K29" s="9">
        <f>IF(OR(L29="",M29="",L29=0),"",(M29-L29)/ABS(L29))</f>
      </c>
      <c r="L29" s="8" t="s">
        <v>43</v>
      </c>
      <c r="M29" s="8" t="s">
        <v>43</v>
      </c>
      <c r="N29" s="9">
        <f>IF(OR(O29="",P29="",O29=0),"",(P29-O29)/ABS(O29))</f>
      </c>
      <c r="O29" s="8" t="s">
        <v>43</v>
      </c>
      <c r="P29" s="8" t="s">
        <v>43</v>
      </c>
      <c r="Q29" s="9">
        <f>IF(OR(R29="",S29="",R29=0),"",(S29-R29)/ABS(R29))</f>
      </c>
      <c r="R29" s="8" t="s">
        <v>43</v>
      </c>
      <c r="S29" s="8" t="s">
        <v>43</v>
      </c>
      <c r="T29" s="9">
        <f>IF(OR(U29="",V29="",U29=0),"",(V29-U29)/ABS(U29))</f>
      </c>
      <c r="U29" s="8" t="s">
        <v>43</v>
      </c>
      <c r="V29" s="8" t="s">
        <v>43</v>
      </c>
      <c r="W29" s="9">
        <f>IF(OR(X29="",Y29="",X29=0),"",(Y29-X29)/ABS(X29))</f>
      </c>
    </row>
    <row r="30" spans="1:26" x14ac:dyDescent="0.25">
      <c r="A30" s="7"/>
      <c r="B30" s="8"/>
      <c r="C30" s="8"/>
      <c r="D30" s="8"/>
      <c r="E30" s="9"/>
      <c r="F30" s="9"/>
      <c r="G30" s="7" t="s">
        <v>88</v>
      </c>
      <c r="H30" s="7" t="s">
        <v>43</v>
      </c>
      <c r="I30" s="8" t="s">
        <v>43</v>
      </c>
      <c r="J30" s="8" t="s">
        <v>43</v>
      </c>
      <c r="K30" s="9">
        <f>IF(OR(L30="",M30="",L30=0),"",(M30-L30)/ABS(L30))</f>
      </c>
      <c r="L30" s="8">
        <v>186663</v>
      </c>
      <c r="M30" s="8">
        <v>141526</v>
      </c>
      <c r="N30" s="9">
        <f>IF(OR(O30="",P30="",O30=0),"",(P30-O30)/ABS(O30))</f>
        <v>-0.24181010698424432</v>
      </c>
      <c r="O30" s="8">
        <v>60161</v>
      </c>
      <c r="P30" s="8">
        <v>65742</v>
      </c>
      <c r="Q30" s="9">
        <f>IF(OR(R30="",S30="",R30=0),"",(S30-R30)/ABS(R30))</f>
        <v>0.09276773989794053</v>
      </c>
      <c r="R30" s="8">
        <v>177675</v>
      </c>
      <c r="S30" s="8">
        <v>93918</v>
      </c>
      <c r="T30" s="9">
        <f>IF(OR(U30="",V30="",U30=0),"",(V30-U30)/ABS(U30))</f>
        <v>-0.4714056563951034</v>
      </c>
      <c r="U30" s="8">
        <v>305535</v>
      </c>
      <c r="V30" s="8">
        <v>244676</v>
      </c>
      <c r="W30" s="9">
        <f>IF(OR(X30="",Y30="",X30=0),"",(Y30-X30)/ABS(X30))</f>
        <v>-0.19918830903169849</v>
      </c>
    </row>
    <row r="31" spans="1:26" x14ac:dyDescent="0.25">
      <c r="A31" s="7"/>
      <c r="B31" s="8"/>
      <c r="C31" s="8"/>
      <c r="D31" s="8"/>
      <c r="E31" s="9"/>
      <c r="F31" s="9"/>
      <c r="G31" s="7" t="s">
        <v>89</v>
      </c>
      <c r="H31" s="7" t="s">
        <v>43</v>
      </c>
      <c r="I31" s="8" t="s">
        <v>43</v>
      </c>
      <c r="J31" s="8" t="s">
        <v>43</v>
      </c>
      <c r="K31" s="9">
        <f>IF(OR(L31="",M31="",L31=0),"",(M31-L31)/ABS(L31))</f>
      </c>
      <c r="L31" s="8">
        <v>251858</v>
      </c>
      <c r="M31" s="8">
        <v>250001</v>
      </c>
      <c r="N31" s="9">
        <f>IF(OR(O31="",P31="",O31=0),"",(P31-O31)/ABS(O31))</f>
        <v>-0.007373202360060034</v>
      </c>
      <c r="O31" s="8">
        <v>316526</v>
      </c>
      <c r="P31" s="8">
        <v>86662</v>
      </c>
      <c r="Q31" s="9">
        <f>IF(OR(R31="",S31="",R31=0),"",(S31-R31)/ABS(R31))</f>
        <v>-0.7262089054295697</v>
      </c>
      <c r="R31" s="8">
        <v>493875</v>
      </c>
      <c r="S31" s="8">
        <v>50710</v>
      </c>
      <c r="T31" s="9">
        <f>IF(OR(U31="",V31="",U31=0),"",(V31-U31)/ABS(U31))</f>
        <v>-0.8973221969121742</v>
      </c>
      <c r="U31" s="8">
        <v>409281</v>
      </c>
      <c r="V31" s="8">
        <v>123036</v>
      </c>
      <c r="W31" s="9">
        <f>IF(OR(X31="",Y31="",X31=0),"",(Y31-X31)/ABS(X31))</f>
        <v>-0.6993850190944608</v>
      </c>
    </row>
    <row r="32" spans="1:26" x14ac:dyDescent="0.25">
      <c r="A32" s="7"/>
      <c r="B32" s="8"/>
      <c r="C32" s="8"/>
      <c r="D32" s="8"/>
      <c r="E32" s="9"/>
      <c r="F32" s="9"/>
      <c r="G32" s="7" t="s">
        <v>90</v>
      </c>
      <c r="H32" s="7" t="s">
        <v>43</v>
      </c>
      <c r="I32" s="8" t="s">
        <v>43</v>
      </c>
      <c r="J32" s="8" t="s">
        <v>43</v>
      </c>
      <c r="K32" s="9">
        <f>IF(OR(L32="",M32="",L32=0),"",(M32-L32)/ABS(L32))</f>
      </c>
      <c r="L32" s="8" t="s">
        <v>43</v>
      </c>
      <c r="M32" s="8" t="s">
        <v>43</v>
      </c>
      <c r="N32" s="9">
        <f>IF(OR(O32="",P32="",O32=0),"",(P32-O32)/ABS(O32))</f>
      </c>
      <c r="O32" s="8" t="s">
        <v>43</v>
      </c>
      <c r="P32" s="8" t="s">
        <v>43</v>
      </c>
      <c r="Q32" s="9">
        <f>IF(OR(R32="",S32="",R32=0),"",(S32-R32)/ABS(R32))</f>
      </c>
      <c r="R32" s="8" t="s">
        <v>43</v>
      </c>
      <c r="S32" s="8" t="s">
        <v>43</v>
      </c>
      <c r="T32" s="9">
        <f>IF(OR(U32="",V32="",U32=0),"",(V32-U32)/ABS(U32))</f>
      </c>
      <c r="U32" s="8" t="s">
        <v>43</v>
      </c>
      <c r="V32" s="8" t="s">
        <v>43</v>
      </c>
      <c r="W32" s="9">
        <f>IF(OR(X32="",Y32="",X32=0),"",(Y32-X32)/ABS(X32))</f>
      </c>
    </row>
    <row r="33" spans="1:26" x14ac:dyDescent="0.25">
      <c r="A33" s="7"/>
      <c r="B33" s="8"/>
      <c r="C33" s="8"/>
      <c r="D33" s="8"/>
      <c r="E33" s="9"/>
      <c r="F33" s="9"/>
      <c r="G33" s="7" t="s">
        <v>91</v>
      </c>
      <c r="H33" s="7" t="s">
        <v>43</v>
      </c>
      <c r="I33" s="8" t="s">
        <v>43</v>
      </c>
      <c r="J33" s="8" t="s">
        <v>43</v>
      </c>
      <c r="K33" s="9">
        <f>IF(OR(L33="",M33="",L33=0),"",(M33-L33)/ABS(L33))</f>
      </c>
      <c r="L33" s="8" t="s">
        <v>43</v>
      </c>
      <c r="M33" s="8" t="s">
        <v>43</v>
      </c>
      <c r="N33" s="9">
        <f>IF(OR(O33="",P33="",O33=0),"",(P33-O33)/ABS(O33))</f>
      </c>
      <c r="O33" s="8" t="s">
        <v>43</v>
      </c>
      <c r="P33" s="8" t="s">
        <v>43</v>
      </c>
      <c r="Q33" s="9">
        <f>IF(OR(R33="",S33="",R33=0),"",(S33-R33)/ABS(R33))</f>
      </c>
      <c r="R33" s="8" t="s">
        <v>43</v>
      </c>
      <c r="S33" s="8" t="s">
        <v>43</v>
      </c>
      <c r="T33" s="9">
        <f>IF(OR(U33="",V33="",U33=0),"",(V33-U33)/ABS(U33))</f>
      </c>
      <c r="U33" s="8" t="s">
        <v>43</v>
      </c>
      <c r="V33" s="8" t="s">
        <v>43</v>
      </c>
      <c r="W33" s="9">
        <f>IF(OR(X33="",Y33="",X33=0),"",(Y33-X33)/ABS(X33))</f>
      </c>
    </row>
    <row r="34" spans="1:26" x14ac:dyDescent="0.25">
      <c r="A34" s="7"/>
      <c r="B34" s="8"/>
      <c r="C34" s="8"/>
      <c r="D34" s="8"/>
      <c r="E34" s="9"/>
      <c r="F34" s="9"/>
      <c r="G34" s="7" t="s">
        <v>92</v>
      </c>
      <c r="H34" s="7" t="s">
        <v>43</v>
      </c>
      <c r="I34" s="8" t="s">
        <v>43</v>
      </c>
      <c r="J34" s="8" t="s">
        <v>43</v>
      </c>
      <c r="K34" s="9">
        <f>IF(OR(L34="",M34="",L34=0),"",(M34-L34)/ABS(L34))</f>
      </c>
      <c r="L34" s="8" t="s">
        <v>43</v>
      </c>
      <c r="M34" s="8" t="s">
        <v>43</v>
      </c>
      <c r="N34" s="9">
        <f>IF(OR(O34="",P34="",O34=0),"",(P34-O34)/ABS(O34))</f>
      </c>
      <c r="O34" s="8" t="s">
        <v>43</v>
      </c>
      <c r="P34" s="8" t="s">
        <v>43</v>
      </c>
      <c r="Q34" s="9">
        <f>IF(OR(R34="",S34="",R34=0),"",(S34-R34)/ABS(R34))</f>
      </c>
      <c r="R34" s="8" t="s">
        <v>43</v>
      </c>
      <c r="S34" s="8" t="s">
        <v>43</v>
      </c>
      <c r="T34" s="9">
        <f>IF(OR(U34="",V34="",U34=0),"",(V34-U34)/ABS(U34))</f>
      </c>
      <c r="U34" s="8" t="s">
        <v>43</v>
      </c>
      <c r="V34" s="8" t="s">
        <v>43</v>
      </c>
      <c r="W34" s="9">
        <f>IF(OR(X34="",Y34="",X34=0),"",(Y34-X34)/ABS(X34))</f>
      </c>
    </row>
    <row r="35" spans="1:26" x14ac:dyDescent="0.25">
      <c r="A35" s="7"/>
      <c r="B35" s="8"/>
      <c r="C35" s="8"/>
      <c r="D35" s="8"/>
      <c r="E35" s="9"/>
      <c r="F35" s="9"/>
      <c r="G35" s="7" t="s">
        <v>94</v>
      </c>
      <c r="H35" s="7" t="s">
        <v>93</v>
      </c>
      <c r="I35" s="8" t="s">
        <v>43</v>
      </c>
      <c r="J35" s="8" t="s">
        <v>43</v>
      </c>
      <c r="K35" s="9">
        <f>IF(OR(L35="",M35="",L35=0),"",(M35-L35)/ABS(L35))</f>
      </c>
      <c r="L35" s="8" t="s">
        <v>43</v>
      </c>
      <c r="M35" s="8" t="s">
        <v>43</v>
      </c>
      <c r="N35" s="9">
        <f>IF(OR(O35="",P35="",O35=0),"",(P35-O35)/ABS(O35))</f>
      </c>
      <c r="O35" s="8" t="s">
        <v>43</v>
      </c>
      <c r="P35" s="8" t="s">
        <v>43</v>
      </c>
      <c r="Q35" s="9">
        <f>IF(OR(R35="",S35="",R35=0),"",(S35-R35)/ABS(R35))</f>
      </c>
      <c r="R35" s="8" t="s">
        <v>43</v>
      </c>
      <c r="S35" s="8" t="s">
        <v>43</v>
      </c>
      <c r="T35" s="9">
        <f>IF(OR(U35="",V35="",U35=0),"",(V35-U35)/ABS(U35))</f>
      </c>
      <c r="U35" s="8">
        <v>134543</v>
      </c>
      <c r="V35" s="8">
        <v>82971</v>
      </c>
      <c r="W35" s="9">
        <f>IF(OR(X35="",Y35="",X35=0),"",(Y35-X35)/ABS(X35))</f>
        <v>-0.38331239826672514</v>
      </c>
    </row>
    <row r="36" spans="1:26" x14ac:dyDescent="0.25">
      <c r="A36" s="7"/>
      <c r="B36" s="8"/>
      <c r="C36" s="8"/>
      <c r="D36" s="8"/>
      <c r="E36" s="9"/>
      <c r="F36" s="9"/>
      <c r="G36" s="7" t="s">
        <v>95</v>
      </c>
      <c r="H36" s="7" t="s">
        <v>43</v>
      </c>
      <c r="I36" s="8" t="s">
        <v>43</v>
      </c>
      <c r="J36" s="8" t="s">
        <v>43</v>
      </c>
      <c r="K36" s="9">
        <f>IF(OR(L36="",M36="",L36=0),"",(M36-L36)/ABS(L36))</f>
      </c>
      <c r="L36" s="8" t="s">
        <v>43</v>
      </c>
      <c r="M36" s="8" t="s">
        <v>43</v>
      </c>
      <c r="N36" s="9">
        <f>IF(OR(O36="",P36="",O36=0),"",(P36-O36)/ABS(O36))</f>
      </c>
      <c r="O36" s="8" t="s">
        <v>43</v>
      </c>
      <c r="P36" s="8" t="s">
        <v>43</v>
      </c>
      <c r="Q36" s="9">
        <f>IF(OR(R36="",S36="",R36=0),"",(S36-R36)/ABS(R36))</f>
      </c>
      <c r="R36" s="8" t="s">
        <v>43</v>
      </c>
      <c r="S36" s="8" t="s">
        <v>43</v>
      </c>
      <c r="T36" s="9">
        <f>IF(OR(U36="",V36="",U36=0),"",(V36-U36)/ABS(U36))</f>
      </c>
      <c r="U36" s="8" t="s">
        <v>43</v>
      </c>
      <c r="V36" s="8" t="s">
        <v>43</v>
      </c>
      <c r="W36" s="9">
        <f>IF(OR(X36="",Y36="",X36=0),"",(Y36-X36)/ABS(X36))</f>
      </c>
    </row>
    <row r="37" spans="1:26" x14ac:dyDescent="0.25">
      <c r="A37" s="7"/>
      <c r="B37" s="8"/>
      <c r="C37" s="8"/>
      <c r="D37" s="8"/>
      <c r="E37" s="9"/>
      <c r="F37" s="9"/>
      <c r="G37" s="7" t="s">
        <v>96</v>
      </c>
      <c r="H37" s="7" t="s">
        <v>43</v>
      </c>
      <c r="I37" s="8" t="s">
        <v>43</v>
      </c>
      <c r="J37" s="8" t="s">
        <v>43</v>
      </c>
      <c r="K37" s="9">
        <f>IF(OR(L37="",M37="",L37=0),"",(M37-L37)/ABS(L37))</f>
      </c>
      <c r="L37" s="8" t="s">
        <v>43</v>
      </c>
      <c r="M37" s="8" t="s">
        <v>43</v>
      </c>
      <c r="N37" s="9">
        <f>IF(OR(O37="",P37="",O37=0),"",(P37-O37)/ABS(O37))</f>
      </c>
      <c r="O37" s="8" t="s">
        <v>43</v>
      </c>
      <c r="P37" s="8" t="s">
        <v>43</v>
      </c>
      <c r="Q37" s="9">
        <f>IF(OR(R37="",S37="",R37=0),"",(S37-R37)/ABS(R37))</f>
      </c>
      <c r="R37" s="8" t="s">
        <v>43</v>
      </c>
      <c r="S37" s="8" t="s">
        <v>43</v>
      </c>
      <c r="T37" s="9">
        <f>IF(OR(U37="",V37="",U37=0),"",(V37-U37)/ABS(U37))</f>
      </c>
      <c r="U37" s="8" t="s">
        <v>43</v>
      </c>
      <c r="V37" s="8" t="s">
        <v>43</v>
      </c>
      <c r="W37" s="9">
        <f>IF(OR(X37="",Y37="",X37=0),"",(Y37-X37)/ABS(X37))</f>
      </c>
    </row>
    <row r="38" spans="1:26" x14ac:dyDescent="0.25">
      <c r="A38" s="7"/>
      <c r="B38" s="8"/>
      <c r="C38" s="8"/>
      <c r="D38" s="8"/>
      <c r="E38" s="9"/>
      <c r="F38" s="9"/>
      <c r="G38" s="7" t="s">
        <v>98</v>
      </c>
      <c r="H38" s="7" t="s">
        <v>97</v>
      </c>
      <c r="I38" s="8" t="s">
        <v>43</v>
      </c>
      <c r="J38" s="8" t="s">
        <v>43</v>
      </c>
      <c r="K38" s="9">
        <f>IF(OR(L38="",M38="",L38=0),"",(M38-L38)/ABS(L38))</f>
      </c>
      <c r="L38" s="8" t="s">
        <v>43</v>
      </c>
      <c r="M38" s="8" t="s">
        <v>43</v>
      </c>
      <c r="N38" s="9">
        <f>IF(OR(O38="",P38="",O38=0),"",(P38-O38)/ABS(O38))</f>
      </c>
      <c r="O38" s="8" t="s">
        <v>43</v>
      </c>
      <c r="P38" s="8" t="s">
        <v>43</v>
      </c>
      <c r="Q38" s="9">
        <f>IF(OR(R38="",S38="",R38=0),"",(S38-R38)/ABS(R38))</f>
      </c>
      <c r="R38" s="8">
        <v>198750</v>
      </c>
      <c r="S38" s="8">
        <v>84852</v>
      </c>
      <c r="T38" s="9">
        <f>IF(OR(U38="",V38="",U38=0),"",(V38-U38)/ABS(U38))</f>
        <v>-0.5730716981132076</v>
      </c>
      <c r="U38" s="8" t="s">
        <v>43</v>
      </c>
      <c r="V38" s="8" t="s">
        <v>43</v>
      </c>
      <c r="W38" s="9">
        <f>IF(OR(X38="",Y38="",X38=0),"",(Y38-X38)/ABS(X38))</f>
      </c>
    </row>
    <row r="39" spans="1:26" x14ac:dyDescent="0.25">
      <c r="A39" s="7"/>
      <c r="B39" s="8"/>
      <c r="C39" s="8"/>
      <c r="D39" s="8"/>
      <c r="E39" s="9"/>
      <c r="F39" s="9"/>
      <c r="G39" s="7" t="s">
        <v>99</v>
      </c>
      <c r="H39" s="7" t="s">
        <v>43</v>
      </c>
      <c r="I39" s="8" t="s">
        <v>43</v>
      </c>
      <c r="J39" s="8" t="s">
        <v>43</v>
      </c>
      <c r="K39" s="9">
        <f>IF(OR(L39="",M39="",L39=0),"",(M39-L39)/ABS(L39))</f>
      </c>
      <c r="L39" s="8" t="s">
        <v>43</v>
      </c>
      <c r="M39" s="8" t="s">
        <v>43</v>
      </c>
      <c r="N39" s="9">
        <f>IF(OR(O39="",P39="",O39=0),"",(P39-O39)/ABS(O39))</f>
      </c>
      <c r="O39" s="8" t="s">
        <v>43</v>
      </c>
      <c r="P39" s="8" t="s">
        <v>43</v>
      </c>
      <c r="Q39" s="9">
        <f>IF(OR(R39="",S39="",R39=0),"",(S39-R39)/ABS(R39))</f>
      </c>
      <c r="R39" s="8" t="s">
        <v>43</v>
      </c>
      <c r="S39" s="8" t="s">
        <v>43</v>
      </c>
      <c r="T39" s="9">
        <f>IF(OR(U39="",V39="",U39=0),"",(V39-U39)/ABS(U39))</f>
      </c>
      <c r="U39" s="8" t="s">
        <v>43</v>
      </c>
      <c r="V39" s="8" t="s">
        <v>43</v>
      </c>
      <c r="W39" s="9">
        <f>IF(OR(X39="",Y39="",X39=0),"",(Y39-X39)/ABS(X39))</f>
      </c>
    </row>
    <row r="40" spans="1:26" x14ac:dyDescent="0.25">
      <c r="A40" s="7"/>
      <c r="B40" s="8"/>
      <c r="C40" s="8"/>
      <c r="D40" s="8"/>
      <c r="E40" s="9"/>
      <c r="F40" s="9"/>
      <c r="G40" s="7" t="s">
        <v>100</v>
      </c>
      <c r="H40" s="7" t="s">
        <v>43</v>
      </c>
      <c r="I40" s="8" t="s">
        <v>43</v>
      </c>
      <c r="J40" s="8" t="s">
        <v>43</v>
      </c>
      <c r="K40" s="9">
        <f>IF(OR(L40="",M40="",L40=0),"",(M40-L40)/ABS(L40))</f>
      </c>
      <c r="L40" s="8" t="s">
        <v>43</v>
      </c>
      <c r="M40" s="8" t="s">
        <v>43</v>
      </c>
      <c r="N40" s="9">
        <f>IF(OR(O40="",P40="",O40=0),"",(P40-O40)/ABS(O40))</f>
      </c>
      <c r="O40" s="8" t="s">
        <v>43</v>
      </c>
      <c r="P40" s="8" t="s">
        <v>43</v>
      </c>
      <c r="Q40" s="9">
        <f>IF(OR(R40="",S40="",R40=0),"",(S40-R40)/ABS(R40))</f>
      </c>
      <c r="R40" s="8" t="s">
        <v>43</v>
      </c>
      <c r="S40" s="8" t="s">
        <v>43</v>
      </c>
      <c r="T40" s="9">
        <f>IF(OR(U40="",V40="",U40=0),"",(V40-U40)/ABS(U40))</f>
      </c>
      <c r="U40" s="8" t="s">
        <v>43</v>
      </c>
      <c r="V40" s="8" t="s">
        <v>43</v>
      </c>
      <c r="W40" s="9">
        <f>IF(OR(X40="",Y40="",X40=0),"",(Y40-X40)/ABS(X40))</f>
      </c>
    </row>
    <row r="41" spans="1:26" x14ac:dyDescent="0.25">
      <c r="A41" s="7"/>
      <c r="B41" s="8"/>
      <c r="C41" s="8"/>
      <c r="D41" s="8"/>
      <c r="E41" s="9"/>
      <c r="F41" s="9"/>
      <c r="G41" s="7" t="s">
        <v>101</v>
      </c>
      <c r="H41" s="7" t="s">
        <v>70</v>
      </c>
      <c r="I41" s="8" t="s">
        <v>43</v>
      </c>
      <c r="J41" s="8" t="s">
        <v>43</v>
      </c>
      <c r="K41" s="9">
        <f>IF(OR(L41="",M41="",L41=0),"",(M41-L41)/ABS(L41))</f>
      </c>
      <c r="L41" s="8" t="s">
        <v>43</v>
      </c>
      <c r="M41" s="8" t="s">
        <v>43</v>
      </c>
      <c r="N41" s="9">
        <f>IF(OR(O41="",P41="",O41=0),"",(P41-O41)/ABS(O41))</f>
      </c>
      <c r="O41" s="8" t="s">
        <v>43</v>
      </c>
      <c r="P41" s="8" t="s">
        <v>43</v>
      </c>
      <c r="Q41" s="9">
        <f>IF(OR(R41="",S41="",R41=0),"",(S41-R41)/ABS(R41))</f>
      </c>
      <c r="R41" s="8" t="s">
        <v>43</v>
      </c>
      <c r="S41" s="8" t="s">
        <v>43</v>
      </c>
      <c r="T41" s="9">
        <f>IF(OR(U41="",V41="",U41=0),"",(V41-U41)/ABS(U41))</f>
      </c>
      <c r="U41" s="8" t="s">
        <v>43</v>
      </c>
      <c r="V41" s="8" t="s">
        <v>43</v>
      </c>
      <c r="W41" s="9">
        <f>IF(OR(X41="",Y41="",X41=0),"",(Y41-X41)/ABS(X41))</f>
      </c>
    </row>
    <row r="42" spans="1:26" x14ac:dyDescent="0.25">
      <c r="A42" s="7"/>
      <c r="B42" s="8"/>
      <c r="C42" s="8"/>
      <c r="D42" s="8"/>
      <c r="E42" s="9"/>
      <c r="F42" s="9"/>
      <c r="G42" s="7" t="s">
        <v>102</v>
      </c>
      <c r="H42" s="7" t="s">
        <v>43</v>
      </c>
      <c r="I42" s="8" t="s">
        <v>43</v>
      </c>
      <c r="J42" s="8" t="s">
        <v>43</v>
      </c>
      <c r="K42" s="9">
        <f>IF(OR(L42="",M42="",L42=0),"",(M42-L42)/ABS(L42))</f>
      </c>
      <c r="L42" s="8" t="s">
        <v>43</v>
      </c>
      <c r="M42" s="8" t="s">
        <v>43</v>
      </c>
      <c r="N42" s="9">
        <f>IF(OR(O42="",P42="",O42=0),"",(P42-O42)/ABS(O42))</f>
      </c>
      <c r="O42" s="8" t="s">
        <v>43</v>
      </c>
      <c r="P42" s="8" t="s">
        <v>43</v>
      </c>
      <c r="Q42" s="9">
        <f>IF(OR(R42="",S42="",R42=0),"",(S42-R42)/ABS(R42))</f>
      </c>
      <c r="R42" s="8" t="s">
        <v>43</v>
      </c>
      <c r="S42" s="8" t="s">
        <v>43</v>
      </c>
      <c r="T42" s="9">
        <f>IF(OR(U42="",V42="",U42=0),"",(V42-U42)/ABS(U42))</f>
      </c>
      <c r="U42" s="8" t="s">
        <v>43</v>
      </c>
      <c r="V42" s="8" t="s">
        <v>43</v>
      </c>
      <c r="W42" s="9">
        <f>IF(OR(X42="",Y42="",X42=0),"",(Y42-X42)/ABS(X42))</f>
      </c>
    </row>
    <row r="43" spans="1:26" x14ac:dyDescent="0.25">
      <c r="A43" s="7"/>
      <c r="B43" s="8"/>
      <c r="C43" s="8"/>
      <c r="D43" s="8"/>
      <c r="E43" s="9"/>
      <c r="F43" s="9"/>
      <c r="G43" s="7" t="s">
        <v>103</v>
      </c>
      <c r="H43" s="7" t="s">
        <v>43</v>
      </c>
      <c r="I43" s="8" t="s">
        <v>43</v>
      </c>
      <c r="J43" s="8" t="s">
        <v>43</v>
      </c>
      <c r="K43" s="9">
        <f>IF(OR(L43="",M43="",L43=0),"",(M43-L43)/ABS(L43))</f>
      </c>
      <c r="L43" s="8" t="s">
        <v>43</v>
      </c>
      <c r="M43" s="8" t="s">
        <v>43</v>
      </c>
      <c r="N43" s="9">
        <f>IF(OR(O43="",P43="",O43=0),"",(P43-O43)/ABS(O43))</f>
      </c>
      <c r="O43" s="8" t="s">
        <v>43</v>
      </c>
      <c r="P43" s="8" t="s">
        <v>43</v>
      </c>
      <c r="Q43" s="9">
        <f>IF(OR(R43="",S43="",R43=0),"",(S43-R43)/ABS(R43))</f>
      </c>
      <c r="R43" s="8" t="s">
        <v>43</v>
      </c>
      <c r="S43" s="8" t="s">
        <v>43</v>
      </c>
      <c r="T43" s="9">
        <f>IF(OR(U43="",V43="",U43=0),"",(V43-U43)/ABS(U43))</f>
      </c>
      <c r="U43" s="8" t="s">
        <v>43</v>
      </c>
      <c r="V43" s="8" t="s">
        <v>43</v>
      </c>
      <c r="W43" s="9">
        <f>IF(OR(X43="",Y43="",X43=0),"",(Y43-X43)/ABS(X43))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7" width="18" customWidth="1"/>
  </cols>
  <sheetData>
    <row r="1" spans="1:7" x14ac:dyDescent="0.25">
      <c r="A1" s="10" t="s">
        <v>120</v>
      </c>
      <c r="B1" s="10" t="s">
        <v>121</v>
      </c>
      <c r="C1" s="10" t="s">
        <v>122</v>
      </c>
      <c r="D1" s="10" t="s">
        <v>123</v>
      </c>
      <c r="E1" s="10" t="s">
        <v>124</v>
      </c>
      <c r="F1" s="10" t="s">
        <v>39</v>
      </c>
      <c r="G1" s="10" t="s">
        <v>40</v>
      </c>
    </row>
    <row r="2" spans="1:7" x14ac:dyDescent="0.25">
      <c r="A2" t="s">
        <v>125</v>
      </c>
      <c r="B2" t="s">
        <v>125</v>
      </c>
      <c r="C2">
        <v>190046141</v>
      </c>
      <c r="D2">
        <v>0</v>
      </c>
      <c r="E2">
        <v>190046141</v>
      </c>
      <c r="F2" t="s">
        <v>43</v>
      </c>
      <c r="G2">
        <v>0</v>
      </c>
    </row>
    <row r="3" spans="1:7" x14ac:dyDescent="0.25">
      <c r="A3" t="s">
        <v>126</v>
      </c>
      <c r="B3" t="s">
        <v>126</v>
      </c>
      <c r="C3">
        <v>134785223</v>
      </c>
      <c r="D3">
        <v>0</v>
      </c>
      <c r="E3">
        <v>134785223</v>
      </c>
      <c r="F3" t="s">
        <v>43</v>
      </c>
      <c r="G3">
        <v>0</v>
      </c>
    </row>
    <row r="4" spans="1:7" x14ac:dyDescent="0.25">
      <c r="A4" t="s">
        <v>127</v>
      </c>
      <c r="B4" t="s">
        <v>128</v>
      </c>
      <c r="C4">
        <v>61454079</v>
      </c>
      <c r="D4">
        <v>0</v>
      </c>
      <c r="E4">
        <v>61454079</v>
      </c>
      <c r="F4" t="s">
        <v>43</v>
      </c>
      <c r="G4">
        <v>0</v>
      </c>
    </row>
    <row r="5" spans="1:7" x14ac:dyDescent="0.25">
      <c r="A5" t="s">
        <v>127</v>
      </c>
      <c r="B5" t="s">
        <v>129</v>
      </c>
      <c r="C5">
        <v>59806308</v>
      </c>
      <c r="D5">
        <v>0</v>
      </c>
      <c r="E5">
        <v>59806308</v>
      </c>
      <c r="F5" t="s">
        <v>43</v>
      </c>
      <c r="G5">
        <v>0</v>
      </c>
    </row>
    <row r="6" spans="1:7" x14ac:dyDescent="0.25">
      <c r="A6" t="s">
        <v>127</v>
      </c>
      <c r="B6" t="s">
        <v>130</v>
      </c>
      <c r="C6">
        <v>53452778</v>
      </c>
      <c r="D6">
        <v>0</v>
      </c>
      <c r="E6">
        <v>53452778</v>
      </c>
      <c r="F6" t="s">
        <v>43</v>
      </c>
      <c r="G6">
        <v>0</v>
      </c>
    </row>
    <row r="7" spans="1:7" x14ac:dyDescent="0.25">
      <c r="A7" t="s">
        <v>131</v>
      </c>
      <c r="B7" t="s">
        <v>131</v>
      </c>
      <c r="C7">
        <v>40796696</v>
      </c>
      <c r="D7">
        <v>0</v>
      </c>
      <c r="E7">
        <v>40796696</v>
      </c>
      <c r="F7" t="s">
        <v>43</v>
      </c>
      <c r="G7">
        <v>0</v>
      </c>
    </row>
    <row r="8" spans="1:7" x14ac:dyDescent="0.25">
      <c r="A8" t="s">
        <v>132</v>
      </c>
      <c r="B8" t="s">
        <v>132</v>
      </c>
      <c r="C8">
        <v>32759846</v>
      </c>
      <c r="D8">
        <v>0</v>
      </c>
      <c r="E8">
        <v>32759846</v>
      </c>
      <c r="F8" t="s">
        <v>43</v>
      </c>
      <c r="G8">
        <v>0</v>
      </c>
    </row>
    <row r="9" spans="1:7" x14ac:dyDescent="0.25">
      <c r="A9" t="s">
        <v>127</v>
      </c>
      <c r="B9" t="s">
        <v>133</v>
      </c>
      <c r="C9">
        <v>32717935</v>
      </c>
      <c r="D9">
        <v>0</v>
      </c>
      <c r="E9">
        <v>32717935</v>
      </c>
      <c r="F9" t="s">
        <v>43</v>
      </c>
      <c r="G9">
        <v>0</v>
      </c>
    </row>
    <row r="10" spans="1:7" x14ac:dyDescent="0.25">
      <c r="A10" t="s">
        <v>126</v>
      </c>
      <c r="B10" t="s">
        <v>134</v>
      </c>
      <c r="C10">
        <v>28296026</v>
      </c>
      <c r="D10">
        <v>0</v>
      </c>
      <c r="E10">
        <v>28296026</v>
      </c>
      <c r="F10" t="s">
        <v>43</v>
      </c>
      <c r="G10">
        <v>0</v>
      </c>
    </row>
    <row r="11" spans="1:7" x14ac:dyDescent="0.25">
      <c r="A11" t="s">
        <v>125</v>
      </c>
      <c r="B11" t="s">
        <v>135</v>
      </c>
      <c r="C11">
        <v>27534144</v>
      </c>
      <c r="D11">
        <v>0</v>
      </c>
      <c r="E11">
        <v>27534144</v>
      </c>
      <c r="F11" t="s">
        <v>43</v>
      </c>
      <c r="G11">
        <v>0</v>
      </c>
    </row>
    <row r="12" spans="1:7" x14ac:dyDescent="0.25">
      <c r="A12" t="s">
        <v>125</v>
      </c>
      <c r="B12" t="s">
        <v>136</v>
      </c>
      <c r="C12">
        <v>15111614</v>
      </c>
      <c r="D12">
        <v>0</v>
      </c>
      <c r="E12">
        <v>15111614</v>
      </c>
      <c r="F12" t="s">
        <v>43</v>
      </c>
      <c r="G12">
        <v>0</v>
      </c>
    </row>
    <row r="13" spans="1:7" x14ac:dyDescent="0.25">
      <c r="A13" t="s">
        <v>127</v>
      </c>
      <c r="B13" t="s">
        <v>137</v>
      </c>
      <c r="C13">
        <v>11234034</v>
      </c>
      <c r="D13">
        <v>0</v>
      </c>
      <c r="E13">
        <v>11234034</v>
      </c>
      <c r="F13" t="s">
        <v>43</v>
      </c>
      <c r="G13">
        <v>0</v>
      </c>
    </row>
    <row r="14" spans="1:7" x14ac:dyDescent="0.25">
      <c r="A14" t="s">
        <v>127</v>
      </c>
      <c r="B14" t="s">
        <v>138</v>
      </c>
      <c r="C14">
        <v>7215569</v>
      </c>
      <c r="D14">
        <v>0</v>
      </c>
      <c r="E14">
        <v>7215569</v>
      </c>
      <c r="F14" t="s">
        <v>43</v>
      </c>
      <c r="G14">
        <v>0</v>
      </c>
    </row>
    <row r="15" spans="1:7" x14ac:dyDescent="0.25">
      <c r="A15" t="s">
        <v>125</v>
      </c>
      <c r="B15" t="s">
        <v>139</v>
      </c>
      <c r="C15">
        <v>5904334</v>
      </c>
      <c r="D15">
        <v>0</v>
      </c>
      <c r="E15">
        <v>5904334</v>
      </c>
      <c r="F15" t="s">
        <v>43</v>
      </c>
      <c r="G15">
        <v>0</v>
      </c>
    </row>
    <row r="16" spans="1:7" x14ac:dyDescent="0.25">
      <c r="A16" t="s">
        <v>125</v>
      </c>
      <c r="B16" t="s">
        <v>140</v>
      </c>
      <c r="C16">
        <v>5509220</v>
      </c>
      <c r="D16">
        <v>0</v>
      </c>
      <c r="E16">
        <v>5509220</v>
      </c>
      <c r="F16" t="s">
        <v>43</v>
      </c>
      <c r="G16">
        <v>0</v>
      </c>
    </row>
    <row r="17" spans="1:7" x14ac:dyDescent="0.25">
      <c r="A17" t="s">
        <v>126</v>
      </c>
      <c r="B17" t="s">
        <v>141</v>
      </c>
      <c r="C17">
        <v>1921071</v>
      </c>
      <c r="D17">
        <v>0</v>
      </c>
      <c r="E17">
        <v>1921071</v>
      </c>
      <c r="F17" t="s">
        <v>43</v>
      </c>
      <c r="G17">
        <v>0</v>
      </c>
    </row>
    <row r="18" spans="1:7" x14ac:dyDescent="0.25">
      <c r="A18" t="s">
        <v>132</v>
      </c>
      <c r="B18" t="s">
        <v>142</v>
      </c>
      <c r="C18">
        <v>1657334</v>
      </c>
      <c r="D18">
        <v>0</v>
      </c>
      <c r="E18">
        <v>1657334</v>
      </c>
      <c r="F18" t="s">
        <v>43</v>
      </c>
      <c r="G18">
        <v>0</v>
      </c>
    </row>
    <row r="19" spans="1:7" x14ac:dyDescent="0.25">
      <c r="A19" t="s">
        <v>143</v>
      </c>
      <c r="B19" t="s">
        <v>143</v>
      </c>
      <c r="C19">
        <v>1623859</v>
      </c>
      <c r="D19">
        <v>0</v>
      </c>
      <c r="E19">
        <v>1623859</v>
      </c>
      <c r="F19" t="s">
        <v>43</v>
      </c>
      <c r="G19">
        <v>0</v>
      </c>
    </row>
    <row r="20" spans="1:7" x14ac:dyDescent="0.25">
      <c r="A20" t="s">
        <v>125</v>
      </c>
      <c r="B20" t="s">
        <v>144</v>
      </c>
      <c r="C20">
        <v>1452182</v>
      </c>
      <c r="D20">
        <v>0</v>
      </c>
      <c r="E20">
        <v>1452182</v>
      </c>
      <c r="F20" t="s">
        <v>43</v>
      </c>
      <c r="G20">
        <v>0</v>
      </c>
    </row>
    <row r="21" spans="1:7" x14ac:dyDescent="0.25">
      <c r="A21" t="s">
        <v>132</v>
      </c>
      <c r="B21" t="s">
        <v>145</v>
      </c>
      <c r="C21">
        <v>803363</v>
      </c>
      <c r="D21">
        <v>0</v>
      </c>
      <c r="E21">
        <v>803363</v>
      </c>
      <c r="F21" t="s">
        <v>43</v>
      </c>
      <c r="G21">
        <v>0</v>
      </c>
    </row>
    <row r="22" spans="1:7" x14ac:dyDescent="0.25">
      <c r="A22" t="s">
        <v>127</v>
      </c>
      <c r="B22" t="s">
        <v>146</v>
      </c>
      <c r="C22">
        <v>725688</v>
      </c>
      <c r="D22">
        <v>0</v>
      </c>
      <c r="E22">
        <v>725688</v>
      </c>
      <c r="F22" t="s">
        <v>43</v>
      </c>
      <c r="G22">
        <v>0</v>
      </c>
    </row>
    <row r="23" spans="1:7" x14ac:dyDescent="0.25">
      <c r="A23" t="s">
        <v>131</v>
      </c>
      <c r="B23" t="s">
        <v>147</v>
      </c>
      <c r="C23">
        <v>49785</v>
      </c>
      <c r="D23">
        <v>0</v>
      </c>
      <c r="E23">
        <v>49785</v>
      </c>
      <c r="F23" t="s">
        <v>43</v>
      </c>
      <c r="G23">
        <v>0</v>
      </c>
    </row>
    <row r="24" spans="1:7" x14ac:dyDescent="0.25">
      <c r="A24" t="s">
        <v>127</v>
      </c>
      <c r="B24" t="s">
        <v>148</v>
      </c>
      <c r="C24">
        <v>33051</v>
      </c>
      <c r="D24">
        <v>0</v>
      </c>
      <c r="E24">
        <v>33051</v>
      </c>
      <c r="F24" t="s">
        <v>43</v>
      </c>
      <c r="G24">
        <v>0</v>
      </c>
    </row>
    <row r="25" spans="1:7" x14ac:dyDescent="0.25">
      <c r="A25" t="s">
        <v>125</v>
      </c>
      <c r="B25" t="s">
        <v>149</v>
      </c>
      <c r="C25">
        <v>17030</v>
      </c>
      <c r="D25">
        <v>0</v>
      </c>
      <c r="E25">
        <v>17030</v>
      </c>
      <c r="F25" t="s">
        <v>43</v>
      </c>
      <c r="G25">
        <v>0</v>
      </c>
    </row>
    <row r="26" spans="1:7" x14ac:dyDescent="0.25">
      <c r="A26" t="s">
        <v>150</v>
      </c>
      <c r="B26" t="s">
        <v>138</v>
      </c>
      <c r="C26">
        <v>0</v>
      </c>
      <c r="D26">
        <v>5609625</v>
      </c>
      <c r="E26">
        <v>-5609625</v>
      </c>
      <c r="F26">
        <v>-100</v>
      </c>
      <c r="G26">
        <v>0</v>
      </c>
    </row>
    <row r="27" spans="1:7" x14ac:dyDescent="0.25">
      <c r="A27" t="s">
        <v>150</v>
      </c>
      <c r="B27" t="s">
        <v>135</v>
      </c>
      <c r="C27">
        <v>0</v>
      </c>
      <c r="D27">
        <v>48522</v>
      </c>
      <c r="E27">
        <v>-48522</v>
      </c>
      <c r="F27">
        <v>-100</v>
      </c>
      <c r="G27">
        <v>0</v>
      </c>
    </row>
    <row r="28" spans="1:7" x14ac:dyDescent="0.25">
      <c r="A28" t="s">
        <v>150</v>
      </c>
      <c r="B28" t="s">
        <v>151</v>
      </c>
      <c r="C28">
        <v>0</v>
      </c>
      <c r="D28">
        <v>2446</v>
      </c>
      <c r="E28">
        <v>-2446</v>
      </c>
      <c r="F28">
        <v>-100</v>
      </c>
      <c r="G28">
        <v>0</v>
      </c>
    </row>
    <row r="29" spans="1:7" x14ac:dyDescent="0.25">
      <c r="A29" t="s">
        <v>150</v>
      </c>
      <c r="B29" t="s">
        <v>152</v>
      </c>
      <c r="C29">
        <v>0</v>
      </c>
      <c r="D29">
        <v>21428113</v>
      </c>
      <c r="E29">
        <v>-21428113</v>
      </c>
      <c r="F29">
        <v>-100</v>
      </c>
      <c r="G29">
        <v>0</v>
      </c>
    </row>
    <row r="30" spans="1:7" x14ac:dyDescent="0.25">
      <c r="A30" t="s">
        <v>150</v>
      </c>
      <c r="B30" t="s">
        <v>153</v>
      </c>
      <c r="C30">
        <v>0</v>
      </c>
      <c r="D30">
        <v>119518848</v>
      </c>
      <c r="E30">
        <v>-119518848</v>
      </c>
      <c r="F30">
        <v>-100</v>
      </c>
      <c r="G30">
        <v>0</v>
      </c>
    </row>
    <row r="31" spans="1:7" x14ac:dyDescent="0.25">
      <c r="A31" t="s">
        <v>150</v>
      </c>
      <c r="B31" t="s">
        <v>130</v>
      </c>
      <c r="C31">
        <v>0</v>
      </c>
      <c r="D31">
        <v>41457813</v>
      </c>
      <c r="E31">
        <v>-41457813</v>
      </c>
      <c r="F31">
        <v>-100</v>
      </c>
      <c r="G31">
        <v>0</v>
      </c>
    </row>
    <row r="32" spans="1:7" x14ac:dyDescent="0.25">
      <c r="A32" t="s">
        <v>150</v>
      </c>
      <c r="B32" t="s">
        <v>154</v>
      </c>
      <c r="C32">
        <v>0</v>
      </c>
      <c r="D32">
        <v>5273111</v>
      </c>
      <c r="E32">
        <v>-5273111</v>
      </c>
      <c r="F32">
        <v>-100</v>
      </c>
      <c r="G32">
        <v>0</v>
      </c>
    </row>
    <row r="33" spans="1:7" x14ac:dyDescent="0.25">
      <c r="A33" t="s">
        <v>150</v>
      </c>
      <c r="B33" t="s">
        <v>155</v>
      </c>
      <c r="C33">
        <v>0</v>
      </c>
      <c r="D33">
        <v>391436</v>
      </c>
      <c r="E33">
        <v>-391436</v>
      </c>
      <c r="F33">
        <v>-100</v>
      </c>
      <c r="G33">
        <v>0</v>
      </c>
    </row>
    <row r="34" spans="1:7" x14ac:dyDescent="0.25">
      <c r="A34" t="s">
        <v>150</v>
      </c>
      <c r="B34" t="s">
        <v>156</v>
      </c>
      <c r="C34">
        <v>0</v>
      </c>
      <c r="D34">
        <v>192108184</v>
      </c>
      <c r="E34">
        <v>-192108184</v>
      </c>
      <c r="F34">
        <v>-100</v>
      </c>
      <c r="G34">
        <v>0</v>
      </c>
    </row>
    <row r="35" spans="1:7" x14ac:dyDescent="0.25">
      <c r="A35" t="s">
        <v>150</v>
      </c>
      <c r="B35" t="s">
        <v>157</v>
      </c>
      <c r="C35">
        <v>0</v>
      </c>
      <c r="D35">
        <v>28461519</v>
      </c>
      <c r="E35">
        <v>-28461519</v>
      </c>
      <c r="F35">
        <v>-100</v>
      </c>
      <c r="G35">
        <v>0</v>
      </c>
    </row>
    <row r="36" spans="1:7" x14ac:dyDescent="0.25">
      <c r="A36" t="s">
        <v>150</v>
      </c>
      <c r="B36" t="s">
        <v>158</v>
      </c>
      <c r="C36">
        <v>0</v>
      </c>
      <c r="D36">
        <v>38502266</v>
      </c>
      <c r="E36">
        <v>-38502266</v>
      </c>
      <c r="F36">
        <v>-100</v>
      </c>
      <c r="G36">
        <v>0</v>
      </c>
    </row>
    <row r="37" spans="1:7" x14ac:dyDescent="0.25">
      <c r="A37" t="s">
        <v>150</v>
      </c>
      <c r="B37" t="s">
        <v>128</v>
      </c>
      <c r="C37">
        <v>0</v>
      </c>
      <c r="D37">
        <v>40585307</v>
      </c>
      <c r="E37">
        <v>-40585307</v>
      </c>
      <c r="F37">
        <v>-100</v>
      </c>
      <c r="G37">
        <v>0</v>
      </c>
    </row>
    <row r="38" spans="1:7" x14ac:dyDescent="0.25">
      <c r="A38" t="s">
        <v>150</v>
      </c>
      <c r="B38" t="s">
        <v>129</v>
      </c>
      <c r="C38">
        <v>0</v>
      </c>
      <c r="D38">
        <v>38247470</v>
      </c>
      <c r="E38">
        <v>-38247470</v>
      </c>
      <c r="F38">
        <v>-100</v>
      </c>
      <c r="G38">
        <v>0</v>
      </c>
    </row>
    <row r="39" spans="1:7" x14ac:dyDescent="0.25">
      <c r="A39" t="s">
        <v>150</v>
      </c>
      <c r="B39" t="s">
        <v>133</v>
      </c>
      <c r="C39">
        <v>0</v>
      </c>
      <c r="D39">
        <v>18243334</v>
      </c>
      <c r="E39">
        <v>-18243334</v>
      </c>
      <c r="F39">
        <v>-100</v>
      </c>
      <c r="G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  <col min="4" max="5" width="18" customWidth="1"/>
  </cols>
  <sheetData>
    <row r="1" spans="1:5" x14ac:dyDescent="0.25">
      <c r="A1" s="10" t="s">
        <v>35</v>
      </c>
      <c r="B1" s="10" t="s">
        <v>120</v>
      </c>
      <c r="C1" s="10" t="s">
        <v>121</v>
      </c>
      <c r="D1" s="10" t="s">
        <v>159</v>
      </c>
      <c r="E1" s="10" t="s">
        <v>160</v>
      </c>
    </row>
    <row r="2" spans="1:5" x14ac:dyDescent="0.25">
      <c r="A2" t="s">
        <v>34</v>
      </c>
      <c r="B2" t="s">
        <v>125</v>
      </c>
      <c r="C2" t="s">
        <v>125</v>
      </c>
      <c r="D2">
        <v>99342329</v>
      </c>
      <c r="E2">
        <v>0</v>
      </c>
    </row>
    <row r="3" spans="1:5" x14ac:dyDescent="0.25">
      <c r="A3" t="s">
        <v>34</v>
      </c>
      <c r="B3" t="s">
        <v>126</v>
      </c>
      <c r="C3" t="s">
        <v>126</v>
      </c>
      <c r="D3">
        <v>51638475</v>
      </c>
      <c r="E3">
        <v>0</v>
      </c>
    </row>
    <row r="4" spans="1:5" x14ac:dyDescent="0.25">
      <c r="A4" t="s">
        <v>34</v>
      </c>
      <c r="B4" t="s">
        <v>127</v>
      </c>
      <c r="C4" t="s">
        <v>129</v>
      </c>
      <c r="D4">
        <v>27266503</v>
      </c>
      <c r="E4">
        <v>0</v>
      </c>
    </row>
    <row r="5" spans="1:5" x14ac:dyDescent="0.25">
      <c r="A5" t="s">
        <v>45</v>
      </c>
      <c r="B5" t="s">
        <v>126</v>
      </c>
      <c r="C5" t="s">
        <v>126</v>
      </c>
      <c r="D5">
        <v>23658949</v>
      </c>
      <c r="E5">
        <v>0</v>
      </c>
    </row>
    <row r="6" spans="1:5" x14ac:dyDescent="0.25">
      <c r="A6" t="s">
        <v>34</v>
      </c>
      <c r="B6" t="s">
        <v>127</v>
      </c>
      <c r="C6" t="s">
        <v>128</v>
      </c>
      <c r="D6">
        <v>22200987</v>
      </c>
      <c r="E6">
        <v>0</v>
      </c>
    </row>
    <row r="7" spans="1:5" x14ac:dyDescent="0.25">
      <c r="A7" t="s">
        <v>34</v>
      </c>
      <c r="B7" t="s">
        <v>127</v>
      </c>
      <c r="C7" t="s">
        <v>133</v>
      </c>
      <c r="D7">
        <v>21948054</v>
      </c>
      <c r="E7">
        <v>0</v>
      </c>
    </row>
    <row r="8" spans="1:5" x14ac:dyDescent="0.25">
      <c r="A8" t="s">
        <v>45</v>
      </c>
      <c r="B8" t="s">
        <v>127</v>
      </c>
      <c r="C8" t="s">
        <v>130</v>
      </c>
      <c r="D8">
        <v>21789805</v>
      </c>
      <c r="E8">
        <v>0</v>
      </c>
    </row>
    <row r="9" spans="1:5" x14ac:dyDescent="0.25">
      <c r="A9" t="s">
        <v>45</v>
      </c>
      <c r="B9" t="s">
        <v>125</v>
      </c>
      <c r="C9" t="s">
        <v>125</v>
      </c>
      <c r="D9">
        <v>21772151</v>
      </c>
      <c r="E9">
        <v>0</v>
      </c>
    </row>
    <row r="10" spans="1:5" x14ac:dyDescent="0.25">
      <c r="A10" t="s">
        <v>50</v>
      </c>
      <c r="B10" t="s">
        <v>125</v>
      </c>
      <c r="C10" t="s">
        <v>125</v>
      </c>
      <c r="D10">
        <v>21654395</v>
      </c>
      <c r="E10">
        <v>0</v>
      </c>
    </row>
    <row r="11" spans="1:5" x14ac:dyDescent="0.25">
      <c r="A11" t="s">
        <v>50</v>
      </c>
      <c r="B11" t="s">
        <v>126</v>
      </c>
      <c r="C11" t="s">
        <v>126</v>
      </c>
      <c r="D11">
        <v>18757550</v>
      </c>
      <c r="E11">
        <v>0</v>
      </c>
    </row>
    <row r="12" spans="1:5" x14ac:dyDescent="0.25">
      <c r="A12" t="s">
        <v>45</v>
      </c>
      <c r="B12" t="s">
        <v>127</v>
      </c>
      <c r="C12" t="s">
        <v>128</v>
      </c>
      <c r="D12">
        <v>18573773</v>
      </c>
      <c r="E12">
        <v>0</v>
      </c>
    </row>
    <row r="13" spans="1:5" x14ac:dyDescent="0.25">
      <c r="A13" t="s">
        <v>34</v>
      </c>
      <c r="B13" t="s">
        <v>125</v>
      </c>
      <c r="C13" t="s">
        <v>135</v>
      </c>
      <c r="D13">
        <v>15311723</v>
      </c>
      <c r="E13">
        <v>0</v>
      </c>
    </row>
    <row r="14" spans="1:5" x14ac:dyDescent="0.25">
      <c r="A14" t="s">
        <v>48</v>
      </c>
      <c r="B14" t="s">
        <v>127</v>
      </c>
      <c r="C14" t="s">
        <v>129</v>
      </c>
      <c r="D14">
        <v>15184443</v>
      </c>
      <c r="E14">
        <v>0</v>
      </c>
    </row>
    <row r="15" spans="1:5" x14ac:dyDescent="0.25">
      <c r="A15" t="s">
        <v>48</v>
      </c>
      <c r="B15" t="s">
        <v>127</v>
      </c>
      <c r="C15" t="s">
        <v>128</v>
      </c>
      <c r="D15">
        <v>14266649</v>
      </c>
      <c r="E15">
        <v>0</v>
      </c>
    </row>
    <row r="16" spans="1:5" x14ac:dyDescent="0.25">
      <c r="A16" t="s">
        <v>48</v>
      </c>
      <c r="B16" t="s">
        <v>126</v>
      </c>
      <c r="C16" t="s">
        <v>126</v>
      </c>
      <c r="D16">
        <v>13957197</v>
      </c>
      <c r="E16">
        <v>0</v>
      </c>
    </row>
    <row r="17" spans="1:5" x14ac:dyDescent="0.25">
      <c r="A17" t="s">
        <v>58</v>
      </c>
      <c r="B17" t="s">
        <v>125</v>
      </c>
      <c r="C17" t="s">
        <v>125</v>
      </c>
      <c r="D17">
        <v>13385349</v>
      </c>
      <c r="E17">
        <v>0</v>
      </c>
    </row>
    <row r="18" spans="1:5" x14ac:dyDescent="0.25">
      <c r="A18" t="s">
        <v>50</v>
      </c>
      <c r="B18" t="s">
        <v>132</v>
      </c>
      <c r="C18" t="s">
        <v>132</v>
      </c>
      <c r="D18">
        <v>12594391</v>
      </c>
      <c r="E18">
        <v>0</v>
      </c>
    </row>
    <row r="19" spans="1:5" x14ac:dyDescent="0.25">
      <c r="A19" t="s">
        <v>53</v>
      </c>
      <c r="B19" t="s">
        <v>126</v>
      </c>
      <c r="C19" t="s">
        <v>126</v>
      </c>
      <c r="D19">
        <v>11905387</v>
      </c>
      <c r="E19">
        <v>0</v>
      </c>
    </row>
    <row r="20" spans="1:5" x14ac:dyDescent="0.25">
      <c r="A20" t="s">
        <v>34</v>
      </c>
      <c r="B20" t="s">
        <v>131</v>
      </c>
      <c r="C20" t="s">
        <v>131</v>
      </c>
      <c r="D20">
        <v>11421536</v>
      </c>
      <c r="E20">
        <v>0</v>
      </c>
    </row>
    <row r="21" spans="1:5" x14ac:dyDescent="0.25">
      <c r="A21" t="s">
        <v>48</v>
      </c>
      <c r="B21" t="s">
        <v>125</v>
      </c>
      <c r="C21" t="s">
        <v>125</v>
      </c>
      <c r="D21">
        <v>10893333</v>
      </c>
      <c r="E21">
        <v>0</v>
      </c>
    </row>
    <row r="22" spans="1:5" x14ac:dyDescent="0.25">
      <c r="A22" t="s">
        <v>34</v>
      </c>
      <c r="B22" t="s">
        <v>127</v>
      </c>
      <c r="C22" t="s">
        <v>130</v>
      </c>
      <c r="D22">
        <v>10243293</v>
      </c>
      <c r="E22">
        <v>0</v>
      </c>
    </row>
    <row r="23" spans="1:5" x14ac:dyDescent="0.25">
      <c r="A23" t="s">
        <v>45</v>
      </c>
      <c r="B23" t="s">
        <v>127</v>
      </c>
      <c r="C23" t="s">
        <v>129</v>
      </c>
      <c r="D23">
        <v>9988597</v>
      </c>
      <c r="E23">
        <v>0</v>
      </c>
    </row>
    <row r="24" spans="1:5" x14ac:dyDescent="0.25">
      <c r="A24" t="s">
        <v>55</v>
      </c>
      <c r="B24" t="s">
        <v>126</v>
      </c>
      <c r="C24" t="s">
        <v>126</v>
      </c>
      <c r="D24">
        <v>9663397</v>
      </c>
      <c r="E24">
        <v>0</v>
      </c>
    </row>
    <row r="25" spans="1:5" x14ac:dyDescent="0.25">
      <c r="A25" t="s">
        <v>34</v>
      </c>
      <c r="B25" t="s">
        <v>126</v>
      </c>
      <c r="C25" t="s">
        <v>134</v>
      </c>
      <c r="D25">
        <v>9644094</v>
      </c>
      <c r="E25">
        <v>0</v>
      </c>
    </row>
    <row r="26" spans="1:5" x14ac:dyDescent="0.25">
      <c r="A26" t="s">
        <v>61</v>
      </c>
      <c r="B26" t="s">
        <v>125</v>
      </c>
      <c r="C26" t="s">
        <v>125</v>
      </c>
      <c r="D26">
        <v>8951865</v>
      </c>
      <c r="E26">
        <v>0</v>
      </c>
    </row>
    <row r="27" spans="1:5" x14ac:dyDescent="0.25">
      <c r="A27" t="s">
        <v>55</v>
      </c>
      <c r="B27" t="s">
        <v>125</v>
      </c>
      <c r="C27" t="s">
        <v>125</v>
      </c>
      <c r="D27">
        <v>8643476</v>
      </c>
      <c r="E27">
        <v>0</v>
      </c>
    </row>
    <row r="28" spans="1:5" x14ac:dyDescent="0.25">
      <c r="A28" t="s">
        <v>34</v>
      </c>
      <c r="B28" t="s">
        <v>125</v>
      </c>
      <c r="C28" t="s">
        <v>136</v>
      </c>
      <c r="D28">
        <v>7530743</v>
      </c>
      <c r="E28">
        <v>0</v>
      </c>
    </row>
    <row r="29" spans="1:5" x14ac:dyDescent="0.25">
      <c r="A29" t="s">
        <v>45</v>
      </c>
      <c r="B29" t="s">
        <v>131</v>
      </c>
      <c r="C29" t="s">
        <v>131</v>
      </c>
      <c r="D29">
        <v>7225695</v>
      </c>
      <c r="E29">
        <v>0</v>
      </c>
    </row>
    <row r="30" spans="1:5" x14ac:dyDescent="0.25">
      <c r="A30" t="s">
        <v>50</v>
      </c>
      <c r="B30" t="s">
        <v>131</v>
      </c>
      <c r="C30" t="s">
        <v>131</v>
      </c>
      <c r="D30">
        <v>6321633</v>
      </c>
      <c r="E30">
        <v>0</v>
      </c>
    </row>
    <row r="31" spans="1:5" x14ac:dyDescent="0.25">
      <c r="A31" t="s">
        <v>48</v>
      </c>
      <c r="B31" t="s">
        <v>127</v>
      </c>
      <c r="C31" t="s">
        <v>130</v>
      </c>
      <c r="D31">
        <v>6195199</v>
      </c>
      <c r="E31">
        <v>0</v>
      </c>
    </row>
    <row r="32" spans="1:5" x14ac:dyDescent="0.25">
      <c r="A32" t="s">
        <v>45</v>
      </c>
      <c r="B32" t="s">
        <v>127</v>
      </c>
      <c r="C32" t="s">
        <v>133</v>
      </c>
      <c r="D32">
        <v>6095459</v>
      </c>
      <c r="E32">
        <v>0</v>
      </c>
    </row>
    <row r="33" spans="1:5" x14ac:dyDescent="0.25">
      <c r="A33" t="s">
        <v>53</v>
      </c>
      <c r="B33" t="s">
        <v>127</v>
      </c>
      <c r="C33" t="s">
        <v>130</v>
      </c>
      <c r="D33">
        <v>5790998</v>
      </c>
      <c r="E33">
        <v>0</v>
      </c>
    </row>
    <row r="34" spans="1:5" x14ac:dyDescent="0.25">
      <c r="A34" t="s">
        <v>48</v>
      </c>
      <c r="B34" t="s">
        <v>131</v>
      </c>
      <c r="C34" t="s">
        <v>131</v>
      </c>
      <c r="D34">
        <v>5701891</v>
      </c>
      <c r="E34">
        <v>0</v>
      </c>
    </row>
    <row r="35" spans="1:5" x14ac:dyDescent="0.25">
      <c r="A35" t="s">
        <v>34</v>
      </c>
      <c r="B35" t="s">
        <v>132</v>
      </c>
      <c r="C35" t="s">
        <v>132</v>
      </c>
      <c r="D35">
        <v>4973773</v>
      </c>
      <c r="E35">
        <v>0</v>
      </c>
    </row>
    <row r="36" spans="1:5" x14ac:dyDescent="0.25">
      <c r="A36" t="s">
        <v>53</v>
      </c>
      <c r="B36" t="s">
        <v>125</v>
      </c>
      <c r="C36" t="s">
        <v>125</v>
      </c>
      <c r="D36">
        <v>4919765</v>
      </c>
      <c r="E36">
        <v>0</v>
      </c>
    </row>
    <row r="37" spans="1:5" x14ac:dyDescent="0.25">
      <c r="A37" t="s">
        <v>45</v>
      </c>
      <c r="B37" t="s">
        <v>126</v>
      </c>
      <c r="C37" t="s">
        <v>134</v>
      </c>
      <c r="D37">
        <v>4767922</v>
      </c>
      <c r="E37">
        <v>0</v>
      </c>
    </row>
    <row r="38" spans="1:5" x14ac:dyDescent="0.25">
      <c r="A38" t="s">
        <v>55</v>
      </c>
      <c r="B38" t="s">
        <v>132</v>
      </c>
      <c r="C38" t="s">
        <v>132</v>
      </c>
      <c r="D38">
        <v>4719097</v>
      </c>
      <c r="E38">
        <v>0</v>
      </c>
    </row>
    <row r="39" spans="1:5" x14ac:dyDescent="0.25">
      <c r="A39" t="s">
        <v>50</v>
      </c>
      <c r="B39" t="s">
        <v>126</v>
      </c>
      <c r="C39" t="s">
        <v>134</v>
      </c>
      <c r="D39">
        <v>4571422</v>
      </c>
      <c r="E39">
        <v>0</v>
      </c>
    </row>
    <row r="40" spans="1:5" x14ac:dyDescent="0.25">
      <c r="A40" t="s">
        <v>48</v>
      </c>
      <c r="B40" t="s">
        <v>127</v>
      </c>
      <c r="C40" t="s">
        <v>133</v>
      </c>
      <c r="D40">
        <v>4031205</v>
      </c>
      <c r="E40">
        <v>0</v>
      </c>
    </row>
    <row r="41" spans="1:5" x14ac:dyDescent="0.25">
      <c r="A41" t="s">
        <v>34</v>
      </c>
      <c r="B41" t="s">
        <v>127</v>
      </c>
      <c r="C41" t="s">
        <v>137</v>
      </c>
      <c r="D41">
        <v>4012364</v>
      </c>
      <c r="E41">
        <v>0</v>
      </c>
    </row>
    <row r="42" spans="1:5" x14ac:dyDescent="0.25">
      <c r="A42" t="s">
        <v>50</v>
      </c>
      <c r="B42" t="s">
        <v>125</v>
      </c>
      <c r="C42" t="s">
        <v>135</v>
      </c>
      <c r="D42">
        <v>3947557</v>
      </c>
      <c r="E42">
        <v>0</v>
      </c>
    </row>
    <row r="43" spans="1:5" x14ac:dyDescent="0.25">
      <c r="A43" t="s">
        <v>58</v>
      </c>
      <c r="B43" t="s">
        <v>127</v>
      </c>
      <c r="C43" t="s">
        <v>130</v>
      </c>
      <c r="D43">
        <v>3863359</v>
      </c>
      <c r="E43">
        <v>0</v>
      </c>
    </row>
    <row r="44" spans="1:5" x14ac:dyDescent="0.25">
      <c r="A44" t="s">
        <v>53</v>
      </c>
      <c r="B44" t="s">
        <v>127</v>
      </c>
      <c r="C44" t="s">
        <v>128</v>
      </c>
      <c r="D44">
        <v>3772926</v>
      </c>
      <c r="E44">
        <v>0</v>
      </c>
    </row>
    <row r="45" spans="1:5" x14ac:dyDescent="0.25">
      <c r="A45" t="s">
        <v>53</v>
      </c>
      <c r="B45" t="s">
        <v>127</v>
      </c>
      <c r="C45" t="s">
        <v>129</v>
      </c>
      <c r="D45">
        <v>3729502</v>
      </c>
      <c r="E45">
        <v>0</v>
      </c>
    </row>
    <row r="46" spans="1:5" x14ac:dyDescent="0.25">
      <c r="A46" t="s">
        <v>53</v>
      </c>
      <c r="B46" t="s">
        <v>126</v>
      </c>
      <c r="C46" t="s">
        <v>134</v>
      </c>
      <c r="D46">
        <v>3729239</v>
      </c>
      <c r="E46">
        <v>0</v>
      </c>
    </row>
    <row r="47" spans="1:5" x14ac:dyDescent="0.25">
      <c r="A47" t="s">
        <v>53</v>
      </c>
      <c r="B47" t="s">
        <v>131</v>
      </c>
      <c r="C47" t="s">
        <v>131</v>
      </c>
      <c r="D47">
        <v>3725634</v>
      </c>
      <c r="E47">
        <v>0</v>
      </c>
    </row>
    <row r="48" spans="1:5" x14ac:dyDescent="0.25">
      <c r="A48" t="s">
        <v>53</v>
      </c>
      <c r="B48" t="s">
        <v>127</v>
      </c>
      <c r="C48" t="s">
        <v>138</v>
      </c>
      <c r="D48">
        <v>3564964</v>
      </c>
      <c r="E48">
        <v>0</v>
      </c>
    </row>
    <row r="49" spans="1:5" x14ac:dyDescent="0.25">
      <c r="A49" t="s">
        <v>55</v>
      </c>
      <c r="B49" t="s">
        <v>131</v>
      </c>
      <c r="C49" t="s">
        <v>131</v>
      </c>
      <c r="D49">
        <v>3366883</v>
      </c>
      <c r="E49">
        <v>0</v>
      </c>
    </row>
    <row r="50" spans="1:5" x14ac:dyDescent="0.25">
      <c r="A50" t="s">
        <v>34</v>
      </c>
      <c r="B50" t="s">
        <v>125</v>
      </c>
      <c r="C50" t="s">
        <v>140</v>
      </c>
      <c r="D50">
        <v>3339522</v>
      </c>
      <c r="E50">
        <v>0</v>
      </c>
    </row>
    <row r="51" spans="1:5" x14ac:dyDescent="0.25">
      <c r="A51" t="s">
        <v>61</v>
      </c>
      <c r="B51" t="s">
        <v>127</v>
      </c>
      <c r="C51" t="s">
        <v>130</v>
      </c>
      <c r="D51">
        <v>2972876</v>
      </c>
      <c r="E51">
        <v>0</v>
      </c>
    </row>
    <row r="52" spans="1:5" x14ac:dyDescent="0.25">
      <c r="A52" t="s">
        <v>48</v>
      </c>
      <c r="B52" t="s">
        <v>126</v>
      </c>
      <c r="C52" t="s">
        <v>134</v>
      </c>
      <c r="D52">
        <v>2837721</v>
      </c>
      <c r="E52">
        <v>0</v>
      </c>
    </row>
    <row r="53" spans="1:5" x14ac:dyDescent="0.25">
      <c r="A53" t="s">
        <v>53</v>
      </c>
      <c r="B53" t="s">
        <v>132</v>
      </c>
      <c r="C53" t="s">
        <v>132</v>
      </c>
      <c r="D53">
        <v>2828566</v>
      </c>
      <c r="E53">
        <v>0</v>
      </c>
    </row>
    <row r="54" spans="1:5" x14ac:dyDescent="0.25">
      <c r="A54" t="s">
        <v>48</v>
      </c>
      <c r="B54" t="s">
        <v>125</v>
      </c>
      <c r="C54" t="s">
        <v>135</v>
      </c>
      <c r="D54">
        <v>2712940</v>
      </c>
      <c r="E54">
        <v>0</v>
      </c>
    </row>
    <row r="55" spans="1:5" x14ac:dyDescent="0.25">
      <c r="A55" t="s">
        <v>58</v>
      </c>
      <c r="B55" t="s">
        <v>126</v>
      </c>
      <c r="C55" t="s">
        <v>126</v>
      </c>
      <c r="D55">
        <v>2576277</v>
      </c>
      <c r="E55">
        <v>0</v>
      </c>
    </row>
    <row r="56" spans="1:5" x14ac:dyDescent="0.25">
      <c r="A56" t="s">
        <v>45</v>
      </c>
      <c r="B56" t="s">
        <v>125</v>
      </c>
      <c r="C56" t="s">
        <v>136</v>
      </c>
      <c r="D56">
        <v>2509935</v>
      </c>
      <c r="E56">
        <v>0</v>
      </c>
    </row>
    <row r="57" spans="1:5" x14ac:dyDescent="0.25">
      <c r="A57" t="s">
        <v>50</v>
      </c>
      <c r="B57" t="s">
        <v>127</v>
      </c>
      <c r="C57" t="s">
        <v>130</v>
      </c>
      <c r="D57">
        <v>2500230</v>
      </c>
      <c r="E57">
        <v>0</v>
      </c>
    </row>
    <row r="58" spans="1:5" x14ac:dyDescent="0.25">
      <c r="A58" t="s">
        <v>58</v>
      </c>
      <c r="B58" t="s">
        <v>131</v>
      </c>
      <c r="C58" t="s">
        <v>131</v>
      </c>
      <c r="D58">
        <v>2440653</v>
      </c>
      <c r="E58">
        <v>0</v>
      </c>
    </row>
    <row r="59" spans="1:5" x14ac:dyDescent="0.25">
      <c r="A59" t="s">
        <v>45</v>
      </c>
      <c r="B59" t="s">
        <v>125</v>
      </c>
      <c r="C59" t="s">
        <v>135</v>
      </c>
      <c r="D59">
        <v>2420011</v>
      </c>
      <c r="E59">
        <v>0</v>
      </c>
    </row>
    <row r="60" spans="1:5" x14ac:dyDescent="0.25">
      <c r="A60" t="s">
        <v>45</v>
      </c>
      <c r="B60" t="s">
        <v>132</v>
      </c>
      <c r="C60" t="s">
        <v>132</v>
      </c>
      <c r="D60">
        <v>2402858</v>
      </c>
      <c r="E60">
        <v>0</v>
      </c>
    </row>
    <row r="61" spans="1:5" x14ac:dyDescent="0.25">
      <c r="A61" t="s">
        <v>58</v>
      </c>
      <c r="B61" t="s">
        <v>132</v>
      </c>
      <c r="C61" t="s">
        <v>132</v>
      </c>
      <c r="D61">
        <v>2245341</v>
      </c>
      <c r="E61">
        <v>0</v>
      </c>
    </row>
    <row r="62" spans="1:5" x14ac:dyDescent="0.25">
      <c r="A62" t="s">
        <v>34</v>
      </c>
      <c r="B62" t="s">
        <v>125</v>
      </c>
      <c r="C62" t="s">
        <v>139</v>
      </c>
      <c r="D62">
        <v>2038341</v>
      </c>
      <c r="E62">
        <v>0</v>
      </c>
    </row>
    <row r="63" spans="1:5" x14ac:dyDescent="0.25">
      <c r="A63" t="s">
        <v>50</v>
      </c>
      <c r="B63" t="s">
        <v>127</v>
      </c>
      <c r="C63" t="s">
        <v>129</v>
      </c>
      <c r="D63">
        <v>2030851</v>
      </c>
      <c r="E63">
        <v>0</v>
      </c>
    </row>
    <row r="64" spans="1:5" x14ac:dyDescent="0.25">
      <c r="A64" t="s">
        <v>48</v>
      </c>
      <c r="B64" t="s">
        <v>132</v>
      </c>
      <c r="C64" t="s">
        <v>132</v>
      </c>
      <c r="D64">
        <v>1959152</v>
      </c>
      <c r="E64">
        <v>0</v>
      </c>
    </row>
    <row r="65" spans="1:5" x14ac:dyDescent="0.25">
      <c r="A65" t="s">
        <v>50</v>
      </c>
      <c r="B65" t="s">
        <v>125</v>
      </c>
      <c r="C65" t="s">
        <v>136</v>
      </c>
      <c r="D65">
        <v>1868650</v>
      </c>
      <c r="E65">
        <v>0</v>
      </c>
    </row>
    <row r="66" spans="1:5" x14ac:dyDescent="0.25">
      <c r="A66" t="s">
        <v>55</v>
      </c>
      <c r="B66" t="s">
        <v>126</v>
      </c>
      <c r="C66" t="s">
        <v>134</v>
      </c>
      <c r="D66">
        <v>1715867</v>
      </c>
      <c r="E66">
        <v>0</v>
      </c>
    </row>
    <row r="67" spans="1:5" x14ac:dyDescent="0.25">
      <c r="A67" t="s">
        <v>48</v>
      </c>
      <c r="B67" t="s">
        <v>127</v>
      </c>
      <c r="C67" t="s">
        <v>137</v>
      </c>
      <c r="D67">
        <v>1653984</v>
      </c>
      <c r="E67">
        <v>0</v>
      </c>
    </row>
    <row r="68" spans="1:5" x14ac:dyDescent="0.25">
      <c r="A68" t="s">
        <v>58</v>
      </c>
      <c r="B68" t="s">
        <v>127</v>
      </c>
      <c r="C68" t="s">
        <v>129</v>
      </c>
      <c r="D68">
        <v>1588277</v>
      </c>
      <c r="E68">
        <v>0</v>
      </c>
    </row>
    <row r="69" spans="1:5" x14ac:dyDescent="0.25">
      <c r="A69" t="s">
        <v>34</v>
      </c>
      <c r="B69" t="s">
        <v>127</v>
      </c>
      <c r="C69" t="s">
        <v>138</v>
      </c>
      <c r="D69">
        <v>1495319</v>
      </c>
      <c r="E69">
        <v>0</v>
      </c>
    </row>
    <row r="70" spans="1:5" x14ac:dyDescent="0.25">
      <c r="A70" t="s">
        <v>61</v>
      </c>
      <c r="B70" t="s">
        <v>126</v>
      </c>
      <c r="C70" t="s">
        <v>126</v>
      </c>
      <c r="D70">
        <v>1476452</v>
      </c>
      <c r="E70">
        <v>0</v>
      </c>
    </row>
    <row r="71" spans="1:5" x14ac:dyDescent="0.25">
      <c r="A71" t="s">
        <v>48</v>
      </c>
      <c r="B71" t="s">
        <v>125</v>
      </c>
      <c r="C71" t="s">
        <v>136</v>
      </c>
      <c r="D71">
        <v>1367734</v>
      </c>
      <c r="E71">
        <v>0</v>
      </c>
    </row>
    <row r="72" spans="1:5" x14ac:dyDescent="0.25">
      <c r="A72" t="s">
        <v>53</v>
      </c>
      <c r="B72" t="s">
        <v>143</v>
      </c>
      <c r="C72" t="s">
        <v>143</v>
      </c>
      <c r="D72">
        <v>1361457</v>
      </c>
      <c r="E72">
        <v>0</v>
      </c>
    </row>
    <row r="73" spans="1:5" x14ac:dyDescent="0.25">
      <c r="A73" t="s">
        <v>53</v>
      </c>
      <c r="B73" t="s">
        <v>125</v>
      </c>
      <c r="C73" t="s">
        <v>135</v>
      </c>
      <c r="D73">
        <v>1328640</v>
      </c>
      <c r="E73">
        <v>0</v>
      </c>
    </row>
    <row r="74" spans="1:5" x14ac:dyDescent="0.25">
      <c r="A74" t="s">
        <v>53</v>
      </c>
      <c r="B74" t="s">
        <v>127</v>
      </c>
      <c r="C74" t="s">
        <v>137</v>
      </c>
      <c r="D74">
        <v>1307107</v>
      </c>
      <c r="E74">
        <v>0</v>
      </c>
    </row>
    <row r="75" spans="1:5" x14ac:dyDescent="0.25">
      <c r="A75" t="s">
        <v>45</v>
      </c>
      <c r="B75" t="s">
        <v>127</v>
      </c>
      <c r="C75" t="s">
        <v>137</v>
      </c>
      <c r="D75">
        <v>1234780</v>
      </c>
      <c r="E75">
        <v>0</v>
      </c>
    </row>
    <row r="76" spans="1:5" x14ac:dyDescent="0.25">
      <c r="A76" t="s">
        <v>61</v>
      </c>
      <c r="B76" t="s">
        <v>127</v>
      </c>
      <c r="C76" t="s">
        <v>128</v>
      </c>
      <c r="D76">
        <v>1230903</v>
      </c>
      <c r="E76">
        <v>0</v>
      </c>
    </row>
    <row r="77" spans="1:5" x14ac:dyDescent="0.25">
      <c r="A77" t="s">
        <v>50</v>
      </c>
      <c r="B77" t="s">
        <v>125</v>
      </c>
      <c r="C77" t="s">
        <v>139</v>
      </c>
      <c r="D77">
        <v>1197104</v>
      </c>
      <c r="E77">
        <v>0</v>
      </c>
    </row>
    <row r="78" spans="1:5" x14ac:dyDescent="0.25">
      <c r="A78" t="s">
        <v>63</v>
      </c>
      <c r="B78" t="s">
        <v>126</v>
      </c>
      <c r="C78" t="s">
        <v>126</v>
      </c>
      <c r="D78">
        <v>1151540</v>
      </c>
      <c r="E78">
        <v>0</v>
      </c>
    </row>
    <row r="79" spans="1:5" x14ac:dyDescent="0.25">
      <c r="A79" t="s">
        <v>50</v>
      </c>
      <c r="B79" t="s">
        <v>127</v>
      </c>
      <c r="C79" t="s">
        <v>128</v>
      </c>
      <c r="D79">
        <v>1098822</v>
      </c>
      <c r="E79">
        <v>0</v>
      </c>
    </row>
    <row r="80" spans="1:5" x14ac:dyDescent="0.25">
      <c r="A80" t="s">
        <v>61</v>
      </c>
      <c r="B80" t="s">
        <v>127</v>
      </c>
      <c r="C80" t="s">
        <v>137</v>
      </c>
      <c r="D80">
        <v>1084326</v>
      </c>
      <c r="E80">
        <v>0</v>
      </c>
    </row>
    <row r="81" spans="1:5" x14ac:dyDescent="0.25">
      <c r="A81" t="s">
        <v>45</v>
      </c>
      <c r="B81" t="s">
        <v>125</v>
      </c>
      <c r="C81" t="s">
        <v>139</v>
      </c>
      <c r="D81">
        <v>1079657</v>
      </c>
      <c r="E81">
        <v>0</v>
      </c>
    </row>
    <row r="82" spans="1:5" x14ac:dyDescent="0.25">
      <c r="A82" t="s">
        <v>55</v>
      </c>
      <c r="B82" t="s">
        <v>127</v>
      </c>
      <c r="C82" t="s">
        <v>137</v>
      </c>
      <c r="D82">
        <v>1008075</v>
      </c>
      <c r="E82">
        <v>0</v>
      </c>
    </row>
    <row r="83" spans="1:5" x14ac:dyDescent="0.25">
      <c r="A83" t="s">
        <v>61</v>
      </c>
      <c r="B83" t="s">
        <v>132</v>
      </c>
      <c r="C83" t="s">
        <v>132</v>
      </c>
      <c r="D83">
        <v>950443</v>
      </c>
      <c r="E83">
        <v>0</v>
      </c>
    </row>
    <row r="84" spans="1:5" x14ac:dyDescent="0.25">
      <c r="A84" t="s">
        <v>45</v>
      </c>
      <c r="B84" t="s">
        <v>127</v>
      </c>
      <c r="C84" t="s">
        <v>138</v>
      </c>
      <c r="D84">
        <v>915179</v>
      </c>
      <c r="E84">
        <v>0</v>
      </c>
    </row>
    <row r="85" spans="1:5" x14ac:dyDescent="0.25">
      <c r="A85" t="s">
        <v>55</v>
      </c>
      <c r="B85" t="s">
        <v>126</v>
      </c>
      <c r="C85" t="s">
        <v>141</v>
      </c>
      <c r="D85">
        <v>839696</v>
      </c>
      <c r="E85">
        <v>0</v>
      </c>
    </row>
    <row r="86" spans="1:5" x14ac:dyDescent="0.25">
      <c r="A86" t="s">
        <v>48</v>
      </c>
      <c r="B86" t="s">
        <v>127</v>
      </c>
      <c r="C86" t="s">
        <v>146</v>
      </c>
      <c r="D86">
        <v>725688</v>
      </c>
      <c r="E86">
        <v>0</v>
      </c>
    </row>
    <row r="87" spans="1:5" x14ac:dyDescent="0.25">
      <c r="A87" t="s">
        <v>50</v>
      </c>
      <c r="B87" t="s">
        <v>132</v>
      </c>
      <c r="C87" t="s">
        <v>142</v>
      </c>
      <c r="D87">
        <v>654406</v>
      </c>
      <c r="E87">
        <v>0</v>
      </c>
    </row>
    <row r="88" spans="1:5" x14ac:dyDescent="0.25">
      <c r="A88" t="s">
        <v>61</v>
      </c>
      <c r="B88" t="s">
        <v>125</v>
      </c>
      <c r="C88" t="s">
        <v>135</v>
      </c>
      <c r="D88">
        <v>650244</v>
      </c>
      <c r="E88">
        <v>0</v>
      </c>
    </row>
    <row r="89" spans="1:5" x14ac:dyDescent="0.25">
      <c r="A89" t="s">
        <v>50</v>
      </c>
      <c r="B89" t="s">
        <v>127</v>
      </c>
      <c r="C89" t="s">
        <v>133</v>
      </c>
      <c r="D89">
        <v>640791</v>
      </c>
      <c r="E89">
        <v>0</v>
      </c>
    </row>
    <row r="90" spans="1:5" x14ac:dyDescent="0.25">
      <c r="A90" t="s">
        <v>50</v>
      </c>
      <c r="B90" t="s">
        <v>125</v>
      </c>
      <c r="C90" t="s">
        <v>140</v>
      </c>
      <c r="D90">
        <v>631701</v>
      </c>
      <c r="E90">
        <v>0</v>
      </c>
    </row>
    <row r="91" spans="1:5" x14ac:dyDescent="0.25">
      <c r="A91" t="s">
        <v>55</v>
      </c>
      <c r="B91" t="s">
        <v>125</v>
      </c>
      <c r="C91" t="s">
        <v>135</v>
      </c>
      <c r="D91">
        <v>611819</v>
      </c>
      <c r="E91">
        <v>0</v>
      </c>
    </row>
    <row r="92" spans="1:5" x14ac:dyDescent="0.25">
      <c r="A92" t="s">
        <v>61</v>
      </c>
      <c r="B92" t="s">
        <v>131</v>
      </c>
      <c r="C92" t="s">
        <v>131</v>
      </c>
      <c r="D92">
        <v>592772</v>
      </c>
      <c r="E92">
        <v>0</v>
      </c>
    </row>
    <row r="93" spans="1:5" x14ac:dyDescent="0.25">
      <c r="A93" t="s">
        <v>50</v>
      </c>
      <c r="B93" t="s">
        <v>127</v>
      </c>
      <c r="C93" t="s">
        <v>138</v>
      </c>
      <c r="D93">
        <v>588660</v>
      </c>
      <c r="E93">
        <v>0</v>
      </c>
    </row>
    <row r="94" spans="1:5" x14ac:dyDescent="0.25">
      <c r="A94" t="s">
        <v>58</v>
      </c>
      <c r="B94" t="s">
        <v>125</v>
      </c>
      <c r="C94" t="s">
        <v>135</v>
      </c>
      <c r="D94">
        <v>551211</v>
      </c>
      <c r="E94">
        <v>0</v>
      </c>
    </row>
    <row r="95" spans="1:5" x14ac:dyDescent="0.25">
      <c r="A95" t="s">
        <v>48</v>
      </c>
      <c r="B95" t="s">
        <v>125</v>
      </c>
      <c r="C95" t="s">
        <v>139</v>
      </c>
      <c r="D95">
        <v>550409</v>
      </c>
      <c r="E95">
        <v>0</v>
      </c>
    </row>
    <row r="96" spans="1:5" x14ac:dyDescent="0.25">
      <c r="A96" t="s">
        <v>45</v>
      </c>
      <c r="B96" t="s">
        <v>126</v>
      </c>
      <c r="C96" t="s">
        <v>141</v>
      </c>
      <c r="D96">
        <v>535237</v>
      </c>
      <c r="E96">
        <v>0</v>
      </c>
    </row>
    <row r="97" spans="1:5" x14ac:dyDescent="0.25">
      <c r="A97" t="s">
        <v>61</v>
      </c>
      <c r="B97" t="s">
        <v>126</v>
      </c>
      <c r="C97" t="s">
        <v>134</v>
      </c>
      <c r="D97">
        <v>533886</v>
      </c>
      <c r="E97">
        <v>0</v>
      </c>
    </row>
    <row r="98" spans="1:5" x14ac:dyDescent="0.25">
      <c r="A98" t="s">
        <v>50</v>
      </c>
      <c r="B98" t="s">
        <v>127</v>
      </c>
      <c r="C98" t="s">
        <v>137</v>
      </c>
      <c r="D98">
        <v>525657</v>
      </c>
      <c r="E98">
        <v>0</v>
      </c>
    </row>
    <row r="99" spans="1:5" x14ac:dyDescent="0.25">
      <c r="A99" t="s">
        <v>53</v>
      </c>
      <c r="B99" t="s">
        <v>125</v>
      </c>
      <c r="C99" t="s">
        <v>136</v>
      </c>
      <c r="D99">
        <v>521472</v>
      </c>
      <c r="E99">
        <v>0</v>
      </c>
    </row>
    <row r="100" spans="1:5" x14ac:dyDescent="0.25">
      <c r="A100" t="s">
        <v>58</v>
      </c>
      <c r="B100" t="s">
        <v>125</v>
      </c>
      <c r="C100" t="s">
        <v>136</v>
      </c>
      <c r="D100">
        <v>500554</v>
      </c>
      <c r="E100">
        <v>0</v>
      </c>
    </row>
    <row r="101" spans="1:5" x14ac:dyDescent="0.25">
      <c r="A101" t="s">
        <v>58</v>
      </c>
      <c r="B101" t="s">
        <v>126</v>
      </c>
      <c r="C101" t="s">
        <v>134</v>
      </c>
      <c r="D101">
        <v>495875</v>
      </c>
      <c r="E101">
        <v>0</v>
      </c>
    </row>
    <row r="102" spans="1:5" x14ac:dyDescent="0.25">
      <c r="A102" t="s">
        <v>61</v>
      </c>
      <c r="B102" t="s">
        <v>125</v>
      </c>
      <c r="C102" t="s">
        <v>136</v>
      </c>
      <c r="D102">
        <v>493206</v>
      </c>
      <c r="E102">
        <v>0</v>
      </c>
    </row>
    <row r="103" spans="1:5" x14ac:dyDescent="0.25">
      <c r="A103" t="s">
        <v>53</v>
      </c>
      <c r="B103" t="s">
        <v>125</v>
      </c>
      <c r="C103" t="s">
        <v>140</v>
      </c>
      <c r="D103">
        <v>452089</v>
      </c>
      <c r="E103">
        <v>0</v>
      </c>
    </row>
    <row r="104" spans="1:5" x14ac:dyDescent="0.25">
      <c r="A104" t="s">
        <v>48</v>
      </c>
      <c r="B104" t="s">
        <v>127</v>
      </c>
      <c r="C104" t="s">
        <v>138</v>
      </c>
      <c r="D104">
        <v>423790</v>
      </c>
      <c r="E104">
        <v>0</v>
      </c>
    </row>
    <row r="105" spans="1:5" x14ac:dyDescent="0.25">
      <c r="A105" t="s">
        <v>58</v>
      </c>
      <c r="B105" t="s">
        <v>127</v>
      </c>
      <c r="C105" t="s">
        <v>137</v>
      </c>
      <c r="D105">
        <v>407741</v>
      </c>
      <c r="E105">
        <v>0</v>
      </c>
    </row>
    <row r="106" spans="1:5" x14ac:dyDescent="0.25">
      <c r="A106" t="s">
        <v>55</v>
      </c>
      <c r="B106" t="s">
        <v>125</v>
      </c>
      <c r="C106" t="s">
        <v>140</v>
      </c>
      <c r="D106">
        <v>403730</v>
      </c>
      <c r="E106">
        <v>0</v>
      </c>
    </row>
    <row r="107" spans="1:5" x14ac:dyDescent="0.25">
      <c r="A107" t="s">
        <v>53</v>
      </c>
      <c r="B107" t="s">
        <v>125</v>
      </c>
      <c r="C107" t="s">
        <v>139</v>
      </c>
      <c r="D107">
        <v>345849</v>
      </c>
      <c r="E107">
        <v>0</v>
      </c>
    </row>
    <row r="108" spans="1:5" x14ac:dyDescent="0.25">
      <c r="A108" t="s">
        <v>45</v>
      </c>
      <c r="B108" t="s">
        <v>125</v>
      </c>
      <c r="C108" t="s">
        <v>140</v>
      </c>
      <c r="D108">
        <v>339302</v>
      </c>
      <c r="E108">
        <v>0</v>
      </c>
    </row>
    <row r="109" spans="1:5" x14ac:dyDescent="0.25">
      <c r="A109" t="s">
        <v>53</v>
      </c>
      <c r="B109" t="s">
        <v>132</v>
      </c>
      <c r="C109" t="s">
        <v>142</v>
      </c>
      <c r="D109">
        <v>333172</v>
      </c>
      <c r="E109">
        <v>0</v>
      </c>
    </row>
    <row r="110" spans="1:5" x14ac:dyDescent="0.25">
      <c r="A110" t="s">
        <v>63</v>
      </c>
      <c r="B110" t="s">
        <v>125</v>
      </c>
      <c r="C110" t="s">
        <v>125</v>
      </c>
      <c r="D110">
        <v>317459</v>
      </c>
      <c r="E110">
        <v>0</v>
      </c>
    </row>
    <row r="111" spans="1:5" x14ac:dyDescent="0.25">
      <c r="A111" t="s">
        <v>58</v>
      </c>
      <c r="B111" t="s">
        <v>127</v>
      </c>
      <c r="C111" t="s">
        <v>128</v>
      </c>
      <c r="D111">
        <v>310018</v>
      </c>
      <c r="E111">
        <v>0</v>
      </c>
    </row>
    <row r="112" spans="1:5" x14ac:dyDescent="0.25">
      <c r="A112" t="s">
        <v>55</v>
      </c>
      <c r="B112" t="s">
        <v>132</v>
      </c>
      <c r="C112" t="s">
        <v>142</v>
      </c>
      <c r="D112">
        <v>308482</v>
      </c>
      <c r="E112">
        <v>0</v>
      </c>
    </row>
    <row r="113" spans="1:5" x14ac:dyDescent="0.25">
      <c r="A113" t="s">
        <v>55</v>
      </c>
      <c r="B113" t="s">
        <v>125</v>
      </c>
      <c r="C113" t="s">
        <v>136</v>
      </c>
      <c r="D113">
        <v>286131</v>
      </c>
      <c r="E113">
        <v>0</v>
      </c>
    </row>
    <row r="114" spans="1:5" x14ac:dyDescent="0.25">
      <c r="A114" t="s">
        <v>50</v>
      </c>
      <c r="B114" t="s">
        <v>125</v>
      </c>
      <c r="C114" t="s">
        <v>144</v>
      </c>
      <c r="D114">
        <v>279507</v>
      </c>
      <c r="E114">
        <v>0</v>
      </c>
    </row>
    <row r="115" spans="1:5" x14ac:dyDescent="0.25">
      <c r="A115" t="s">
        <v>53</v>
      </c>
      <c r="B115" t="s">
        <v>125</v>
      </c>
      <c r="C115" t="s">
        <v>144</v>
      </c>
      <c r="D115">
        <v>278641</v>
      </c>
      <c r="E115">
        <v>0</v>
      </c>
    </row>
    <row r="116" spans="1:5" x14ac:dyDescent="0.25">
      <c r="A116" t="s">
        <v>45</v>
      </c>
      <c r="B116" t="s">
        <v>125</v>
      </c>
      <c r="C116" t="s">
        <v>144</v>
      </c>
      <c r="D116">
        <v>277682</v>
      </c>
      <c r="E116">
        <v>0</v>
      </c>
    </row>
    <row r="117" spans="1:5" x14ac:dyDescent="0.25">
      <c r="A117" t="s">
        <v>34</v>
      </c>
      <c r="B117" t="s">
        <v>125</v>
      </c>
      <c r="C117" t="s">
        <v>144</v>
      </c>
      <c r="D117">
        <v>258741</v>
      </c>
      <c r="E117">
        <v>0</v>
      </c>
    </row>
    <row r="118" spans="1:5" x14ac:dyDescent="0.25">
      <c r="A118" t="s">
        <v>58</v>
      </c>
      <c r="B118" t="s">
        <v>125</v>
      </c>
      <c r="C118" t="s">
        <v>139</v>
      </c>
      <c r="D118">
        <v>253796</v>
      </c>
      <c r="E118">
        <v>0</v>
      </c>
    </row>
    <row r="119" spans="1:5" x14ac:dyDescent="0.25">
      <c r="A119" t="s">
        <v>34</v>
      </c>
      <c r="B119" t="s">
        <v>126</v>
      </c>
      <c r="C119" t="s">
        <v>141</v>
      </c>
      <c r="D119">
        <v>244227</v>
      </c>
      <c r="E119">
        <v>0</v>
      </c>
    </row>
    <row r="120" spans="1:5" x14ac:dyDescent="0.25">
      <c r="A120" t="s">
        <v>61</v>
      </c>
      <c r="B120" t="s">
        <v>125</v>
      </c>
      <c r="C120" t="s">
        <v>139</v>
      </c>
      <c r="D120">
        <v>230910</v>
      </c>
      <c r="E120">
        <v>0</v>
      </c>
    </row>
    <row r="121" spans="1:5" x14ac:dyDescent="0.25">
      <c r="A121" t="s">
        <v>34</v>
      </c>
      <c r="B121" t="s">
        <v>132</v>
      </c>
      <c r="C121" t="s">
        <v>145</v>
      </c>
      <c r="D121">
        <v>228083</v>
      </c>
      <c r="E121">
        <v>0</v>
      </c>
    </row>
    <row r="122" spans="1:5" x14ac:dyDescent="0.25">
      <c r="A122" t="s">
        <v>58</v>
      </c>
      <c r="B122" t="s">
        <v>127</v>
      </c>
      <c r="C122" t="s">
        <v>138</v>
      </c>
      <c r="D122">
        <v>227657</v>
      </c>
      <c r="E122">
        <v>0</v>
      </c>
    </row>
    <row r="123" spans="1:5" x14ac:dyDescent="0.25">
      <c r="A123" t="s">
        <v>55</v>
      </c>
      <c r="B123" t="s">
        <v>125</v>
      </c>
      <c r="C123" t="s">
        <v>139</v>
      </c>
      <c r="D123">
        <v>207153</v>
      </c>
      <c r="E123">
        <v>0</v>
      </c>
    </row>
    <row r="124" spans="1:5" x14ac:dyDescent="0.25">
      <c r="A124" t="s">
        <v>55</v>
      </c>
      <c r="B124" t="s">
        <v>132</v>
      </c>
      <c r="C124" t="s">
        <v>145</v>
      </c>
      <c r="D124">
        <v>200403</v>
      </c>
      <c r="E124">
        <v>0</v>
      </c>
    </row>
    <row r="125" spans="1:5" x14ac:dyDescent="0.25">
      <c r="A125" t="s">
        <v>55</v>
      </c>
      <c r="B125" t="s">
        <v>125</v>
      </c>
      <c r="C125" t="s">
        <v>144</v>
      </c>
      <c r="D125">
        <v>194753</v>
      </c>
      <c r="E125">
        <v>0</v>
      </c>
    </row>
    <row r="126" spans="1:5" x14ac:dyDescent="0.25">
      <c r="A126" t="s">
        <v>58</v>
      </c>
      <c r="B126" t="s">
        <v>143</v>
      </c>
      <c r="C126" t="s">
        <v>143</v>
      </c>
      <c r="D126">
        <v>171028</v>
      </c>
      <c r="E126">
        <v>0</v>
      </c>
    </row>
    <row r="127" spans="1:5" x14ac:dyDescent="0.25">
      <c r="A127" t="s">
        <v>65</v>
      </c>
      <c r="B127" t="s">
        <v>125</v>
      </c>
      <c r="C127" t="s">
        <v>125</v>
      </c>
      <c r="D127">
        <v>166018</v>
      </c>
      <c r="E127">
        <v>0</v>
      </c>
    </row>
    <row r="128" spans="1:5" x14ac:dyDescent="0.25">
      <c r="A128" t="s">
        <v>48</v>
      </c>
      <c r="B128" t="s">
        <v>125</v>
      </c>
      <c r="C128" t="s">
        <v>140</v>
      </c>
      <c r="D128">
        <v>160224</v>
      </c>
      <c r="E128">
        <v>0</v>
      </c>
    </row>
    <row r="129" spans="1:5" x14ac:dyDescent="0.25">
      <c r="A129" t="s">
        <v>58</v>
      </c>
      <c r="B129" t="s">
        <v>132</v>
      </c>
      <c r="C129" t="s">
        <v>145</v>
      </c>
      <c r="D129">
        <v>158758</v>
      </c>
      <c r="E129">
        <v>0</v>
      </c>
    </row>
    <row r="130" spans="1:5" x14ac:dyDescent="0.25">
      <c r="A130" t="s">
        <v>61</v>
      </c>
      <c r="B130" t="s">
        <v>125</v>
      </c>
      <c r="C130" t="s">
        <v>144</v>
      </c>
      <c r="D130">
        <v>126261</v>
      </c>
      <c r="E130">
        <v>0</v>
      </c>
    </row>
    <row r="131" spans="1:5" x14ac:dyDescent="0.25">
      <c r="A131" t="s">
        <v>50</v>
      </c>
      <c r="B131" t="s">
        <v>126</v>
      </c>
      <c r="C131" t="s">
        <v>141</v>
      </c>
      <c r="D131">
        <v>116942</v>
      </c>
      <c r="E131">
        <v>0</v>
      </c>
    </row>
    <row r="132" spans="1:5" x14ac:dyDescent="0.25">
      <c r="A132" t="s">
        <v>61</v>
      </c>
      <c r="B132" t="s">
        <v>125</v>
      </c>
      <c r="C132" t="s">
        <v>140</v>
      </c>
      <c r="D132">
        <v>116256</v>
      </c>
      <c r="E132">
        <v>0</v>
      </c>
    </row>
    <row r="133" spans="1:5" x14ac:dyDescent="0.25">
      <c r="A133" t="s">
        <v>45</v>
      </c>
      <c r="B133" t="s">
        <v>132</v>
      </c>
      <c r="C133" t="s">
        <v>142</v>
      </c>
      <c r="D133">
        <v>98500</v>
      </c>
      <c r="E133">
        <v>0</v>
      </c>
    </row>
    <row r="134" spans="1:5" x14ac:dyDescent="0.25">
      <c r="A134" t="s">
        <v>63</v>
      </c>
      <c r="B134" t="s">
        <v>127</v>
      </c>
      <c r="C134" t="s">
        <v>130</v>
      </c>
      <c r="D134">
        <v>97018</v>
      </c>
      <c r="E134">
        <v>0</v>
      </c>
    </row>
    <row r="135" spans="1:5" x14ac:dyDescent="0.25">
      <c r="A135" t="s">
        <v>53</v>
      </c>
      <c r="B135" t="s">
        <v>126</v>
      </c>
      <c r="C135" t="s">
        <v>141</v>
      </c>
      <c r="D135">
        <v>95093</v>
      </c>
      <c r="E135">
        <v>0</v>
      </c>
    </row>
    <row r="136" spans="1:5" x14ac:dyDescent="0.25">
      <c r="A136" t="s">
        <v>45</v>
      </c>
      <c r="B136" t="s">
        <v>132</v>
      </c>
      <c r="C136" t="s">
        <v>145</v>
      </c>
      <c r="D136">
        <v>91266</v>
      </c>
      <c r="E136">
        <v>0</v>
      </c>
    </row>
    <row r="137" spans="1:5" x14ac:dyDescent="0.25">
      <c r="A137" t="s">
        <v>61</v>
      </c>
      <c r="B137" t="s">
        <v>132</v>
      </c>
      <c r="C137" t="s">
        <v>145</v>
      </c>
      <c r="D137">
        <v>88753</v>
      </c>
      <c r="E137">
        <v>0</v>
      </c>
    </row>
    <row r="138" spans="1:5" x14ac:dyDescent="0.25">
      <c r="A138" t="s">
        <v>34</v>
      </c>
      <c r="B138" t="s">
        <v>132</v>
      </c>
      <c r="C138" t="s">
        <v>142</v>
      </c>
      <c r="D138">
        <v>87348</v>
      </c>
      <c r="E138">
        <v>0</v>
      </c>
    </row>
    <row r="139" spans="1:5" x14ac:dyDescent="0.25">
      <c r="A139" t="s">
        <v>63</v>
      </c>
      <c r="B139" t="s">
        <v>132</v>
      </c>
      <c r="C139" t="s">
        <v>132</v>
      </c>
      <c r="D139">
        <v>86224</v>
      </c>
      <c r="E139">
        <v>0</v>
      </c>
    </row>
    <row r="140" spans="1:5" x14ac:dyDescent="0.25">
      <c r="A140" t="s">
        <v>48</v>
      </c>
      <c r="B140" t="s">
        <v>132</v>
      </c>
      <c r="C140" t="s">
        <v>142</v>
      </c>
      <c r="D140">
        <v>71626</v>
      </c>
      <c r="E140">
        <v>0</v>
      </c>
    </row>
    <row r="141" spans="1:5" x14ac:dyDescent="0.25">
      <c r="A141" t="s">
        <v>58</v>
      </c>
      <c r="B141" t="s">
        <v>125</v>
      </c>
      <c r="C141" t="s">
        <v>140</v>
      </c>
      <c r="D141">
        <v>66396</v>
      </c>
      <c r="E141">
        <v>0</v>
      </c>
    </row>
    <row r="142" spans="1:5" x14ac:dyDescent="0.25">
      <c r="A142" t="s">
        <v>55</v>
      </c>
      <c r="B142" t="s">
        <v>143</v>
      </c>
      <c r="C142" t="s">
        <v>143</v>
      </c>
      <c r="D142">
        <v>62509</v>
      </c>
      <c r="E142">
        <v>0</v>
      </c>
    </row>
    <row r="143" spans="1:5" x14ac:dyDescent="0.25">
      <c r="A143" t="s">
        <v>61</v>
      </c>
      <c r="B143" t="s">
        <v>132</v>
      </c>
      <c r="C143" t="s">
        <v>142</v>
      </c>
      <c r="D143">
        <v>60640</v>
      </c>
      <c r="E143">
        <v>0</v>
      </c>
    </row>
    <row r="144" spans="1:5" x14ac:dyDescent="0.25">
      <c r="A144" t="s">
        <v>34</v>
      </c>
      <c r="B144" t="s">
        <v>131</v>
      </c>
      <c r="C144" t="s">
        <v>147</v>
      </c>
      <c r="D144">
        <v>49785</v>
      </c>
      <c r="E144">
        <v>0</v>
      </c>
    </row>
    <row r="145" spans="1:5" x14ac:dyDescent="0.25">
      <c r="A145" t="s">
        <v>58</v>
      </c>
      <c r="B145" t="s">
        <v>126</v>
      </c>
      <c r="C145" t="s">
        <v>141</v>
      </c>
      <c r="D145">
        <v>47536</v>
      </c>
      <c r="E145">
        <v>0</v>
      </c>
    </row>
    <row r="146" spans="1:5" x14ac:dyDescent="0.25">
      <c r="A146" t="s">
        <v>58</v>
      </c>
      <c r="B146" t="s">
        <v>132</v>
      </c>
      <c r="C146" t="s">
        <v>142</v>
      </c>
      <c r="D146">
        <v>43160</v>
      </c>
      <c r="E146">
        <v>0</v>
      </c>
    </row>
    <row r="147" spans="1:5" x14ac:dyDescent="0.25">
      <c r="A147" t="s">
        <v>48</v>
      </c>
      <c r="B147" t="s">
        <v>126</v>
      </c>
      <c r="C147" t="s">
        <v>141</v>
      </c>
      <c r="D147">
        <v>42341</v>
      </c>
      <c r="E147">
        <v>0</v>
      </c>
    </row>
    <row r="148" spans="1:5" x14ac:dyDescent="0.25">
      <c r="A148" t="s">
        <v>53</v>
      </c>
      <c r="B148" t="s">
        <v>132</v>
      </c>
      <c r="C148" t="s">
        <v>145</v>
      </c>
      <c r="D148">
        <v>36100</v>
      </c>
      <c r="E148">
        <v>0</v>
      </c>
    </row>
    <row r="149" spans="1:5" x14ac:dyDescent="0.25">
      <c r="A149" t="s">
        <v>63</v>
      </c>
      <c r="B149" t="s">
        <v>125</v>
      </c>
      <c r="C149" t="s">
        <v>136</v>
      </c>
      <c r="D149">
        <v>33189</v>
      </c>
      <c r="E149">
        <v>0</v>
      </c>
    </row>
    <row r="150" spans="1:5" x14ac:dyDescent="0.25">
      <c r="A150" t="s">
        <v>61</v>
      </c>
      <c r="B150" t="s">
        <v>143</v>
      </c>
      <c r="C150" t="s">
        <v>143</v>
      </c>
      <c r="D150">
        <v>26057</v>
      </c>
      <c r="E150">
        <v>0</v>
      </c>
    </row>
    <row r="151" spans="1:5" x14ac:dyDescent="0.25">
      <c r="A151" t="s">
        <v>48</v>
      </c>
      <c r="B151" t="s">
        <v>125</v>
      </c>
      <c r="C151" t="s">
        <v>144</v>
      </c>
      <c r="D151">
        <v>25384</v>
      </c>
      <c r="E151">
        <v>0</v>
      </c>
    </row>
    <row r="152" spans="1:5" x14ac:dyDescent="0.25">
      <c r="A152" t="s">
        <v>61</v>
      </c>
      <c r="B152" t="s">
        <v>127</v>
      </c>
      <c r="C152" t="s">
        <v>129</v>
      </c>
      <c r="D152">
        <v>18134</v>
      </c>
      <c r="E152">
        <v>0</v>
      </c>
    </row>
    <row r="153" spans="1:5" x14ac:dyDescent="0.25">
      <c r="A153" t="s">
        <v>45</v>
      </c>
      <c r="B153" t="s">
        <v>127</v>
      </c>
      <c r="C153" t="s">
        <v>148</v>
      </c>
      <c r="D153">
        <v>17853</v>
      </c>
      <c r="E153">
        <v>0</v>
      </c>
    </row>
    <row r="154" spans="1:5" x14ac:dyDescent="0.25">
      <c r="A154" t="s">
        <v>53</v>
      </c>
      <c r="B154" t="s">
        <v>125</v>
      </c>
      <c r="C154" t="s">
        <v>149</v>
      </c>
      <c r="D154">
        <v>17030</v>
      </c>
      <c r="E154">
        <v>0</v>
      </c>
    </row>
    <row r="155" spans="1:5" x14ac:dyDescent="0.25">
      <c r="A155" t="s">
        <v>58</v>
      </c>
      <c r="B155" t="s">
        <v>125</v>
      </c>
      <c r="C155" t="s">
        <v>144</v>
      </c>
      <c r="D155">
        <v>11214</v>
      </c>
      <c r="E155">
        <v>0</v>
      </c>
    </row>
    <row r="156" spans="1:5" x14ac:dyDescent="0.25">
      <c r="A156" t="s">
        <v>34</v>
      </c>
      <c r="B156" t="s">
        <v>127</v>
      </c>
      <c r="C156" t="s">
        <v>148</v>
      </c>
      <c r="D156">
        <v>10862</v>
      </c>
      <c r="E156">
        <v>0</v>
      </c>
    </row>
    <row r="157" spans="1:5" x14ac:dyDescent="0.25">
      <c r="A157" t="s">
        <v>48</v>
      </c>
      <c r="B157" t="s">
        <v>127</v>
      </c>
      <c r="C157" t="s">
        <v>148</v>
      </c>
      <c r="D157">
        <v>4336</v>
      </c>
      <c r="E157">
        <v>0</v>
      </c>
    </row>
    <row r="158" spans="1:5" x14ac:dyDescent="0.25">
      <c r="A158" t="s">
        <v>48</v>
      </c>
      <c r="B158" t="s">
        <v>143</v>
      </c>
      <c r="C158" t="s">
        <v>143</v>
      </c>
      <c r="D158">
        <v>2808</v>
      </c>
      <c r="E158">
        <v>0</v>
      </c>
    </row>
    <row r="159" spans="1:5" x14ac:dyDescent="0.25">
      <c r="A159" t="s">
        <v>58</v>
      </c>
      <c r="B159" t="s">
        <v>127</v>
      </c>
      <c r="C159" t="s">
        <v>133</v>
      </c>
      <c r="D159">
        <v>2426</v>
      </c>
      <c r="E159">
        <v>0</v>
      </c>
    </row>
    <row r="160" spans="1:5" x14ac:dyDescent="0.25">
      <c r="A160" t="s">
        <v>65</v>
      </c>
      <c r="B160" t="s">
        <v>125</v>
      </c>
      <c r="C160" t="s">
        <v>139</v>
      </c>
      <c r="D160">
        <v>1115</v>
      </c>
      <c r="E160">
        <v>0</v>
      </c>
    </row>
    <row r="161" spans="1:5" x14ac:dyDescent="0.25">
      <c r="A161" t="s">
        <v>58</v>
      </c>
      <c r="B161" t="s">
        <v>150</v>
      </c>
      <c r="C161" t="s">
        <v>138</v>
      </c>
      <c r="D161">
        <v>0</v>
      </c>
      <c r="E161">
        <v>33412</v>
      </c>
    </row>
    <row r="162" spans="1:5" x14ac:dyDescent="0.25">
      <c r="A162" t="s">
        <v>58</v>
      </c>
      <c r="B162" t="s">
        <v>150</v>
      </c>
      <c r="C162" t="s">
        <v>153</v>
      </c>
      <c r="D162">
        <v>0</v>
      </c>
      <c r="E162">
        <v>724480</v>
      </c>
    </row>
    <row r="163" spans="1:5" x14ac:dyDescent="0.25">
      <c r="A163" t="s">
        <v>58</v>
      </c>
      <c r="B163" t="s">
        <v>150</v>
      </c>
      <c r="C163" t="s">
        <v>130</v>
      </c>
      <c r="D163">
        <v>0</v>
      </c>
      <c r="E163">
        <v>117694</v>
      </c>
    </row>
    <row r="164" spans="1:5" x14ac:dyDescent="0.25">
      <c r="A164" t="s">
        <v>58</v>
      </c>
      <c r="B164" t="s">
        <v>150</v>
      </c>
      <c r="C164" t="s">
        <v>152</v>
      </c>
      <c r="D164">
        <v>0</v>
      </c>
      <c r="E164">
        <v>583791</v>
      </c>
    </row>
    <row r="165" spans="1:5" x14ac:dyDescent="0.25">
      <c r="A165" t="s">
        <v>58</v>
      </c>
      <c r="B165" t="s">
        <v>150</v>
      </c>
      <c r="C165" t="s">
        <v>154</v>
      </c>
      <c r="D165">
        <v>0</v>
      </c>
      <c r="E165">
        <v>71837</v>
      </c>
    </row>
    <row r="166" spans="1:5" x14ac:dyDescent="0.25">
      <c r="A166" t="s">
        <v>58</v>
      </c>
      <c r="B166" t="s">
        <v>150</v>
      </c>
      <c r="C166" t="s">
        <v>155</v>
      </c>
      <c r="D166">
        <v>0</v>
      </c>
      <c r="E166">
        <v>18842</v>
      </c>
    </row>
    <row r="167" spans="1:5" x14ac:dyDescent="0.25">
      <c r="A167" t="s">
        <v>58</v>
      </c>
      <c r="B167" t="s">
        <v>150</v>
      </c>
      <c r="C167" t="s">
        <v>156</v>
      </c>
      <c r="D167">
        <v>0</v>
      </c>
      <c r="E167">
        <v>7065990</v>
      </c>
    </row>
    <row r="168" spans="1:5" x14ac:dyDescent="0.25">
      <c r="A168" t="s">
        <v>58</v>
      </c>
      <c r="B168" t="s">
        <v>150</v>
      </c>
      <c r="C168" t="s">
        <v>157</v>
      </c>
      <c r="D168">
        <v>0</v>
      </c>
      <c r="E168">
        <v>12400</v>
      </c>
    </row>
    <row r="169" spans="1:5" x14ac:dyDescent="0.25">
      <c r="A169" t="s">
        <v>58</v>
      </c>
      <c r="B169" t="s">
        <v>150</v>
      </c>
      <c r="C169" t="s">
        <v>158</v>
      </c>
      <c r="D169">
        <v>0</v>
      </c>
      <c r="E169">
        <v>1670889</v>
      </c>
    </row>
    <row r="170" spans="1:5" x14ac:dyDescent="0.25">
      <c r="A170" t="s">
        <v>58</v>
      </c>
      <c r="B170" t="s">
        <v>150</v>
      </c>
      <c r="C170" t="s">
        <v>129</v>
      </c>
      <c r="D170">
        <v>0</v>
      </c>
      <c r="E170">
        <v>138882</v>
      </c>
    </row>
    <row r="171" spans="1:5" x14ac:dyDescent="0.25">
      <c r="A171" t="s">
        <v>53</v>
      </c>
      <c r="B171" t="s">
        <v>150</v>
      </c>
      <c r="C171" t="s">
        <v>138</v>
      </c>
      <c r="D171">
        <v>0</v>
      </c>
      <c r="E171">
        <v>3054541</v>
      </c>
    </row>
    <row r="172" spans="1:5" x14ac:dyDescent="0.25">
      <c r="A172" t="s">
        <v>53</v>
      </c>
      <c r="B172" t="s">
        <v>150</v>
      </c>
      <c r="C172" t="s">
        <v>153</v>
      </c>
      <c r="D172">
        <v>0</v>
      </c>
      <c r="E172">
        <v>10375302</v>
      </c>
    </row>
    <row r="173" spans="1:5" x14ac:dyDescent="0.25">
      <c r="A173" t="s">
        <v>53</v>
      </c>
      <c r="B173" t="s">
        <v>150</v>
      </c>
      <c r="C173" t="s">
        <v>130</v>
      </c>
      <c r="D173">
        <v>0</v>
      </c>
      <c r="E173">
        <v>11412411</v>
      </c>
    </row>
    <row r="174" spans="1:5" x14ac:dyDescent="0.25">
      <c r="A174" t="s">
        <v>53</v>
      </c>
      <c r="B174" t="s">
        <v>150</v>
      </c>
      <c r="C174" t="s">
        <v>152</v>
      </c>
      <c r="D174">
        <v>0</v>
      </c>
      <c r="E174">
        <v>1388462</v>
      </c>
    </row>
    <row r="175" spans="1:5" x14ac:dyDescent="0.25">
      <c r="A175" t="s">
        <v>53</v>
      </c>
      <c r="B175" t="s">
        <v>150</v>
      </c>
      <c r="C175" t="s">
        <v>154</v>
      </c>
      <c r="D175">
        <v>0</v>
      </c>
      <c r="E175">
        <v>1388815</v>
      </c>
    </row>
    <row r="176" spans="1:5" x14ac:dyDescent="0.25">
      <c r="A176" t="s">
        <v>53</v>
      </c>
      <c r="B176" t="s">
        <v>150</v>
      </c>
      <c r="C176" t="s">
        <v>155</v>
      </c>
      <c r="D176">
        <v>0</v>
      </c>
      <c r="E176">
        <v>214470</v>
      </c>
    </row>
    <row r="177" spans="1:5" x14ac:dyDescent="0.25">
      <c r="A177" t="s">
        <v>53</v>
      </c>
      <c r="B177" t="s">
        <v>150</v>
      </c>
      <c r="C177" t="s">
        <v>156</v>
      </c>
      <c r="D177">
        <v>0</v>
      </c>
      <c r="E177">
        <v>7462095</v>
      </c>
    </row>
    <row r="178" spans="1:5" x14ac:dyDescent="0.25">
      <c r="A178" t="s">
        <v>53</v>
      </c>
      <c r="B178" t="s">
        <v>150</v>
      </c>
      <c r="C178" t="s">
        <v>128</v>
      </c>
      <c r="D178">
        <v>0</v>
      </c>
      <c r="E178">
        <v>3569781</v>
      </c>
    </row>
    <row r="179" spans="1:5" x14ac:dyDescent="0.25">
      <c r="A179" t="s">
        <v>53</v>
      </c>
      <c r="B179" t="s">
        <v>150</v>
      </c>
      <c r="C179" t="s">
        <v>157</v>
      </c>
      <c r="D179">
        <v>0</v>
      </c>
      <c r="E179">
        <v>2030080</v>
      </c>
    </row>
    <row r="180" spans="1:5" x14ac:dyDescent="0.25">
      <c r="A180" t="s">
        <v>53</v>
      </c>
      <c r="B180" t="s">
        <v>150</v>
      </c>
      <c r="C180" t="s">
        <v>158</v>
      </c>
      <c r="D180">
        <v>0</v>
      </c>
      <c r="E180">
        <v>3872705</v>
      </c>
    </row>
    <row r="181" spans="1:5" x14ac:dyDescent="0.25">
      <c r="A181" t="s">
        <v>53</v>
      </c>
      <c r="B181" t="s">
        <v>150</v>
      </c>
      <c r="C181" t="s">
        <v>129</v>
      </c>
      <c r="D181">
        <v>0</v>
      </c>
      <c r="E181">
        <v>2849882</v>
      </c>
    </row>
    <row r="182" spans="1:5" x14ac:dyDescent="0.25">
      <c r="A182" t="s">
        <v>45</v>
      </c>
      <c r="B182" t="s">
        <v>150</v>
      </c>
      <c r="C182" t="s">
        <v>138</v>
      </c>
      <c r="D182">
        <v>0</v>
      </c>
      <c r="E182">
        <v>599576</v>
      </c>
    </row>
    <row r="183" spans="1:5" x14ac:dyDescent="0.25">
      <c r="A183" t="s">
        <v>45</v>
      </c>
      <c r="B183" t="s">
        <v>150</v>
      </c>
      <c r="C183" t="s">
        <v>153</v>
      </c>
      <c r="D183">
        <v>0</v>
      </c>
      <c r="E183">
        <v>23098666</v>
      </c>
    </row>
    <row r="184" spans="1:5" x14ac:dyDescent="0.25">
      <c r="A184" t="s">
        <v>45</v>
      </c>
      <c r="B184" t="s">
        <v>150</v>
      </c>
      <c r="C184" t="s">
        <v>130</v>
      </c>
      <c r="D184">
        <v>0</v>
      </c>
      <c r="E184">
        <v>15335853</v>
      </c>
    </row>
    <row r="185" spans="1:5" x14ac:dyDescent="0.25">
      <c r="A185" t="s">
        <v>45</v>
      </c>
      <c r="B185" t="s">
        <v>150</v>
      </c>
      <c r="C185" t="s">
        <v>152</v>
      </c>
      <c r="D185">
        <v>0</v>
      </c>
      <c r="E185">
        <v>2960965</v>
      </c>
    </row>
    <row r="186" spans="1:5" x14ac:dyDescent="0.25">
      <c r="A186" t="s">
        <v>45</v>
      </c>
      <c r="B186" t="s">
        <v>150</v>
      </c>
      <c r="C186" t="s">
        <v>154</v>
      </c>
      <c r="D186">
        <v>0</v>
      </c>
      <c r="E186">
        <v>816226</v>
      </c>
    </row>
    <row r="187" spans="1:5" x14ac:dyDescent="0.25">
      <c r="A187" t="s">
        <v>45</v>
      </c>
      <c r="B187" t="s">
        <v>150</v>
      </c>
      <c r="C187" t="s">
        <v>156</v>
      </c>
      <c r="D187">
        <v>0</v>
      </c>
      <c r="E187">
        <v>25852267</v>
      </c>
    </row>
    <row r="188" spans="1:5" x14ac:dyDescent="0.25">
      <c r="A188" t="s">
        <v>45</v>
      </c>
      <c r="B188" t="s">
        <v>150</v>
      </c>
      <c r="C188" t="s">
        <v>128</v>
      </c>
      <c r="D188">
        <v>0</v>
      </c>
      <c r="E188">
        <v>11573980</v>
      </c>
    </row>
    <row r="189" spans="1:5" x14ac:dyDescent="0.25">
      <c r="A189" t="s">
        <v>45</v>
      </c>
      <c r="B189" t="s">
        <v>150</v>
      </c>
      <c r="C189" t="s">
        <v>157</v>
      </c>
      <c r="D189">
        <v>0</v>
      </c>
      <c r="E189">
        <v>6122051</v>
      </c>
    </row>
    <row r="190" spans="1:5" x14ac:dyDescent="0.25">
      <c r="A190" t="s">
        <v>45</v>
      </c>
      <c r="B190" t="s">
        <v>150</v>
      </c>
      <c r="C190" t="s">
        <v>158</v>
      </c>
      <c r="D190">
        <v>0</v>
      </c>
      <c r="E190">
        <v>2395095</v>
      </c>
    </row>
    <row r="191" spans="1:5" x14ac:dyDescent="0.25">
      <c r="A191" t="s">
        <v>45</v>
      </c>
      <c r="B191" t="s">
        <v>150</v>
      </c>
      <c r="C191" t="s">
        <v>129</v>
      </c>
      <c r="D191">
        <v>0</v>
      </c>
      <c r="E191">
        <v>6515588</v>
      </c>
    </row>
    <row r="192" spans="1:5" x14ac:dyDescent="0.25">
      <c r="A192" t="s">
        <v>45</v>
      </c>
      <c r="B192" t="s">
        <v>150</v>
      </c>
      <c r="C192" t="s">
        <v>133</v>
      </c>
      <c r="D192">
        <v>0</v>
      </c>
      <c r="E192">
        <v>4632132</v>
      </c>
    </row>
    <row r="193" spans="1:5" x14ac:dyDescent="0.25">
      <c r="A193" t="s">
        <v>48</v>
      </c>
      <c r="B193" t="s">
        <v>150</v>
      </c>
      <c r="C193" t="s">
        <v>138</v>
      </c>
      <c r="D193">
        <v>0</v>
      </c>
      <c r="E193">
        <v>348761</v>
      </c>
    </row>
    <row r="194" spans="1:5" x14ac:dyDescent="0.25">
      <c r="A194" t="s">
        <v>48</v>
      </c>
      <c r="B194" t="s">
        <v>150</v>
      </c>
      <c r="C194" t="s">
        <v>151</v>
      </c>
      <c r="D194">
        <v>0</v>
      </c>
      <c r="E194">
        <v>2446</v>
      </c>
    </row>
    <row r="195" spans="1:5" x14ac:dyDescent="0.25">
      <c r="A195" t="s">
        <v>48</v>
      </c>
      <c r="B195" t="s">
        <v>150</v>
      </c>
      <c r="C195" t="s">
        <v>153</v>
      </c>
      <c r="D195">
        <v>0</v>
      </c>
      <c r="E195">
        <v>17279189</v>
      </c>
    </row>
    <row r="196" spans="1:5" x14ac:dyDescent="0.25">
      <c r="A196" t="s">
        <v>48</v>
      </c>
      <c r="B196" t="s">
        <v>150</v>
      </c>
      <c r="C196" t="s">
        <v>130</v>
      </c>
      <c r="D196">
        <v>0</v>
      </c>
      <c r="E196">
        <v>8074736</v>
      </c>
    </row>
    <row r="197" spans="1:5" x14ac:dyDescent="0.25">
      <c r="A197" t="s">
        <v>48</v>
      </c>
      <c r="B197" t="s">
        <v>150</v>
      </c>
      <c r="C197" t="s">
        <v>152</v>
      </c>
      <c r="D197">
        <v>0</v>
      </c>
      <c r="E197">
        <v>837649</v>
      </c>
    </row>
    <row r="198" spans="1:5" x14ac:dyDescent="0.25">
      <c r="A198" t="s">
        <v>48</v>
      </c>
      <c r="B198" t="s">
        <v>150</v>
      </c>
      <c r="C198" t="s">
        <v>154</v>
      </c>
      <c r="D198">
        <v>0</v>
      </c>
      <c r="E198">
        <v>1478722</v>
      </c>
    </row>
    <row r="199" spans="1:5" x14ac:dyDescent="0.25">
      <c r="A199" t="s">
        <v>48</v>
      </c>
      <c r="B199" t="s">
        <v>150</v>
      </c>
      <c r="C199" t="s">
        <v>155</v>
      </c>
      <c r="D199">
        <v>0</v>
      </c>
      <c r="E199">
        <v>69139</v>
      </c>
    </row>
    <row r="200" spans="1:5" x14ac:dyDescent="0.25">
      <c r="A200" t="s">
        <v>48</v>
      </c>
      <c r="B200" t="s">
        <v>150</v>
      </c>
      <c r="C200" t="s">
        <v>156</v>
      </c>
      <c r="D200">
        <v>0</v>
      </c>
      <c r="E200">
        <v>13103347</v>
      </c>
    </row>
    <row r="201" spans="1:5" x14ac:dyDescent="0.25">
      <c r="A201" t="s">
        <v>48</v>
      </c>
      <c r="B201" t="s">
        <v>150</v>
      </c>
      <c r="C201" t="s">
        <v>128</v>
      </c>
      <c r="D201">
        <v>0</v>
      </c>
      <c r="E201">
        <v>11545825</v>
      </c>
    </row>
    <row r="202" spans="1:5" x14ac:dyDescent="0.25">
      <c r="A202" t="s">
        <v>48</v>
      </c>
      <c r="B202" t="s">
        <v>150</v>
      </c>
      <c r="C202" t="s">
        <v>157</v>
      </c>
      <c r="D202">
        <v>0</v>
      </c>
      <c r="E202">
        <v>4301360</v>
      </c>
    </row>
    <row r="203" spans="1:5" x14ac:dyDescent="0.25">
      <c r="A203" t="s">
        <v>48</v>
      </c>
      <c r="B203" t="s">
        <v>150</v>
      </c>
      <c r="C203" t="s">
        <v>158</v>
      </c>
      <c r="D203">
        <v>0</v>
      </c>
      <c r="E203">
        <v>3205955</v>
      </c>
    </row>
    <row r="204" spans="1:5" x14ac:dyDescent="0.25">
      <c r="A204" t="s">
        <v>48</v>
      </c>
      <c r="B204" t="s">
        <v>150</v>
      </c>
      <c r="C204" t="s">
        <v>129</v>
      </c>
      <c r="D204">
        <v>0</v>
      </c>
      <c r="E204">
        <v>12992774</v>
      </c>
    </row>
    <row r="205" spans="1:5" x14ac:dyDescent="0.25">
      <c r="A205" t="s">
        <v>48</v>
      </c>
      <c r="B205" t="s">
        <v>150</v>
      </c>
      <c r="C205" t="s">
        <v>133</v>
      </c>
      <c r="D205">
        <v>0</v>
      </c>
      <c r="E205">
        <v>3309672</v>
      </c>
    </row>
    <row r="206" spans="1:5" x14ac:dyDescent="0.25">
      <c r="A206" t="s">
        <v>65</v>
      </c>
      <c r="B206" t="s">
        <v>150</v>
      </c>
      <c r="C206" t="s">
        <v>156</v>
      </c>
      <c r="D206">
        <v>0</v>
      </c>
      <c r="E206">
        <v>97735</v>
      </c>
    </row>
    <row r="207" spans="1:5" x14ac:dyDescent="0.25">
      <c r="A207" t="s">
        <v>50</v>
      </c>
      <c r="B207" t="s">
        <v>150</v>
      </c>
      <c r="C207" t="s">
        <v>138</v>
      </c>
      <c r="D207">
        <v>0</v>
      </c>
      <c r="E207">
        <v>452621</v>
      </c>
    </row>
    <row r="208" spans="1:5" x14ac:dyDescent="0.25">
      <c r="A208" t="s">
        <v>50</v>
      </c>
      <c r="B208" t="s">
        <v>150</v>
      </c>
      <c r="C208" t="s">
        <v>153</v>
      </c>
      <c r="D208">
        <v>0</v>
      </c>
      <c r="E208">
        <v>18066391</v>
      </c>
    </row>
    <row r="209" spans="1:5" x14ac:dyDescent="0.25">
      <c r="A209" t="s">
        <v>50</v>
      </c>
      <c r="B209" t="s">
        <v>150</v>
      </c>
      <c r="C209" t="s">
        <v>130</v>
      </c>
      <c r="D209">
        <v>0</v>
      </c>
      <c r="E209">
        <v>952473</v>
      </c>
    </row>
    <row r="210" spans="1:5" x14ac:dyDescent="0.25">
      <c r="A210" t="s">
        <v>50</v>
      </c>
      <c r="B210" t="s">
        <v>150</v>
      </c>
      <c r="C210" t="s">
        <v>152</v>
      </c>
      <c r="D210">
        <v>0</v>
      </c>
      <c r="E210">
        <v>3906945</v>
      </c>
    </row>
    <row r="211" spans="1:5" x14ac:dyDescent="0.25">
      <c r="A211" t="s">
        <v>50</v>
      </c>
      <c r="B211" t="s">
        <v>150</v>
      </c>
      <c r="C211" t="s">
        <v>156</v>
      </c>
      <c r="D211">
        <v>0</v>
      </c>
      <c r="E211">
        <v>21584065</v>
      </c>
    </row>
    <row r="212" spans="1:5" x14ac:dyDescent="0.25">
      <c r="A212" t="s">
        <v>50</v>
      </c>
      <c r="B212" t="s">
        <v>150</v>
      </c>
      <c r="C212" t="s">
        <v>128</v>
      </c>
      <c r="D212">
        <v>0</v>
      </c>
      <c r="E212">
        <v>1075589</v>
      </c>
    </row>
    <row r="213" spans="1:5" x14ac:dyDescent="0.25">
      <c r="A213" t="s">
        <v>50</v>
      </c>
      <c r="B213" t="s">
        <v>150</v>
      </c>
      <c r="C213" t="s">
        <v>157</v>
      </c>
      <c r="D213">
        <v>0</v>
      </c>
      <c r="E213">
        <v>4582821</v>
      </c>
    </row>
    <row r="214" spans="1:5" x14ac:dyDescent="0.25">
      <c r="A214" t="s">
        <v>50</v>
      </c>
      <c r="B214" t="s">
        <v>150</v>
      </c>
      <c r="C214" t="s">
        <v>158</v>
      </c>
      <c r="D214">
        <v>0</v>
      </c>
      <c r="E214">
        <v>10254575</v>
      </c>
    </row>
    <row r="215" spans="1:5" x14ac:dyDescent="0.25">
      <c r="A215" t="s">
        <v>50</v>
      </c>
      <c r="B215" t="s">
        <v>150</v>
      </c>
      <c r="C215" t="s">
        <v>129</v>
      </c>
      <c r="D215">
        <v>0</v>
      </c>
      <c r="E215">
        <v>1303697</v>
      </c>
    </row>
    <row r="216" spans="1:5" x14ac:dyDescent="0.25">
      <c r="A216" t="s">
        <v>50</v>
      </c>
      <c r="B216" t="s">
        <v>150</v>
      </c>
      <c r="C216" t="s">
        <v>133</v>
      </c>
      <c r="D216">
        <v>0</v>
      </c>
      <c r="E216">
        <v>279121</v>
      </c>
    </row>
    <row r="217" spans="1:5" x14ac:dyDescent="0.25">
      <c r="A217" t="s">
        <v>55</v>
      </c>
      <c r="B217" t="s">
        <v>150</v>
      </c>
      <c r="C217" t="s">
        <v>153</v>
      </c>
      <c r="D217">
        <v>0</v>
      </c>
      <c r="E217">
        <v>13528772</v>
      </c>
    </row>
    <row r="218" spans="1:5" x14ac:dyDescent="0.25">
      <c r="A218" t="s">
        <v>55</v>
      </c>
      <c r="B218" t="s">
        <v>150</v>
      </c>
      <c r="C218" t="s">
        <v>130</v>
      </c>
      <c r="D218">
        <v>0</v>
      </c>
      <c r="E218">
        <v>18513</v>
      </c>
    </row>
    <row r="219" spans="1:5" x14ac:dyDescent="0.25">
      <c r="A219" t="s">
        <v>55</v>
      </c>
      <c r="B219" t="s">
        <v>150</v>
      </c>
      <c r="C219" t="s">
        <v>152</v>
      </c>
      <c r="D219">
        <v>0</v>
      </c>
      <c r="E219">
        <v>3710155</v>
      </c>
    </row>
    <row r="220" spans="1:5" x14ac:dyDescent="0.25">
      <c r="A220" t="s">
        <v>55</v>
      </c>
      <c r="B220" t="s">
        <v>150</v>
      </c>
      <c r="C220" t="s">
        <v>154</v>
      </c>
      <c r="D220">
        <v>0</v>
      </c>
      <c r="E220">
        <v>412584</v>
      </c>
    </row>
    <row r="221" spans="1:5" x14ac:dyDescent="0.25">
      <c r="A221" t="s">
        <v>55</v>
      </c>
      <c r="B221" t="s">
        <v>150</v>
      </c>
      <c r="C221" t="s">
        <v>155</v>
      </c>
      <c r="D221">
        <v>0</v>
      </c>
      <c r="E221">
        <v>88984</v>
      </c>
    </row>
    <row r="222" spans="1:5" x14ac:dyDescent="0.25">
      <c r="A222" t="s">
        <v>55</v>
      </c>
      <c r="B222" t="s">
        <v>150</v>
      </c>
      <c r="C222" t="s">
        <v>156</v>
      </c>
      <c r="D222">
        <v>0</v>
      </c>
      <c r="E222">
        <v>13697056</v>
      </c>
    </row>
    <row r="223" spans="1:5" x14ac:dyDescent="0.25">
      <c r="A223" t="s">
        <v>55</v>
      </c>
      <c r="B223" t="s">
        <v>150</v>
      </c>
      <c r="C223" t="s">
        <v>157</v>
      </c>
      <c r="D223">
        <v>0</v>
      </c>
      <c r="E223">
        <v>3858910</v>
      </c>
    </row>
    <row r="224" spans="1:5" x14ac:dyDescent="0.25">
      <c r="A224" t="s">
        <v>55</v>
      </c>
      <c r="B224" t="s">
        <v>150</v>
      </c>
      <c r="C224" t="s">
        <v>158</v>
      </c>
      <c r="D224">
        <v>0</v>
      </c>
      <c r="E224">
        <v>10774092</v>
      </c>
    </row>
    <row r="225" spans="1:5" x14ac:dyDescent="0.25">
      <c r="A225" t="s">
        <v>55</v>
      </c>
      <c r="B225" t="s">
        <v>150</v>
      </c>
      <c r="C225" t="s">
        <v>129</v>
      </c>
      <c r="D225">
        <v>0</v>
      </c>
      <c r="E225">
        <v>180194</v>
      </c>
    </row>
    <row r="226" spans="1:5" x14ac:dyDescent="0.25">
      <c r="A226" t="s">
        <v>61</v>
      </c>
      <c r="B226" t="s">
        <v>150</v>
      </c>
      <c r="C226" t="s">
        <v>138</v>
      </c>
      <c r="D226">
        <v>0</v>
      </c>
      <c r="E226">
        <v>13393</v>
      </c>
    </row>
    <row r="227" spans="1:5" x14ac:dyDescent="0.25">
      <c r="A227" t="s">
        <v>61</v>
      </c>
      <c r="B227" t="s">
        <v>150</v>
      </c>
      <c r="C227" t="s">
        <v>153</v>
      </c>
      <c r="D227">
        <v>0</v>
      </c>
      <c r="E227">
        <v>2464323</v>
      </c>
    </row>
    <row r="228" spans="1:5" x14ac:dyDescent="0.25">
      <c r="A228" t="s">
        <v>61</v>
      </c>
      <c r="B228" t="s">
        <v>150</v>
      </c>
      <c r="C228" t="s">
        <v>130</v>
      </c>
      <c r="D228">
        <v>0</v>
      </c>
      <c r="E228">
        <v>1933893</v>
      </c>
    </row>
    <row r="229" spans="1:5" x14ac:dyDescent="0.25">
      <c r="A229" t="s">
        <v>61</v>
      </c>
      <c r="B229" t="s">
        <v>150</v>
      </c>
      <c r="C229" t="s">
        <v>152</v>
      </c>
      <c r="D229">
        <v>0</v>
      </c>
      <c r="E229">
        <v>459370</v>
      </c>
    </row>
    <row r="230" spans="1:5" x14ac:dyDescent="0.25">
      <c r="A230" t="s">
        <v>61</v>
      </c>
      <c r="B230" t="s">
        <v>150</v>
      </c>
      <c r="C230" t="s">
        <v>154</v>
      </c>
      <c r="D230">
        <v>0</v>
      </c>
      <c r="E230">
        <v>941806</v>
      </c>
    </row>
    <row r="231" spans="1:5" x14ac:dyDescent="0.25">
      <c r="A231" t="s">
        <v>61</v>
      </c>
      <c r="B231" t="s">
        <v>150</v>
      </c>
      <c r="C231" t="s">
        <v>156</v>
      </c>
      <c r="D231">
        <v>0</v>
      </c>
      <c r="E231">
        <v>6383217</v>
      </c>
    </row>
    <row r="232" spans="1:5" x14ac:dyDescent="0.25">
      <c r="A232" t="s">
        <v>61</v>
      </c>
      <c r="B232" t="s">
        <v>150</v>
      </c>
      <c r="C232" t="s">
        <v>128</v>
      </c>
      <c r="D232">
        <v>0</v>
      </c>
      <c r="E232">
        <v>308916</v>
      </c>
    </row>
    <row r="233" spans="1:5" x14ac:dyDescent="0.25">
      <c r="A233" t="s">
        <v>61</v>
      </c>
      <c r="B233" t="s">
        <v>150</v>
      </c>
      <c r="C233" t="s">
        <v>157</v>
      </c>
      <c r="D233">
        <v>0</v>
      </c>
      <c r="E233">
        <v>977934</v>
      </c>
    </row>
    <row r="234" spans="1:5" x14ac:dyDescent="0.25">
      <c r="A234" t="s">
        <v>61</v>
      </c>
      <c r="B234" t="s">
        <v>150</v>
      </c>
      <c r="C234" t="s">
        <v>158</v>
      </c>
      <c r="D234">
        <v>0</v>
      </c>
      <c r="E234">
        <v>1428114</v>
      </c>
    </row>
    <row r="235" spans="1:5" x14ac:dyDescent="0.25">
      <c r="A235" t="s">
        <v>61</v>
      </c>
      <c r="B235" t="s">
        <v>150</v>
      </c>
      <c r="C235" t="s">
        <v>129</v>
      </c>
      <c r="D235">
        <v>0</v>
      </c>
      <c r="E235">
        <v>51791</v>
      </c>
    </row>
    <row r="236" spans="1:5" x14ac:dyDescent="0.25">
      <c r="A236" t="s">
        <v>150</v>
      </c>
      <c r="B236" t="s">
        <v>150</v>
      </c>
      <c r="C236" t="s">
        <v>153</v>
      </c>
      <c r="D236">
        <v>0</v>
      </c>
      <c r="E236">
        <v>48068</v>
      </c>
    </row>
    <row r="237" spans="1:5" x14ac:dyDescent="0.25">
      <c r="A237" t="s">
        <v>150</v>
      </c>
      <c r="B237" t="s">
        <v>150</v>
      </c>
      <c r="C237" t="s">
        <v>152</v>
      </c>
      <c r="D237">
        <v>0</v>
      </c>
      <c r="E237">
        <v>231781</v>
      </c>
    </row>
    <row r="238" spans="1:5" x14ac:dyDescent="0.25">
      <c r="A238" t="s">
        <v>150</v>
      </c>
      <c r="B238" t="s">
        <v>150</v>
      </c>
      <c r="C238" t="s">
        <v>156</v>
      </c>
      <c r="D238">
        <v>0</v>
      </c>
      <c r="E238">
        <v>1328488</v>
      </c>
    </row>
    <row r="239" spans="1:5" x14ac:dyDescent="0.25">
      <c r="A239" t="s">
        <v>150</v>
      </c>
      <c r="B239" t="s">
        <v>150</v>
      </c>
      <c r="C239" t="s">
        <v>157</v>
      </c>
      <c r="D239">
        <v>0</v>
      </c>
      <c r="E239">
        <v>23820</v>
      </c>
    </row>
    <row r="240" spans="1:5" x14ac:dyDescent="0.25">
      <c r="A240" t="s">
        <v>150</v>
      </c>
      <c r="B240" t="s">
        <v>150</v>
      </c>
      <c r="C240" t="s">
        <v>158</v>
      </c>
      <c r="D240">
        <v>0</v>
      </c>
      <c r="E240">
        <v>86691</v>
      </c>
    </row>
    <row r="241" spans="1:5" x14ac:dyDescent="0.25">
      <c r="A241" t="s">
        <v>34</v>
      </c>
      <c r="B241" t="s">
        <v>150</v>
      </c>
      <c r="C241" t="s">
        <v>138</v>
      </c>
      <c r="D241">
        <v>0</v>
      </c>
      <c r="E241">
        <v>1107320</v>
      </c>
    </row>
    <row r="242" spans="1:5" x14ac:dyDescent="0.25">
      <c r="A242" t="s">
        <v>34</v>
      </c>
      <c r="B242" t="s">
        <v>150</v>
      </c>
      <c r="C242" t="s">
        <v>135</v>
      </c>
      <c r="D242">
        <v>0</v>
      </c>
      <c r="E242">
        <v>48522</v>
      </c>
    </row>
    <row r="243" spans="1:5" x14ac:dyDescent="0.25">
      <c r="A243" t="s">
        <v>34</v>
      </c>
      <c r="B243" t="s">
        <v>150</v>
      </c>
      <c r="C243" t="s">
        <v>153</v>
      </c>
      <c r="D243">
        <v>0</v>
      </c>
      <c r="E243">
        <v>33933658</v>
      </c>
    </row>
    <row r="244" spans="1:5" x14ac:dyDescent="0.25">
      <c r="A244" t="s">
        <v>34</v>
      </c>
      <c r="B244" t="s">
        <v>150</v>
      </c>
      <c r="C244" t="s">
        <v>130</v>
      </c>
      <c r="D244">
        <v>0</v>
      </c>
      <c r="E244">
        <v>3612239</v>
      </c>
    </row>
    <row r="245" spans="1:5" x14ac:dyDescent="0.25">
      <c r="A245" t="s">
        <v>34</v>
      </c>
      <c r="B245" t="s">
        <v>150</v>
      </c>
      <c r="C245" t="s">
        <v>152</v>
      </c>
      <c r="D245">
        <v>0</v>
      </c>
      <c r="E245">
        <v>7348994</v>
      </c>
    </row>
    <row r="246" spans="1:5" x14ac:dyDescent="0.25">
      <c r="A246" t="s">
        <v>34</v>
      </c>
      <c r="B246" t="s">
        <v>150</v>
      </c>
      <c r="C246" t="s">
        <v>154</v>
      </c>
      <c r="D246">
        <v>0</v>
      </c>
      <c r="E246">
        <v>163121</v>
      </c>
    </row>
    <row r="247" spans="1:5" x14ac:dyDescent="0.25">
      <c r="A247" t="s">
        <v>34</v>
      </c>
      <c r="B247" t="s">
        <v>150</v>
      </c>
      <c r="C247" t="s">
        <v>156</v>
      </c>
      <c r="D247">
        <v>0</v>
      </c>
      <c r="E247">
        <v>95533925</v>
      </c>
    </row>
    <row r="248" spans="1:5" x14ac:dyDescent="0.25">
      <c r="A248" t="s">
        <v>34</v>
      </c>
      <c r="B248" t="s">
        <v>150</v>
      </c>
      <c r="C248" t="s">
        <v>128</v>
      </c>
      <c r="D248">
        <v>0</v>
      </c>
      <c r="E248">
        <v>12511217</v>
      </c>
    </row>
    <row r="249" spans="1:5" x14ac:dyDescent="0.25">
      <c r="A249" t="s">
        <v>34</v>
      </c>
      <c r="B249" t="s">
        <v>150</v>
      </c>
      <c r="C249" t="s">
        <v>157</v>
      </c>
      <c r="D249">
        <v>0</v>
      </c>
      <c r="E249">
        <v>6552142</v>
      </c>
    </row>
    <row r="250" spans="1:5" x14ac:dyDescent="0.25">
      <c r="A250" t="s">
        <v>34</v>
      </c>
      <c r="B250" t="s">
        <v>150</v>
      </c>
      <c r="C250" t="s">
        <v>158</v>
      </c>
      <c r="D250">
        <v>0</v>
      </c>
      <c r="E250">
        <v>4814151</v>
      </c>
    </row>
    <row r="251" spans="1:5" x14ac:dyDescent="0.25">
      <c r="A251" t="s">
        <v>34</v>
      </c>
      <c r="B251" t="s">
        <v>150</v>
      </c>
      <c r="C251" t="s">
        <v>129</v>
      </c>
      <c r="D251">
        <v>0</v>
      </c>
      <c r="E251">
        <v>14214662</v>
      </c>
    </row>
    <row r="252" spans="1:5" x14ac:dyDescent="0.25">
      <c r="A252" t="s">
        <v>34</v>
      </c>
      <c r="B252" t="s">
        <v>150</v>
      </c>
      <c r="C252" t="s">
        <v>133</v>
      </c>
      <c r="D252">
        <v>0</v>
      </c>
      <c r="E252">
        <v>10022409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22" customWidth="1"/>
    <col min="5" max="6" width="18" customWidth="1"/>
  </cols>
  <sheetData>
    <row r="1" spans="1:6" x14ac:dyDescent="0.25">
      <c r="A1" s="10" t="s">
        <v>42</v>
      </c>
      <c r="B1" s="10" t="s">
        <v>35</v>
      </c>
      <c r="C1" s="10" t="s">
        <v>120</v>
      </c>
      <c r="D1" s="10" t="s">
        <v>121</v>
      </c>
      <c r="E1" s="10" t="s">
        <v>159</v>
      </c>
      <c r="F1" s="10" t="s">
        <v>160</v>
      </c>
    </row>
    <row r="2" spans="1:6" x14ac:dyDescent="0.25">
      <c r="A2" t="s">
        <v>44</v>
      </c>
      <c r="B2" t="s">
        <v>34</v>
      </c>
      <c r="C2" t="s">
        <v>125</v>
      </c>
      <c r="D2" t="s">
        <v>125</v>
      </c>
      <c r="E2">
        <v>33030321</v>
      </c>
      <c r="F2">
        <v>0</v>
      </c>
    </row>
    <row r="3" spans="1:6" x14ac:dyDescent="0.25">
      <c r="A3" t="s">
        <v>62</v>
      </c>
      <c r="B3" t="s">
        <v>34</v>
      </c>
      <c r="C3" t="s">
        <v>126</v>
      </c>
      <c r="D3" t="s">
        <v>126</v>
      </c>
      <c r="E3">
        <v>13812141</v>
      </c>
      <c r="F3">
        <v>0</v>
      </c>
    </row>
    <row r="4" spans="1:6" x14ac:dyDescent="0.25">
      <c r="A4" t="s">
        <v>161</v>
      </c>
      <c r="B4" t="s">
        <v>45</v>
      </c>
      <c r="C4" t="s">
        <v>125</v>
      </c>
      <c r="D4" t="s">
        <v>125</v>
      </c>
      <c r="E4">
        <v>11244166</v>
      </c>
      <c r="F4">
        <v>0</v>
      </c>
    </row>
    <row r="5" spans="1:6" x14ac:dyDescent="0.25">
      <c r="A5" t="s">
        <v>64</v>
      </c>
      <c r="B5" t="s">
        <v>34</v>
      </c>
      <c r="C5" t="s">
        <v>125</v>
      </c>
      <c r="D5" t="s">
        <v>125</v>
      </c>
      <c r="E5">
        <v>10419952</v>
      </c>
      <c r="F5">
        <v>0</v>
      </c>
    </row>
    <row r="6" spans="1:6" x14ac:dyDescent="0.25">
      <c r="A6" t="s">
        <v>162</v>
      </c>
      <c r="B6" t="s">
        <v>58</v>
      </c>
      <c r="C6" t="s">
        <v>125</v>
      </c>
      <c r="D6" t="s">
        <v>125</v>
      </c>
      <c r="E6">
        <v>9732727</v>
      </c>
      <c r="F6">
        <v>0</v>
      </c>
    </row>
    <row r="7" spans="1:6" x14ac:dyDescent="0.25">
      <c r="A7" t="s">
        <v>163</v>
      </c>
      <c r="B7" t="s">
        <v>45</v>
      </c>
      <c r="C7" t="s">
        <v>127</v>
      </c>
      <c r="D7" t="s">
        <v>128</v>
      </c>
      <c r="E7">
        <v>9715707</v>
      </c>
      <c r="F7">
        <v>0</v>
      </c>
    </row>
    <row r="8" spans="1:6" x14ac:dyDescent="0.25">
      <c r="A8" t="s">
        <v>49</v>
      </c>
      <c r="B8" t="s">
        <v>34</v>
      </c>
      <c r="C8" t="s">
        <v>125</v>
      </c>
      <c r="D8" t="s">
        <v>125</v>
      </c>
      <c r="E8">
        <v>9672544</v>
      </c>
      <c r="F8">
        <v>0</v>
      </c>
    </row>
    <row r="9" spans="1:6" x14ac:dyDescent="0.25">
      <c r="A9" t="s">
        <v>164</v>
      </c>
      <c r="B9" t="s">
        <v>55</v>
      </c>
      <c r="C9" t="s">
        <v>126</v>
      </c>
      <c r="D9" t="s">
        <v>126</v>
      </c>
      <c r="E9">
        <v>9663397</v>
      </c>
      <c r="F9">
        <v>0</v>
      </c>
    </row>
    <row r="10" spans="1:6" x14ac:dyDescent="0.25">
      <c r="A10" t="s">
        <v>165</v>
      </c>
      <c r="B10" t="s">
        <v>48</v>
      </c>
      <c r="C10" t="s">
        <v>127</v>
      </c>
      <c r="D10" t="s">
        <v>129</v>
      </c>
      <c r="E10">
        <v>8795109</v>
      </c>
      <c r="F10">
        <v>0</v>
      </c>
    </row>
    <row r="11" spans="1:6" x14ac:dyDescent="0.25">
      <c r="A11" t="s">
        <v>164</v>
      </c>
      <c r="B11" t="s">
        <v>55</v>
      </c>
      <c r="C11" t="s">
        <v>125</v>
      </c>
      <c r="D11" t="s">
        <v>125</v>
      </c>
      <c r="E11">
        <v>8643476</v>
      </c>
      <c r="F11">
        <v>0</v>
      </c>
    </row>
    <row r="12" spans="1:6" x14ac:dyDescent="0.25">
      <c r="A12" t="s">
        <v>47</v>
      </c>
      <c r="B12" t="s">
        <v>34</v>
      </c>
      <c r="C12" t="s">
        <v>126</v>
      </c>
      <c r="D12" t="s">
        <v>126</v>
      </c>
      <c r="E12">
        <v>7846546</v>
      </c>
      <c r="F12">
        <v>0</v>
      </c>
    </row>
    <row r="13" spans="1:6" x14ac:dyDescent="0.25">
      <c r="A13" t="s">
        <v>166</v>
      </c>
      <c r="B13" t="s">
        <v>50</v>
      </c>
      <c r="C13" t="s">
        <v>125</v>
      </c>
      <c r="D13" t="s">
        <v>125</v>
      </c>
      <c r="E13">
        <v>7815602</v>
      </c>
      <c r="F13">
        <v>0</v>
      </c>
    </row>
    <row r="14" spans="1:6" x14ac:dyDescent="0.25">
      <c r="A14" t="s">
        <v>163</v>
      </c>
      <c r="B14" t="s">
        <v>45</v>
      </c>
      <c r="C14" t="s">
        <v>127</v>
      </c>
      <c r="D14" t="s">
        <v>130</v>
      </c>
      <c r="E14">
        <v>7814551</v>
      </c>
      <c r="F14">
        <v>0</v>
      </c>
    </row>
    <row r="15" spans="1:6" x14ac:dyDescent="0.25">
      <c r="A15" t="s">
        <v>47</v>
      </c>
      <c r="B15" t="s">
        <v>34</v>
      </c>
      <c r="C15" t="s">
        <v>125</v>
      </c>
      <c r="D15" t="s">
        <v>125</v>
      </c>
      <c r="E15">
        <v>7666607</v>
      </c>
      <c r="F15">
        <v>0</v>
      </c>
    </row>
    <row r="16" spans="1:6" x14ac:dyDescent="0.25">
      <c r="A16" t="s">
        <v>167</v>
      </c>
      <c r="B16" t="s">
        <v>50</v>
      </c>
      <c r="C16" t="s">
        <v>126</v>
      </c>
      <c r="D16" t="s">
        <v>126</v>
      </c>
      <c r="E16">
        <v>7341981</v>
      </c>
      <c r="F16">
        <v>0</v>
      </c>
    </row>
    <row r="17" spans="1:6" x14ac:dyDescent="0.25">
      <c r="A17" t="s">
        <v>54</v>
      </c>
      <c r="B17" t="s">
        <v>34</v>
      </c>
      <c r="C17" t="s">
        <v>126</v>
      </c>
      <c r="D17" t="s">
        <v>126</v>
      </c>
      <c r="E17">
        <v>6898102</v>
      </c>
      <c r="F17">
        <v>0</v>
      </c>
    </row>
    <row r="18" spans="1:6" x14ac:dyDescent="0.25">
      <c r="A18" t="s">
        <v>168</v>
      </c>
      <c r="B18" t="s">
        <v>53</v>
      </c>
      <c r="C18" t="s">
        <v>126</v>
      </c>
      <c r="D18" t="s">
        <v>126</v>
      </c>
      <c r="E18">
        <v>6803815</v>
      </c>
      <c r="F18">
        <v>0</v>
      </c>
    </row>
    <row r="19" spans="1:6" x14ac:dyDescent="0.25">
      <c r="A19" t="s">
        <v>169</v>
      </c>
      <c r="B19" t="s">
        <v>45</v>
      </c>
      <c r="C19" t="s">
        <v>127</v>
      </c>
      <c r="D19" t="s">
        <v>130</v>
      </c>
      <c r="E19">
        <v>6703476</v>
      </c>
      <c r="F19">
        <v>0</v>
      </c>
    </row>
    <row r="20" spans="1:6" x14ac:dyDescent="0.25">
      <c r="A20" t="s">
        <v>169</v>
      </c>
      <c r="B20" t="s">
        <v>45</v>
      </c>
      <c r="C20" t="s">
        <v>127</v>
      </c>
      <c r="D20" t="s">
        <v>128</v>
      </c>
      <c r="E20">
        <v>6455888</v>
      </c>
      <c r="F20">
        <v>0</v>
      </c>
    </row>
    <row r="21" spans="1:6" x14ac:dyDescent="0.25">
      <c r="A21" t="s">
        <v>165</v>
      </c>
      <c r="B21" t="s">
        <v>48</v>
      </c>
      <c r="C21" t="s">
        <v>127</v>
      </c>
      <c r="D21" t="s">
        <v>128</v>
      </c>
      <c r="E21">
        <v>6393121</v>
      </c>
      <c r="F21">
        <v>0</v>
      </c>
    </row>
    <row r="22" spans="1:6" x14ac:dyDescent="0.25">
      <c r="A22" t="s">
        <v>52</v>
      </c>
      <c r="B22" t="s">
        <v>34</v>
      </c>
      <c r="C22" t="s">
        <v>125</v>
      </c>
      <c r="D22" t="s">
        <v>125</v>
      </c>
      <c r="E22">
        <v>6282725</v>
      </c>
      <c r="F22">
        <v>0</v>
      </c>
    </row>
    <row r="23" spans="1:6" x14ac:dyDescent="0.25">
      <c r="A23" t="s">
        <v>166</v>
      </c>
      <c r="B23" t="s">
        <v>50</v>
      </c>
      <c r="C23" t="s">
        <v>126</v>
      </c>
      <c r="D23" t="s">
        <v>126</v>
      </c>
      <c r="E23">
        <v>6083765</v>
      </c>
      <c r="F23">
        <v>0</v>
      </c>
    </row>
    <row r="24" spans="1:6" x14ac:dyDescent="0.25">
      <c r="A24" t="s">
        <v>165</v>
      </c>
      <c r="B24" t="s">
        <v>48</v>
      </c>
      <c r="C24" t="s">
        <v>126</v>
      </c>
      <c r="D24" t="s">
        <v>126</v>
      </c>
      <c r="E24">
        <v>6078436</v>
      </c>
      <c r="F24">
        <v>0</v>
      </c>
    </row>
    <row r="25" spans="1:6" x14ac:dyDescent="0.25">
      <c r="A25" t="s">
        <v>166</v>
      </c>
      <c r="B25" t="s">
        <v>50</v>
      </c>
      <c r="C25" t="s">
        <v>132</v>
      </c>
      <c r="D25" t="s">
        <v>132</v>
      </c>
      <c r="E25">
        <v>6047005</v>
      </c>
      <c r="F25">
        <v>0</v>
      </c>
    </row>
    <row r="26" spans="1:6" x14ac:dyDescent="0.25">
      <c r="A26" t="s">
        <v>161</v>
      </c>
      <c r="B26" t="s">
        <v>45</v>
      </c>
      <c r="C26" t="s">
        <v>126</v>
      </c>
      <c r="D26" t="s">
        <v>126</v>
      </c>
      <c r="E26">
        <v>6040792</v>
      </c>
      <c r="F26">
        <v>0</v>
      </c>
    </row>
    <row r="27" spans="1:6" x14ac:dyDescent="0.25">
      <c r="A27" t="s">
        <v>167</v>
      </c>
      <c r="B27" t="s">
        <v>50</v>
      </c>
      <c r="C27" t="s">
        <v>125</v>
      </c>
      <c r="D27" t="s">
        <v>125</v>
      </c>
      <c r="E27">
        <v>5960784</v>
      </c>
      <c r="F27">
        <v>0</v>
      </c>
    </row>
    <row r="28" spans="1:6" x14ac:dyDescent="0.25">
      <c r="A28" t="s">
        <v>52</v>
      </c>
      <c r="B28" t="s">
        <v>34</v>
      </c>
      <c r="C28" t="s">
        <v>126</v>
      </c>
      <c r="D28" t="s">
        <v>126</v>
      </c>
      <c r="E28">
        <v>5605684</v>
      </c>
      <c r="F28">
        <v>0</v>
      </c>
    </row>
    <row r="29" spans="1:6" x14ac:dyDescent="0.25">
      <c r="A29" t="s">
        <v>49</v>
      </c>
      <c r="B29" t="s">
        <v>34</v>
      </c>
      <c r="C29" t="s">
        <v>126</v>
      </c>
      <c r="D29" t="s">
        <v>126</v>
      </c>
      <c r="E29">
        <v>5241729</v>
      </c>
      <c r="F29">
        <v>0</v>
      </c>
    </row>
    <row r="30" spans="1:6" x14ac:dyDescent="0.25">
      <c r="A30" t="s">
        <v>170</v>
      </c>
      <c r="B30" t="s">
        <v>61</v>
      </c>
      <c r="C30" t="s">
        <v>125</v>
      </c>
      <c r="D30" t="s">
        <v>125</v>
      </c>
      <c r="E30">
        <v>5096873</v>
      </c>
      <c r="F30">
        <v>0</v>
      </c>
    </row>
    <row r="31" spans="1:6" x14ac:dyDescent="0.25">
      <c r="A31" t="s">
        <v>66</v>
      </c>
      <c r="B31" t="s">
        <v>34</v>
      </c>
      <c r="C31" t="s">
        <v>125</v>
      </c>
      <c r="D31" t="s">
        <v>125</v>
      </c>
      <c r="E31">
        <v>5093218</v>
      </c>
      <c r="F31">
        <v>0</v>
      </c>
    </row>
    <row r="32" spans="1:6" x14ac:dyDescent="0.25">
      <c r="A32" t="s">
        <v>171</v>
      </c>
      <c r="B32" t="s">
        <v>48</v>
      </c>
      <c r="C32" t="s">
        <v>126</v>
      </c>
      <c r="D32" t="s">
        <v>126</v>
      </c>
      <c r="E32">
        <v>5034572</v>
      </c>
      <c r="F32">
        <v>0</v>
      </c>
    </row>
    <row r="33" spans="1:6" x14ac:dyDescent="0.25">
      <c r="A33" t="s">
        <v>163</v>
      </c>
      <c r="B33" t="s">
        <v>45</v>
      </c>
      <c r="C33" t="s">
        <v>127</v>
      </c>
      <c r="D33" t="s">
        <v>129</v>
      </c>
      <c r="E33">
        <v>4974051</v>
      </c>
      <c r="F33">
        <v>0</v>
      </c>
    </row>
    <row r="34" spans="1:6" x14ac:dyDescent="0.25">
      <c r="A34" t="s">
        <v>54</v>
      </c>
      <c r="B34" t="s">
        <v>34</v>
      </c>
      <c r="C34" t="s">
        <v>127</v>
      </c>
      <c r="D34" t="s">
        <v>129</v>
      </c>
      <c r="E34">
        <v>4900905</v>
      </c>
      <c r="F34">
        <v>0</v>
      </c>
    </row>
    <row r="35" spans="1:6" x14ac:dyDescent="0.25">
      <c r="A35" t="s">
        <v>52</v>
      </c>
      <c r="B35" t="s">
        <v>34</v>
      </c>
      <c r="C35" t="s">
        <v>127</v>
      </c>
      <c r="D35" t="s">
        <v>133</v>
      </c>
      <c r="E35">
        <v>4812981</v>
      </c>
      <c r="F35">
        <v>0</v>
      </c>
    </row>
    <row r="36" spans="1:6" x14ac:dyDescent="0.25">
      <c r="A36" t="s">
        <v>164</v>
      </c>
      <c r="B36" t="s">
        <v>55</v>
      </c>
      <c r="C36" t="s">
        <v>132</v>
      </c>
      <c r="D36" t="s">
        <v>132</v>
      </c>
      <c r="E36">
        <v>4719097</v>
      </c>
      <c r="F36">
        <v>0</v>
      </c>
    </row>
    <row r="37" spans="1:6" x14ac:dyDescent="0.25">
      <c r="A37" t="s">
        <v>52</v>
      </c>
      <c r="B37" t="s">
        <v>34</v>
      </c>
      <c r="C37" t="s">
        <v>127</v>
      </c>
      <c r="D37" t="s">
        <v>129</v>
      </c>
      <c r="E37">
        <v>4665989</v>
      </c>
      <c r="F37">
        <v>0</v>
      </c>
    </row>
    <row r="38" spans="1:6" x14ac:dyDescent="0.25">
      <c r="A38" t="s">
        <v>161</v>
      </c>
      <c r="B38" t="s">
        <v>45</v>
      </c>
      <c r="C38" t="s">
        <v>127</v>
      </c>
      <c r="D38" t="s">
        <v>130</v>
      </c>
      <c r="E38">
        <v>4616469</v>
      </c>
      <c r="F38">
        <v>0</v>
      </c>
    </row>
    <row r="39" spans="1:6" x14ac:dyDescent="0.25">
      <c r="A39" t="s">
        <v>171</v>
      </c>
      <c r="B39" t="s">
        <v>48</v>
      </c>
      <c r="C39" t="s">
        <v>127</v>
      </c>
      <c r="D39" t="s">
        <v>128</v>
      </c>
      <c r="E39">
        <v>4613114</v>
      </c>
      <c r="F39">
        <v>0</v>
      </c>
    </row>
    <row r="40" spans="1:6" x14ac:dyDescent="0.25">
      <c r="A40" t="s">
        <v>172</v>
      </c>
      <c r="B40" t="s">
        <v>50</v>
      </c>
      <c r="C40" t="s">
        <v>125</v>
      </c>
      <c r="D40" t="s">
        <v>125</v>
      </c>
      <c r="E40">
        <v>4591262</v>
      </c>
      <c r="F40">
        <v>0</v>
      </c>
    </row>
    <row r="41" spans="1:6" x14ac:dyDescent="0.25">
      <c r="A41" t="s">
        <v>57</v>
      </c>
      <c r="B41" t="s">
        <v>34</v>
      </c>
      <c r="C41" t="s">
        <v>127</v>
      </c>
      <c r="D41" t="s">
        <v>129</v>
      </c>
      <c r="E41">
        <v>4424298</v>
      </c>
      <c r="F41">
        <v>0</v>
      </c>
    </row>
    <row r="42" spans="1:6" x14ac:dyDescent="0.25">
      <c r="A42" t="s">
        <v>165</v>
      </c>
      <c r="B42" t="s">
        <v>48</v>
      </c>
      <c r="C42" t="s">
        <v>127</v>
      </c>
      <c r="D42" t="s">
        <v>130</v>
      </c>
      <c r="E42">
        <v>4389939</v>
      </c>
      <c r="F42">
        <v>0</v>
      </c>
    </row>
    <row r="43" spans="1:6" x14ac:dyDescent="0.25">
      <c r="A43" t="s">
        <v>60</v>
      </c>
      <c r="B43" t="s">
        <v>34</v>
      </c>
      <c r="C43" t="s">
        <v>125</v>
      </c>
      <c r="D43" t="s">
        <v>125</v>
      </c>
      <c r="E43">
        <v>4379074</v>
      </c>
      <c r="F43">
        <v>0</v>
      </c>
    </row>
    <row r="44" spans="1:6" x14ac:dyDescent="0.25">
      <c r="A44" t="s">
        <v>169</v>
      </c>
      <c r="B44" t="s">
        <v>45</v>
      </c>
      <c r="C44" t="s">
        <v>127</v>
      </c>
      <c r="D44" t="s">
        <v>129</v>
      </c>
      <c r="E44">
        <v>4365699</v>
      </c>
      <c r="F44">
        <v>0</v>
      </c>
    </row>
    <row r="45" spans="1:6" x14ac:dyDescent="0.25">
      <c r="A45" t="s">
        <v>171</v>
      </c>
      <c r="B45" t="s">
        <v>48</v>
      </c>
      <c r="C45" t="s">
        <v>125</v>
      </c>
      <c r="D45" t="s">
        <v>125</v>
      </c>
      <c r="E45">
        <v>4243283</v>
      </c>
      <c r="F45">
        <v>0</v>
      </c>
    </row>
    <row r="46" spans="1:6" x14ac:dyDescent="0.25">
      <c r="A46" t="s">
        <v>57</v>
      </c>
      <c r="B46" t="s">
        <v>34</v>
      </c>
      <c r="C46" t="s">
        <v>127</v>
      </c>
      <c r="D46" t="s">
        <v>128</v>
      </c>
      <c r="E46">
        <v>3915036</v>
      </c>
      <c r="F46">
        <v>0</v>
      </c>
    </row>
    <row r="47" spans="1:6" x14ac:dyDescent="0.25">
      <c r="A47" t="s">
        <v>47</v>
      </c>
      <c r="B47" t="s">
        <v>34</v>
      </c>
      <c r="C47" t="s">
        <v>127</v>
      </c>
      <c r="D47" t="s">
        <v>129</v>
      </c>
      <c r="E47">
        <v>3839476</v>
      </c>
      <c r="F47">
        <v>0</v>
      </c>
    </row>
    <row r="48" spans="1:6" x14ac:dyDescent="0.25">
      <c r="A48" t="s">
        <v>162</v>
      </c>
      <c r="B48" t="s">
        <v>58</v>
      </c>
      <c r="C48" t="s">
        <v>127</v>
      </c>
      <c r="D48" t="s">
        <v>130</v>
      </c>
      <c r="E48">
        <v>3812946</v>
      </c>
      <c r="F48">
        <v>0</v>
      </c>
    </row>
    <row r="49" spans="1:6" x14ac:dyDescent="0.25">
      <c r="A49" t="s">
        <v>47</v>
      </c>
      <c r="B49" t="s">
        <v>34</v>
      </c>
      <c r="C49" t="s">
        <v>131</v>
      </c>
      <c r="D49" t="s">
        <v>131</v>
      </c>
      <c r="E49">
        <v>3781443</v>
      </c>
      <c r="F49">
        <v>0</v>
      </c>
    </row>
    <row r="50" spans="1:6" x14ac:dyDescent="0.25">
      <c r="A50" t="s">
        <v>173</v>
      </c>
      <c r="B50" t="s">
        <v>61</v>
      </c>
      <c r="C50" t="s">
        <v>125</v>
      </c>
      <c r="D50" t="s">
        <v>125</v>
      </c>
      <c r="E50">
        <v>3537202</v>
      </c>
      <c r="F50">
        <v>0</v>
      </c>
    </row>
    <row r="51" spans="1:6" x14ac:dyDescent="0.25">
      <c r="A51" t="s">
        <v>49</v>
      </c>
      <c r="B51" t="s">
        <v>34</v>
      </c>
      <c r="C51" t="s">
        <v>127</v>
      </c>
      <c r="D51" t="s">
        <v>128</v>
      </c>
      <c r="E51">
        <v>3413847</v>
      </c>
      <c r="F51">
        <v>0</v>
      </c>
    </row>
    <row r="52" spans="1:6" x14ac:dyDescent="0.25">
      <c r="A52" t="s">
        <v>169</v>
      </c>
      <c r="B52" t="s">
        <v>45</v>
      </c>
      <c r="C52" t="s">
        <v>126</v>
      </c>
      <c r="D52" t="s">
        <v>126</v>
      </c>
      <c r="E52">
        <v>3369321</v>
      </c>
      <c r="F52">
        <v>0</v>
      </c>
    </row>
    <row r="53" spans="1:6" x14ac:dyDescent="0.25">
      <c r="A53" t="s">
        <v>164</v>
      </c>
      <c r="B53" t="s">
        <v>55</v>
      </c>
      <c r="C53" t="s">
        <v>131</v>
      </c>
      <c r="D53" t="s">
        <v>131</v>
      </c>
      <c r="E53">
        <v>3366883</v>
      </c>
      <c r="F53">
        <v>0</v>
      </c>
    </row>
    <row r="54" spans="1:6" x14ac:dyDescent="0.25">
      <c r="A54" t="s">
        <v>165</v>
      </c>
      <c r="B54" t="s">
        <v>48</v>
      </c>
      <c r="C54" t="s">
        <v>125</v>
      </c>
      <c r="D54" t="s">
        <v>125</v>
      </c>
      <c r="E54">
        <v>3286545</v>
      </c>
      <c r="F54">
        <v>0</v>
      </c>
    </row>
    <row r="55" spans="1:6" x14ac:dyDescent="0.25">
      <c r="A55" t="s">
        <v>62</v>
      </c>
      <c r="B55" t="s">
        <v>34</v>
      </c>
      <c r="C55" t="s">
        <v>126</v>
      </c>
      <c r="D55" t="s">
        <v>134</v>
      </c>
      <c r="E55">
        <v>3236224</v>
      </c>
      <c r="F55">
        <v>0</v>
      </c>
    </row>
    <row r="56" spans="1:6" x14ac:dyDescent="0.25">
      <c r="A56" t="s">
        <v>52</v>
      </c>
      <c r="B56" t="s">
        <v>34</v>
      </c>
      <c r="C56" t="s">
        <v>127</v>
      </c>
      <c r="D56" t="s">
        <v>128</v>
      </c>
      <c r="E56">
        <v>3164147</v>
      </c>
      <c r="F56">
        <v>0</v>
      </c>
    </row>
    <row r="57" spans="1:6" x14ac:dyDescent="0.25">
      <c r="A57" t="s">
        <v>71</v>
      </c>
      <c r="B57" t="s">
        <v>34</v>
      </c>
      <c r="C57" t="s">
        <v>125</v>
      </c>
      <c r="D57" t="s">
        <v>125</v>
      </c>
      <c r="E57">
        <v>3158029</v>
      </c>
      <c r="F57">
        <v>0</v>
      </c>
    </row>
    <row r="58" spans="1:6" x14ac:dyDescent="0.25">
      <c r="A58" t="s">
        <v>168</v>
      </c>
      <c r="B58" t="s">
        <v>53</v>
      </c>
      <c r="C58" t="s">
        <v>125</v>
      </c>
      <c r="D58" t="s">
        <v>125</v>
      </c>
      <c r="E58">
        <v>3101834</v>
      </c>
      <c r="F58">
        <v>0</v>
      </c>
    </row>
    <row r="59" spans="1:6" x14ac:dyDescent="0.25">
      <c r="A59" t="s">
        <v>52</v>
      </c>
      <c r="B59" t="s">
        <v>34</v>
      </c>
      <c r="C59" t="s">
        <v>127</v>
      </c>
      <c r="D59" t="s">
        <v>130</v>
      </c>
      <c r="E59">
        <v>3003906</v>
      </c>
      <c r="F59">
        <v>0</v>
      </c>
    </row>
    <row r="60" spans="1:6" x14ac:dyDescent="0.25">
      <c r="A60" t="s">
        <v>60</v>
      </c>
      <c r="B60" t="s">
        <v>34</v>
      </c>
      <c r="C60" t="s">
        <v>126</v>
      </c>
      <c r="D60" t="s">
        <v>126</v>
      </c>
      <c r="E60">
        <v>2993958</v>
      </c>
      <c r="F60">
        <v>0</v>
      </c>
    </row>
    <row r="61" spans="1:6" x14ac:dyDescent="0.25">
      <c r="A61" t="s">
        <v>170</v>
      </c>
      <c r="B61" t="s">
        <v>61</v>
      </c>
      <c r="C61" t="s">
        <v>127</v>
      </c>
      <c r="D61" t="s">
        <v>130</v>
      </c>
      <c r="E61">
        <v>2972876</v>
      </c>
      <c r="F61">
        <v>0</v>
      </c>
    </row>
    <row r="62" spans="1:6" x14ac:dyDescent="0.25">
      <c r="A62" t="s">
        <v>49</v>
      </c>
      <c r="B62" t="s">
        <v>34</v>
      </c>
      <c r="C62" t="s">
        <v>127</v>
      </c>
      <c r="D62" t="s">
        <v>129</v>
      </c>
      <c r="E62">
        <v>2886704</v>
      </c>
      <c r="F62">
        <v>0</v>
      </c>
    </row>
    <row r="63" spans="1:6" x14ac:dyDescent="0.25">
      <c r="A63" t="s">
        <v>47</v>
      </c>
      <c r="B63" t="s">
        <v>34</v>
      </c>
      <c r="C63" t="s">
        <v>127</v>
      </c>
      <c r="D63" t="s">
        <v>128</v>
      </c>
      <c r="E63">
        <v>2866810</v>
      </c>
      <c r="F63">
        <v>0</v>
      </c>
    </row>
    <row r="64" spans="1:6" x14ac:dyDescent="0.25">
      <c r="A64" t="s">
        <v>54</v>
      </c>
      <c r="B64" t="s">
        <v>34</v>
      </c>
      <c r="C64" t="s">
        <v>127</v>
      </c>
      <c r="D64" t="s">
        <v>133</v>
      </c>
      <c r="E64">
        <v>2823269</v>
      </c>
      <c r="F64">
        <v>0</v>
      </c>
    </row>
    <row r="65" spans="1:6" x14ac:dyDescent="0.25">
      <c r="A65" t="s">
        <v>60</v>
      </c>
      <c r="B65" t="s">
        <v>34</v>
      </c>
      <c r="C65" t="s">
        <v>127</v>
      </c>
      <c r="D65" t="s">
        <v>128</v>
      </c>
      <c r="E65">
        <v>2813984</v>
      </c>
      <c r="F65">
        <v>0</v>
      </c>
    </row>
    <row r="66" spans="1:6" x14ac:dyDescent="0.25">
      <c r="A66" t="s">
        <v>49</v>
      </c>
      <c r="B66" t="s">
        <v>34</v>
      </c>
      <c r="C66" t="s">
        <v>131</v>
      </c>
      <c r="D66" t="s">
        <v>131</v>
      </c>
      <c r="E66">
        <v>2770211</v>
      </c>
      <c r="F66">
        <v>0</v>
      </c>
    </row>
    <row r="67" spans="1:6" x14ac:dyDescent="0.25">
      <c r="A67" t="s">
        <v>54</v>
      </c>
      <c r="B67" t="s">
        <v>34</v>
      </c>
      <c r="C67" t="s">
        <v>127</v>
      </c>
      <c r="D67" t="s">
        <v>128</v>
      </c>
      <c r="E67">
        <v>2766183</v>
      </c>
      <c r="F67">
        <v>0</v>
      </c>
    </row>
    <row r="68" spans="1:6" x14ac:dyDescent="0.25">
      <c r="A68" t="s">
        <v>54</v>
      </c>
      <c r="B68" t="s">
        <v>34</v>
      </c>
      <c r="C68" t="s">
        <v>125</v>
      </c>
      <c r="D68" t="s">
        <v>125</v>
      </c>
      <c r="E68">
        <v>2738145</v>
      </c>
      <c r="F68">
        <v>0</v>
      </c>
    </row>
    <row r="69" spans="1:6" x14ac:dyDescent="0.25">
      <c r="A69" t="s">
        <v>171</v>
      </c>
      <c r="B69" t="s">
        <v>48</v>
      </c>
      <c r="C69" t="s">
        <v>127</v>
      </c>
      <c r="D69" t="s">
        <v>129</v>
      </c>
      <c r="E69">
        <v>2717951</v>
      </c>
      <c r="F69">
        <v>0</v>
      </c>
    </row>
    <row r="70" spans="1:6" x14ac:dyDescent="0.25">
      <c r="A70" t="s">
        <v>54</v>
      </c>
      <c r="B70" t="s">
        <v>34</v>
      </c>
      <c r="C70" t="s">
        <v>127</v>
      </c>
      <c r="D70" t="s">
        <v>130</v>
      </c>
      <c r="E70">
        <v>2621822</v>
      </c>
      <c r="F70">
        <v>0</v>
      </c>
    </row>
    <row r="71" spans="1:6" x14ac:dyDescent="0.25">
      <c r="A71" t="s">
        <v>174</v>
      </c>
      <c r="B71" t="s">
        <v>45</v>
      </c>
      <c r="C71" t="s">
        <v>127</v>
      </c>
      <c r="D71" t="s">
        <v>130</v>
      </c>
      <c r="E71">
        <v>2617407</v>
      </c>
      <c r="F71">
        <v>0</v>
      </c>
    </row>
    <row r="72" spans="1:6" x14ac:dyDescent="0.25">
      <c r="A72" t="s">
        <v>57</v>
      </c>
      <c r="B72" t="s">
        <v>34</v>
      </c>
      <c r="C72" t="s">
        <v>125</v>
      </c>
      <c r="D72" t="s">
        <v>135</v>
      </c>
      <c r="E72">
        <v>2608653</v>
      </c>
      <c r="F72">
        <v>0</v>
      </c>
    </row>
    <row r="73" spans="1:6" x14ac:dyDescent="0.25">
      <c r="A73" t="s">
        <v>167</v>
      </c>
      <c r="B73" t="s">
        <v>50</v>
      </c>
      <c r="C73" t="s">
        <v>131</v>
      </c>
      <c r="D73" t="s">
        <v>131</v>
      </c>
      <c r="E73">
        <v>2602305</v>
      </c>
      <c r="F73">
        <v>0</v>
      </c>
    </row>
    <row r="74" spans="1:6" x14ac:dyDescent="0.25">
      <c r="A74" t="s">
        <v>162</v>
      </c>
      <c r="B74" t="s">
        <v>58</v>
      </c>
      <c r="C74" t="s">
        <v>126</v>
      </c>
      <c r="D74" t="s">
        <v>126</v>
      </c>
      <c r="E74">
        <v>2564510</v>
      </c>
      <c r="F74">
        <v>0</v>
      </c>
    </row>
    <row r="75" spans="1:6" x14ac:dyDescent="0.25">
      <c r="A75" t="s">
        <v>169</v>
      </c>
      <c r="B75" t="s">
        <v>45</v>
      </c>
      <c r="C75" t="s">
        <v>127</v>
      </c>
      <c r="D75" t="s">
        <v>133</v>
      </c>
      <c r="E75">
        <v>2540213</v>
      </c>
      <c r="F75">
        <v>0</v>
      </c>
    </row>
    <row r="76" spans="1:6" x14ac:dyDescent="0.25">
      <c r="A76" t="s">
        <v>175</v>
      </c>
      <c r="B76" t="s">
        <v>48</v>
      </c>
      <c r="C76" t="s">
        <v>127</v>
      </c>
      <c r="D76" t="s">
        <v>129</v>
      </c>
      <c r="E76">
        <v>2533416</v>
      </c>
      <c r="F76">
        <v>0</v>
      </c>
    </row>
    <row r="77" spans="1:6" x14ac:dyDescent="0.25">
      <c r="A77" t="s">
        <v>166</v>
      </c>
      <c r="B77" t="s">
        <v>50</v>
      </c>
      <c r="C77" t="s">
        <v>131</v>
      </c>
      <c r="D77" t="s">
        <v>131</v>
      </c>
      <c r="E77">
        <v>2504144</v>
      </c>
      <c r="F77">
        <v>0</v>
      </c>
    </row>
    <row r="78" spans="1:6" x14ac:dyDescent="0.25">
      <c r="A78" t="s">
        <v>44</v>
      </c>
      <c r="B78" t="s">
        <v>34</v>
      </c>
      <c r="C78" t="s">
        <v>125</v>
      </c>
      <c r="D78" t="s">
        <v>136</v>
      </c>
      <c r="E78">
        <v>2494304</v>
      </c>
      <c r="F78">
        <v>0</v>
      </c>
    </row>
    <row r="79" spans="1:6" x14ac:dyDescent="0.25">
      <c r="A79" t="s">
        <v>60</v>
      </c>
      <c r="B79" t="s">
        <v>34</v>
      </c>
      <c r="C79" t="s">
        <v>127</v>
      </c>
      <c r="D79" t="s">
        <v>133</v>
      </c>
      <c r="E79">
        <v>2482851</v>
      </c>
      <c r="F79">
        <v>0</v>
      </c>
    </row>
    <row r="80" spans="1:6" x14ac:dyDescent="0.25">
      <c r="A80" t="s">
        <v>176</v>
      </c>
      <c r="B80" t="s">
        <v>53</v>
      </c>
      <c r="C80" t="s">
        <v>126</v>
      </c>
      <c r="D80" t="s">
        <v>126</v>
      </c>
      <c r="E80">
        <v>2476994</v>
      </c>
      <c r="F80">
        <v>0</v>
      </c>
    </row>
    <row r="81" spans="1:6" x14ac:dyDescent="0.25">
      <c r="A81" t="s">
        <v>177</v>
      </c>
      <c r="B81" t="s">
        <v>48</v>
      </c>
      <c r="C81" t="s">
        <v>125</v>
      </c>
      <c r="D81" t="s">
        <v>125</v>
      </c>
      <c r="E81">
        <v>2476379</v>
      </c>
      <c r="F81">
        <v>0</v>
      </c>
    </row>
    <row r="82" spans="1:6" x14ac:dyDescent="0.25">
      <c r="A82" t="s">
        <v>168</v>
      </c>
      <c r="B82" t="s">
        <v>53</v>
      </c>
      <c r="C82" t="s">
        <v>127</v>
      </c>
      <c r="D82" t="s">
        <v>130</v>
      </c>
      <c r="E82">
        <v>2470859</v>
      </c>
      <c r="F82">
        <v>0</v>
      </c>
    </row>
    <row r="83" spans="1:6" x14ac:dyDescent="0.25">
      <c r="A83" t="s">
        <v>169</v>
      </c>
      <c r="B83" t="s">
        <v>45</v>
      </c>
      <c r="C83" t="s">
        <v>131</v>
      </c>
      <c r="D83" t="s">
        <v>131</v>
      </c>
      <c r="E83">
        <v>2443685</v>
      </c>
      <c r="F83">
        <v>0</v>
      </c>
    </row>
    <row r="84" spans="1:6" x14ac:dyDescent="0.25">
      <c r="A84" t="s">
        <v>162</v>
      </c>
      <c r="B84" t="s">
        <v>58</v>
      </c>
      <c r="C84" t="s">
        <v>131</v>
      </c>
      <c r="D84" t="s">
        <v>131</v>
      </c>
      <c r="E84">
        <v>2440653</v>
      </c>
      <c r="F84">
        <v>0</v>
      </c>
    </row>
    <row r="85" spans="1:6" x14ac:dyDescent="0.25">
      <c r="A85" t="s">
        <v>168</v>
      </c>
      <c r="B85" t="s">
        <v>53</v>
      </c>
      <c r="C85" t="s">
        <v>126</v>
      </c>
      <c r="D85" t="s">
        <v>134</v>
      </c>
      <c r="E85">
        <v>2436723</v>
      </c>
      <c r="F85">
        <v>0</v>
      </c>
    </row>
    <row r="86" spans="1:6" x14ac:dyDescent="0.25">
      <c r="A86" t="s">
        <v>178</v>
      </c>
      <c r="B86" t="s">
        <v>58</v>
      </c>
      <c r="C86" t="s">
        <v>125</v>
      </c>
      <c r="D86" t="s">
        <v>125</v>
      </c>
      <c r="E86">
        <v>2435272</v>
      </c>
      <c r="F86">
        <v>0</v>
      </c>
    </row>
    <row r="87" spans="1:6" x14ac:dyDescent="0.25">
      <c r="A87" t="s">
        <v>168</v>
      </c>
      <c r="B87" t="s">
        <v>53</v>
      </c>
      <c r="C87" t="s">
        <v>127</v>
      </c>
      <c r="D87" t="s">
        <v>129</v>
      </c>
      <c r="E87">
        <v>2427904</v>
      </c>
      <c r="F87">
        <v>0</v>
      </c>
    </row>
    <row r="88" spans="1:6" x14ac:dyDescent="0.25">
      <c r="A88" t="s">
        <v>47</v>
      </c>
      <c r="B88" t="s">
        <v>34</v>
      </c>
      <c r="C88" t="s">
        <v>126</v>
      </c>
      <c r="D88" t="s">
        <v>134</v>
      </c>
      <c r="E88">
        <v>2426031</v>
      </c>
      <c r="F88">
        <v>0</v>
      </c>
    </row>
    <row r="89" spans="1:6" x14ac:dyDescent="0.25">
      <c r="A89" t="s">
        <v>67</v>
      </c>
      <c r="B89" t="s">
        <v>34</v>
      </c>
      <c r="C89" t="s">
        <v>125</v>
      </c>
      <c r="D89" t="s">
        <v>125</v>
      </c>
      <c r="E89">
        <v>2418189</v>
      </c>
      <c r="F89">
        <v>0</v>
      </c>
    </row>
    <row r="90" spans="1:6" x14ac:dyDescent="0.25">
      <c r="A90" t="s">
        <v>64</v>
      </c>
      <c r="B90" t="s">
        <v>34</v>
      </c>
      <c r="C90" t="s">
        <v>127</v>
      </c>
      <c r="D90" t="s">
        <v>129</v>
      </c>
      <c r="E90">
        <v>2414296</v>
      </c>
      <c r="F90">
        <v>0</v>
      </c>
    </row>
    <row r="91" spans="1:6" x14ac:dyDescent="0.25">
      <c r="A91" t="s">
        <v>69</v>
      </c>
      <c r="B91" t="s">
        <v>34</v>
      </c>
      <c r="C91" t="s">
        <v>125</v>
      </c>
      <c r="D91" t="s">
        <v>125</v>
      </c>
      <c r="E91">
        <v>2408380</v>
      </c>
      <c r="F91">
        <v>0</v>
      </c>
    </row>
    <row r="92" spans="1:6" x14ac:dyDescent="0.25">
      <c r="A92" t="s">
        <v>179</v>
      </c>
      <c r="B92" t="s">
        <v>45</v>
      </c>
      <c r="C92" t="s">
        <v>126</v>
      </c>
      <c r="D92" t="s">
        <v>126</v>
      </c>
      <c r="E92">
        <v>2250468</v>
      </c>
      <c r="F92">
        <v>0</v>
      </c>
    </row>
    <row r="93" spans="1:6" x14ac:dyDescent="0.25">
      <c r="A93" t="s">
        <v>180</v>
      </c>
      <c r="B93" t="s">
        <v>45</v>
      </c>
      <c r="C93" t="s">
        <v>126</v>
      </c>
      <c r="D93" t="s">
        <v>126</v>
      </c>
      <c r="E93">
        <v>2222567</v>
      </c>
      <c r="F93">
        <v>0</v>
      </c>
    </row>
    <row r="94" spans="1:6" x14ac:dyDescent="0.25">
      <c r="A94" t="s">
        <v>168</v>
      </c>
      <c r="B94" t="s">
        <v>53</v>
      </c>
      <c r="C94" t="s">
        <v>131</v>
      </c>
      <c r="D94" t="s">
        <v>131</v>
      </c>
      <c r="E94">
        <v>2210966</v>
      </c>
      <c r="F94">
        <v>0</v>
      </c>
    </row>
    <row r="95" spans="1:6" x14ac:dyDescent="0.25">
      <c r="A95" t="s">
        <v>161</v>
      </c>
      <c r="B95" t="s">
        <v>45</v>
      </c>
      <c r="C95" t="s">
        <v>131</v>
      </c>
      <c r="D95" t="s">
        <v>131</v>
      </c>
      <c r="E95">
        <v>2178274</v>
      </c>
      <c r="F95">
        <v>0</v>
      </c>
    </row>
    <row r="96" spans="1:6" x14ac:dyDescent="0.25">
      <c r="A96" t="s">
        <v>172</v>
      </c>
      <c r="B96" t="s">
        <v>50</v>
      </c>
      <c r="C96" t="s">
        <v>126</v>
      </c>
      <c r="D96" t="s">
        <v>126</v>
      </c>
      <c r="E96">
        <v>2164721</v>
      </c>
      <c r="F96">
        <v>0</v>
      </c>
    </row>
    <row r="97" spans="1:6" x14ac:dyDescent="0.25">
      <c r="A97" t="s">
        <v>165</v>
      </c>
      <c r="B97" t="s">
        <v>48</v>
      </c>
      <c r="C97" t="s">
        <v>131</v>
      </c>
      <c r="D97" t="s">
        <v>131</v>
      </c>
      <c r="E97">
        <v>2160164</v>
      </c>
      <c r="F97">
        <v>0</v>
      </c>
    </row>
    <row r="98" spans="1:6" x14ac:dyDescent="0.25">
      <c r="A98" t="s">
        <v>167</v>
      </c>
      <c r="B98" t="s">
        <v>50</v>
      </c>
      <c r="C98" t="s">
        <v>132</v>
      </c>
      <c r="D98" t="s">
        <v>132</v>
      </c>
      <c r="E98">
        <v>2149420</v>
      </c>
      <c r="F98">
        <v>0</v>
      </c>
    </row>
    <row r="99" spans="1:6" x14ac:dyDescent="0.25">
      <c r="A99" t="s">
        <v>181</v>
      </c>
      <c r="B99" t="s">
        <v>50</v>
      </c>
      <c r="C99" t="s">
        <v>126</v>
      </c>
      <c r="D99" t="s">
        <v>126</v>
      </c>
      <c r="E99">
        <v>2132823</v>
      </c>
      <c r="F99">
        <v>0</v>
      </c>
    </row>
    <row r="100" spans="1:6" x14ac:dyDescent="0.25">
      <c r="A100" t="s">
        <v>182</v>
      </c>
      <c r="B100" t="s">
        <v>53</v>
      </c>
      <c r="C100" t="s">
        <v>127</v>
      </c>
      <c r="D100" t="s">
        <v>138</v>
      </c>
      <c r="E100">
        <v>2124152</v>
      </c>
      <c r="F100">
        <v>0</v>
      </c>
    </row>
    <row r="101" spans="1:6" x14ac:dyDescent="0.25">
      <c r="A101" t="s">
        <v>183</v>
      </c>
      <c r="B101" t="s">
        <v>45</v>
      </c>
      <c r="C101" t="s">
        <v>126</v>
      </c>
      <c r="D101" t="s">
        <v>126</v>
      </c>
      <c r="E101">
        <v>2117180</v>
      </c>
      <c r="F101">
        <v>0</v>
      </c>
    </row>
    <row r="102" spans="1:6" x14ac:dyDescent="0.25">
      <c r="A102" t="s">
        <v>57</v>
      </c>
      <c r="B102" t="s">
        <v>34</v>
      </c>
      <c r="C102" t="s">
        <v>125</v>
      </c>
      <c r="D102" t="s">
        <v>125</v>
      </c>
      <c r="E102">
        <v>2050919</v>
      </c>
      <c r="F102">
        <v>0</v>
      </c>
    </row>
    <row r="103" spans="1:6" x14ac:dyDescent="0.25">
      <c r="A103" t="s">
        <v>168</v>
      </c>
      <c r="B103" t="s">
        <v>53</v>
      </c>
      <c r="C103" t="s">
        <v>127</v>
      </c>
      <c r="D103" t="s">
        <v>128</v>
      </c>
      <c r="E103">
        <v>2002885</v>
      </c>
      <c r="F103">
        <v>0</v>
      </c>
    </row>
    <row r="104" spans="1:6" x14ac:dyDescent="0.25">
      <c r="A104" t="s">
        <v>60</v>
      </c>
      <c r="B104" t="s">
        <v>34</v>
      </c>
      <c r="C104" t="s">
        <v>127</v>
      </c>
      <c r="D104" t="s">
        <v>129</v>
      </c>
      <c r="E104">
        <v>1994984</v>
      </c>
      <c r="F104">
        <v>0</v>
      </c>
    </row>
    <row r="105" spans="1:6" x14ac:dyDescent="0.25">
      <c r="A105" t="s">
        <v>169</v>
      </c>
      <c r="B105" t="s">
        <v>45</v>
      </c>
      <c r="C105" t="s">
        <v>125</v>
      </c>
      <c r="D105" t="s">
        <v>125</v>
      </c>
      <c r="E105">
        <v>1932288</v>
      </c>
      <c r="F105">
        <v>0</v>
      </c>
    </row>
    <row r="106" spans="1:6" x14ac:dyDescent="0.25">
      <c r="A106" t="s">
        <v>172</v>
      </c>
      <c r="B106" t="s">
        <v>50</v>
      </c>
      <c r="C106" t="s">
        <v>132</v>
      </c>
      <c r="D106" t="s">
        <v>132</v>
      </c>
      <c r="E106">
        <v>1886828</v>
      </c>
      <c r="F106">
        <v>0</v>
      </c>
    </row>
    <row r="107" spans="1:6" x14ac:dyDescent="0.25">
      <c r="A107" t="s">
        <v>167</v>
      </c>
      <c r="B107" t="s">
        <v>50</v>
      </c>
      <c r="C107" t="s">
        <v>127</v>
      </c>
      <c r="D107" t="s">
        <v>129</v>
      </c>
      <c r="E107">
        <v>1886160</v>
      </c>
      <c r="F107">
        <v>0</v>
      </c>
    </row>
    <row r="108" spans="1:6" x14ac:dyDescent="0.25">
      <c r="A108" t="s">
        <v>66</v>
      </c>
      <c r="B108" t="s">
        <v>34</v>
      </c>
      <c r="C108" t="s">
        <v>125</v>
      </c>
      <c r="D108" t="s">
        <v>135</v>
      </c>
      <c r="E108">
        <v>1870501</v>
      </c>
      <c r="F108">
        <v>0</v>
      </c>
    </row>
    <row r="109" spans="1:6" x14ac:dyDescent="0.25">
      <c r="A109" t="s">
        <v>175</v>
      </c>
      <c r="B109" t="s">
        <v>48</v>
      </c>
      <c r="C109" t="s">
        <v>127</v>
      </c>
      <c r="D109" t="s">
        <v>128</v>
      </c>
      <c r="E109">
        <v>1855597</v>
      </c>
      <c r="F109">
        <v>0</v>
      </c>
    </row>
    <row r="110" spans="1:6" x14ac:dyDescent="0.25">
      <c r="A110" t="s">
        <v>171</v>
      </c>
      <c r="B110" t="s">
        <v>48</v>
      </c>
      <c r="C110" t="s">
        <v>131</v>
      </c>
      <c r="D110" t="s">
        <v>131</v>
      </c>
      <c r="E110">
        <v>1854376</v>
      </c>
      <c r="F110">
        <v>0</v>
      </c>
    </row>
    <row r="111" spans="1:6" x14ac:dyDescent="0.25">
      <c r="A111" t="s">
        <v>184</v>
      </c>
      <c r="B111" t="s">
        <v>50</v>
      </c>
      <c r="C111" t="s">
        <v>132</v>
      </c>
      <c r="D111" t="s">
        <v>132</v>
      </c>
      <c r="E111">
        <v>1835699</v>
      </c>
      <c r="F111">
        <v>0</v>
      </c>
    </row>
    <row r="112" spans="1:6" x14ac:dyDescent="0.25">
      <c r="A112" t="s">
        <v>161</v>
      </c>
      <c r="B112" t="s">
        <v>45</v>
      </c>
      <c r="C112" t="s">
        <v>125</v>
      </c>
      <c r="D112" t="s">
        <v>136</v>
      </c>
      <c r="E112">
        <v>1828310</v>
      </c>
      <c r="F112">
        <v>0</v>
      </c>
    </row>
    <row r="113" spans="1:6" x14ac:dyDescent="0.25">
      <c r="A113" t="s">
        <v>64</v>
      </c>
      <c r="B113" t="s">
        <v>34</v>
      </c>
      <c r="C113" t="s">
        <v>127</v>
      </c>
      <c r="D113" t="s">
        <v>128</v>
      </c>
      <c r="E113">
        <v>1796653</v>
      </c>
      <c r="F113">
        <v>0</v>
      </c>
    </row>
    <row r="114" spans="1:6" x14ac:dyDescent="0.25">
      <c r="A114" t="s">
        <v>47</v>
      </c>
      <c r="B114" t="s">
        <v>34</v>
      </c>
      <c r="C114" t="s">
        <v>127</v>
      </c>
      <c r="D114" t="s">
        <v>133</v>
      </c>
      <c r="E114">
        <v>1768179</v>
      </c>
      <c r="F114">
        <v>0</v>
      </c>
    </row>
    <row r="115" spans="1:6" x14ac:dyDescent="0.25">
      <c r="A115" t="s">
        <v>185</v>
      </c>
      <c r="B115" t="s">
        <v>45</v>
      </c>
      <c r="C115" t="s">
        <v>126</v>
      </c>
      <c r="D115" t="s">
        <v>126</v>
      </c>
      <c r="E115">
        <v>1719124</v>
      </c>
      <c r="F115">
        <v>0</v>
      </c>
    </row>
    <row r="116" spans="1:6" x14ac:dyDescent="0.25">
      <c r="A116" t="s">
        <v>182</v>
      </c>
      <c r="B116" t="s">
        <v>53</v>
      </c>
      <c r="C116" t="s">
        <v>127</v>
      </c>
      <c r="D116" t="s">
        <v>130</v>
      </c>
      <c r="E116">
        <v>1718335</v>
      </c>
      <c r="F116">
        <v>0</v>
      </c>
    </row>
    <row r="117" spans="1:6" x14ac:dyDescent="0.25">
      <c r="A117" t="s">
        <v>164</v>
      </c>
      <c r="B117" t="s">
        <v>55</v>
      </c>
      <c r="C117" t="s">
        <v>126</v>
      </c>
      <c r="D117" t="s">
        <v>134</v>
      </c>
      <c r="E117">
        <v>1715867</v>
      </c>
      <c r="F117">
        <v>0</v>
      </c>
    </row>
    <row r="118" spans="1:6" x14ac:dyDescent="0.25">
      <c r="A118" t="s">
        <v>177</v>
      </c>
      <c r="B118" t="s">
        <v>48</v>
      </c>
      <c r="C118" t="s">
        <v>126</v>
      </c>
      <c r="D118" t="s">
        <v>126</v>
      </c>
      <c r="E118">
        <v>1711582</v>
      </c>
      <c r="F118">
        <v>0</v>
      </c>
    </row>
    <row r="119" spans="1:6" x14ac:dyDescent="0.25">
      <c r="A119" t="s">
        <v>162</v>
      </c>
      <c r="B119" t="s">
        <v>58</v>
      </c>
      <c r="C119" t="s">
        <v>132</v>
      </c>
      <c r="D119" t="s">
        <v>132</v>
      </c>
      <c r="E119">
        <v>1709816</v>
      </c>
      <c r="F119">
        <v>0</v>
      </c>
    </row>
    <row r="120" spans="1:6" x14ac:dyDescent="0.25">
      <c r="A120" t="s">
        <v>49</v>
      </c>
      <c r="B120" t="s">
        <v>34</v>
      </c>
      <c r="C120" t="s">
        <v>127</v>
      </c>
      <c r="D120" t="s">
        <v>133</v>
      </c>
      <c r="E120">
        <v>1599168</v>
      </c>
      <c r="F120">
        <v>0</v>
      </c>
    </row>
    <row r="121" spans="1:6" x14ac:dyDescent="0.25">
      <c r="A121" t="s">
        <v>186</v>
      </c>
      <c r="B121" t="s">
        <v>53</v>
      </c>
      <c r="C121" t="s">
        <v>127</v>
      </c>
      <c r="D121" t="s">
        <v>130</v>
      </c>
      <c r="E121">
        <v>1594887</v>
      </c>
      <c r="F121">
        <v>0</v>
      </c>
    </row>
    <row r="122" spans="1:6" x14ac:dyDescent="0.25">
      <c r="A122" t="s">
        <v>57</v>
      </c>
      <c r="B122" t="s">
        <v>34</v>
      </c>
      <c r="C122" t="s">
        <v>127</v>
      </c>
      <c r="D122" t="s">
        <v>133</v>
      </c>
      <c r="E122">
        <v>1593457</v>
      </c>
      <c r="F122">
        <v>0</v>
      </c>
    </row>
    <row r="123" spans="1:6" x14ac:dyDescent="0.25">
      <c r="A123" t="s">
        <v>181</v>
      </c>
      <c r="B123" t="s">
        <v>50</v>
      </c>
      <c r="C123" t="s">
        <v>125</v>
      </c>
      <c r="D123" t="s">
        <v>125</v>
      </c>
      <c r="E123">
        <v>1591415</v>
      </c>
      <c r="F123">
        <v>0</v>
      </c>
    </row>
    <row r="124" spans="1:6" x14ac:dyDescent="0.25">
      <c r="A124" t="s">
        <v>165</v>
      </c>
      <c r="B124" t="s">
        <v>48</v>
      </c>
      <c r="C124" t="s">
        <v>127</v>
      </c>
      <c r="D124" t="s">
        <v>133</v>
      </c>
      <c r="E124">
        <v>1588240</v>
      </c>
      <c r="F124">
        <v>0</v>
      </c>
    </row>
    <row r="125" spans="1:6" x14ac:dyDescent="0.25">
      <c r="A125" t="s">
        <v>167</v>
      </c>
      <c r="B125" t="s">
        <v>50</v>
      </c>
      <c r="C125" t="s">
        <v>126</v>
      </c>
      <c r="D125" t="s">
        <v>134</v>
      </c>
      <c r="E125">
        <v>1584901</v>
      </c>
      <c r="F125">
        <v>0</v>
      </c>
    </row>
    <row r="126" spans="1:6" x14ac:dyDescent="0.25">
      <c r="A126" t="s">
        <v>186</v>
      </c>
      <c r="B126" t="s">
        <v>53</v>
      </c>
      <c r="C126" t="s">
        <v>127</v>
      </c>
      <c r="D126" t="s">
        <v>128</v>
      </c>
      <c r="E126">
        <v>1577075</v>
      </c>
      <c r="F126">
        <v>0</v>
      </c>
    </row>
    <row r="127" spans="1:6" x14ac:dyDescent="0.25">
      <c r="A127" t="s">
        <v>166</v>
      </c>
      <c r="B127" t="s">
        <v>50</v>
      </c>
      <c r="C127" t="s">
        <v>126</v>
      </c>
      <c r="D127" t="s">
        <v>134</v>
      </c>
      <c r="E127">
        <v>1542281</v>
      </c>
      <c r="F127">
        <v>0</v>
      </c>
    </row>
    <row r="128" spans="1:6" x14ac:dyDescent="0.25">
      <c r="A128" t="s">
        <v>73</v>
      </c>
      <c r="B128" t="s">
        <v>34</v>
      </c>
      <c r="C128" t="s">
        <v>125</v>
      </c>
      <c r="D128" t="s">
        <v>125</v>
      </c>
      <c r="E128">
        <v>1540346</v>
      </c>
      <c r="F128">
        <v>0</v>
      </c>
    </row>
    <row r="129" spans="1:6" x14ac:dyDescent="0.25">
      <c r="A129" t="s">
        <v>57</v>
      </c>
      <c r="B129" t="s">
        <v>34</v>
      </c>
      <c r="C129" t="s">
        <v>127</v>
      </c>
      <c r="D129" t="s">
        <v>130</v>
      </c>
      <c r="E129">
        <v>1520204</v>
      </c>
      <c r="F129">
        <v>0</v>
      </c>
    </row>
    <row r="130" spans="1:6" x14ac:dyDescent="0.25">
      <c r="A130" t="s">
        <v>176</v>
      </c>
      <c r="B130" t="s">
        <v>53</v>
      </c>
      <c r="C130" t="s">
        <v>131</v>
      </c>
      <c r="D130" t="s">
        <v>131</v>
      </c>
      <c r="E130">
        <v>1514668</v>
      </c>
      <c r="F130">
        <v>0</v>
      </c>
    </row>
    <row r="131" spans="1:6" x14ac:dyDescent="0.25">
      <c r="A131" t="s">
        <v>181</v>
      </c>
      <c r="B131" t="s">
        <v>50</v>
      </c>
      <c r="C131" t="s">
        <v>127</v>
      </c>
      <c r="D131" t="s">
        <v>130</v>
      </c>
      <c r="E131">
        <v>1503322</v>
      </c>
      <c r="F131">
        <v>0</v>
      </c>
    </row>
    <row r="132" spans="1:6" x14ac:dyDescent="0.25">
      <c r="A132" t="s">
        <v>170</v>
      </c>
      <c r="B132" t="s">
        <v>61</v>
      </c>
      <c r="C132" t="s">
        <v>126</v>
      </c>
      <c r="D132" t="s">
        <v>126</v>
      </c>
      <c r="E132">
        <v>1476452</v>
      </c>
      <c r="F132">
        <v>0</v>
      </c>
    </row>
    <row r="133" spans="1:6" x14ac:dyDescent="0.25">
      <c r="A133" t="s">
        <v>49</v>
      </c>
      <c r="B133" t="s">
        <v>34</v>
      </c>
      <c r="C133" t="s">
        <v>125</v>
      </c>
      <c r="D133" t="s">
        <v>135</v>
      </c>
      <c r="E133">
        <v>1470744</v>
      </c>
      <c r="F133">
        <v>0</v>
      </c>
    </row>
    <row r="134" spans="1:6" x14ac:dyDescent="0.25">
      <c r="A134" t="s">
        <v>64</v>
      </c>
      <c r="B134" t="s">
        <v>34</v>
      </c>
      <c r="C134" t="s">
        <v>127</v>
      </c>
      <c r="D134" t="s">
        <v>133</v>
      </c>
      <c r="E134">
        <v>1412019</v>
      </c>
      <c r="F134">
        <v>0</v>
      </c>
    </row>
    <row r="135" spans="1:6" x14ac:dyDescent="0.25">
      <c r="A135" t="s">
        <v>72</v>
      </c>
      <c r="B135" t="s">
        <v>34</v>
      </c>
      <c r="C135" t="s">
        <v>126</v>
      </c>
      <c r="D135" t="s">
        <v>126</v>
      </c>
      <c r="E135">
        <v>1411675</v>
      </c>
      <c r="F135">
        <v>0</v>
      </c>
    </row>
    <row r="136" spans="1:6" x14ac:dyDescent="0.25">
      <c r="A136" t="s">
        <v>162</v>
      </c>
      <c r="B136" t="s">
        <v>58</v>
      </c>
      <c r="C136" t="s">
        <v>127</v>
      </c>
      <c r="D136" t="s">
        <v>129</v>
      </c>
      <c r="E136">
        <v>1407937</v>
      </c>
      <c r="F136">
        <v>0</v>
      </c>
    </row>
    <row r="137" spans="1:6" x14ac:dyDescent="0.25">
      <c r="A137" t="s">
        <v>177</v>
      </c>
      <c r="B137" t="s">
        <v>48</v>
      </c>
      <c r="C137" t="s">
        <v>127</v>
      </c>
      <c r="D137" t="s">
        <v>128</v>
      </c>
      <c r="E137">
        <v>1404817</v>
      </c>
      <c r="F137">
        <v>0</v>
      </c>
    </row>
    <row r="138" spans="1:6" x14ac:dyDescent="0.25">
      <c r="A138" t="s">
        <v>187</v>
      </c>
      <c r="B138" t="s">
        <v>45</v>
      </c>
      <c r="C138" t="s">
        <v>125</v>
      </c>
      <c r="D138" t="s">
        <v>125</v>
      </c>
      <c r="E138">
        <v>1381010</v>
      </c>
      <c r="F138">
        <v>0</v>
      </c>
    </row>
    <row r="139" spans="1:6" x14ac:dyDescent="0.25">
      <c r="A139" t="s">
        <v>180</v>
      </c>
      <c r="B139" t="s">
        <v>45</v>
      </c>
      <c r="C139" t="s">
        <v>125</v>
      </c>
      <c r="D139" t="s">
        <v>125</v>
      </c>
      <c r="E139">
        <v>1378327</v>
      </c>
      <c r="F139">
        <v>0</v>
      </c>
    </row>
    <row r="140" spans="1:6" x14ac:dyDescent="0.25">
      <c r="A140" t="s">
        <v>183</v>
      </c>
      <c r="B140" t="s">
        <v>45</v>
      </c>
      <c r="C140" t="s">
        <v>125</v>
      </c>
      <c r="D140" t="s">
        <v>125</v>
      </c>
      <c r="E140">
        <v>1344912</v>
      </c>
      <c r="F140">
        <v>0</v>
      </c>
    </row>
    <row r="141" spans="1:6" x14ac:dyDescent="0.25">
      <c r="A141" t="s">
        <v>188</v>
      </c>
      <c r="B141" t="s">
        <v>45</v>
      </c>
      <c r="C141" t="s">
        <v>126</v>
      </c>
      <c r="D141" t="s">
        <v>126</v>
      </c>
      <c r="E141">
        <v>1324414</v>
      </c>
      <c r="F141">
        <v>0</v>
      </c>
    </row>
    <row r="142" spans="1:6" x14ac:dyDescent="0.25">
      <c r="A142" t="s">
        <v>169</v>
      </c>
      <c r="B142" t="s">
        <v>45</v>
      </c>
      <c r="C142" t="s">
        <v>126</v>
      </c>
      <c r="D142" t="s">
        <v>134</v>
      </c>
      <c r="E142">
        <v>1312445</v>
      </c>
      <c r="F142">
        <v>0</v>
      </c>
    </row>
    <row r="143" spans="1:6" x14ac:dyDescent="0.25">
      <c r="A143" t="s">
        <v>161</v>
      </c>
      <c r="B143" t="s">
        <v>45</v>
      </c>
      <c r="C143" t="s">
        <v>127</v>
      </c>
      <c r="D143" t="s">
        <v>128</v>
      </c>
      <c r="E143">
        <v>1284133</v>
      </c>
      <c r="F143">
        <v>0</v>
      </c>
    </row>
    <row r="144" spans="1:6" x14ac:dyDescent="0.25">
      <c r="A144" t="s">
        <v>166</v>
      </c>
      <c r="B144" t="s">
        <v>50</v>
      </c>
      <c r="C144" t="s">
        <v>125</v>
      </c>
      <c r="D144" t="s">
        <v>135</v>
      </c>
      <c r="E144">
        <v>1280829</v>
      </c>
      <c r="F144">
        <v>0</v>
      </c>
    </row>
    <row r="145" spans="1:6" x14ac:dyDescent="0.25">
      <c r="A145" t="s">
        <v>165</v>
      </c>
      <c r="B145" t="s">
        <v>48</v>
      </c>
      <c r="C145" t="s">
        <v>126</v>
      </c>
      <c r="D145" t="s">
        <v>134</v>
      </c>
      <c r="E145">
        <v>1269486</v>
      </c>
      <c r="F145">
        <v>0</v>
      </c>
    </row>
    <row r="146" spans="1:6" x14ac:dyDescent="0.25">
      <c r="A146" t="s">
        <v>69</v>
      </c>
      <c r="B146" t="s">
        <v>34</v>
      </c>
      <c r="C146" t="s">
        <v>126</v>
      </c>
      <c r="D146" t="s">
        <v>126</v>
      </c>
      <c r="E146">
        <v>1255441</v>
      </c>
      <c r="F146">
        <v>0</v>
      </c>
    </row>
    <row r="147" spans="1:6" x14ac:dyDescent="0.25">
      <c r="A147" t="s">
        <v>171</v>
      </c>
      <c r="B147" t="s">
        <v>48</v>
      </c>
      <c r="C147" t="s">
        <v>132</v>
      </c>
      <c r="D147" t="s">
        <v>132</v>
      </c>
      <c r="E147">
        <v>1237789</v>
      </c>
      <c r="F147">
        <v>0</v>
      </c>
    </row>
    <row r="148" spans="1:6" x14ac:dyDescent="0.25">
      <c r="A148" t="s">
        <v>44</v>
      </c>
      <c r="B148" t="s">
        <v>34</v>
      </c>
      <c r="C148" t="s">
        <v>132</v>
      </c>
      <c r="D148" t="s">
        <v>132</v>
      </c>
      <c r="E148">
        <v>1233263</v>
      </c>
      <c r="F148">
        <v>0</v>
      </c>
    </row>
    <row r="149" spans="1:6" x14ac:dyDescent="0.25">
      <c r="A149" t="s">
        <v>170</v>
      </c>
      <c r="B149" t="s">
        <v>61</v>
      </c>
      <c r="C149" t="s">
        <v>127</v>
      </c>
      <c r="D149" t="s">
        <v>128</v>
      </c>
      <c r="E149">
        <v>1230903</v>
      </c>
      <c r="F149">
        <v>0</v>
      </c>
    </row>
    <row r="150" spans="1:6" x14ac:dyDescent="0.25">
      <c r="A150" t="s">
        <v>168</v>
      </c>
      <c r="B150" t="s">
        <v>53</v>
      </c>
      <c r="C150" t="s">
        <v>132</v>
      </c>
      <c r="D150" t="s">
        <v>132</v>
      </c>
      <c r="E150">
        <v>1226436</v>
      </c>
      <c r="F150">
        <v>0</v>
      </c>
    </row>
    <row r="151" spans="1:6" x14ac:dyDescent="0.25">
      <c r="A151" t="s">
        <v>47</v>
      </c>
      <c r="B151" t="s">
        <v>34</v>
      </c>
      <c r="C151" t="s">
        <v>132</v>
      </c>
      <c r="D151" t="s">
        <v>132</v>
      </c>
      <c r="E151">
        <v>1225372</v>
      </c>
      <c r="F151">
        <v>0</v>
      </c>
    </row>
    <row r="152" spans="1:6" x14ac:dyDescent="0.25">
      <c r="A152" t="s">
        <v>74</v>
      </c>
      <c r="B152" t="s">
        <v>34</v>
      </c>
      <c r="C152" t="s">
        <v>125</v>
      </c>
      <c r="D152" t="s">
        <v>125</v>
      </c>
      <c r="E152">
        <v>1188111</v>
      </c>
      <c r="F152">
        <v>0</v>
      </c>
    </row>
    <row r="153" spans="1:6" x14ac:dyDescent="0.25">
      <c r="A153" t="s">
        <v>54</v>
      </c>
      <c r="B153" t="s">
        <v>34</v>
      </c>
      <c r="C153" t="s">
        <v>125</v>
      </c>
      <c r="D153" t="s">
        <v>135</v>
      </c>
      <c r="E153">
        <v>1186863</v>
      </c>
      <c r="F153">
        <v>0</v>
      </c>
    </row>
    <row r="154" spans="1:6" x14ac:dyDescent="0.25">
      <c r="A154" t="s">
        <v>85</v>
      </c>
      <c r="B154" t="s">
        <v>34</v>
      </c>
      <c r="C154" t="s">
        <v>127</v>
      </c>
      <c r="D154" t="s">
        <v>133</v>
      </c>
      <c r="E154">
        <v>1183852</v>
      </c>
      <c r="F154">
        <v>0</v>
      </c>
    </row>
    <row r="155" spans="1:6" x14ac:dyDescent="0.25">
      <c r="A155" t="s">
        <v>161</v>
      </c>
      <c r="B155" t="s">
        <v>45</v>
      </c>
      <c r="C155" t="s">
        <v>126</v>
      </c>
      <c r="D155" t="s">
        <v>134</v>
      </c>
      <c r="E155">
        <v>1180628</v>
      </c>
      <c r="F155">
        <v>0</v>
      </c>
    </row>
    <row r="156" spans="1:6" x14ac:dyDescent="0.25">
      <c r="A156" t="s">
        <v>52</v>
      </c>
      <c r="B156" t="s">
        <v>34</v>
      </c>
      <c r="C156" t="s">
        <v>131</v>
      </c>
      <c r="D156" t="s">
        <v>131</v>
      </c>
      <c r="E156">
        <v>1166054</v>
      </c>
      <c r="F156">
        <v>0</v>
      </c>
    </row>
    <row r="157" spans="1:6" x14ac:dyDescent="0.25">
      <c r="A157" t="s">
        <v>186</v>
      </c>
      <c r="B157" t="s">
        <v>53</v>
      </c>
      <c r="C157" t="s">
        <v>127</v>
      </c>
      <c r="D157" t="s">
        <v>129</v>
      </c>
      <c r="E157">
        <v>1161510</v>
      </c>
      <c r="F157">
        <v>0</v>
      </c>
    </row>
    <row r="158" spans="1:6" x14ac:dyDescent="0.25">
      <c r="A158" t="s">
        <v>54</v>
      </c>
      <c r="B158" t="s">
        <v>34</v>
      </c>
      <c r="C158" t="s">
        <v>131</v>
      </c>
      <c r="D158" t="s">
        <v>131</v>
      </c>
      <c r="E158">
        <v>1157194</v>
      </c>
      <c r="F158">
        <v>0</v>
      </c>
    </row>
    <row r="159" spans="1:6" x14ac:dyDescent="0.25">
      <c r="A159" t="s">
        <v>189</v>
      </c>
      <c r="B159" t="s">
        <v>63</v>
      </c>
      <c r="C159" t="s">
        <v>126</v>
      </c>
      <c r="D159" t="s">
        <v>126</v>
      </c>
      <c r="E159">
        <v>1151540</v>
      </c>
      <c r="F159">
        <v>0</v>
      </c>
    </row>
    <row r="160" spans="1:6" x14ac:dyDescent="0.25">
      <c r="A160" t="s">
        <v>177</v>
      </c>
      <c r="B160" t="s">
        <v>48</v>
      </c>
      <c r="C160" t="s">
        <v>127</v>
      </c>
      <c r="D160" t="s">
        <v>129</v>
      </c>
      <c r="E160">
        <v>1137968</v>
      </c>
      <c r="F160">
        <v>0</v>
      </c>
    </row>
    <row r="161" spans="1:6" x14ac:dyDescent="0.25">
      <c r="A161" t="s">
        <v>168</v>
      </c>
      <c r="B161" t="s">
        <v>53</v>
      </c>
      <c r="C161" t="s">
        <v>143</v>
      </c>
      <c r="D161" t="s">
        <v>143</v>
      </c>
      <c r="E161">
        <v>1134557</v>
      </c>
      <c r="F161">
        <v>0</v>
      </c>
    </row>
    <row r="162" spans="1:6" x14ac:dyDescent="0.25">
      <c r="A162" t="s">
        <v>175</v>
      </c>
      <c r="B162" t="s">
        <v>48</v>
      </c>
      <c r="C162" t="s">
        <v>126</v>
      </c>
      <c r="D162" t="s">
        <v>126</v>
      </c>
      <c r="E162">
        <v>1132607</v>
      </c>
      <c r="F162">
        <v>0</v>
      </c>
    </row>
    <row r="163" spans="1:6" x14ac:dyDescent="0.25">
      <c r="A163" t="s">
        <v>167</v>
      </c>
      <c r="B163" t="s">
        <v>50</v>
      </c>
      <c r="C163" t="s">
        <v>125</v>
      </c>
      <c r="D163" t="s">
        <v>135</v>
      </c>
      <c r="E163">
        <v>1118212</v>
      </c>
      <c r="F163">
        <v>0</v>
      </c>
    </row>
    <row r="164" spans="1:6" x14ac:dyDescent="0.25">
      <c r="A164" t="s">
        <v>182</v>
      </c>
      <c r="B164" t="s">
        <v>53</v>
      </c>
      <c r="C164" t="s">
        <v>126</v>
      </c>
      <c r="D164" t="s">
        <v>126</v>
      </c>
      <c r="E164">
        <v>1105803</v>
      </c>
      <c r="F164">
        <v>0</v>
      </c>
    </row>
    <row r="165" spans="1:6" x14ac:dyDescent="0.25">
      <c r="A165" t="s">
        <v>167</v>
      </c>
      <c r="B165" t="s">
        <v>50</v>
      </c>
      <c r="C165" t="s">
        <v>127</v>
      </c>
      <c r="D165" t="s">
        <v>128</v>
      </c>
      <c r="E165">
        <v>1098822</v>
      </c>
      <c r="F165">
        <v>0</v>
      </c>
    </row>
    <row r="166" spans="1:6" x14ac:dyDescent="0.25">
      <c r="A166" t="s">
        <v>49</v>
      </c>
      <c r="B166" t="s">
        <v>34</v>
      </c>
      <c r="C166" t="s">
        <v>126</v>
      </c>
      <c r="D166" t="s">
        <v>134</v>
      </c>
      <c r="E166">
        <v>1092665</v>
      </c>
      <c r="F166">
        <v>0</v>
      </c>
    </row>
    <row r="167" spans="1:6" x14ac:dyDescent="0.25">
      <c r="A167" t="s">
        <v>175</v>
      </c>
      <c r="B167" t="s">
        <v>48</v>
      </c>
      <c r="C167" t="s">
        <v>127</v>
      </c>
      <c r="D167" t="s">
        <v>133</v>
      </c>
      <c r="E167">
        <v>1092034</v>
      </c>
      <c r="F167">
        <v>0</v>
      </c>
    </row>
    <row r="168" spans="1:6" x14ac:dyDescent="0.25">
      <c r="A168" t="s">
        <v>174</v>
      </c>
      <c r="B168" t="s">
        <v>45</v>
      </c>
      <c r="C168" t="s">
        <v>127</v>
      </c>
      <c r="D168" t="s">
        <v>128</v>
      </c>
      <c r="E168">
        <v>1080262</v>
      </c>
      <c r="F168">
        <v>0</v>
      </c>
    </row>
    <row r="169" spans="1:6" x14ac:dyDescent="0.25">
      <c r="A169" t="s">
        <v>161</v>
      </c>
      <c r="B169" t="s">
        <v>45</v>
      </c>
      <c r="C169" t="s">
        <v>125</v>
      </c>
      <c r="D169" t="s">
        <v>135</v>
      </c>
      <c r="E169">
        <v>1077806</v>
      </c>
      <c r="F169">
        <v>0</v>
      </c>
    </row>
    <row r="170" spans="1:6" x14ac:dyDescent="0.25">
      <c r="A170" t="s">
        <v>184</v>
      </c>
      <c r="B170" t="s">
        <v>50</v>
      </c>
      <c r="C170" t="s">
        <v>125</v>
      </c>
      <c r="D170" t="s">
        <v>125</v>
      </c>
      <c r="E170">
        <v>1065143</v>
      </c>
      <c r="F170">
        <v>0</v>
      </c>
    </row>
    <row r="171" spans="1:6" x14ac:dyDescent="0.25">
      <c r="A171" t="s">
        <v>188</v>
      </c>
      <c r="B171" t="s">
        <v>45</v>
      </c>
      <c r="C171" t="s">
        <v>125</v>
      </c>
      <c r="D171" t="s">
        <v>125</v>
      </c>
      <c r="E171">
        <v>1063242</v>
      </c>
      <c r="F171">
        <v>0</v>
      </c>
    </row>
    <row r="172" spans="1:6" x14ac:dyDescent="0.25">
      <c r="A172" t="s">
        <v>47</v>
      </c>
      <c r="B172" t="s">
        <v>34</v>
      </c>
      <c r="C172" t="s">
        <v>125</v>
      </c>
      <c r="D172" t="s">
        <v>135</v>
      </c>
      <c r="E172">
        <v>1061024</v>
      </c>
      <c r="F172">
        <v>0</v>
      </c>
    </row>
    <row r="173" spans="1:6" x14ac:dyDescent="0.25">
      <c r="A173" t="s">
        <v>168</v>
      </c>
      <c r="B173" t="s">
        <v>53</v>
      </c>
      <c r="C173" t="s">
        <v>127</v>
      </c>
      <c r="D173" t="s">
        <v>138</v>
      </c>
      <c r="E173">
        <v>1025727</v>
      </c>
      <c r="F173">
        <v>0</v>
      </c>
    </row>
    <row r="174" spans="1:6" x14ac:dyDescent="0.25">
      <c r="A174" t="s">
        <v>76</v>
      </c>
      <c r="B174" t="s">
        <v>34</v>
      </c>
      <c r="C174" t="s">
        <v>125</v>
      </c>
      <c r="D174" t="s">
        <v>125</v>
      </c>
      <c r="E174">
        <v>1020289</v>
      </c>
      <c r="F174">
        <v>0</v>
      </c>
    </row>
    <row r="175" spans="1:6" x14ac:dyDescent="0.25">
      <c r="A175" t="s">
        <v>75</v>
      </c>
      <c r="B175" t="s">
        <v>34</v>
      </c>
      <c r="C175" t="s">
        <v>125</v>
      </c>
      <c r="D175" t="s">
        <v>125</v>
      </c>
      <c r="E175">
        <v>1019520</v>
      </c>
      <c r="F175">
        <v>0</v>
      </c>
    </row>
    <row r="176" spans="1:6" x14ac:dyDescent="0.25">
      <c r="A176" t="s">
        <v>171</v>
      </c>
      <c r="B176" t="s">
        <v>48</v>
      </c>
      <c r="C176" t="s">
        <v>127</v>
      </c>
      <c r="D176" t="s">
        <v>133</v>
      </c>
      <c r="E176">
        <v>1014152</v>
      </c>
      <c r="F176">
        <v>0</v>
      </c>
    </row>
    <row r="177" spans="1:6" x14ac:dyDescent="0.25">
      <c r="A177" t="s">
        <v>164</v>
      </c>
      <c r="B177" t="s">
        <v>55</v>
      </c>
      <c r="C177" t="s">
        <v>127</v>
      </c>
      <c r="D177" t="s">
        <v>137</v>
      </c>
      <c r="E177">
        <v>1008075</v>
      </c>
      <c r="F177">
        <v>0</v>
      </c>
    </row>
    <row r="178" spans="1:6" x14ac:dyDescent="0.25">
      <c r="A178" t="s">
        <v>73</v>
      </c>
      <c r="B178" t="s">
        <v>34</v>
      </c>
      <c r="C178" t="s">
        <v>127</v>
      </c>
      <c r="D178" t="s">
        <v>133</v>
      </c>
      <c r="E178">
        <v>1002446</v>
      </c>
      <c r="F178">
        <v>0</v>
      </c>
    </row>
    <row r="179" spans="1:6" x14ac:dyDescent="0.25">
      <c r="A179" t="s">
        <v>167</v>
      </c>
      <c r="B179" t="s">
        <v>50</v>
      </c>
      <c r="C179" t="s">
        <v>127</v>
      </c>
      <c r="D179" t="s">
        <v>130</v>
      </c>
      <c r="E179">
        <v>996908</v>
      </c>
      <c r="F179">
        <v>0</v>
      </c>
    </row>
    <row r="180" spans="1:6" x14ac:dyDescent="0.25">
      <c r="A180" t="s">
        <v>49</v>
      </c>
      <c r="B180" t="s">
        <v>34</v>
      </c>
      <c r="C180" t="s">
        <v>127</v>
      </c>
      <c r="D180" t="s">
        <v>137</v>
      </c>
      <c r="E180">
        <v>992651</v>
      </c>
      <c r="F180">
        <v>0</v>
      </c>
    </row>
    <row r="181" spans="1:6" x14ac:dyDescent="0.25">
      <c r="A181" t="s">
        <v>57</v>
      </c>
      <c r="B181" t="s">
        <v>34</v>
      </c>
      <c r="C181" t="s">
        <v>127</v>
      </c>
      <c r="D181" t="s">
        <v>137</v>
      </c>
      <c r="E181">
        <v>990772</v>
      </c>
      <c r="F181">
        <v>0</v>
      </c>
    </row>
    <row r="182" spans="1:6" x14ac:dyDescent="0.25">
      <c r="A182" t="s">
        <v>177</v>
      </c>
      <c r="B182" t="s">
        <v>48</v>
      </c>
      <c r="C182" t="s">
        <v>131</v>
      </c>
      <c r="D182" t="s">
        <v>131</v>
      </c>
      <c r="E182">
        <v>980188</v>
      </c>
      <c r="F182">
        <v>0</v>
      </c>
    </row>
    <row r="183" spans="1:6" x14ac:dyDescent="0.25">
      <c r="A183" t="s">
        <v>184</v>
      </c>
      <c r="B183" t="s">
        <v>50</v>
      </c>
      <c r="C183" t="s">
        <v>126</v>
      </c>
      <c r="D183" t="s">
        <v>126</v>
      </c>
      <c r="E183">
        <v>974371</v>
      </c>
      <c r="F183">
        <v>0</v>
      </c>
    </row>
    <row r="184" spans="1:6" x14ac:dyDescent="0.25">
      <c r="A184" t="s">
        <v>174</v>
      </c>
      <c r="B184" t="s">
        <v>45</v>
      </c>
      <c r="C184" t="s">
        <v>125</v>
      </c>
      <c r="D184" t="s">
        <v>125</v>
      </c>
      <c r="E184">
        <v>972774</v>
      </c>
      <c r="F184">
        <v>0</v>
      </c>
    </row>
    <row r="185" spans="1:6" x14ac:dyDescent="0.25">
      <c r="A185" t="s">
        <v>175</v>
      </c>
      <c r="B185" t="s">
        <v>48</v>
      </c>
      <c r="C185" t="s">
        <v>127</v>
      </c>
      <c r="D185" t="s">
        <v>130</v>
      </c>
      <c r="E185">
        <v>964997</v>
      </c>
      <c r="F185">
        <v>0</v>
      </c>
    </row>
    <row r="186" spans="1:6" x14ac:dyDescent="0.25">
      <c r="A186" t="s">
        <v>72</v>
      </c>
      <c r="B186" t="s">
        <v>34</v>
      </c>
      <c r="C186" t="s">
        <v>127</v>
      </c>
      <c r="D186" t="s">
        <v>133</v>
      </c>
      <c r="E186">
        <v>944475</v>
      </c>
      <c r="F186">
        <v>0</v>
      </c>
    </row>
    <row r="187" spans="1:6" x14ac:dyDescent="0.25">
      <c r="A187" t="s">
        <v>187</v>
      </c>
      <c r="B187" t="s">
        <v>45</v>
      </c>
      <c r="C187" t="s">
        <v>126</v>
      </c>
      <c r="D187" t="s">
        <v>126</v>
      </c>
      <c r="E187">
        <v>920533</v>
      </c>
      <c r="F187">
        <v>0</v>
      </c>
    </row>
    <row r="188" spans="1:6" x14ac:dyDescent="0.25">
      <c r="A188" t="s">
        <v>60</v>
      </c>
      <c r="B188" t="s">
        <v>34</v>
      </c>
      <c r="C188" t="s">
        <v>125</v>
      </c>
      <c r="D188" t="s">
        <v>135</v>
      </c>
      <c r="E188">
        <v>919170</v>
      </c>
      <c r="F188">
        <v>0</v>
      </c>
    </row>
    <row r="189" spans="1:6" x14ac:dyDescent="0.25">
      <c r="A189" t="s">
        <v>168</v>
      </c>
      <c r="B189" t="s">
        <v>53</v>
      </c>
      <c r="C189" t="s">
        <v>125</v>
      </c>
      <c r="D189" t="s">
        <v>135</v>
      </c>
      <c r="E189">
        <v>899840</v>
      </c>
      <c r="F189">
        <v>0</v>
      </c>
    </row>
    <row r="190" spans="1:6" x14ac:dyDescent="0.25">
      <c r="A190" t="s">
        <v>190</v>
      </c>
      <c r="B190" t="s">
        <v>45</v>
      </c>
      <c r="C190" t="s">
        <v>126</v>
      </c>
      <c r="D190" t="s">
        <v>126</v>
      </c>
      <c r="E190">
        <v>892793</v>
      </c>
      <c r="F190">
        <v>0</v>
      </c>
    </row>
    <row r="191" spans="1:6" x14ac:dyDescent="0.25">
      <c r="A191" t="s">
        <v>175</v>
      </c>
      <c r="B191" t="s">
        <v>48</v>
      </c>
      <c r="C191" t="s">
        <v>125</v>
      </c>
      <c r="D191" t="s">
        <v>125</v>
      </c>
      <c r="E191">
        <v>887126</v>
      </c>
      <c r="F191">
        <v>0</v>
      </c>
    </row>
    <row r="192" spans="1:6" x14ac:dyDescent="0.25">
      <c r="A192" t="s">
        <v>79</v>
      </c>
      <c r="B192" t="s">
        <v>34</v>
      </c>
      <c r="C192" t="s">
        <v>127</v>
      </c>
      <c r="D192" t="s">
        <v>129</v>
      </c>
      <c r="E192">
        <v>864892</v>
      </c>
      <c r="F192">
        <v>0</v>
      </c>
    </row>
    <row r="193" spans="1:6" x14ac:dyDescent="0.25">
      <c r="A193" t="s">
        <v>47</v>
      </c>
      <c r="B193" t="s">
        <v>34</v>
      </c>
      <c r="C193" t="s">
        <v>127</v>
      </c>
      <c r="D193" t="s">
        <v>130</v>
      </c>
      <c r="E193">
        <v>853722</v>
      </c>
      <c r="F193">
        <v>0</v>
      </c>
    </row>
    <row r="194" spans="1:6" x14ac:dyDescent="0.25">
      <c r="A194" t="s">
        <v>172</v>
      </c>
      <c r="B194" t="s">
        <v>50</v>
      </c>
      <c r="C194" t="s">
        <v>125</v>
      </c>
      <c r="D194" t="s">
        <v>135</v>
      </c>
      <c r="E194">
        <v>852553</v>
      </c>
      <c r="F194">
        <v>0</v>
      </c>
    </row>
    <row r="195" spans="1:6" x14ac:dyDescent="0.25">
      <c r="A195" t="s">
        <v>175</v>
      </c>
      <c r="B195" t="s">
        <v>48</v>
      </c>
      <c r="C195" t="s">
        <v>125</v>
      </c>
      <c r="D195" t="s">
        <v>135</v>
      </c>
      <c r="E195">
        <v>846737</v>
      </c>
      <c r="F195">
        <v>0</v>
      </c>
    </row>
    <row r="196" spans="1:6" x14ac:dyDescent="0.25">
      <c r="A196" t="s">
        <v>164</v>
      </c>
      <c r="B196" t="s">
        <v>55</v>
      </c>
      <c r="C196" t="s">
        <v>126</v>
      </c>
      <c r="D196" t="s">
        <v>141</v>
      </c>
      <c r="E196">
        <v>839696</v>
      </c>
      <c r="F196">
        <v>0</v>
      </c>
    </row>
    <row r="197" spans="1:6" x14ac:dyDescent="0.25">
      <c r="A197" t="s">
        <v>186</v>
      </c>
      <c r="B197" t="s">
        <v>53</v>
      </c>
      <c r="C197" t="s">
        <v>126</v>
      </c>
      <c r="D197" t="s">
        <v>126</v>
      </c>
      <c r="E197">
        <v>837013</v>
      </c>
      <c r="F197">
        <v>0</v>
      </c>
    </row>
    <row r="198" spans="1:6" x14ac:dyDescent="0.25">
      <c r="A198" t="s">
        <v>191</v>
      </c>
      <c r="B198" t="s">
        <v>45</v>
      </c>
      <c r="C198" t="s">
        <v>131</v>
      </c>
      <c r="D198" t="s">
        <v>131</v>
      </c>
      <c r="E198">
        <v>836818</v>
      </c>
      <c r="F198">
        <v>0</v>
      </c>
    </row>
    <row r="199" spans="1:6" x14ac:dyDescent="0.25">
      <c r="A199" t="s">
        <v>80</v>
      </c>
      <c r="B199" t="s">
        <v>34</v>
      </c>
      <c r="C199" t="s">
        <v>126</v>
      </c>
      <c r="D199" t="s">
        <v>126</v>
      </c>
      <c r="E199">
        <v>825527</v>
      </c>
      <c r="F199">
        <v>0</v>
      </c>
    </row>
    <row r="200" spans="1:6" x14ac:dyDescent="0.25">
      <c r="A200" t="s">
        <v>67</v>
      </c>
      <c r="B200" t="s">
        <v>34</v>
      </c>
      <c r="C200" t="s">
        <v>127</v>
      </c>
      <c r="D200" t="s">
        <v>129</v>
      </c>
      <c r="E200">
        <v>825125</v>
      </c>
      <c r="F200">
        <v>0</v>
      </c>
    </row>
    <row r="201" spans="1:6" x14ac:dyDescent="0.25">
      <c r="A201" t="s">
        <v>171</v>
      </c>
      <c r="B201" t="s">
        <v>48</v>
      </c>
      <c r="C201" t="s">
        <v>126</v>
      </c>
      <c r="D201" t="s">
        <v>134</v>
      </c>
      <c r="E201">
        <v>820115</v>
      </c>
      <c r="F201">
        <v>0</v>
      </c>
    </row>
    <row r="202" spans="1:6" x14ac:dyDescent="0.25">
      <c r="A202" t="s">
        <v>77</v>
      </c>
      <c r="B202" t="s">
        <v>34</v>
      </c>
      <c r="C202" t="s">
        <v>125</v>
      </c>
      <c r="D202" t="s">
        <v>125</v>
      </c>
      <c r="E202">
        <v>811152</v>
      </c>
      <c r="F202">
        <v>0</v>
      </c>
    </row>
    <row r="203" spans="1:6" x14ac:dyDescent="0.25">
      <c r="A203" t="s">
        <v>69</v>
      </c>
      <c r="B203" t="s">
        <v>34</v>
      </c>
      <c r="C203" t="s">
        <v>125</v>
      </c>
      <c r="D203" t="s">
        <v>135</v>
      </c>
      <c r="E203">
        <v>800916</v>
      </c>
      <c r="F203">
        <v>0</v>
      </c>
    </row>
    <row r="204" spans="1:6" x14ac:dyDescent="0.25">
      <c r="A204" t="s">
        <v>71</v>
      </c>
      <c r="B204" t="s">
        <v>34</v>
      </c>
      <c r="C204" t="s">
        <v>126</v>
      </c>
      <c r="D204" t="s">
        <v>126</v>
      </c>
      <c r="E204">
        <v>797986</v>
      </c>
      <c r="F204">
        <v>0</v>
      </c>
    </row>
    <row r="205" spans="1:6" x14ac:dyDescent="0.25">
      <c r="A205" t="s">
        <v>49</v>
      </c>
      <c r="B205" t="s">
        <v>34</v>
      </c>
      <c r="C205" t="s">
        <v>132</v>
      </c>
      <c r="D205" t="s">
        <v>132</v>
      </c>
      <c r="E205">
        <v>777636</v>
      </c>
      <c r="F205">
        <v>0</v>
      </c>
    </row>
    <row r="206" spans="1:6" x14ac:dyDescent="0.25">
      <c r="A206" t="s">
        <v>171</v>
      </c>
      <c r="B206" t="s">
        <v>48</v>
      </c>
      <c r="C206" t="s">
        <v>127</v>
      </c>
      <c r="D206" t="s">
        <v>130</v>
      </c>
      <c r="E206">
        <v>762199</v>
      </c>
      <c r="F206">
        <v>0</v>
      </c>
    </row>
    <row r="207" spans="1:6" x14ac:dyDescent="0.25">
      <c r="A207" t="s">
        <v>76</v>
      </c>
      <c r="B207" t="s">
        <v>34</v>
      </c>
      <c r="C207" t="s">
        <v>131</v>
      </c>
      <c r="D207" t="s">
        <v>131</v>
      </c>
      <c r="E207">
        <v>756727</v>
      </c>
      <c r="F207">
        <v>0</v>
      </c>
    </row>
    <row r="208" spans="1:6" x14ac:dyDescent="0.25">
      <c r="A208" t="s">
        <v>171</v>
      </c>
      <c r="B208" t="s">
        <v>48</v>
      </c>
      <c r="C208" t="s">
        <v>125</v>
      </c>
      <c r="D208" t="s">
        <v>135</v>
      </c>
      <c r="E208">
        <v>754494</v>
      </c>
      <c r="F208">
        <v>0</v>
      </c>
    </row>
    <row r="209" spans="1:6" x14ac:dyDescent="0.25">
      <c r="A209" t="s">
        <v>166</v>
      </c>
      <c r="B209" t="s">
        <v>50</v>
      </c>
      <c r="C209" t="s">
        <v>125</v>
      </c>
      <c r="D209" t="s">
        <v>136</v>
      </c>
      <c r="E209">
        <v>752465</v>
      </c>
      <c r="F209">
        <v>0</v>
      </c>
    </row>
    <row r="210" spans="1:6" x14ac:dyDescent="0.25">
      <c r="A210" t="s">
        <v>181</v>
      </c>
      <c r="B210" t="s">
        <v>50</v>
      </c>
      <c r="C210" t="s">
        <v>131</v>
      </c>
      <c r="D210" t="s">
        <v>131</v>
      </c>
      <c r="E210">
        <v>747723</v>
      </c>
      <c r="F210">
        <v>0</v>
      </c>
    </row>
    <row r="211" spans="1:6" x14ac:dyDescent="0.25">
      <c r="A211" t="s">
        <v>74</v>
      </c>
      <c r="B211" t="s">
        <v>34</v>
      </c>
      <c r="C211" t="s">
        <v>126</v>
      </c>
      <c r="D211" t="s">
        <v>126</v>
      </c>
      <c r="E211">
        <v>724764</v>
      </c>
      <c r="F211">
        <v>0</v>
      </c>
    </row>
    <row r="212" spans="1:6" x14ac:dyDescent="0.25">
      <c r="A212" t="s">
        <v>192</v>
      </c>
      <c r="B212" t="s">
        <v>45</v>
      </c>
      <c r="C212" t="s">
        <v>126</v>
      </c>
      <c r="D212" t="s">
        <v>126</v>
      </c>
      <c r="E212">
        <v>721428</v>
      </c>
      <c r="F212">
        <v>0</v>
      </c>
    </row>
    <row r="213" spans="1:6" x14ac:dyDescent="0.25">
      <c r="A213" t="s">
        <v>161</v>
      </c>
      <c r="B213" t="s">
        <v>45</v>
      </c>
      <c r="C213" t="s">
        <v>132</v>
      </c>
      <c r="D213" t="s">
        <v>132</v>
      </c>
      <c r="E213">
        <v>719413</v>
      </c>
      <c r="F213">
        <v>0</v>
      </c>
    </row>
    <row r="214" spans="1:6" x14ac:dyDescent="0.25">
      <c r="A214" t="s">
        <v>175</v>
      </c>
      <c r="B214" t="s">
        <v>48</v>
      </c>
      <c r="C214" t="s">
        <v>127</v>
      </c>
      <c r="D214" t="s">
        <v>137</v>
      </c>
      <c r="E214">
        <v>708495</v>
      </c>
      <c r="F214">
        <v>0</v>
      </c>
    </row>
    <row r="215" spans="1:6" x14ac:dyDescent="0.25">
      <c r="A215" t="s">
        <v>166</v>
      </c>
      <c r="B215" t="s">
        <v>50</v>
      </c>
      <c r="C215" t="s">
        <v>125</v>
      </c>
      <c r="D215" t="s">
        <v>139</v>
      </c>
      <c r="E215">
        <v>707895</v>
      </c>
      <c r="F215">
        <v>0</v>
      </c>
    </row>
    <row r="216" spans="1:6" x14ac:dyDescent="0.25">
      <c r="A216" t="s">
        <v>60</v>
      </c>
      <c r="B216" t="s">
        <v>34</v>
      </c>
      <c r="C216" t="s">
        <v>127</v>
      </c>
      <c r="D216" t="s">
        <v>130</v>
      </c>
      <c r="E216">
        <v>707894</v>
      </c>
      <c r="F216">
        <v>0</v>
      </c>
    </row>
    <row r="217" spans="1:6" x14ac:dyDescent="0.25">
      <c r="A217" t="s">
        <v>175</v>
      </c>
      <c r="B217" t="s">
        <v>48</v>
      </c>
      <c r="C217" t="s">
        <v>131</v>
      </c>
      <c r="D217" t="s">
        <v>131</v>
      </c>
      <c r="E217">
        <v>707162</v>
      </c>
      <c r="F217">
        <v>0</v>
      </c>
    </row>
    <row r="218" spans="1:6" x14ac:dyDescent="0.25">
      <c r="A218" t="s">
        <v>172</v>
      </c>
      <c r="B218" t="s">
        <v>50</v>
      </c>
      <c r="C218" t="s">
        <v>126</v>
      </c>
      <c r="D218" t="s">
        <v>134</v>
      </c>
      <c r="E218">
        <v>705093</v>
      </c>
      <c r="F218">
        <v>0</v>
      </c>
    </row>
    <row r="219" spans="1:6" x14ac:dyDescent="0.25">
      <c r="A219" t="s">
        <v>180</v>
      </c>
      <c r="B219" t="s">
        <v>45</v>
      </c>
      <c r="C219" t="s">
        <v>131</v>
      </c>
      <c r="D219" t="s">
        <v>131</v>
      </c>
      <c r="E219">
        <v>696314</v>
      </c>
      <c r="F219">
        <v>0</v>
      </c>
    </row>
    <row r="220" spans="1:6" x14ac:dyDescent="0.25">
      <c r="A220" t="s">
        <v>71</v>
      </c>
      <c r="B220" t="s">
        <v>34</v>
      </c>
      <c r="C220" t="s">
        <v>125</v>
      </c>
      <c r="D220" t="s">
        <v>135</v>
      </c>
      <c r="E220">
        <v>694328</v>
      </c>
      <c r="F220">
        <v>0</v>
      </c>
    </row>
    <row r="221" spans="1:6" x14ac:dyDescent="0.25">
      <c r="A221" t="s">
        <v>57</v>
      </c>
      <c r="B221" t="s">
        <v>34</v>
      </c>
      <c r="C221" t="s">
        <v>125</v>
      </c>
      <c r="D221" t="s">
        <v>139</v>
      </c>
      <c r="E221">
        <v>692255</v>
      </c>
      <c r="F221">
        <v>0</v>
      </c>
    </row>
    <row r="222" spans="1:6" x14ac:dyDescent="0.25">
      <c r="A222" t="s">
        <v>165</v>
      </c>
      <c r="B222" t="s">
        <v>48</v>
      </c>
      <c r="C222" t="s">
        <v>125</v>
      </c>
      <c r="D222" t="s">
        <v>135</v>
      </c>
      <c r="E222">
        <v>686335</v>
      </c>
      <c r="F222">
        <v>0</v>
      </c>
    </row>
    <row r="223" spans="1:6" x14ac:dyDescent="0.25">
      <c r="A223" t="s">
        <v>161</v>
      </c>
      <c r="B223" t="s">
        <v>45</v>
      </c>
      <c r="C223" t="s">
        <v>125</v>
      </c>
      <c r="D223" t="s">
        <v>139</v>
      </c>
      <c r="E223">
        <v>683575</v>
      </c>
      <c r="F223">
        <v>0</v>
      </c>
    </row>
    <row r="224" spans="1:6" x14ac:dyDescent="0.25">
      <c r="A224" t="s">
        <v>82</v>
      </c>
      <c r="B224" t="s">
        <v>34</v>
      </c>
      <c r="C224" t="s">
        <v>127</v>
      </c>
      <c r="D224" t="s">
        <v>133</v>
      </c>
      <c r="E224">
        <v>676776</v>
      </c>
      <c r="F224">
        <v>0</v>
      </c>
    </row>
    <row r="225" spans="1:6" x14ac:dyDescent="0.25">
      <c r="A225" t="s">
        <v>83</v>
      </c>
      <c r="B225" t="s">
        <v>34</v>
      </c>
      <c r="C225" t="s">
        <v>125</v>
      </c>
      <c r="D225" t="s">
        <v>125</v>
      </c>
      <c r="E225">
        <v>673848</v>
      </c>
      <c r="F225">
        <v>0</v>
      </c>
    </row>
    <row r="226" spans="1:6" x14ac:dyDescent="0.25">
      <c r="A226" t="s">
        <v>193</v>
      </c>
      <c r="B226" t="s">
        <v>45</v>
      </c>
      <c r="C226" t="s">
        <v>127</v>
      </c>
      <c r="D226" t="s">
        <v>133</v>
      </c>
      <c r="E226">
        <v>671578</v>
      </c>
      <c r="F226">
        <v>0</v>
      </c>
    </row>
    <row r="227" spans="1:6" x14ac:dyDescent="0.25">
      <c r="A227" t="s">
        <v>57</v>
      </c>
      <c r="B227" t="s">
        <v>34</v>
      </c>
      <c r="C227" t="s">
        <v>125</v>
      </c>
      <c r="D227" t="s">
        <v>140</v>
      </c>
      <c r="E227">
        <v>669799</v>
      </c>
      <c r="F227">
        <v>0</v>
      </c>
    </row>
    <row r="228" spans="1:6" x14ac:dyDescent="0.25">
      <c r="A228" t="s">
        <v>49</v>
      </c>
      <c r="B228" t="s">
        <v>34</v>
      </c>
      <c r="C228" t="s">
        <v>125</v>
      </c>
      <c r="D228" t="s">
        <v>136</v>
      </c>
      <c r="E228">
        <v>657620</v>
      </c>
      <c r="F228">
        <v>0</v>
      </c>
    </row>
    <row r="229" spans="1:6" x14ac:dyDescent="0.25">
      <c r="A229" t="s">
        <v>52</v>
      </c>
      <c r="B229" t="s">
        <v>34</v>
      </c>
      <c r="C229" t="s">
        <v>125</v>
      </c>
      <c r="D229" t="s">
        <v>135</v>
      </c>
      <c r="E229">
        <v>652761</v>
      </c>
      <c r="F229">
        <v>0</v>
      </c>
    </row>
    <row r="230" spans="1:6" x14ac:dyDescent="0.25">
      <c r="A230" t="s">
        <v>67</v>
      </c>
      <c r="B230" t="s">
        <v>34</v>
      </c>
      <c r="C230" t="s">
        <v>127</v>
      </c>
      <c r="D230" t="s">
        <v>133</v>
      </c>
      <c r="E230">
        <v>651431</v>
      </c>
      <c r="F230">
        <v>0</v>
      </c>
    </row>
    <row r="231" spans="1:6" x14ac:dyDescent="0.25">
      <c r="A231" t="s">
        <v>161</v>
      </c>
      <c r="B231" t="s">
        <v>45</v>
      </c>
      <c r="C231" t="s">
        <v>127</v>
      </c>
      <c r="D231" t="s">
        <v>129</v>
      </c>
      <c r="E231">
        <v>648847</v>
      </c>
      <c r="F231">
        <v>0</v>
      </c>
    </row>
    <row r="232" spans="1:6" x14ac:dyDescent="0.25">
      <c r="A232" t="s">
        <v>181</v>
      </c>
      <c r="B232" t="s">
        <v>50</v>
      </c>
      <c r="C232" t="s">
        <v>132</v>
      </c>
      <c r="D232" t="s">
        <v>132</v>
      </c>
      <c r="E232">
        <v>628804</v>
      </c>
      <c r="F232">
        <v>0</v>
      </c>
    </row>
    <row r="233" spans="1:6" x14ac:dyDescent="0.25">
      <c r="A233" t="s">
        <v>169</v>
      </c>
      <c r="B233" t="s">
        <v>45</v>
      </c>
      <c r="C233" t="s">
        <v>125</v>
      </c>
      <c r="D233" t="s">
        <v>135</v>
      </c>
      <c r="E233">
        <v>626663</v>
      </c>
      <c r="F233">
        <v>0</v>
      </c>
    </row>
    <row r="234" spans="1:6" x14ac:dyDescent="0.25">
      <c r="A234" t="s">
        <v>194</v>
      </c>
      <c r="B234" t="s">
        <v>58</v>
      </c>
      <c r="C234" t="s">
        <v>125</v>
      </c>
      <c r="D234" t="s">
        <v>125</v>
      </c>
      <c r="E234">
        <v>622831</v>
      </c>
      <c r="F234">
        <v>0</v>
      </c>
    </row>
    <row r="235" spans="1:6" x14ac:dyDescent="0.25">
      <c r="A235" t="s">
        <v>67</v>
      </c>
      <c r="B235" t="s">
        <v>34</v>
      </c>
      <c r="C235" t="s">
        <v>127</v>
      </c>
      <c r="D235" t="s">
        <v>128</v>
      </c>
      <c r="E235">
        <v>618056</v>
      </c>
      <c r="F235">
        <v>0</v>
      </c>
    </row>
    <row r="236" spans="1:6" x14ac:dyDescent="0.25">
      <c r="A236" t="s">
        <v>195</v>
      </c>
      <c r="B236" t="s">
        <v>45</v>
      </c>
      <c r="C236" t="s">
        <v>127</v>
      </c>
      <c r="D236" t="s">
        <v>133</v>
      </c>
      <c r="E236">
        <v>614896</v>
      </c>
      <c r="F236">
        <v>0</v>
      </c>
    </row>
    <row r="237" spans="1:6" x14ac:dyDescent="0.25">
      <c r="A237" t="s">
        <v>164</v>
      </c>
      <c r="B237" t="s">
        <v>55</v>
      </c>
      <c r="C237" t="s">
        <v>125</v>
      </c>
      <c r="D237" t="s">
        <v>135</v>
      </c>
      <c r="E237">
        <v>611819</v>
      </c>
      <c r="F237">
        <v>0</v>
      </c>
    </row>
    <row r="238" spans="1:6" x14ac:dyDescent="0.25">
      <c r="A238" t="s">
        <v>66</v>
      </c>
      <c r="B238" t="s">
        <v>34</v>
      </c>
      <c r="C238" t="s">
        <v>126</v>
      </c>
      <c r="D238" t="s">
        <v>126</v>
      </c>
      <c r="E238">
        <v>611079</v>
      </c>
      <c r="F238">
        <v>0</v>
      </c>
    </row>
    <row r="239" spans="1:6" x14ac:dyDescent="0.25">
      <c r="A239" t="s">
        <v>83</v>
      </c>
      <c r="B239" t="s">
        <v>34</v>
      </c>
      <c r="C239" t="s">
        <v>126</v>
      </c>
      <c r="D239" t="s">
        <v>126</v>
      </c>
      <c r="E239">
        <v>602526</v>
      </c>
      <c r="F239">
        <v>0</v>
      </c>
    </row>
    <row r="240" spans="1:6" x14ac:dyDescent="0.25">
      <c r="A240" t="s">
        <v>54</v>
      </c>
      <c r="B240" t="s">
        <v>34</v>
      </c>
      <c r="C240" t="s">
        <v>125</v>
      </c>
      <c r="D240" t="s">
        <v>136</v>
      </c>
      <c r="E240">
        <v>602160</v>
      </c>
      <c r="F240">
        <v>0</v>
      </c>
    </row>
    <row r="241" spans="1:6" x14ac:dyDescent="0.25">
      <c r="A241" t="s">
        <v>57</v>
      </c>
      <c r="B241" t="s">
        <v>34</v>
      </c>
      <c r="C241" t="s">
        <v>125</v>
      </c>
      <c r="D241" t="s">
        <v>136</v>
      </c>
      <c r="E241">
        <v>601742</v>
      </c>
      <c r="F241">
        <v>0</v>
      </c>
    </row>
    <row r="242" spans="1:6" x14ac:dyDescent="0.25">
      <c r="A242" t="s">
        <v>86</v>
      </c>
      <c r="B242" t="s">
        <v>34</v>
      </c>
      <c r="C242" t="s">
        <v>125</v>
      </c>
      <c r="D242" t="s">
        <v>125</v>
      </c>
      <c r="E242">
        <v>600845</v>
      </c>
      <c r="F242">
        <v>0</v>
      </c>
    </row>
    <row r="243" spans="1:6" x14ac:dyDescent="0.25">
      <c r="A243" t="s">
        <v>177</v>
      </c>
      <c r="B243" t="s">
        <v>48</v>
      </c>
      <c r="C243" t="s">
        <v>127</v>
      </c>
      <c r="D243" t="s">
        <v>146</v>
      </c>
      <c r="E243">
        <v>596696</v>
      </c>
      <c r="F243">
        <v>0</v>
      </c>
    </row>
    <row r="244" spans="1:6" x14ac:dyDescent="0.25">
      <c r="A244" t="s">
        <v>170</v>
      </c>
      <c r="B244" t="s">
        <v>61</v>
      </c>
      <c r="C244" t="s">
        <v>131</v>
      </c>
      <c r="D244" t="s">
        <v>131</v>
      </c>
      <c r="E244">
        <v>592772</v>
      </c>
      <c r="F244">
        <v>0</v>
      </c>
    </row>
    <row r="245" spans="1:6" x14ac:dyDescent="0.25">
      <c r="A245" t="s">
        <v>167</v>
      </c>
      <c r="B245" t="s">
        <v>50</v>
      </c>
      <c r="C245" t="s">
        <v>127</v>
      </c>
      <c r="D245" t="s">
        <v>138</v>
      </c>
      <c r="E245">
        <v>588660</v>
      </c>
      <c r="F245">
        <v>0</v>
      </c>
    </row>
    <row r="246" spans="1:6" x14ac:dyDescent="0.25">
      <c r="A246" t="s">
        <v>196</v>
      </c>
      <c r="B246" t="s">
        <v>53</v>
      </c>
      <c r="C246" t="s">
        <v>125</v>
      </c>
      <c r="D246" t="s">
        <v>125</v>
      </c>
      <c r="E246">
        <v>574846</v>
      </c>
      <c r="F246">
        <v>0</v>
      </c>
    </row>
    <row r="247" spans="1:6" x14ac:dyDescent="0.25">
      <c r="A247" t="s">
        <v>80</v>
      </c>
      <c r="B247" t="s">
        <v>34</v>
      </c>
      <c r="C247" t="s">
        <v>125</v>
      </c>
      <c r="D247" t="s">
        <v>135</v>
      </c>
      <c r="E247">
        <v>572253</v>
      </c>
      <c r="F247">
        <v>0</v>
      </c>
    </row>
    <row r="248" spans="1:6" x14ac:dyDescent="0.25">
      <c r="A248" t="s">
        <v>196</v>
      </c>
      <c r="B248" t="s">
        <v>53</v>
      </c>
      <c r="C248" t="s">
        <v>132</v>
      </c>
      <c r="D248" t="s">
        <v>132</v>
      </c>
      <c r="E248">
        <v>567923</v>
      </c>
      <c r="F248">
        <v>0</v>
      </c>
    </row>
    <row r="249" spans="1:6" x14ac:dyDescent="0.25">
      <c r="A249" t="s">
        <v>57</v>
      </c>
      <c r="B249" t="s">
        <v>34</v>
      </c>
      <c r="C249" t="s">
        <v>127</v>
      </c>
      <c r="D249" t="s">
        <v>138</v>
      </c>
      <c r="E249">
        <v>567358</v>
      </c>
      <c r="F249">
        <v>0</v>
      </c>
    </row>
    <row r="250" spans="1:6" x14ac:dyDescent="0.25">
      <c r="A250" t="s">
        <v>173</v>
      </c>
      <c r="B250" t="s">
        <v>61</v>
      </c>
      <c r="C250" t="s">
        <v>127</v>
      </c>
      <c r="D250" t="s">
        <v>137</v>
      </c>
      <c r="E250">
        <v>560104</v>
      </c>
      <c r="F250">
        <v>0</v>
      </c>
    </row>
    <row r="251" spans="1:6" x14ac:dyDescent="0.25">
      <c r="A251" t="s">
        <v>67</v>
      </c>
      <c r="B251" t="s">
        <v>34</v>
      </c>
      <c r="C251" t="s">
        <v>126</v>
      </c>
      <c r="D251" t="s">
        <v>126</v>
      </c>
      <c r="E251">
        <v>551886</v>
      </c>
      <c r="F251">
        <v>0</v>
      </c>
    </row>
    <row r="252" spans="1:6" x14ac:dyDescent="0.25">
      <c r="A252" t="s">
        <v>54</v>
      </c>
      <c r="B252" t="s">
        <v>34</v>
      </c>
      <c r="C252" t="s">
        <v>126</v>
      </c>
      <c r="D252" t="s">
        <v>134</v>
      </c>
      <c r="E252">
        <v>551262</v>
      </c>
      <c r="F252">
        <v>0</v>
      </c>
    </row>
    <row r="253" spans="1:6" x14ac:dyDescent="0.25">
      <c r="A253" t="s">
        <v>76</v>
      </c>
      <c r="B253" t="s">
        <v>34</v>
      </c>
      <c r="C253" t="s">
        <v>126</v>
      </c>
      <c r="D253" t="s">
        <v>126</v>
      </c>
      <c r="E253">
        <v>549862</v>
      </c>
      <c r="F253">
        <v>0</v>
      </c>
    </row>
    <row r="254" spans="1:6" x14ac:dyDescent="0.25">
      <c r="A254" t="s">
        <v>180</v>
      </c>
      <c r="B254" t="s">
        <v>45</v>
      </c>
      <c r="C254" t="s">
        <v>127</v>
      </c>
      <c r="D254" t="s">
        <v>133</v>
      </c>
      <c r="E254">
        <v>543996</v>
      </c>
      <c r="F254">
        <v>0</v>
      </c>
    </row>
    <row r="255" spans="1:6" x14ac:dyDescent="0.25">
      <c r="A255" t="s">
        <v>171</v>
      </c>
      <c r="B255" t="s">
        <v>48</v>
      </c>
      <c r="C255" t="s">
        <v>127</v>
      </c>
      <c r="D255" t="s">
        <v>137</v>
      </c>
      <c r="E255">
        <v>538203</v>
      </c>
      <c r="F255">
        <v>0</v>
      </c>
    </row>
    <row r="256" spans="1:6" x14ac:dyDescent="0.25">
      <c r="A256" t="s">
        <v>191</v>
      </c>
      <c r="B256" t="s">
        <v>45</v>
      </c>
      <c r="C256" t="s">
        <v>127</v>
      </c>
      <c r="D256" t="s">
        <v>133</v>
      </c>
      <c r="E256">
        <v>535099</v>
      </c>
      <c r="F256">
        <v>0</v>
      </c>
    </row>
    <row r="257" spans="1:6" x14ac:dyDescent="0.25">
      <c r="A257" t="s">
        <v>180</v>
      </c>
      <c r="B257" t="s">
        <v>45</v>
      </c>
      <c r="C257" t="s">
        <v>126</v>
      </c>
      <c r="D257" t="s">
        <v>134</v>
      </c>
      <c r="E257">
        <v>533901</v>
      </c>
      <c r="F257">
        <v>0</v>
      </c>
    </row>
    <row r="258" spans="1:6" x14ac:dyDescent="0.25">
      <c r="A258" t="s">
        <v>170</v>
      </c>
      <c r="B258" t="s">
        <v>61</v>
      </c>
      <c r="C258" t="s">
        <v>126</v>
      </c>
      <c r="D258" t="s">
        <v>134</v>
      </c>
      <c r="E258">
        <v>533886</v>
      </c>
      <c r="F258">
        <v>0</v>
      </c>
    </row>
    <row r="259" spans="1:6" x14ac:dyDescent="0.25">
      <c r="A259" t="s">
        <v>169</v>
      </c>
      <c r="B259" t="s">
        <v>45</v>
      </c>
      <c r="C259" t="s">
        <v>132</v>
      </c>
      <c r="D259" t="s">
        <v>132</v>
      </c>
      <c r="E259">
        <v>533449</v>
      </c>
      <c r="F259">
        <v>0</v>
      </c>
    </row>
    <row r="260" spans="1:6" x14ac:dyDescent="0.25">
      <c r="A260" t="s">
        <v>75</v>
      </c>
      <c r="B260" t="s">
        <v>34</v>
      </c>
      <c r="C260" t="s">
        <v>131</v>
      </c>
      <c r="D260" t="s">
        <v>131</v>
      </c>
      <c r="E260">
        <v>532949</v>
      </c>
      <c r="F260">
        <v>0</v>
      </c>
    </row>
    <row r="261" spans="1:6" x14ac:dyDescent="0.25">
      <c r="A261" t="s">
        <v>170</v>
      </c>
      <c r="B261" t="s">
        <v>61</v>
      </c>
      <c r="C261" t="s">
        <v>132</v>
      </c>
      <c r="D261" t="s">
        <v>132</v>
      </c>
      <c r="E261">
        <v>525313</v>
      </c>
      <c r="F261">
        <v>0</v>
      </c>
    </row>
    <row r="262" spans="1:6" x14ac:dyDescent="0.25">
      <c r="A262" t="s">
        <v>170</v>
      </c>
      <c r="B262" t="s">
        <v>61</v>
      </c>
      <c r="C262" t="s">
        <v>127</v>
      </c>
      <c r="D262" t="s">
        <v>137</v>
      </c>
      <c r="E262">
        <v>524222</v>
      </c>
      <c r="F262">
        <v>0</v>
      </c>
    </row>
    <row r="263" spans="1:6" x14ac:dyDescent="0.25">
      <c r="A263" t="s">
        <v>82</v>
      </c>
      <c r="B263" t="s">
        <v>34</v>
      </c>
      <c r="C263" t="s">
        <v>125</v>
      </c>
      <c r="D263" t="s">
        <v>125</v>
      </c>
      <c r="E263">
        <v>523947</v>
      </c>
      <c r="F263">
        <v>0</v>
      </c>
    </row>
    <row r="264" spans="1:6" x14ac:dyDescent="0.25">
      <c r="A264" t="s">
        <v>73</v>
      </c>
      <c r="B264" t="s">
        <v>34</v>
      </c>
      <c r="C264" t="s">
        <v>125</v>
      </c>
      <c r="D264" t="s">
        <v>135</v>
      </c>
      <c r="E264">
        <v>521181</v>
      </c>
      <c r="F264">
        <v>0</v>
      </c>
    </row>
    <row r="265" spans="1:6" x14ac:dyDescent="0.25">
      <c r="A265" t="s">
        <v>60</v>
      </c>
      <c r="B265" t="s">
        <v>34</v>
      </c>
      <c r="C265" t="s">
        <v>125</v>
      </c>
      <c r="D265" t="s">
        <v>136</v>
      </c>
      <c r="E265">
        <v>518135</v>
      </c>
      <c r="F265">
        <v>0</v>
      </c>
    </row>
    <row r="266" spans="1:6" x14ac:dyDescent="0.25">
      <c r="A266" t="s">
        <v>72</v>
      </c>
      <c r="B266" t="s">
        <v>34</v>
      </c>
      <c r="C266" t="s">
        <v>127</v>
      </c>
      <c r="D266" t="s">
        <v>128</v>
      </c>
      <c r="E266">
        <v>509018</v>
      </c>
      <c r="F266">
        <v>0</v>
      </c>
    </row>
    <row r="267" spans="1:6" x14ac:dyDescent="0.25">
      <c r="A267" t="s">
        <v>75</v>
      </c>
      <c r="B267" t="s">
        <v>34</v>
      </c>
      <c r="C267" t="s">
        <v>125</v>
      </c>
      <c r="D267" t="s">
        <v>135</v>
      </c>
      <c r="E267">
        <v>503100</v>
      </c>
      <c r="F267">
        <v>0</v>
      </c>
    </row>
    <row r="268" spans="1:6" x14ac:dyDescent="0.25">
      <c r="A268" t="s">
        <v>77</v>
      </c>
      <c r="B268" t="s">
        <v>34</v>
      </c>
      <c r="C268" t="s">
        <v>125</v>
      </c>
      <c r="D268" t="s">
        <v>135</v>
      </c>
      <c r="E268">
        <v>503100</v>
      </c>
      <c r="F268">
        <v>0</v>
      </c>
    </row>
    <row r="269" spans="1:6" x14ac:dyDescent="0.25">
      <c r="A269" t="s">
        <v>162</v>
      </c>
      <c r="B269" t="s">
        <v>58</v>
      </c>
      <c r="C269" t="s">
        <v>126</v>
      </c>
      <c r="D269" t="s">
        <v>134</v>
      </c>
      <c r="E269">
        <v>495875</v>
      </c>
      <c r="F269">
        <v>0</v>
      </c>
    </row>
    <row r="270" spans="1:6" x14ac:dyDescent="0.25">
      <c r="A270" t="s">
        <v>177</v>
      </c>
      <c r="B270" t="s">
        <v>48</v>
      </c>
      <c r="C270" t="s">
        <v>126</v>
      </c>
      <c r="D270" t="s">
        <v>134</v>
      </c>
      <c r="E270">
        <v>493930</v>
      </c>
      <c r="F270">
        <v>0</v>
      </c>
    </row>
    <row r="271" spans="1:6" x14ac:dyDescent="0.25">
      <c r="A271" t="s">
        <v>87</v>
      </c>
      <c r="B271" t="s">
        <v>34</v>
      </c>
      <c r="C271" t="s">
        <v>125</v>
      </c>
      <c r="D271" t="s">
        <v>125</v>
      </c>
      <c r="E271">
        <v>491231</v>
      </c>
      <c r="F271">
        <v>0</v>
      </c>
    </row>
    <row r="272" spans="1:6" x14ac:dyDescent="0.25">
      <c r="A272" t="s">
        <v>77</v>
      </c>
      <c r="B272" t="s">
        <v>34</v>
      </c>
      <c r="C272" t="s">
        <v>127</v>
      </c>
      <c r="D272" t="s">
        <v>133</v>
      </c>
      <c r="E272">
        <v>486834</v>
      </c>
      <c r="F272">
        <v>0</v>
      </c>
    </row>
    <row r="273" spans="1:6" x14ac:dyDescent="0.25">
      <c r="A273" t="s">
        <v>64</v>
      </c>
      <c r="B273" t="s">
        <v>34</v>
      </c>
      <c r="C273" t="s">
        <v>125</v>
      </c>
      <c r="D273" t="s">
        <v>136</v>
      </c>
      <c r="E273">
        <v>485875</v>
      </c>
      <c r="F273">
        <v>0</v>
      </c>
    </row>
    <row r="274" spans="1:6" x14ac:dyDescent="0.25">
      <c r="A274" t="s">
        <v>75</v>
      </c>
      <c r="B274" t="s">
        <v>34</v>
      </c>
      <c r="C274" t="s">
        <v>126</v>
      </c>
      <c r="D274" t="s">
        <v>126</v>
      </c>
      <c r="E274">
        <v>484047</v>
      </c>
      <c r="F274">
        <v>0</v>
      </c>
    </row>
    <row r="275" spans="1:6" x14ac:dyDescent="0.25">
      <c r="A275" t="s">
        <v>186</v>
      </c>
      <c r="B275" t="s">
        <v>53</v>
      </c>
      <c r="C275" t="s">
        <v>126</v>
      </c>
      <c r="D275" t="s">
        <v>134</v>
      </c>
      <c r="E275">
        <v>478569</v>
      </c>
      <c r="F275">
        <v>0</v>
      </c>
    </row>
    <row r="276" spans="1:6" x14ac:dyDescent="0.25">
      <c r="A276" t="s">
        <v>181</v>
      </c>
      <c r="B276" t="s">
        <v>50</v>
      </c>
      <c r="C276" t="s">
        <v>125</v>
      </c>
      <c r="D276" t="s">
        <v>135</v>
      </c>
      <c r="E276">
        <v>476659</v>
      </c>
      <c r="F276">
        <v>0</v>
      </c>
    </row>
    <row r="277" spans="1:6" x14ac:dyDescent="0.25">
      <c r="A277" t="s">
        <v>177</v>
      </c>
      <c r="B277" t="s">
        <v>48</v>
      </c>
      <c r="C277" t="s">
        <v>132</v>
      </c>
      <c r="D277" t="s">
        <v>132</v>
      </c>
      <c r="E277">
        <v>475938</v>
      </c>
      <c r="F277">
        <v>0</v>
      </c>
    </row>
    <row r="278" spans="1:6" x14ac:dyDescent="0.25">
      <c r="A278" t="s">
        <v>62</v>
      </c>
      <c r="B278" t="s">
        <v>34</v>
      </c>
      <c r="C278" t="s">
        <v>125</v>
      </c>
      <c r="D278" t="s">
        <v>135</v>
      </c>
      <c r="E278">
        <v>473697</v>
      </c>
      <c r="F278">
        <v>0</v>
      </c>
    </row>
    <row r="279" spans="1:6" x14ac:dyDescent="0.25">
      <c r="A279" t="s">
        <v>47</v>
      </c>
      <c r="B279" t="s">
        <v>34</v>
      </c>
      <c r="C279" t="s">
        <v>125</v>
      </c>
      <c r="D279" t="s">
        <v>140</v>
      </c>
      <c r="E279">
        <v>472024</v>
      </c>
      <c r="F279">
        <v>0</v>
      </c>
    </row>
    <row r="280" spans="1:6" x14ac:dyDescent="0.25">
      <c r="A280" t="s">
        <v>184</v>
      </c>
      <c r="B280" t="s">
        <v>50</v>
      </c>
      <c r="C280" t="s">
        <v>131</v>
      </c>
      <c r="D280" t="s">
        <v>131</v>
      </c>
      <c r="E280">
        <v>467461</v>
      </c>
      <c r="F280">
        <v>0</v>
      </c>
    </row>
    <row r="281" spans="1:6" x14ac:dyDescent="0.25">
      <c r="A281" t="s">
        <v>197</v>
      </c>
      <c r="B281" t="s">
        <v>45</v>
      </c>
      <c r="C281" t="s">
        <v>126</v>
      </c>
      <c r="D281" t="s">
        <v>126</v>
      </c>
      <c r="E281">
        <v>464578</v>
      </c>
      <c r="F281">
        <v>0</v>
      </c>
    </row>
    <row r="282" spans="1:6" x14ac:dyDescent="0.25">
      <c r="A282" t="s">
        <v>175</v>
      </c>
      <c r="B282" t="s">
        <v>48</v>
      </c>
      <c r="C282" t="s">
        <v>125</v>
      </c>
      <c r="D282" t="s">
        <v>136</v>
      </c>
      <c r="E282">
        <v>464218</v>
      </c>
      <c r="F282">
        <v>0</v>
      </c>
    </row>
    <row r="283" spans="1:6" x14ac:dyDescent="0.25">
      <c r="A283" t="s">
        <v>170</v>
      </c>
      <c r="B283" t="s">
        <v>61</v>
      </c>
      <c r="C283" t="s">
        <v>125</v>
      </c>
      <c r="D283" t="s">
        <v>135</v>
      </c>
      <c r="E283">
        <v>459424</v>
      </c>
      <c r="F283">
        <v>0</v>
      </c>
    </row>
    <row r="284" spans="1:6" x14ac:dyDescent="0.25">
      <c r="A284" t="s">
        <v>73</v>
      </c>
      <c r="B284" t="s">
        <v>34</v>
      </c>
      <c r="C284" t="s">
        <v>126</v>
      </c>
      <c r="D284" t="s">
        <v>126</v>
      </c>
      <c r="E284">
        <v>458061</v>
      </c>
      <c r="F284">
        <v>0</v>
      </c>
    </row>
    <row r="285" spans="1:6" x14ac:dyDescent="0.25">
      <c r="A285" t="s">
        <v>167</v>
      </c>
      <c r="B285" t="s">
        <v>50</v>
      </c>
      <c r="C285" t="s">
        <v>125</v>
      </c>
      <c r="D285" t="s">
        <v>136</v>
      </c>
      <c r="E285">
        <v>457578</v>
      </c>
      <c r="F285">
        <v>0</v>
      </c>
    </row>
    <row r="286" spans="1:6" x14ac:dyDescent="0.25">
      <c r="A286" t="s">
        <v>166</v>
      </c>
      <c r="B286" t="s">
        <v>50</v>
      </c>
      <c r="C286" t="s">
        <v>132</v>
      </c>
      <c r="D286" t="s">
        <v>142</v>
      </c>
      <c r="E286">
        <v>455630</v>
      </c>
      <c r="F286">
        <v>0</v>
      </c>
    </row>
    <row r="287" spans="1:6" x14ac:dyDescent="0.25">
      <c r="A287" t="s">
        <v>167</v>
      </c>
      <c r="B287" t="s">
        <v>50</v>
      </c>
      <c r="C287" t="s">
        <v>127</v>
      </c>
      <c r="D287" t="s">
        <v>133</v>
      </c>
      <c r="E287">
        <v>455075</v>
      </c>
      <c r="F287">
        <v>0</v>
      </c>
    </row>
    <row r="288" spans="1:6" x14ac:dyDescent="0.25">
      <c r="A288" t="s">
        <v>178</v>
      </c>
      <c r="B288" t="s">
        <v>58</v>
      </c>
      <c r="C288" t="s">
        <v>132</v>
      </c>
      <c r="D288" t="s">
        <v>132</v>
      </c>
      <c r="E288">
        <v>448951</v>
      </c>
      <c r="F288">
        <v>0</v>
      </c>
    </row>
    <row r="289" spans="1:6" x14ac:dyDescent="0.25">
      <c r="A289" t="s">
        <v>198</v>
      </c>
      <c r="B289" t="s">
        <v>45</v>
      </c>
      <c r="C289" t="s">
        <v>126</v>
      </c>
      <c r="D289" t="s">
        <v>126</v>
      </c>
      <c r="E289">
        <v>447151</v>
      </c>
      <c r="F289">
        <v>0</v>
      </c>
    </row>
    <row r="290" spans="1:6" x14ac:dyDescent="0.25">
      <c r="A290" t="s">
        <v>165</v>
      </c>
      <c r="B290" t="s">
        <v>48</v>
      </c>
      <c r="C290" t="s">
        <v>125</v>
      </c>
      <c r="D290" t="s">
        <v>136</v>
      </c>
      <c r="E290">
        <v>441053</v>
      </c>
      <c r="F290">
        <v>0</v>
      </c>
    </row>
    <row r="291" spans="1:6" x14ac:dyDescent="0.25">
      <c r="A291" t="s">
        <v>52</v>
      </c>
      <c r="B291" t="s">
        <v>34</v>
      </c>
      <c r="C291" t="s">
        <v>126</v>
      </c>
      <c r="D291" t="s">
        <v>134</v>
      </c>
      <c r="E291">
        <v>432913</v>
      </c>
      <c r="F291">
        <v>0</v>
      </c>
    </row>
    <row r="292" spans="1:6" x14ac:dyDescent="0.25">
      <c r="A292" t="s">
        <v>69</v>
      </c>
      <c r="B292" t="s">
        <v>34</v>
      </c>
      <c r="C292" t="s">
        <v>132</v>
      </c>
      <c r="D292" t="s">
        <v>132</v>
      </c>
      <c r="E292">
        <v>432057</v>
      </c>
      <c r="F292">
        <v>0</v>
      </c>
    </row>
    <row r="293" spans="1:6" x14ac:dyDescent="0.25">
      <c r="A293" t="s">
        <v>177</v>
      </c>
      <c r="B293" t="s">
        <v>48</v>
      </c>
      <c r="C293" t="s">
        <v>125</v>
      </c>
      <c r="D293" t="s">
        <v>135</v>
      </c>
      <c r="E293">
        <v>425374</v>
      </c>
      <c r="F293">
        <v>0</v>
      </c>
    </row>
    <row r="294" spans="1:6" x14ac:dyDescent="0.25">
      <c r="A294" t="s">
        <v>173</v>
      </c>
      <c r="B294" t="s">
        <v>61</v>
      </c>
      <c r="C294" t="s">
        <v>132</v>
      </c>
      <c r="D294" t="s">
        <v>132</v>
      </c>
      <c r="E294">
        <v>425130</v>
      </c>
      <c r="F294">
        <v>0</v>
      </c>
    </row>
    <row r="295" spans="1:6" x14ac:dyDescent="0.25">
      <c r="A295" t="s">
        <v>49</v>
      </c>
      <c r="B295" t="s">
        <v>34</v>
      </c>
      <c r="C295" t="s">
        <v>127</v>
      </c>
      <c r="D295" t="s">
        <v>130</v>
      </c>
      <c r="E295">
        <v>424294</v>
      </c>
      <c r="F295">
        <v>0</v>
      </c>
    </row>
    <row r="296" spans="1:6" x14ac:dyDescent="0.25">
      <c r="A296" t="s">
        <v>60</v>
      </c>
      <c r="B296" t="s">
        <v>34</v>
      </c>
      <c r="C296" t="s">
        <v>126</v>
      </c>
      <c r="D296" t="s">
        <v>134</v>
      </c>
      <c r="E296">
        <v>418447</v>
      </c>
      <c r="F296">
        <v>0</v>
      </c>
    </row>
    <row r="297" spans="1:6" x14ac:dyDescent="0.25">
      <c r="A297" t="s">
        <v>72</v>
      </c>
      <c r="B297" t="s">
        <v>34</v>
      </c>
      <c r="C297" t="s">
        <v>125</v>
      </c>
      <c r="D297" t="s">
        <v>125</v>
      </c>
      <c r="E297">
        <v>415506</v>
      </c>
      <c r="F297">
        <v>0</v>
      </c>
    </row>
    <row r="298" spans="1:6" x14ac:dyDescent="0.25">
      <c r="A298" t="s">
        <v>77</v>
      </c>
      <c r="B298" t="s">
        <v>34</v>
      </c>
      <c r="C298" t="s">
        <v>126</v>
      </c>
      <c r="D298" t="s">
        <v>126</v>
      </c>
      <c r="E298">
        <v>412710</v>
      </c>
      <c r="F298">
        <v>0</v>
      </c>
    </row>
    <row r="299" spans="1:6" x14ac:dyDescent="0.25">
      <c r="A299" t="s">
        <v>79</v>
      </c>
      <c r="B299" t="s">
        <v>34</v>
      </c>
      <c r="C299" t="s">
        <v>125</v>
      </c>
      <c r="D299" t="s">
        <v>125</v>
      </c>
      <c r="E299">
        <v>411368</v>
      </c>
      <c r="F299">
        <v>0</v>
      </c>
    </row>
    <row r="300" spans="1:6" x14ac:dyDescent="0.25">
      <c r="A300" t="s">
        <v>52</v>
      </c>
      <c r="B300" t="s">
        <v>34</v>
      </c>
      <c r="C300" t="s">
        <v>125</v>
      </c>
      <c r="D300" t="s">
        <v>140</v>
      </c>
      <c r="E300">
        <v>409056</v>
      </c>
      <c r="F300">
        <v>0</v>
      </c>
    </row>
    <row r="301" spans="1:6" x14ac:dyDescent="0.25">
      <c r="A301" t="s">
        <v>174</v>
      </c>
      <c r="B301" t="s">
        <v>45</v>
      </c>
      <c r="C301" t="s">
        <v>126</v>
      </c>
      <c r="D301" t="s">
        <v>126</v>
      </c>
      <c r="E301">
        <v>406064</v>
      </c>
      <c r="F301">
        <v>0</v>
      </c>
    </row>
    <row r="302" spans="1:6" x14ac:dyDescent="0.25">
      <c r="A302" t="s">
        <v>163</v>
      </c>
      <c r="B302" t="s">
        <v>45</v>
      </c>
      <c r="C302" t="s">
        <v>127</v>
      </c>
      <c r="D302" t="s">
        <v>138</v>
      </c>
      <c r="E302">
        <v>405992</v>
      </c>
      <c r="F302">
        <v>0</v>
      </c>
    </row>
    <row r="303" spans="1:6" x14ac:dyDescent="0.25">
      <c r="A303" t="s">
        <v>79</v>
      </c>
      <c r="B303" t="s">
        <v>34</v>
      </c>
      <c r="C303" t="s">
        <v>125</v>
      </c>
      <c r="D303" t="s">
        <v>135</v>
      </c>
      <c r="E303">
        <v>405227</v>
      </c>
      <c r="F303">
        <v>0</v>
      </c>
    </row>
    <row r="304" spans="1:6" x14ac:dyDescent="0.25">
      <c r="A304" t="s">
        <v>164</v>
      </c>
      <c r="B304" t="s">
        <v>55</v>
      </c>
      <c r="C304" t="s">
        <v>125</v>
      </c>
      <c r="D304" t="s">
        <v>140</v>
      </c>
      <c r="E304">
        <v>403730</v>
      </c>
      <c r="F304">
        <v>0</v>
      </c>
    </row>
    <row r="305" spans="1:6" x14ac:dyDescent="0.25">
      <c r="A305" t="s">
        <v>184</v>
      </c>
      <c r="B305" t="s">
        <v>50</v>
      </c>
      <c r="C305" t="s">
        <v>126</v>
      </c>
      <c r="D305" t="s">
        <v>134</v>
      </c>
      <c r="E305">
        <v>401663</v>
      </c>
      <c r="F305">
        <v>0</v>
      </c>
    </row>
    <row r="306" spans="1:6" x14ac:dyDescent="0.25">
      <c r="A306" t="s">
        <v>60</v>
      </c>
      <c r="B306" t="s">
        <v>34</v>
      </c>
      <c r="C306" t="s">
        <v>131</v>
      </c>
      <c r="D306" t="s">
        <v>131</v>
      </c>
      <c r="E306">
        <v>400488</v>
      </c>
      <c r="F306">
        <v>0</v>
      </c>
    </row>
    <row r="307" spans="1:6" x14ac:dyDescent="0.25">
      <c r="A307" t="s">
        <v>187</v>
      </c>
      <c r="B307" t="s">
        <v>45</v>
      </c>
      <c r="C307" t="s">
        <v>131</v>
      </c>
      <c r="D307" t="s">
        <v>131</v>
      </c>
      <c r="E307">
        <v>395566</v>
      </c>
      <c r="F307">
        <v>0</v>
      </c>
    </row>
    <row r="308" spans="1:6" x14ac:dyDescent="0.25">
      <c r="A308" t="s">
        <v>44</v>
      </c>
      <c r="B308" t="s">
        <v>34</v>
      </c>
      <c r="C308" t="s">
        <v>125</v>
      </c>
      <c r="D308" t="s">
        <v>139</v>
      </c>
      <c r="E308">
        <v>393012</v>
      </c>
      <c r="F308">
        <v>0</v>
      </c>
    </row>
    <row r="309" spans="1:6" x14ac:dyDescent="0.25">
      <c r="A309" t="s">
        <v>168</v>
      </c>
      <c r="B309" t="s">
        <v>53</v>
      </c>
      <c r="C309" t="s">
        <v>127</v>
      </c>
      <c r="D309" t="s">
        <v>137</v>
      </c>
      <c r="E309">
        <v>392063</v>
      </c>
      <c r="F309">
        <v>0</v>
      </c>
    </row>
    <row r="310" spans="1:6" x14ac:dyDescent="0.25">
      <c r="A310" t="s">
        <v>52</v>
      </c>
      <c r="B310" t="s">
        <v>34</v>
      </c>
      <c r="C310" t="s">
        <v>127</v>
      </c>
      <c r="D310" t="s">
        <v>138</v>
      </c>
      <c r="E310">
        <v>387867</v>
      </c>
      <c r="F310">
        <v>0</v>
      </c>
    </row>
    <row r="311" spans="1:6" x14ac:dyDescent="0.25">
      <c r="A311" t="s">
        <v>176</v>
      </c>
      <c r="B311" t="s">
        <v>53</v>
      </c>
      <c r="C311" t="s">
        <v>126</v>
      </c>
      <c r="D311" t="s">
        <v>134</v>
      </c>
      <c r="E311">
        <v>387114</v>
      </c>
      <c r="F311">
        <v>0</v>
      </c>
    </row>
    <row r="312" spans="1:6" x14ac:dyDescent="0.25">
      <c r="A312" t="s">
        <v>88</v>
      </c>
      <c r="B312" t="s">
        <v>34</v>
      </c>
      <c r="C312" t="s">
        <v>125</v>
      </c>
      <c r="D312" t="s">
        <v>125</v>
      </c>
      <c r="E312">
        <v>382378</v>
      </c>
      <c r="F312">
        <v>0</v>
      </c>
    </row>
    <row r="313" spans="1:6" x14ac:dyDescent="0.25">
      <c r="A313" t="s">
        <v>186</v>
      </c>
      <c r="B313" t="s">
        <v>53</v>
      </c>
      <c r="C313" t="s">
        <v>125</v>
      </c>
      <c r="D313" t="s">
        <v>125</v>
      </c>
      <c r="E313">
        <v>381889</v>
      </c>
      <c r="F313">
        <v>0</v>
      </c>
    </row>
    <row r="314" spans="1:6" x14ac:dyDescent="0.25">
      <c r="A314" t="s">
        <v>67</v>
      </c>
      <c r="B314" t="s">
        <v>34</v>
      </c>
      <c r="C314" t="s">
        <v>127</v>
      </c>
      <c r="D314" t="s">
        <v>137</v>
      </c>
      <c r="E314">
        <v>375646</v>
      </c>
      <c r="F314">
        <v>0</v>
      </c>
    </row>
    <row r="315" spans="1:6" x14ac:dyDescent="0.25">
      <c r="A315" t="s">
        <v>196</v>
      </c>
      <c r="B315" t="s">
        <v>53</v>
      </c>
      <c r="C315" t="s">
        <v>126</v>
      </c>
      <c r="D315" t="s">
        <v>126</v>
      </c>
      <c r="E315">
        <v>373807</v>
      </c>
      <c r="F315">
        <v>0</v>
      </c>
    </row>
    <row r="316" spans="1:6" x14ac:dyDescent="0.25">
      <c r="A316" t="s">
        <v>172</v>
      </c>
      <c r="B316" t="s">
        <v>50</v>
      </c>
      <c r="C316" t="s">
        <v>125</v>
      </c>
      <c r="D316" t="s">
        <v>136</v>
      </c>
      <c r="E316">
        <v>371747</v>
      </c>
      <c r="F316">
        <v>0</v>
      </c>
    </row>
    <row r="317" spans="1:6" x14ac:dyDescent="0.25">
      <c r="A317" t="s">
        <v>67</v>
      </c>
      <c r="B317" t="s">
        <v>34</v>
      </c>
      <c r="C317" t="s">
        <v>125</v>
      </c>
      <c r="D317" t="s">
        <v>135</v>
      </c>
      <c r="E317">
        <v>370803</v>
      </c>
      <c r="F317">
        <v>0</v>
      </c>
    </row>
    <row r="318" spans="1:6" x14ac:dyDescent="0.25">
      <c r="A318" t="s">
        <v>162</v>
      </c>
      <c r="B318" t="s">
        <v>58</v>
      </c>
      <c r="C318" t="s">
        <v>125</v>
      </c>
      <c r="D318" t="s">
        <v>135</v>
      </c>
      <c r="E318">
        <v>367289</v>
      </c>
      <c r="F318">
        <v>0</v>
      </c>
    </row>
    <row r="319" spans="1:6" x14ac:dyDescent="0.25">
      <c r="A319" t="s">
        <v>168</v>
      </c>
      <c r="B319" t="s">
        <v>53</v>
      </c>
      <c r="C319" t="s">
        <v>125</v>
      </c>
      <c r="D319" t="s">
        <v>136</v>
      </c>
      <c r="E319">
        <v>363909</v>
      </c>
      <c r="F319">
        <v>0</v>
      </c>
    </row>
    <row r="320" spans="1:6" x14ac:dyDescent="0.25">
      <c r="A320" t="s">
        <v>47</v>
      </c>
      <c r="B320" t="s">
        <v>34</v>
      </c>
      <c r="C320" t="s">
        <v>125</v>
      </c>
      <c r="D320" t="s">
        <v>136</v>
      </c>
      <c r="E320">
        <v>363185</v>
      </c>
      <c r="F320">
        <v>0</v>
      </c>
    </row>
    <row r="321" spans="1:6" x14ac:dyDescent="0.25">
      <c r="A321" t="s">
        <v>188</v>
      </c>
      <c r="B321" t="s">
        <v>45</v>
      </c>
      <c r="C321" t="s">
        <v>127</v>
      </c>
      <c r="D321" t="s">
        <v>133</v>
      </c>
      <c r="E321">
        <v>345296</v>
      </c>
      <c r="F321">
        <v>0</v>
      </c>
    </row>
    <row r="322" spans="1:6" x14ac:dyDescent="0.25">
      <c r="A322" t="s">
        <v>162</v>
      </c>
      <c r="B322" t="s">
        <v>58</v>
      </c>
      <c r="C322" t="s">
        <v>127</v>
      </c>
      <c r="D322" t="s">
        <v>137</v>
      </c>
      <c r="E322">
        <v>344067</v>
      </c>
      <c r="F322">
        <v>0</v>
      </c>
    </row>
    <row r="323" spans="1:6" x14ac:dyDescent="0.25">
      <c r="A323" t="s">
        <v>173</v>
      </c>
      <c r="B323" t="s">
        <v>61</v>
      </c>
      <c r="C323" t="s">
        <v>125</v>
      </c>
      <c r="D323" t="s">
        <v>136</v>
      </c>
      <c r="E323">
        <v>342168</v>
      </c>
      <c r="F323">
        <v>0</v>
      </c>
    </row>
    <row r="324" spans="1:6" x14ac:dyDescent="0.25">
      <c r="A324" t="s">
        <v>79</v>
      </c>
      <c r="B324" t="s">
        <v>34</v>
      </c>
      <c r="C324" t="s">
        <v>127</v>
      </c>
      <c r="D324" t="s">
        <v>130</v>
      </c>
      <c r="E324">
        <v>340557</v>
      </c>
      <c r="F324">
        <v>0</v>
      </c>
    </row>
    <row r="325" spans="1:6" x14ac:dyDescent="0.25">
      <c r="A325" t="s">
        <v>182</v>
      </c>
      <c r="B325" t="s">
        <v>53</v>
      </c>
      <c r="C325" t="s">
        <v>127</v>
      </c>
      <c r="D325" t="s">
        <v>137</v>
      </c>
      <c r="E325">
        <v>340025</v>
      </c>
      <c r="F325">
        <v>0</v>
      </c>
    </row>
    <row r="326" spans="1:6" x14ac:dyDescent="0.25">
      <c r="A326" t="s">
        <v>169</v>
      </c>
      <c r="B326" t="s">
        <v>45</v>
      </c>
      <c r="C326" t="s">
        <v>127</v>
      </c>
      <c r="D326" t="s">
        <v>137</v>
      </c>
      <c r="E326">
        <v>339882</v>
      </c>
      <c r="F326">
        <v>0</v>
      </c>
    </row>
    <row r="327" spans="1:6" x14ac:dyDescent="0.25">
      <c r="A327" t="s">
        <v>168</v>
      </c>
      <c r="B327" t="s">
        <v>53</v>
      </c>
      <c r="C327" t="s">
        <v>125</v>
      </c>
      <c r="D327" t="s">
        <v>140</v>
      </c>
      <c r="E327">
        <v>338599</v>
      </c>
      <c r="F327">
        <v>0</v>
      </c>
    </row>
    <row r="328" spans="1:6" x14ac:dyDescent="0.25">
      <c r="A328" t="s">
        <v>64</v>
      </c>
      <c r="B328" t="s">
        <v>34</v>
      </c>
      <c r="C328" t="s">
        <v>127</v>
      </c>
      <c r="D328" t="s">
        <v>137</v>
      </c>
      <c r="E328">
        <v>338307</v>
      </c>
      <c r="F328">
        <v>0</v>
      </c>
    </row>
    <row r="329" spans="1:6" x14ac:dyDescent="0.25">
      <c r="A329" t="s">
        <v>79</v>
      </c>
      <c r="B329" t="s">
        <v>34</v>
      </c>
      <c r="C329" t="s">
        <v>127</v>
      </c>
      <c r="D329" t="s">
        <v>128</v>
      </c>
      <c r="E329">
        <v>337254</v>
      </c>
      <c r="F329">
        <v>0</v>
      </c>
    </row>
    <row r="330" spans="1:6" x14ac:dyDescent="0.25">
      <c r="A330" t="s">
        <v>183</v>
      </c>
      <c r="B330" t="s">
        <v>45</v>
      </c>
      <c r="C330" t="s">
        <v>127</v>
      </c>
      <c r="D330" t="s">
        <v>133</v>
      </c>
      <c r="E330">
        <v>337085</v>
      </c>
      <c r="F330">
        <v>0</v>
      </c>
    </row>
    <row r="331" spans="1:6" x14ac:dyDescent="0.25">
      <c r="A331" t="s">
        <v>177</v>
      </c>
      <c r="B331" t="s">
        <v>48</v>
      </c>
      <c r="C331" t="s">
        <v>127</v>
      </c>
      <c r="D331" t="s">
        <v>133</v>
      </c>
      <c r="E331">
        <v>336779</v>
      </c>
      <c r="F331">
        <v>0</v>
      </c>
    </row>
    <row r="332" spans="1:6" x14ac:dyDescent="0.25">
      <c r="A332" t="s">
        <v>181</v>
      </c>
      <c r="B332" t="s">
        <v>50</v>
      </c>
      <c r="C332" t="s">
        <v>126</v>
      </c>
      <c r="D332" t="s">
        <v>134</v>
      </c>
      <c r="E332">
        <v>333405</v>
      </c>
      <c r="F332">
        <v>0</v>
      </c>
    </row>
    <row r="333" spans="1:6" x14ac:dyDescent="0.25">
      <c r="A333" t="s">
        <v>162</v>
      </c>
      <c r="B333" t="s">
        <v>58</v>
      </c>
      <c r="C333" t="s">
        <v>125</v>
      </c>
      <c r="D333" t="s">
        <v>136</v>
      </c>
      <c r="E333">
        <v>327250</v>
      </c>
      <c r="F333">
        <v>0</v>
      </c>
    </row>
    <row r="334" spans="1:6" x14ac:dyDescent="0.25">
      <c r="A334" t="s">
        <v>187</v>
      </c>
      <c r="B334" t="s">
        <v>45</v>
      </c>
      <c r="C334" t="s">
        <v>127</v>
      </c>
      <c r="D334" t="s">
        <v>133</v>
      </c>
      <c r="E334">
        <v>324986</v>
      </c>
      <c r="F334">
        <v>0</v>
      </c>
    </row>
    <row r="335" spans="1:6" x14ac:dyDescent="0.25">
      <c r="A335" t="s">
        <v>60</v>
      </c>
      <c r="B335" t="s">
        <v>34</v>
      </c>
      <c r="C335" t="s">
        <v>132</v>
      </c>
      <c r="D335" t="s">
        <v>132</v>
      </c>
      <c r="E335">
        <v>324396</v>
      </c>
      <c r="F335">
        <v>0</v>
      </c>
    </row>
    <row r="336" spans="1:6" x14ac:dyDescent="0.25">
      <c r="A336" t="s">
        <v>191</v>
      </c>
      <c r="B336" t="s">
        <v>45</v>
      </c>
      <c r="C336" t="s">
        <v>126</v>
      </c>
      <c r="D336" t="s">
        <v>126</v>
      </c>
      <c r="E336">
        <v>319900</v>
      </c>
      <c r="F336">
        <v>0</v>
      </c>
    </row>
    <row r="337" spans="1:6" x14ac:dyDescent="0.25">
      <c r="A337" t="s">
        <v>186</v>
      </c>
      <c r="B337" t="s">
        <v>53</v>
      </c>
      <c r="C337" t="s">
        <v>127</v>
      </c>
      <c r="D337" t="s">
        <v>138</v>
      </c>
      <c r="E337">
        <v>319808</v>
      </c>
      <c r="F337">
        <v>0</v>
      </c>
    </row>
    <row r="338" spans="1:6" x14ac:dyDescent="0.25">
      <c r="A338" t="s">
        <v>199</v>
      </c>
      <c r="B338" t="s">
        <v>61</v>
      </c>
      <c r="C338" t="s">
        <v>125</v>
      </c>
      <c r="D338" t="s">
        <v>125</v>
      </c>
      <c r="E338">
        <v>317790</v>
      </c>
      <c r="F338">
        <v>0</v>
      </c>
    </row>
    <row r="339" spans="1:6" x14ac:dyDescent="0.25">
      <c r="A339" t="s">
        <v>189</v>
      </c>
      <c r="B339" t="s">
        <v>63</v>
      </c>
      <c r="C339" t="s">
        <v>125</v>
      </c>
      <c r="D339" t="s">
        <v>125</v>
      </c>
      <c r="E339">
        <v>317459</v>
      </c>
      <c r="F339">
        <v>0</v>
      </c>
    </row>
    <row r="340" spans="1:6" x14ac:dyDescent="0.25">
      <c r="A340" t="s">
        <v>49</v>
      </c>
      <c r="B340" t="s">
        <v>34</v>
      </c>
      <c r="C340" t="s">
        <v>125</v>
      </c>
      <c r="D340" t="s">
        <v>140</v>
      </c>
      <c r="E340">
        <v>317294</v>
      </c>
      <c r="F340">
        <v>0</v>
      </c>
    </row>
    <row r="341" spans="1:6" x14ac:dyDescent="0.25">
      <c r="A341" t="s">
        <v>200</v>
      </c>
      <c r="B341" t="s">
        <v>58</v>
      </c>
      <c r="C341" t="s">
        <v>125</v>
      </c>
      <c r="D341" t="s">
        <v>125</v>
      </c>
      <c r="E341">
        <v>314169</v>
      </c>
      <c r="F341">
        <v>0</v>
      </c>
    </row>
    <row r="342" spans="1:6" x14ac:dyDescent="0.25">
      <c r="A342" t="s">
        <v>72</v>
      </c>
      <c r="B342" t="s">
        <v>34</v>
      </c>
      <c r="C342" t="s">
        <v>126</v>
      </c>
      <c r="D342" t="s">
        <v>134</v>
      </c>
      <c r="E342">
        <v>312197</v>
      </c>
      <c r="F342">
        <v>0</v>
      </c>
    </row>
    <row r="343" spans="1:6" x14ac:dyDescent="0.25">
      <c r="A343" t="s">
        <v>162</v>
      </c>
      <c r="B343" t="s">
        <v>58</v>
      </c>
      <c r="C343" t="s">
        <v>127</v>
      </c>
      <c r="D343" t="s">
        <v>128</v>
      </c>
      <c r="E343">
        <v>310018</v>
      </c>
      <c r="F343">
        <v>0</v>
      </c>
    </row>
    <row r="344" spans="1:6" x14ac:dyDescent="0.25">
      <c r="A344" t="s">
        <v>198</v>
      </c>
      <c r="B344" t="s">
        <v>45</v>
      </c>
      <c r="C344" t="s">
        <v>125</v>
      </c>
      <c r="D344" t="s">
        <v>125</v>
      </c>
      <c r="E344">
        <v>309602</v>
      </c>
      <c r="F344">
        <v>0</v>
      </c>
    </row>
    <row r="345" spans="1:6" x14ac:dyDescent="0.25">
      <c r="A345" t="s">
        <v>164</v>
      </c>
      <c r="B345" t="s">
        <v>55</v>
      </c>
      <c r="C345" t="s">
        <v>132</v>
      </c>
      <c r="D345" t="s">
        <v>142</v>
      </c>
      <c r="E345">
        <v>308482</v>
      </c>
      <c r="F345">
        <v>0</v>
      </c>
    </row>
    <row r="346" spans="1:6" x14ac:dyDescent="0.25">
      <c r="A346" t="s">
        <v>201</v>
      </c>
      <c r="B346" t="s">
        <v>53</v>
      </c>
      <c r="C346" t="s">
        <v>126</v>
      </c>
      <c r="D346" t="s">
        <v>126</v>
      </c>
      <c r="E346">
        <v>307955</v>
      </c>
      <c r="F346">
        <v>0</v>
      </c>
    </row>
    <row r="347" spans="1:6" x14ac:dyDescent="0.25">
      <c r="A347" t="s">
        <v>187</v>
      </c>
      <c r="B347" t="s">
        <v>45</v>
      </c>
      <c r="C347" t="s">
        <v>126</v>
      </c>
      <c r="D347" t="s">
        <v>134</v>
      </c>
      <c r="E347">
        <v>304544</v>
      </c>
      <c r="F347">
        <v>0</v>
      </c>
    </row>
    <row r="348" spans="1:6" x14ac:dyDescent="0.25">
      <c r="A348" t="s">
        <v>202</v>
      </c>
      <c r="B348" t="s">
        <v>45</v>
      </c>
      <c r="C348" t="s">
        <v>125</v>
      </c>
      <c r="D348" t="s">
        <v>125</v>
      </c>
      <c r="E348">
        <v>303240</v>
      </c>
      <c r="F348">
        <v>0</v>
      </c>
    </row>
    <row r="349" spans="1:6" x14ac:dyDescent="0.25">
      <c r="A349" t="s">
        <v>66</v>
      </c>
      <c r="B349" t="s">
        <v>34</v>
      </c>
      <c r="C349" t="s">
        <v>125</v>
      </c>
      <c r="D349" t="s">
        <v>136</v>
      </c>
      <c r="E349">
        <v>300064</v>
      </c>
      <c r="F349">
        <v>0</v>
      </c>
    </row>
    <row r="350" spans="1:6" x14ac:dyDescent="0.25">
      <c r="A350" t="s">
        <v>186</v>
      </c>
      <c r="B350" t="s">
        <v>53</v>
      </c>
      <c r="C350" t="s">
        <v>132</v>
      </c>
      <c r="D350" t="s">
        <v>132</v>
      </c>
      <c r="E350">
        <v>294636</v>
      </c>
      <c r="F350">
        <v>0</v>
      </c>
    </row>
    <row r="351" spans="1:6" x14ac:dyDescent="0.25">
      <c r="A351" t="s">
        <v>201</v>
      </c>
      <c r="B351" t="s">
        <v>53</v>
      </c>
      <c r="C351" t="s">
        <v>132</v>
      </c>
      <c r="D351" t="s">
        <v>132</v>
      </c>
      <c r="E351">
        <v>289848</v>
      </c>
      <c r="F351">
        <v>0</v>
      </c>
    </row>
    <row r="352" spans="1:6" x14ac:dyDescent="0.25">
      <c r="A352" t="s">
        <v>71</v>
      </c>
      <c r="B352" t="s">
        <v>34</v>
      </c>
      <c r="C352" t="s">
        <v>125</v>
      </c>
      <c r="D352" t="s">
        <v>136</v>
      </c>
      <c r="E352">
        <v>287453</v>
      </c>
      <c r="F352">
        <v>0</v>
      </c>
    </row>
    <row r="353" spans="1:6" x14ac:dyDescent="0.25">
      <c r="A353" t="s">
        <v>164</v>
      </c>
      <c r="B353" t="s">
        <v>55</v>
      </c>
      <c r="C353" t="s">
        <v>125</v>
      </c>
      <c r="D353" t="s">
        <v>136</v>
      </c>
      <c r="E353">
        <v>286131</v>
      </c>
      <c r="F353">
        <v>0</v>
      </c>
    </row>
    <row r="354" spans="1:6" x14ac:dyDescent="0.25">
      <c r="A354" t="s">
        <v>180</v>
      </c>
      <c r="B354" t="s">
        <v>45</v>
      </c>
      <c r="C354" t="s">
        <v>125</v>
      </c>
      <c r="D354" t="s">
        <v>135</v>
      </c>
      <c r="E354">
        <v>282758</v>
      </c>
      <c r="F354">
        <v>0</v>
      </c>
    </row>
    <row r="355" spans="1:6" x14ac:dyDescent="0.25">
      <c r="A355" t="s">
        <v>203</v>
      </c>
      <c r="B355" t="s">
        <v>58</v>
      </c>
      <c r="C355" t="s">
        <v>125</v>
      </c>
      <c r="D355" t="s">
        <v>125</v>
      </c>
      <c r="E355">
        <v>280350</v>
      </c>
      <c r="F355">
        <v>0</v>
      </c>
    </row>
    <row r="356" spans="1:6" x14ac:dyDescent="0.25">
      <c r="A356" t="s">
        <v>180</v>
      </c>
      <c r="B356" t="s">
        <v>45</v>
      </c>
      <c r="C356" t="s">
        <v>132</v>
      </c>
      <c r="D356" t="s">
        <v>132</v>
      </c>
      <c r="E356">
        <v>278940</v>
      </c>
      <c r="F356">
        <v>0</v>
      </c>
    </row>
    <row r="357" spans="1:6" x14ac:dyDescent="0.25">
      <c r="A357" t="s">
        <v>166</v>
      </c>
      <c r="B357" t="s">
        <v>50</v>
      </c>
      <c r="C357" t="s">
        <v>127</v>
      </c>
      <c r="D357" t="s">
        <v>137</v>
      </c>
      <c r="E357">
        <v>278049</v>
      </c>
      <c r="F357">
        <v>0</v>
      </c>
    </row>
    <row r="358" spans="1:6" x14ac:dyDescent="0.25">
      <c r="A358" t="s">
        <v>204</v>
      </c>
      <c r="B358" t="s">
        <v>50</v>
      </c>
      <c r="C358" t="s">
        <v>125</v>
      </c>
      <c r="D358" t="s">
        <v>125</v>
      </c>
      <c r="E358">
        <v>274526</v>
      </c>
      <c r="F358">
        <v>0</v>
      </c>
    </row>
    <row r="359" spans="1:6" x14ac:dyDescent="0.25">
      <c r="A359" t="s">
        <v>182</v>
      </c>
      <c r="B359" t="s">
        <v>53</v>
      </c>
      <c r="C359" t="s">
        <v>126</v>
      </c>
      <c r="D359" t="s">
        <v>134</v>
      </c>
      <c r="E359">
        <v>273474</v>
      </c>
      <c r="F359">
        <v>0</v>
      </c>
    </row>
    <row r="360" spans="1:6" x14ac:dyDescent="0.25">
      <c r="A360" t="s">
        <v>176</v>
      </c>
      <c r="B360" t="s">
        <v>53</v>
      </c>
      <c r="C360" t="s">
        <v>132</v>
      </c>
      <c r="D360" t="s">
        <v>132</v>
      </c>
      <c r="E360">
        <v>272042</v>
      </c>
      <c r="F360">
        <v>0</v>
      </c>
    </row>
    <row r="361" spans="1:6" x14ac:dyDescent="0.25">
      <c r="A361" t="s">
        <v>72</v>
      </c>
      <c r="B361" t="s">
        <v>34</v>
      </c>
      <c r="C361" t="s">
        <v>127</v>
      </c>
      <c r="D361" t="s">
        <v>129</v>
      </c>
      <c r="E361">
        <v>270701</v>
      </c>
      <c r="F361">
        <v>0</v>
      </c>
    </row>
    <row r="362" spans="1:6" x14ac:dyDescent="0.25">
      <c r="A362" t="s">
        <v>186</v>
      </c>
      <c r="B362" t="s">
        <v>53</v>
      </c>
      <c r="C362" t="s">
        <v>127</v>
      </c>
      <c r="D362" t="s">
        <v>137</v>
      </c>
      <c r="E362">
        <v>268967</v>
      </c>
      <c r="F362">
        <v>0</v>
      </c>
    </row>
    <row r="363" spans="1:6" x14ac:dyDescent="0.25">
      <c r="A363" t="s">
        <v>193</v>
      </c>
      <c r="B363" t="s">
        <v>45</v>
      </c>
      <c r="C363" t="s">
        <v>125</v>
      </c>
      <c r="D363" t="s">
        <v>125</v>
      </c>
      <c r="E363">
        <v>267228</v>
      </c>
      <c r="F363">
        <v>0</v>
      </c>
    </row>
    <row r="364" spans="1:6" x14ac:dyDescent="0.25">
      <c r="A364" t="s">
        <v>197</v>
      </c>
      <c r="B364" t="s">
        <v>45</v>
      </c>
      <c r="C364" t="s">
        <v>125</v>
      </c>
      <c r="D364" t="s">
        <v>125</v>
      </c>
      <c r="E364">
        <v>262685</v>
      </c>
      <c r="F364">
        <v>0</v>
      </c>
    </row>
    <row r="365" spans="1:6" x14ac:dyDescent="0.25">
      <c r="A365" t="s">
        <v>54</v>
      </c>
      <c r="B365" t="s">
        <v>34</v>
      </c>
      <c r="C365" t="s">
        <v>127</v>
      </c>
      <c r="D365" t="s">
        <v>137</v>
      </c>
      <c r="E365">
        <v>261440</v>
      </c>
      <c r="F365">
        <v>0</v>
      </c>
    </row>
    <row r="366" spans="1:6" x14ac:dyDescent="0.25">
      <c r="A366" t="s">
        <v>72</v>
      </c>
      <c r="B366" t="s">
        <v>34</v>
      </c>
      <c r="C366" t="s">
        <v>127</v>
      </c>
      <c r="D366" t="s">
        <v>130</v>
      </c>
      <c r="E366">
        <v>261408</v>
      </c>
      <c r="F366">
        <v>0</v>
      </c>
    </row>
    <row r="367" spans="1:6" x14ac:dyDescent="0.25">
      <c r="A367" t="s">
        <v>205</v>
      </c>
      <c r="B367" t="s">
        <v>53</v>
      </c>
      <c r="C367" t="s">
        <v>125</v>
      </c>
      <c r="D367" t="s">
        <v>125</v>
      </c>
      <c r="E367">
        <v>259357</v>
      </c>
      <c r="F367">
        <v>0</v>
      </c>
    </row>
    <row r="368" spans="1:6" x14ac:dyDescent="0.25">
      <c r="A368" t="s">
        <v>176</v>
      </c>
      <c r="B368" t="s">
        <v>53</v>
      </c>
      <c r="C368" t="s">
        <v>125</v>
      </c>
      <c r="D368" t="s">
        <v>125</v>
      </c>
      <c r="E368">
        <v>259326</v>
      </c>
      <c r="F368">
        <v>0</v>
      </c>
    </row>
    <row r="369" spans="1:6" x14ac:dyDescent="0.25">
      <c r="A369" t="s">
        <v>67</v>
      </c>
      <c r="B369" t="s">
        <v>34</v>
      </c>
      <c r="C369" t="s">
        <v>127</v>
      </c>
      <c r="D369" t="s">
        <v>130</v>
      </c>
      <c r="E369">
        <v>258342</v>
      </c>
      <c r="F369">
        <v>0</v>
      </c>
    </row>
    <row r="370" spans="1:6" x14ac:dyDescent="0.25">
      <c r="A370" t="s">
        <v>191</v>
      </c>
      <c r="B370" t="s">
        <v>45</v>
      </c>
      <c r="C370" t="s">
        <v>125</v>
      </c>
      <c r="D370" t="s">
        <v>125</v>
      </c>
      <c r="E370">
        <v>257246</v>
      </c>
      <c r="F370">
        <v>0</v>
      </c>
    </row>
    <row r="371" spans="1:6" x14ac:dyDescent="0.25">
      <c r="A371" t="s">
        <v>198</v>
      </c>
      <c r="B371" t="s">
        <v>45</v>
      </c>
      <c r="C371" t="s">
        <v>131</v>
      </c>
      <c r="D371" t="s">
        <v>131</v>
      </c>
      <c r="E371">
        <v>255654</v>
      </c>
      <c r="F371">
        <v>0</v>
      </c>
    </row>
    <row r="372" spans="1:6" x14ac:dyDescent="0.25">
      <c r="A372" t="s">
        <v>82</v>
      </c>
      <c r="B372" t="s">
        <v>34</v>
      </c>
      <c r="C372" t="s">
        <v>126</v>
      </c>
      <c r="D372" t="s">
        <v>126</v>
      </c>
      <c r="E372">
        <v>254451</v>
      </c>
      <c r="F372">
        <v>0</v>
      </c>
    </row>
    <row r="373" spans="1:6" x14ac:dyDescent="0.25">
      <c r="A373" t="s">
        <v>175</v>
      </c>
      <c r="B373" t="s">
        <v>48</v>
      </c>
      <c r="C373" t="s">
        <v>126</v>
      </c>
      <c r="D373" t="s">
        <v>134</v>
      </c>
      <c r="E373">
        <v>254190</v>
      </c>
      <c r="F373">
        <v>0</v>
      </c>
    </row>
    <row r="374" spans="1:6" x14ac:dyDescent="0.25">
      <c r="A374" t="s">
        <v>206</v>
      </c>
      <c r="B374" t="s">
        <v>50</v>
      </c>
      <c r="C374" t="s">
        <v>125</v>
      </c>
      <c r="D374" t="s">
        <v>125</v>
      </c>
      <c r="E374">
        <v>253574</v>
      </c>
      <c r="F374">
        <v>0</v>
      </c>
    </row>
    <row r="375" spans="1:6" x14ac:dyDescent="0.25">
      <c r="A375" t="s">
        <v>161</v>
      </c>
      <c r="B375" t="s">
        <v>45</v>
      </c>
      <c r="C375" t="s">
        <v>126</v>
      </c>
      <c r="D375" t="s">
        <v>141</v>
      </c>
      <c r="E375">
        <v>251814</v>
      </c>
      <c r="F375">
        <v>0</v>
      </c>
    </row>
    <row r="376" spans="1:6" x14ac:dyDescent="0.25">
      <c r="A376" t="s">
        <v>64</v>
      </c>
      <c r="B376" t="s">
        <v>34</v>
      </c>
      <c r="C376" t="s">
        <v>127</v>
      </c>
      <c r="D376" t="s">
        <v>130</v>
      </c>
      <c r="E376">
        <v>251144</v>
      </c>
      <c r="F376">
        <v>0</v>
      </c>
    </row>
    <row r="377" spans="1:6" x14ac:dyDescent="0.25">
      <c r="A377" t="s">
        <v>207</v>
      </c>
      <c r="B377" t="s">
        <v>45</v>
      </c>
      <c r="C377" t="s">
        <v>125</v>
      </c>
      <c r="D377" t="s">
        <v>125</v>
      </c>
      <c r="E377">
        <v>249776</v>
      </c>
      <c r="F377">
        <v>0</v>
      </c>
    </row>
    <row r="378" spans="1:6" x14ac:dyDescent="0.25">
      <c r="A378" t="s">
        <v>163</v>
      </c>
      <c r="B378" t="s">
        <v>45</v>
      </c>
      <c r="C378" t="s">
        <v>127</v>
      </c>
      <c r="D378" t="s">
        <v>137</v>
      </c>
      <c r="E378">
        <v>248261</v>
      </c>
      <c r="F378">
        <v>0</v>
      </c>
    </row>
    <row r="379" spans="1:6" x14ac:dyDescent="0.25">
      <c r="A379" t="s">
        <v>171</v>
      </c>
      <c r="B379" t="s">
        <v>48</v>
      </c>
      <c r="C379" t="s">
        <v>125</v>
      </c>
      <c r="D379" t="s">
        <v>136</v>
      </c>
      <c r="E379">
        <v>248137</v>
      </c>
      <c r="F379">
        <v>0</v>
      </c>
    </row>
    <row r="380" spans="1:6" x14ac:dyDescent="0.25">
      <c r="A380" t="s">
        <v>168</v>
      </c>
      <c r="B380" t="s">
        <v>53</v>
      </c>
      <c r="C380" t="s">
        <v>132</v>
      </c>
      <c r="D380" t="s">
        <v>142</v>
      </c>
      <c r="E380">
        <v>247041</v>
      </c>
      <c r="F380">
        <v>0</v>
      </c>
    </row>
    <row r="381" spans="1:6" x14ac:dyDescent="0.25">
      <c r="A381" t="s">
        <v>47</v>
      </c>
      <c r="B381" t="s">
        <v>34</v>
      </c>
      <c r="C381" t="s">
        <v>127</v>
      </c>
      <c r="D381" t="s">
        <v>137</v>
      </c>
      <c r="E381">
        <v>246694</v>
      </c>
      <c r="F381">
        <v>0</v>
      </c>
    </row>
    <row r="382" spans="1:6" x14ac:dyDescent="0.25">
      <c r="A382" t="s">
        <v>165</v>
      </c>
      <c r="B382" t="s">
        <v>48</v>
      </c>
      <c r="C382" t="s">
        <v>132</v>
      </c>
      <c r="D382" t="s">
        <v>132</v>
      </c>
      <c r="E382">
        <v>245425</v>
      </c>
      <c r="F382">
        <v>0</v>
      </c>
    </row>
    <row r="383" spans="1:6" x14ac:dyDescent="0.25">
      <c r="A383" t="s">
        <v>188</v>
      </c>
      <c r="B383" t="s">
        <v>45</v>
      </c>
      <c r="C383" t="s">
        <v>126</v>
      </c>
      <c r="D383" t="s">
        <v>134</v>
      </c>
      <c r="E383">
        <v>243196</v>
      </c>
      <c r="F383">
        <v>0</v>
      </c>
    </row>
    <row r="384" spans="1:6" x14ac:dyDescent="0.25">
      <c r="A384" t="s">
        <v>161</v>
      </c>
      <c r="B384" t="s">
        <v>45</v>
      </c>
      <c r="C384" t="s">
        <v>127</v>
      </c>
      <c r="D384" t="s">
        <v>138</v>
      </c>
      <c r="E384">
        <v>241482</v>
      </c>
      <c r="F384">
        <v>0</v>
      </c>
    </row>
    <row r="385" spans="1:6" x14ac:dyDescent="0.25">
      <c r="A385" t="s">
        <v>168</v>
      </c>
      <c r="B385" t="s">
        <v>53</v>
      </c>
      <c r="C385" t="s">
        <v>125</v>
      </c>
      <c r="D385" t="s">
        <v>144</v>
      </c>
      <c r="E385">
        <v>240854</v>
      </c>
      <c r="F385">
        <v>0</v>
      </c>
    </row>
    <row r="386" spans="1:6" x14ac:dyDescent="0.25">
      <c r="A386" t="s">
        <v>67</v>
      </c>
      <c r="B386" t="s">
        <v>34</v>
      </c>
      <c r="C386" t="s">
        <v>131</v>
      </c>
      <c r="D386" t="s">
        <v>131</v>
      </c>
      <c r="E386">
        <v>236877</v>
      </c>
      <c r="F386">
        <v>0</v>
      </c>
    </row>
    <row r="387" spans="1:6" x14ac:dyDescent="0.25">
      <c r="A387" t="s">
        <v>74</v>
      </c>
      <c r="B387" t="s">
        <v>34</v>
      </c>
      <c r="C387" t="s">
        <v>127</v>
      </c>
      <c r="D387" t="s">
        <v>133</v>
      </c>
      <c r="E387">
        <v>236281</v>
      </c>
      <c r="F387">
        <v>0</v>
      </c>
    </row>
    <row r="388" spans="1:6" x14ac:dyDescent="0.25">
      <c r="A388" t="s">
        <v>185</v>
      </c>
      <c r="B388" t="s">
        <v>45</v>
      </c>
      <c r="C388" t="s">
        <v>125</v>
      </c>
      <c r="D388" t="s">
        <v>125</v>
      </c>
      <c r="E388">
        <v>234901</v>
      </c>
      <c r="F388">
        <v>0</v>
      </c>
    </row>
    <row r="389" spans="1:6" x14ac:dyDescent="0.25">
      <c r="A389" t="s">
        <v>201</v>
      </c>
      <c r="B389" t="s">
        <v>53</v>
      </c>
      <c r="C389" t="s">
        <v>125</v>
      </c>
      <c r="D389" t="s">
        <v>125</v>
      </c>
      <c r="E389">
        <v>231306</v>
      </c>
      <c r="F389">
        <v>0</v>
      </c>
    </row>
    <row r="390" spans="1:6" x14ac:dyDescent="0.25">
      <c r="A390" t="s">
        <v>89</v>
      </c>
      <c r="B390" t="s">
        <v>34</v>
      </c>
      <c r="C390" t="s">
        <v>125</v>
      </c>
      <c r="D390" t="s">
        <v>125</v>
      </c>
      <c r="E390">
        <v>230909</v>
      </c>
      <c r="F390">
        <v>0</v>
      </c>
    </row>
    <row r="391" spans="1:6" x14ac:dyDescent="0.25">
      <c r="A391" t="s">
        <v>162</v>
      </c>
      <c r="B391" t="s">
        <v>58</v>
      </c>
      <c r="C391" t="s">
        <v>127</v>
      </c>
      <c r="D391" t="s">
        <v>138</v>
      </c>
      <c r="E391">
        <v>227657</v>
      </c>
      <c r="F391">
        <v>0</v>
      </c>
    </row>
    <row r="392" spans="1:6" x14ac:dyDescent="0.25">
      <c r="A392" t="s">
        <v>90</v>
      </c>
      <c r="B392" t="s">
        <v>34</v>
      </c>
      <c r="C392" t="s">
        <v>125</v>
      </c>
      <c r="D392" t="s">
        <v>125</v>
      </c>
      <c r="E392">
        <v>227105</v>
      </c>
      <c r="F392">
        <v>0</v>
      </c>
    </row>
    <row r="393" spans="1:6" x14ac:dyDescent="0.25">
      <c r="A393" t="s">
        <v>182</v>
      </c>
      <c r="B393" t="s">
        <v>53</v>
      </c>
      <c r="C393" t="s">
        <v>143</v>
      </c>
      <c r="D393" t="s">
        <v>143</v>
      </c>
      <c r="E393">
        <v>226900</v>
      </c>
      <c r="F393">
        <v>0</v>
      </c>
    </row>
    <row r="394" spans="1:6" x14ac:dyDescent="0.25">
      <c r="A394" t="s">
        <v>176</v>
      </c>
      <c r="B394" t="s">
        <v>53</v>
      </c>
      <c r="C394" t="s">
        <v>127</v>
      </c>
      <c r="D394" t="s">
        <v>137</v>
      </c>
      <c r="E394">
        <v>226036</v>
      </c>
      <c r="F394">
        <v>0</v>
      </c>
    </row>
    <row r="395" spans="1:6" x14ac:dyDescent="0.25">
      <c r="A395" t="s">
        <v>171</v>
      </c>
      <c r="B395" t="s">
        <v>48</v>
      </c>
      <c r="C395" t="s">
        <v>125</v>
      </c>
      <c r="D395" t="s">
        <v>139</v>
      </c>
      <c r="E395">
        <v>223072</v>
      </c>
      <c r="F395">
        <v>0</v>
      </c>
    </row>
    <row r="396" spans="1:6" x14ac:dyDescent="0.25">
      <c r="A396" t="s">
        <v>185</v>
      </c>
      <c r="B396" t="s">
        <v>45</v>
      </c>
      <c r="C396" t="s">
        <v>126</v>
      </c>
      <c r="D396" t="s">
        <v>134</v>
      </c>
      <c r="E396">
        <v>222435</v>
      </c>
      <c r="F396">
        <v>0</v>
      </c>
    </row>
    <row r="397" spans="1:6" x14ac:dyDescent="0.25">
      <c r="A397" t="s">
        <v>54</v>
      </c>
      <c r="B397" t="s">
        <v>34</v>
      </c>
      <c r="C397" t="s">
        <v>127</v>
      </c>
      <c r="D397" t="s">
        <v>138</v>
      </c>
      <c r="E397">
        <v>220386</v>
      </c>
      <c r="F397">
        <v>0</v>
      </c>
    </row>
    <row r="398" spans="1:6" x14ac:dyDescent="0.25">
      <c r="A398" t="s">
        <v>168</v>
      </c>
      <c r="B398" t="s">
        <v>53</v>
      </c>
      <c r="C398" t="s">
        <v>125</v>
      </c>
      <c r="D398" t="s">
        <v>139</v>
      </c>
      <c r="E398">
        <v>219309</v>
      </c>
      <c r="F398">
        <v>0</v>
      </c>
    </row>
    <row r="399" spans="1:6" x14ac:dyDescent="0.25">
      <c r="A399" t="s">
        <v>69</v>
      </c>
      <c r="B399" t="s">
        <v>34</v>
      </c>
      <c r="C399" t="s">
        <v>132</v>
      </c>
      <c r="D399" t="s">
        <v>145</v>
      </c>
      <c r="E399">
        <v>216872</v>
      </c>
      <c r="F399">
        <v>0</v>
      </c>
    </row>
    <row r="400" spans="1:6" x14ac:dyDescent="0.25">
      <c r="A400" t="s">
        <v>177</v>
      </c>
      <c r="B400" t="s">
        <v>48</v>
      </c>
      <c r="C400" t="s">
        <v>125</v>
      </c>
      <c r="D400" t="s">
        <v>136</v>
      </c>
      <c r="E400">
        <v>214326</v>
      </c>
      <c r="F400">
        <v>0</v>
      </c>
    </row>
    <row r="401" spans="1:6" x14ac:dyDescent="0.25">
      <c r="A401" t="s">
        <v>208</v>
      </c>
      <c r="B401" t="s">
        <v>45</v>
      </c>
      <c r="C401" t="s">
        <v>126</v>
      </c>
      <c r="D401" t="s">
        <v>126</v>
      </c>
      <c r="E401">
        <v>214270</v>
      </c>
      <c r="F401">
        <v>0</v>
      </c>
    </row>
    <row r="402" spans="1:6" x14ac:dyDescent="0.25">
      <c r="A402" t="s">
        <v>188</v>
      </c>
      <c r="B402" t="s">
        <v>45</v>
      </c>
      <c r="C402" t="s">
        <v>131</v>
      </c>
      <c r="D402" t="s">
        <v>131</v>
      </c>
      <c r="E402">
        <v>213973</v>
      </c>
      <c r="F402">
        <v>0</v>
      </c>
    </row>
    <row r="403" spans="1:6" x14ac:dyDescent="0.25">
      <c r="A403" t="s">
        <v>165</v>
      </c>
      <c r="B403" t="s">
        <v>48</v>
      </c>
      <c r="C403" t="s">
        <v>127</v>
      </c>
      <c r="D403" t="s">
        <v>137</v>
      </c>
      <c r="E403">
        <v>211992</v>
      </c>
      <c r="F403">
        <v>0</v>
      </c>
    </row>
    <row r="404" spans="1:6" x14ac:dyDescent="0.25">
      <c r="A404" t="s">
        <v>73</v>
      </c>
      <c r="B404" t="s">
        <v>34</v>
      </c>
      <c r="C404" t="s">
        <v>132</v>
      </c>
      <c r="D404" t="s">
        <v>132</v>
      </c>
      <c r="E404">
        <v>208011</v>
      </c>
      <c r="F404">
        <v>0</v>
      </c>
    </row>
    <row r="405" spans="1:6" x14ac:dyDescent="0.25">
      <c r="A405" t="s">
        <v>164</v>
      </c>
      <c r="B405" t="s">
        <v>55</v>
      </c>
      <c r="C405" t="s">
        <v>125</v>
      </c>
      <c r="D405" t="s">
        <v>139</v>
      </c>
      <c r="E405">
        <v>207153</v>
      </c>
      <c r="F405">
        <v>0</v>
      </c>
    </row>
    <row r="406" spans="1:6" x14ac:dyDescent="0.25">
      <c r="A406" t="s">
        <v>209</v>
      </c>
      <c r="B406" t="s">
        <v>45</v>
      </c>
      <c r="C406" t="s">
        <v>125</v>
      </c>
      <c r="D406" t="s">
        <v>125</v>
      </c>
      <c r="E406">
        <v>207147</v>
      </c>
      <c r="F406">
        <v>0</v>
      </c>
    </row>
    <row r="407" spans="1:6" x14ac:dyDescent="0.25">
      <c r="A407" t="s">
        <v>72</v>
      </c>
      <c r="B407" t="s">
        <v>34</v>
      </c>
      <c r="C407" t="s">
        <v>125</v>
      </c>
      <c r="D407" t="s">
        <v>135</v>
      </c>
      <c r="E407">
        <v>203743</v>
      </c>
      <c r="F407">
        <v>0</v>
      </c>
    </row>
    <row r="408" spans="1:6" x14ac:dyDescent="0.25">
      <c r="A408" t="s">
        <v>74</v>
      </c>
      <c r="B408" t="s">
        <v>34</v>
      </c>
      <c r="C408" t="s">
        <v>127</v>
      </c>
      <c r="D408" t="s">
        <v>137</v>
      </c>
      <c r="E408">
        <v>200971</v>
      </c>
      <c r="F408">
        <v>0</v>
      </c>
    </row>
    <row r="409" spans="1:6" x14ac:dyDescent="0.25">
      <c r="A409" t="s">
        <v>164</v>
      </c>
      <c r="B409" t="s">
        <v>55</v>
      </c>
      <c r="C409" t="s">
        <v>132</v>
      </c>
      <c r="D409" t="s">
        <v>145</v>
      </c>
      <c r="E409">
        <v>200403</v>
      </c>
      <c r="F409">
        <v>0</v>
      </c>
    </row>
    <row r="410" spans="1:6" x14ac:dyDescent="0.25">
      <c r="A410" t="s">
        <v>209</v>
      </c>
      <c r="B410" t="s">
        <v>45</v>
      </c>
      <c r="C410" t="s">
        <v>126</v>
      </c>
      <c r="D410" t="s">
        <v>126</v>
      </c>
      <c r="E410">
        <v>200339</v>
      </c>
      <c r="F410">
        <v>0</v>
      </c>
    </row>
    <row r="411" spans="1:6" x14ac:dyDescent="0.25">
      <c r="A411" t="s">
        <v>166</v>
      </c>
      <c r="B411" t="s">
        <v>50</v>
      </c>
      <c r="C411" t="s">
        <v>125</v>
      </c>
      <c r="D411" t="s">
        <v>140</v>
      </c>
      <c r="E411">
        <v>200304</v>
      </c>
      <c r="F411">
        <v>0</v>
      </c>
    </row>
    <row r="412" spans="1:6" x14ac:dyDescent="0.25">
      <c r="A412" t="s">
        <v>174</v>
      </c>
      <c r="B412" t="s">
        <v>45</v>
      </c>
      <c r="C412" t="s">
        <v>132</v>
      </c>
      <c r="D412" t="s">
        <v>132</v>
      </c>
      <c r="E412">
        <v>197318</v>
      </c>
      <c r="F412">
        <v>0</v>
      </c>
    </row>
    <row r="413" spans="1:6" x14ac:dyDescent="0.25">
      <c r="A413" t="s">
        <v>49</v>
      </c>
      <c r="B413" t="s">
        <v>34</v>
      </c>
      <c r="C413" t="s">
        <v>125</v>
      </c>
      <c r="D413" t="s">
        <v>139</v>
      </c>
      <c r="E413">
        <v>195990</v>
      </c>
      <c r="F413">
        <v>0</v>
      </c>
    </row>
    <row r="414" spans="1:6" x14ac:dyDescent="0.25">
      <c r="A414" t="s">
        <v>177</v>
      </c>
      <c r="B414" t="s">
        <v>48</v>
      </c>
      <c r="C414" t="s">
        <v>127</v>
      </c>
      <c r="D414" t="s">
        <v>137</v>
      </c>
      <c r="E414">
        <v>195294</v>
      </c>
      <c r="F414">
        <v>0</v>
      </c>
    </row>
    <row r="415" spans="1:6" x14ac:dyDescent="0.25">
      <c r="A415" t="s">
        <v>164</v>
      </c>
      <c r="B415" t="s">
        <v>55</v>
      </c>
      <c r="C415" t="s">
        <v>125</v>
      </c>
      <c r="D415" t="s">
        <v>144</v>
      </c>
      <c r="E415">
        <v>194753</v>
      </c>
      <c r="F415">
        <v>0</v>
      </c>
    </row>
    <row r="416" spans="1:6" x14ac:dyDescent="0.25">
      <c r="A416" t="s">
        <v>169</v>
      </c>
      <c r="B416" t="s">
        <v>45</v>
      </c>
      <c r="C416" t="s">
        <v>125</v>
      </c>
      <c r="D416" t="s">
        <v>139</v>
      </c>
      <c r="E416">
        <v>194236</v>
      </c>
      <c r="F416">
        <v>0</v>
      </c>
    </row>
    <row r="417" spans="1:6" x14ac:dyDescent="0.25">
      <c r="A417" t="s">
        <v>169</v>
      </c>
      <c r="B417" t="s">
        <v>45</v>
      </c>
      <c r="C417" t="s">
        <v>127</v>
      </c>
      <c r="D417" t="s">
        <v>138</v>
      </c>
      <c r="E417">
        <v>194015</v>
      </c>
      <c r="F417">
        <v>0</v>
      </c>
    </row>
    <row r="418" spans="1:6" x14ac:dyDescent="0.25">
      <c r="A418" t="s">
        <v>77</v>
      </c>
      <c r="B418" t="s">
        <v>34</v>
      </c>
      <c r="C418" t="s">
        <v>126</v>
      </c>
      <c r="D418" t="s">
        <v>134</v>
      </c>
      <c r="E418">
        <v>191034</v>
      </c>
      <c r="F418">
        <v>0</v>
      </c>
    </row>
    <row r="419" spans="1:6" x14ac:dyDescent="0.25">
      <c r="A419" t="s">
        <v>173</v>
      </c>
      <c r="B419" t="s">
        <v>61</v>
      </c>
      <c r="C419" t="s">
        <v>125</v>
      </c>
      <c r="D419" t="s">
        <v>135</v>
      </c>
      <c r="E419">
        <v>190820</v>
      </c>
      <c r="F419">
        <v>0</v>
      </c>
    </row>
    <row r="420" spans="1:6" x14ac:dyDescent="0.25">
      <c r="A420" t="s">
        <v>49</v>
      </c>
      <c r="B420" t="s">
        <v>34</v>
      </c>
      <c r="C420" t="s">
        <v>127</v>
      </c>
      <c r="D420" t="s">
        <v>138</v>
      </c>
      <c r="E420">
        <v>188674</v>
      </c>
      <c r="F420">
        <v>0</v>
      </c>
    </row>
    <row r="421" spans="1:6" x14ac:dyDescent="0.25">
      <c r="A421" t="s">
        <v>181</v>
      </c>
      <c r="B421" t="s">
        <v>50</v>
      </c>
      <c r="C421" t="s">
        <v>127</v>
      </c>
      <c r="D421" t="s">
        <v>137</v>
      </c>
      <c r="E421">
        <v>187429</v>
      </c>
      <c r="F421">
        <v>0</v>
      </c>
    </row>
    <row r="422" spans="1:6" x14ac:dyDescent="0.25">
      <c r="A422" t="s">
        <v>181</v>
      </c>
      <c r="B422" t="s">
        <v>50</v>
      </c>
      <c r="C422" t="s">
        <v>127</v>
      </c>
      <c r="D422" t="s">
        <v>133</v>
      </c>
      <c r="E422">
        <v>185716</v>
      </c>
      <c r="F422">
        <v>0</v>
      </c>
    </row>
    <row r="423" spans="1:6" x14ac:dyDescent="0.25">
      <c r="A423" t="s">
        <v>178</v>
      </c>
      <c r="B423" t="s">
        <v>58</v>
      </c>
      <c r="C423" t="s">
        <v>125</v>
      </c>
      <c r="D423" t="s">
        <v>135</v>
      </c>
      <c r="E423">
        <v>183922</v>
      </c>
      <c r="F423">
        <v>0</v>
      </c>
    </row>
    <row r="424" spans="1:6" x14ac:dyDescent="0.25">
      <c r="A424" t="s">
        <v>183</v>
      </c>
      <c r="B424" t="s">
        <v>45</v>
      </c>
      <c r="C424" t="s">
        <v>126</v>
      </c>
      <c r="D424" t="s">
        <v>134</v>
      </c>
      <c r="E424">
        <v>182534</v>
      </c>
      <c r="F424">
        <v>0</v>
      </c>
    </row>
    <row r="425" spans="1:6" x14ac:dyDescent="0.25">
      <c r="A425" t="s">
        <v>174</v>
      </c>
      <c r="B425" t="s">
        <v>45</v>
      </c>
      <c r="C425" t="s">
        <v>127</v>
      </c>
      <c r="D425" t="s">
        <v>133</v>
      </c>
      <c r="E425">
        <v>182310</v>
      </c>
      <c r="F425">
        <v>0</v>
      </c>
    </row>
    <row r="426" spans="1:6" x14ac:dyDescent="0.25">
      <c r="A426" t="s">
        <v>194</v>
      </c>
      <c r="B426" t="s">
        <v>58</v>
      </c>
      <c r="C426" t="s">
        <v>127</v>
      </c>
      <c r="D426" t="s">
        <v>129</v>
      </c>
      <c r="E426">
        <v>180340</v>
      </c>
      <c r="F426">
        <v>0</v>
      </c>
    </row>
    <row r="427" spans="1:6" x14ac:dyDescent="0.25">
      <c r="A427" t="s">
        <v>57</v>
      </c>
      <c r="B427" t="s">
        <v>34</v>
      </c>
      <c r="C427" t="s">
        <v>131</v>
      </c>
      <c r="D427" t="s">
        <v>131</v>
      </c>
      <c r="E427">
        <v>180126</v>
      </c>
      <c r="F427">
        <v>0</v>
      </c>
    </row>
    <row r="428" spans="1:6" x14ac:dyDescent="0.25">
      <c r="A428" t="s">
        <v>44</v>
      </c>
      <c r="B428" t="s">
        <v>34</v>
      </c>
      <c r="C428" t="s">
        <v>127</v>
      </c>
      <c r="D428" t="s">
        <v>129</v>
      </c>
      <c r="E428">
        <v>179133</v>
      </c>
      <c r="F428">
        <v>0</v>
      </c>
    </row>
    <row r="429" spans="1:6" x14ac:dyDescent="0.25">
      <c r="A429" t="s">
        <v>60</v>
      </c>
      <c r="B429" t="s">
        <v>34</v>
      </c>
      <c r="C429" t="s">
        <v>127</v>
      </c>
      <c r="D429" t="s">
        <v>137</v>
      </c>
      <c r="E429">
        <v>178559</v>
      </c>
      <c r="F429">
        <v>0</v>
      </c>
    </row>
    <row r="430" spans="1:6" x14ac:dyDescent="0.25">
      <c r="A430" t="s">
        <v>188</v>
      </c>
      <c r="B430" t="s">
        <v>45</v>
      </c>
      <c r="C430" t="s">
        <v>127</v>
      </c>
      <c r="D430" t="s">
        <v>137</v>
      </c>
      <c r="E430">
        <v>178265</v>
      </c>
      <c r="F430">
        <v>0</v>
      </c>
    </row>
    <row r="431" spans="1:6" x14ac:dyDescent="0.25">
      <c r="A431" t="s">
        <v>182</v>
      </c>
      <c r="B431" t="s">
        <v>53</v>
      </c>
      <c r="C431" t="s">
        <v>132</v>
      </c>
      <c r="D431" t="s">
        <v>132</v>
      </c>
      <c r="E431">
        <v>177681</v>
      </c>
      <c r="F431">
        <v>0</v>
      </c>
    </row>
    <row r="432" spans="1:6" x14ac:dyDescent="0.25">
      <c r="A432" t="s">
        <v>54</v>
      </c>
      <c r="B432" t="s">
        <v>34</v>
      </c>
      <c r="C432" t="s">
        <v>132</v>
      </c>
      <c r="D432" t="s">
        <v>132</v>
      </c>
      <c r="E432">
        <v>177003</v>
      </c>
      <c r="F432">
        <v>0</v>
      </c>
    </row>
    <row r="433" spans="1:6" x14ac:dyDescent="0.25">
      <c r="A433" t="s">
        <v>91</v>
      </c>
      <c r="B433" t="s">
        <v>34</v>
      </c>
      <c r="C433" t="s">
        <v>126</v>
      </c>
      <c r="D433" t="s">
        <v>126</v>
      </c>
      <c r="E433">
        <v>175729</v>
      </c>
      <c r="F433">
        <v>0</v>
      </c>
    </row>
    <row r="434" spans="1:6" x14ac:dyDescent="0.25">
      <c r="A434" t="s">
        <v>179</v>
      </c>
      <c r="B434" t="s">
        <v>45</v>
      </c>
      <c r="C434" t="s">
        <v>126</v>
      </c>
      <c r="D434" t="s">
        <v>134</v>
      </c>
      <c r="E434">
        <v>175180</v>
      </c>
      <c r="F434">
        <v>0</v>
      </c>
    </row>
    <row r="435" spans="1:6" x14ac:dyDescent="0.25">
      <c r="A435" t="s">
        <v>92</v>
      </c>
      <c r="B435" t="s">
        <v>34</v>
      </c>
      <c r="C435" t="s">
        <v>125</v>
      </c>
      <c r="D435" t="s">
        <v>125</v>
      </c>
      <c r="E435">
        <v>174350</v>
      </c>
      <c r="F435">
        <v>0</v>
      </c>
    </row>
    <row r="436" spans="1:6" x14ac:dyDescent="0.25">
      <c r="A436" t="s">
        <v>73</v>
      </c>
      <c r="B436" t="s">
        <v>34</v>
      </c>
      <c r="C436" t="s">
        <v>127</v>
      </c>
      <c r="D436" t="s">
        <v>137</v>
      </c>
      <c r="E436">
        <v>173189</v>
      </c>
      <c r="F436">
        <v>0</v>
      </c>
    </row>
    <row r="437" spans="1:6" x14ac:dyDescent="0.25">
      <c r="A437" t="s">
        <v>75</v>
      </c>
      <c r="B437" t="s">
        <v>34</v>
      </c>
      <c r="C437" t="s">
        <v>125</v>
      </c>
      <c r="D437" t="s">
        <v>140</v>
      </c>
      <c r="E437">
        <v>171867</v>
      </c>
      <c r="F437">
        <v>0</v>
      </c>
    </row>
    <row r="438" spans="1:6" x14ac:dyDescent="0.25">
      <c r="A438" t="s">
        <v>162</v>
      </c>
      <c r="B438" t="s">
        <v>58</v>
      </c>
      <c r="C438" t="s">
        <v>143</v>
      </c>
      <c r="D438" t="s">
        <v>143</v>
      </c>
      <c r="E438">
        <v>171028</v>
      </c>
      <c r="F438">
        <v>0</v>
      </c>
    </row>
    <row r="439" spans="1:6" x14ac:dyDescent="0.25">
      <c r="A439" t="s">
        <v>80</v>
      </c>
      <c r="B439" t="s">
        <v>34</v>
      </c>
      <c r="C439" t="s">
        <v>131</v>
      </c>
      <c r="D439" t="s">
        <v>131</v>
      </c>
      <c r="E439">
        <v>170475</v>
      </c>
      <c r="F439">
        <v>0</v>
      </c>
    </row>
    <row r="440" spans="1:6" x14ac:dyDescent="0.25">
      <c r="A440" t="s">
        <v>184</v>
      </c>
      <c r="B440" t="s">
        <v>50</v>
      </c>
      <c r="C440" t="s">
        <v>125</v>
      </c>
      <c r="D440" t="s">
        <v>136</v>
      </c>
      <c r="E440">
        <v>170140</v>
      </c>
      <c r="F440">
        <v>0</v>
      </c>
    </row>
    <row r="441" spans="1:6" x14ac:dyDescent="0.25">
      <c r="A441" t="s">
        <v>184</v>
      </c>
      <c r="B441" t="s">
        <v>50</v>
      </c>
      <c r="C441" t="s">
        <v>125</v>
      </c>
      <c r="D441" t="s">
        <v>135</v>
      </c>
      <c r="E441">
        <v>167260</v>
      </c>
      <c r="F441">
        <v>0</v>
      </c>
    </row>
    <row r="442" spans="1:6" x14ac:dyDescent="0.25">
      <c r="A442" t="s">
        <v>210</v>
      </c>
      <c r="B442" t="s">
        <v>45</v>
      </c>
      <c r="C442" t="s">
        <v>125</v>
      </c>
      <c r="D442" t="s">
        <v>125</v>
      </c>
      <c r="E442">
        <v>166790</v>
      </c>
      <c r="F442">
        <v>0</v>
      </c>
    </row>
    <row r="443" spans="1:6" x14ac:dyDescent="0.25">
      <c r="A443" t="s">
        <v>211</v>
      </c>
      <c r="B443" t="s">
        <v>65</v>
      </c>
      <c r="C443" t="s">
        <v>125</v>
      </c>
      <c r="D443" t="s">
        <v>125</v>
      </c>
      <c r="E443">
        <v>166018</v>
      </c>
      <c r="F443">
        <v>0</v>
      </c>
    </row>
    <row r="444" spans="1:6" x14ac:dyDescent="0.25">
      <c r="A444" t="s">
        <v>170</v>
      </c>
      <c r="B444" t="s">
        <v>61</v>
      </c>
      <c r="C444" t="s">
        <v>125</v>
      </c>
      <c r="D444" t="s">
        <v>139</v>
      </c>
      <c r="E444">
        <v>165902</v>
      </c>
      <c r="F444">
        <v>0</v>
      </c>
    </row>
    <row r="445" spans="1:6" x14ac:dyDescent="0.25">
      <c r="A445" t="s">
        <v>89</v>
      </c>
      <c r="B445" t="s">
        <v>34</v>
      </c>
      <c r="C445" t="s">
        <v>125</v>
      </c>
      <c r="D445" t="s">
        <v>135</v>
      </c>
      <c r="E445">
        <v>164320</v>
      </c>
      <c r="F445">
        <v>0</v>
      </c>
    </row>
    <row r="446" spans="1:6" x14ac:dyDescent="0.25">
      <c r="A446" t="s">
        <v>175</v>
      </c>
      <c r="B446" t="s">
        <v>48</v>
      </c>
      <c r="C446" t="s">
        <v>125</v>
      </c>
      <c r="D446" t="s">
        <v>139</v>
      </c>
      <c r="E446">
        <v>163824</v>
      </c>
      <c r="F446">
        <v>0</v>
      </c>
    </row>
    <row r="447" spans="1:6" x14ac:dyDescent="0.25">
      <c r="A447" t="s">
        <v>184</v>
      </c>
      <c r="B447" t="s">
        <v>50</v>
      </c>
      <c r="C447" t="s">
        <v>125</v>
      </c>
      <c r="D447" t="s">
        <v>144</v>
      </c>
      <c r="E447">
        <v>162998</v>
      </c>
      <c r="F447">
        <v>0</v>
      </c>
    </row>
    <row r="448" spans="1:6" x14ac:dyDescent="0.25">
      <c r="A448" t="s">
        <v>79</v>
      </c>
      <c r="B448" t="s">
        <v>34</v>
      </c>
      <c r="C448" t="s">
        <v>127</v>
      </c>
      <c r="D448" t="s">
        <v>133</v>
      </c>
      <c r="E448">
        <v>162799</v>
      </c>
      <c r="F448">
        <v>0</v>
      </c>
    </row>
    <row r="449" spans="1:6" x14ac:dyDescent="0.25">
      <c r="A449" t="s">
        <v>162</v>
      </c>
      <c r="B449" t="s">
        <v>58</v>
      </c>
      <c r="C449" t="s">
        <v>125</v>
      </c>
      <c r="D449" t="s">
        <v>139</v>
      </c>
      <c r="E449">
        <v>162462</v>
      </c>
      <c r="F449">
        <v>0</v>
      </c>
    </row>
    <row r="450" spans="1:6" x14ac:dyDescent="0.25">
      <c r="A450" t="s">
        <v>165</v>
      </c>
      <c r="B450" t="s">
        <v>48</v>
      </c>
      <c r="C450" t="s">
        <v>127</v>
      </c>
      <c r="D450" t="s">
        <v>138</v>
      </c>
      <c r="E450">
        <v>162312</v>
      </c>
      <c r="F450">
        <v>0</v>
      </c>
    </row>
    <row r="451" spans="1:6" x14ac:dyDescent="0.25">
      <c r="A451" t="s">
        <v>74</v>
      </c>
      <c r="B451" t="s">
        <v>34</v>
      </c>
      <c r="C451" t="s">
        <v>125</v>
      </c>
      <c r="D451" t="s">
        <v>136</v>
      </c>
      <c r="E451">
        <v>161696</v>
      </c>
      <c r="F451">
        <v>0</v>
      </c>
    </row>
    <row r="452" spans="1:6" x14ac:dyDescent="0.25">
      <c r="A452" t="s">
        <v>66</v>
      </c>
      <c r="B452" t="s">
        <v>34</v>
      </c>
      <c r="C452" t="s">
        <v>125</v>
      </c>
      <c r="D452" t="s">
        <v>140</v>
      </c>
      <c r="E452">
        <v>160420</v>
      </c>
      <c r="F452">
        <v>0</v>
      </c>
    </row>
    <row r="453" spans="1:6" x14ac:dyDescent="0.25">
      <c r="A453" t="s">
        <v>177</v>
      </c>
      <c r="B453" t="s">
        <v>48</v>
      </c>
      <c r="C453" t="s">
        <v>125</v>
      </c>
      <c r="D453" t="s">
        <v>139</v>
      </c>
      <c r="E453">
        <v>158819</v>
      </c>
      <c r="F453">
        <v>0</v>
      </c>
    </row>
    <row r="454" spans="1:6" x14ac:dyDescent="0.25">
      <c r="A454" t="s">
        <v>162</v>
      </c>
      <c r="B454" t="s">
        <v>58</v>
      </c>
      <c r="C454" t="s">
        <v>132</v>
      </c>
      <c r="D454" t="s">
        <v>145</v>
      </c>
      <c r="E454">
        <v>158758</v>
      </c>
      <c r="F454">
        <v>0</v>
      </c>
    </row>
    <row r="455" spans="1:6" x14ac:dyDescent="0.25">
      <c r="A455" t="s">
        <v>74</v>
      </c>
      <c r="B455" t="s">
        <v>34</v>
      </c>
      <c r="C455" t="s">
        <v>132</v>
      </c>
      <c r="D455" t="s">
        <v>132</v>
      </c>
      <c r="E455">
        <v>158356</v>
      </c>
      <c r="F455">
        <v>0</v>
      </c>
    </row>
    <row r="456" spans="1:6" x14ac:dyDescent="0.25">
      <c r="A456" t="s">
        <v>210</v>
      </c>
      <c r="B456" t="s">
        <v>45</v>
      </c>
      <c r="C456" t="s">
        <v>131</v>
      </c>
      <c r="D456" t="s">
        <v>131</v>
      </c>
      <c r="E456">
        <v>158233</v>
      </c>
      <c r="F456">
        <v>0</v>
      </c>
    </row>
    <row r="457" spans="1:6" x14ac:dyDescent="0.25">
      <c r="A457" t="s">
        <v>187</v>
      </c>
      <c r="B457" t="s">
        <v>45</v>
      </c>
      <c r="C457" t="s">
        <v>127</v>
      </c>
      <c r="D457" t="s">
        <v>137</v>
      </c>
      <c r="E457">
        <v>157336</v>
      </c>
      <c r="F457">
        <v>0</v>
      </c>
    </row>
    <row r="458" spans="1:6" x14ac:dyDescent="0.25">
      <c r="A458" t="s">
        <v>167</v>
      </c>
      <c r="B458" t="s">
        <v>50</v>
      </c>
      <c r="C458" t="s">
        <v>125</v>
      </c>
      <c r="D458" t="s">
        <v>140</v>
      </c>
      <c r="E458">
        <v>157051</v>
      </c>
      <c r="F458">
        <v>0</v>
      </c>
    </row>
    <row r="459" spans="1:6" x14ac:dyDescent="0.25">
      <c r="A459" t="s">
        <v>167</v>
      </c>
      <c r="B459" t="s">
        <v>50</v>
      </c>
      <c r="C459" t="s">
        <v>125</v>
      </c>
      <c r="D459" t="s">
        <v>139</v>
      </c>
      <c r="E459">
        <v>156858</v>
      </c>
      <c r="F459">
        <v>0</v>
      </c>
    </row>
    <row r="460" spans="1:6" x14ac:dyDescent="0.25">
      <c r="A460" t="s">
        <v>190</v>
      </c>
      <c r="B460" t="s">
        <v>45</v>
      </c>
      <c r="C460" t="s">
        <v>126</v>
      </c>
      <c r="D460" t="s">
        <v>134</v>
      </c>
      <c r="E460">
        <v>156535</v>
      </c>
      <c r="F460">
        <v>0</v>
      </c>
    </row>
    <row r="461" spans="1:6" x14ac:dyDescent="0.25">
      <c r="A461" t="s">
        <v>182</v>
      </c>
      <c r="B461" t="s">
        <v>53</v>
      </c>
      <c r="C461" t="s">
        <v>127</v>
      </c>
      <c r="D461" t="s">
        <v>128</v>
      </c>
      <c r="E461">
        <v>156409</v>
      </c>
      <c r="F461">
        <v>0</v>
      </c>
    </row>
    <row r="462" spans="1:6" x14ac:dyDescent="0.25">
      <c r="A462" t="s">
        <v>180</v>
      </c>
      <c r="B462" t="s">
        <v>45</v>
      </c>
      <c r="C462" t="s">
        <v>125</v>
      </c>
      <c r="D462" t="s">
        <v>136</v>
      </c>
      <c r="E462">
        <v>153412</v>
      </c>
      <c r="F462">
        <v>0</v>
      </c>
    </row>
    <row r="463" spans="1:6" x14ac:dyDescent="0.25">
      <c r="A463" t="s">
        <v>161</v>
      </c>
      <c r="B463" t="s">
        <v>45</v>
      </c>
      <c r="C463" t="s">
        <v>125</v>
      </c>
      <c r="D463" t="s">
        <v>140</v>
      </c>
      <c r="E463">
        <v>151725</v>
      </c>
      <c r="F463">
        <v>0</v>
      </c>
    </row>
    <row r="464" spans="1:6" x14ac:dyDescent="0.25">
      <c r="A464" t="s">
        <v>54</v>
      </c>
      <c r="B464" t="s">
        <v>34</v>
      </c>
      <c r="C464" t="s">
        <v>125</v>
      </c>
      <c r="D464" t="s">
        <v>140</v>
      </c>
      <c r="E464">
        <v>151718</v>
      </c>
      <c r="F464">
        <v>0</v>
      </c>
    </row>
    <row r="465" spans="1:6" x14ac:dyDescent="0.25">
      <c r="A465" t="s">
        <v>170</v>
      </c>
      <c r="B465" t="s">
        <v>61</v>
      </c>
      <c r="C465" t="s">
        <v>125</v>
      </c>
      <c r="D465" t="s">
        <v>136</v>
      </c>
      <c r="E465">
        <v>151038</v>
      </c>
      <c r="F465">
        <v>0</v>
      </c>
    </row>
    <row r="466" spans="1:6" x14ac:dyDescent="0.25">
      <c r="A466" t="s">
        <v>179</v>
      </c>
      <c r="B466" t="s">
        <v>45</v>
      </c>
      <c r="C466" t="s">
        <v>125</v>
      </c>
      <c r="D466" t="s">
        <v>125</v>
      </c>
      <c r="E466">
        <v>147429</v>
      </c>
      <c r="F466">
        <v>0</v>
      </c>
    </row>
    <row r="467" spans="1:6" x14ac:dyDescent="0.25">
      <c r="A467" t="s">
        <v>57</v>
      </c>
      <c r="B467" t="s">
        <v>34</v>
      </c>
      <c r="C467" t="s">
        <v>126</v>
      </c>
      <c r="D467" t="s">
        <v>141</v>
      </c>
      <c r="E467">
        <v>146538</v>
      </c>
      <c r="F467">
        <v>0</v>
      </c>
    </row>
    <row r="468" spans="1:6" x14ac:dyDescent="0.25">
      <c r="A468" t="s">
        <v>181</v>
      </c>
      <c r="B468" t="s">
        <v>50</v>
      </c>
      <c r="C468" t="s">
        <v>127</v>
      </c>
      <c r="D468" t="s">
        <v>129</v>
      </c>
      <c r="E468">
        <v>144691</v>
      </c>
      <c r="F468">
        <v>0</v>
      </c>
    </row>
    <row r="469" spans="1:6" x14ac:dyDescent="0.25">
      <c r="A469" t="s">
        <v>172</v>
      </c>
      <c r="B469" t="s">
        <v>50</v>
      </c>
      <c r="C469" t="s">
        <v>125</v>
      </c>
      <c r="D469" t="s">
        <v>139</v>
      </c>
      <c r="E469">
        <v>139183</v>
      </c>
      <c r="F469">
        <v>0</v>
      </c>
    </row>
    <row r="470" spans="1:6" x14ac:dyDescent="0.25">
      <c r="A470" t="s">
        <v>73</v>
      </c>
      <c r="B470" t="s">
        <v>34</v>
      </c>
      <c r="C470" t="s">
        <v>125</v>
      </c>
      <c r="D470" t="s">
        <v>140</v>
      </c>
      <c r="E470">
        <v>138869</v>
      </c>
      <c r="F470">
        <v>0</v>
      </c>
    </row>
    <row r="471" spans="1:6" x14ac:dyDescent="0.25">
      <c r="A471" t="s">
        <v>188</v>
      </c>
      <c r="B471" t="s">
        <v>45</v>
      </c>
      <c r="C471" t="s">
        <v>132</v>
      </c>
      <c r="D471" t="s">
        <v>132</v>
      </c>
      <c r="E471">
        <v>136867</v>
      </c>
      <c r="F471">
        <v>0</v>
      </c>
    </row>
    <row r="472" spans="1:6" x14ac:dyDescent="0.25">
      <c r="A472" t="s">
        <v>95</v>
      </c>
      <c r="B472" t="s">
        <v>34</v>
      </c>
      <c r="C472" t="s">
        <v>125</v>
      </c>
      <c r="D472" t="s">
        <v>125</v>
      </c>
      <c r="E472">
        <v>135967</v>
      </c>
      <c r="F472">
        <v>0</v>
      </c>
    </row>
    <row r="473" spans="1:6" x14ac:dyDescent="0.25">
      <c r="A473" t="s">
        <v>52</v>
      </c>
      <c r="B473" t="s">
        <v>34</v>
      </c>
      <c r="C473" t="s">
        <v>125</v>
      </c>
      <c r="D473" t="s">
        <v>136</v>
      </c>
      <c r="E473">
        <v>135339</v>
      </c>
      <c r="F473">
        <v>0</v>
      </c>
    </row>
    <row r="474" spans="1:6" x14ac:dyDescent="0.25">
      <c r="A474" t="s">
        <v>96</v>
      </c>
      <c r="B474" t="s">
        <v>34</v>
      </c>
      <c r="C474" t="s">
        <v>131</v>
      </c>
      <c r="D474" t="s">
        <v>131</v>
      </c>
      <c r="E474">
        <v>134917</v>
      </c>
      <c r="F474">
        <v>0</v>
      </c>
    </row>
    <row r="475" spans="1:6" x14ac:dyDescent="0.25">
      <c r="A475" t="s">
        <v>72</v>
      </c>
      <c r="B475" t="s">
        <v>34</v>
      </c>
      <c r="C475" t="s">
        <v>131</v>
      </c>
      <c r="D475" t="s">
        <v>131</v>
      </c>
      <c r="E475">
        <v>134076</v>
      </c>
      <c r="F475">
        <v>0</v>
      </c>
    </row>
    <row r="476" spans="1:6" x14ac:dyDescent="0.25">
      <c r="A476" t="s">
        <v>73</v>
      </c>
      <c r="B476" t="s">
        <v>34</v>
      </c>
      <c r="C476" t="s">
        <v>125</v>
      </c>
      <c r="D476" t="s">
        <v>136</v>
      </c>
      <c r="E476">
        <v>133772</v>
      </c>
      <c r="F476">
        <v>0</v>
      </c>
    </row>
    <row r="477" spans="1:6" x14ac:dyDescent="0.25">
      <c r="A477" t="s">
        <v>198</v>
      </c>
      <c r="B477" t="s">
        <v>45</v>
      </c>
      <c r="C477" t="s">
        <v>127</v>
      </c>
      <c r="D477" t="s">
        <v>137</v>
      </c>
      <c r="E477">
        <v>133185</v>
      </c>
      <c r="F477">
        <v>0</v>
      </c>
    </row>
    <row r="478" spans="1:6" x14ac:dyDescent="0.25">
      <c r="A478" t="s">
        <v>83</v>
      </c>
      <c r="B478" t="s">
        <v>34</v>
      </c>
      <c r="C478" t="s">
        <v>126</v>
      </c>
      <c r="D478" t="s">
        <v>134</v>
      </c>
      <c r="E478">
        <v>132939</v>
      </c>
      <c r="F478">
        <v>0</v>
      </c>
    </row>
    <row r="479" spans="1:6" x14ac:dyDescent="0.25">
      <c r="A479" t="s">
        <v>71</v>
      </c>
      <c r="B479" t="s">
        <v>34</v>
      </c>
      <c r="C479" t="s">
        <v>132</v>
      </c>
      <c r="D479" t="s">
        <v>132</v>
      </c>
      <c r="E479">
        <v>132595</v>
      </c>
      <c r="F479">
        <v>0</v>
      </c>
    </row>
    <row r="480" spans="1:6" x14ac:dyDescent="0.25">
      <c r="A480" t="s">
        <v>69</v>
      </c>
      <c r="B480" t="s">
        <v>34</v>
      </c>
      <c r="C480" t="s">
        <v>126</v>
      </c>
      <c r="D480" t="s">
        <v>134</v>
      </c>
      <c r="E480">
        <v>131330</v>
      </c>
      <c r="F480">
        <v>0</v>
      </c>
    </row>
    <row r="481" spans="1:6" x14ac:dyDescent="0.25">
      <c r="A481" t="s">
        <v>177</v>
      </c>
      <c r="B481" t="s">
        <v>48</v>
      </c>
      <c r="C481" t="s">
        <v>127</v>
      </c>
      <c r="D481" t="s">
        <v>138</v>
      </c>
      <c r="E481">
        <v>130012</v>
      </c>
      <c r="F481">
        <v>0</v>
      </c>
    </row>
    <row r="482" spans="1:6" x14ac:dyDescent="0.25">
      <c r="A482" t="s">
        <v>67</v>
      </c>
      <c r="B482" t="s">
        <v>34</v>
      </c>
      <c r="C482" t="s">
        <v>125</v>
      </c>
      <c r="D482" t="s">
        <v>136</v>
      </c>
      <c r="E482">
        <v>129540</v>
      </c>
      <c r="F482">
        <v>0</v>
      </c>
    </row>
    <row r="483" spans="1:6" x14ac:dyDescent="0.25">
      <c r="A483" t="s">
        <v>171</v>
      </c>
      <c r="B483" t="s">
        <v>48</v>
      </c>
      <c r="C483" t="s">
        <v>127</v>
      </c>
      <c r="D483" t="s">
        <v>146</v>
      </c>
      <c r="E483">
        <v>128992</v>
      </c>
      <c r="F483">
        <v>0</v>
      </c>
    </row>
    <row r="484" spans="1:6" x14ac:dyDescent="0.25">
      <c r="A484" t="s">
        <v>202</v>
      </c>
      <c r="B484" t="s">
        <v>45</v>
      </c>
      <c r="C484" t="s">
        <v>132</v>
      </c>
      <c r="D484" t="s">
        <v>132</v>
      </c>
      <c r="E484">
        <v>128948</v>
      </c>
      <c r="F484">
        <v>0</v>
      </c>
    </row>
    <row r="485" spans="1:6" x14ac:dyDescent="0.25">
      <c r="A485" t="s">
        <v>190</v>
      </c>
      <c r="B485" t="s">
        <v>45</v>
      </c>
      <c r="C485" t="s">
        <v>125</v>
      </c>
      <c r="D485" t="s">
        <v>144</v>
      </c>
      <c r="E485">
        <v>125698</v>
      </c>
      <c r="F485">
        <v>0</v>
      </c>
    </row>
    <row r="486" spans="1:6" x14ac:dyDescent="0.25">
      <c r="A486" t="s">
        <v>67</v>
      </c>
      <c r="B486" t="s">
        <v>34</v>
      </c>
      <c r="C486" t="s">
        <v>125</v>
      </c>
      <c r="D486" t="s">
        <v>140</v>
      </c>
      <c r="E486">
        <v>125276</v>
      </c>
      <c r="F486">
        <v>0</v>
      </c>
    </row>
    <row r="487" spans="1:6" x14ac:dyDescent="0.25">
      <c r="A487" t="s">
        <v>182</v>
      </c>
      <c r="B487" t="s">
        <v>53</v>
      </c>
      <c r="C487" t="s">
        <v>125</v>
      </c>
      <c r="D487" t="s">
        <v>135</v>
      </c>
      <c r="E487">
        <v>124505</v>
      </c>
      <c r="F487">
        <v>0</v>
      </c>
    </row>
    <row r="488" spans="1:6" x14ac:dyDescent="0.25">
      <c r="A488" t="s">
        <v>198</v>
      </c>
      <c r="B488" t="s">
        <v>45</v>
      </c>
      <c r="C488" t="s">
        <v>126</v>
      </c>
      <c r="D488" t="s">
        <v>141</v>
      </c>
      <c r="E488">
        <v>121943</v>
      </c>
      <c r="F488">
        <v>0</v>
      </c>
    </row>
    <row r="489" spans="1:6" x14ac:dyDescent="0.25">
      <c r="A489" t="s">
        <v>176</v>
      </c>
      <c r="B489" t="s">
        <v>53</v>
      </c>
      <c r="C489" t="s">
        <v>125</v>
      </c>
      <c r="D489" t="s">
        <v>135</v>
      </c>
      <c r="E489">
        <v>119710</v>
      </c>
      <c r="F489">
        <v>0</v>
      </c>
    </row>
    <row r="490" spans="1:6" x14ac:dyDescent="0.25">
      <c r="A490" t="s">
        <v>72</v>
      </c>
      <c r="B490" t="s">
        <v>34</v>
      </c>
      <c r="C490" t="s">
        <v>125</v>
      </c>
      <c r="D490" t="s">
        <v>140</v>
      </c>
      <c r="E490">
        <v>116316</v>
      </c>
      <c r="F490">
        <v>0</v>
      </c>
    </row>
    <row r="491" spans="1:6" x14ac:dyDescent="0.25">
      <c r="A491" t="s">
        <v>169</v>
      </c>
      <c r="B491" t="s">
        <v>45</v>
      </c>
      <c r="C491" t="s">
        <v>126</v>
      </c>
      <c r="D491" t="s">
        <v>141</v>
      </c>
      <c r="E491">
        <v>114674</v>
      </c>
      <c r="F491">
        <v>0</v>
      </c>
    </row>
    <row r="492" spans="1:6" x14ac:dyDescent="0.25">
      <c r="A492" t="s">
        <v>183</v>
      </c>
      <c r="B492" t="s">
        <v>45</v>
      </c>
      <c r="C492" t="s">
        <v>132</v>
      </c>
      <c r="D492" t="s">
        <v>132</v>
      </c>
      <c r="E492">
        <v>113174</v>
      </c>
      <c r="F492">
        <v>0</v>
      </c>
    </row>
    <row r="493" spans="1:6" x14ac:dyDescent="0.25">
      <c r="A493" t="s">
        <v>188</v>
      </c>
      <c r="B493" t="s">
        <v>45</v>
      </c>
      <c r="C493" t="s">
        <v>125</v>
      </c>
      <c r="D493" t="s">
        <v>135</v>
      </c>
      <c r="E493">
        <v>112379</v>
      </c>
      <c r="F493">
        <v>0</v>
      </c>
    </row>
    <row r="494" spans="1:6" x14ac:dyDescent="0.25">
      <c r="A494" t="s">
        <v>74</v>
      </c>
      <c r="B494" t="s">
        <v>34</v>
      </c>
      <c r="C494" t="s">
        <v>126</v>
      </c>
      <c r="D494" t="s">
        <v>134</v>
      </c>
      <c r="E494">
        <v>111621</v>
      </c>
      <c r="F494">
        <v>0</v>
      </c>
    </row>
    <row r="495" spans="1:6" x14ac:dyDescent="0.25">
      <c r="A495" t="s">
        <v>99</v>
      </c>
      <c r="B495" t="s">
        <v>34</v>
      </c>
      <c r="C495" t="s">
        <v>127</v>
      </c>
      <c r="D495" t="s">
        <v>133</v>
      </c>
      <c r="E495">
        <v>111236</v>
      </c>
      <c r="F495">
        <v>0</v>
      </c>
    </row>
    <row r="496" spans="1:6" x14ac:dyDescent="0.25">
      <c r="A496" t="s">
        <v>182</v>
      </c>
      <c r="B496" t="s">
        <v>53</v>
      </c>
      <c r="C496" t="s">
        <v>125</v>
      </c>
      <c r="D496" t="s">
        <v>125</v>
      </c>
      <c r="E496">
        <v>111207</v>
      </c>
      <c r="F496">
        <v>0</v>
      </c>
    </row>
    <row r="497" spans="1:6" x14ac:dyDescent="0.25">
      <c r="A497" t="s">
        <v>174</v>
      </c>
      <c r="B497" t="s">
        <v>45</v>
      </c>
      <c r="C497" t="s">
        <v>125</v>
      </c>
      <c r="D497" t="s">
        <v>136</v>
      </c>
      <c r="E497">
        <v>111028</v>
      </c>
      <c r="F497">
        <v>0</v>
      </c>
    </row>
    <row r="498" spans="1:6" x14ac:dyDescent="0.25">
      <c r="A498" t="s">
        <v>80</v>
      </c>
      <c r="B498" t="s">
        <v>34</v>
      </c>
      <c r="C498" t="s">
        <v>125</v>
      </c>
      <c r="D498" t="s">
        <v>140</v>
      </c>
      <c r="E498">
        <v>110041</v>
      </c>
      <c r="F498">
        <v>0</v>
      </c>
    </row>
    <row r="499" spans="1:6" x14ac:dyDescent="0.25">
      <c r="A499" t="s">
        <v>184</v>
      </c>
      <c r="B499" t="s">
        <v>50</v>
      </c>
      <c r="C499" t="s">
        <v>125</v>
      </c>
      <c r="D499" t="s">
        <v>139</v>
      </c>
      <c r="E499">
        <v>109810</v>
      </c>
      <c r="F499">
        <v>0</v>
      </c>
    </row>
    <row r="500" spans="1:6" x14ac:dyDescent="0.25">
      <c r="A500" t="s">
        <v>82</v>
      </c>
      <c r="B500" t="s">
        <v>34</v>
      </c>
      <c r="C500" t="s">
        <v>125</v>
      </c>
      <c r="D500" t="s">
        <v>135</v>
      </c>
      <c r="E500">
        <v>109615</v>
      </c>
      <c r="F500">
        <v>0</v>
      </c>
    </row>
    <row r="501" spans="1:6" x14ac:dyDescent="0.25">
      <c r="A501" t="s">
        <v>196</v>
      </c>
      <c r="B501" t="s">
        <v>53</v>
      </c>
      <c r="C501" t="s">
        <v>126</v>
      </c>
      <c r="D501" t="s">
        <v>134</v>
      </c>
      <c r="E501">
        <v>109164</v>
      </c>
      <c r="F501">
        <v>0</v>
      </c>
    </row>
    <row r="502" spans="1:6" x14ac:dyDescent="0.25">
      <c r="A502" t="s">
        <v>176</v>
      </c>
      <c r="B502" t="s">
        <v>53</v>
      </c>
      <c r="C502" t="s">
        <v>125</v>
      </c>
      <c r="D502" t="s">
        <v>140</v>
      </c>
      <c r="E502">
        <v>108344</v>
      </c>
      <c r="F502">
        <v>0</v>
      </c>
    </row>
    <row r="503" spans="1:6" x14ac:dyDescent="0.25">
      <c r="A503" t="s">
        <v>80</v>
      </c>
      <c r="B503" t="s">
        <v>34</v>
      </c>
      <c r="C503" t="s">
        <v>132</v>
      </c>
      <c r="D503" t="s">
        <v>132</v>
      </c>
      <c r="E503">
        <v>106094</v>
      </c>
      <c r="F503">
        <v>0</v>
      </c>
    </row>
    <row r="504" spans="1:6" x14ac:dyDescent="0.25">
      <c r="A504" t="s">
        <v>77</v>
      </c>
      <c r="B504" t="s">
        <v>34</v>
      </c>
      <c r="C504" t="s">
        <v>125</v>
      </c>
      <c r="D504" t="s">
        <v>136</v>
      </c>
      <c r="E504">
        <v>105692</v>
      </c>
      <c r="F504">
        <v>0</v>
      </c>
    </row>
    <row r="505" spans="1:6" x14ac:dyDescent="0.25">
      <c r="A505" t="s">
        <v>177</v>
      </c>
      <c r="B505" t="s">
        <v>48</v>
      </c>
      <c r="C505" t="s">
        <v>125</v>
      </c>
      <c r="D505" t="s">
        <v>140</v>
      </c>
      <c r="E505">
        <v>104616</v>
      </c>
      <c r="F505">
        <v>0</v>
      </c>
    </row>
    <row r="506" spans="1:6" x14ac:dyDescent="0.25">
      <c r="A506" t="s">
        <v>167</v>
      </c>
      <c r="B506" t="s">
        <v>50</v>
      </c>
      <c r="C506" t="s">
        <v>132</v>
      </c>
      <c r="D506" t="s">
        <v>142</v>
      </c>
      <c r="E506">
        <v>103282</v>
      </c>
      <c r="F506">
        <v>0</v>
      </c>
    </row>
    <row r="507" spans="1:6" x14ac:dyDescent="0.25">
      <c r="A507" t="s">
        <v>76</v>
      </c>
      <c r="B507" t="s">
        <v>34</v>
      </c>
      <c r="C507" t="s">
        <v>125</v>
      </c>
      <c r="D507" t="s">
        <v>135</v>
      </c>
      <c r="E507">
        <v>103191</v>
      </c>
      <c r="F507">
        <v>0</v>
      </c>
    </row>
    <row r="508" spans="1:6" x14ac:dyDescent="0.25">
      <c r="A508" t="s">
        <v>188</v>
      </c>
      <c r="B508" t="s">
        <v>45</v>
      </c>
      <c r="C508" t="s">
        <v>125</v>
      </c>
      <c r="D508" t="s">
        <v>140</v>
      </c>
      <c r="E508">
        <v>102542</v>
      </c>
      <c r="F508">
        <v>0</v>
      </c>
    </row>
    <row r="509" spans="1:6" x14ac:dyDescent="0.25">
      <c r="A509" t="s">
        <v>212</v>
      </c>
      <c r="B509" t="s">
        <v>50</v>
      </c>
      <c r="C509" t="s">
        <v>125</v>
      </c>
      <c r="D509" t="s">
        <v>125</v>
      </c>
      <c r="E509">
        <v>102090</v>
      </c>
      <c r="F509">
        <v>0</v>
      </c>
    </row>
    <row r="510" spans="1:6" x14ac:dyDescent="0.25">
      <c r="A510" t="s">
        <v>174</v>
      </c>
      <c r="B510" t="s">
        <v>45</v>
      </c>
      <c r="C510" t="s">
        <v>125</v>
      </c>
      <c r="D510" t="s">
        <v>135</v>
      </c>
      <c r="E510">
        <v>101899</v>
      </c>
      <c r="F510">
        <v>0</v>
      </c>
    </row>
    <row r="511" spans="1:6" x14ac:dyDescent="0.25">
      <c r="A511" t="s">
        <v>176</v>
      </c>
      <c r="B511" t="s">
        <v>53</v>
      </c>
      <c r="C511" t="s">
        <v>127</v>
      </c>
      <c r="D511" t="s">
        <v>129</v>
      </c>
      <c r="E511">
        <v>101098</v>
      </c>
      <c r="F511">
        <v>0</v>
      </c>
    </row>
    <row r="512" spans="1:6" x14ac:dyDescent="0.25">
      <c r="A512" t="s">
        <v>192</v>
      </c>
      <c r="B512" t="s">
        <v>45</v>
      </c>
      <c r="C512" t="s">
        <v>126</v>
      </c>
      <c r="D512" t="s">
        <v>134</v>
      </c>
      <c r="E512">
        <v>99781</v>
      </c>
      <c r="F512">
        <v>0</v>
      </c>
    </row>
    <row r="513" spans="1:6" x14ac:dyDescent="0.25">
      <c r="A513" t="s">
        <v>184</v>
      </c>
      <c r="B513" t="s">
        <v>50</v>
      </c>
      <c r="C513" t="s">
        <v>125</v>
      </c>
      <c r="D513" t="s">
        <v>140</v>
      </c>
      <c r="E513">
        <v>97545</v>
      </c>
      <c r="F513">
        <v>0</v>
      </c>
    </row>
    <row r="514" spans="1:6" x14ac:dyDescent="0.25">
      <c r="A514" t="s">
        <v>189</v>
      </c>
      <c r="B514" t="s">
        <v>63</v>
      </c>
      <c r="C514" t="s">
        <v>127</v>
      </c>
      <c r="D514" t="s">
        <v>130</v>
      </c>
      <c r="E514">
        <v>97018</v>
      </c>
      <c r="F514">
        <v>0</v>
      </c>
    </row>
    <row r="515" spans="1:6" x14ac:dyDescent="0.25">
      <c r="A515" t="s">
        <v>91</v>
      </c>
      <c r="B515" t="s">
        <v>34</v>
      </c>
      <c r="C515" t="s">
        <v>126</v>
      </c>
      <c r="D515" t="s">
        <v>134</v>
      </c>
      <c r="E515">
        <v>96155</v>
      </c>
      <c r="F515">
        <v>0</v>
      </c>
    </row>
    <row r="516" spans="1:6" x14ac:dyDescent="0.25">
      <c r="A516" t="s">
        <v>175</v>
      </c>
      <c r="B516" t="s">
        <v>48</v>
      </c>
      <c r="C516" t="s">
        <v>127</v>
      </c>
      <c r="D516" t="s">
        <v>138</v>
      </c>
      <c r="E516">
        <v>95940</v>
      </c>
      <c r="F516">
        <v>0</v>
      </c>
    </row>
    <row r="517" spans="1:6" x14ac:dyDescent="0.25">
      <c r="A517" t="s">
        <v>176</v>
      </c>
      <c r="B517" t="s">
        <v>53</v>
      </c>
      <c r="C517" t="s">
        <v>127</v>
      </c>
      <c r="D517" t="s">
        <v>138</v>
      </c>
      <c r="E517">
        <v>95277</v>
      </c>
      <c r="F517">
        <v>0</v>
      </c>
    </row>
    <row r="518" spans="1:6" x14ac:dyDescent="0.25">
      <c r="A518" t="s">
        <v>185</v>
      </c>
      <c r="B518" t="s">
        <v>45</v>
      </c>
      <c r="C518" t="s">
        <v>127</v>
      </c>
      <c r="D518" t="s">
        <v>137</v>
      </c>
      <c r="E518">
        <v>95064</v>
      </c>
      <c r="F518">
        <v>0</v>
      </c>
    </row>
    <row r="519" spans="1:6" x14ac:dyDescent="0.25">
      <c r="A519" t="s">
        <v>69</v>
      </c>
      <c r="B519" t="s">
        <v>34</v>
      </c>
      <c r="C519" t="s">
        <v>125</v>
      </c>
      <c r="D519" t="s">
        <v>139</v>
      </c>
      <c r="E519">
        <v>94769</v>
      </c>
      <c r="F519">
        <v>0</v>
      </c>
    </row>
    <row r="520" spans="1:6" x14ac:dyDescent="0.25">
      <c r="A520" t="s">
        <v>161</v>
      </c>
      <c r="B520" t="s">
        <v>45</v>
      </c>
      <c r="C520" t="s">
        <v>132</v>
      </c>
      <c r="D520" t="s">
        <v>145</v>
      </c>
      <c r="E520">
        <v>91266</v>
      </c>
      <c r="F520">
        <v>0</v>
      </c>
    </row>
    <row r="521" spans="1:6" x14ac:dyDescent="0.25">
      <c r="A521" t="s">
        <v>181</v>
      </c>
      <c r="B521" t="s">
        <v>50</v>
      </c>
      <c r="C521" t="s">
        <v>125</v>
      </c>
      <c r="D521" t="s">
        <v>140</v>
      </c>
      <c r="E521">
        <v>91209</v>
      </c>
      <c r="F521">
        <v>0</v>
      </c>
    </row>
    <row r="522" spans="1:6" x14ac:dyDescent="0.25">
      <c r="A522" t="s">
        <v>76</v>
      </c>
      <c r="B522" t="s">
        <v>34</v>
      </c>
      <c r="C522" t="s">
        <v>125</v>
      </c>
      <c r="D522" t="s">
        <v>136</v>
      </c>
      <c r="E522">
        <v>91083</v>
      </c>
      <c r="F522">
        <v>0</v>
      </c>
    </row>
    <row r="523" spans="1:6" x14ac:dyDescent="0.25">
      <c r="A523" t="s">
        <v>71</v>
      </c>
      <c r="B523" t="s">
        <v>34</v>
      </c>
      <c r="C523" t="s">
        <v>126</v>
      </c>
      <c r="D523" t="s">
        <v>134</v>
      </c>
      <c r="E523">
        <v>90988</v>
      </c>
      <c r="F523">
        <v>0</v>
      </c>
    </row>
    <row r="524" spans="1:6" x14ac:dyDescent="0.25">
      <c r="A524" t="s">
        <v>198</v>
      </c>
      <c r="B524" t="s">
        <v>45</v>
      </c>
      <c r="C524" t="s">
        <v>126</v>
      </c>
      <c r="D524" t="s">
        <v>134</v>
      </c>
      <c r="E524">
        <v>89986</v>
      </c>
      <c r="F524">
        <v>0</v>
      </c>
    </row>
    <row r="525" spans="1:6" x14ac:dyDescent="0.25">
      <c r="A525" t="s">
        <v>170</v>
      </c>
      <c r="B525" t="s">
        <v>61</v>
      </c>
      <c r="C525" t="s">
        <v>132</v>
      </c>
      <c r="D525" t="s">
        <v>145</v>
      </c>
      <c r="E525">
        <v>88753</v>
      </c>
      <c r="F525">
        <v>0</v>
      </c>
    </row>
    <row r="526" spans="1:6" x14ac:dyDescent="0.25">
      <c r="A526" t="s">
        <v>173</v>
      </c>
      <c r="B526" t="s">
        <v>61</v>
      </c>
      <c r="C526" t="s">
        <v>125</v>
      </c>
      <c r="D526" t="s">
        <v>144</v>
      </c>
      <c r="E526">
        <v>88332</v>
      </c>
      <c r="F526">
        <v>0</v>
      </c>
    </row>
    <row r="527" spans="1:6" x14ac:dyDescent="0.25">
      <c r="A527" t="s">
        <v>161</v>
      </c>
      <c r="B527" t="s">
        <v>45</v>
      </c>
      <c r="C527" t="s">
        <v>125</v>
      </c>
      <c r="D527" t="s">
        <v>144</v>
      </c>
      <c r="E527">
        <v>87520</v>
      </c>
      <c r="F527">
        <v>0</v>
      </c>
    </row>
    <row r="528" spans="1:6" x14ac:dyDescent="0.25">
      <c r="A528" t="s">
        <v>94</v>
      </c>
      <c r="B528" t="s">
        <v>34</v>
      </c>
      <c r="C528" t="s">
        <v>126</v>
      </c>
      <c r="D528" t="s">
        <v>126</v>
      </c>
      <c r="E528">
        <v>86905</v>
      </c>
      <c r="F528">
        <v>0</v>
      </c>
    </row>
    <row r="529" spans="1:6" x14ac:dyDescent="0.25">
      <c r="A529" t="s">
        <v>198</v>
      </c>
      <c r="B529" t="s">
        <v>45</v>
      </c>
      <c r="C529" t="s">
        <v>125</v>
      </c>
      <c r="D529" t="s">
        <v>135</v>
      </c>
      <c r="E529">
        <v>86231</v>
      </c>
      <c r="F529">
        <v>0</v>
      </c>
    </row>
    <row r="530" spans="1:6" x14ac:dyDescent="0.25">
      <c r="A530" t="s">
        <v>189</v>
      </c>
      <c r="B530" t="s">
        <v>63</v>
      </c>
      <c r="C530" t="s">
        <v>132</v>
      </c>
      <c r="D530" t="s">
        <v>132</v>
      </c>
      <c r="E530">
        <v>86224</v>
      </c>
      <c r="F530">
        <v>0</v>
      </c>
    </row>
    <row r="531" spans="1:6" x14ac:dyDescent="0.25">
      <c r="A531" t="s">
        <v>60</v>
      </c>
      <c r="B531" t="s">
        <v>34</v>
      </c>
      <c r="C531" t="s">
        <v>127</v>
      </c>
      <c r="D531" t="s">
        <v>138</v>
      </c>
      <c r="E531">
        <v>86100</v>
      </c>
      <c r="F531">
        <v>0</v>
      </c>
    </row>
    <row r="532" spans="1:6" x14ac:dyDescent="0.25">
      <c r="A532" t="s">
        <v>172</v>
      </c>
      <c r="B532" t="s">
        <v>50</v>
      </c>
      <c r="C532" t="s">
        <v>125</v>
      </c>
      <c r="D532" t="s">
        <v>140</v>
      </c>
      <c r="E532">
        <v>85592</v>
      </c>
      <c r="F532">
        <v>0</v>
      </c>
    </row>
    <row r="533" spans="1:6" x14ac:dyDescent="0.25">
      <c r="A533" t="s">
        <v>170</v>
      </c>
      <c r="B533" t="s">
        <v>61</v>
      </c>
      <c r="C533" t="s">
        <v>125</v>
      </c>
      <c r="D533" t="s">
        <v>140</v>
      </c>
      <c r="E533">
        <v>85148</v>
      </c>
      <c r="F533">
        <v>0</v>
      </c>
    </row>
    <row r="534" spans="1:6" x14ac:dyDescent="0.25">
      <c r="A534" t="s">
        <v>98</v>
      </c>
      <c r="B534" t="s">
        <v>34</v>
      </c>
      <c r="C534" t="s">
        <v>125</v>
      </c>
      <c r="D534" t="s">
        <v>125</v>
      </c>
      <c r="E534">
        <v>84478</v>
      </c>
      <c r="F534">
        <v>0</v>
      </c>
    </row>
    <row r="535" spans="1:6" x14ac:dyDescent="0.25">
      <c r="A535" t="s">
        <v>187</v>
      </c>
      <c r="B535" t="s">
        <v>45</v>
      </c>
      <c r="C535" t="s">
        <v>132</v>
      </c>
      <c r="D535" t="s">
        <v>132</v>
      </c>
      <c r="E535">
        <v>84323</v>
      </c>
      <c r="F535">
        <v>0</v>
      </c>
    </row>
    <row r="536" spans="1:6" x14ac:dyDescent="0.25">
      <c r="A536" t="s">
        <v>77</v>
      </c>
      <c r="B536" t="s">
        <v>34</v>
      </c>
      <c r="C536" t="s">
        <v>125</v>
      </c>
      <c r="D536" t="s">
        <v>140</v>
      </c>
      <c r="E536">
        <v>83965</v>
      </c>
      <c r="F536">
        <v>0</v>
      </c>
    </row>
    <row r="537" spans="1:6" x14ac:dyDescent="0.25">
      <c r="A537" t="s">
        <v>60</v>
      </c>
      <c r="B537" t="s">
        <v>34</v>
      </c>
      <c r="C537" t="s">
        <v>125</v>
      </c>
      <c r="D537" t="s">
        <v>140</v>
      </c>
      <c r="E537">
        <v>83347</v>
      </c>
      <c r="F537">
        <v>0</v>
      </c>
    </row>
    <row r="538" spans="1:6" x14ac:dyDescent="0.25">
      <c r="A538" t="s">
        <v>73</v>
      </c>
      <c r="B538" t="s">
        <v>34</v>
      </c>
      <c r="C538" t="s">
        <v>126</v>
      </c>
      <c r="D538" t="s">
        <v>134</v>
      </c>
      <c r="E538">
        <v>82681</v>
      </c>
      <c r="F538">
        <v>0</v>
      </c>
    </row>
    <row r="539" spans="1:6" x14ac:dyDescent="0.25">
      <c r="A539" t="s">
        <v>67</v>
      </c>
      <c r="B539" t="s">
        <v>34</v>
      </c>
      <c r="C539" t="s">
        <v>126</v>
      </c>
      <c r="D539" t="s">
        <v>134</v>
      </c>
      <c r="E539">
        <v>81800</v>
      </c>
      <c r="F539">
        <v>0</v>
      </c>
    </row>
    <row r="540" spans="1:6" x14ac:dyDescent="0.25">
      <c r="A540" t="s">
        <v>197</v>
      </c>
      <c r="B540" t="s">
        <v>45</v>
      </c>
      <c r="C540" t="s">
        <v>126</v>
      </c>
      <c r="D540" t="s">
        <v>134</v>
      </c>
      <c r="E540">
        <v>81616</v>
      </c>
      <c r="F540">
        <v>0</v>
      </c>
    </row>
    <row r="541" spans="1:6" x14ac:dyDescent="0.25">
      <c r="A541" t="s">
        <v>178</v>
      </c>
      <c r="B541" t="s">
        <v>58</v>
      </c>
      <c r="C541" t="s">
        <v>125</v>
      </c>
      <c r="D541" t="s">
        <v>139</v>
      </c>
      <c r="E541">
        <v>81027</v>
      </c>
      <c r="F541">
        <v>0</v>
      </c>
    </row>
    <row r="542" spans="1:6" x14ac:dyDescent="0.25">
      <c r="A542" t="s">
        <v>69</v>
      </c>
      <c r="B542" t="s">
        <v>34</v>
      </c>
      <c r="C542" t="s">
        <v>125</v>
      </c>
      <c r="D542" t="s">
        <v>140</v>
      </c>
      <c r="E542">
        <v>80833</v>
      </c>
      <c r="F542">
        <v>0</v>
      </c>
    </row>
    <row r="543" spans="1:6" x14ac:dyDescent="0.25">
      <c r="A543" t="s">
        <v>54</v>
      </c>
      <c r="B543" t="s">
        <v>34</v>
      </c>
      <c r="C543" t="s">
        <v>125</v>
      </c>
      <c r="D543" t="s">
        <v>139</v>
      </c>
      <c r="E543">
        <v>80202</v>
      </c>
      <c r="F543">
        <v>0</v>
      </c>
    </row>
    <row r="544" spans="1:6" x14ac:dyDescent="0.25">
      <c r="A544" t="s">
        <v>196</v>
      </c>
      <c r="B544" t="s">
        <v>53</v>
      </c>
      <c r="C544" t="s">
        <v>127</v>
      </c>
      <c r="D544" t="s">
        <v>137</v>
      </c>
      <c r="E544">
        <v>80016</v>
      </c>
      <c r="F544">
        <v>0</v>
      </c>
    </row>
    <row r="545" spans="1:6" x14ac:dyDescent="0.25">
      <c r="A545" t="s">
        <v>181</v>
      </c>
      <c r="B545" t="s">
        <v>50</v>
      </c>
      <c r="C545" t="s">
        <v>125</v>
      </c>
      <c r="D545" t="s">
        <v>136</v>
      </c>
      <c r="E545">
        <v>79710</v>
      </c>
      <c r="F545">
        <v>0</v>
      </c>
    </row>
    <row r="546" spans="1:6" x14ac:dyDescent="0.25">
      <c r="A546" t="s">
        <v>85</v>
      </c>
      <c r="B546" t="s">
        <v>34</v>
      </c>
      <c r="C546" t="s">
        <v>127</v>
      </c>
      <c r="D546" t="s">
        <v>137</v>
      </c>
      <c r="E546">
        <v>79551</v>
      </c>
      <c r="F546">
        <v>0</v>
      </c>
    </row>
    <row r="547" spans="1:6" x14ac:dyDescent="0.25">
      <c r="A547" t="s">
        <v>71</v>
      </c>
      <c r="B547" t="s">
        <v>34</v>
      </c>
      <c r="C547" t="s">
        <v>125</v>
      </c>
      <c r="D547" t="s">
        <v>140</v>
      </c>
      <c r="E547">
        <v>79466</v>
      </c>
      <c r="F547">
        <v>0</v>
      </c>
    </row>
    <row r="548" spans="1:6" x14ac:dyDescent="0.25">
      <c r="A548" t="s">
        <v>186</v>
      </c>
      <c r="B548" t="s">
        <v>53</v>
      </c>
      <c r="C548" t="s">
        <v>125</v>
      </c>
      <c r="D548" t="s">
        <v>135</v>
      </c>
      <c r="E548">
        <v>78731</v>
      </c>
      <c r="F548">
        <v>0</v>
      </c>
    </row>
    <row r="549" spans="1:6" x14ac:dyDescent="0.25">
      <c r="A549" t="s">
        <v>177</v>
      </c>
      <c r="B549" t="s">
        <v>48</v>
      </c>
      <c r="C549" t="s">
        <v>127</v>
      </c>
      <c r="D549" t="s">
        <v>130</v>
      </c>
      <c r="E549">
        <v>78065</v>
      </c>
      <c r="F549">
        <v>0</v>
      </c>
    </row>
    <row r="550" spans="1:6" x14ac:dyDescent="0.25">
      <c r="A550" t="s">
        <v>52</v>
      </c>
      <c r="B550" t="s">
        <v>34</v>
      </c>
      <c r="C550" t="s">
        <v>127</v>
      </c>
      <c r="D550" t="s">
        <v>137</v>
      </c>
      <c r="E550">
        <v>76360</v>
      </c>
      <c r="F550">
        <v>0</v>
      </c>
    </row>
    <row r="551" spans="1:6" x14ac:dyDescent="0.25">
      <c r="A551" t="s">
        <v>196</v>
      </c>
      <c r="B551" t="s">
        <v>53</v>
      </c>
      <c r="C551" t="s">
        <v>125</v>
      </c>
      <c r="D551" t="s">
        <v>139</v>
      </c>
      <c r="E551">
        <v>75285</v>
      </c>
      <c r="F551">
        <v>0</v>
      </c>
    </row>
    <row r="552" spans="1:6" x14ac:dyDescent="0.25">
      <c r="A552" t="s">
        <v>94</v>
      </c>
      <c r="B552" t="s">
        <v>34</v>
      </c>
      <c r="C552" t="s">
        <v>125</v>
      </c>
      <c r="D552" t="s">
        <v>125</v>
      </c>
      <c r="E552">
        <v>74675</v>
      </c>
      <c r="F552">
        <v>0</v>
      </c>
    </row>
    <row r="553" spans="1:6" x14ac:dyDescent="0.25">
      <c r="A553" t="s">
        <v>174</v>
      </c>
      <c r="B553" t="s">
        <v>45</v>
      </c>
      <c r="C553" t="s">
        <v>126</v>
      </c>
      <c r="D553" t="s">
        <v>134</v>
      </c>
      <c r="E553">
        <v>73310</v>
      </c>
      <c r="F553">
        <v>0</v>
      </c>
    </row>
    <row r="554" spans="1:6" x14ac:dyDescent="0.25">
      <c r="A554" t="s">
        <v>192</v>
      </c>
      <c r="B554" t="s">
        <v>45</v>
      </c>
      <c r="C554" t="s">
        <v>132</v>
      </c>
      <c r="D554" t="s">
        <v>132</v>
      </c>
      <c r="E554">
        <v>72974</v>
      </c>
      <c r="F554">
        <v>0</v>
      </c>
    </row>
    <row r="555" spans="1:6" x14ac:dyDescent="0.25">
      <c r="A555" t="s">
        <v>168</v>
      </c>
      <c r="B555" t="s">
        <v>53</v>
      </c>
      <c r="C555" t="s">
        <v>126</v>
      </c>
      <c r="D555" t="s">
        <v>141</v>
      </c>
      <c r="E555">
        <v>72158</v>
      </c>
      <c r="F555">
        <v>0</v>
      </c>
    </row>
    <row r="556" spans="1:6" x14ac:dyDescent="0.25">
      <c r="A556" t="s">
        <v>180</v>
      </c>
      <c r="B556" t="s">
        <v>45</v>
      </c>
      <c r="C556" t="s">
        <v>125</v>
      </c>
      <c r="D556" t="s">
        <v>139</v>
      </c>
      <c r="E556">
        <v>71938</v>
      </c>
      <c r="F556">
        <v>0</v>
      </c>
    </row>
    <row r="557" spans="1:6" x14ac:dyDescent="0.25">
      <c r="A557" t="s">
        <v>74</v>
      </c>
      <c r="B557" t="s">
        <v>34</v>
      </c>
      <c r="C557" t="s">
        <v>125</v>
      </c>
      <c r="D557" t="s">
        <v>139</v>
      </c>
      <c r="E557">
        <v>70643</v>
      </c>
      <c r="F557">
        <v>0</v>
      </c>
    </row>
    <row r="558" spans="1:6" x14ac:dyDescent="0.25">
      <c r="A558" t="s">
        <v>82</v>
      </c>
      <c r="B558" t="s">
        <v>34</v>
      </c>
      <c r="C558" t="s">
        <v>125</v>
      </c>
      <c r="D558" t="s">
        <v>136</v>
      </c>
      <c r="E558">
        <v>70496</v>
      </c>
      <c r="F558">
        <v>0</v>
      </c>
    </row>
    <row r="559" spans="1:6" x14ac:dyDescent="0.25">
      <c r="A559" t="s">
        <v>172</v>
      </c>
      <c r="B559" t="s">
        <v>50</v>
      </c>
      <c r="C559" t="s">
        <v>132</v>
      </c>
      <c r="D559" t="s">
        <v>142</v>
      </c>
      <c r="E559">
        <v>70324</v>
      </c>
      <c r="F559">
        <v>0</v>
      </c>
    </row>
    <row r="560" spans="1:6" x14ac:dyDescent="0.25">
      <c r="A560" t="s">
        <v>166</v>
      </c>
      <c r="B560" t="s">
        <v>50</v>
      </c>
      <c r="C560" t="s">
        <v>126</v>
      </c>
      <c r="D560" t="s">
        <v>141</v>
      </c>
      <c r="E560">
        <v>70136</v>
      </c>
      <c r="F560">
        <v>0</v>
      </c>
    </row>
    <row r="561" spans="1:6" x14ac:dyDescent="0.25">
      <c r="A561" t="s">
        <v>196</v>
      </c>
      <c r="B561" t="s">
        <v>53</v>
      </c>
      <c r="C561" t="s">
        <v>125</v>
      </c>
      <c r="D561" t="s">
        <v>136</v>
      </c>
      <c r="E561">
        <v>69616</v>
      </c>
      <c r="F561">
        <v>0</v>
      </c>
    </row>
    <row r="562" spans="1:6" x14ac:dyDescent="0.25">
      <c r="A562" t="s">
        <v>178</v>
      </c>
      <c r="B562" t="s">
        <v>58</v>
      </c>
      <c r="C562" t="s">
        <v>125</v>
      </c>
      <c r="D562" t="s">
        <v>136</v>
      </c>
      <c r="E562">
        <v>69290</v>
      </c>
      <c r="F562">
        <v>0</v>
      </c>
    </row>
    <row r="563" spans="1:6" x14ac:dyDescent="0.25">
      <c r="A563" t="s">
        <v>174</v>
      </c>
      <c r="B563" t="s">
        <v>45</v>
      </c>
      <c r="C563" t="s">
        <v>127</v>
      </c>
      <c r="D563" t="s">
        <v>138</v>
      </c>
      <c r="E563">
        <v>68018</v>
      </c>
      <c r="F563">
        <v>0</v>
      </c>
    </row>
    <row r="564" spans="1:6" x14ac:dyDescent="0.25">
      <c r="A564" t="s">
        <v>67</v>
      </c>
      <c r="B564" t="s">
        <v>34</v>
      </c>
      <c r="C564" t="s">
        <v>132</v>
      </c>
      <c r="D564" t="s">
        <v>132</v>
      </c>
      <c r="E564">
        <v>67425</v>
      </c>
      <c r="F564">
        <v>0</v>
      </c>
    </row>
    <row r="565" spans="1:6" x14ac:dyDescent="0.25">
      <c r="A565" t="s">
        <v>192</v>
      </c>
      <c r="B565" t="s">
        <v>45</v>
      </c>
      <c r="C565" t="s">
        <v>127</v>
      </c>
      <c r="D565" t="s">
        <v>137</v>
      </c>
      <c r="E565">
        <v>65426</v>
      </c>
      <c r="F565">
        <v>0</v>
      </c>
    </row>
    <row r="566" spans="1:6" x14ac:dyDescent="0.25">
      <c r="A566" t="s">
        <v>173</v>
      </c>
      <c r="B566" t="s">
        <v>61</v>
      </c>
      <c r="C566" t="s">
        <v>125</v>
      </c>
      <c r="D566" t="s">
        <v>139</v>
      </c>
      <c r="E566">
        <v>65008</v>
      </c>
      <c r="F566">
        <v>0</v>
      </c>
    </row>
    <row r="567" spans="1:6" x14ac:dyDescent="0.25">
      <c r="A567" t="s">
        <v>194</v>
      </c>
      <c r="B567" t="s">
        <v>58</v>
      </c>
      <c r="C567" t="s">
        <v>127</v>
      </c>
      <c r="D567" t="s">
        <v>137</v>
      </c>
      <c r="E567">
        <v>63674</v>
      </c>
      <c r="F567">
        <v>0</v>
      </c>
    </row>
    <row r="568" spans="1:6" x14ac:dyDescent="0.25">
      <c r="A568" t="s">
        <v>164</v>
      </c>
      <c r="B568" t="s">
        <v>55</v>
      </c>
      <c r="C568" t="s">
        <v>143</v>
      </c>
      <c r="D568" t="s">
        <v>143</v>
      </c>
      <c r="E568">
        <v>62509</v>
      </c>
      <c r="F568">
        <v>0</v>
      </c>
    </row>
    <row r="569" spans="1:6" x14ac:dyDescent="0.25">
      <c r="A569" t="s">
        <v>194</v>
      </c>
      <c r="B569" t="s">
        <v>58</v>
      </c>
      <c r="C569" t="s">
        <v>125</v>
      </c>
      <c r="D569" t="s">
        <v>136</v>
      </c>
      <c r="E569">
        <v>62240</v>
      </c>
      <c r="F569">
        <v>0</v>
      </c>
    </row>
    <row r="570" spans="1:6" x14ac:dyDescent="0.25">
      <c r="A570" t="s">
        <v>90</v>
      </c>
      <c r="B570" t="s">
        <v>34</v>
      </c>
      <c r="C570" t="s">
        <v>125</v>
      </c>
      <c r="D570" t="s">
        <v>136</v>
      </c>
      <c r="E570">
        <v>61407</v>
      </c>
      <c r="F570">
        <v>0</v>
      </c>
    </row>
    <row r="571" spans="1:6" x14ac:dyDescent="0.25">
      <c r="A571" t="s">
        <v>44</v>
      </c>
      <c r="B571" t="s">
        <v>34</v>
      </c>
      <c r="C571" t="s">
        <v>132</v>
      </c>
      <c r="D571" t="s">
        <v>142</v>
      </c>
      <c r="E571">
        <v>61042</v>
      </c>
      <c r="F571">
        <v>0</v>
      </c>
    </row>
    <row r="572" spans="1:6" x14ac:dyDescent="0.25">
      <c r="A572" t="s">
        <v>62</v>
      </c>
      <c r="B572" t="s">
        <v>34</v>
      </c>
      <c r="C572" t="s">
        <v>125</v>
      </c>
      <c r="D572" t="s">
        <v>140</v>
      </c>
      <c r="E572">
        <v>60985</v>
      </c>
      <c r="F572">
        <v>0</v>
      </c>
    </row>
    <row r="573" spans="1:6" x14ac:dyDescent="0.25">
      <c r="A573" t="s">
        <v>170</v>
      </c>
      <c r="B573" t="s">
        <v>61</v>
      </c>
      <c r="C573" t="s">
        <v>132</v>
      </c>
      <c r="D573" t="s">
        <v>142</v>
      </c>
      <c r="E573">
        <v>60640</v>
      </c>
      <c r="F573">
        <v>0</v>
      </c>
    </row>
    <row r="574" spans="1:6" x14ac:dyDescent="0.25">
      <c r="A574" t="s">
        <v>187</v>
      </c>
      <c r="B574" t="s">
        <v>45</v>
      </c>
      <c r="C574" t="s">
        <v>125</v>
      </c>
      <c r="D574" t="s">
        <v>136</v>
      </c>
      <c r="E574">
        <v>60240</v>
      </c>
      <c r="F574">
        <v>0</v>
      </c>
    </row>
    <row r="575" spans="1:6" x14ac:dyDescent="0.25">
      <c r="A575" t="s">
        <v>167</v>
      </c>
      <c r="B575" t="s">
        <v>50</v>
      </c>
      <c r="C575" t="s">
        <v>127</v>
      </c>
      <c r="D575" t="s">
        <v>137</v>
      </c>
      <c r="E575">
        <v>60179</v>
      </c>
      <c r="F575">
        <v>0</v>
      </c>
    </row>
    <row r="576" spans="1:6" x14ac:dyDescent="0.25">
      <c r="A576" t="s">
        <v>181</v>
      </c>
      <c r="B576" t="s">
        <v>50</v>
      </c>
      <c r="C576" t="s">
        <v>125</v>
      </c>
      <c r="D576" t="s">
        <v>139</v>
      </c>
      <c r="E576">
        <v>59986</v>
      </c>
      <c r="F576">
        <v>0</v>
      </c>
    </row>
    <row r="577" spans="1:6" x14ac:dyDescent="0.25">
      <c r="A577" t="s">
        <v>191</v>
      </c>
      <c r="B577" t="s">
        <v>45</v>
      </c>
      <c r="C577" t="s">
        <v>132</v>
      </c>
      <c r="D577" t="s">
        <v>132</v>
      </c>
      <c r="E577">
        <v>59930</v>
      </c>
      <c r="F577">
        <v>0</v>
      </c>
    </row>
    <row r="578" spans="1:6" x14ac:dyDescent="0.25">
      <c r="A578" t="s">
        <v>212</v>
      </c>
      <c r="B578" t="s">
        <v>50</v>
      </c>
      <c r="C578" t="s">
        <v>126</v>
      </c>
      <c r="D578" t="s">
        <v>126</v>
      </c>
      <c r="E578">
        <v>59889</v>
      </c>
      <c r="F578">
        <v>0</v>
      </c>
    </row>
    <row r="579" spans="1:6" x14ac:dyDescent="0.25">
      <c r="A579" t="s">
        <v>82</v>
      </c>
      <c r="B579" t="s">
        <v>34</v>
      </c>
      <c r="C579" t="s">
        <v>127</v>
      </c>
      <c r="D579" t="s">
        <v>137</v>
      </c>
      <c r="E579">
        <v>59462</v>
      </c>
      <c r="F579">
        <v>0</v>
      </c>
    </row>
    <row r="580" spans="1:6" x14ac:dyDescent="0.25">
      <c r="A580" t="s">
        <v>92</v>
      </c>
      <c r="B580" t="s">
        <v>34</v>
      </c>
      <c r="C580" t="s">
        <v>125</v>
      </c>
      <c r="D580" t="s">
        <v>139</v>
      </c>
      <c r="E580">
        <v>59264</v>
      </c>
      <c r="F580">
        <v>0</v>
      </c>
    </row>
    <row r="581" spans="1:6" x14ac:dyDescent="0.25">
      <c r="A581" t="s">
        <v>75</v>
      </c>
      <c r="B581" t="s">
        <v>34</v>
      </c>
      <c r="C581" t="s">
        <v>126</v>
      </c>
      <c r="D581" t="s">
        <v>134</v>
      </c>
      <c r="E581">
        <v>57481</v>
      </c>
      <c r="F581">
        <v>0</v>
      </c>
    </row>
    <row r="582" spans="1:6" x14ac:dyDescent="0.25">
      <c r="A582" t="s">
        <v>177</v>
      </c>
      <c r="B582" t="s">
        <v>48</v>
      </c>
      <c r="C582" t="s">
        <v>132</v>
      </c>
      <c r="D582" t="s">
        <v>142</v>
      </c>
      <c r="E582">
        <v>56494</v>
      </c>
      <c r="F582">
        <v>0</v>
      </c>
    </row>
    <row r="583" spans="1:6" x14ac:dyDescent="0.25">
      <c r="A583" t="s">
        <v>171</v>
      </c>
      <c r="B583" t="s">
        <v>48</v>
      </c>
      <c r="C583" t="s">
        <v>125</v>
      </c>
      <c r="D583" t="s">
        <v>140</v>
      </c>
      <c r="E583">
        <v>55608</v>
      </c>
      <c r="F583">
        <v>0</v>
      </c>
    </row>
    <row r="584" spans="1:6" x14ac:dyDescent="0.25">
      <c r="A584" t="s">
        <v>80</v>
      </c>
      <c r="B584" t="s">
        <v>34</v>
      </c>
      <c r="C584" t="s">
        <v>126</v>
      </c>
      <c r="D584" t="s">
        <v>134</v>
      </c>
      <c r="E584">
        <v>55278</v>
      </c>
      <c r="F584">
        <v>0</v>
      </c>
    </row>
    <row r="585" spans="1:6" x14ac:dyDescent="0.25">
      <c r="A585" t="s">
        <v>194</v>
      </c>
      <c r="B585" t="s">
        <v>58</v>
      </c>
      <c r="C585" t="s">
        <v>132</v>
      </c>
      <c r="D585" t="s">
        <v>132</v>
      </c>
      <c r="E585">
        <v>53968</v>
      </c>
      <c r="F585">
        <v>0</v>
      </c>
    </row>
    <row r="586" spans="1:6" x14ac:dyDescent="0.25">
      <c r="A586" t="s">
        <v>196</v>
      </c>
      <c r="B586" t="s">
        <v>53</v>
      </c>
      <c r="C586" t="s">
        <v>125</v>
      </c>
      <c r="D586" t="s">
        <v>135</v>
      </c>
      <c r="E586">
        <v>53810</v>
      </c>
      <c r="F586">
        <v>0</v>
      </c>
    </row>
    <row r="587" spans="1:6" x14ac:dyDescent="0.25">
      <c r="A587" t="s">
        <v>76</v>
      </c>
      <c r="B587" t="s">
        <v>34</v>
      </c>
      <c r="C587" t="s">
        <v>125</v>
      </c>
      <c r="D587" t="s">
        <v>140</v>
      </c>
      <c r="E587">
        <v>53554</v>
      </c>
      <c r="F587">
        <v>0</v>
      </c>
    </row>
    <row r="588" spans="1:6" x14ac:dyDescent="0.25">
      <c r="A588" t="s">
        <v>72</v>
      </c>
      <c r="B588" t="s">
        <v>34</v>
      </c>
      <c r="C588" t="s">
        <v>125</v>
      </c>
      <c r="D588" t="s">
        <v>144</v>
      </c>
      <c r="E588">
        <v>52710</v>
      </c>
      <c r="F588">
        <v>0</v>
      </c>
    </row>
    <row r="589" spans="1:6" x14ac:dyDescent="0.25">
      <c r="A589" t="s">
        <v>169</v>
      </c>
      <c r="B589" t="s">
        <v>45</v>
      </c>
      <c r="C589" t="s">
        <v>125</v>
      </c>
      <c r="D589" t="s">
        <v>140</v>
      </c>
      <c r="E589">
        <v>52703</v>
      </c>
      <c r="F589">
        <v>0</v>
      </c>
    </row>
    <row r="590" spans="1:6" x14ac:dyDescent="0.25">
      <c r="A590" t="s">
        <v>179</v>
      </c>
      <c r="B590" t="s">
        <v>45</v>
      </c>
      <c r="C590" t="s">
        <v>125</v>
      </c>
      <c r="D590" t="s">
        <v>136</v>
      </c>
      <c r="E590">
        <v>52084</v>
      </c>
      <c r="F590">
        <v>0</v>
      </c>
    </row>
    <row r="591" spans="1:6" x14ac:dyDescent="0.25">
      <c r="A591" t="s">
        <v>212</v>
      </c>
      <c r="B591" t="s">
        <v>50</v>
      </c>
      <c r="C591" t="s">
        <v>125</v>
      </c>
      <c r="D591" t="s">
        <v>135</v>
      </c>
      <c r="E591">
        <v>52044</v>
      </c>
      <c r="F591">
        <v>0</v>
      </c>
    </row>
    <row r="592" spans="1:6" x14ac:dyDescent="0.25">
      <c r="A592" t="s">
        <v>183</v>
      </c>
      <c r="B592" t="s">
        <v>45</v>
      </c>
      <c r="C592" t="s">
        <v>125</v>
      </c>
      <c r="D592" t="s">
        <v>136</v>
      </c>
      <c r="E592">
        <v>51045</v>
      </c>
      <c r="F592">
        <v>0</v>
      </c>
    </row>
    <row r="593" spans="1:6" x14ac:dyDescent="0.25">
      <c r="A593" t="s">
        <v>89</v>
      </c>
      <c r="B593" t="s">
        <v>34</v>
      </c>
      <c r="C593" t="s">
        <v>125</v>
      </c>
      <c r="D593" t="s">
        <v>136</v>
      </c>
      <c r="E593">
        <v>51044</v>
      </c>
      <c r="F593">
        <v>0</v>
      </c>
    </row>
    <row r="594" spans="1:6" x14ac:dyDescent="0.25">
      <c r="A594" t="s">
        <v>98</v>
      </c>
      <c r="B594" t="s">
        <v>34</v>
      </c>
      <c r="C594" t="s">
        <v>125</v>
      </c>
      <c r="D594" t="s">
        <v>135</v>
      </c>
      <c r="E594">
        <v>50275</v>
      </c>
      <c r="F594">
        <v>0</v>
      </c>
    </row>
    <row r="595" spans="1:6" x14ac:dyDescent="0.25">
      <c r="A595" t="s">
        <v>82</v>
      </c>
      <c r="B595" t="s">
        <v>34</v>
      </c>
      <c r="C595" t="s">
        <v>126</v>
      </c>
      <c r="D595" t="s">
        <v>134</v>
      </c>
      <c r="E595">
        <v>49997</v>
      </c>
      <c r="F595">
        <v>0</v>
      </c>
    </row>
    <row r="596" spans="1:6" x14ac:dyDescent="0.25">
      <c r="A596" t="s">
        <v>52</v>
      </c>
      <c r="B596" t="s">
        <v>34</v>
      </c>
      <c r="C596" t="s">
        <v>131</v>
      </c>
      <c r="D596" t="s">
        <v>147</v>
      </c>
      <c r="E596">
        <v>49785</v>
      </c>
      <c r="F596">
        <v>0</v>
      </c>
    </row>
    <row r="597" spans="1:6" x14ac:dyDescent="0.25">
      <c r="A597" t="s">
        <v>47</v>
      </c>
      <c r="B597" t="s">
        <v>34</v>
      </c>
      <c r="C597" t="s">
        <v>125</v>
      </c>
      <c r="D597" t="s">
        <v>144</v>
      </c>
      <c r="E597">
        <v>49716</v>
      </c>
      <c r="F597">
        <v>0</v>
      </c>
    </row>
    <row r="598" spans="1:6" x14ac:dyDescent="0.25">
      <c r="A598" t="s">
        <v>192</v>
      </c>
      <c r="B598" t="s">
        <v>45</v>
      </c>
      <c r="C598" t="s">
        <v>125</v>
      </c>
      <c r="D598" t="s">
        <v>135</v>
      </c>
      <c r="E598">
        <v>49690</v>
      </c>
      <c r="F598">
        <v>0</v>
      </c>
    </row>
    <row r="599" spans="1:6" x14ac:dyDescent="0.25">
      <c r="A599" t="s">
        <v>80</v>
      </c>
      <c r="B599" t="s">
        <v>34</v>
      </c>
      <c r="C599" t="s">
        <v>125</v>
      </c>
      <c r="D599" t="s">
        <v>136</v>
      </c>
      <c r="E599">
        <v>49516</v>
      </c>
      <c r="F599">
        <v>0</v>
      </c>
    </row>
    <row r="600" spans="1:6" x14ac:dyDescent="0.25">
      <c r="A600" t="s">
        <v>44</v>
      </c>
      <c r="B600" t="s">
        <v>34</v>
      </c>
      <c r="C600" t="s">
        <v>125</v>
      </c>
      <c r="D600" t="s">
        <v>144</v>
      </c>
      <c r="E600">
        <v>49505</v>
      </c>
      <c r="F600">
        <v>0</v>
      </c>
    </row>
    <row r="601" spans="1:6" x14ac:dyDescent="0.25">
      <c r="A601" t="s">
        <v>192</v>
      </c>
      <c r="B601" t="s">
        <v>45</v>
      </c>
      <c r="C601" t="s">
        <v>125</v>
      </c>
      <c r="D601" t="s">
        <v>125</v>
      </c>
      <c r="E601">
        <v>49388</v>
      </c>
      <c r="F601">
        <v>0</v>
      </c>
    </row>
    <row r="602" spans="1:6" x14ac:dyDescent="0.25">
      <c r="A602" t="s">
        <v>205</v>
      </c>
      <c r="B602" t="s">
        <v>53</v>
      </c>
      <c r="C602" t="s">
        <v>125</v>
      </c>
      <c r="D602" t="s">
        <v>136</v>
      </c>
      <c r="E602">
        <v>49160</v>
      </c>
      <c r="F602">
        <v>0</v>
      </c>
    </row>
    <row r="603" spans="1:6" x14ac:dyDescent="0.25">
      <c r="A603" t="s">
        <v>90</v>
      </c>
      <c r="B603" t="s">
        <v>34</v>
      </c>
      <c r="C603" t="s">
        <v>125</v>
      </c>
      <c r="D603" t="s">
        <v>139</v>
      </c>
      <c r="E603">
        <v>48827</v>
      </c>
      <c r="F603">
        <v>0</v>
      </c>
    </row>
    <row r="604" spans="1:6" x14ac:dyDescent="0.25">
      <c r="A604" t="s">
        <v>88</v>
      </c>
      <c r="B604" t="s">
        <v>34</v>
      </c>
      <c r="C604" t="s">
        <v>125</v>
      </c>
      <c r="D604" t="s">
        <v>135</v>
      </c>
      <c r="E604">
        <v>48077</v>
      </c>
      <c r="F604">
        <v>0</v>
      </c>
    </row>
    <row r="605" spans="1:6" x14ac:dyDescent="0.25">
      <c r="A605" t="s">
        <v>52</v>
      </c>
      <c r="B605" t="s">
        <v>34</v>
      </c>
      <c r="C605" t="s">
        <v>125</v>
      </c>
      <c r="D605" t="s">
        <v>144</v>
      </c>
      <c r="E605">
        <v>47731</v>
      </c>
      <c r="F605">
        <v>0</v>
      </c>
    </row>
    <row r="606" spans="1:6" x14ac:dyDescent="0.25">
      <c r="A606" t="s">
        <v>72</v>
      </c>
      <c r="B606" t="s">
        <v>34</v>
      </c>
      <c r="C606" t="s">
        <v>125</v>
      </c>
      <c r="D606" t="s">
        <v>136</v>
      </c>
      <c r="E606">
        <v>47376</v>
      </c>
      <c r="F606">
        <v>0</v>
      </c>
    </row>
    <row r="607" spans="1:6" x14ac:dyDescent="0.25">
      <c r="A607" t="s">
        <v>183</v>
      </c>
      <c r="B607" t="s">
        <v>45</v>
      </c>
      <c r="C607" t="s">
        <v>131</v>
      </c>
      <c r="D607" t="s">
        <v>131</v>
      </c>
      <c r="E607">
        <v>47178</v>
      </c>
      <c r="F607">
        <v>0</v>
      </c>
    </row>
    <row r="608" spans="1:6" x14ac:dyDescent="0.25">
      <c r="A608" t="s">
        <v>191</v>
      </c>
      <c r="B608" t="s">
        <v>45</v>
      </c>
      <c r="C608" t="s">
        <v>125</v>
      </c>
      <c r="D608" t="s">
        <v>135</v>
      </c>
      <c r="E608">
        <v>46878</v>
      </c>
      <c r="F608">
        <v>0</v>
      </c>
    </row>
    <row r="609" spans="1:6" x14ac:dyDescent="0.25">
      <c r="A609" t="s">
        <v>181</v>
      </c>
      <c r="B609" t="s">
        <v>50</v>
      </c>
      <c r="C609" t="s">
        <v>126</v>
      </c>
      <c r="D609" t="s">
        <v>141</v>
      </c>
      <c r="E609">
        <v>46806</v>
      </c>
      <c r="F609">
        <v>0</v>
      </c>
    </row>
    <row r="610" spans="1:6" x14ac:dyDescent="0.25">
      <c r="A610" t="s">
        <v>188</v>
      </c>
      <c r="B610" t="s">
        <v>45</v>
      </c>
      <c r="C610" t="s">
        <v>126</v>
      </c>
      <c r="D610" t="s">
        <v>141</v>
      </c>
      <c r="E610">
        <v>46806</v>
      </c>
      <c r="F610">
        <v>0</v>
      </c>
    </row>
    <row r="611" spans="1:6" x14ac:dyDescent="0.25">
      <c r="A611" t="s">
        <v>64</v>
      </c>
      <c r="B611" t="s">
        <v>34</v>
      </c>
      <c r="C611" t="s">
        <v>125</v>
      </c>
      <c r="D611" t="s">
        <v>139</v>
      </c>
      <c r="E611">
        <v>46279</v>
      </c>
      <c r="F611">
        <v>0</v>
      </c>
    </row>
    <row r="612" spans="1:6" x14ac:dyDescent="0.25">
      <c r="A612" t="s">
        <v>88</v>
      </c>
      <c r="B612" t="s">
        <v>34</v>
      </c>
      <c r="C612" t="s">
        <v>125</v>
      </c>
      <c r="D612" t="s">
        <v>139</v>
      </c>
      <c r="E612">
        <v>45656</v>
      </c>
      <c r="F612">
        <v>0</v>
      </c>
    </row>
    <row r="613" spans="1:6" x14ac:dyDescent="0.25">
      <c r="A613" t="s">
        <v>191</v>
      </c>
      <c r="B613" t="s">
        <v>45</v>
      </c>
      <c r="C613" t="s">
        <v>125</v>
      </c>
      <c r="D613" t="s">
        <v>136</v>
      </c>
      <c r="E613">
        <v>45091</v>
      </c>
      <c r="F613">
        <v>0</v>
      </c>
    </row>
    <row r="614" spans="1:6" x14ac:dyDescent="0.25">
      <c r="A614" t="s">
        <v>67</v>
      </c>
      <c r="B614" t="s">
        <v>34</v>
      </c>
      <c r="C614" t="s">
        <v>127</v>
      </c>
      <c r="D614" t="s">
        <v>138</v>
      </c>
      <c r="E614">
        <v>44934</v>
      </c>
      <c r="F614">
        <v>0</v>
      </c>
    </row>
    <row r="615" spans="1:6" x14ac:dyDescent="0.25">
      <c r="A615" t="s">
        <v>169</v>
      </c>
      <c r="B615" t="s">
        <v>45</v>
      </c>
      <c r="C615" t="s">
        <v>125</v>
      </c>
      <c r="D615" t="s">
        <v>136</v>
      </c>
      <c r="E615">
        <v>44456</v>
      </c>
      <c r="F615">
        <v>0</v>
      </c>
    </row>
    <row r="616" spans="1:6" x14ac:dyDescent="0.25">
      <c r="A616" t="s">
        <v>210</v>
      </c>
      <c r="B616" t="s">
        <v>45</v>
      </c>
      <c r="C616" t="s">
        <v>132</v>
      </c>
      <c r="D616" t="s">
        <v>132</v>
      </c>
      <c r="E616">
        <v>44278</v>
      </c>
      <c r="F616">
        <v>0</v>
      </c>
    </row>
    <row r="617" spans="1:6" x14ac:dyDescent="0.25">
      <c r="A617" t="s">
        <v>201</v>
      </c>
      <c r="B617" t="s">
        <v>53</v>
      </c>
      <c r="C617" t="s">
        <v>126</v>
      </c>
      <c r="D617" t="s">
        <v>134</v>
      </c>
      <c r="E617">
        <v>44195</v>
      </c>
      <c r="F617">
        <v>0</v>
      </c>
    </row>
    <row r="618" spans="1:6" x14ac:dyDescent="0.25">
      <c r="A618" t="s">
        <v>166</v>
      </c>
      <c r="B618" t="s">
        <v>50</v>
      </c>
      <c r="C618" t="s">
        <v>125</v>
      </c>
      <c r="D618" t="s">
        <v>144</v>
      </c>
      <c r="E618">
        <v>43610</v>
      </c>
      <c r="F618">
        <v>0</v>
      </c>
    </row>
    <row r="619" spans="1:6" x14ac:dyDescent="0.25">
      <c r="A619" t="s">
        <v>182</v>
      </c>
      <c r="B619" t="s">
        <v>53</v>
      </c>
      <c r="C619" t="s">
        <v>132</v>
      </c>
      <c r="D619" t="s">
        <v>142</v>
      </c>
      <c r="E619">
        <v>42351</v>
      </c>
      <c r="F619">
        <v>0</v>
      </c>
    </row>
    <row r="620" spans="1:6" x14ac:dyDescent="0.25">
      <c r="A620" t="s">
        <v>171</v>
      </c>
      <c r="B620" t="s">
        <v>48</v>
      </c>
      <c r="C620" t="s">
        <v>126</v>
      </c>
      <c r="D620" t="s">
        <v>141</v>
      </c>
      <c r="E620">
        <v>42341</v>
      </c>
      <c r="F620">
        <v>0</v>
      </c>
    </row>
    <row r="621" spans="1:6" x14ac:dyDescent="0.25">
      <c r="A621" t="s">
        <v>200</v>
      </c>
      <c r="B621" t="s">
        <v>58</v>
      </c>
      <c r="C621" t="s">
        <v>125</v>
      </c>
      <c r="D621" t="s">
        <v>136</v>
      </c>
      <c r="E621">
        <v>41774</v>
      </c>
      <c r="F621">
        <v>0</v>
      </c>
    </row>
    <row r="622" spans="1:6" x14ac:dyDescent="0.25">
      <c r="A622" t="s">
        <v>169</v>
      </c>
      <c r="B622" t="s">
        <v>45</v>
      </c>
      <c r="C622" t="s">
        <v>125</v>
      </c>
      <c r="D622" t="s">
        <v>144</v>
      </c>
      <c r="E622">
        <v>41393</v>
      </c>
      <c r="F622">
        <v>0</v>
      </c>
    </row>
    <row r="623" spans="1:6" x14ac:dyDescent="0.25">
      <c r="A623" t="s">
        <v>191</v>
      </c>
      <c r="B623" t="s">
        <v>45</v>
      </c>
      <c r="C623" t="s">
        <v>126</v>
      </c>
      <c r="D623" t="s">
        <v>134</v>
      </c>
      <c r="E623">
        <v>40919</v>
      </c>
      <c r="F623">
        <v>0</v>
      </c>
    </row>
    <row r="624" spans="1:6" x14ac:dyDescent="0.25">
      <c r="A624" t="s">
        <v>208</v>
      </c>
      <c r="B624" t="s">
        <v>45</v>
      </c>
      <c r="C624" t="s">
        <v>126</v>
      </c>
      <c r="D624" t="s">
        <v>134</v>
      </c>
      <c r="E624">
        <v>40784</v>
      </c>
      <c r="F624">
        <v>0</v>
      </c>
    </row>
    <row r="625" spans="1:6" x14ac:dyDescent="0.25">
      <c r="A625" t="s">
        <v>69</v>
      </c>
      <c r="B625" t="s">
        <v>34</v>
      </c>
      <c r="C625" t="s">
        <v>125</v>
      </c>
      <c r="D625" t="s">
        <v>144</v>
      </c>
      <c r="E625">
        <v>40409</v>
      </c>
      <c r="F625">
        <v>0</v>
      </c>
    </row>
    <row r="626" spans="1:6" x14ac:dyDescent="0.25">
      <c r="A626" t="s">
        <v>205</v>
      </c>
      <c r="B626" t="s">
        <v>53</v>
      </c>
      <c r="C626" t="s">
        <v>125</v>
      </c>
      <c r="D626" t="s">
        <v>135</v>
      </c>
      <c r="E626">
        <v>40087</v>
      </c>
      <c r="F626">
        <v>0</v>
      </c>
    </row>
    <row r="627" spans="1:6" x14ac:dyDescent="0.25">
      <c r="A627" t="s">
        <v>196</v>
      </c>
      <c r="B627" t="s">
        <v>53</v>
      </c>
      <c r="C627" t="s">
        <v>127</v>
      </c>
      <c r="D627" t="s">
        <v>129</v>
      </c>
      <c r="E627">
        <v>38990</v>
      </c>
      <c r="F627">
        <v>0</v>
      </c>
    </row>
    <row r="628" spans="1:6" x14ac:dyDescent="0.25">
      <c r="A628" t="s">
        <v>201</v>
      </c>
      <c r="B628" t="s">
        <v>53</v>
      </c>
      <c r="C628" t="s">
        <v>125</v>
      </c>
      <c r="D628" t="s">
        <v>136</v>
      </c>
      <c r="E628">
        <v>38787</v>
      </c>
      <c r="F628">
        <v>0</v>
      </c>
    </row>
    <row r="629" spans="1:6" x14ac:dyDescent="0.25">
      <c r="A629" t="s">
        <v>170</v>
      </c>
      <c r="B629" t="s">
        <v>61</v>
      </c>
      <c r="C629" t="s">
        <v>125</v>
      </c>
      <c r="D629" t="s">
        <v>144</v>
      </c>
      <c r="E629">
        <v>37929</v>
      </c>
      <c r="F629">
        <v>0</v>
      </c>
    </row>
    <row r="630" spans="1:6" x14ac:dyDescent="0.25">
      <c r="A630" t="s">
        <v>190</v>
      </c>
      <c r="B630" t="s">
        <v>45</v>
      </c>
      <c r="C630" t="s">
        <v>127</v>
      </c>
      <c r="D630" t="s">
        <v>130</v>
      </c>
      <c r="E630">
        <v>37901</v>
      </c>
      <c r="F630">
        <v>0</v>
      </c>
    </row>
    <row r="631" spans="1:6" x14ac:dyDescent="0.25">
      <c r="A631" t="s">
        <v>76</v>
      </c>
      <c r="B631" t="s">
        <v>34</v>
      </c>
      <c r="C631" t="s">
        <v>132</v>
      </c>
      <c r="D631" t="s">
        <v>132</v>
      </c>
      <c r="E631">
        <v>37885</v>
      </c>
      <c r="F631">
        <v>0</v>
      </c>
    </row>
    <row r="632" spans="1:6" x14ac:dyDescent="0.25">
      <c r="A632" t="s">
        <v>201</v>
      </c>
      <c r="B632" t="s">
        <v>53</v>
      </c>
      <c r="C632" t="s">
        <v>125</v>
      </c>
      <c r="D632" t="s">
        <v>144</v>
      </c>
      <c r="E632">
        <v>37787</v>
      </c>
      <c r="F632">
        <v>0</v>
      </c>
    </row>
    <row r="633" spans="1:6" x14ac:dyDescent="0.25">
      <c r="A633" t="s">
        <v>190</v>
      </c>
      <c r="B633" t="s">
        <v>45</v>
      </c>
      <c r="C633" t="s">
        <v>127</v>
      </c>
      <c r="D633" t="s">
        <v>128</v>
      </c>
      <c r="E633">
        <v>37783</v>
      </c>
      <c r="F633">
        <v>0</v>
      </c>
    </row>
    <row r="634" spans="1:6" x14ac:dyDescent="0.25">
      <c r="A634" t="s">
        <v>88</v>
      </c>
      <c r="B634" t="s">
        <v>34</v>
      </c>
      <c r="C634" t="s">
        <v>126</v>
      </c>
      <c r="D634" t="s">
        <v>126</v>
      </c>
      <c r="E634">
        <v>37666</v>
      </c>
      <c r="F634">
        <v>0</v>
      </c>
    </row>
    <row r="635" spans="1:6" x14ac:dyDescent="0.25">
      <c r="A635" t="s">
        <v>186</v>
      </c>
      <c r="B635" t="s">
        <v>53</v>
      </c>
      <c r="C635" t="s">
        <v>132</v>
      </c>
      <c r="D635" t="s">
        <v>142</v>
      </c>
      <c r="E635">
        <v>37543</v>
      </c>
      <c r="F635">
        <v>0</v>
      </c>
    </row>
    <row r="636" spans="1:6" x14ac:dyDescent="0.25">
      <c r="A636" t="s">
        <v>162</v>
      </c>
      <c r="B636" t="s">
        <v>58</v>
      </c>
      <c r="C636" t="s">
        <v>125</v>
      </c>
      <c r="D636" t="s">
        <v>140</v>
      </c>
      <c r="E636">
        <v>37462</v>
      </c>
      <c r="F636">
        <v>0</v>
      </c>
    </row>
    <row r="637" spans="1:6" x14ac:dyDescent="0.25">
      <c r="A637" t="s">
        <v>188</v>
      </c>
      <c r="B637" t="s">
        <v>45</v>
      </c>
      <c r="C637" t="s">
        <v>125</v>
      </c>
      <c r="D637" t="s">
        <v>136</v>
      </c>
      <c r="E637">
        <v>37303</v>
      </c>
      <c r="F637">
        <v>0</v>
      </c>
    </row>
    <row r="638" spans="1:6" x14ac:dyDescent="0.25">
      <c r="A638" t="s">
        <v>83</v>
      </c>
      <c r="B638" t="s">
        <v>34</v>
      </c>
      <c r="C638" t="s">
        <v>132</v>
      </c>
      <c r="D638" t="s">
        <v>132</v>
      </c>
      <c r="E638">
        <v>37295</v>
      </c>
      <c r="F638">
        <v>0</v>
      </c>
    </row>
    <row r="639" spans="1:6" x14ac:dyDescent="0.25">
      <c r="A639" t="s">
        <v>89</v>
      </c>
      <c r="B639" t="s">
        <v>34</v>
      </c>
      <c r="C639" t="s">
        <v>125</v>
      </c>
      <c r="D639" t="s">
        <v>139</v>
      </c>
      <c r="E639">
        <v>37049</v>
      </c>
      <c r="F639">
        <v>0</v>
      </c>
    </row>
    <row r="640" spans="1:6" x14ac:dyDescent="0.25">
      <c r="A640" t="s">
        <v>176</v>
      </c>
      <c r="B640" t="s">
        <v>53</v>
      </c>
      <c r="C640" t="s">
        <v>127</v>
      </c>
      <c r="D640" t="s">
        <v>128</v>
      </c>
      <c r="E640">
        <v>36557</v>
      </c>
      <c r="F640">
        <v>0</v>
      </c>
    </row>
    <row r="641" spans="1:6" x14ac:dyDescent="0.25">
      <c r="A641" t="s">
        <v>168</v>
      </c>
      <c r="B641" t="s">
        <v>53</v>
      </c>
      <c r="C641" t="s">
        <v>132</v>
      </c>
      <c r="D641" t="s">
        <v>145</v>
      </c>
      <c r="E641">
        <v>36100</v>
      </c>
      <c r="F641">
        <v>0</v>
      </c>
    </row>
    <row r="642" spans="1:6" x14ac:dyDescent="0.25">
      <c r="A642" t="s">
        <v>171</v>
      </c>
      <c r="B642" t="s">
        <v>48</v>
      </c>
      <c r="C642" t="s">
        <v>127</v>
      </c>
      <c r="D642" t="s">
        <v>138</v>
      </c>
      <c r="E642">
        <v>35526</v>
      </c>
      <c r="F642">
        <v>0</v>
      </c>
    </row>
    <row r="643" spans="1:6" x14ac:dyDescent="0.25">
      <c r="A643" t="s">
        <v>67</v>
      </c>
      <c r="B643" t="s">
        <v>34</v>
      </c>
      <c r="C643" t="s">
        <v>125</v>
      </c>
      <c r="D643" t="s">
        <v>139</v>
      </c>
      <c r="E643">
        <v>35288</v>
      </c>
      <c r="F643">
        <v>0</v>
      </c>
    </row>
    <row r="644" spans="1:6" x14ac:dyDescent="0.25">
      <c r="A644" t="s">
        <v>76</v>
      </c>
      <c r="B644" t="s">
        <v>34</v>
      </c>
      <c r="C644" t="s">
        <v>126</v>
      </c>
      <c r="D644" t="s">
        <v>134</v>
      </c>
      <c r="E644">
        <v>34953</v>
      </c>
      <c r="F644">
        <v>0</v>
      </c>
    </row>
    <row r="645" spans="1:6" x14ac:dyDescent="0.25">
      <c r="A645" t="s">
        <v>194</v>
      </c>
      <c r="B645" t="s">
        <v>58</v>
      </c>
      <c r="C645" t="s">
        <v>127</v>
      </c>
      <c r="D645" t="s">
        <v>130</v>
      </c>
      <c r="E645">
        <v>34831</v>
      </c>
      <c r="F645">
        <v>0</v>
      </c>
    </row>
    <row r="646" spans="1:6" x14ac:dyDescent="0.25">
      <c r="A646" t="s">
        <v>92</v>
      </c>
      <c r="B646" t="s">
        <v>34</v>
      </c>
      <c r="C646" t="s">
        <v>125</v>
      </c>
      <c r="D646" t="s">
        <v>136</v>
      </c>
      <c r="E646">
        <v>34499</v>
      </c>
      <c r="F646">
        <v>0</v>
      </c>
    </row>
    <row r="647" spans="1:6" x14ac:dyDescent="0.25">
      <c r="A647" t="s">
        <v>60</v>
      </c>
      <c r="B647" t="s">
        <v>34</v>
      </c>
      <c r="C647" t="s">
        <v>125</v>
      </c>
      <c r="D647" t="s">
        <v>139</v>
      </c>
      <c r="E647">
        <v>34324</v>
      </c>
      <c r="F647">
        <v>0</v>
      </c>
    </row>
    <row r="648" spans="1:6" x14ac:dyDescent="0.25">
      <c r="A648" t="s">
        <v>197</v>
      </c>
      <c r="B648" t="s">
        <v>45</v>
      </c>
      <c r="C648" t="s">
        <v>125</v>
      </c>
      <c r="D648" t="s">
        <v>136</v>
      </c>
      <c r="E648">
        <v>34276</v>
      </c>
      <c r="F648">
        <v>0</v>
      </c>
    </row>
    <row r="649" spans="1:6" x14ac:dyDescent="0.25">
      <c r="A649" t="s">
        <v>79</v>
      </c>
      <c r="B649" t="s">
        <v>34</v>
      </c>
      <c r="C649" t="s">
        <v>125</v>
      </c>
      <c r="D649" t="s">
        <v>136</v>
      </c>
      <c r="E649">
        <v>34212</v>
      </c>
      <c r="F649">
        <v>0</v>
      </c>
    </row>
    <row r="650" spans="1:6" x14ac:dyDescent="0.25">
      <c r="A650" t="s">
        <v>198</v>
      </c>
      <c r="B650" t="s">
        <v>45</v>
      </c>
      <c r="C650" t="s">
        <v>132</v>
      </c>
      <c r="D650" t="s">
        <v>132</v>
      </c>
      <c r="E650">
        <v>33245</v>
      </c>
      <c r="F650">
        <v>0</v>
      </c>
    </row>
    <row r="651" spans="1:6" x14ac:dyDescent="0.25">
      <c r="A651" t="s">
        <v>189</v>
      </c>
      <c r="B651" t="s">
        <v>63</v>
      </c>
      <c r="C651" t="s">
        <v>125</v>
      </c>
      <c r="D651" t="s">
        <v>136</v>
      </c>
      <c r="E651">
        <v>33189</v>
      </c>
      <c r="F651">
        <v>0</v>
      </c>
    </row>
    <row r="652" spans="1:6" x14ac:dyDescent="0.25">
      <c r="A652" t="s">
        <v>181</v>
      </c>
      <c r="B652" t="s">
        <v>50</v>
      </c>
      <c r="C652" t="s">
        <v>125</v>
      </c>
      <c r="D652" t="s">
        <v>144</v>
      </c>
      <c r="E652">
        <v>33142</v>
      </c>
      <c r="F652">
        <v>0</v>
      </c>
    </row>
    <row r="653" spans="1:6" x14ac:dyDescent="0.25">
      <c r="A653" t="s">
        <v>210</v>
      </c>
      <c r="B653" t="s">
        <v>45</v>
      </c>
      <c r="C653" t="s">
        <v>125</v>
      </c>
      <c r="D653" t="s">
        <v>136</v>
      </c>
      <c r="E653">
        <v>32086</v>
      </c>
      <c r="F653">
        <v>0</v>
      </c>
    </row>
    <row r="654" spans="1:6" x14ac:dyDescent="0.25">
      <c r="A654" t="s">
        <v>88</v>
      </c>
      <c r="B654" t="s">
        <v>34</v>
      </c>
      <c r="C654" t="s">
        <v>125</v>
      </c>
      <c r="D654" t="s">
        <v>136</v>
      </c>
      <c r="E654">
        <v>32085</v>
      </c>
      <c r="F654">
        <v>0</v>
      </c>
    </row>
    <row r="655" spans="1:6" x14ac:dyDescent="0.25">
      <c r="A655" t="s">
        <v>72</v>
      </c>
      <c r="B655" t="s">
        <v>34</v>
      </c>
      <c r="C655" t="s">
        <v>127</v>
      </c>
      <c r="D655" t="s">
        <v>137</v>
      </c>
      <c r="E655">
        <v>31578</v>
      </c>
      <c r="F655">
        <v>0</v>
      </c>
    </row>
    <row r="656" spans="1:6" x14ac:dyDescent="0.25">
      <c r="A656" t="s">
        <v>173</v>
      </c>
      <c r="B656" t="s">
        <v>61</v>
      </c>
      <c r="C656" t="s">
        <v>125</v>
      </c>
      <c r="D656" t="s">
        <v>140</v>
      </c>
      <c r="E656">
        <v>31108</v>
      </c>
      <c r="F656">
        <v>0</v>
      </c>
    </row>
    <row r="657" spans="1:6" x14ac:dyDescent="0.25">
      <c r="A657" t="s">
        <v>204</v>
      </c>
      <c r="B657" t="s">
        <v>50</v>
      </c>
      <c r="C657" t="s">
        <v>125</v>
      </c>
      <c r="D657" t="s">
        <v>136</v>
      </c>
      <c r="E657">
        <v>30628</v>
      </c>
      <c r="F657">
        <v>0</v>
      </c>
    </row>
    <row r="658" spans="1:6" x14ac:dyDescent="0.25">
      <c r="A658" t="s">
        <v>210</v>
      </c>
      <c r="B658" t="s">
        <v>45</v>
      </c>
      <c r="C658" t="s">
        <v>126</v>
      </c>
      <c r="D658" t="s">
        <v>134</v>
      </c>
      <c r="E658">
        <v>30128</v>
      </c>
      <c r="F658">
        <v>0</v>
      </c>
    </row>
    <row r="659" spans="1:6" x14ac:dyDescent="0.25">
      <c r="A659" t="s">
        <v>86</v>
      </c>
      <c r="B659" t="s">
        <v>34</v>
      </c>
      <c r="C659" t="s">
        <v>125</v>
      </c>
      <c r="D659" t="s">
        <v>136</v>
      </c>
      <c r="E659">
        <v>29497</v>
      </c>
      <c r="F659">
        <v>0</v>
      </c>
    </row>
    <row r="660" spans="1:6" x14ac:dyDescent="0.25">
      <c r="A660" t="s">
        <v>66</v>
      </c>
      <c r="B660" t="s">
        <v>34</v>
      </c>
      <c r="C660" t="s">
        <v>132</v>
      </c>
      <c r="D660" t="s">
        <v>132</v>
      </c>
      <c r="E660">
        <v>29298</v>
      </c>
      <c r="F660">
        <v>0</v>
      </c>
    </row>
    <row r="661" spans="1:6" x14ac:dyDescent="0.25">
      <c r="A661" t="s">
        <v>192</v>
      </c>
      <c r="B661" t="s">
        <v>45</v>
      </c>
      <c r="C661" t="s">
        <v>125</v>
      </c>
      <c r="D661" t="s">
        <v>136</v>
      </c>
      <c r="E661">
        <v>28973</v>
      </c>
      <c r="F661">
        <v>0</v>
      </c>
    </row>
    <row r="662" spans="1:6" x14ac:dyDescent="0.25">
      <c r="A662" t="s">
        <v>178</v>
      </c>
      <c r="B662" t="s">
        <v>58</v>
      </c>
      <c r="C662" t="s">
        <v>125</v>
      </c>
      <c r="D662" t="s">
        <v>140</v>
      </c>
      <c r="E662">
        <v>28934</v>
      </c>
      <c r="F662">
        <v>0</v>
      </c>
    </row>
    <row r="663" spans="1:6" x14ac:dyDescent="0.25">
      <c r="A663" t="s">
        <v>66</v>
      </c>
      <c r="B663" t="s">
        <v>34</v>
      </c>
      <c r="C663" t="s">
        <v>126</v>
      </c>
      <c r="D663" t="s">
        <v>134</v>
      </c>
      <c r="E663">
        <v>28753</v>
      </c>
      <c r="F663">
        <v>0</v>
      </c>
    </row>
    <row r="664" spans="1:6" x14ac:dyDescent="0.25">
      <c r="A664" t="s">
        <v>187</v>
      </c>
      <c r="B664" t="s">
        <v>45</v>
      </c>
      <c r="C664" t="s">
        <v>125</v>
      </c>
      <c r="D664" t="s">
        <v>139</v>
      </c>
      <c r="E664">
        <v>28603</v>
      </c>
      <c r="F664">
        <v>0</v>
      </c>
    </row>
    <row r="665" spans="1:6" x14ac:dyDescent="0.25">
      <c r="A665" t="s">
        <v>202</v>
      </c>
      <c r="B665" t="s">
        <v>45</v>
      </c>
      <c r="C665" t="s">
        <v>126</v>
      </c>
      <c r="D665" t="s">
        <v>126</v>
      </c>
      <c r="E665">
        <v>28026</v>
      </c>
      <c r="F665">
        <v>0</v>
      </c>
    </row>
    <row r="666" spans="1:6" x14ac:dyDescent="0.25">
      <c r="A666" t="s">
        <v>82</v>
      </c>
      <c r="B666" t="s">
        <v>34</v>
      </c>
      <c r="C666" t="s">
        <v>125</v>
      </c>
      <c r="D666" t="s">
        <v>140</v>
      </c>
      <c r="E666">
        <v>27789</v>
      </c>
      <c r="F666">
        <v>0</v>
      </c>
    </row>
    <row r="667" spans="1:6" x14ac:dyDescent="0.25">
      <c r="A667" t="s">
        <v>69</v>
      </c>
      <c r="B667" t="s">
        <v>34</v>
      </c>
      <c r="C667" t="s">
        <v>125</v>
      </c>
      <c r="D667" t="s">
        <v>136</v>
      </c>
      <c r="E667">
        <v>27265</v>
      </c>
      <c r="F667">
        <v>0</v>
      </c>
    </row>
    <row r="668" spans="1:6" x14ac:dyDescent="0.25">
      <c r="A668" t="s">
        <v>89</v>
      </c>
      <c r="B668" t="s">
        <v>34</v>
      </c>
      <c r="C668" t="s">
        <v>132</v>
      </c>
      <c r="D668" t="s">
        <v>132</v>
      </c>
      <c r="E668">
        <v>27087</v>
      </c>
      <c r="F668">
        <v>0</v>
      </c>
    </row>
    <row r="669" spans="1:6" x14ac:dyDescent="0.25">
      <c r="A669" t="s">
        <v>87</v>
      </c>
      <c r="B669" t="s">
        <v>34</v>
      </c>
      <c r="C669" t="s">
        <v>125</v>
      </c>
      <c r="D669" t="s">
        <v>140</v>
      </c>
      <c r="E669">
        <v>26904</v>
      </c>
      <c r="F669">
        <v>0</v>
      </c>
    </row>
    <row r="670" spans="1:6" x14ac:dyDescent="0.25">
      <c r="A670" t="s">
        <v>71</v>
      </c>
      <c r="B670" t="s">
        <v>34</v>
      </c>
      <c r="C670" t="s">
        <v>125</v>
      </c>
      <c r="D670" t="s">
        <v>139</v>
      </c>
      <c r="E670">
        <v>26904</v>
      </c>
      <c r="F670">
        <v>0</v>
      </c>
    </row>
    <row r="671" spans="1:6" x14ac:dyDescent="0.25">
      <c r="A671" t="s">
        <v>77</v>
      </c>
      <c r="B671" t="s">
        <v>34</v>
      </c>
      <c r="C671" t="s">
        <v>125</v>
      </c>
      <c r="D671" t="s">
        <v>139</v>
      </c>
      <c r="E671">
        <v>26446</v>
      </c>
      <c r="F671">
        <v>0</v>
      </c>
    </row>
    <row r="672" spans="1:6" x14ac:dyDescent="0.25">
      <c r="A672" t="s">
        <v>191</v>
      </c>
      <c r="B672" t="s">
        <v>45</v>
      </c>
      <c r="C672" t="s">
        <v>125</v>
      </c>
      <c r="D672" t="s">
        <v>140</v>
      </c>
      <c r="E672">
        <v>26350</v>
      </c>
      <c r="F672">
        <v>0</v>
      </c>
    </row>
    <row r="673" spans="1:6" x14ac:dyDescent="0.25">
      <c r="A673" t="s">
        <v>170</v>
      </c>
      <c r="B673" t="s">
        <v>61</v>
      </c>
      <c r="C673" t="s">
        <v>143</v>
      </c>
      <c r="D673" t="s">
        <v>143</v>
      </c>
      <c r="E673">
        <v>26057</v>
      </c>
      <c r="F673">
        <v>0</v>
      </c>
    </row>
    <row r="674" spans="1:6" x14ac:dyDescent="0.25">
      <c r="A674" t="s">
        <v>198</v>
      </c>
      <c r="B674" t="s">
        <v>45</v>
      </c>
      <c r="C674" t="s">
        <v>125</v>
      </c>
      <c r="D674" t="s">
        <v>139</v>
      </c>
      <c r="E674">
        <v>26040</v>
      </c>
      <c r="F674">
        <v>0</v>
      </c>
    </row>
    <row r="675" spans="1:6" x14ac:dyDescent="0.25">
      <c r="A675" t="s">
        <v>67</v>
      </c>
      <c r="B675" t="s">
        <v>34</v>
      </c>
      <c r="C675" t="s">
        <v>126</v>
      </c>
      <c r="D675" t="s">
        <v>141</v>
      </c>
      <c r="E675">
        <v>25983</v>
      </c>
      <c r="F675">
        <v>0</v>
      </c>
    </row>
    <row r="676" spans="1:6" x14ac:dyDescent="0.25">
      <c r="A676" t="s">
        <v>87</v>
      </c>
      <c r="B676" t="s">
        <v>34</v>
      </c>
      <c r="C676" t="s">
        <v>125</v>
      </c>
      <c r="D676" t="s">
        <v>136</v>
      </c>
      <c r="E676">
        <v>25686</v>
      </c>
      <c r="F676">
        <v>0</v>
      </c>
    </row>
    <row r="677" spans="1:6" x14ac:dyDescent="0.25">
      <c r="A677" t="s">
        <v>44</v>
      </c>
      <c r="B677" t="s">
        <v>34</v>
      </c>
      <c r="C677" t="s">
        <v>126</v>
      </c>
      <c r="D677" t="s">
        <v>141</v>
      </c>
      <c r="E677">
        <v>25363</v>
      </c>
      <c r="F677">
        <v>0</v>
      </c>
    </row>
    <row r="678" spans="1:6" x14ac:dyDescent="0.25">
      <c r="A678" t="s">
        <v>52</v>
      </c>
      <c r="B678" t="s">
        <v>34</v>
      </c>
      <c r="C678" t="s">
        <v>125</v>
      </c>
      <c r="D678" t="s">
        <v>139</v>
      </c>
      <c r="E678">
        <v>23926</v>
      </c>
      <c r="F678">
        <v>0</v>
      </c>
    </row>
    <row r="679" spans="1:6" x14ac:dyDescent="0.25">
      <c r="A679" t="s">
        <v>206</v>
      </c>
      <c r="B679" t="s">
        <v>50</v>
      </c>
      <c r="C679" t="s">
        <v>132</v>
      </c>
      <c r="D679" t="s">
        <v>132</v>
      </c>
      <c r="E679">
        <v>23897</v>
      </c>
      <c r="F679">
        <v>0</v>
      </c>
    </row>
    <row r="680" spans="1:6" x14ac:dyDescent="0.25">
      <c r="A680" t="s">
        <v>44</v>
      </c>
      <c r="B680" t="s">
        <v>34</v>
      </c>
      <c r="C680" t="s">
        <v>126</v>
      </c>
      <c r="D680" t="s">
        <v>134</v>
      </c>
      <c r="E680">
        <v>23425</v>
      </c>
      <c r="F680">
        <v>0</v>
      </c>
    </row>
    <row r="681" spans="1:6" x14ac:dyDescent="0.25">
      <c r="A681" t="s">
        <v>54</v>
      </c>
      <c r="B681" t="s">
        <v>34</v>
      </c>
      <c r="C681" t="s">
        <v>126</v>
      </c>
      <c r="D681" t="s">
        <v>141</v>
      </c>
      <c r="E681">
        <v>23403</v>
      </c>
      <c r="F681">
        <v>0</v>
      </c>
    </row>
    <row r="682" spans="1:6" x14ac:dyDescent="0.25">
      <c r="A682" t="s">
        <v>203</v>
      </c>
      <c r="B682" t="s">
        <v>58</v>
      </c>
      <c r="C682" t="s">
        <v>132</v>
      </c>
      <c r="D682" t="s">
        <v>132</v>
      </c>
      <c r="E682">
        <v>23048</v>
      </c>
      <c r="F682">
        <v>0</v>
      </c>
    </row>
    <row r="683" spans="1:6" x14ac:dyDescent="0.25">
      <c r="A683" t="s">
        <v>79</v>
      </c>
      <c r="B683" t="s">
        <v>34</v>
      </c>
      <c r="C683" t="s">
        <v>126</v>
      </c>
      <c r="D683" t="s">
        <v>141</v>
      </c>
      <c r="E683">
        <v>22940</v>
      </c>
      <c r="F683">
        <v>0</v>
      </c>
    </row>
    <row r="684" spans="1:6" x14ac:dyDescent="0.25">
      <c r="A684" t="s">
        <v>186</v>
      </c>
      <c r="B684" t="s">
        <v>53</v>
      </c>
      <c r="C684" t="s">
        <v>126</v>
      </c>
      <c r="D684" t="s">
        <v>141</v>
      </c>
      <c r="E684">
        <v>22935</v>
      </c>
      <c r="F684">
        <v>0</v>
      </c>
    </row>
    <row r="685" spans="1:6" x14ac:dyDescent="0.25">
      <c r="A685" t="s">
        <v>178</v>
      </c>
      <c r="B685" t="s">
        <v>58</v>
      </c>
      <c r="C685" t="s">
        <v>126</v>
      </c>
      <c r="D685" t="s">
        <v>141</v>
      </c>
      <c r="E685">
        <v>22935</v>
      </c>
      <c r="F685">
        <v>0</v>
      </c>
    </row>
    <row r="686" spans="1:6" x14ac:dyDescent="0.25">
      <c r="A686" t="s">
        <v>83</v>
      </c>
      <c r="B686" t="s">
        <v>34</v>
      </c>
      <c r="C686" t="s">
        <v>125</v>
      </c>
      <c r="D686" t="s">
        <v>139</v>
      </c>
      <c r="E686">
        <v>22756</v>
      </c>
      <c r="F686">
        <v>0</v>
      </c>
    </row>
    <row r="687" spans="1:6" x14ac:dyDescent="0.25">
      <c r="A687" t="s">
        <v>204</v>
      </c>
      <c r="B687" t="s">
        <v>50</v>
      </c>
      <c r="C687" t="s">
        <v>132</v>
      </c>
      <c r="D687" t="s">
        <v>132</v>
      </c>
      <c r="E687">
        <v>22738</v>
      </c>
      <c r="F687">
        <v>0</v>
      </c>
    </row>
    <row r="688" spans="1:6" x14ac:dyDescent="0.25">
      <c r="A688" t="s">
        <v>167</v>
      </c>
      <c r="B688" t="s">
        <v>50</v>
      </c>
      <c r="C688" t="s">
        <v>125</v>
      </c>
      <c r="D688" t="s">
        <v>144</v>
      </c>
      <c r="E688">
        <v>22136</v>
      </c>
      <c r="F688">
        <v>0</v>
      </c>
    </row>
    <row r="689" spans="1:6" x14ac:dyDescent="0.25">
      <c r="A689" t="s">
        <v>161</v>
      </c>
      <c r="B689" t="s">
        <v>45</v>
      </c>
      <c r="C689" t="s">
        <v>132</v>
      </c>
      <c r="D689" t="s">
        <v>142</v>
      </c>
      <c r="E689">
        <v>21680</v>
      </c>
      <c r="F689">
        <v>0</v>
      </c>
    </row>
    <row r="690" spans="1:6" x14ac:dyDescent="0.25">
      <c r="A690" t="s">
        <v>197</v>
      </c>
      <c r="B690" t="s">
        <v>45</v>
      </c>
      <c r="C690" t="s">
        <v>125</v>
      </c>
      <c r="D690" t="s">
        <v>135</v>
      </c>
      <c r="E690">
        <v>20905</v>
      </c>
      <c r="F690">
        <v>0</v>
      </c>
    </row>
    <row r="691" spans="1:6" x14ac:dyDescent="0.25">
      <c r="A691" t="s">
        <v>174</v>
      </c>
      <c r="B691" t="s">
        <v>45</v>
      </c>
      <c r="C691" t="s">
        <v>132</v>
      </c>
      <c r="D691" t="s">
        <v>142</v>
      </c>
      <c r="E691">
        <v>19624</v>
      </c>
      <c r="F691">
        <v>0</v>
      </c>
    </row>
    <row r="692" spans="1:6" x14ac:dyDescent="0.25">
      <c r="A692" t="s">
        <v>162</v>
      </c>
      <c r="B692" t="s">
        <v>58</v>
      </c>
      <c r="C692" t="s">
        <v>132</v>
      </c>
      <c r="D692" t="s">
        <v>142</v>
      </c>
      <c r="E692">
        <v>19264</v>
      </c>
      <c r="F692">
        <v>0</v>
      </c>
    </row>
    <row r="693" spans="1:6" x14ac:dyDescent="0.25">
      <c r="A693" t="s">
        <v>91</v>
      </c>
      <c r="B693" t="s">
        <v>34</v>
      </c>
      <c r="C693" t="s">
        <v>125</v>
      </c>
      <c r="D693" t="s">
        <v>125</v>
      </c>
      <c r="E693">
        <v>18202</v>
      </c>
      <c r="F693">
        <v>0</v>
      </c>
    </row>
    <row r="694" spans="1:6" x14ac:dyDescent="0.25">
      <c r="A694" t="s">
        <v>90</v>
      </c>
      <c r="B694" t="s">
        <v>34</v>
      </c>
      <c r="C694" t="s">
        <v>125</v>
      </c>
      <c r="D694" t="s">
        <v>135</v>
      </c>
      <c r="E694">
        <v>18181</v>
      </c>
      <c r="F694">
        <v>0</v>
      </c>
    </row>
    <row r="695" spans="1:6" x14ac:dyDescent="0.25">
      <c r="A695" t="s">
        <v>170</v>
      </c>
      <c r="B695" t="s">
        <v>61</v>
      </c>
      <c r="C695" t="s">
        <v>127</v>
      </c>
      <c r="D695" t="s">
        <v>129</v>
      </c>
      <c r="E695">
        <v>18134</v>
      </c>
      <c r="F695">
        <v>0</v>
      </c>
    </row>
    <row r="696" spans="1:6" x14ac:dyDescent="0.25">
      <c r="A696" t="s">
        <v>197</v>
      </c>
      <c r="B696" t="s">
        <v>45</v>
      </c>
      <c r="C696" t="s">
        <v>132</v>
      </c>
      <c r="D696" t="s">
        <v>142</v>
      </c>
      <c r="E696">
        <v>17486</v>
      </c>
      <c r="F696">
        <v>0</v>
      </c>
    </row>
    <row r="697" spans="1:6" x14ac:dyDescent="0.25">
      <c r="A697" t="s">
        <v>209</v>
      </c>
      <c r="B697" t="s">
        <v>45</v>
      </c>
      <c r="C697" t="s">
        <v>127</v>
      </c>
      <c r="D697" t="s">
        <v>137</v>
      </c>
      <c r="E697">
        <v>17361</v>
      </c>
      <c r="F697">
        <v>0</v>
      </c>
    </row>
    <row r="698" spans="1:6" x14ac:dyDescent="0.25">
      <c r="A698" t="s">
        <v>47</v>
      </c>
      <c r="B698" t="s">
        <v>34</v>
      </c>
      <c r="C698" t="s">
        <v>125</v>
      </c>
      <c r="D698" t="s">
        <v>139</v>
      </c>
      <c r="E698">
        <v>17147</v>
      </c>
      <c r="F698">
        <v>0</v>
      </c>
    </row>
    <row r="699" spans="1:6" x14ac:dyDescent="0.25">
      <c r="A699" t="s">
        <v>171</v>
      </c>
      <c r="B699" t="s">
        <v>48</v>
      </c>
      <c r="C699" t="s">
        <v>125</v>
      </c>
      <c r="D699" t="s">
        <v>144</v>
      </c>
      <c r="E699">
        <v>17096</v>
      </c>
      <c r="F699">
        <v>0</v>
      </c>
    </row>
    <row r="700" spans="1:6" x14ac:dyDescent="0.25">
      <c r="A700" t="s">
        <v>196</v>
      </c>
      <c r="B700" t="s">
        <v>53</v>
      </c>
      <c r="C700" t="s">
        <v>125</v>
      </c>
      <c r="D700" t="s">
        <v>149</v>
      </c>
      <c r="E700">
        <v>17030</v>
      </c>
      <c r="F700">
        <v>0</v>
      </c>
    </row>
    <row r="701" spans="1:6" x14ac:dyDescent="0.25">
      <c r="A701" t="s">
        <v>47</v>
      </c>
      <c r="B701" t="s">
        <v>34</v>
      </c>
      <c r="C701" t="s">
        <v>132</v>
      </c>
      <c r="D701" t="s">
        <v>142</v>
      </c>
      <c r="E701">
        <v>16211</v>
      </c>
      <c r="F701">
        <v>0</v>
      </c>
    </row>
    <row r="702" spans="1:6" x14ac:dyDescent="0.25">
      <c r="A702" t="s">
        <v>186</v>
      </c>
      <c r="B702" t="s">
        <v>53</v>
      </c>
      <c r="C702" t="s">
        <v>125</v>
      </c>
      <c r="D702" t="s">
        <v>139</v>
      </c>
      <c r="E702">
        <v>16054</v>
      </c>
      <c r="F702">
        <v>0</v>
      </c>
    </row>
    <row r="703" spans="1:6" x14ac:dyDescent="0.25">
      <c r="A703" t="s">
        <v>209</v>
      </c>
      <c r="B703" t="s">
        <v>45</v>
      </c>
      <c r="C703" t="s">
        <v>125</v>
      </c>
      <c r="D703" t="s">
        <v>136</v>
      </c>
      <c r="E703">
        <v>15965</v>
      </c>
      <c r="F703">
        <v>0</v>
      </c>
    </row>
    <row r="704" spans="1:6" x14ac:dyDescent="0.25">
      <c r="A704" t="s">
        <v>193</v>
      </c>
      <c r="B704" t="s">
        <v>45</v>
      </c>
      <c r="C704" t="s">
        <v>125</v>
      </c>
      <c r="D704" t="s">
        <v>136</v>
      </c>
      <c r="E704">
        <v>15666</v>
      </c>
      <c r="F704">
        <v>0</v>
      </c>
    </row>
    <row r="705" spans="1:6" x14ac:dyDescent="0.25">
      <c r="A705" t="s">
        <v>178</v>
      </c>
      <c r="B705" t="s">
        <v>58</v>
      </c>
      <c r="C705" t="s">
        <v>127</v>
      </c>
      <c r="D705" t="s">
        <v>130</v>
      </c>
      <c r="E705">
        <v>15582</v>
      </c>
      <c r="F705">
        <v>0</v>
      </c>
    </row>
    <row r="706" spans="1:6" x14ac:dyDescent="0.25">
      <c r="A706" t="s">
        <v>205</v>
      </c>
      <c r="B706" t="s">
        <v>53</v>
      </c>
      <c r="C706" t="s">
        <v>125</v>
      </c>
      <c r="D706" t="s">
        <v>139</v>
      </c>
      <c r="E706">
        <v>15372</v>
      </c>
      <c r="F706">
        <v>0</v>
      </c>
    </row>
    <row r="707" spans="1:6" x14ac:dyDescent="0.25">
      <c r="A707" t="s">
        <v>200</v>
      </c>
      <c r="B707" t="s">
        <v>58</v>
      </c>
      <c r="C707" t="s">
        <v>126</v>
      </c>
      <c r="D707" t="s">
        <v>141</v>
      </c>
      <c r="E707">
        <v>15290</v>
      </c>
      <c r="F707">
        <v>0</v>
      </c>
    </row>
    <row r="708" spans="1:6" x14ac:dyDescent="0.25">
      <c r="A708" t="s">
        <v>206</v>
      </c>
      <c r="B708" t="s">
        <v>50</v>
      </c>
      <c r="C708" t="s">
        <v>125</v>
      </c>
      <c r="D708" t="s">
        <v>139</v>
      </c>
      <c r="E708">
        <v>15220</v>
      </c>
      <c r="F708">
        <v>0</v>
      </c>
    </row>
    <row r="709" spans="1:6" x14ac:dyDescent="0.25">
      <c r="A709" t="s">
        <v>171</v>
      </c>
      <c r="B709" t="s">
        <v>48</v>
      </c>
      <c r="C709" t="s">
        <v>132</v>
      </c>
      <c r="D709" t="s">
        <v>142</v>
      </c>
      <c r="E709">
        <v>15132</v>
      </c>
      <c r="F709">
        <v>0</v>
      </c>
    </row>
    <row r="710" spans="1:6" x14ac:dyDescent="0.25">
      <c r="A710" t="s">
        <v>197</v>
      </c>
      <c r="B710" t="s">
        <v>45</v>
      </c>
      <c r="C710" t="s">
        <v>125</v>
      </c>
      <c r="D710" t="s">
        <v>139</v>
      </c>
      <c r="E710">
        <v>14872</v>
      </c>
      <c r="F710">
        <v>0</v>
      </c>
    </row>
    <row r="711" spans="1:6" x14ac:dyDescent="0.25">
      <c r="A711" t="s">
        <v>187</v>
      </c>
      <c r="B711" t="s">
        <v>45</v>
      </c>
      <c r="C711" t="s">
        <v>125</v>
      </c>
      <c r="D711" t="s">
        <v>135</v>
      </c>
      <c r="E711">
        <v>14802</v>
      </c>
      <c r="F711">
        <v>0</v>
      </c>
    </row>
    <row r="712" spans="1:6" x14ac:dyDescent="0.25">
      <c r="A712" t="s">
        <v>66</v>
      </c>
      <c r="B712" t="s">
        <v>34</v>
      </c>
      <c r="C712" t="s">
        <v>125</v>
      </c>
      <c r="D712" t="s">
        <v>139</v>
      </c>
      <c r="E712">
        <v>14764</v>
      </c>
      <c r="F712">
        <v>0</v>
      </c>
    </row>
    <row r="713" spans="1:6" x14ac:dyDescent="0.25">
      <c r="A713" t="s">
        <v>169</v>
      </c>
      <c r="B713" t="s">
        <v>45</v>
      </c>
      <c r="C713" t="s">
        <v>127</v>
      </c>
      <c r="D713" t="s">
        <v>148</v>
      </c>
      <c r="E713">
        <v>14518</v>
      </c>
      <c r="F713">
        <v>0</v>
      </c>
    </row>
    <row r="714" spans="1:6" x14ac:dyDescent="0.25">
      <c r="A714" t="s">
        <v>87</v>
      </c>
      <c r="B714" t="s">
        <v>34</v>
      </c>
      <c r="C714" t="s">
        <v>125</v>
      </c>
      <c r="D714" t="s">
        <v>139</v>
      </c>
      <c r="E714">
        <v>14138</v>
      </c>
      <c r="F714">
        <v>0</v>
      </c>
    </row>
    <row r="715" spans="1:6" x14ac:dyDescent="0.25">
      <c r="A715" t="s">
        <v>76</v>
      </c>
      <c r="B715" t="s">
        <v>34</v>
      </c>
      <c r="C715" t="s">
        <v>125</v>
      </c>
      <c r="D715" t="s">
        <v>139</v>
      </c>
      <c r="E715">
        <v>13153</v>
      </c>
      <c r="F715">
        <v>0</v>
      </c>
    </row>
    <row r="716" spans="1:6" x14ac:dyDescent="0.25">
      <c r="A716" t="s">
        <v>169</v>
      </c>
      <c r="B716" t="s">
        <v>45</v>
      </c>
      <c r="C716" t="s">
        <v>132</v>
      </c>
      <c r="D716" t="s">
        <v>142</v>
      </c>
      <c r="E716">
        <v>13129</v>
      </c>
      <c r="F716">
        <v>0</v>
      </c>
    </row>
    <row r="717" spans="1:6" x14ac:dyDescent="0.25">
      <c r="A717" t="s">
        <v>206</v>
      </c>
      <c r="B717" t="s">
        <v>50</v>
      </c>
      <c r="C717" t="s">
        <v>132</v>
      </c>
      <c r="D717" t="s">
        <v>142</v>
      </c>
      <c r="E717">
        <v>12695</v>
      </c>
      <c r="F717">
        <v>0</v>
      </c>
    </row>
    <row r="718" spans="1:6" x14ac:dyDescent="0.25">
      <c r="A718" t="s">
        <v>201</v>
      </c>
      <c r="B718" t="s">
        <v>53</v>
      </c>
      <c r="C718" t="s">
        <v>125</v>
      </c>
      <c r="D718" t="s">
        <v>139</v>
      </c>
      <c r="E718">
        <v>12527</v>
      </c>
      <c r="F718">
        <v>0</v>
      </c>
    </row>
    <row r="719" spans="1:6" x14ac:dyDescent="0.25">
      <c r="A719" t="s">
        <v>184</v>
      </c>
      <c r="B719" t="s">
        <v>50</v>
      </c>
      <c r="C719" t="s">
        <v>132</v>
      </c>
      <c r="D719" t="s">
        <v>142</v>
      </c>
      <c r="E719">
        <v>12475</v>
      </c>
      <c r="F719">
        <v>0</v>
      </c>
    </row>
    <row r="720" spans="1:6" x14ac:dyDescent="0.25">
      <c r="A720" t="s">
        <v>82</v>
      </c>
      <c r="B720" t="s">
        <v>34</v>
      </c>
      <c r="C720" t="s">
        <v>125</v>
      </c>
      <c r="D720" t="s">
        <v>139</v>
      </c>
      <c r="E720">
        <v>12371</v>
      </c>
      <c r="F720">
        <v>0</v>
      </c>
    </row>
    <row r="721" spans="1:6" x14ac:dyDescent="0.25">
      <c r="A721" t="s">
        <v>73</v>
      </c>
      <c r="B721" t="s">
        <v>34</v>
      </c>
      <c r="C721" t="s">
        <v>125</v>
      </c>
      <c r="D721" t="s">
        <v>139</v>
      </c>
      <c r="E721">
        <v>12235</v>
      </c>
      <c r="F721">
        <v>0</v>
      </c>
    </row>
    <row r="722" spans="1:6" x14ac:dyDescent="0.25">
      <c r="A722" t="s">
        <v>201</v>
      </c>
      <c r="B722" t="s">
        <v>53</v>
      </c>
      <c r="C722" t="s">
        <v>125</v>
      </c>
      <c r="D722" t="s">
        <v>135</v>
      </c>
      <c r="E722">
        <v>11957</v>
      </c>
      <c r="F722">
        <v>0</v>
      </c>
    </row>
    <row r="723" spans="1:6" x14ac:dyDescent="0.25">
      <c r="A723" t="s">
        <v>194</v>
      </c>
      <c r="B723" t="s">
        <v>58</v>
      </c>
      <c r="C723" t="s">
        <v>132</v>
      </c>
      <c r="D723" t="s">
        <v>142</v>
      </c>
      <c r="E723">
        <v>11948</v>
      </c>
      <c r="F723">
        <v>0</v>
      </c>
    </row>
    <row r="724" spans="1:6" x14ac:dyDescent="0.25">
      <c r="A724" t="s">
        <v>178</v>
      </c>
      <c r="B724" t="s">
        <v>58</v>
      </c>
      <c r="C724" t="s">
        <v>132</v>
      </c>
      <c r="D724" t="s">
        <v>142</v>
      </c>
      <c r="E724">
        <v>11948</v>
      </c>
      <c r="F724">
        <v>0</v>
      </c>
    </row>
    <row r="725" spans="1:6" x14ac:dyDescent="0.25">
      <c r="A725" t="s">
        <v>203</v>
      </c>
      <c r="B725" t="s">
        <v>58</v>
      </c>
      <c r="C725" t="s">
        <v>126</v>
      </c>
      <c r="D725" t="s">
        <v>126</v>
      </c>
      <c r="E725">
        <v>11767</v>
      </c>
      <c r="F725">
        <v>0</v>
      </c>
    </row>
    <row r="726" spans="1:6" x14ac:dyDescent="0.25">
      <c r="A726" t="s">
        <v>180</v>
      </c>
      <c r="B726" t="s">
        <v>45</v>
      </c>
      <c r="C726" t="s">
        <v>125</v>
      </c>
      <c r="D726" t="s">
        <v>144</v>
      </c>
      <c r="E726">
        <v>11495</v>
      </c>
      <c r="F726">
        <v>0</v>
      </c>
    </row>
    <row r="727" spans="1:6" x14ac:dyDescent="0.25">
      <c r="A727" t="s">
        <v>44</v>
      </c>
      <c r="B727" t="s">
        <v>34</v>
      </c>
      <c r="C727" t="s">
        <v>132</v>
      </c>
      <c r="D727" t="s">
        <v>145</v>
      </c>
      <c r="E727">
        <v>11211</v>
      </c>
      <c r="F727">
        <v>0</v>
      </c>
    </row>
    <row r="728" spans="1:6" x14ac:dyDescent="0.25">
      <c r="A728" t="s">
        <v>193</v>
      </c>
      <c r="B728" t="s">
        <v>45</v>
      </c>
      <c r="C728" t="s">
        <v>125</v>
      </c>
      <c r="D728" t="s">
        <v>139</v>
      </c>
      <c r="E728">
        <v>10826</v>
      </c>
      <c r="F728">
        <v>0</v>
      </c>
    </row>
    <row r="729" spans="1:6" x14ac:dyDescent="0.25">
      <c r="A729" t="s">
        <v>200</v>
      </c>
      <c r="B729" t="s">
        <v>58</v>
      </c>
      <c r="C729" t="s">
        <v>125</v>
      </c>
      <c r="D729" t="s">
        <v>139</v>
      </c>
      <c r="E729">
        <v>10307</v>
      </c>
      <c r="F729">
        <v>0</v>
      </c>
    </row>
    <row r="730" spans="1:6" x14ac:dyDescent="0.25">
      <c r="A730" t="s">
        <v>209</v>
      </c>
      <c r="B730" t="s">
        <v>45</v>
      </c>
      <c r="C730" t="s">
        <v>125</v>
      </c>
      <c r="D730" t="s">
        <v>139</v>
      </c>
      <c r="E730">
        <v>9986</v>
      </c>
      <c r="F730">
        <v>0</v>
      </c>
    </row>
    <row r="731" spans="1:6" x14ac:dyDescent="0.25">
      <c r="A731" t="s">
        <v>192</v>
      </c>
      <c r="B731" t="s">
        <v>45</v>
      </c>
      <c r="C731" t="s">
        <v>125</v>
      </c>
      <c r="D731" t="s">
        <v>139</v>
      </c>
      <c r="E731">
        <v>9978</v>
      </c>
      <c r="F731">
        <v>0</v>
      </c>
    </row>
    <row r="732" spans="1:6" x14ac:dyDescent="0.25">
      <c r="A732" t="s">
        <v>200</v>
      </c>
      <c r="B732" t="s">
        <v>58</v>
      </c>
      <c r="C732" t="s">
        <v>132</v>
      </c>
      <c r="D732" t="s">
        <v>132</v>
      </c>
      <c r="E732">
        <v>9558</v>
      </c>
      <c r="F732">
        <v>0</v>
      </c>
    </row>
    <row r="733" spans="1:6" x14ac:dyDescent="0.25">
      <c r="A733" t="s">
        <v>203</v>
      </c>
      <c r="B733" t="s">
        <v>58</v>
      </c>
      <c r="C733" t="s">
        <v>126</v>
      </c>
      <c r="D733" t="s">
        <v>141</v>
      </c>
      <c r="E733">
        <v>9311</v>
      </c>
      <c r="F733">
        <v>0</v>
      </c>
    </row>
    <row r="734" spans="1:6" x14ac:dyDescent="0.25">
      <c r="A734" t="s">
        <v>206</v>
      </c>
      <c r="B734" t="s">
        <v>50</v>
      </c>
      <c r="C734" t="s">
        <v>125</v>
      </c>
      <c r="D734" t="s">
        <v>144</v>
      </c>
      <c r="E734">
        <v>8892</v>
      </c>
      <c r="F734">
        <v>0</v>
      </c>
    </row>
    <row r="735" spans="1:6" x14ac:dyDescent="0.25">
      <c r="A735" t="s">
        <v>209</v>
      </c>
      <c r="B735" t="s">
        <v>45</v>
      </c>
      <c r="C735" t="s">
        <v>125</v>
      </c>
      <c r="D735" t="s">
        <v>144</v>
      </c>
      <c r="E735">
        <v>8825</v>
      </c>
      <c r="F735">
        <v>0</v>
      </c>
    </row>
    <row r="736" spans="1:6" x14ac:dyDescent="0.25">
      <c r="A736" t="s">
        <v>172</v>
      </c>
      <c r="B736" t="s">
        <v>50</v>
      </c>
      <c r="C736" t="s">
        <v>125</v>
      </c>
      <c r="D736" t="s">
        <v>144</v>
      </c>
      <c r="E736">
        <v>8729</v>
      </c>
      <c r="F736">
        <v>0</v>
      </c>
    </row>
    <row r="737" spans="1:6" x14ac:dyDescent="0.25">
      <c r="A737" t="s">
        <v>191</v>
      </c>
      <c r="B737" t="s">
        <v>45</v>
      </c>
      <c r="C737" t="s">
        <v>125</v>
      </c>
      <c r="D737" t="s">
        <v>139</v>
      </c>
      <c r="E737">
        <v>8317</v>
      </c>
      <c r="F737">
        <v>0</v>
      </c>
    </row>
    <row r="738" spans="1:6" x14ac:dyDescent="0.25">
      <c r="A738" t="s">
        <v>177</v>
      </c>
      <c r="B738" t="s">
        <v>48</v>
      </c>
      <c r="C738" t="s">
        <v>125</v>
      </c>
      <c r="D738" t="s">
        <v>144</v>
      </c>
      <c r="E738">
        <v>8288</v>
      </c>
      <c r="F738">
        <v>0</v>
      </c>
    </row>
    <row r="739" spans="1:6" x14ac:dyDescent="0.25">
      <c r="A739" t="s">
        <v>178</v>
      </c>
      <c r="B739" t="s">
        <v>58</v>
      </c>
      <c r="C739" t="s">
        <v>125</v>
      </c>
      <c r="D739" t="s">
        <v>144</v>
      </c>
      <c r="E739">
        <v>8279</v>
      </c>
      <c r="F739">
        <v>0</v>
      </c>
    </row>
    <row r="740" spans="1:6" x14ac:dyDescent="0.25">
      <c r="A740" t="s">
        <v>198</v>
      </c>
      <c r="B740" t="s">
        <v>45</v>
      </c>
      <c r="C740" t="s">
        <v>132</v>
      </c>
      <c r="D740" t="s">
        <v>142</v>
      </c>
      <c r="E740">
        <v>8264</v>
      </c>
      <c r="F740">
        <v>0</v>
      </c>
    </row>
    <row r="741" spans="1:6" x14ac:dyDescent="0.25">
      <c r="A741" t="s">
        <v>204</v>
      </c>
      <c r="B741" t="s">
        <v>50</v>
      </c>
      <c r="C741" t="s">
        <v>125</v>
      </c>
      <c r="D741" t="s">
        <v>139</v>
      </c>
      <c r="E741">
        <v>8152</v>
      </c>
      <c r="F741">
        <v>0</v>
      </c>
    </row>
    <row r="742" spans="1:6" x14ac:dyDescent="0.25">
      <c r="A742" t="s">
        <v>90</v>
      </c>
      <c r="B742" t="s">
        <v>34</v>
      </c>
      <c r="C742" t="s">
        <v>125</v>
      </c>
      <c r="D742" t="s">
        <v>144</v>
      </c>
      <c r="E742">
        <v>8120</v>
      </c>
      <c r="F742">
        <v>0</v>
      </c>
    </row>
    <row r="743" spans="1:6" x14ac:dyDescent="0.25">
      <c r="A743" t="s">
        <v>72</v>
      </c>
      <c r="B743" t="s">
        <v>34</v>
      </c>
      <c r="C743" t="s">
        <v>125</v>
      </c>
      <c r="D743" t="s">
        <v>139</v>
      </c>
      <c r="E743">
        <v>7793</v>
      </c>
      <c r="F743">
        <v>0</v>
      </c>
    </row>
    <row r="744" spans="1:6" x14ac:dyDescent="0.25">
      <c r="A744" t="s">
        <v>183</v>
      </c>
      <c r="B744" t="s">
        <v>45</v>
      </c>
      <c r="C744" t="s">
        <v>125</v>
      </c>
      <c r="D744" t="s">
        <v>139</v>
      </c>
      <c r="E744">
        <v>7598</v>
      </c>
      <c r="F744">
        <v>0</v>
      </c>
    </row>
    <row r="745" spans="1:6" x14ac:dyDescent="0.25">
      <c r="A745" t="s">
        <v>83</v>
      </c>
      <c r="B745" t="s">
        <v>34</v>
      </c>
      <c r="C745" t="s">
        <v>132</v>
      </c>
      <c r="D745" t="s">
        <v>142</v>
      </c>
      <c r="E745">
        <v>7546</v>
      </c>
      <c r="F745">
        <v>0</v>
      </c>
    </row>
    <row r="746" spans="1:6" x14ac:dyDescent="0.25">
      <c r="A746" t="s">
        <v>183</v>
      </c>
      <c r="B746" t="s">
        <v>45</v>
      </c>
      <c r="C746" t="s">
        <v>132</v>
      </c>
      <c r="D746" t="s">
        <v>142</v>
      </c>
      <c r="E746">
        <v>7324</v>
      </c>
      <c r="F746">
        <v>0</v>
      </c>
    </row>
    <row r="747" spans="1:6" x14ac:dyDescent="0.25">
      <c r="A747" t="s">
        <v>182</v>
      </c>
      <c r="B747" t="s">
        <v>53</v>
      </c>
      <c r="C747" t="s">
        <v>125</v>
      </c>
      <c r="D747" t="s">
        <v>139</v>
      </c>
      <c r="E747">
        <v>7302</v>
      </c>
      <c r="F747">
        <v>0</v>
      </c>
    </row>
    <row r="748" spans="1:6" x14ac:dyDescent="0.25">
      <c r="A748" t="s">
        <v>207</v>
      </c>
      <c r="B748" t="s">
        <v>45</v>
      </c>
      <c r="C748" t="s">
        <v>125</v>
      </c>
      <c r="D748" t="s">
        <v>139</v>
      </c>
      <c r="E748">
        <v>7264</v>
      </c>
      <c r="F748">
        <v>0</v>
      </c>
    </row>
    <row r="749" spans="1:6" x14ac:dyDescent="0.25">
      <c r="A749" t="s">
        <v>196</v>
      </c>
      <c r="B749" t="s">
        <v>53</v>
      </c>
      <c r="C749" t="s">
        <v>127</v>
      </c>
      <c r="D749" t="s">
        <v>130</v>
      </c>
      <c r="E749">
        <v>6917</v>
      </c>
      <c r="F749">
        <v>0</v>
      </c>
    </row>
    <row r="750" spans="1:6" x14ac:dyDescent="0.25">
      <c r="A750" t="s">
        <v>86</v>
      </c>
      <c r="B750" t="s">
        <v>34</v>
      </c>
      <c r="C750" t="s">
        <v>125</v>
      </c>
      <c r="D750" t="s">
        <v>139</v>
      </c>
      <c r="E750">
        <v>6728</v>
      </c>
      <c r="F750">
        <v>0</v>
      </c>
    </row>
    <row r="751" spans="1:6" x14ac:dyDescent="0.25">
      <c r="A751" t="s">
        <v>174</v>
      </c>
      <c r="B751" t="s">
        <v>45</v>
      </c>
      <c r="C751" t="s">
        <v>125</v>
      </c>
      <c r="D751" t="s">
        <v>139</v>
      </c>
      <c r="E751">
        <v>6424</v>
      </c>
      <c r="F751">
        <v>0</v>
      </c>
    </row>
    <row r="752" spans="1:6" x14ac:dyDescent="0.25">
      <c r="A752" t="s">
        <v>79</v>
      </c>
      <c r="B752" t="s">
        <v>34</v>
      </c>
      <c r="C752" t="s">
        <v>125</v>
      </c>
      <c r="D752" t="s">
        <v>139</v>
      </c>
      <c r="E752">
        <v>6422</v>
      </c>
      <c r="F752">
        <v>0</v>
      </c>
    </row>
    <row r="753" spans="1:6" x14ac:dyDescent="0.25">
      <c r="A753" t="s">
        <v>206</v>
      </c>
      <c r="B753" t="s">
        <v>50</v>
      </c>
      <c r="C753" t="s">
        <v>125</v>
      </c>
      <c r="D753" t="s">
        <v>136</v>
      </c>
      <c r="E753">
        <v>6383</v>
      </c>
      <c r="F753">
        <v>0</v>
      </c>
    </row>
    <row r="754" spans="1:6" x14ac:dyDescent="0.25">
      <c r="A754" t="s">
        <v>49</v>
      </c>
      <c r="B754" t="s">
        <v>34</v>
      </c>
      <c r="C754" t="s">
        <v>125</v>
      </c>
      <c r="D754" t="s">
        <v>144</v>
      </c>
      <c r="E754">
        <v>6330</v>
      </c>
      <c r="F754">
        <v>0</v>
      </c>
    </row>
    <row r="755" spans="1:6" x14ac:dyDescent="0.25">
      <c r="A755" t="s">
        <v>191</v>
      </c>
      <c r="B755" t="s">
        <v>45</v>
      </c>
      <c r="C755" t="s">
        <v>132</v>
      </c>
      <c r="D755" t="s">
        <v>142</v>
      </c>
      <c r="E755">
        <v>6048</v>
      </c>
      <c r="F755">
        <v>0</v>
      </c>
    </row>
    <row r="756" spans="1:6" x14ac:dyDescent="0.25">
      <c r="A756" t="s">
        <v>180</v>
      </c>
      <c r="B756" t="s">
        <v>45</v>
      </c>
      <c r="C756" t="s">
        <v>125</v>
      </c>
      <c r="D756" t="s">
        <v>140</v>
      </c>
      <c r="E756">
        <v>5982</v>
      </c>
      <c r="F756">
        <v>0</v>
      </c>
    </row>
    <row r="757" spans="1:6" x14ac:dyDescent="0.25">
      <c r="A757" t="s">
        <v>94</v>
      </c>
      <c r="B757" t="s">
        <v>34</v>
      </c>
      <c r="C757" t="s">
        <v>126</v>
      </c>
      <c r="D757" t="s">
        <v>134</v>
      </c>
      <c r="E757">
        <v>5920</v>
      </c>
      <c r="F757">
        <v>0</v>
      </c>
    </row>
    <row r="758" spans="1:6" x14ac:dyDescent="0.25">
      <c r="A758" t="s">
        <v>190</v>
      </c>
      <c r="B758" t="s">
        <v>45</v>
      </c>
      <c r="C758" t="s">
        <v>127</v>
      </c>
      <c r="D758" t="s">
        <v>138</v>
      </c>
      <c r="E758">
        <v>5672</v>
      </c>
      <c r="F758">
        <v>0</v>
      </c>
    </row>
    <row r="759" spans="1:6" x14ac:dyDescent="0.25">
      <c r="A759" t="s">
        <v>201</v>
      </c>
      <c r="B759" t="s">
        <v>53</v>
      </c>
      <c r="C759" t="s">
        <v>125</v>
      </c>
      <c r="D759" t="s">
        <v>140</v>
      </c>
      <c r="E759">
        <v>5146</v>
      </c>
      <c r="F759">
        <v>0</v>
      </c>
    </row>
    <row r="760" spans="1:6" x14ac:dyDescent="0.25">
      <c r="A760" t="s">
        <v>196</v>
      </c>
      <c r="B760" t="s">
        <v>53</v>
      </c>
      <c r="C760" t="s">
        <v>132</v>
      </c>
      <c r="D760" t="s">
        <v>142</v>
      </c>
      <c r="E760">
        <v>4988</v>
      </c>
      <c r="F760">
        <v>0</v>
      </c>
    </row>
    <row r="761" spans="1:6" x14ac:dyDescent="0.25">
      <c r="A761" t="s">
        <v>180</v>
      </c>
      <c r="B761" t="s">
        <v>45</v>
      </c>
      <c r="C761" t="s">
        <v>132</v>
      </c>
      <c r="D761" t="s">
        <v>142</v>
      </c>
      <c r="E761">
        <v>4945</v>
      </c>
      <c r="F761">
        <v>0</v>
      </c>
    </row>
    <row r="762" spans="1:6" x14ac:dyDescent="0.25">
      <c r="A762" t="s">
        <v>165</v>
      </c>
      <c r="B762" t="s">
        <v>48</v>
      </c>
      <c r="C762" t="s">
        <v>125</v>
      </c>
      <c r="D762" t="s">
        <v>139</v>
      </c>
      <c r="E762">
        <v>4694</v>
      </c>
      <c r="F762">
        <v>0</v>
      </c>
    </row>
    <row r="763" spans="1:6" x14ac:dyDescent="0.25">
      <c r="A763" t="s">
        <v>79</v>
      </c>
      <c r="B763" t="s">
        <v>34</v>
      </c>
      <c r="C763" t="s">
        <v>127</v>
      </c>
      <c r="D763" t="s">
        <v>137</v>
      </c>
      <c r="E763">
        <v>4384</v>
      </c>
      <c r="F763">
        <v>0</v>
      </c>
    </row>
    <row r="764" spans="1:6" x14ac:dyDescent="0.25">
      <c r="A764" t="s">
        <v>165</v>
      </c>
      <c r="B764" t="s">
        <v>48</v>
      </c>
      <c r="C764" t="s">
        <v>127</v>
      </c>
      <c r="D764" t="s">
        <v>148</v>
      </c>
      <c r="E764">
        <v>4336</v>
      </c>
      <c r="F764">
        <v>0</v>
      </c>
    </row>
    <row r="765" spans="1:6" x14ac:dyDescent="0.25">
      <c r="A765" t="s">
        <v>91</v>
      </c>
      <c r="B765" t="s">
        <v>34</v>
      </c>
      <c r="C765" t="s">
        <v>125</v>
      </c>
      <c r="D765" t="s">
        <v>144</v>
      </c>
      <c r="E765">
        <v>4220</v>
      </c>
      <c r="F765">
        <v>0</v>
      </c>
    </row>
    <row r="766" spans="1:6" x14ac:dyDescent="0.25">
      <c r="A766" t="s">
        <v>206</v>
      </c>
      <c r="B766" t="s">
        <v>50</v>
      </c>
      <c r="C766" t="s">
        <v>126</v>
      </c>
      <c r="D766" t="s">
        <v>134</v>
      </c>
      <c r="E766">
        <v>4079</v>
      </c>
      <c r="F766">
        <v>0</v>
      </c>
    </row>
    <row r="767" spans="1:6" x14ac:dyDescent="0.25">
      <c r="A767" t="s">
        <v>193</v>
      </c>
      <c r="B767" t="s">
        <v>45</v>
      </c>
      <c r="C767" t="s">
        <v>127</v>
      </c>
      <c r="D767" t="s">
        <v>148</v>
      </c>
      <c r="E767">
        <v>3335</v>
      </c>
      <c r="F767">
        <v>0</v>
      </c>
    </row>
    <row r="768" spans="1:6" x14ac:dyDescent="0.25">
      <c r="A768" t="s">
        <v>162</v>
      </c>
      <c r="B768" t="s">
        <v>58</v>
      </c>
      <c r="C768" t="s">
        <v>125</v>
      </c>
      <c r="D768" t="s">
        <v>144</v>
      </c>
      <c r="E768">
        <v>2935</v>
      </c>
      <c r="F768">
        <v>0</v>
      </c>
    </row>
    <row r="769" spans="1:6" x14ac:dyDescent="0.25">
      <c r="A769" t="s">
        <v>165</v>
      </c>
      <c r="B769" t="s">
        <v>48</v>
      </c>
      <c r="C769" t="s">
        <v>143</v>
      </c>
      <c r="D769" t="s">
        <v>143</v>
      </c>
      <c r="E769">
        <v>2808</v>
      </c>
      <c r="F769">
        <v>0</v>
      </c>
    </row>
    <row r="770" spans="1:6" x14ac:dyDescent="0.25">
      <c r="A770" t="s">
        <v>77</v>
      </c>
      <c r="B770" t="s">
        <v>34</v>
      </c>
      <c r="C770" t="s">
        <v>127</v>
      </c>
      <c r="D770" t="s">
        <v>137</v>
      </c>
      <c r="E770">
        <v>2800</v>
      </c>
      <c r="F770">
        <v>0</v>
      </c>
    </row>
    <row r="771" spans="1:6" x14ac:dyDescent="0.25">
      <c r="A771" t="s">
        <v>192</v>
      </c>
      <c r="B771" t="s">
        <v>45</v>
      </c>
      <c r="C771" t="s">
        <v>125</v>
      </c>
      <c r="D771" t="s">
        <v>144</v>
      </c>
      <c r="E771">
        <v>2751</v>
      </c>
      <c r="F771">
        <v>0</v>
      </c>
    </row>
    <row r="772" spans="1:6" x14ac:dyDescent="0.25">
      <c r="A772" t="s">
        <v>54</v>
      </c>
      <c r="B772" t="s">
        <v>34</v>
      </c>
      <c r="C772" t="s">
        <v>127</v>
      </c>
      <c r="D772" t="s">
        <v>148</v>
      </c>
      <c r="E772">
        <v>2592</v>
      </c>
      <c r="F772">
        <v>0</v>
      </c>
    </row>
    <row r="773" spans="1:6" x14ac:dyDescent="0.25">
      <c r="A773" t="s">
        <v>60</v>
      </c>
      <c r="B773" t="s">
        <v>34</v>
      </c>
      <c r="C773" t="s">
        <v>127</v>
      </c>
      <c r="D773" t="s">
        <v>148</v>
      </c>
      <c r="E773">
        <v>2591</v>
      </c>
      <c r="F773">
        <v>0</v>
      </c>
    </row>
    <row r="774" spans="1:6" x14ac:dyDescent="0.25">
      <c r="A774" t="s">
        <v>80</v>
      </c>
      <c r="B774" t="s">
        <v>34</v>
      </c>
      <c r="C774" t="s">
        <v>132</v>
      </c>
      <c r="D774" t="s">
        <v>142</v>
      </c>
      <c r="E774">
        <v>2549</v>
      </c>
      <c r="F774">
        <v>0</v>
      </c>
    </row>
    <row r="775" spans="1:6" x14ac:dyDescent="0.25">
      <c r="A775" t="s">
        <v>162</v>
      </c>
      <c r="B775" t="s">
        <v>58</v>
      </c>
      <c r="C775" t="s">
        <v>127</v>
      </c>
      <c r="D775" t="s">
        <v>133</v>
      </c>
      <c r="E775">
        <v>2426</v>
      </c>
      <c r="F775">
        <v>0</v>
      </c>
    </row>
    <row r="776" spans="1:6" x14ac:dyDescent="0.25">
      <c r="A776" t="s">
        <v>67</v>
      </c>
      <c r="B776" t="s">
        <v>34</v>
      </c>
      <c r="C776" t="s">
        <v>127</v>
      </c>
      <c r="D776" t="s">
        <v>148</v>
      </c>
      <c r="E776">
        <v>2220</v>
      </c>
      <c r="F776">
        <v>0</v>
      </c>
    </row>
    <row r="777" spans="1:6" x14ac:dyDescent="0.25">
      <c r="A777" t="s">
        <v>64</v>
      </c>
      <c r="B777" t="s">
        <v>34</v>
      </c>
      <c r="C777" t="s">
        <v>127</v>
      </c>
      <c r="D777" t="s">
        <v>148</v>
      </c>
      <c r="E777">
        <v>1814</v>
      </c>
      <c r="F777">
        <v>0</v>
      </c>
    </row>
    <row r="778" spans="1:6" x14ac:dyDescent="0.25">
      <c r="A778" t="s">
        <v>201</v>
      </c>
      <c r="B778" t="s">
        <v>53</v>
      </c>
      <c r="C778" t="s">
        <v>132</v>
      </c>
      <c r="D778" t="s">
        <v>142</v>
      </c>
      <c r="E778">
        <v>1249</v>
      </c>
      <c r="F778">
        <v>0</v>
      </c>
    </row>
    <row r="779" spans="1:6" x14ac:dyDescent="0.25">
      <c r="A779" t="s">
        <v>211</v>
      </c>
      <c r="B779" t="s">
        <v>65</v>
      </c>
      <c r="C779" t="s">
        <v>125</v>
      </c>
      <c r="D779" t="s">
        <v>139</v>
      </c>
      <c r="E779">
        <v>1115</v>
      </c>
      <c r="F779">
        <v>0</v>
      </c>
    </row>
    <row r="780" spans="1:6" x14ac:dyDescent="0.25">
      <c r="A780" t="s">
        <v>72</v>
      </c>
      <c r="B780" t="s">
        <v>34</v>
      </c>
      <c r="C780" t="s">
        <v>127</v>
      </c>
      <c r="D780" t="s">
        <v>148</v>
      </c>
      <c r="E780">
        <v>908</v>
      </c>
      <c r="F780">
        <v>0</v>
      </c>
    </row>
    <row r="781" spans="1:6" x14ac:dyDescent="0.25">
      <c r="A781" t="s">
        <v>77</v>
      </c>
      <c r="B781" t="s">
        <v>34</v>
      </c>
      <c r="C781" t="s">
        <v>127</v>
      </c>
      <c r="D781" t="s">
        <v>148</v>
      </c>
      <c r="E781">
        <v>556</v>
      </c>
      <c r="F781">
        <v>0</v>
      </c>
    </row>
    <row r="782" spans="1:6" x14ac:dyDescent="0.25">
      <c r="A782" t="s">
        <v>85</v>
      </c>
      <c r="B782" t="s">
        <v>34</v>
      </c>
      <c r="C782" t="s">
        <v>127</v>
      </c>
      <c r="D782" t="s">
        <v>148</v>
      </c>
      <c r="E782">
        <v>181</v>
      </c>
      <c r="F782">
        <v>0</v>
      </c>
    </row>
    <row r="783" spans="1:6" x14ac:dyDescent="0.25">
      <c r="A783" t="s">
        <v>201</v>
      </c>
      <c r="B783" t="s">
        <v>53</v>
      </c>
      <c r="C783" t="s">
        <v>150</v>
      </c>
      <c r="D783" t="s">
        <v>153</v>
      </c>
      <c r="E783">
        <v>0</v>
      </c>
      <c r="F783">
        <v>186292</v>
      </c>
    </row>
    <row r="784" spans="1:6" x14ac:dyDescent="0.25">
      <c r="A784" t="s">
        <v>201</v>
      </c>
      <c r="B784" t="s">
        <v>53</v>
      </c>
      <c r="C784" t="s">
        <v>150</v>
      </c>
      <c r="D784" t="s">
        <v>152</v>
      </c>
      <c r="E784">
        <v>0</v>
      </c>
      <c r="F784">
        <v>41341</v>
      </c>
    </row>
    <row r="785" spans="1:6" x14ac:dyDescent="0.25">
      <c r="A785" t="s">
        <v>201</v>
      </c>
      <c r="B785" t="s">
        <v>53</v>
      </c>
      <c r="C785" t="s">
        <v>150</v>
      </c>
      <c r="D785" t="s">
        <v>156</v>
      </c>
      <c r="E785">
        <v>0</v>
      </c>
      <c r="F785">
        <v>184345</v>
      </c>
    </row>
    <row r="786" spans="1:6" x14ac:dyDescent="0.25">
      <c r="A786" t="s">
        <v>201</v>
      </c>
      <c r="B786" t="s">
        <v>53</v>
      </c>
      <c r="C786" t="s">
        <v>150</v>
      </c>
      <c r="D786" t="s">
        <v>158</v>
      </c>
      <c r="E786">
        <v>0</v>
      </c>
      <c r="F786">
        <v>87994</v>
      </c>
    </row>
    <row r="787" spans="1:6" x14ac:dyDescent="0.25">
      <c r="A787" t="s">
        <v>169</v>
      </c>
      <c r="B787" t="s">
        <v>45</v>
      </c>
      <c r="C787" t="s">
        <v>150</v>
      </c>
      <c r="D787" t="s">
        <v>138</v>
      </c>
      <c r="E787">
        <v>0</v>
      </c>
      <c r="F787">
        <v>190993</v>
      </c>
    </row>
    <row r="788" spans="1:6" x14ac:dyDescent="0.25">
      <c r="A788" t="s">
        <v>169</v>
      </c>
      <c r="B788" t="s">
        <v>45</v>
      </c>
      <c r="C788" t="s">
        <v>150</v>
      </c>
      <c r="D788" t="s">
        <v>153</v>
      </c>
      <c r="E788">
        <v>0</v>
      </c>
      <c r="F788">
        <v>2464276</v>
      </c>
    </row>
    <row r="789" spans="1:6" x14ac:dyDescent="0.25">
      <c r="A789" t="s">
        <v>169</v>
      </c>
      <c r="B789" t="s">
        <v>45</v>
      </c>
      <c r="C789" t="s">
        <v>150</v>
      </c>
      <c r="D789" t="s">
        <v>130</v>
      </c>
      <c r="E789">
        <v>0</v>
      </c>
      <c r="F789">
        <v>3488289</v>
      </c>
    </row>
    <row r="790" spans="1:6" x14ac:dyDescent="0.25">
      <c r="A790" t="s">
        <v>169</v>
      </c>
      <c r="B790" t="s">
        <v>45</v>
      </c>
      <c r="C790" t="s">
        <v>150</v>
      </c>
      <c r="D790" t="s">
        <v>152</v>
      </c>
      <c r="E790">
        <v>0</v>
      </c>
      <c r="F790">
        <v>148843</v>
      </c>
    </row>
    <row r="791" spans="1:6" x14ac:dyDescent="0.25">
      <c r="A791" t="s">
        <v>169</v>
      </c>
      <c r="B791" t="s">
        <v>45</v>
      </c>
      <c r="C791" t="s">
        <v>150</v>
      </c>
      <c r="D791" t="s">
        <v>154</v>
      </c>
      <c r="E791">
        <v>0</v>
      </c>
      <c r="F791">
        <v>54498</v>
      </c>
    </row>
    <row r="792" spans="1:6" x14ac:dyDescent="0.25">
      <c r="A792" t="s">
        <v>169</v>
      </c>
      <c r="B792" t="s">
        <v>45</v>
      </c>
      <c r="C792" t="s">
        <v>150</v>
      </c>
      <c r="D792" t="s">
        <v>156</v>
      </c>
      <c r="E792">
        <v>0</v>
      </c>
      <c r="F792">
        <v>2113743</v>
      </c>
    </row>
    <row r="793" spans="1:6" x14ac:dyDescent="0.25">
      <c r="A793" t="s">
        <v>169</v>
      </c>
      <c r="B793" t="s">
        <v>45</v>
      </c>
      <c r="C793" t="s">
        <v>150</v>
      </c>
      <c r="D793" t="s">
        <v>128</v>
      </c>
      <c r="E793">
        <v>0</v>
      </c>
      <c r="F793">
        <v>5314544</v>
      </c>
    </row>
    <row r="794" spans="1:6" x14ac:dyDescent="0.25">
      <c r="A794" t="s">
        <v>169</v>
      </c>
      <c r="B794" t="s">
        <v>45</v>
      </c>
      <c r="C794" t="s">
        <v>150</v>
      </c>
      <c r="D794" t="s">
        <v>157</v>
      </c>
      <c r="E794">
        <v>0</v>
      </c>
      <c r="F794">
        <v>2011961</v>
      </c>
    </row>
    <row r="795" spans="1:6" x14ac:dyDescent="0.25">
      <c r="A795" t="s">
        <v>169</v>
      </c>
      <c r="B795" t="s">
        <v>45</v>
      </c>
      <c r="C795" t="s">
        <v>150</v>
      </c>
      <c r="D795" t="s">
        <v>158</v>
      </c>
      <c r="E795">
        <v>0</v>
      </c>
      <c r="F795">
        <v>304818</v>
      </c>
    </row>
    <row r="796" spans="1:6" x14ac:dyDescent="0.25">
      <c r="A796" t="s">
        <v>169</v>
      </c>
      <c r="B796" t="s">
        <v>45</v>
      </c>
      <c r="C796" t="s">
        <v>150</v>
      </c>
      <c r="D796" t="s">
        <v>129</v>
      </c>
      <c r="E796">
        <v>0</v>
      </c>
      <c r="F796">
        <v>3490489</v>
      </c>
    </row>
    <row r="797" spans="1:6" x14ac:dyDescent="0.25">
      <c r="A797" t="s">
        <v>169</v>
      </c>
      <c r="B797" t="s">
        <v>45</v>
      </c>
      <c r="C797" t="s">
        <v>150</v>
      </c>
      <c r="D797" t="s">
        <v>133</v>
      </c>
      <c r="E797">
        <v>0</v>
      </c>
      <c r="F797">
        <v>1426970</v>
      </c>
    </row>
    <row r="798" spans="1:6" x14ac:dyDescent="0.25">
      <c r="A798" t="s">
        <v>69</v>
      </c>
      <c r="B798" t="s">
        <v>34</v>
      </c>
      <c r="C798" t="s">
        <v>150</v>
      </c>
      <c r="D798" t="s">
        <v>153</v>
      </c>
      <c r="E798">
        <v>0</v>
      </c>
      <c r="F798">
        <v>416765</v>
      </c>
    </row>
    <row r="799" spans="1:6" x14ac:dyDescent="0.25">
      <c r="A799" t="s">
        <v>69</v>
      </c>
      <c r="B799" t="s">
        <v>34</v>
      </c>
      <c r="C799" t="s">
        <v>150</v>
      </c>
      <c r="D799" t="s">
        <v>152</v>
      </c>
      <c r="E799">
        <v>0</v>
      </c>
      <c r="F799">
        <v>186357</v>
      </c>
    </row>
    <row r="800" spans="1:6" x14ac:dyDescent="0.25">
      <c r="A800" t="s">
        <v>69</v>
      </c>
      <c r="B800" t="s">
        <v>34</v>
      </c>
      <c r="C800" t="s">
        <v>150</v>
      </c>
      <c r="D800" t="s">
        <v>156</v>
      </c>
      <c r="E800">
        <v>0</v>
      </c>
      <c r="F800">
        <v>2325537</v>
      </c>
    </row>
    <row r="801" spans="1:6" x14ac:dyDescent="0.25">
      <c r="A801" t="s">
        <v>69</v>
      </c>
      <c r="B801" t="s">
        <v>34</v>
      </c>
      <c r="C801" t="s">
        <v>150</v>
      </c>
      <c r="D801" t="s">
        <v>157</v>
      </c>
      <c r="E801">
        <v>0</v>
      </c>
      <c r="F801">
        <v>12119</v>
      </c>
    </row>
    <row r="802" spans="1:6" x14ac:dyDescent="0.25">
      <c r="A802" t="s">
        <v>69</v>
      </c>
      <c r="B802" t="s">
        <v>34</v>
      </c>
      <c r="C802" t="s">
        <v>150</v>
      </c>
      <c r="D802" t="s">
        <v>158</v>
      </c>
      <c r="E802">
        <v>0</v>
      </c>
      <c r="F802">
        <v>287407</v>
      </c>
    </row>
    <row r="803" spans="1:6" x14ac:dyDescent="0.25">
      <c r="A803" t="s">
        <v>62</v>
      </c>
      <c r="B803" t="s">
        <v>34</v>
      </c>
      <c r="C803" t="s">
        <v>150</v>
      </c>
      <c r="D803" t="s">
        <v>153</v>
      </c>
      <c r="E803">
        <v>0</v>
      </c>
      <c r="F803">
        <v>11864540</v>
      </c>
    </row>
    <row r="804" spans="1:6" x14ac:dyDescent="0.25">
      <c r="A804" t="s">
        <v>62</v>
      </c>
      <c r="B804" t="s">
        <v>34</v>
      </c>
      <c r="C804" t="s">
        <v>150</v>
      </c>
      <c r="D804" t="s">
        <v>156</v>
      </c>
      <c r="E804">
        <v>0</v>
      </c>
      <c r="F804">
        <v>90256</v>
      </c>
    </row>
    <row r="805" spans="1:6" x14ac:dyDescent="0.25">
      <c r="A805" t="s">
        <v>62</v>
      </c>
      <c r="B805" t="s">
        <v>34</v>
      </c>
      <c r="C805" t="s">
        <v>150</v>
      </c>
      <c r="D805" t="s">
        <v>157</v>
      </c>
      <c r="E805">
        <v>0</v>
      </c>
      <c r="F805">
        <v>67655</v>
      </c>
    </row>
    <row r="806" spans="1:6" x14ac:dyDescent="0.25">
      <c r="A806" t="s">
        <v>44</v>
      </c>
      <c r="B806" t="s">
        <v>34</v>
      </c>
      <c r="C806" t="s">
        <v>150</v>
      </c>
      <c r="D806" t="s">
        <v>153</v>
      </c>
      <c r="E806">
        <v>0</v>
      </c>
      <c r="F806">
        <v>68140</v>
      </c>
    </row>
    <row r="807" spans="1:6" x14ac:dyDescent="0.25">
      <c r="A807" t="s">
        <v>44</v>
      </c>
      <c r="B807" t="s">
        <v>34</v>
      </c>
      <c r="C807" t="s">
        <v>150</v>
      </c>
      <c r="D807" t="s">
        <v>130</v>
      </c>
      <c r="E807">
        <v>0</v>
      </c>
      <c r="F807">
        <v>9608</v>
      </c>
    </row>
    <row r="808" spans="1:6" x14ac:dyDescent="0.25">
      <c r="A808" t="s">
        <v>44</v>
      </c>
      <c r="B808" t="s">
        <v>34</v>
      </c>
      <c r="C808" t="s">
        <v>150</v>
      </c>
      <c r="D808" t="s">
        <v>152</v>
      </c>
      <c r="E808">
        <v>0</v>
      </c>
      <c r="F808">
        <v>2717028</v>
      </c>
    </row>
    <row r="809" spans="1:6" x14ac:dyDescent="0.25">
      <c r="A809" t="s">
        <v>44</v>
      </c>
      <c r="B809" t="s">
        <v>34</v>
      </c>
      <c r="C809" t="s">
        <v>150</v>
      </c>
      <c r="D809" t="s">
        <v>156</v>
      </c>
      <c r="E809">
        <v>0</v>
      </c>
      <c r="F809">
        <v>42279900</v>
      </c>
    </row>
    <row r="810" spans="1:6" x14ac:dyDescent="0.25">
      <c r="A810" t="s">
        <v>44</v>
      </c>
      <c r="B810" t="s">
        <v>34</v>
      </c>
      <c r="C810" t="s">
        <v>150</v>
      </c>
      <c r="D810" t="s">
        <v>158</v>
      </c>
      <c r="E810">
        <v>0</v>
      </c>
      <c r="F810">
        <v>1867898</v>
      </c>
    </row>
    <row r="811" spans="1:6" x14ac:dyDescent="0.25">
      <c r="A811" t="s">
        <v>44</v>
      </c>
      <c r="B811" t="s">
        <v>34</v>
      </c>
      <c r="C811" t="s">
        <v>150</v>
      </c>
      <c r="D811" t="s">
        <v>129</v>
      </c>
      <c r="E811">
        <v>0</v>
      </c>
      <c r="F811">
        <v>88636</v>
      </c>
    </row>
    <row r="812" spans="1:6" x14ac:dyDescent="0.25">
      <c r="A812" t="s">
        <v>211</v>
      </c>
      <c r="B812" t="s">
        <v>65</v>
      </c>
      <c r="C812" t="s">
        <v>150</v>
      </c>
      <c r="D812" t="s">
        <v>156</v>
      </c>
      <c r="E812">
        <v>0</v>
      </c>
      <c r="F812">
        <v>97735</v>
      </c>
    </row>
    <row r="813" spans="1:6" x14ac:dyDescent="0.25">
      <c r="A813" t="s">
        <v>75</v>
      </c>
      <c r="B813" t="s">
        <v>34</v>
      </c>
      <c r="C813" t="s">
        <v>150</v>
      </c>
      <c r="D813" t="s">
        <v>156</v>
      </c>
      <c r="E813">
        <v>0</v>
      </c>
      <c r="F813">
        <v>90006</v>
      </c>
    </row>
    <row r="814" spans="1:6" x14ac:dyDescent="0.25">
      <c r="A814" t="s">
        <v>75</v>
      </c>
      <c r="B814" t="s">
        <v>34</v>
      </c>
      <c r="C814" t="s">
        <v>150</v>
      </c>
      <c r="D814" t="s">
        <v>157</v>
      </c>
      <c r="E814">
        <v>0</v>
      </c>
      <c r="F814">
        <v>669997</v>
      </c>
    </row>
    <row r="815" spans="1:6" x14ac:dyDescent="0.25">
      <c r="A815" t="s">
        <v>75</v>
      </c>
      <c r="B815" t="s">
        <v>34</v>
      </c>
      <c r="C815" t="s">
        <v>150</v>
      </c>
      <c r="D815" t="s">
        <v>129</v>
      </c>
      <c r="E815">
        <v>0</v>
      </c>
      <c r="F815">
        <v>124416</v>
      </c>
    </row>
    <row r="816" spans="1:6" x14ac:dyDescent="0.25">
      <c r="A816" t="s">
        <v>175</v>
      </c>
      <c r="B816" t="s">
        <v>48</v>
      </c>
      <c r="C816" t="s">
        <v>150</v>
      </c>
      <c r="D816" t="s">
        <v>138</v>
      </c>
      <c r="E816">
        <v>0</v>
      </c>
      <c r="F816">
        <v>25964</v>
      </c>
    </row>
    <row r="817" spans="1:6" x14ac:dyDescent="0.25">
      <c r="A817" t="s">
        <v>175</v>
      </c>
      <c r="B817" t="s">
        <v>48</v>
      </c>
      <c r="C817" t="s">
        <v>150</v>
      </c>
      <c r="D817" t="s">
        <v>153</v>
      </c>
      <c r="E817">
        <v>0</v>
      </c>
      <c r="F817">
        <v>1947355</v>
      </c>
    </row>
    <row r="818" spans="1:6" x14ac:dyDescent="0.25">
      <c r="A818" t="s">
        <v>175</v>
      </c>
      <c r="B818" t="s">
        <v>48</v>
      </c>
      <c r="C818" t="s">
        <v>150</v>
      </c>
      <c r="D818" t="s">
        <v>130</v>
      </c>
      <c r="E818">
        <v>0</v>
      </c>
      <c r="F818">
        <v>727548</v>
      </c>
    </row>
    <row r="819" spans="1:6" x14ac:dyDescent="0.25">
      <c r="A819" t="s">
        <v>175</v>
      </c>
      <c r="B819" t="s">
        <v>48</v>
      </c>
      <c r="C819" t="s">
        <v>150</v>
      </c>
      <c r="D819" t="s">
        <v>152</v>
      </c>
      <c r="E819">
        <v>0</v>
      </c>
      <c r="F819">
        <v>58387</v>
      </c>
    </row>
    <row r="820" spans="1:6" x14ac:dyDescent="0.25">
      <c r="A820" t="s">
        <v>175</v>
      </c>
      <c r="B820" t="s">
        <v>48</v>
      </c>
      <c r="C820" t="s">
        <v>150</v>
      </c>
      <c r="D820" t="s">
        <v>154</v>
      </c>
      <c r="E820">
        <v>0</v>
      </c>
      <c r="F820">
        <v>180221</v>
      </c>
    </row>
    <row r="821" spans="1:6" x14ac:dyDescent="0.25">
      <c r="A821" t="s">
        <v>175</v>
      </c>
      <c r="B821" t="s">
        <v>48</v>
      </c>
      <c r="C821" t="s">
        <v>150</v>
      </c>
      <c r="D821" t="s">
        <v>156</v>
      </c>
      <c r="E821">
        <v>0</v>
      </c>
      <c r="F821">
        <v>1884352</v>
      </c>
    </row>
    <row r="822" spans="1:6" x14ac:dyDescent="0.25">
      <c r="A822" t="s">
        <v>175</v>
      </c>
      <c r="B822" t="s">
        <v>48</v>
      </c>
      <c r="C822" t="s">
        <v>150</v>
      </c>
      <c r="D822" t="s">
        <v>128</v>
      </c>
      <c r="E822">
        <v>0</v>
      </c>
      <c r="F822">
        <v>1774747</v>
      </c>
    </row>
    <row r="823" spans="1:6" x14ac:dyDescent="0.25">
      <c r="A823" t="s">
        <v>175</v>
      </c>
      <c r="B823" t="s">
        <v>48</v>
      </c>
      <c r="C823" t="s">
        <v>150</v>
      </c>
      <c r="D823" t="s">
        <v>157</v>
      </c>
      <c r="E823">
        <v>0</v>
      </c>
      <c r="F823">
        <v>104987</v>
      </c>
    </row>
    <row r="824" spans="1:6" x14ac:dyDescent="0.25">
      <c r="A824" t="s">
        <v>175</v>
      </c>
      <c r="B824" t="s">
        <v>48</v>
      </c>
      <c r="C824" t="s">
        <v>150</v>
      </c>
      <c r="D824" t="s">
        <v>158</v>
      </c>
      <c r="E824">
        <v>0</v>
      </c>
      <c r="F824">
        <v>216519</v>
      </c>
    </row>
    <row r="825" spans="1:6" x14ac:dyDescent="0.25">
      <c r="A825" t="s">
        <v>175</v>
      </c>
      <c r="B825" t="s">
        <v>48</v>
      </c>
      <c r="C825" t="s">
        <v>150</v>
      </c>
      <c r="D825" t="s">
        <v>129</v>
      </c>
      <c r="E825">
        <v>0</v>
      </c>
      <c r="F825">
        <v>2442451</v>
      </c>
    </row>
    <row r="826" spans="1:6" x14ac:dyDescent="0.25">
      <c r="A826" t="s">
        <v>175</v>
      </c>
      <c r="B826" t="s">
        <v>48</v>
      </c>
      <c r="C826" t="s">
        <v>150</v>
      </c>
      <c r="D826" t="s">
        <v>133</v>
      </c>
      <c r="E826">
        <v>0</v>
      </c>
      <c r="F826">
        <v>926925</v>
      </c>
    </row>
    <row r="827" spans="1:6" x14ac:dyDescent="0.25">
      <c r="A827" t="s">
        <v>170</v>
      </c>
      <c r="B827" t="s">
        <v>61</v>
      </c>
      <c r="C827" t="s">
        <v>150</v>
      </c>
      <c r="D827" t="s">
        <v>138</v>
      </c>
      <c r="E827">
        <v>0</v>
      </c>
      <c r="F827">
        <v>13393</v>
      </c>
    </row>
    <row r="828" spans="1:6" x14ac:dyDescent="0.25">
      <c r="A828" t="s">
        <v>170</v>
      </c>
      <c r="B828" t="s">
        <v>61</v>
      </c>
      <c r="C828" t="s">
        <v>150</v>
      </c>
      <c r="D828" t="s">
        <v>153</v>
      </c>
      <c r="E828">
        <v>0</v>
      </c>
      <c r="F828">
        <v>1054145</v>
      </c>
    </row>
    <row r="829" spans="1:6" x14ac:dyDescent="0.25">
      <c r="A829" t="s">
        <v>170</v>
      </c>
      <c r="B829" t="s">
        <v>61</v>
      </c>
      <c r="C829" t="s">
        <v>150</v>
      </c>
      <c r="D829" t="s">
        <v>130</v>
      </c>
      <c r="E829">
        <v>0</v>
      </c>
      <c r="F829">
        <v>1933893</v>
      </c>
    </row>
    <row r="830" spans="1:6" x14ac:dyDescent="0.25">
      <c r="A830" t="s">
        <v>170</v>
      </c>
      <c r="B830" t="s">
        <v>61</v>
      </c>
      <c r="C830" t="s">
        <v>150</v>
      </c>
      <c r="D830" t="s">
        <v>154</v>
      </c>
      <c r="E830">
        <v>0</v>
      </c>
      <c r="F830">
        <v>146027</v>
      </c>
    </row>
    <row r="831" spans="1:6" x14ac:dyDescent="0.25">
      <c r="A831" t="s">
        <v>170</v>
      </c>
      <c r="B831" t="s">
        <v>61</v>
      </c>
      <c r="C831" t="s">
        <v>150</v>
      </c>
      <c r="D831" t="s">
        <v>156</v>
      </c>
      <c r="E831">
        <v>0</v>
      </c>
      <c r="F831">
        <v>80099</v>
      </c>
    </row>
    <row r="832" spans="1:6" x14ac:dyDescent="0.25">
      <c r="A832" t="s">
        <v>170</v>
      </c>
      <c r="B832" t="s">
        <v>61</v>
      </c>
      <c r="C832" t="s">
        <v>150</v>
      </c>
      <c r="D832" t="s">
        <v>128</v>
      </c>
      <c r="E832">
        <v>0</v>
      </c>
      <c r="F832">
        <v>308916</v>
      </c>
    </row>
    <row r="833" spans="1:6" x14ac:dyDescent="0.25">
      <c r="A833" t="s">
        <v>170</v>
      </c>
      <c r="B833" t="s">
        <v>61</v>
      </c>
      <c r="C833" t="s">
        <v>150</v>
      </c>
      <c r="D833" t="s">
        <v>157</v>
      </c>
      <c r="E833">
        <v>0</v>
      </c>
      <c r="F833">
        <v>905062</v>
      </c>
    </row>
    <row r="834" spans="1:6" x14ac:dyDescent="0.25">
      <c r="A834" t="s">
        <v>170</v>
      </c>
      <c r="B834" t="s">
        <v>61</v>
      </c>
      <c r="C834" t="s">
        <v>150</v>
      </c>
      <c r="D834" t="s">
        <v>158</v>
      </c>
      <c r="E834">
        <v>0</v>
      </c>
      <c r="F834">
        <v>678798</v>
      </c>
    </row>
    <row r="835" spans="1:6" x14ac:dyDescent="0.25">
      <c r="A835" t="s">
        <v>170</v>
      </c>
      <c r="B835" t="s">
        <v>61</v>
      </c>
      <c r="C835" t="s">
        <v>150</v>
      </c>
      <c r="D835" t="s">
        <v>129</v>
      </c>
      <c r="E835">
        <v>0</v>
      </c>
      <c r="F835">
        <v>51791</v>
      </c>
    </row>
    <row r="836" spans="1:6" x14ac:dyDescent="0.25">
      <c r="A836" t="s">
        <v>212</v>
      </c>
      <c r="B836" t="s">
        <v>50</v>
      </c>
      <c r="C836" t="s">
        <v>150</v>
      </c>
      <c r="D836" t="s">
        <v>153</v>
      </c>
      <c r="E836">
        <v>0</v>
      </c>
      <c r="F836">
        <v>160532</v>
      </c>
    </row>
    <row r="837" spans="1:6" x14ac:dyDescent="0.25">
      <c r="A837" t="s">
        <v>212</v>
      </c>
      <c r="B837" t="s">
        <v>50</v>
      </c>
      <c r="C837" t="s">
        <v>150</v>
      </c>
      <c r="D837" t="s">
        <v>156</v>
      </c>
      <c r="E837">
        <v>0</v>
      </c>
      <c r="F837">
        <v>273339</v>
      </c>
    </row>
    <row r="838" spans="1:6" x14ac:dyDescent="0.25">
      <c r="A838" t="s">
        <v>212</v>
      </c>
      <c r="B838" t="s">
        <v>50</v>
      </c>
      <c r="C838" t="s">
        <v>150</v>
      </c>
      <c r="D838" t="s">
        <v>158</v>
      </c>
      <c r="E838">
        <v>0</v>
      </c>
      <c r="F838">
        <v>10466</v>
      </c>
    </row>
    <row r="839" spans="1:6" x14ac:dyDescent="0.25">
      <c r="A839" t="s">
        <v>95</v>
      </c>
      <c r="B839" t="s">
        <v>34</v>
      </c>
      <c r="C839" t="s">
        <v>150</v>
      </c>
      <c r="D839" t="s">
        <v>158</v>
      </c>
      <c r="E839">
        <v>0</v>
      </c>
      <c r="F839">
        <v>8109</v>
      </c>
    </row>
    <row r="840" spans="1:6" x14ac:dyDescent="0.25">
      <c r="A840" t="s">
        <v>177</v>
      </c>
      <c r="B840" t="s">
        <v>48</v>
      </c>
      <c r="C840" t="s">
        <v>150</v>
      </c>
      <c r="D840" t="s">
        <v>138</v>
      </c>
      <c r="E840">
        <v>0</v>
      </c>
      <c r="F840">
        <v>116446</v>
      </c>
    </row>
    <row r="841" spans="1:6" x14ac:dyDescent="0.25">
      <c r="A841" t="s">
        <v>177</v>
      </c>
      <c r="B841" t="s">
        <v>48</v>
      </c>
      <c r="C841" t="s">
        <v>150</v>
      </c>
      <c r="D841" t="s">
        <v>153</v>
      </c>
      <c r="E841">
        <v>0</v>
      </c>
      <c r="F841">
        <v>1829687</v>
      </c>
    </row>
    <row r="842" spans="1:6" x14ac:dyDescent="0.25">
      <c r="A842" t="s">
        <v>177</v>
      </c>
      <c r="B842" t="s">
        <v>48</v>
      </c>
      <c r="C842" t="s">
        <v>150</v>
      </c>
      <c r="D842" t="s">
        <v>130</v>
      </c>
      <c r="E842">
        <v>0</v>
      </c>
      <c r="F842">
        <v>386621</v>
      </c>
    </row>
    <row r="843" spans="1:6" x14ac:dyDescent="0.25">
      <c r="A843" t="s">
        <v>177</v>
      </c>
      <c r="B843" t="s">
        <v>48</v>
      </c>
      <c r="C843" t="s">
        <v>150</v>
      </c>
      <c r="D843" t="s">
        <v>152</v>
      </c>
      <c r="E843">
        <v>0</v>
      </c>
      <c r="F843">
        <v>248696</v>
      </c>
    </row>
    <row r="844" spans="1:6" x14ac:dyDescent="0.25">
      <c r="A844" t="s">
        <v>177</v>
      </c>
      <c r="B844" t="s">
        <v>48</v>
      </c>
      <c r="C844" t="s">
        <v>150</v>
      </c>
      <c r="D844" t="s">
        <v>154</v>
      </c>
      <c r="E844">
        <v>0</v>
      </c>
      <c r="F844">
        <v>196379</v>
      </c>
    </row>
    <row r="845" spans="1:6" x14ac:dyDescent="0.25">
      <c r="A845" t="s">
        <v>177</v>
      </c>
      <c r="B845" t="s">
        <v>48</v>
      </c>
      <c r="C845" t="s">
        <v>150</v>
      </c>
      <c r="D845" t="s">
        <v>156</v>
      </c>
      <c r="E845">
        <v>0</v>
      </c>
      <c r="F845">
        <v>3650303</v>
      </c>
    </row>
    <row r="846" spans="1:6" x14ac:dyDescent="0.25">
      <c r="A846" t="s">
        <v>177</v>
      </c>
      <c r="B846" t="s">
        <v>48</v>
      </c>
      <c r="C846" t="s">
        <v>150</v>
      </c>
      <c r="D846" t="s">
        <v>128</v>
      </c>
      <c r="E846">
        <v>0</v>
      </c>
      <c r="F846">
        <v>1070985</v>
      </c>
    </row>
    <row r="847" spans="1:6" x14ac:dyDescent="0.25">
      <c r="A847" t="s">
        <v>177</v>
      </c>
      <c r="B847" t="s">
        <v>48</v>
      </c>
      <c r="C847" t="s">
        <v>150</v>
      </c>
      <c r="D847" t="s">
        <v>157</v>
      </c>
      <c r="E847">
        <v>0</v>
      </c>
      <c r="F847">
        <v>1088555</v>
      </c>
    </row>
    <row r="848" spans="1:6" x14ac:dyDescent="0.25">
      <c r="A848" t="s">
        <v>177</v>
      </c>
      <c r="B848" t="s">
        <v>48</v>
      </c>
      <c r="C848" t="s">
        <v>150</v>
      </c>
      <c r="D848" t="s">
        <v>158</v>
      </c>
      <c r="E848">
        <v>0</v>
      </c>
      <c r="F848">
        <v>1387876</v>
      </c>
    </row>
    <row r="849" spans="1:6" x14ac:dyDescent="0.25">
      <c r="A849" t="s">
        <v>177</v>
      </c>
      <c r="B849" t="s">
        <v>48</v>
      </c>
      <c r="C849" t="s">
        <v>150</v>
      </c>
      <c r="D849" t="s">
        <v>129</v>
      </c>
      <c r="E849">
        <v>0</v>
      </c>
      <c r="F849">
        <v>836526</v>
      </c>
    </row>
    <row r="850" spans="1:6" x14ac:dyDescent="0.25">
      <c r="A850" t="s">
        <v>177</v>
      </c>
      <c r="B850" t="s">
        <v>48</v>
      </c>
      <c r="C850" t="s">
        <v>150</v>
      </c>
      <c r="D850" t="s">
        <v>133</v>
      </c>
      <c r="E850">
        <v>0</v>
      </c>
      <c r="F850">
        <v>443197</v>
      </c>
    </row>
    <row r="851" spans="1:6" x14ac:dyDescent="0.25">
      <c r="A851" t="s">
        <v>88</v>
      </c>
      <c r="B851" t="s">
        <v>34</v>
      </c>
      <c r="C851" t="s">
        <v>150</v>
      </c>
      <c r="D851" t="s">
        <v>153</v>
      </c>
      <c r="E851">
        <v>0</v>
      </c>
      <c r="F851">
        <v>21961</v>
      </c>
    </row>
    <row r="852" spans="1:6" x14ac:dyDescent="0.25">
      <c r="A852" t="s">
        <v>88</v>
      </c>
      <c r="B852" t="s">
        <v>34</v>
      </c>
      <c r="C852" t="s">
        <v>150</v>
      </c>
      <c r="D852" t="s">
        <v>152</v>
      </c>
      <c r="E852">
        <v>0</v>
      </c>
      <c r="F852">
        <v>85760</v>
      </c>
    </row>
    <row r="853" spans="1:6" x14ac:dyDescent="0.25">
      <c r="A853" t="s">
        <v>88</v>
      </c>
      <c r="B853" t="s">
        <v>34</v>
      </c>
      <c r="C853" t="s">
        <v>150</v>
      </c>
      <c r="D853" t="s">
        <v>156</v>
      </c>
      <c r="E853">
        <v>0</v>
      </c>
      <c r="F853">
        <v>608458</v>
      </c>
    </row>
    <row r="854" spans="1:6" x14ac:dyDescent="0.25">
      <c r="A854" t="s">
        <v>88</v>
      </c>
      <c r="B854" t="s">
        <v>34</v>
      </c>
      <c r="C854" t="s">
        <v>150</v>
      </c>
      <c r="D854" t="s">
        <v>158</v>
      </c>
      <c r="E854">
        <v>0</v>
      </c>
      <c r="F854">
        <v>13855</v>
      </c>
    </row>
    <row r="855" spans="1:6" x14ac:dyDescent="0.25">
      <c r="A855" t="s">
        <v>204</v>
      </c>
      <c r="B855" t="s">
        <v>50</v>
      </c>
      <c r="C855" t="s">
        <v>150</v>
      </c>
      <c r="D855" t="s">
        <v>152</v>
      </c>
      <c r="E855">
        <v>0</v>
      </c>
      <c r="F855">
        <v>39387</v>
      </c>
    </row>
    <row r="856" spans="1:6" x14ac:dyDescent="0.25">
      <c r="A856" t="s">
        <v>204</v>
      </c>
      <c r="B856" t="s">
        <v>50</v>
      </c>
      <c r="C856" t="s">
        <v>150</v>
      </c>
      <c r="D856" t="s">
        <v>156</v>
      </c>
      <c r="E856">
        <v>0</v>
      </c>
      <c r="F856">
        <v>389882</v>
      </c>
    </row>
    <row r="857" spans="1:6" x14ac:dyDescent="0.25">
      <c r="A857" t="s">
        <v>163</v>
      </c>
      <c r="B857" t="s">
        <v>45</v>
      </c>
      <c r="C857" t="s">
        <v>150</v>
      </c>
      <c r="D857" t="s">
        <v>138</v>
      </c>
      <c r="E857">
        <v>0</v>
      </c>
      <c r="F857">
        <v>374021</v>
      </c>
    </row>
    <row r="858" spans="1:6" x14ac:dyDescent="0.25">
      <c r="A858" t="s">
        <v>163</v>
      </c>
      <c r="B858" t="s">
        <v>45</v>
      </c>
      <c r="C858" t="s">
        <v>150</v>
      </c>
      <c r="D858" t="s">
        <v>130</v>
      </c>
      <c r="E858">
        <v>0</v>
      </c>
      <c r="F858">
        <v>10395846</v>
      </c>
    </row>
    <row r="859" spans="1:6" x14ac:dyDescent="0.25">
      <c r="A859" t="s">
        <v>163</v>
      </c>
      <c r="B859" t="s">
        <v>45</v>
      </c>
      <c r="C859" t="s">
        <v>150</v>
      </c>
      <c r="D859" t="s">
        <v>154</v>
      </c>
      <c r="E859">
        <v>0</v>
      </c>
      <c r="F859">
        <v>761728</v>
      </c>
    </row>
    <row r="860" spans="1:6" x14ac:dyDescent="0.25">
      <c r="A860" t="s">
        <v>163</v>
      </c>
      <c r="B860" t="s">
        <v>45</v>
      </c>
      <c r="C860" t="s">
        <v>150</v>
      </c>
      <c r="D860" t="s">
        <v>128</v>
      </c>
      <c r="E860">
        <v>0</v>
      </c>
      <c r="F860">
        <v>5753633</v>
      </c>
    </row>
    <row r="861" spans="1:6" x14ac:dyDescent="0.25">
      <c r="A861" t="s">
        <v>163</v>
      </c>
      <c r="B861" t="s">
        <v>45</v>
      </c>
      <c r="C861" t="s">
        <v>150</v>
      </c>
      <c r="D861" t="s">
        <v>129</v>
      </c>
      <c r="E861">
        <v>0</v>
      </c>
      <c r="F861">
        <v>2227340</v>
      </c>
    </row>
    <row r="862" spans="1:6" x14ac:dyDescent="0.25">
      <c r="A862" t="s">
        <v>196</v>
      </c>
      <c r="B862" t="s">
        <v>53</v>
      </c>
      <c r="C862" t="s">
        <v>150</v>
      </c>
      <c r="D862" t="s">
        <v>153</v>
      </c>
      <c r="E862">
        <v>0</v>
      </c>
      <c r="F862">
        <v>104364</v>
      </c>
    </row>
    <row r="863" spans="1:6" x14ac:dyDescent="0.25">
      <c r="A863" t="s">
        <v>196</v>
      </c>
      <c r="B863" t="s">
        <v>53</v>
      </c>
      <c r="C863" t="s">
        <v>150</v>
      </c>
      <c r="D863" t="s">
        <v>152</v>
      </c>
      <c r="E863">
        <v>0</v>
      </c>
      <c r="F863">
        <v>26581</v>
      </c>
    </row>
    <row r="864" spans="1:6" x14ac:dyDescent="0.25">
      <c r="A864" t="s">
        <v>196</v>
      </c>
      <c r="B864" t="s">
        <v>53</v>
      </c>
      <c r="C864" t="s">
        <v>150</v>
      </c>
      <c r="D864" t="s">
        <v>156</v>
      </c>
      <c r="E864">
        <v>0</v>
      </c>
      <c r="F864">
        <v>241562</v>
      </c>
    </row>
    <row r="865" spans="1:6" x14ac:dyDescent="0.25">
      <c r="A865" t="s">
        <v>196</v>
      </c>
      <c r="B865" t="s">
        <v>53</v>
      </c>
      <c r="C865" t="s">
        <v>150</v>
      </c>
      <c r="D865" t="s">
        <v>158</v>
      </c>
      <c r="E865">
        <v>0</v>
      </c>
      <c r="F865">
        <v>52051</v>
      </c>
    </row>
    <row r="866" spans="1:6" x14ac:dyDescent="0.25">
      <c r="A866" t="s">
        <v>165</v>
      </c>
      <c r="B866" t="s">
        <v>48</v>
      </c>
      <c r="C866" t="s">
        <v>150</v>
      </c>
      <c r="D866" t="s">
        <v>138</v>
      </c>
      <c r="E866">
        <v>0</v>
      </c>
      <c r="F866">
        <v>129915</v>
      </c>
    </row>
    <row r="867" spans="1:6" x14ac:dyDescent="0.25">
      <c r="A867" t="s">
        <v>165</v>
      </c>
      <c r="B867" t="s">
        <v>48</v>
      </c>
      <c r="C867" t="s">
        <v>150</v>
      </c>
      <c r="D867" t="s">
        <v>151</v>
      </c>
      <c r="E867">
        <v>0</v>
      </c>
      <c r="F867">
        <v>2446</v>
      </c>
    </row>
    <row r="868" spans="1:6" x14ac:dyDescent="0.25">
      <c r="A868" t="s">
        <v>165</v>
      </c>
      <c r="B868" t="s">
        <v>48</v>
      </c>
      <c r="C868" t="s">
        <v>150</v>
      </c>
      <c r="D868" t="s">
        <v>153</v>
      </c>
      <c r="E868">
        <v>0</v>
      </c>
      <c r="F868">
        <v>8703198</v>
      </c>
    </row>
    <row r="869" spans="1:6" x14ac:dyDescent="0.25">
      <c r="A869" t="s">
        <v>165</v>
      </c>
      <c r="B869" t="s">
        <v>48</v>
      </c>
      <c r="C869" t="s">
        <v>150</v>
      </c>
      <c r="D869" t="s">
        <v>130</v>
      </c>
      <c r="E869">
        <v>0</v>
      </c>
      <c r="F869">
        <v>5682216</v>
      </c>
    </row>
    <row r="870" spans="1:6" x14ac:dyDescent="0.25">
      <c r="A870" t="s">
        <v>165</v>
      </c>
      <c r="B870" t="s">
        <v>48</v>
      </c>
      <c r="C870" t="s">
        <v>150</v>
      </c>
      <c r="D870" t="s">
        <v>154</v>
      </c>
      <c r="E870">
        <v>0</v>
      </c>
      <c r="F870">
        <v>242635</v>
      </c>
    </row>
    <row r="871" spans="1:6" x14ac:dyDescent="0.25">
      <c r="A871" t="s">
        <v>165</v>
      </c>
      <c r="B871" t="s">
        <v>48</v>
      </c>
      <c r="C871" t="s">
        <v>150</v>
      </c>
      <c r="D871" t="s">
        <v>155</v>
      </c>
      <c r="E871">
        <v>0</v>
      </c>
      <c r="F871">
        <v>69139</v>
      </c>
    </row>
    <row r="872" spans="1:6" x14ac:dyDescent="0.25">
      <c r="A872" t="s">
        <v>165</v>
      </c>
      <c r="B872" t="s">
        <v>48</v>
      </c>
      <c r="C872" t="s">
        <v>150</v>
      </c>
      <c r="D872" t="s">
        <v>156</v>
      </c>
      <c r="E872">
        <v>0</v>
      </c>
      <c r="F872">
        <v>4053435</v>
      </c>
    </row>
    <row r="873" spans="1:6" x14ac:dyDescent="0.25">
      <c r="A873" t="s">
        <v>165</v>
      </c>
      <c r="B873" t="s">
        <v>48</v>
      </c>
      <c r="C873" t="s">
        <v>150</v>
      </c>
      <c r="D873" t="s">
        <v>128</v>
      </c>
      <c r="E873">
        <v>0</v>
      </c>
      <c r="F873">
        <v>5629783</v>
      </c>
    </row>
    <row r="874" spans="1:6" x14ac:dyDescent="0.25">
      <c r="A874" t="s">
        <v>165</v>
      </c>
      <c r="B874" t="s">
        <v>48</v>
      </c>
      <c r="C874" t="s">
        <v>150</v>
      </c>
      <c r="D874" t="s">
        <v>157</v>
      </c>
      <c r="E874">
        <v>0</v>
      </c>
      <c r="F874">
        <v>2126777</v>
      </c>
    </row>
    <row r="875" spans="1:6" x14ac:dyDescent="0.25">
      <c r="A875" t="s">
        <v>165</v>
      </c>
      <c r="B875" t="s">
        <v>48</v>
      </c>
      <c r="C875" t="s">
        <v>150</v>
      </c>
      <c r="D875" t="s">
        <v>158</v>
      </c>
      <c r="E875">
        <v>0</v>
      </c>
      <c r="F875">
        <v>370153</v>
      </c>
    </row>
    <row r="876" spans="1:6" x14ac:dyDescent="0.25">
      <c r="A876" t="s">
        <v>165</v>
      </c>
      <c r="B876" t="s">
        <v>48</v>
      </c>
      <c r="C876" t="s">
        <v>150</v>
      </c>
      <c r="D876" t="s">
        <v>129</v>
      </c>
      <c r="E876">
        <v>0</v>
      </c>
      <c r="F876">
        <v>7769830</v>
      </c>
    </row>
    <row r="877" spans="1:6" x14ac:dyDescent="0.25">
      <c r="A877" t="s">
        <v>165</v>
      </c>
      <c r="B877" t="s">
        <v>48</v>
      </c>
      <c r="C877" t="s">
        <v>150</v>
      </c>
      <c r="D877" t="s">
        <v>133</v>
      </c>
      <c r="E877">
        <v>0</v>
      </c>
      <c r="F877">
        <v>1380479</v>
      </c>
    </row>
    <row r="878" spans="1:6" x14ac:dyDescent="0.25">
      <c r="A878" t="s">
        <v>98</v>
      </c>
      <c r="B878" t="s">
        <v>34</v>
      </c>
      <c r="C878" t="s">
        <v>150</v>
      </c>
      <c r="D878" t="s">
        <v>152</v>
      </c>
      <c r="E878">
        <v>0</v>
      </c>
      <c r="F878">
        <v>35197</v>
      </c>
    </row>
    <row r="879" spans="1:6" x14ac:dyDescent="0.25">
      <c r="A879" t="s">
        <v>98</v>
      </c>
      <c r="B879" t="s">
        <v>34</v>
      </c>
      <c r="C879" t="s">
        <v>150</v>
      </c>
      <c r="D879" t="s">
        <v>156</v>
      </c>
      <c r="E879">
        <v>0</v>
      </c>
      <c r="F879">
        <v>264130</v>
      </c>
    </row>
    <row r="880" spans="1:6" x14ac:dyDescent="0.25">
      <c r="A880" t="s">
        <v>98</v>
      </c>
      <c r="B880" t="s">
        <v>34</v>
      </c>
      <c r="C880" t="s">
        <v>150</v>
      </c>
      <c r="D880" t="s">
        <v>158</v>
      </c>
      <c r="E880">
        <v>0</v>
      </c>
      <c r="F880">
        <v>54076</v>
      </c>
    </row>
    <row r="881" spans="1:6" x14ac:dyDescent="0.25">
      <c r="A881" t="s">
        <v>73</v>
      </c>
      <c r="B881" t="s">
        <v>34</v>
      </c>
      <c r="C881" t="s">
        <v>150</v>
      </c>
      <c r="D881" t="s">
        <v>138</v>
      </c>
      <c r="E881">
        <v>0</v>
      </c>
      <c r="F881">
        <v>153944</v>
      </c>
    </row>
    <row r="882" spans="1:6" x14ac:dyDescent="0.25">
      <c r="A882" t="s">
        <v>73</v>
      </c>
      <c r="B882" t="s">
        <v>34</v>
      </c>
      <c r="C882" t="s">
        <v>150</v>
      </c>
      <c r="D882" t="s">
        <v>153</v>
      </c>
      <c r="E882">
        <v>0</v>
      </c>
      <c r="F882">
        <v>1088464</v>
      </c>
    </row>
    <row r="883" spans="1:6" x14ac:dyDescent="0.25">
      <c r="A883" t="s">
        <v>73</v>
      </c>
      <c r="B883" t="s">
        <v>34</v>
      </c>
      <c r="C883" t="s">
        <v>150</v>
      </c>
      <c r="D883" t="s">
        <v>130</v>
      </c>
      <c r="E883">
        <v>0</v>
      </c>
      <c r="F883">
        <v>383346</v>
      </c>
    </row>
    <row r="884" spans="1:6" x14ac:dyDescent="0.25">
      <c r="A884" t="s">
        <v>73</v>
      </c>
      <c r="B884" t="s">
        <v>34</v>
      </c>
      <c r="C884" t="s">
        <v>150</v>
      </c>
      <c r="D884" t="s">
        <v>152</v>
      </c>
      <c r="E884">
        <v>0</v>
      </c>
      <c r="F884">
        <v>165261</v>
      </c>
    </row>
    <row r="885" spans="1:6" x14ac:dyDescent="0.25">
      <c r="A885" t="s">
        <v>73</v>
      </c>
      <c r="B885" t="s">
        <v>34</v>
      </c>
      <c r="C885" t="s">
        <v>150</v>
      </c>
      <c r="D885" t="s">
        <v>156</v>
      </c>
      <c r="E885">
        <v>0</v>
      </c>
      <c r="F885">
        <v>4462849</v>
      </c>
    </row>
    <row r="886" spans="1:6" x14ac:dyDescent="0.25">
      <c r="A886" t="s">
        <v>73</v>
      </c>
      <c r="B886" t="s">
        <v>34</v>
      </c>
      <c r="C886" t="s">
        <v>150</v>
      </c>
      <c r="D886" t="s">
        <v>128</v>
      </c>
      <c r="E886">
        <v>0</v>
      </c>
      <c r="F886">
        <v>1142318</v>
      </c>
    </row>
    <row r="887" spans="1:6" x14ac:dyDescent="0.25">
      <c r="A887" t="s">
        <v>73</v>
      </c>
      <c r="B887" t="s">
        <v>34</v>
      </c>
      <c r="C887" t="s">
        <v>150</v>
      </c>
      <c r="D887" t="s">
        <v>157</v>
      </c>
      <c r="E887">
        <v>0</v>
      </c>
      <c r="F887">
        <v>935312</v>
      </c>
    </row>
    <row r="888" spans="1:6" x14ac:dyDescent="0.25">
      <c r="A888" t="s">
        <v>73</v>
      </c>
      <c r="B888" t="s">
        <v>34</v>
      </c>
      <c r="C888" t="s">
        <v>150</v>
      </c>
      <c r="D888" t="s">
        <v>158</v>
      </c>
      <c r="E888">
        <v>0</v>
      </c>
      <c r="F888">
        <v>188169</v>
      </c>
    </row>
    <row r="889" spans="1:6" x14ac:dyDescent="0.25">
      <c r="A889" t="s">
        <v>73</v>
      </c>
      <c r="B889" t="s">
        <v>34</v>
      </c>
      <c r="C889" t="s">
        <v>150</v>
      </c>
      <c r="D889" t="s">
        <v>129</v>
      </c>
      <c r="E889">
        <v>0</v>
      </c>
      <c r="F889">
        <v>1151169</v>
      </c>
    </row>
    <row r="890" spans="1:6" x14ac:dyDescent="0.25">
      <c r="A890" t="s">
        <v>73</v>
      </c>
      <c r="B890" t="s">
        <v>34</v>
      </c>
      <c r="C890" t="s">
        <v>150</v>
      </c>
      <c r="D890" t="s">
        <v>133</v>
      </c>
      <c r="E890">
        <v>0</v>
      </c>
      <c r="F890">
        <v>954629</v>
      </c>
    </row>
    <row r="891" spans="1:6" x14ac:dyDescent="0.25">
      <c r="A891" t="s">
        <v>203</v>
      </c>
      <c r="B891" t="s">
        <v>58</v>
      </c>
      <c r="C891" t="s">
        <v>150</v>
      </c>
      <c r="D891" t="s">
        <v>153</v>
      </c>
      <c r="E891">
        <v>0</v>
      </c>
      <c r="F891">
        <v>115568</v>
      </c>
    </row>
    <row r="892" spans="1:6" x14ac:dyDescent="0.25">
      <c r="A892" t="s">
        <v>203</v>
      </c>
      <c r="B892" t="s">
        <v>58</v>
      </c>
      <c r="C892" t="s">
        <v>150</v>
      </c>
      <c r="D892" t="s">
        <v>130</v>
      </c>
      <c r="E892">
        <v>0</v>
      </c>
      <c r="F892">
        <v>39767</v>
      </c>
    </row>
    <row r="893" spans="1:6" x14ac:dyDescent="0.25">
      <c r="A893" t="s">
        <v>203</v>
      </c>
      <c r="B893" t="s">
        <v>58</v>
      </c>
      <c r="C893" t="s">
        <v>150</v>
      </c>
      <c r="D893" t="s">
        <v>152</v>
      </c>
      <c r="E893">
        <v>0</v>
      </c>
      <c r="F893">
        <v>88640</v>
      </c>
    </row>
    <row r="894" spans="1:6" x14ac:dyDescent="0.25">
      <c r="A894" t="s">
        <v>203</v>
      </c>
      <c r="B894" t="s">
        <v>58</v>
      </c>
      <c r="C894" t="s">
        <v>150</v>
      </c>
      <c r="D894" t="s">
        <v>156</v>
      </c>
      <c r="E894">
        <v>0</v>
      </c>
      <c r="F894">
        <v>658437</v>
      </c>
    </row>
    <row r="895" spans="1:6" x14ac:dyDescent="0.25">
      <c r="A895" t="s">
        <v>203</v>
      </c>
      <c r="B895" t="s">
        <v>58</v>
      </c>
      <c r="C895" t="s">
        <v>150</v>
      </c>
      <c r="D895" t="s">
        <v>157</v>
      </c>
      <c r="E895">
        <v>0</v>
      </c>
      <c r="F895">
        <v>12400</v>
      </c>
    </row>
    <row r="896" spans="1:6" x14ac:dyDescent="0.25">
      <c r="A896" t="s">
        <v>203</v>
      </c>
      <c r="B896" t="s">
        <v>58</v>
      </c>
      <c r="C896" t="s">
        <v>150</v>
      </c>
      <c r="D896" t="s">
        <v>158</v>
      </c>
      <c r="E896">
        <v>0</v>
      </c>
      <c r="F896">
        <v>192127</v>
      </c>
    </row>
    <row r="897" spans="1:6" x14ac:dyDescent="0.25">
      <c r="A897" t="s">
        <v>164</v>
      </c>
      <c r="B897" t="s">
        <v>55</v>
      </c>
      <c r="C897" t="s">
        <v>150</v>
      </c>
      <c r="D897" t="s">
        <v>153</v>
      </c>
      <c r="E897">
        <v>0</v>
      </c>
      <c r="F897">
        <v>13528772</v>
      </c>
    </row>
    <row r="898" spans="1:6" x14ac:dyDescent="0.25">
      <c r="A898" t="s">
        <v>164</v>
      </c>
      <c r="B898" t="s">
        <v>55</v>
      </c>
      <c r="C898" t="s">
        <v>150</v>
      </c>
      <c r="D898" t="s">
        <v>130</v>
      </c>
      <c r="E898">
        <v>0</v>
      </c>
      <c r="F898">
        <v>18513</v>
      </c>
    </row>
    <row r="899" spans="1:6" x14ac:dyDescent="0.25">
      <c r="A899" t="s">
        <v>164</v>
      </c>
      <c r="B899" t="s">
        <v>55</v>
      </c>
      <c r="C899" t="s">
        <v>150</v>
      </c>
      <c r="D899" t="s">
        <v>152</v>
      </c>
      <c r="E899">
        <v>0</v>
      </c>
      <c r="F899">
        <v>3710155</v>
      </c>
    </row>
    <row r="900" spans="1:6" x14ac:dyDescent="0.25">
      <c r="A900" t="s">
        <v>164</v>
      </c>
      <c r="B900" t="s">
        <v>55</v>
      </c>
      <c r="C900" t="s">
        <v>150</v>
      </c>
      <c r="D900" t="s">
        <v>154</v>
      </c>
      <c r="E900">
        <v>0</v>
      </c>
      <c r="F900">
        <v>412584</v>
      </c>
    </row>
    <row r="901" spans="1:6" x14ac:dyDescent="0.25">
      <c r="A901" t="s">
        <v>164</v>
      </c>
      <c r="B901" t="s">
        <v>55</v>
      </c>
      <c r="C901" t="s">
        <v>150</v>
      </c>
      <c r="D901" t="s">
        <v>155</v>
      </c>
      <c r="E901">
        <v>0</v>
      </c>
      <c r="F901">
        <v>88984</v>
      </c>
    </row>
    <row r="902" spans="1:6" x14ac:dyDescent="0.25">
      <c r="A902" t="s">
        <v>164</v>
      </c>
      <c r="B902" t="s">
        <v>55</v>
      </c>
      <c r="C902" t="s">
        <v>150</v>
      </c>
      <c r="D902" t="s">
        <v>156</v>
      </c>
      <c r="E902">
        <v>0</v>
      </c>
      <c r="F902">
        <v>13697056</v>
      </c>
    </row>
    <row r="903" spans="1:6" x14ac:dyDescent="0.25">
      <c r="A903" t="s">
        <v>164</v>
      </c>
      <c r="B903" t="s">
        <v>55</v>
      </c>
      <c r="C903" t="s">
        <v>150</v>
      </c>
      <c r="D903" t="s">
        <v>157</v>
      </c>
      <c r="E903">
        <v>0</v>
      </c>
      <c r="F903">
        <v>3858910</v>
      </c>
    </row>
    <row r="904" spans="1:6" x14ac:dyDescent="0.25">
      <c r="A904" t="s">
        <v>164</v>
      </c>
      <c r="B904" t="s">
        <v>55</v>
      </c>
      <c r="C904" t="s">
        <v>150</v>
      </c>
      <c r="D904" t="s">
        <v>158</v>
      </c>
      <c r="E904">
        <v>0</v>
      </c>
      <c r="F904">
        <v>10774092</v>
      </c>
    </row>
    <row r="905" spans="1:6" x14ac:dyDescent="0.25">
      <c r="A905" t="s">
        <v>164</v>
      </c>
      <c r="B905" t="s">
        <v>55</v>
      </c>
      <c r="C905" t="s">
        <v>150</v>
      </c>
      <c r="D905" t="s">
        <v>129</v>
      </c>
      <c r="E905">
        <v>0</v>
      </c>
      <c r="F905">
        <v>180194</v>
      </c>
    </row>
    <row r="906" spans="1:6" x14ac:dyDescent="0.25">
      <c r="A906" t="s">
        <v>208</v>
      </c>
      <c r="B906" t="s">
        <v>45</v>
      </c>
      <c r="C906" t="s">
        <v>150</v>
      </c>
      <c r="D906" t="s">
        <v>153</v>
      </c>
      <c r="E906">
        <v>0</v>
      </c>
      <c r="F906">
        <v>524452</v>
      </c>
    </row>
    <row r="907" spans="1:6" x14ac:dyDescent="0.25">
      <c r="A907" t="s">
        <v>208</v>
      </c>
      <c r="B907" t="s">
        <v>45</v>
      </c>
      <c r="C907" t="s">
        <v>150</v>
      </c>
      <c r="D907" t="s">
        <v>152</v>
      </c>
      <c r="E907">
        <v>0</v>
      </c>
      <c r="F907">
        <v>52118</v>
      </c>
    </row>
    <row r="908" spans="1:6" x14ac:dyDescent="0.25">
      <c r="A908" t="s">
        <v>208</v>
      </c>
      <c r="B908" t="s">
        <v>45</v>
      </c>
      <c r="C908" t="s">
        <v>150</v>
      </c>
      <c r="D908" t="s">
        <v>156</v>
      </c>
      <c r="E908">
        <v>0</v>
      </c>
      <c r="F908">
        <v>432345</v>
      </c>
    </row>
    <row r="909" spans="1:6" x14ac:dyDescent="0.25">
      <c r="A909" t="s">
        <v>185</v>
      </c>
      <c r="B909" t="s">
        <v>45</v>
      </c>
      <c r="C909" t="s">
        <v>150</v>
      </c>
      <c r="D909" t="s">
        <v>153</v>
      </c>
      <c r="E909">
        <v>0</v>
      </c>
      <c r="F909">
        <v>1570509</v>
      </c>
    </row>
    <row r="910" spans="1:6" x14ac:dyDescent="0.25">
      <c r="A910" t="s">
        <v>185</v>
      </c>
      <c r="B910" t="s">
        <v>45</v>
      </c>
      <c r="C910" t="s">
        <v>150</v>
      </c>
      <c r="D910" t="s">
        <v>156</v>
      </c>
      <c r="E910">
        <v>0</v>
      </c>
      <c r="F910">
        <v>111451</v>
      </c>
    </row>
    <row r="911" spans="1:6" x14ac:dyDescent="0.25">
      <c r="A911" t="s">
        <v>185</v>
      </c>
      <c r="B911" t="s">
        <v>45</v>
      </c>
      <c r="C911" t="s">
        <v>150</v>
      </c>
      <c r="D911" t="s">
        <v>157</v>
      </c>
      <c r="E911">
        <v>0</v>
      </c>
      <c r="F911">
        <v>701544</v>
      </c>
    </row>
    <row r="912" spans="1:6" x14ac:dyDescent="0.25">
      <c r="A912" t="s">
        <v>197</v>
      </c>
      <c r="B912" t="s">
        <v>45</v>
      </c>
      <c r="C912" t="s">
        <v>150</v>
      </c>
      <c r="D912" t="s">
        <v>153</v>
      </c>
      <c r="E912">
        <v>0</v>
      </c>
      <c r="F912">
        <v>269325</v>
      </c>
    </row>
    <row r="913" spans="1:6" x14ac:dyDescent="0.25">
      <c r="A913" t="s">
        <v>197</v>
      </c>
      <c r="B913" t="s">
        <v>45</v>
      </c>
      <c r="C913" t="s">
        <v>150</v>
      </c>
      <c r="D913" t="s">
        <v>152</v>
      </c>
      <c r="E913">
        <v>0</v>
      </c>
      <c r="F913">
        <v>29647</v>
      </c>
    </row>
    <row r="914" spans="1:6" x14ac:dyDescent="0.25">
      <c r="A914" t="s">
        <v>197</v>
      </c>
      <c r="B914" t="s">
        <v>45</v>
      </c>
      <c r="C914" t="s">
        <v>150</v>
      </c>
      <c r="D914" t="s">
        <v>156</v>
      </c>
      <c r="E914">
        <v>0</v>
      </c>
      <c r="F914">
        <v>525016</v>
      </c>
    </row>
    <row r="915" spans="1:6" x14ac:dyDescent="0.25">
      <c r="A915" t="s">
        <v>197</v>
      </c>
      <c r="B915" t="s">
        <v>45</v>
      </c>
      <c r="C915" t="s">
        <v>150</v>
      </c>
      <c r="D915" t="s">
        <v>157</v>
      </c>
      <c r="E915">
        <v>0</v>
      </c>
      <c r="F915">
        <v>715657</v>
      </c>
    </row>
    <row r="916" spans="1:6" x14ac:dyDescent="0.25">
      <c r="A916" t="s">
        <v>197</v>
      </c>
      <c r="B916" t="s">
        <v>45</v>
      </c>
      <c r="C916" t="s">
        <v>150</v>
      </c>
      <c r="D916" t="s">
        <v>158</v>
      </c>
      <c r="E916">
        <v>0</v>
      </c>
      <c r="F916">
        <v>42418</v>
      </c>
    </row>
    <row r="917" spans="1:6" x14ac:dyDescent="0.25">
      <c r="A917" t="s">
        <v>197</v>
      </c>
      <c r="B917" t="s">
        <v>45</v>
      </c>
      <c r="C917" t="s">
        <v>150</v>
      </c>
      <c r="D917" t="s">
        <v>133</v>
      </c>
      <c r="E917">
        <v>0</v>
      </c>
      <c r="F917">
        <v>188525</v>
      </c>
    </row>
    <row r="918" spans="1:6" x14ac:dyDescent="0.25">
      <c r="A918" t="s">
        <v>179</v>
      </c>
      <c r="B918" t="s">
        <v>45</v>
      </c>
      <c r="C918" t="s">
        <v>150</v>
      </c>
      <c r="D918" t="s">
        <v>153</v>
      </c>
      <c r="E918">
        <v>0</v>
      </c>
      <c r="F918">
        <v>1038057</v>
      </c>
    </row>
    <row r="919" spans="1:6" x14ac:dyDescent="0.25">
      <c r="A919" t="s">
        <v>179</v>
      </c>
      <c r="B919" t="s">
        <v>45</v>
      </c>
      <c r="C919" t="s">
        <v>150</v>
      </c>
      <c r="D919" t="s">
        <v>156</v>
      </c>
      <c r="E919">
        <v>0</v>
      </c>
      <c r="F919">
        <v>196326</v>
      </c>
    </row>
    <row r="920" spans="1:6" x14ac:dyDescent="0.25">
      <c r="A920" t="s">
        <v>179</v>
      </c>
      <c r="B920" t="s">
        <v>45</v>
      </c>
      <c r="C920" t="s">
        <v>150</v>
      </c>
      <c r="D920" t="s">
        <v>157</v>
      </c>
      <c r="E920">
        <v>0</v>
      </c>
      <c r="F920">
        <v>18002</v>
      </c>
    </row>
    <row r="921" spans="1:6" x14ac:dyDescent="0.25">
      <c r="A921" t="s">
        <v>206</v>
      </c>
      <c r="B921" t="s">
        <v>50</v>
      </c>
      <c r="C921" t="s">
        <v>150</v>
      </c>
      <c r="D921" t="s">
        <v>152</v>
      </c>
      <c r="E921">
        <v>0</v>
      </c>
      <c r="F921">
        <v>30642</v>
      </c>
    </row>
    <row r="922" spans="1:6" x14ac:dyDescent="0.25">
      <c r="A922" t="s">
        <v>206</v>
      </c>
      <c r="B922" t="s">
        <v>50</v>
      </c>
      <c r="C922" t="s">
        <v>150</v>
      </c>
      <c r="D922" t="s">
        <v>156</v>
      </c>
      <c r="E922">
        <v>0</v>
      </c>
      <c r="F922">
        <v>241674</v>
      </c>
    </row>
    <row r="923" spans="1:6" x14ac:dyDescent="0.25">
      <c r="A923" t="s">
        <v>173</v>
      </c>
      <c r="B923" t="s">
        <v>61</v>
      </c>
      <c r="C923" t="s">
        <v>150</v>
      </c>
      <c r="D923" t="s">
        <v>153</v>
      </c>
      <c r="E923">
        <v>0</v>
      </c>
      <c r="F923">
        <v>1410178</v>
      </c>
    </row>
    <row r="924" spans="1:6" x14ac:dyDescent="0.25">
      <c r="A924" t="s">
        <v>173</v>
      </c>
      <c r="B924" t="s">
        <v>61</v>
      </c>
      <c r="C924" t="s">
        <v>150</v>
      </c>
      <c r="D924" t="s">
        <v>152</v>
      </c>
      <c r="E924">
        <v>0</v>
      </c>
      <c r="F924">
        <v>459370</v>
      </c>
    </row>
    <row r="925" spans="1:6" x14ac:dyDescent="0.25">
      <c r="A925" t="s">
        <v>173</v>
      </c>
      <c r="B925" t="s">
        <v>61</v>
      </c>
      <c r="C925" t="s">
        <v>150</v>
      </c>
      <c r="D925" t="s">
        <v>154</v>
      </c>
      <c r="E925">
        <v>0</v>
      </c>
      <c r="F925">
        <v>795780</v>
      </c>
    </row>
    <row r="926" spans="1:6" x14ac:dyDescent="0.25">
      <c r="A926" t="s">
        <v>173</v>
      </c>
      <c r="B926" t="s">
        <v>61</v>
      </c>
      <c r="C926" t="s">
        <v>150</v>
      </c>
      <c r="D926" t="s">
        <v>156</v>
      </c>
      <c r="E926">
        <v>0</v>
      </c>
      <c r="F926">
        <v>6074916</v>
      </c>
    </row>
    <row r="927" spans="1:6" x14ac:dyDescent="0.25">
      <c r="A927" t="s">
        <v>173</v>
      </c>
      <c r="B927" t="s">
        <v>61</v>
      </c>
      <c r="C927" t="s">
        <v>150</v>
      </c>
      <c r="D927" t="s">
        <v>157</v>
      </c>
      <c r="E927">
        <v>0</v>
      </c>
      <c r="F927">
        <v>72872</v>
      </c>
    </row>
    <row r="928" spans="1:6" x14ac:dyDescent="0.25">
      <c r="A928" t="s">
        <v>173</v>
      </c>
      <c r="B928" t="s">
        <v>61</v>
      </c>
      <c r="C928" t="s">
        <v>150</v>
      </c>
      <c r="D928" t="s">
        <v>158</v>
      </c>
      <c r="E928">
        <v>0</v>
      </c>
      <c r="F928">
        <v>749316</v>
      </c>
    </row>
    <row r="929" spans="1:6" x14ac:dyDescent="0.25">
      <c r="A929" t="s">
        <v>94</v>
      </c>
      <c r="B929" t="s">
        <v>34</v>
      </c>
      <c r="C929" t="s">
        <v>150</v>
      </c>
      <c r="D929" t="s">
        <v>153</v>
      </c>
      <c r="E929">
        <v>0</v>
      </c>
      <c r="F929">
        <v>111726</v>
      </c>
    </row>
    <row r="930" spans="1:6" x14ac:dyDescent="0.25">
      <c r="A930" t="s">
        <v>94</v>
      </c>
      <c r="B930" t="s">
        <v>34</v>
      </c>
      <c r="C930" t="s">
        <v>150</v>
      </c>
      <c r="D930" t="s">
        <v>152</v>
      </c>
      <c r="E930">
        <v>0</v>
      </c>
      <c r="F930">
        <v>36807</v>
      </c>
    </row>
    <row r="931" spans="1:6" x14ac:dyDescent="0.25">
      <c r="A931" t="s">
        <v>94</v>
      </c>
      <c r="B931" t="s">
        <v>34</v>
      </c>
      <c r="C931" t="s">
        <v>150</v>
      </c>
      <c r="D931" t="s">
        <v>156</v>
      </c>
      <c r="E931">
        <v>0</v>
      </c>
      <c r="F931">
        <v>277606</v>
      </c>
    </row>
    <row r="932" spans="1:6" x14ac:dyDescent="0.25">
      <c r="A932" t="s">
        <v>94</v>
      </c>
      <c r="B932" t="s">
        <v>34</v>
      </c>
      <c r="C932" t="s">
        <v>150</v>
      </c>
      <c r="D932" t="s">
        <v>157</v>
      </c>
      <c r="E932">
        <v>0</v>
      </c>
      <c r="F932">
        <v>26356</v>
      </c>
    </row>
    <row r="933" spans="1:6" x14ac:dyDescent="0.25">
      <c r="A933" t="s">
        <v>85</v>
      </c>
      <c r="B933" t="s">
        <v>34</v>
      </c>
      <c r="C933" t="s">
        <v>150</v>
      </c>
      <c r="D933" t="s">
        <v>133</v>
      </c>
      <c r="E933">
        <v>0</v>
      </c>
      <c r="F933">
        <v>1559827</v>
      </c>
    </row>
    <row r="934" spans="1:6" x14ac:dyDescent="0.25">
      <c r="A934" t="s">
        <v>77</v>
      </c>
      <c r="B934" t="s">
        <v>34</v>
      </c>
      <c r="C934" t="s">
        <v>150</v>
      </c>
      <c r="D934" t="s">
        <v>153</v>
      </c>
      <c r="E934">
        <v>0</v>
      </c>
      <c r="F934">
        <v>1228790</v>
      </c>
    </row>
    <row r="935" spans="1:6" x14ac:dyDescent="0.25">
      <c r="A935" t="s">
        <v>77</v>
      </c>
      <c r="B935" t="s">
        <v>34</v>
      </c>
      <c r="C935" t="s">
        <v>150</v>
      </c>
      <c r="D935" t="s">
        <v>152</v>
      </c>
      <c r="E935">
        <v>0</v>
      </c>
      <c r="F935">
        <v>63886</v>
      </c>
    </row>
    <row r="936" spans="1:6" x14ac:dyDescent="0.25">
      <c r="A936" t="s">
        <v>77</v>
      </c>
      <c r="B936" t="s">
        <v>34</v>
      </c>
      <c r="C936" t="s">
        <v>150</v>
      </c>
      <c r="D936" t="s">
        <v>156</v>
      </c>
      <c r="E936">
        <v>0</v>
      </c>
      <c r="F936">
        <v>2440959</v>
      </c>
    </row>
    <row r="937" spans="1:6" x14ac:dyDescent="0.25">
      <c r="A937" t="s">
        <v>77</v>
      </c>
      <c r="B937" t="s">
        <v>34</v>
      </c>
      <c r="C937" t="s">
        <v>150</v>
      </c>
      <c r="D937" t="s">
        <v>157</v>
      </c>
      <c r="E937">
        <v>0</v>
      </c>
      <c r="F937">
        <v>46829</v>
      </c>
    </row>
    <row r="938" spans="1:6" x14ac:dyDescent="0.25">
      <c r="A938" t="s">
        <v>77</v>
      </c>
      <c r="B938" t="s">
        <v>34</v>
      </c>
      <c r="C938" t="s">
        <v>150</v>
      </c>
      <c r="D938" t="s">
        <v>133</v>
      </c>
      <c r="E938">
        <v>0</v>
      </c>
      <c r="F938">
        <v>909205</v>
      </c>
    </row>
    <row r="939" spans="1:6" x14ac:dyDescent="0.25">
      <c r="A939" t="s">
        <v>174</v>
      </c>
      <c r="B939" t="s">
        <v>45</v>
      </c>
      <c r="C939" t="s">
        <v>150</v>
      </c>
      <c r="D939" t="s">
        <v>153</v>
      </c>
      <c r="E939">
        <v>0</v>
      </c>
      <c r="F939">
        <v>1159009</v>
      </c>
    </row>
    <row r="940" spans="1:6" x14ac:dyDescent="0.25">
      <c r="A940" t="s">
        <v>174</v>
      </c>
      <c r="B940" t="s">
        <v>45</v>
      </c>
      <c r="C940" t="s">
        <v>150</v>
      </c>
      <c r="D940" t="s">
        <v>130</v>
      </c>
      <c r="E940">
        <v>0</v>
      </c>
      <c r="F940">
        <v>414916</v>
      </c>
    </row>
    <row r="941" spans="1:6" x14ac:dyDescent="0.25">
      <c r="A941" t="s">
        <v>174</v>
      </c>
      <c r="B941" t="s">
        <v>45</v>
      </c>
      <c r="C941" t="s">
        <v>150</v>
      </c>
      <c r="D941" t="s">
        <v>152</v>
      </c>
      <c r="E941">
        <v>0</v>
      </c>
      <c r="F941">
        <v>75418</v>
      </c>
    </row>
    <row r="942" spans="1:6" x14ac:dyDescent="0.25">
      <c r="A942" t="s">
        <v>174</v>
      </c>
      <c r="B942" t="s">
        <v>45</v>
      </c>
      <c r="C942" t="s">
        <v>150</v>
      </c>
      <c r="D942" t="s">
        <v>156</v>
      </c>
      <c r="E942">
        <v>0</v>
      </c>
      <c r="F942">
        <v>1259885</v>
      </c>
    </row>
    <row r="943" spans="1:6" x14ac:dyDescent="0.25">
      <c r="A943" t="s">
        <v>174</v>
      </c>
      <c r="B943" t="s">
        <v>45</v>
      </c>
      <c r="C943" t="s">
        <v>150</v>
      </c>
      <c r="D943" t="s">
        <v>158</v>
      </c>
      <c r="E943">
        <v>0</v>
      </c>
      <c r="F943">
        <v>404530</v>
      </c>
    </row>
    <row r="944" spans="1:6" x14ac:dyDescent="0.25">
      <c r="A944" t="s">
        <v>174</v>
      </c>
      <c r="B944" t="s">
        <v>45</v>
      </c>
      <c r="C944" t="s">
        <v>150</v>
      </c>
      <c r="D944" t="s">
        <v>133</v>
      </c>
      <c r="E944">
        <v>0</v>
      </c>
      <c r="F944">
        <v>282117</v>
      </c>
    </row>
    <row r="945" spans="1:6" x14ac:dyDescent="0.25">
      <c r="A945" t="s">
        <v>57</v>
      </c>
      <c r="B945" t="s">
        <v>34</v>
      </c>
      <c r="C945" t="s">
        <v>150</v>
      </c>
      <c r="D945" t="s">
        <v>138</v>
      </c>
      <c r="E945">
        <v>0</v>
      </c>
      <c r="F945">
        <v>663679</v>
      </c>
    </row>
    <row r="946" spans="1:6" x14ac:dyDescent="0.25">
      <c r="A946" t="s">
        <v>57</v>
      </c>
      <c r="B946" t="s">
        <v>34</v>
      </c>
      <c r="C946" t="s">
        <v>150</v>
      </c>
      <c r="D946" t="s">
        <v>130</v>
      </c>
      <c r="E946">
        <v>0</v>
      </c>
      <c r="F946">
        <v>1353533</v>
      </c>
    </row>
    <row r="947" spans="1:6" x14ac:dyDescent="0.25">
      <c r="A947" t="s">
        <v>57</v>
      </c>
      <c r="B947" t="s">
        <v>34</v>
      </c>
      <c r="C947" t="s">
        <v>150</v>
      </c>
      <c r="D947" t="s">
        <v>152</v>
      </c>
      <c r="E947">
        <v>0</v>
      </c>
      <c r="F947">
        <v>501125</v>
      </c>
    </row>
    <row r="948" spans="1:6" x14ac:dyDescent="0.25">
      <c r="A948" t="s">
        <v>57</v>
      </c>
      <c r="B948" t="s">
        <v>34</v>
      </c>
      <c r="C948" t="s">
        <v>150</v>
      </c>
      <c r="D948" t="s">
        <v>154</v>
      </c>
      <c r="E948">
        <v>0</v>
      </c>
      <c r="F948">
        <v>163121</v>
      </c>
    </row>
    <row r="949" spans="1:6" x14ac:dyDescent="0.25">
      <c r="A949" t="s">
        <v>57</v>
      </c>
      <c r="B949" t="s">
        <v>34</v>
      </c>
      <c r="C949" t="s">
        <v>150</v>
      </c>
      <c r="D949" t="s">
        <v>156</v>
      </c>
      <c r="E949">
        <v>0</v>
      </c>
      <c r="F949">
        <v>2417948</v>
      </c>
    </row>
    <row r="950" spans="1:6" x14ac:dyDescent="0.25">
      <c r="A950" t="s">
        <v>57</v>
      </c>
      <c r="B950" t="s">
        <v>34</v>
      </c>
      <c r="C950" t="s">
        <v>150</v>
      </c>
      <c r="D950" t="s">
        <v>128</v>
      </c>
      <c r="E950">
        <v>0</v>
      </c>
      <c r="F950">
        <v>2633734</v>
      </c>
    </row>
    <row r="951" spans="1:6" x14ac:dyDescent="0.25">
      <c r="A951" t="s">
        <v>57</v>
      </c>
      <c r="B951" t="s">
        <v>34</v>
      </c>
      <c r="C951" t="s">
        <v>150</v>
      </c>
      <c r="D951" t="s">
        <v>157</v>
      </c>
      <c r="E951">
        <v>0</v>
      </c>
      <c r="F951">
        <v>463467</v>
      </c>
    </row>
    <row r="952" spans="1:6" x14ac:dyDescent="0.25">
      <c r="A952" t="s">
        <v>57</v>
      </c>
      <c r="B952" t="s">
        <v>34</v>
      </c>
      <c r="C952" t="s">
        <v>150</v>
      </c>
      <c r="D952" t="s">
        <v>129</v>
      </c>
      <c r="E952">
        <v>0</v>
      </c>
      <c r="F952">
        <v>3241717</v>
      </c>
    </row>
    <row r="953" spans="1:6" x14ac:dyDescent="0.25">
      <c r="A953" t="s">
        <v>57</v>
      </c>
      <c r="B953" t="s">
        <v>34</v>
      </c>
      <c r="C953" t="s">
        <v>150</v>
      </c>
      <c r="D953" t="s">
        <v>133</v>
      </c>
      <c r="E953">
        <v>0</v>
      </c>
      <c r="F953">
        <v>1158101</v>
      </c>
    </row>
    <row r="954" spans="1:6" x14ac:dyDescent="0.25">
      <c r="A954" t="s">
        <v>190</v>
      </c>
      <c r="B954" t="s">
        <v>45</v>
      </c>
      <c r="C954" t="s">
        <v>150</v>
      </c>
      <c r="D954" t="s">
        <v>153</v>
      </c>
      <c r="E954">
        <v>0</v>
      </c>
      <c r="F954">
        <v>316844</v>
      </c>
    </row>
    <row r="955" spans="1:6" x14ac:dyDescent="0.25">
      <c r="A955" t="s">
        <v>190</v>
      </c>
      <c r="B955" t="s">
        <v>45</v>
      </c>
      <c r="C955" t="s">
        <v>150</v>
      </c>
      <c r="D955" t="s">
        <v>152</v>
      </c>
      <c r="E955">
        <v>0</v>
      </c>
      <c r="F955">
        <v>22347</v>
      </c>
    </row>
    <row r="956" spans="1:6" x14ac:dyDescent="0.25">
      <c r="A956" t="s">
        <v>190</v>
      </c>
      <c r="B956" t="s">
        <v>45</v>
      </c>
      <c r="C956" t="s">
        <v>150</v>
      </c>
      <c r="D956" t="s">
        <v>156</v>
      </c>
      <c r="E956">
        <v>0</v>
      </c>
      <c r="F956">
        <v>55383</v>
      </c>
    </row>
    <row r="957" spans="1:6" x14ac:dyDescent="0.25">
      <c r="A957" t="s">
        <v>190</v>
      </c>
      <c r="B957" t="s">
        <v>45</v>
      </c>
      <c r="C957" t="s">
        <v>150</v>
      </c>
      <c r="D957" t="s">
        <v>157</v>
      </c>
      <c r="E957">
        <v>0</v>
      </c>
      <c r="F957">
        <v>4019</v>
      </c>
    </row>
    <row r="958" spans="1:6" x14ac:dyDescent="0.25">
      <c r="A958" t="s">
        <v>190</v>
      </c>
      <c r="B958" t="s">
        <v>45</v>
      </c>
      <c r="C958" t="s">
        <v>150</v>
      </c>
      <c r="D958" t="s">
        <v>158</v>
      </c>
      <c r="E958">
        <v>0</v>
      </c>
      <c r="F958">
        <v>10391</v>
      </c>
    </row>
    <row r="959" spans="1:6" x14ac:dyDescent="0.25">
      <c r="A959" t="s">
        <v>180</v>
      </c>
      <c r="B959" t="s">
        <v>45</v>
      </c>
      <c r="C959" t="s">
        <v>150</v>
      </c>
      <c r="D959" t="s">
        <v>153</v>
      </c>
      <c r="E959">
        <v>0</v>
      </c>
      <c r="F959">
        <v>2405852</v>
      </c>
    </row>
    <row r="960" spans="1:6" x14ac:dyDescent="0.25">
      <c r="A960" t="s">
        <v>180</v>
      </c>
      <c r="B960" t="s">
        <v>45</v>
      </c>
      <c r="C960" t="s">
        <v>150</v>
      </c>
      <c r="D960" t="s">
        <v>152</v>
      </c>
      <c r="E960">
        <v>0</v>
      </c>
      <c r="F960">
        <v>246128</v>
      </c>
    </row>
    <row r="961" spans="1:6" x14ac:dyDescent="0.25">
      <c r="A961" t="s">
        <v>180</v>
      </c>
      <c r="B961" t="s">
        <v>45</v>
      </c>
      <c r="C961" t="s">
        <v>150</v>
      </c>
      <c r="D961" t="s">
        <v>156</v>
      </c>
      <c r="E961">
        <v>0</v>
      </c>
      <c r="F961">
        <v>977767</v>
      </c>
    </row>
    <row r="962" spans="1:6" x14ac:dyDescent="0.25">
      <c r="A962" t="s">
        <v>180</v>
      </c>
      <c r="B962" t="s">
        <v>45</v>
      </c>
      <c r="C962" t="s">
        <v>150</v>
      </c>
      <c r="D962" t="s">
        <v>157</v>
      </c>
      <c r="E962">
        <v>0</v>
      </c>
      <c r="F962">
        <v>621728</v>
      </c>
    </row>
    <row r="963" spans="1:6" x14ac:dyDescent="0.25">
      <c r="A963" t="s">
        <v>180</v>
      </c>
      <c r="B963" t="s">
        <v>45</v>
      </c>
      <c r="C963" t="s">
        <v>150</v>
      </c>
      <c r="D963" t="s">
        <v>158</v>
      </c>
      <c r="E963">
        <v>0</v>
      </c>
      <c r="F963">
        <v>136023</v>
      </c>
    </row>
    <row r="964" spans="1:6" x14ac:dyDescent="0.25">
      <c r="A964" t="s">
        <v>180</v>
      </c>
      <c r="B964" t="s">
        <v>45</v>
      </c>
      <c r="C964" t="s">
        <v>150</v>
      </c>
      <c r="D964" t="s">
        <v>133</v>
      </c>
      <c r="E964">
        <v>0</v>
      </c>
      <c r="F964">
        <v>312629</v>
      </c>
    </row>
    <row r="965" spans="1:6" x14ac:dyDescent="0.25">
      <c r="A965" t="s">
        <v>47</v>
      </c>
      <c r="B965" t="s">
        <v>34</v>
      </c>
      <c r="C965" t="s">
        <v>150</v>
      </c>
      <c r="D965" t="s">
        <v>153</v>
      </c>
      <c r="E965">
        <v>0</v>
      </c>
      <c r="F965">
        <v>11420601</v>
      </c>
    </row>
    <row r="966" spans="1:6" x14ac:dyDescent="0.25">
      <c r="A966" t="s">
        <v>47</v>
      </c>
      <c r="B966" t="s">
        <v>34</v>
      </c>
      <c r="C966" t="s">
        <v>150</v>
      </c>
      <c r="D966" t="s">
        <v>130</v>
      </c>
      <c r="E966">
        <v>0</v>
      </c>
      <c r="F966">
        <v>457705</v>
      </c>
    </row>
    <row r="967" spans="1:6" x14ac:dyDescent="0.25">
      <c r="A967" t="s">
        <v>47</v>
      </c>
      <c r="B967" t="s">
        <v>34</v>
      </c>
      <c r="C967" t="s">
        <v>150</v>
      </c>
      <c r="D967" t="s">
        <v>152</v>
      </c>
      <c r="E967">
        <v>0</v>
      </c>
      <c r="F967">
        <v>861598</v>
      </c>
    </row>
    <row r="968" spans="1:6" x14ac:dyDescent="0.25">
      <c r="A968" t="s">
        <v>47</v>
      </c>
      <c r="B968" t="s">
        <v>34</v>
      </c>
      <c r="C968" t="s">
        <v>150</v>
      </c>
      <c r="D968" t="s">
        <v>156</v>
      </c>
      <c r="E968">
        <v>0</v>
      </c>
      <c r="F968">
        <v>7384553</v>
      </c>
    </row>
    <row r="969" spans="1:6" x14ac:dyDescent="0.25">
      <c r="A969" t="s">
        <v>47</v>
      </c>
      <c r="B969" t="s">
        <v>34</v>
      </c>
      <c r="C969" t="s">
        <v>150</v>
      </c>
      <c r="D969" t="s">
        <v>128</v>
      </c>
      <c r="E969">
        <v>0</v>
      </c>
      <c r="F969">
        <v>2957879</v>
      </c>
    </row>
    <row r="970" spans="1:6" x14ac:dyDescent="0.25">
      <c r="A970" t="s">
        <v>47</v>
      </c>
      <c r="B970" t="s">
        <v>34</v>
      </c>
      <c r="C970" t="s">
        <v>150</v>
      </c>
      <c r="D970" t="s">
        <v>157</v>
      </c>
      <c r="E970">
        <v>0</v>
      </c>
      <c r="F970">
        <v>2336381</v>
      </c>
    </row>
    <row r="971" spans="1:6" x14ac:dyDescent="0.25">
      <c r="A971" t="s">
        <v>47</v>
      </c>
      <c r="B971" t="s">
        <v>34</v>
      </c>
      <c r="C971" t="s">
        <v>150</v>
      </c>
      <c r="D971" t="s">
        <v>158</v>
      </c>
      <c r="E971">
        <v>0</v>
      </c>
      <c r="F971">
        <v>577819</v>
      </c>
    </row>
    <row r="972" spans="1:6" x14ac:dyDescent="0.25">
      <c r="A972" t="s">
        <v>47</v>
      </c>
      <c r="B972" t="s">
        <v>34</v>
      </c>
      <c r="C972" t="s">
        <v>150</v>
      </c>
      <c r="D972" t="s">
        <v>129</v>
      </c>
      <c r="E972">
        <v>0</v>
      </c>
      <c r="F972">
        <v>2943756</v>
      </c>
    </row>
    <row r="973" spans="1:6" x14ac:dyDescent="0.25">
      <c r="A973" t="s">
        <v>47</v>
      </c>
      <c r="B973" t="s">
        <v>34</v>
      </c>
      <c r="C973" t="s">
        <v>150</v>
      </c>
      <c r="D973" t="s">
        <v>133</v>
      </c>
      <c r="E973">
        <v>0</v>
      </c>
      <c r="F973">
        <v>1184659</v>
      </c>
    </row>
    <row r="974" spans="1:6" x14ac:dyDescent="0.25">
      <c r="A974" t="s">
        <v>184</v>
      </c>
      <c r="B974" t="s">
        <v>50</v>
      </c>
      <c r="C974" t="s">
        <v>150</v>
      </c>
      <c r="D974" t="s">
        <v>153</v>
      </c>
      <c r="E974">
        <v>0</v>
      </c>
      <c r="F974">
        <v>1440370</v>
      </c>
    </row>
    <row r="975" spans="1:6" x14ac:dyDescent="0.25">
      <c r="A975" t="s">
        <v>184</v>
      </c>
      <c r="B975" t="s">
        <v>50</v>
      </c>
      <c r="C975" t="s">
        <v>150</v>
      </c>
      <c r="D975" t="s">
        <v>152</v>
      </c>
      <c r="E975">
        <v>0</v>
      </c>
      <c r="F975">
        <v>269840</v>
      </c>
    </row>
    <row r="976" spans="1:6" x14ac:dyDescent="0.25">
      <c r="A976" t="s">
        <v>184</v>
      </c>
      <c r="B976" t="s">
        <v>50</v>
      </c>
      <c r="C976" t="s">
        <v>150</v>
      </c>
      <c r="D976" t="s">
        <v>156</v>
      </c>
      <c r="E976">
        <v>0</v>
      </c>
      <c r="F976">
        <v>2131129</v>
      </c>
    </row>
    <row r="977" spans="1:6" x14ac:dyDescent="0.25">
      <c r="A977" t="s">
        <v>184</v>
      </c>
      <c r="B977" t="s">
        <v>50</v>
      </c>
      <c r="C977" t="s">
        <v>150</v>
      </c>
      <c r="D977" t="s">
        <v>157</v>
      </c>
      <c r="E977">
        <v>0</v>
      </c>
      <c r="F977">
        <v>1050339</v>
      </c>
    </row>
    <row r="978" spans="1:6" x14ac:dyDescent="0.25">
      <c r="A978" t="s">
        <v>184</v>
      </c>
      <c r="B978" t="s">
        <v>50</v>
      </c>
      <c r="C978" t="s">
        <v>150</v>
      </c>
      <c r="D978" t="s">
        <v>158</v>
      </c>
      <c r="E978">
        <v>0</v>
      </c>
      <c r="F978">
        <v>1917204</v>
      </c>
    </row>
    <row r="979" spans="1:6" x14ac:dyDescent="0.25">
      <c r="A979" t="s">
        <v>184</v>
      </c>
      <c r="B979" t="s">
        <v>50</v>
      </c>
      <c r="C979" t="s">
        <v>150</v>
      </c>
      <c r="D979" t="s">
        <v>133</v>
      </c>
      <c r="E979">
        <v>0</v>
      </c>
      <c r="F979">
        <v>110099</v>
      </c>
    </row>
    <row r="980" spans="1:6" x14ac:dyDescent="0.25">
      <c r="A980" t="s">
        <v>194</v>
      </c>
      <c r="B980" t="s">
        <v>58</v>
      </c>
      <c r="C980" t="s">
        <v>150</v>
      </c>
      <c r="D980" t="s">
        <v>138</v>
      </c>
      <c r="E980">
        <v>0</v>
      </c>
      <c r="F980">
        <v>33412</v>
      </c>
    </row>
    <row r="981" spans="1:6" x14ac:dyDescent="0.25">
      <c r="A981" t="s">
        <v>194</v>
      </c>
      <c r="B981" t="s">
        <v>58</v>
      </c>
      <c r="C981" t="s">
        <v>150</v>
      </c>
      <c r="D981" t="s">
        <v>153</v>
      </c>
      <c r="E981">
        <v>0</v>
      </c>
      <c r="F981">
        <v>438940</v>
      </c>
    </row>
    <row r="982" spans="1:6" x14ac:dyDescent="0.25">
      <c r="A982" t="s">
        <v>194</v>
      </c>
      <c r="B982" t="s">
        <v>58</v>
      </c>
      <c r="C982" t="s">
        <v>150</v>
      </c>
      <c r="D982" t="s">
        <v>130</v>
      </c>
      <c r="E982">
        <v>0</v>
      </c>
      <c r="F982">
        <v>54547</v>
      </c>
    </row>
    <row r="983" spans="1:6" x14ac:dyDescent="0.25">
      <c r="A983" t="s">
        <v>194</v>
      </c>
      <c r="B983" t="s">
        <v>58</v>
      </c>
      <c r="C983" t="s">
        <v>150</v>
      </c>
      <c r="D983" t="s">
        <v>152</v>
      </c>
      <c r="E983">
        <v>0</v>
      </c>
      <c r="F983">
        <v>50248</v>
      </c>
    </row>
    <row r="984" spans="1:6" x14ac:dyDescent="0.25">
      <c r="A984" t="s">
        <v>194</v>
      </c>
      <c r="B984" t="s">
        <v>58</v>
      </c>
      <c r="C984" t="s">
        <v>150</v>
      </c>
      <c r="D984" t="s">
        <v>154</v>
      </c>
      <c r="E984">
        <v>0</v>
      </c>
      <c r="F984">
        <v>71837</v>
      </c>
    </row>
    <row r="985" spans="1:6" x14ac:dyDescent="0.25">
      <c r="A985" t="s">
        <v>194</v>
      </c>
      <c r="B985" t="s">
        <v>58</v>
      </c>
      <c r="C985" t="s">
        <v>150</v>
      </c>
      <c r="D985" t="s">
        <v>156</v>
      </c>
      <c r="E985">
        <v>0</v>
      </c>
      <c r="F985">
        <v>1830777</v>
      </c>
    </row>
    <row r="986" spans="1:6" x14ac:dyDescent="0.25">
      <c r="A986" t="s">
        <v>194</v>
      </c>
      <c r="B986" t="s">
        <v>58</v>
      </c>
      <c r="C986" t="s">
        <v>150</v>
      </c>
      <c r="D986" t="s">
        <v>158</v>
      </c>
      <c r="E986">
        <v>0</v>
      </c>
      <c r="F986">
        <v>287575</v>
      </c>
    </row>
    <row r="987" spans="1:6" x14ac:dyDescent="0.25">
      <c r="A987" t="s">
        <v>194</v>
      </c>
      <c r="B987" t="s">
        <v>58</v>
      </c>
      <c r="C987" t="s">
        <v>150</v>
      </c>
      <c r="D987" t="s">
        <v>129</v>
      </c>
      <c r="E987">
        <v>0</v>
      </c>
      <c r="F987">
        <v>138882</v>
      </c>
    </row>
    <row r="988" spans="1:6" x14ac:dyDescent="0.25">
      <c r="A988" t="s">
        <v>161</v>
      </c>
      <c r="B988" t="s">
        <v>45</v>
      </c>
      <c r="C988" t="s">
        <v>150</v>
      </c>
      <c r="D988" t="s">
        <v>138</v>
      </c>
      <c r="E988">
        <v>0</v>
      </c>
      <c r="F988">
        <v>3423</v>
      </c>
    </row>
    <row r="989" spans="1:6" x14ac:dyDescent="0.25">
      <c r="A989" t="s">
        <v>161</v>
      </c>
      <c r="B989" t="s">
        <v>45</v>
      </c>
      <c r="C989" t="s">
        <v>150</v>
      </c>
      <c r="D989" t="s">
        <v>153</v>
      </c>
      <c r="E989">
        <v>0</v>
      </c>
      <c r="F989">
        <v>7328283</v>
      </c>
    </row>
    <row r="990" spans="1:6" x14ac:dyDescent="0.25">
      <c r="A990" t="s">
        <v>161</v>
      </c>
      <c r="B990" t="s">
        <v>45</v>
      </c>
      <c r="C990" t="s">
        <v>150</v>
      </c>
      <c r="D990" t="s">
        <v>130</v>
      </c>
      <c r="E990">
        <v>0</v>
      </c>
      <c r="F990">
        <v>1024474</v>
      </c>
    </row>
    <row r="991" spans="1:6" x14ac:dyDescent="0.25">
      <c r="A991" t="s">
        <v>161</v>
      </c>
      <c r="B991" t="s">
        <v>45</v>
      </c>
      <c r="C991" t="s">
        <v>150</v>
      </c>
      <c r="D991" t="s">
        <v>152</v>
      </c>
      <c r="E991">
        <v>0</v>
      </c>
      <c r="F991">
        <v>1640866</v>
      </c>
    </row>
    <row r="992" spans="1:6" x14ac:dyDescent="0.25">
      <c r="A992" t="s">
        <v>161</v>
      </c>
      <c r="B992" t="s">
        <v>45</v>
      </c>
      <c r="C992" t="s">
        <v>150</v>
      </c>
      <c r="D992" t="s">
        <v>156</v>
      </c>
      <c r="E992">
        <v>0</v>
      </c>
      <c r="F992">
        <v>13614709</v>
      </c>
    </row>
    <row r="993" spans="1:6" x14ac:dyDescent="0.25">
      <c r="A993" t="s">
        <v>161</v>
      </c>
      <c r="B993" t="s">
        <v>45</v>
      </c>
      <c r="C993" t="s">
        <v>150</v>
      </c>
      <c r="D993" t="s">
        <v>128</v>
      </c>
      <c r="E993">
        <v>0</v>
      </c>
      <c r="F993">
        <v>309190</v>
      </c>
    </row>
    <row r="994" spans="1:6" x14ac:dyDescent="0.25">
      <c r="A994" t="s">
        <v>161</v>
      </c>
      <c r="B994" t="s">
        <v>45</v>
      </c>
      <c r="C994" t="s">
        <v>150</v>
      </c>
      <c r="D994" t="s">
        <v>157</v>
      </c>
      <c r="E994">
        <v>0</v>
      </c>
      <c r="F994">
        <v>702778</v>
      </c>
    </row>
    <row r="995" spans="1:6" x14ac:dyDescent="0.25">
      <c r="A995" t="s">
        <v>161</v>
      </c>
      <c r="B995" t="s">
        <v>45</v>
      </c>
      <c r="C995" t="s">
        <v>150</v>
      </c>
      <c r="D995" t="s">
        <v>158</v>
      </c>
      <c r="E995">
        <v>0</v>
      </c>
      <c r="F995">
        <v>910613</v>
      </c>
    </row>
    <row r="996" spans="1:6" x14ac:dyDescent="0.25">
      <c r="A996" t="s">
        <v>161</v>
      </c>
      <c r="B996" t="s">
        <v>45</v>
      </c>
      <c r="C996" t="s">
        <v>150</v>
      </c>
      <c r="D996" t="s">
        <v>129</v>
      </c>
      <c r="E996">
        <v>0</v>
      </c>
      <c r="F996">
        <v>152956</v>
      </c>
    </row>
    <row r="997" spans="1:6" x14ac:dyDescent="0.25">
      <c r="A997" t="s">
        <v>161</v>
      </c>
      <c r="B997" t="s">
        <v>45</v>
      </c>
      <c r="C997" t="s">
        <v>150</v>
      </c>
      <c r="D997" t="s">
        <v>133</v>
      </c>
      <c r="E997">
        <v>0</v>
      </c>
      <c r="F997">
        <v>263966</v>
      </c>
    </row>
    <row r="998" spans="1:6" x14ac:dyDescent="0.25">
      <c r="A998" t="s">
        <v>187</v>
      </c>
      <c r="B998" t="s">
        <v>45</v>
      </c>
      <c r="C998" t="s">
        <v>150</v>
      </c>
      <c r="D998" t="s">
        <v>153</v>
      </c>
      <c r="E998">
        <v>0</v>
      </c>
      <c r="F998">
        <v>1692805</v>
      </c>
    </row>
    <row r="999" spans="1:6" x14ac:dyDescent="0.25">
      <c r="A999" t="s">
        <v>187</v>
      </c>
      <c r="B999" t="s">
        <v>45</v>
      </c>
      <c r="C999" t="s">
        <v>150</v>
      </c>
      <c r="D999" t="s">
        <v>152</v>
      </c>
      <c r="E999">
        <v>0</v>
      </c>
      <c r="F999">
        <v>121518</v>
      </c>
    </row>
    <row r="1000" spans="1:6" x14ac:dyDescent="0.25">
      <c r="A1000" t="s">
        <v>187</v>
      </c>
      <c r="B1000" t="s">
        <v>45</v>
      </c>
      <c r="C1000" t="s">
        <v>150</v>
      </c>
      <c r="D1000" t="s">
        <v>156</v>
      </c>
      <c r="E1000">
        <v>0</v>
      </c>
      <c r="F1000">
        <v>1194062</v>
      </c>
    </row>
    <row r="1001" spans="1:6" x14ac:dyDescent="0.25">
      <c r="A1001" t="s">
        <v>187</v>
      </c>
      <c r="B1001" t="s">
        <v>45</v>
      </c>
      <c r="C1001" t="s">
        <v>150</v>
      </c>
      <c r="D1001" t="s">
        <v>157</v>
      </c>
      <c r="E1001">
        <v>0</v>
      </c>
      <c r="F1001">
        <v>586321</v>
      </c>
    </row>
    <row r="1002" spans="1:6" x14ac:dyDescent="0.25">
      <c r="A1002" t="s">
        <v>187</v>
      </c>
      <c r="B1002" t="s">
        <v>45</v>
      </c>
      <c r="C1002" t="s">
        <v>150</v>
      </c>
      <c r="D1002" t="s">
        <v>158</v>
      </c>
      <c r="E1002">
        <v>0</v>
      </c>
      <c r="F1002">
        <v>131981</v>
      </c>
    </row>
    <row r="1003" spans="1:6" x14ac:dyDescent="0.25">
      <c r="A1003" t="s">
        <v>187</v>
      </c>
      <c r="B1003" t="s">
        <v>45</v>
      </c>
      <c r="C1003" t="s">
        <v>150</v>
      </c>
      <c r="D1003" t="s">
        <v>133</v>
      </c>
      <c r="E1003">
        <v>0</v>
      </c>
      <c r="F1003">
        <v>432201</v>
      </c>
    </row>
    <row r="1004" spans="1:6" x14ac:dyDescent="0.25">
      <c r="A1004" t="s">
        <v>171</v>
      </c>
      <c r="B1004" t="s">
        <v>48</v>
      </c>
      <c r="C1004" t="s">
        <v>150</v>
      </c>
      <c r="D1004" t="s">
        <v>138</v>
      </c>
      <c r="E1004">
        <v>0</v>
      </c>
      <c r="F1004">
        <v>76437</v>
      </c>
    </row>
    <row r="1005" spans="1:6" x14ac:dyDescent="0.25">
      <c r="A1005" t="s">
        <v>171</v>
      </c>
      <c r="B1005" t="s">
        <v>48</v>
      </c>
      <c r="C1005" t="s">
        <v>150</v>
      </c>
      <c r="D1005" t="s">
        <v>153</v>
      </c>
      <c r="E1005">
        <v>0</v>
      </c>
      <c r="F1005">
        <v>4798949</v>
      </c>
    </row>
    <row r="1006" spans="1:6" x14ac:dyDescent="0.25">
      <c r="A1006" t="s">
        <v>171</v>
      </c>
      <c r="B1006" t="s">
        <v>48</v>
      </c>
      <c r="C1006" t="s">
        <v>150</v>
      </c>
      <c r="D1006" t="s">
        <v>130</v>
      </c>
      <c r="E1006">
        <v>0</v>
      </c>
      <c r="F1006">
        <v>1278352</v>
      </c>
    </row>
    <row r="1007" spans="1:6" x14ac:dyDescent="0.25">
      <c r="A1007" t="s">
        <v>171</v>
      </c>
      <c r="B1007" t="s">
        <v>48</v>
      </c>
      <c r="C1007" t="s">
        <v>150</v>
      </c>
      <c r="D1007" t="s">
        <v>152</v>
      </c>
      <c r="E1007">
        <v>0</v>
      </c>
      <c r="F1007">
        <v>530566</v>
      </c>
    </row>
    <row r="1008" spans="1:6" x14ac:dyDescent="0.25">
      <c r="A1008" t="s">
        <v>171</v>
      </c>
      <c r="B1008" t="s">
        <v>48</v>
      </c>
      <c r="C1008" t="s">
        <v>150</v>
      </c>
      <c r="D1008" t="s">
        <v>154</v>
      </c>
      <c r="E1008">
        <v>0</v>
      </c>
      <c r="F1008">
        <v>859487</v>
      </c>
    </row>
    <row r="1009" spans="1:6" x14ac:dyDescent="0.25">
      <c r="A1009" t="s">
        <v>171</v>
      </c>
      <c r="B1009" t="s">
        <v>48</v>
      </c>
      <c r="C1009" t="s">
        <v>150</v>
      </c>
      <c r="D1009" t="s">
        <v>156</v>
      </c>
      <c r="E1009">
        <v>0</v>
      </c>
      <c r="F1009">
        <v>3515256</v>
      </c>
    </row>
    <row r="1010" spans="1:6" x14ac:dyDescent="0.25">
      <c r="A1010" t="s">
        <v>171</v>
      </c>
      <c r="B1010" t="s">
        <v>48</v>
      </c>
      <c r="C1010" t="s">
        <v>150</v>
      </c>
      <c r="D1010" t="s">
        <v>128</v>
      </c>
      <c r="E1010">
        <v>0</v>
      </c>
      <c r="F1010">
        <v>3070310</v>
      </c>
    </row>
    <row r="1011" spans="1:6" x14ac:dyDescent="0.25">
      <c r="A1011" t="s">
        <v>171</v>
      </c>
      <c r="B1011" t="s">
        <v>48</v>
      </c>
      <c r="C1011" t="s">
        <v>150</v>
      </c>
      <c r="D1011" t="s">
        <v>157</v>
      </c>
      <c r="E1011">
        <v>0</v>
      </c>
      <c r="F1011">
        <v>981042</v>
      </c>
    </row>
    <row r="1012" spans="1:6" x14ac:dyDescent="0.25">
      <c r="A1012" t="s">
        <v>171</v>
      </c>
      <c r="B1012" t="s">
        <v>48</v>
      </c>
      <c r="C1012" t="s">
        <v>150</v>
      </c>
      <c r="D1012" t="s">
        <v>158</v>
      </c>
      <c r="E1012">
        <v>0</v>
      </c>
      <c r="F1012">
        <v>1231408</v>
      </c>
    </row>
    <row r="1013" spans="1:6" x14ac:dyDescent="0.25">
      <c r="A1013" t="s">
        <v>171</v>
      </c>
      <c r="B1013" t="s">
        <v>48</v>
      </c>
      <c r="C1013" t="s">
        <v>150</v>
      </c>
      <c r="D1013" t="s">
        <v>129</v>
      </c>
      <c r="E1013">
        <v>0</v>
      </c>
      <c r="F1013">
        <v>1943966</v>
      </c>
    </row>
    <row r="1014" spans="1:6" x14ac:dyDescent="0.25">
      <c r="A1014" t="s">
        <v>171</v>
      </c>
      <c r="B1014" t="s">
        <v>48</v>
      </c>
      <c r="C1014" t="s">
        <v>150</v>
      </c>
      <c r="D1014" t="s">
        <v>133</v>
      </c>
      <c r="E1014">
        <v>0</v>
      </c>
      <c r="F1014">
        <v>559071</v>
      </c>
    </row>
    <row r="1015" spans="1:6" x14ac:dyDescent="0.25">
      <c r="A1015" t="s">
        <v>183</v>
      </c>
      <c r="B1015" t="s">
        <v>45</v>
      </c>
      <c r="C1015" t="s">
        <v>150</v>
      </c>
      <c r="D1015" t="s">
        <v>153</v>
      </c>
      <c r="E1015">
        <v>0</v>
      </c>
      <c r="F1015">
        <v>1194023</v>
      </c>
    </row>
    <row r="1016" spans="1:6" x14ac:dyDescent="0.25">
      <c r="A1016" t="s">
        <v>183</v>
      </c>
      <c r="B1016" t="s">
        <v>45</v>
      </c>
      <c r="C1016" t="s">
        <v>150</v>
      </c>
      <c r="D1016" t="s">
        <v>152</v>
      </c>
      <c r="E1016">
        <v>0</v>
      </c>
      <c r="F1016">
        <v>63994</v>
      </c>
    </row>
    <row r="1017" spans="1:6" x14ac:dyDescent="0.25">
      <c r="A1017" t="s">
        <v>183</v>
      </c>
      <c r="B1017" t="s">
        <v>45</v>
      </c>
      <c r="C1017" t="s">
        <v>150</v>
      </c>
      <c r="D1017" t="s">
        <v>156</v>
      </c>
      <c r="E1017">
        <v>0</v>
      </c>
      <c r="F1017">
        <v>1241552</v>
      </c>
    </row>
    <row r="1018" spans="1:6" x14ac:dyDescent="0.25">
      <c r="A1018" t="s">
        <v>183</v>
      </c>
      <c r="B1018" t="s">
        <v>45</v>
      </c>
      <c r="C1018" t="s">
        <v>150</v>
      </c>
      <c r="D1018" t="s">
        <v>157</v>
      </c>
      <c r="E1018">
        <v>0</v>
      </c>
      <c r="F1018">
        <v>37347</v>
      </c>
    </row>
    <row r="1019" spans="1:6" x14ac:dyDescent="0.25">
      <c r="A1019" t="s">
        <v>183</v>
      </c>
      <c r="B1019" t="s">
        <v>45</v>
      </c>
      <c r="C1019" t="s">
        <v>150</v>
      </c>
      <c r="D1019" t="s">
        <v>158</v>
      </c>
      <c r="E1019">
        <v>0</v>
      </c>
      <c r="F1019">
        <v>203946</v>
      </c>
    </row>
    <row r="1020" spans="1:6" x14ac:dyDescent="0.25">
      <c r="A1020" t="s">
        <v>183</v>
      </c>
      <c r="B1020" t="s">
        <v>45</v>
      </c>
      <c r="C1020" t="s">
        <v>150</v>
      </c>
      <c r="D1020" t="s">
        <v>133</v>
      </c>
      <c r="E1020">
        <v>0</v>
      </c>
      <c r="F1020">
        <v>305199</v>
      </c>
    </row>
    <row r="1021" spans="1:6" x14ac:dyDescent="0.25">
      <c r="A1021" t="s">
        <v>91</v>
      </c>
      <c r="B1021" t="s">
        <v>34</v>
      </c>
      <c r="C1021" t="s">
        <v>150</v>
      </c>
      <c r="D1021" t="s">
        <v>153</v>
      </c>
      <c r="E1021">
        <v>0</v>
      </c>
      <c r="F1021">
        <v>9662</v>
      </c>
    </row>
    <row r="1022" spans="1:6" x14ac:dyDescent="0.25">
      <c r="A1022" t="s">
        <v>91</v>
      </c>
      <c r="B1022" t="s">
        <v>34</v>
      </c>
      <c r="C1022" t="s">
        <v>150</v>
      </c>
      <c r="D1022" t="s">
        <v>152</v>
      </c>
      <c r="E1022">
        <v>0</v>
      </c>
      <c r="F1022">
        <v>117</v>
      </c>
    </row>
    <row r="1023" spans="1:6" x14ac:dyDescent="0.25">
      <c r="A1023" t="s">
        <v>91</v>
      </c>
      <c r="B1023" t="s">
        <v>34</v>
      </c>
      <c r="C1023" t="s">
        <v>150</v>
      </c>
      <c r="D1023" t="s">
        <v>156</v>
      </c>
      <c r="E1023">
        <v>0</v>
      </c>
      <c r="F1023">
        <v>2189</v>
      </c>
    </row>
    <row r="1024" spans="1:6" x14ac:dyDescent="0.25">
      <c r="A1024" t="s">
        <v>91</v>
      </c>
      <c r="B1024" t="s">
        <v>34</v>
      </c>
      <c r="C1024" t="s">
        <v>150</v>
      </c>
      <c r="D1024" t="s">
        <v>158</v>
      </c>
      <c r="E1024">
        <v>0</v>
      </c>
      <c r="F1024">
        <v>2687</v>
      </c>
    </row>
    <row r="1025" spans="1:6" x14ac:dyDescent="0.25">
      <c r="A1025" t="s">
        <v>182</v>
      </c>
      <c r="B1025" t="s">
        <v>53</v>
      </c>
      <c r="C1025" t="s">
        <v>150</v>
      </c>
      <c r="D1025" t="s">
        <v>138</v>
      </c>
      <c r="E1025">
        <v>0</v>
      </c>
      <c r="F1025">
        <v>1286994</v>
      </c>
    </row>
    <row r="1026" spans="1:6" x14ac:dyDescent="0.25">
      <c r="A1026" t="s">
        <v>182</v>
      </c>
      <c r="B1026" t="s">
        <v>53</v>
      </c>
      <c r="C1026" t="s">
        <v>150</v>
      </c>
      <c r="D1026" t="s">
        <v>153</v>
      </c>
      <c r="E1026">
        <v>0</v>
      </c>
      <c r="F1026">
        <v>1563743</v>
      </c>
    </row>
    <row r="1027" spans="1:6" x14ac:dyDescent="0.25">
      <c r="A1027" t="s">
        <v>182</v>
      </c>
      <c r="B1027" t="s">
        <v>53</v>
      </c>
      <c r="C1027" t="s">
        <v>150</v>
      </c>
      <c r="D1027" t="s">
        <v>130</v>
      </c>
      <c r="E1027">
        <v>0</v>
      </c>
      <c r="F1027">
        <v>2274116</v>
      </c>
    </row>
    <row r="1028" spans="1:6" x14ac:dyDescent="0.25">
      <c r="A1028" t="s">
        <v>182</v>
      </c>
      <c r="B1028" t="s">
        <v>53</v>
      </c>
      <c r="C1028" t="s">
        <v>150</v>
      </c>
      <c r="D1028" t="s">
        <v>152</v>
      </c>
      <c r="E1028">
        <v>0</v>
      </c>
      <c r="F1028">
        <v>56722</v>
      </c>
    </row>
    <row r="1029" spans="1:6" x14ac:dyDescent="0.25">
      <c r="A1029" t="s">
        <v>182</v>
      </c>
      <c r="B1029" t="s">
        <v>53</v>
      </c>
      <c r="C1029" t="s">
        <v>150</v>
      </c>
      <c r="D1029" t="s">
        <v>154</v>
      </c>
      <c r="E1029">
        <v>0</v>
      </c>
      <c r="F1029">
        <v>148150</v>
      </c>
    </row>
    <row r="1030" spans="1:6" x14ac:dyDescent="0.25">
      <c r="A1030" t="s">
        <v>182</v>
      </c>
      <c r="B1030" t="s">
        <v>53</v>
      </c>
      <c r="C1030" t="s">
        <v>150</v>
      </c>
      <c r="D1030" t="s">
        <v>155</v>
      </c>
      <c r="E1030">
        <v>0</v>
      </c>
      <c r="F1030">
        <v>144501</v>
      </c>
    </row>
    <row r="1031" spans="1:6" x14ac:dyDescent="0.25">
      <c r="A1031" t="s">
        <v>182</v>
      </c>
      <c r="B1031" t="s">
        <v>53</v>
      </c>
      <c r="C1031" t="s">
        <v>150</v>
      </c>
      <c r="D1031" t="s">
        <v>156</v>
      </c>
      <c r="E1031">
        <v>0</v>
      </c>
      <c r="F1031">
        <v>265773</v>
      </c>
    </row>
    <row r="1032" spans="1:6" x14ac:dyDescent="0.25">
      <c r="A1032" t="s">
        <v>182</v>
      </c>
      <c r="B1032" t="s">
        <v>53</v>
      </c>
      <c r="C1032" t="s">
        <v>150</v>
      </c>
      <c r="D1032" t="s">
        <v>128</v>
      </c>
      <c r="E1032">
        <v>0</v>
      </c>
      <c r="F1032">
        <v>462634</v>
      </c>
    </row>
    <row r="1033" spans="1:6" x14ac:dyDescent="0.25">
      <c r="A1033" t="s">
        <v>182</v>
      </c>
      <c r="B1033" t="s">
        <v>53</v>
      </c>
      <c r="C1033" t="s">
        <v>150</v>
      </c>
      <c r="D1033" t="s">
        <v>158</v>
      </c>
      <c r="E1033">
        <v>0</v>
      </c>
      <c r="F1033">
        <v>361408</v>
      </c>
    </row>
    <row r="1034" spans="1:6" x14ac:dyDescent="0.25">
      <c r="A1034" t="s">
        <v>166</v>
      </c>
      <c r="B1034" t="s">
        <v>50</v>
      </c>
      <c r="C1034" t="s">
        <v>150</v>
      </c>
      <c r="D1034" t="s">
        <v>153</v>
      </c>
      <c r="E1034">
        <v>0</v>
      </c>
      <c r="F1034">
        <v>5271690</v>
      </c>
    </row>
    <row r="1035" spans="1:6" x14ac:dyDescent="0.25">
      <c r="A1035" t="s">
        <v>166</v>
      </c>
      <c r="B1035" t="s">
        <v>50</v>
      </c>
      <c r="C1035" t="s">
        <v>150</v>
      </c>
      <c r="D1035" t="s">
        <v>130</v>
      </c>
      <c r="E1035">
        <v>0</v>
      </c>
      <c r="F1035">
        <v>27302</v>
      </c>
    </row>
    <row r="1036" spans="1:6" x14ac:dyDescent="0.25">
      <c r="A1036" t="s">
        <v>166</v>
      </c>
      <c r="B1036" t="s">
        <v>50</v>
      </c>
      <c r="C1036" t="s">
        <v>150</v>
      </c>
      <c r="D1036" t="s">
        <v>152</v>
      </c>
      <c r="E1036">
        <v>0</v>
      </c>
      <c r="F1036">
        <v>2142867</v>
      </c>
    </row>
    <row r="1037" spans="1:6" x14ac:dyDescent="0.25">
      <c r="A1037" t="s">
        <v>166</v>
      </c>
      <c r="B1037" t="s">
        <v>50</v>
      </c>
      <c r="C1037" t="s">
        <v>150</v>
      </c>
      <c r="D1037" t="s">
        <v>156</v>
      </c>
      <c r="E1037">
        <v>0</v>
      </c>
      <c r="F1037">
        <v>8362417</v>
      </c>
    </row>
    <row r="1038" spans="1:6" x14ac:dyDescent="0.25">
      <c r="A1038" t="s">
        <v>166</v>
      </c>
      <c r="B1038" t="s">
        <v>50</v>
      </c>
      <c r="C1038" t="s">
        <v>150</v>
      </c>
      <c r="D1038" t="s">
        <v>157</v>
      </c>
      <c r="E1038">
        <v>0</v>
      </c>
      <c r="F1038">
        <v>300623</v>
      </c>
    </row>
    <row r="1039" spans="1:6" x14ac:dyDescent="0.25">
      <c r="A1039" t="s">
        <v>166</v>
      </c>
      <c r="B1039" t="s">
        <v>50</v>
      </c>
      <c r="C1039" t="s">
        <v>150</v>
      </c>
      <c r="D1039" t="s">
        <v>158</v>
      </c>
      <c r="E1039">
        <v>0</v>
      </c>
      <c r="F1039">
        <v>4648131</v>
      </c>
    </row>
    <row r="1040" spans="1:6" x14ac:dyDescent="0.25">
      <c r="A1040" t="s">
        <v>166</v>
      </c>
      <c r="B1040" t="s">
        <v>50</v>
      </c>
      <c r="C1040" t="s">
        <v>150</v>
      </c>
      <c r="D1040" t="s">
        <v>129</v>
      </c>
      <c r="E1040">
        <v>0</v>
      </c>
      <c r="F1040">
        <v>29303</v>
      </c>
    </row>
    <row r="1041" spans="1:6" x14ac:dyDescent="0.25">
      <c r="A1041" t="s">
        <v>168</v>
      </c>
      <c r="B1041" t="s">
        <v>53</v>
      </c>
      <c r="C1041" t="s">
        <v>150</v>
      </c>
      <c r="D1041" t="s">
        <v>138</v>
      </c>
      <c r="E1041">
        <v>0</v>
      </c>
      <c r="F1041">
        <v>1641024</v>
      </c>
    </row>
    <row r="1042" spans="1:6" x14ac:dyDescent="0.25">
      <c r="A1042" t="s">
        <v>168</v>
      </c>
      <c r="B1042" t="s">
        <v>53</v>
      </c>
      <c r="C1042" t="s">
        <v>150</v>
      </c>
      <c r="D1042" t="s">
        <v>153</v>
      </c>
      <c r="E1042">
        <v>0</v>
      </c>
      <c r="F1042">
        <v>6381564</v>
      </c>
    </row>
    <row r="1043" spans="1:6" x14ac:dyDescent="0.25">
      <c r="A1043" t="s">
        <v>168</v>
      </c>
      <c r="B1043" t="s">
        <v>53</v>
      </c>
      <c r="C1043" t="s">
        <v>150</v>
      </c>
      <c r="D1043" t="s">
        <v>130</v>
      </c>
      <c r="E1043">
        <v>0</v>
      </c>
      <c r="F1043">
        <v>8316838</v>
      </c>
    </row>
    <row r="1044" spans="1:6" x14ac:dyDescent="0.25">
      <c r="A1044" t="s">
        <v>168</v>
      </c>
      <c r="B1044" t="s">
        <v>53</v>
      </c>
      <c r="C1044" t="s">
        <v>150</v>
      </c>
      <c r="D1044" t="s">
        <v>152</v>
      </c>
      <c r="E1044">
        <v>0</v>
      </c>
      <c r="F1044">
        <v>958189</v>
      </c>
    </row>
    <row r="1045" spans="1:6" x14ac:dyDescent="0.25">
      <c r="A1045" t="s">
        <v>168</v>
      </c>
      <c r="B1045" t="s">
        <v>53</v>
      </c>
      <c r="C1045" t="s">
        <v>150</v>
      </c>
      <c r="D1045" t="s">
        <v>154</v>
      </c>
      <c r="E1045">
        <v>0</v>
      </c>
      <c r="F1045">
        <v>981424</v>
      </c>
    </row>
    <row r="1046" spans="1:6" x14ac:dyDescent="0.25">
      <c r="A1046" t="s">
        <v>168</v>
      </c>
      <c r="B1046" t="s">
        <v>53</v>
      </c>
      <c r="C1046" t="s">
        <v>150</v>
      </c>
      <c r="D1046" t="s">
        <v>155</v>
      </c>
      <c r="E1046">
        <v>0</v>
      </c>
      <c r="F1046">
        <v>69969</v>
      </c>
    </row>
    <row r="1047" spans="1:6" x14ac:dyDescent="0.25">
      <c r="A1047" t="s">
        <v>168</v>
      </c>
      <c r="B1047" t="s">
        <v>53</v>
      </c>
      <c r="C1047" t="s">
        <v>150</v>
      </c>
      <c r="D1047" t="s">
        <v>156</v>
      </c>
      <c r="E1047">
        <v>0</v>
      </c>
      <c r="F1047">
        <v>5582446</v>
      </c>
    </row>
    <row r="1048" spans="1:6" x14ac:dyDescent="0.25">
      <c r="A1048" t="s">
        <v>168</v>
      </c>
      <c r="B1048" t="s">
        <v>53</v>
      </c>
      <c r="C1048" t="s">
        <v>150</v>
      </c>
      <c r="D1048" t="s">
        <v>128</v>
      </c>
      <c r="E1048">
        <v>0</v>
      </c>
      <c r="F1048">
        <v>2377032</v>
      </c>
    </row>
    <row r="1049" spans="1:6" x14ac:dyDescent="0.25">
      <c r="A1049" t="s">
        <v>168</v>
      </c>
      <c r="B1049" t="s">
        <v>53</v>
      </c>
      <c r="C1049" t="s">
        <v>150</v>
      </c>
      <c r="D1049" t="s">
        <v>157</v>
      </c>
      <c r="E1049">
        <v>0</v>
      </c>
      <c r="F1049">
        <v>1378925</v>
      </c>
    </row>
    <row r="1050" spans="1:6" x14ac:dyDescent="0.25">
      <c r="A1050" t="s">
        <v>168</v>
      </c>
      <c r="B1050" t="s">
        <v>53</v>
      </c>
      <c r="C1050" t="s">
        <v>150</v>
      </c>
      <c r="D1050" t="s">
        <v>158</v>
      </c>
      <c r="E1050">
        <v>0</v>
      </c>
      <c r="F1050">
        <v>2861772</v>
      </c>
    </row>
    <row r="1051" spans="1:6" x14ac:dyDescent="0.25">
      <c r="A1051" t="s">
        <v>168</v>
      </c>
      <c r="B1051" t="s">
        <v>53</v>
      </c>
      <c r="C1051" t="s">
        <v>150</v>
      </c>
      <c r="D1051" t="s">
        <v>129</v>
      </c>
      <c r="E1051">
        <v>0</v>
      </c>
      <c r="F1051">
        <v>2351419</v>
      </c>
    </row>
    <row r="1052" spans="1:6" x14ac:dyDescent="0.25">
      <c r="A1052" t="s">
        <v>67</v>
      </c>
      <c r="B1052" t="s">
        <v>34</v>
      </c>
      <c r="C1052" t="s">
        <v>150</v>
      </c>
      <c r="D1052" t="s">
        <v>138</v>
      </c>
      <c r="E1052">
        <v>0</v>
      </c>
      <c r="F1052">
        <v>95265</v>
      </c>
    </row>
    <row r="1053" spans="1:6" x14ac:dyDescent="0.25">
      <c r="A1053" t="s">
        <v>67</v>
      </c>
      <c r="B1053" t="s">
        <v>34</v>
      </c>
      <c r="C1053" t="s">
        <v>150</v>
      </c>
      <c r="D1053" t="s">
        <v>153</v>
      </c>
      <c r="E1053">
        <v>0</v>
      </c>
      <c r="F1053">
        <v>521140</v>
      </c>
    </row>
    <row r="1054" spans="1:6" x14ac:dyDescent="0.25">
      <c r="A1054" t="s">
        <v>67</v>
      </c>
      <c r="B1054" t="s">
        <v>34</v>
      </c>
      <c r="C1054" t="s">
        <v>150</v>
      </c>
      <c r="D1054" t="s">
        <v>152</v>
      </c>
      <c r="E1054">
        <v>0</v>
      </c>
      <c r="F1054">
        <v>224852</v>
      </c>
    </row>
    <row r="1055" spans="1:6" x14ac:dyDescent="0.25">
      <c r="A1055" t="s">
        <v>67</v>
      </c>
      <c r="B1055" t="s">
        <v>34</v>
      </c>
      <c r="C1055" t="s">
        <v>150</v>
      </c>
      <c r="D1055" t="s">
        <v>156</v>
      </c>
      <c r="E1055">
        <v>0</v>
      </c>
      <c r="F1055">
        <v>1031019</v>
      </c>
    </row>
    <row r="1056" spans="1:6" x14ac:dyDescent="0.25">
      <c r="A1056" t="s">
        <v>67</v>
      </c>
      <c r="B1056" t="s">
        <v>34</v>
      </c>
      <c r="C1056" t="s">
        <v>150</v>
      </c>
      <c r="D1056" t="s">
        <v>128</v>
      </c>
      <c r="E1056">
        <v>0</v>
      </c>
      <c r="F1056">
        <v>1252031</v>
      </c>
    </row>
    <row r="1057" spans="1:6" x14ac:dyDescent="0.25">
      <c r="A1057" t="s">
        <v>67</v>
      </c>
      <c r="B1057" t="s">
        <v>34</v>
      </c>
      <c r="C1057" t="s">
        <v>150</v>
      </c>
      <c r="D1057" t="s">
        <v>157</v>
      </c>
      <c r="E1057">
        <v>0</v>
      </c>
      <c r="F1057">
        <v>46828</v>
      </c>
    </row>
    <row r="1058" spans="1:6" x14ac:dyDescent="0.25">
      <c r="A1058" t="s">
        <v>67</v>
      </c>
      <c r="B1058" t="s">
        <v>34</v>
      </c>
      <c r="C1058" t="s">
        <v>150</v>
      </c>
      <c r="D1058" t="s">
        <v>129</v>
      </c>
      <c r="E1058">
        <v>0</v>
      </c>
      <c r="F1058">
        <v>1197755</v>
      </c>
    </row>
    <row r="1059" spans="1:6" x14ac:dyDescent="0.25">
      <c r="A1059" t="s">
        <v>67</v>
      </c>
      <c r="B1059" t="s">
        <v>34</v>
      </c>
      <c r="C1059" t="s">
        <v>150</v>
      </c>
      <c r="D1059" t="s">
        <v>133</v>
      </c>
      <c r="E1059">
        <v>0</v>
      </c>
      <c r="F1059">
        <v>140615</v>
      </c>
    </row>
    <row r="1060" spans="1:6" x14ac:dyDescent="0.25">
      <c r="A1060" t="s">
        <v>205</v>
      </c>
      <c r="B1060" t="s">
        <v>53</v>
      </c>
      <c r="C1060" t="s">
        <v>150</v>
      </c>
      <c r="D1060" t="s">
        <v>152</v>
      </c>
      <c r="E1060">
        <v>0</v>
      </c>
      <c r="F1060">
        <v>37473</v>
      </c>
    </row>
    <row r="1061" spans="1:6" x14ac:dyDescent="0.25">
      <c r="A1061" t="s">
        <v>205</v>
      </c>
      <c r="B1061" t="s">
        <v>53</v>
      </c>
      <c r="C1061" t="s">
        <v>150</v>
      </c>
      <c r="D1061" t="s">
        <v>156</v>
      </c>
      <c r="E1061">
        <v>0</v>
      </c>
      <c r="F1061">
        <v>340409</v>
      </c>
    </row>
    <row r="1062" spans="1:6" x14ac:dyDescent="0.25">
      <c r="A1062" t="s">
        <v>205</v>
      </c>
      <c r="B1062" t="s">
        <v>53</v>
      </c>
      <c r="C1062" t="s">
        <v>150</v>
      </c>
      <c r="D1062" t="s">
        <v>158</v>
      </c>
      <c r="E1062">
        <v>0</v>
      </c>
      <c r="F1062">
        <v>55420</v>
      </c>
    </row>
    <row r="1063" spans="1:6" x14ac:dyDescent="0.25">
      <c r="A1063" t="s">
        <v>89</v>
      </c>
      <c r="B1063" t="s">
        <v>34</v>
      </c>
      <c r="C1063" t="s">
        <v>150</v>
      </c>
      <c r="D1063" t="s">
        <v>135</v>
      </c>
      <c r="E1063">
        <v>0</v>
      </c>
      <c r="F1063">
        <v>48522</v>
      </c>
    </row>
    <row r="1064" spans="1:6" x14ac:dyDescent="0.25">
      <c r="A1064" t="s">
        <v>89</v>
      </c>
      <c r="B1064" t="s">
        <v>34</v>
      </c>
      <c r="C1064" t="s">
        <v>150</v>
      </c>
      <c r="D1064" t="s">
        <v>153</v>
      </c>
      <c r="E1064">
        <v>0</v>
      </c>
      <c r="F1064">
        <v>199091</v>
      </c>
    </row>
    <row r="1065" spans="1:6" x14ac:dyDescent="0.25">
      <c r="A1065" t="s">
        <v>89</v>
      </c>
      <c r="B1065" t="s">
        <v>34</v>
      </c>
      <c r="C1065" t="s">
        <v>150</v>
      </c>
      <c r="D1065" t="s">
        <v>152</v>
      </c>
      <c r="E1065">
        <v>0</v>
      </c>
      <c r="F1065">
        <v>185627</v>
      </c>
    </row>
    <row r="1066" spans="1:6" x14ac:dyDescent="0.25">
      <c r="A1066" t="s">
        <v>89</v>
      </c>
      <c r="B1066" t="s">
        <v>34</v>
      </c>
      <c r="C1066" t="s">
        <v>150</v>
      </c>
      <c r="D1066" t="s">
        <v>156</v>
      </c>
      <c r="E1066">
        <v>0</v>
      </c>
      <c r="F1066">
        <v>823646</v>
      </c>
    </row>
    <row r="1067" spans="1:6" x14ac:dyDescent="0.25">
      <c r="A1067" t="s">
        <v>89</v>
      </c>
      <c r="B1067" t="s">
        <v>34</v>
      </c>
      <c r="C1067" t="s">
        <v>150</v>
      </c>
      <c r="D1067" t="s">
        <v>157</v>
      </c>
      <c r="E1067">
        <v>0</v>
      </c>
      <c r="F1067">
        <v>64204</v>
      </c>
    </row>
    <row r="1068" spans="1:6" x14ac:dyDescent="0.25">
      <c r="A1068" t="s">
        <v>89</v>
      </c>
      <c r="B1068" t="s">
        <v>34</v>
      </c>
      <c r="C1068" t="s">
        <v>150</v>
      </c>
      <c r="D1068" t="s">
        <v>158</v>
      </c>
      <c r="E1068">
        <v>0</v>
      </c>
      <c r="F1068">
        <v>481845</v>
      </c>
    </row>
    <row r="1069" spans="1:6" x14ac:dyDescent="0.25">
      <c r="A1069" t="s">
        <v>193</v>
      </c>
      <c r="B1069" t="s">
        <v>45</v>
      </c>
      <c r="C1069" t="s">
        <v>150</v>
      </c>
      <c r="D1069" t="s">
        <v>138</v>
      </c>
      <c r="E1069">
        <v>0</v>
      </c>
      <c r="F1069">
        <v>31139</v>
      </c>
    </row>
    <row r="1070" spans="1:6" x14ac:dyDescent="0.25">
      <c r="A1070" t="s">
        <v>193</v>
      </c>
      <c r="B1070" t="s">
        <v>45</v>
      </c>
      <c r="C1070" t="s">
        <v>150</v>
      </c>
      <c r="D1070" t="s">
        <v>153</v>
      </c>
      <c r="E1070">
        <v>0</v>
      </c>
      <c r="F1070">
        <v>8941</v>
      </c>
    </row>
    <row r="1071" spans="1:6" x14ac:dyDescent="0.25">
      <c r="A1071" t="s">
        <v>193</v>
      </c>
      <c r="B1071" t="s">
        <v>45</v>
      </c>
      <c r="C1071" t="s">
        <v>150</v>
      </c>
      <c r="D1071" t="s">
        <v>130</v>
      </c>
      <c r="E1071">
        <v>0</v>
      </c>
      <c r="F1071">
        <v>12329</v>
      </c>
    </row>
    <row r="1072" spans="1:6" x14ac:dyDescent="0.25">
      <c r="A1072" t="s">
        <v>193</v>
      </c>
      <c r="B1072" t="s">
        <v>45</v>
      </c>
      <c r="C1072" t="s">
        <v>150</v>
      </c>
      <c r="D1072" t="s">
        <v>152</v>
      </c>
      <c r="E1072">
        <v>0</v>
      </c>
      <c r="F1072">
        <v>13701</v>
      </c>
    </row>
    <row r="1073" spans="1:6" x14ac:dyDescent="0.25">
      <c r="A1073" t="s">
        <v>193</v>
      </c>
      <c r="B1073" t="s">
        <v>45</v>
      </c>
      <c r="C1073" t="s">
        <v>150</v>
      </c>
      <c r="D1073" t="s">
        <v>156</v>
      </c>
      <c r="E1073">
        <v>0</v>
      </c>
      <c r="F1073">
        <v>425488</v>
      </c>
    </row>
    <row r="1074" spans="1:6" x14ac:dyDescent="0.25">
      <c r="A1074" t="s">
        <v>193</v>
      </c>
      <c r="B1074" t="s">
        <v>45</v>
      </c>
      <c r="C1074" t="s">
        <v>150</v>
      </c>
      <c r="D1074" t="s">
        <v>128</v>
      </c>
      <c r="E1074">
        <v>0</v>
      </c>
      <c r="F1074">
        <v>196612</v>
      </c>
    </row>
    <row r="1075" spans="1:6" x14ac:dyDescent="0.25">
      <c r="A1075" t="s">
        <v>193</v>
      </c>
      <c r="B1075" t="s">
        <v>45</v>
      </c>
      <c r="C1075" t="s">
        <v>150</v>
      </c>
      <c r="D1075" t="s">
        <v>157</v>
      </c>
      <c r="E1075">
        <v>0</v>
      </c>
      <c r="F1075">
        <v>9087</v>
      </c>
    </row>
    <row r="1076" spans="1:6" x14ac:dyDescent="0.25">
      <c r="A1076" t="s">
        <v>193</v>
      </c>
      <c r="B1076" t="s">
        <v>45</v>
      </c>
      <c r="C1076" t="s">
        <v>150</v>
      </c>
      <c r="D1076" t="s">
        <v>158</v>
      </c>
      <c r="E1076">
        <v>0</v>
      </c>
      <c r="F1076">
        <v>9805</v>
      </c>
    </row>
    <row r="1077" spans="1:6" x14ac:dyDescent="0.25">
      <c r="A1077" t="s">
        <v>193</v>
      </c>
      <c r="B1077" t="s">
        <v>45</v>
      </c>
      <c r="C1077" t="s">
        <v>150</v>
      </c>
      <c r="D1077" t="s">
        <v>129</v>
      </c>
      <c r="E1077">
        <v>0</v>
      </c>
      <c r="F1077">
        <v>644804</v>
      </c>
    </row>
    <row r="1078" spans="1:6" x14ac:dyDescent="0.25">
      <c r="A1078" t="s">
        <v>193</v>
      </c>
      <c r="B1078" t="s">
        <v>45</v>
      </c>
      <c r="C1078" t="s">
        <v>150</v>
      </c>
      <c r="D1078" t="s">
        <v>133</v>
      </c>
      <c r="E1078">
        <v>0</v>
      </c>
      <c r="F1078">
        <v>600557</v>
      </c>
    </row>
    <row r="1079" spans="1:6" x14ac:dyDescent="0.25">
      <c r="A1079" t="s">
        <v>181</v>
      </c>
      <c r="B1079" t="s">
        <v>50</v>
      </c>
      <c r="C1079" t="s">
        <v>150</v>
      </c>
      <c r="D1079" t="s">
        <v>153</v>
      </c>
      <c r="E1079">
        <v>0</v>
      </c>
      <c r="F1079">
        <v>1004254</v>
      </c>
    </row>
    <row r="1080" spans="1:6" x14ac:dyDescent="0.25">
      <c r="A1080" t="s">
        <v>181</v>
      </c>
      <c r="B1080" t="s">
        <v>50</v>
      </c>
      <c r="C1080" t="s">
        <v>150</v>
      </c>
      <c r="D1080" t="s">
        <v>130</v>
      </c>
      <c r="E1080">
        <v>0</v>
      </c>
      <c r="F1080">
        <v>201990</v>
      </c>
    </row>
    <row r="1081" spans="1:6" x14ac:dyDescent="0.25">
      <c r="A1081" t="s">
        <v>181</v>
      </c>
      <c r="B1081" t="s">
        <v>50</v>
      </c>
      <c r="C1081" t="s">
        <v>150</v>
      </c>
      <c r="D1081" t="s">
        <v>152</v>
      </c>
      <c r="E1081">
        <v>0</v>
      </c>
      <c r="F1081">
        <v>75138</v>
      </c>
    </row>
    <row r="1082" spans="1:6" x14ac:dyDescent="0.25">
      <c r="A1082" t="s">
        <v>181</v>
      </c>
      <c r="B1082" t="s">
        <v>50</v>
      </c>
      <c r="C1082" t="s">
        <v>150</v>
      </c>
      <c r="D1082" t="s">
        <v>156</v>
      </c>
      <c r="E1082">
        <v>0</v>
      </c>
      <c r="F1082">
        <v>857652</v>
      </c>
    </row>
    <row r="1083" spans="1:6" x14ac:dyDescent="0.25">
      <c r="A1083" t="s">
        <v>181</v>
      </c>
      <c r="B1083" t="s">
        <v>50</v>
      </c>
      <c r="C1083" t="s">
        <v>150</v>
      </c>
      <c r="D1083" t="s">
        <v>157</v>
      </c>
      <c r="E1083">
        <v>0</v>
      </c>
      <c r="F1083">
        <v>457654</v>
      </c>
    </row>
    <row r="1084" spans="1:6" x14ac:dyDescent="0.25">
      <c r="A1084" t="s">
        <v>181</v>
      </c>
      <c r="B1084" t="s">
        <v>50</v>
      </c>
      <c r="C1084" t="s">
        <v>150</v>
      </c>
      <c r="D1084" t="s">
        <v>158</v>
      </c>
      <c r="E1084">
        <v>0</v>
      </c>
      <c r="F1084">
        <v>510191</v>
      </c>
    </row>
    <row r="1085" spans="1:6" x14ac:dyDescent="0.25">
      <c r="A1085" t="s">
        <v>74</v>
      </c>
      <c r="B1085" t="s">
        <v>34</v>
      </c>
      <c r="C1085" t="s">
        <v>150</v>
      </c>
      <c r="D1085" t="s">
        <v>153</v>
      </c>
      <c r="E1085">
        <v>0</v>
      </c>
      <c r="F1085">
        <v>437353</v>
      </c>
    </row>
    <row r="1086" spans="1:6" x14ac:dyDescent="0.25">
      <c r="A1086" t="s">
        <v>74</v>
      </c>
      <c r="B1086" t="s">
        <v>34</v>
      </c>
      <c r="C1086" t="s">
        <v>150</v>
      </c>
      <c r="D1086" t="s">
        <v>152</v>
      </c>
      <c r="E1086">
        <v>0</v>
      </c>
      <c r="F1086">
        <v>211575</v>
      </c>
    </row>
    <row r="1087" spans="1:6" x14ac:dyDescent="0.25">
      <c r="A1087" t="s">
        <v>74</v>
      </c>
      <c r="B1087" t="s">
        <v>34</v>
      </c>
      <c r="C1087" t="s">
        <v>150</v>
      </c>
      <c r="D1087" t="s">
        <v>156</v>
      </c>
      <c r="E1087">
        <v>0</v>
      </c>
      <c r="F1087">
        <v>2758030</v>
      </c>
    </row>
    <row r="1088" spans="1:6" x14ac:dyDescent="0.25">
      <c r="A1088" t="s">
        <v>74</v>
      </c>
      <c r="B1088" t="s">
        <v>34</v>
      </c>
      <c r="C1088" t="s">
        <v>150</v>
      </c>
      <c r="D1088" t="s">
        <v>158</v>
      </c>
      <c r="E1088">
        <v>0</v>
      </c>
      <c r="F1088">
        <v>101600</v>
      </c>
    </row>
    <row r="1089" spans="1:6" x14ac:dyDescent="0.25">
      <c r="A1089" t="s">
        <v>99</v>
      </c>
      <c r="B1089" t="s">
        <v>34</v>
      </c>
      <c r="C1089" t="s">
        <v>150</v>
      </c>
      <c r="D1089" t="s">
        <v>156</v>
      </c>
      <c r="E1089">
        <v>0</v>
      </c>
      <c r="F1089">
        <v>215748</v>
      </c>
    </row>
    <row r="1090" spans="1:6" x14ac:dyDescent="0.25">
      <c r="A1090" t="s">
        <v>99</v>
      </c>
      <c r="B1090" t="s">
        <v>34</v>
      </c>
      <c r="C1090" t="s">
        <v>150</v>
      </c>
      <c r="D1090" t="s">
        <v>157</v>
      </c>
      <c r="E1090">
        <v>0</v>
      </c>
      <c r="F1090">
        <v>47533</v>
      </c>
    </row>
    <row r="1091" spans="1:6" x14ac:dyDescent="0.25">
      <c r="A1091" t="s">
        <v>99</v>
      </c>
      <c r="B1091" t="s">
        <v>34</v>
      </c>
      <c r="C1091" t="s">
        <v>150</v>
      </c>
      <c r="D1091" t="s">
        <v>133</v>
      </c>
      <c r="E1091">
        <v>0</v>
      </c>
      <c r="F1091">
        <v>374127</v>
      </c>
    </row>
    <row r="1092" spans="1:6" x14ac:dyDescent="0.25">
      <c r="A1092" t="s">
        <v>167</v>
      </c>
      <c r="B1092" t="s">
        <v>50</v>
      </c>
      <c r="C1092" t="s">
        <v>150</v>
      </c>
      <c r="D1092" t="s">
        <v>138</v>
      </c>
      <c r="E1092">
        <v>0</v>
      </c>
      <c r="F1092">
        <v>452621</v>
      </c>
    </row>
    <row r="1093" spans="1:6" x14ac:dyDescent="0.25">
      <c r="A1093" t="s">
        <v>167</v>
      </c>
      <c r="B1093" t="s">
        <v>50</v>
      </c>
      <c r="C1093" t="s">
        <v>150</v>
      </c>
      <c r="D1093" t="s">
        <v>153</v>
      </c>
      <c r="E1093">
        <v>0</v>
      </c>
      <c r="F1093">
        <v>6608815</v>
      </c>
    </row>
    <row r="1094" spans="1:6" x14ac:dyDescent="0.25">
      <c r="A1094" t="s">
        <v>167</v>
      </c>
      <c r="B1094" t="s">
        <v>50</v>
      </c>
      <c r="C1094" t="s">
        <v>150</v>
      </c>
      <c r="D1094" t="s">
        <v>130</v>
      </c>
      <c r="E1094">
        <v>0</v>
      </c>
      <c r="F1094">
        <v>723180</v>
      </c>
    </row>
    <row r="1095" spans="1:6" x14ac:dyDescent="0.25">
      <c r="A1095" t="s">
        <v>167</v>
      </c>
      <c r="B1095" t="s">
        <v>50</v>
      </c>
      <c r="C1095" t="s">
        <v>150</v>
      </c>
      <c r="D1095" t="s">
        <v>152</v>
      </c>
      <c r="E1095">
        <v>0</v>
      </c>
      <c r="F1095">
        <v>836881</v>
      </c>
    </row>
    <row r="1096" spans="1:6" x14ac:dyDescent="0.25">
      <c r="A1096" t="s">
        <v>167</v>
      </c>
      <c r="B1096" t="s">
        <v>50</v>
      </c>
      <c r="C1096" t="s">
        <v>150</v>
      </c>
      <c r="D1096" t="s">
        <v>156</v>
      </c>
      <c r="E1096">
        <v>0</v>
      </c>
      <c r="F1096">
        <v>5629333</v>
      </c>
    </row>
    <row r="1097" spans="1:6" x14ac:dyDescent="0.25">
      <c r="A1097" t="s">
        <v>167</v>
      </c>
      <c r="B1097" t="s">
        <v>50</v>
      </c>
      <c r="C1097" t="s">
        <v>150</v>
      </c>
      <c r="D1097" t="s">
        <v>128</v>
      </c>
      <c r="E1097">
        <v>0</v>
      </c>
      <c r="F1097">
        <v>1075589</v>
      </c>
    </row>
    <row r="1098" spans="1:6" x14ac:dyDescent="0.25">
      <c r="A1098" t="s">
        <v>167</v>
      </c>
      <c r="B1098" t="s">
        <v>50</v>
      </c>
      <c r="C1098" t="s">
        <v>150</v>
      </c>
      <c r="D1098" t="s">
        <v>157</v>
      </c>
      <c r="E1098">
        <v>0</v>
      </c>
      <c r="F1098">
        <v>2732227</v>
      </c>
    </row>
    <row r="1099" spans="1:6" x14ac:dyDescent="0.25">
      <c r="A1099" t="s">
        <v>167</v>
      </c>
      <c r="B1099" t="s">
        <v>50</v>
      </c>
      <c r="C1099" t="s">
        <v>150</v>
      </c>
      <c r="D1099" t="s">
        <v>158</v>
      </c>
      <c r="E1099">
        <v>0</v>
      </c>
      <c r="F1099">
        <v>1476736</v>
      </c>
    </row>
    <row r="1100" spans="1:6" x14ac:dyDescent="0.25">
      <c r="A1100" t="s">
        <v>167</v>
      </c>
      <c r="B1100" t="s">
        <v>50</v>
      </c>
      <c r="C1100" t="s">
        <v>150</v>
      </c>
      <c r="D1100" t="s">
        <v>129</v>
      </c>
      <c r="E1100">
        <v>0</v>
      </c>
      <c r="F1100">
        <v>1274394</v>
      </c>
    </row>
    <row r="1101" spans="1:6" x14ac:dyDescent="0.25">
      <c r="A1101" t="s">
        <v>167</v>
      </c>
      <c r="B1101" t="s">
        <v>50</v>
      </c>
      <c r="C1101" t="s">
        <v>150</v>
      </c>
      <c r="D1101" t="s">
        <v>133</v>
      </c>
      <c r="E1101">
        <v>0</v>
      </c>
      <c r="F1101">
        <v>169022</v>
      </c>
    </row>
    <row r="1102" spans="1:6" x14ac:dyDescent="0.25">
      <c r="A1102" t="s">
        <v>176</v>
      </c>
      <c r="B1102" t="s">
        <v>53</v>
      </c>
      <c r="C1102" t="s">
        <v>150</v>
      </c>
      <c r="D1102" t="s">
        <v>138</v>
      </c>
      <c r="E1102">
        <v>0</v>
      </c>
      <c r="F1102">
        <v>67505</v>
      </c>
    </row>
    <row r="1103" spans="1:6" x14ac:dyDescent="0.25">
      <c r="A1103" t="s">
        <v>176</v>
      </c>
      <c r="B1103" t="s">
        <v>53</v>
      </c>
      <c r="C1103" t="s">
        <v>150</v>
      </c>
      <c r="D1103" t="s">
        <v>153</v>
      </c>
      <c r="E1103">
        <v>0</v>
      </c>
      <c r="F1103">
        <v>1341226</v>
      </c>
    </row>
    <row r="1104" spans="1:6" x14ac:dyDescent="0.25">
      <c r="A1104" t="s">
        <v>176</v>
      </c>
      <c r="B1104" t="s">
        <v>53</v>
      </c>
      <c r="C1104" t="s">
        <v>150</v>
      </c>
      <c r="D1104" t="s">
        <v>152</v>
      </c>
      <c r="E1104">
        <v>0</v>
      </c>
      <c r="F1104">
        <v>114543</v>
      </c>
    </row>
    <row r="1105" spans="1:6" x14ac:dyDescent="0.25">
      <c r="A1105" t="s">
        <v>176</v>
      </c>
      <c r="B1105" t="s">
        <v>53</v>
      </c>
      <c r="C1105" t="s">
        <v>150</v>
      </c>
      <c r="D1105" t="s">
        <v>154</v>
      </c>
      <c r="E1105">
        <v>0</v>
      </c>
      <c r="F1105">
        <v>174695</v>
      </c>
    </row>
    <row r="1106" spans="1:6" x14ac:dyDescent="0.25">
      <c r="A1106" t="s">
        <v>176</v>
      </c>
      <c r="B1106" t="s">
        <v>53</v>
      </c>
      <c r="C1106" t="s">
        <v>150</v>
      </c>
      <c r="D1106" t="s">
        <v>156</v>
      </c>
      <c r="E1106">
        <v>0</v>
      </c>
      <c r="F1106">
        <v>447542</v>
      </c>
    </row>
    <row r="1107" spans="1:6" x14ac:dyDescent="0.25">
      <c r="A1107" t="s">
        <v>176</v>
      </c>
      <c r="B1107" t="s">
        <v>53</v>
      </c>
      <c r="C1107" t="s">
        <v>150</v>
      </c>
      <c r="D1107" t="s">
        <v>157</v>
      </c>
      <c r="E1107">
        <v>0</v>
      </c>
      <c r="F1107">
        <v>638583</v>
      </c>
    </row>
    <row r="1108" spans="1:6" x14ac:dyDescent="0.25">
      <c r="A1108" t="s">
        <v>176</v>
      </c>
      <c r="B1108" t="s">
        <v>53</v>
      </c>
      <c r="C1108" t="s">
        <v>150</v>
      </c>
      <c r="D1108" t="s">
        <v>158</v>
      </c>
      <c r="E1108">
        <v>0</v>
      </c>
      <c r="F1108">
        <v>120208</v>
      </c>
    </row>
    <row r="1109" spans="1:6" x14ac:dyDescent="0.25">
      <c r="A1109" t="s">
        <v>210</v>
      </c>
      <c r="B1109" t="s">
        <v>150</v>
      </c>
      <c r="C1109" t="s">
        <v>150</v>
      </c>
      <c r="D1109" t="s">
        <v>153</v>
      </c>
      <c r="E1109">
        <v>0</v>
      </c>
      <c r="F1109">
        <v>48068</v>
      </c>
    </row>
    <row r="1110" spans="1:6" x14ac:dyDescent="0.25">
      <c r="A1110" t="s">
        <v>210</v>
      </c>
      <c r="B1110" t="s">
        <v>150</v>
      </c>
      <c r="C1110" t="s">
        <v>150</v>
      </c>
      <c r="D1110" t="s">
        <v>152</v>
      </c>
      <c r="E1110">
        <v>0</v>
      </c>
      <c r="F1110">
        <v>81725</v>
      </c>
    </row>
    <row r="1111" spans="1:6" x14ac:dyDescent="0.25">
      <c r="A1111" t="s">
        <v>210</v>
      </c>
      <c r="B1111" t="s">
        <v>150</v>
      </c>
      <c r="C1111" t="s">
        <v>150</v>
      </c>
      <c r="D1111" t="s">
        <v>156</v>
      </c>
      <c r="E1111">
        <v>0</v>
      </c>
      <c r="F1111">
        <v>470148</v>
      </c>
    </row>
    <row r="1112" spans="1:6" x14ac:dyDescent="0.25">
      <c r="A1112" t="s">
        <v>210</v>
      </c>
      <c r="B1112" t="s">
        <v>150</v>
      </c>
      <c r="C1112" t="s">
        <v>150</v>
      </c>
      <c r="D1112" t="s">
        <v>158</v>
      </c>
      <c r="E1112">
        <v>0</v>
      </c>
      <c r="F1112">
        <v>16080</v>
      </c>
    </row>
    <row r="1113" spans="1:6" x14ac:dyDescent="0.25">
      <c r="A1113" t="s">
        <v>188</v>
      </c>
      <c r="B1113" t="s">
        <v>45</v>
      </c>
      <c r="C1113" t="s">
        <v>150</v>
      </c>
      <c r="D1113" t="s">
        <v>153</v>
      </c>
      <c r="E1113">
        <v>0</v>
      </c>
      <c r="F1113">
        <v>1348559</v>
      </c>
    </row>
    <row r="1114" spans="1:6" x14ac:dyDescent="0.25">
      <c r="A1114" t="s">
        <v>188</v>
      </c>
      <c r="B1114" t="s">
        <v>45</v>
      </c>
      <c r="C1114" t="s">
        <v>150</v>
      </c>
      <c r="D1114" t="s">
        <v>152</v>
      </c>
      <c r="E1114">
        <v>0</v>
      </c>
      <c r="F1114">
        <v>373394</v>
      </c>
    </row>
    <row r="1115" spans="1:6" x14ac:dyDescent="0.25">
      <c r="A1115" t="s">
        <v>188</v>
      </c>
      <c r="B1115" t="s">
        <v>45</v>
      </c>
      <c r="C1115" t="s">
        <v>150</v>
      </c>
      <c r="D1115" t="s">
        <v>156</v>
      </c>
      <c r="E1115">
        <v>0</v>
      </c>
      <c r="F1115">
        <v>2930842</v>
      </c>
    </row>
    <row r="1116" spans="1:6" x14ac:dyDescent="0.25">
      <c r="A1116" t="s">
        <v>188</v>
      </c>
      <c r="B1116" t="s">
        <v>45</v>
      </c>
      <c r="C1116" t="s">
        <v>150</v>
      </c>
      <c r="D1116" t="s">
        <v>157</v>
      </c>
      <c r="E1116">
        <v>0</v>
      </c>
      <c r="F1116">
        <v>75825</v>
      </c>
    </row>
    <row r="1117" spans="1:6" x14ac:dyDescent="0.25">
      <c r="A1117" t="s">
        <v>188</v>
      </c>
      <c r="B1117" t="s">
        <v>45</v>
      </c>
      <c r="C1117" t="s">
        <v>150</v>
      </c>
      <c r="D1117" t="s">
        <v>158</v>
      </c>
      <c r="E1117">
        <v>0</v>
      </c>
      <c r="F1117">
        <v>49027</v>
      </c>
    </row>
    <row r="1118" spans="1:6" x14ac:dyDescent="0.25">
      <c r="A1118" t="s">
        <v>188</v>
      </c>
      <c r="B1118" t="s">
        <v>45</v>
      </c>
      <c r="C1118" t="s">
        <v>150</v>
      </c>
      <c r="D1118" t="s">
        <v>133</v>
      </c>
      <c r="E1118">
        <v>0</v>
      </c>
      <c r="F1118">
        <v>315788</v>
      </c>
    </row>
    <row r="1119" spans="1:6" x14ac:dyDescent="0.25">
      <c r="A1119" t="s">
        <v>186</v>
      </c>
      <c r="B1119" t="s">
        <v>53</v>
      </c>
      <c r="C1119" t="s">
        <v>150</v>
      </c>
      <c r="D1119" t="s">
        <v>138</v>
      </c>
      <c r="E1119">
        <v>0</v>
      </c>
      <c r="F1119">
        <v>59018</v>
      </c>
    </row>
    <row r="1120" spans="1:6" x14ac:dyDescent="0.25">
      <c r="A1120" t="s">
        <v>186</v>
      </c>
      <c r="B1120" t="s">
        <v>53</v>
      </c>
      <c r="C1120" t="s">
        <v>150</v>
      </c>
      <c r="D1120" t="s">
        <v>153</v>
      </c>
      <c r="E1120">
        <v>0</v>
      </c>
      <c r="F1120">
        <v>798114</v>
      </c>
    </row>
    <row r="1121" spans="1:6" x14ac:dyDescent="0.25">
      <c r="A1121" t="s">
        <v>186</v>
      </c>
      <c r="B1121" t="s">
        <v>53</v>
      </c>
      <c r="C1121" t="s">
        <v>150</v>
      </c>
      <c r="D1121" t="s">
        <v>130</v>
      </c>
      <c r="E1121">
        <v>0</v>
      </c>
      <c r="F1121">
        <v>821457</v>
      </c>
    </row>
    <row r="1122" spans="1:6" x14ac:dyDescent="0.25">
      <c r="A1122" t="s">
        <v>186</v>
      </c>
      <c r="B1122" t="s">
        <v>53</v>
      </c>
      <c r="C1122" t="s">
        <v>150</v>
      </c>
      <c r="D1122" t="s">
        <v>152</v>
      </c>
      <c r="E1122">
        <v>0</v>
      </c>
      <c r="F1122">
        <v>153614</v>
      </c>
    </row>
    <row r="1123" spans="1:6" x14ac:dyDescent="0.25">
      <c r="A1123" t="s">
        <v>186</v>
      </c>
      <c r="B1123" t="s">
        <v>53</v>
      </c>
      <c r="C1123" t="s">
        <v>150</v>
      </c>
      <c r="D1123" t="s">
        <v>154</v>
      </c>
      <c r="E1123">
        <v>0</v>
      </c>
      <c r="F1123">
        <v>84545</v>
      </c>
    </row>
    <row r="1124" spans="1:6" x14ac:dyDescent="0.25">
      <c r="A1124" t="s">
        <v>186</v>
      </c>
      <c r="B1124" t="s">
        <v>53</v>
      </c>
      <c r="C1124" t="s">
        <v>150</v>
      </c>
      <c r="D1124" t="s">
        <v>156</v>
      </c>
      <c r="E1124">
        <v>0</v>
      </c>
      <c r="F1124">
        <v>400017</v>
      </c>
    </row>
    <row r="1125" spans="1:6" x14ac:dyDescent="0.25">
      <c r="A1125" t="s">
        <v>186</v>
      </c>
      <c r="B1125" t="s">
        <v>53</v>
      </c>
      <c r="C1125" t="s">
        <v>150</v>
      </c>
      <c r="D1125" t="s">
        <v>128</v>
      </c>
      <c r="E1125">
        <v>0</v>
      </c>
      <c r="F1125">
        <v>730115</v>
      </c>
    </row>
    <row r="1126" spans="1:6" x14ac:dyDescent="0.25">
      <c r="A1126" t="s">
        <v>186</v>
      </c>
      <c r="B1126" t="s">
        <v>53</v>
      </c>
      <c r="C1126" t="s">
        <v>150</v>
      </c>
      <c r="D1126" t="s">
        <v>157</v>
      </c>
      <c r="E1126">
        <v>0</v>
      </c>
      <c r="F1126">
        <v>12572</v>
      </c>
    </row>
    <row r="1127" spans="1:6" x14ac:dyDescent="0.25">
      <c r="A1127" t="s">
        <v>186</v>
      </c>
      <c r="B1127" t="s">
        <v>53</v>
      </c>
      <c r="C1127" t="s">
        <v>150</v>
      </c>
      <c r="D1127" t="s">
        <v>158</v>
      </c>
      <c r="E1127">
        <v>0</v>
      </c>
      <c r="F1127">
        <v>333850</v>
      </c>
    </row>
    <row r="1128" spans="1:6" x14ac:dyDescent="0.25">
      <c r="A1128" t="s">
        <v>186</v>
      </c>
      <c r="B1128" t="s">
        <v>53</v>
      </c>
      <c r="C1128" t="s">
        <v>150</v>
      </c>
      <c r="D1128" t="s">
        <v>129</v>
      </c>
      <c r="E1128">
        <v>0</v>
      </c>
      <c r="F1128">
        <v>498463</v>
      </c>
    </row>
    <row r="1129" spans="1:6" x14ac:dyDescent="0.25">
      <c r="A1129" t="s">
        <v>191</v>
      </c>
      <c r="B1129" t="s">
        <v>45</v>
      </c>
      <c r="C1129" t="s">
        <v>150</v>
      </c>
      <c r="D1129" t="s">
        <v>153</v>
      </c>
      <c r="E1129">
        <v>0</v>
      </c>
      <c r="F1129">
        <v>126171</v>
      </c>
    </row>
    <row r="1130" spans="1:6" x14ac:dyDescent="0.25">
      <c r="A1130" t="s">
        <v>191</v>
      </c>
      <c r="B1130" t="s">
        <v>45</v>
      </c>
      <c r="C1130" t="s">
        <v>150</v>
      </c>
      <c r="D1130" t="s">
        <v>158</v>
      </c>
      <c r="E1130">
        <v>0</v>
      </c>
      <c r="F1130">
        <v>9542</v>
      </c>
    </row>
    <row r="1131" spans="1:6" x14ac:dyDescent="0.25">
      <c r="A1131" t="s">
        <v>191</v>
      </c>
      <c r="B1131" t="s">
        <v>45</v>
      </c>
      <c r="C1131" t="s">
        <v>150</v>
      </c>
      <c r="D1131" t="s">
        <v>133</v>
      </c>
      <c r="E1131">
        <v>0</v>
      </c>
      <c r="F1131">
        <v>504180</v>
      </c>
    </row>
    <row r="1132" spans="1:6" x14ac:dyDescent="0.25">
      <c r="A1132" t="s">
        <v>66</v>
      </c>
      <c r="B1132" t="s">
        <v>34</v>
      </c>
      <c r="C1132" t="s">
        <v>150</v>
      </c>
      <c r="D1132" t="s">
        <v>152</v>
      </c>
      <c r="E1132">
        <v>0</v>
      </c>
      <c r="F1132">
        <v>162334</v>
      </c>
    </row>
    <row r="1133" spans="1:6" x14ac:dyDescent="0.25">
      <c r="A1133" t="s">
        <v>66</v>
      </c>
      <c r="B1133" t="s">
        <v>34</v>
      </c>
      <c r="C1133" t="s">
        <v>150</v>
      </c>
      <c r="D1133" t="s">
        <v>156</v>
      </c>
      <c r="E1133">
        <v>0</v>
      </c>
      <c r="F1133">
        <v>700213</v>
      </c>
    </row>
    <row r="1134" spans="1:6" x14ac:dyDescent="0.25">
      <c r="A1134" t="s">
        <v>66</v>
      </c>
      <c r="B1134" t="s">
        <v>34</v>
      </c>
      <c r="C1134" t="s">
        <v>150</v>
      </c>
      <c r="D1134" t="s">
        <v>157</v>
      </c>
      <c r="E1134">
        <v>0</v>
      </c>
      <c r="F1134">
        <v>22942</v>
      </c>
    </row>
    <row r="1135" spans="1:6" x14ac:dyDescent="0.25">
      <c r="A1135" t="s">
        <v>213</v>
      </c>
      <c r="B1135" t="s">
        <v>150</v>
      </c>
      <c r="C1135" t="s">
        <v>150</v>
      </c>
      <c r="D1135" t="s">
        <v>152</v>
      </c>
      <c r="E1135">
        <v>0</v>
      </c>
      <c r="F1135">
        <v>150057</v>
      </c>
    </row>
    <row r="1136" spans="1:6" x14ac:dyDescent="0.25">
      <c r="A1136" t="s">
        <v>213</v>
      </c>
      <c r="B1136" t="s">
        <v>150</v>
      </c>
      <c r="C1136" t="s">
        <v>150</v>
      </c>
      <c r="D1136" t="s">
        <v>156</v>
      </c>
      <c r="E1136">
        <v>0</v>
      </c>
      <c r="F1136">
        <v>858340</v>
      </c>
    </row>
    <row r="1137" spans="1:6" x14ac:dyDescent="0.25">
      <c r="A1137" t="s">
        <v>213</v>
      </c>
      <c r="B1137" t="s">
        <v>150</v>
      </c>
      <c r="C1137" t="s">
        <v>150</v>
      </c>
      <c r="D1137" t="s">
        <v>157</v>
      </c>
      <c r="E1137">
        <v>0</v>
      </c>
      <c r="F1137">
        <v>23820</v>
      </c>
    </row>
    <row r="1138" spans="1:6" x14ac:dyDescent="0.25">
      <c r="A1138" t="s">
        <v>213</v>
      </c>
      <c r="B1138" t="s">
        <v>150</v>
      </c>
      <c r="C1138" t="s">
        <v>150</v>
      </c>
      <c r="D1138" t="s">
        <v>158</v>
      </c>
      <c r="E1138">
        <v>0</v>
      </c>
      <c r="F1138">
        <v>70610</v>
      </c>
    </row>
    <row r="1139" spans="1:6" x14ac:dyDescent="0.25">
      <c r="A1139" t="s">
        <v>199</v>
      </c>
      <c r="B1139" t="s">
        <v>61</v>
      </c>
      <c r="C1139" t="s">
        <v>150</v>
      </c>
      <c r="D1139" t="s">
        <v>156</v>
      </c>
      <c r="E1139">
        <v>0</v>
      </c>
      <c r="F1139">
        <v>228203</v>
      </c>
    </row>
    <row r="1140" spans="1:6" x14ac:dyDescent="0.25">
      <c r="A1140" t="s">
        <v>172</v>
      </c>
      <c r="B1140" t="s">
        <v>50</v>
      </c>
      <c r="C1140" t="s">
        <v>150</v>
      </c>
      <c r="D1140" t="s">
        <v>153</v>
      </c>
      <c r="E1140">
        <v>0</v>
      </c>
      <c r="F1140">
        <v>3580730</v>
      </c>
    </row>
    <row r="1141" spans="1:6" x14ac:dyDescent="0.25">
      <c r="A1141" t="s">
        <v>172</v>
      </c>
      <c r="B1141" t="s">
        <v>50</v>
      </c>
      <c r="C1141" t="s">
        <v>150</v>
      </c>
      <c r="D1141" t="s">
        <v>152</v>
      </c>
      <c r="E1141">
        <v>0</v>
      </c>
      <c r="F1141">
        <v>512191</v>
      </c>
    </row>
    <row r="1142" spans="1:6" x14ac:dyDescent="0.25">
      <c r="A1142" t="s">
        <v>172</v>
      </c>
      <c r="B1142" t="s">
        <v>50</v>
      </c>
      <c r="C1142" t="s">
        <v>150</v>
      </c>
      <c r="D1142" t="s">
        <v>156</v>
      </c>
      <c r="E1142">
        <v>0</v>
      </c>
      <c r="F1142">
        <v>3698639</v>
      </c>
    </row>
    <row r="1143" spans="1:6" x14ac:dyDescent="0.25">
      <c r="A1143" t="s">
        <v>172</v>
      </c>
      <c r="B1143" t="s">
        <v>50</v>
      </c>
      <c r="C1143" t="s">
        <v>150</v>
      </c>
      <c r="D1143" t="s">
        <v>157</v>
      </c>
      <c r="E1143">
        <v>0</v>
      </c>
      <c r="F1143">
        <v>41977</v>
      </c>
    </row>
    <row r="1144" spans="1:6" x14ac:dyDescent="0.25">
      <c r="A1144" t="s">
        <v>172</v>
      </c>
      <c r="B1144" t="s">
        <v>50</v>
      </c>
      <c r="C1144" t="s">
        <v>150</v>
      </c>
      <c r="D1144" t="s">
        <v>158</v>
      </c>
      <c r="E1144">
        <v>0</v>
      </c>
      <c r="F1144">
        <v>1691846</v>
      </c>
    </row>
    <row r="1145" spans="1:6" x14ac:dyDescent="0.25">
      <c r="A1145" t="s">
        <v>202</v>
      </c>
      <c r="B1145" t="s">
        <v>45</v>
      </c>
      <c r="C1145" t="s">
        <v>150</v>
      </c>
      <c r="D1145" t="s">
        <v>153</v>
      </c>
      <c r="E1145">
        <v>0</v>
      </c>
      <c r="F1145">
        <v>709505</v>
      </c>
    </row>
    <row r="1146" spans="1:6" x14ac:dyDescent="0.25">
      <c r="A1146" t="s">
        <v>202</v>
      </c>
      <c r="B1146" t="s">
        <v>45</v>
      </c>
      <c r="C1146" t="s">
        <v>150</v>
      </c>
      <c r="D1146" t="s">
        <v>152</v>
      </c>
      <c r="E1146">
        <v>0</v>
      </c>
      <c r="F1146">
        <v>31472</v>
      </c>
    </row>
    <row r="1147" spans="1:6" x14ac:dyDescent="0.25">
      <c r="A1147" t="s">
        <v>202</v>
      </c>
      <c r="B1147" t="s">
        <v>45</v>
      </c>
      <c r="C1147" t="s">
        <v>150</v>
      </c>
      <c r="D1147" t="s">
        <v>156</v>
      </c>
      <c r="E1147">
        <v>0</v>
      </c>
      <c r="F1147">
        <v>455732</v>
      </c>
    </row>
    <row r="1148" spans="1:6" x14ac:dyDescent="0.25">
      <c r="A1148" t="s">
        <v>202</v>
      </c>
      <c r="B1148" t="s">
        <v>45</v>
      </c>
      <c r="C1148" t="s">
        <v>150</v>
      </c>
      <c r="D1148" t="s">
        <v>157</v>
      </c>
      <c r="E1148">
        <v>0</v>
      </c>
      <c r="F1148">
        <v>178415</v>
      </c>
    </row>
    <row r="1149" spans="1:6" x14ac:dyDescent="0.25">
      <c r="A1149" t="s">
        <v>202</v>
      </c>
      <c r="B1149" t="s">
        <v>45</v>
      </c>
      <c r="C1149" t="s">
        <v>150</v>
      </c>
      <c r="D1149" t="s">
        <v>158</v>
      </c>
      <c r="E1149">
        <v>0</v>
      </c>
      <c r="F1149">
        <v>46789</v>
      </c>
    </row>
    <row r="1150" spans="1:6" x14ac:dyDescent="0.25">
      <c r="A1150" t="s">
        <v>49</v>
      </c>
      <c r="B1150" t="s">
        <v>34</v>
      </c>
      <c r="C1150" t="s">
        <v>150</v>
      </c>
      <c r="D1150" t="s">
        <v>138</v>
      </c>
      <c r="E1150">
        <v>0</v>
      </c>
      <c r="F1150">
        <v>194432</v>
      </c>
    </row>
    <row r="1151" spans="1:6" x14ac:dyDescent="0.25">
      <c r="A1151" t="s">
        <v>49</v>
      </c>
      <c r="B1151" t="s">
        <v>34</v>
      </c>
      <c r="C1151" t="s">
        <v>150</v>
      </c>
      <c r="D1151" t="s">
        <v>153</v>
      </c>
      <c r="E1151">
        <v>0</v>
      </c>
      <c r="F1151">
        <v>3777225</v>
      </c>
    </row>
    <row r="1152" spans="1:6" x14ac:dyDescent="0.25">
      <c r="A1152" t="s">
        <v>49</v>
      </c>
      <c r="B1152" t="s">
        <v>34</v>
      </c>
      <c r="C1152" t="s">
        <v>150</v>
      </c>
      <c r="D1152" t="s">
        <v>130</v>
      </c>
      <c r="E1152">
        <v>0</v>
      </c>
      <c r="F1152">
        <v>1408047</v>
      </c>
    </row>
    <row r="1153" spans="1:6" x14ac:dyDescent="0.25">
      <c r="A1153" t="s">
        <v>49</v>
      </c>
      <c r="B1153" t="s">
        <v>34</v>
      </c>
      <c r="C1153" t="s">
        <v>150</v>
      </c>
      <c r="D1153" t="s">
        <v>152</v>
      </c>
      <c r="E1153">
        <v>0</v>
      </c>
      <c r="F1153">
        <v>710838</v>
      </c>
    </row>
    <row r="1154" spans="1:6" x14ac:dyDescent="0.25">
      <c r="A1154" t="s">
        <v>49</v>
      </c>
      <c r="B1154" t="s">
        <v>34</v>
      </c>
      <c r="C1154" t="s">
        <v>150</v>
      </c>
      <c r="D1154" t="s">
        <v>156</v>
      </c>
      <c r="E1154">
        <v>0</v>
      </c>
      <c r="F1154">
        <v>10252613</v>
      </c>
    </row>
    <row r="1155" spans="1:6" x14ac:dyDescent="0.25">
      <c r="A1155" t="s">
        <v>49</v>
      </c>
      <c r="B1155" t="s">
        <v>34</v>
      </c>
      <c r="C1155" t="s">
        <v>150</v>
      </c>
      <c r="D1155" t="s">
        <v>128</v>
      </c>
      <c r="E1155">
        <v>0</v>
      </c>
      <c r="F1155">
        <v>3732806</v>
      </c>
    </row>
    <row r="1156" spans="1:6" x14ac:dyDescent="0.25">
      <c r="A1156" t="s">
        <v>49</v>
      </c>
      <c r="B1156" t="s">
        <v>34</v>
      </c>
      <c r="C1156" t="s">
        <v>150</v>
      </c>
      <c r="D1156" t="s">
        <v>157</v>
      </c>
      <c r="E1156">
        <v>0</v>
      </c>
      <c r="F1156">
        <v>1502951</v>
      </c>
    </row>
    <row r="1157" spans="1:6" x14ac:dyDescent="0.25">
      <c r="A1157" t="s">
        <v>49</v>
      </c>
      <c r="B1157" t="s">
        <v>34</v>
      </c>
      <c r="C1157" t="s">
        <v>150</v>
      </c>
      <c r="D1157" t="s">
        <v>158</v>
      </c>
      <c r="E1157">
        <v>0</v>
      </c>
      <c r="F1157">
        <v>602480</v>
      </c>
    </row>
    <row r="1158" spans="1:6" x14ac:dyDescent="0.25">
      <c r="A1158" t="s">
        <v>49</v>
      </c>
      <c r="B1158" t="s">
        <v>34</v>
      </c>
      <c r="C1158" t="s">
        <v>150</v>
      </c>
      <c r="D1158" t="s">
        <v>129</v>
      </c>
      <c r="E1158">
        <v>0</v>
      </c>
      <c r="F1158">
        <v>4161046</v>
      </c>
    </row>
    <row r="1159" spans="1:6" x14ac:dyDescent="0.25">
      <c r="A1159" t="s">
        <v>49</v>
      </c>
      <c r="B1159" t="s">
        <v>34</v>
      </c>
      <c r="C1159" t="s">
        <v>150</v>
      </c>
      <c r="D1159" t="s">
        <v>133</v>
      </c>
      <c r="E1159">
        <v>0</v>
      </c>
      <c r="F1159">
        <v>2603760</v>
      </c>
    </row>
    <row r="1160" spans="1:6" x14ac:dyDescent="0.25">
      <c r="A1160" t="s">
        <v>82</v>
      </c>
      <c r="B1160" t="s">
        <v>34</v>
      </c>
      <c r="C1160" t="s">
        <v>150</v>
      </c>
      <c r="D1160" t="s">
        <v>153</v>
      </c>
      <c r="E1160">
        <v>0</v>
      </c>
      <c r="F1160">
        <v>272872</v>
      </c>
    </row>
    <row r="1161" spans="1:6" x14ac:dyDescent="0.25">
      <c r="A1161" t="s">
        <v>82</v>
      </c>
      <c r="B1161" t="s">
        <v>34</v>
      </c>
      <c r="C1161" t="s">
        <v>150</v>
      </c>
      <c r="D1161" t="s">
        <v>152</v>
      </c>
      <c r="E1161">
        <v>0</v>
      </c>
      <c r="F1161">
        <v>120629</v>
      </c>
    </row>
    <row r="1162" spans="1:6" x14ac:dyDescent="0.25">
      <c r="A1162" t="s">
        <v>82</v>
      </c>
      <c r="B1162" t="s">
        <v>34</v>
      </c>
      <c r="C1162" t="s">
        <v>150</v>
      </c>
      <c r="D1162" t="s">
        <v>156</v>
      </c>
      <c r="E1162">
        <v>0</v>
      </c>
      <c r="F1162">
        <v>1013906</v>
      </c>
    </row>
    <row r="1163" spans="1:6" x14ac:dyDescent="0.25">
      <c r="A1163" t="s">
        <v>82</v>
      </c>
      <c r="B1163" t="s">
        <v>34</v>
      </c>
      <c r="C1163" t="s">
        <v>150</v>
      </c>
      <c r="D1163" t="s">
        <v>157</v>
      </c>
      <c r="E1163">
        <v>0</v>
      </c>
      <c r="F1163">
        <v>31963</v>
      </c>
    </row>
    <row r="1164" spans="1:6" x14ac:dyDescent="0.25">
      <c r="A1164" t="s">
        <v>82</v>
      </c>
      <c r="B1164" t="s">
        <v>34</v>
      </c>
      <c r="C1164" t="s">
        <v>150</v>
      </c>
      <c r="D1164" t="s">
        <v>158</v>
      </c>
      <c r="E1164">
        <v>0</v>
      </c>
      <c r="F1164">
        <v>36042</v>
      </c>
    </row>
    <row r="1165" spans="1:6" x14ac:dyDescent="0.25">
      <c r="A1165" t="s">
        <v>198</v>
      </c>
      <c r="B1165" t="s">
        <v>45</v>
      </c>
      <c r="C1165" t="s">
        <v>150</v>
      </c>
      <c r="D1165" t="s">
        <v>153</v>
      </c>
      <c r="E1165">
        <v>0</v>
      </c>
      <c r="F1165">
        <v>452963</v>
      </c>
    </row>
    <row r="1166" spans="1:6" x14ac:dyDescent="0.25">
      <c r="A1166" t="s">
        <v>198</v>
      </c>
      <c r="B1166" t="s">
        <v>45</v>
      </c>
      <c r="C1166" t="s">
        <v>150</v>
      </c>
      <c r="D1166" t="s">
        <v>152</v>
      </c>
      <c r="E1166">
        <v>0</v>
      </c>
      <c r="F1166">
        <v>99867</v>
      </c>
    </row>
    <row r="1167" spans="1:6" x14ac:dyDescent="0.25">
      <c r="A1167" t="s">
        <v>198</v>
      </c>
      <c r="B1167" t="s">
        <v>45</v>
      </c>
      <c r="C1167" t="s">
        <v>150</v>
      </c>
      <c r="D1167" t="s">
        <v>156</v>
      </c>
      <c r="E1167">
        <v>0</v>
      </c>
      <c r="F1167">
        <v>261934</v>
      </c>
    </row>
    <row r="1168" spans="1:6" x14ac:dyDescent="0.25">
      <c r="A1168" t="s">
        <v>198</v>
      </c>
      <c r="B1168" t="s">
        <v>45</v>
      </c>
      <c r="C1168" t="s">
        <v>150</v>
      </c>
      <c r="D1168" t="s">
        <v>157</v>
      </c>
      <c r="E1168">
        <v>0</v>
      </c>
      <c r="F1168">
        <v>436842</v>
      </c>
    </row>
    <row r="1169" spans="1:6" x14ac:dyDescent="0.25">
      <c r="A1169" t="s">
        <v>198</v>
      </c>
      <c r="B1169" t="s">
        <v>45</v>
      </c>
      <c r="C1169" t="s">
        <v>150</v>
      </c>
      <c r="D1169" t="s">
        <v>158</v>
      </c>
      <c r="E1169">
        <v>0</v>
      </c>
      <c r="F1169">
        <v>49732</v>
      </c>
    </row>
    <row r="1170" spans="1:6" x14ac:dyDescent="0.25">
      <c r="A1170" t="s">
        <v>64</v>
      </c>
      <c r="B1170" t="s">
        <v>34</v>
      </c>
      <c r="C1170" t="s">
        <v>150</v>
      </c>
      <c r="D1170" t="s">
        <v>152</v>
      </c>
      <c r="E1170">
        <v>0</v>
      </c>
      <c r="F1170">
        <v>887909</v>
      </c>
    </row>
    <row r="1171" spans="1:6" x14ac:dyDescent="0.25">
      <c r="A1171" t="s">
        <v>64</v>
      </c>
      <c r="B1171" t="s">
        <v>34</v>
      </c>
      <c r="C1171" t="s">
        <v>150</v>
      </c>
      <c r="D1171" t="s">
        <v>156</v>
      </c>
      <c r="E1171">
        <v>0</v>
      </c>
      <c r="F1171">
        <v>9875143</v>
      </c>
    </row>
    <row r="1172" spans="1:6" x14ac:dyDescent="0.25">
      <c r="A1172" t="s">
        <v>64</v>
      </c>
      <c r="B1172" t="s">
        <v>34</v>
      </c>
      <c r="C1172" t="s">
        <v>150</v>
      </c>
      <c r="D1172" t="s">
        <v>128</v>
      </c>
      <c r="E1172">
        <v>0</v>
      </c>
      <c r="F1172">
        <v>792450</v>
      </c>
    </row>
    <row r="1173" spans="1:6" x14ac:dyDescent="0.25">
      <c r="A1173" t="s">
        <v>64</v>
      </c>
      <c r="B1173" t="s">
        <v>34</v>
      </c>
      <c r="C1173" t="s">
        <v>150</v>
      </c>
      <c r="D1173" t="s">
        <v>129</v>
      </c>
      <c r="E1173">
        <v>0</v>
      </c>
      <c r="F1173">
        <v>1306166</v>
      </c>
    </row>
    <row r="1174" spans="1:6" x14ac:dyDescent="0.25">
      <c r="A1174" t="s">
        <v>64</v>
      </c>
      <c r="B1174" t="s">
        <v>34</v>
      </c>
      <c r="C1174" t="s">
        <v>150</v>
      </c>
      <c r="D1174" t="s">
        <v>133</v>
      </c>
      <c r="E1174">
        <v>0</v>
      </c>
      <c r="F1174">
        <v>1137486</v>
      </c>
    </row>
    <row r="1175" spans="1:6" x14ac:dyDescent="0.25">
      <c r="A1175" t="s">
        <v>80</v>
      </c>
      <c r="B1175" t="s">
        <v>34</v>
      </c>
      <c r="C1175" t="s">
        <v>150</v>
      </c>
      <c r="D1175" t="s">
        <v>153</v>
      </c>
      <c r="E1175">
        <v>0</v>
      </c>
      <c r="F1175">
        <v>1540818</v>
      </c>
    </row>
    <row r="1176" spans="1:6" x14ac:dyDescent="0.25">
      <c r="A1176" t="s">
        <v>80</v>
      </c>
      <c r="B1176" t="s">
        <v>34</v>
      </c>
      <c r="C1176" t="s">
        <v>150</v>
      </c>
      <c r="D1176" t="s">
        <v>152</v>
      </c>
      <c r="E1176">
        <v>0</v>
      </c>
      <c r="F1176">
        <v>2147</v>
      </c>
    </row>
    <row r="1177" spans="1:6" x14ac:dyDescent="0.25">
      <c r="A1177" t="s">
        <v>80</v>
      </c>
      <c r="B1177" t="s">
        <v>34</v>
      </c>
      <c r="C1177" t="s">
        <v>150</v>
      </c>
      <c r="D1177" t="s">
        <v>156</v>
      </c>
      <c r="E1177">
        <v>0</v>
      </c>
      <c r="F1177">
        <v>1032782</v>
      </c>
    </row>
    <row r="1178" spans="1:6" x14ac:dyDescent="0.25">
      <c r="A1178" t="s">
        <v>80</v>
      </c>
      <c r="B1178" t="s">
        <v>34</v>
      </c>
      <c r="C1178" t="s">
        <v>150</v>
      </c>
      <c r="D1178" t="s">
        <v>157</v>
      </c>
      <c r="E1178">
        <v>0</v>
      </c>
      <c r="F1178">
        <v>91990</v>
      </c>
    </row>
    <row r="1179" spans="1:6" x14ac:dyDescent="0.25">
      <c r="A1179" t="s">
        <v>80</v>
      </c>
      <c r="B1179" t="s">
        <v>34</v>
      </c>
      <c r="C1179" t="s">
        <v>150</v>
      </c>
      <c r="D1179" t="s">
        <v>158</v>
      </c>
      <c r="E1179">
        <v>0</v>
      </c>
      <c r="F1179">
        <v>592165</v>
      </c>
    </row>
    <row r="1180" spans="1:6" x14ac:dyDescent="0.25">
      <c r="A1180" t="s">
        <v>71</v>
      </c>
      <c r="B1180" t="s">
        <v>34</v>
      </c>
      <c r="C1180" t="s">
        <v>150</v>
      </c>
      <c r="D1180" t="s">
        <v>153</v>
      </c>
      <c r="E1180">
        <v>0</v>
      </c>
      <c r="F1180">
        <v>954508</v>
      </c>
    </row>
    <row r="1181" spans="1:6" x14ac:dyDescent="0.25">
      <c r="A1181" t="s">
        <v>71</v>
      </c>
      <c r="B1181" t="s">
        <v>34</v>
      </c>
      <c r="C1181" t="s">
        <v>150</v>
      </c>
      <c r="D1181" t="s">
        <v>152</v>
      </c>
      <c r="E1181">
        <v>0</v>
      </c>
      <c r="F1181">
        <v>189947</v>
      </c>
    </row>
    <row r="1182" spans="1:6" x14ac:dyDescent="0.25">
      <c r="A1182" t="s">
        <v>71</v>
      </c>
      <c r="B1182" t="s">
        <v>34</v>
      </c>
      <c r="C1182" t="s">
        <v>150</v>
      </c>
      <c r="D1182" t="s">
        <v>156</v>
      </c>
      <c r="E1182">
        <v>0</v>
      </c>
      <c r="F1182">
        <v>5186432</v>
      </c>
    </row>
    <row r="1183" spans="1:6" x14ac:dyDescent="0.25">
      <c r="A1183" t="s">
        <v>71</v>
      </c>
      <c r="B1183" t="s">
        <v>34</v>
      </c>
      <c r="C1183" t="s">
        <v>150</v>
      </c>
      <c r="D1183" t="s">
        <v>157</v>
      </c>
      <c r="E1183">
        <v>0</v>
      </c>
      <c r="F1183">
        <v>185616</v>
      </c>
    </row>
    <row r="1184" spans="1:6" x14ac:dyDescent="0.25">
      <c r="A1184" t="s">
        <v>200</v>
      </c>
      <c r="B1184" t="s">
        <v>58</v>
      </c>
      <c r="C1184" t="s">
        <v>150</v>
      </c>
      <c r="D1184" t="s">
        <v>130</v>
      </c>
      <c r="E1184">
        <v>0</v>
      </c>
      <c r="F1184">
        <v>11085</v>
      </c>
    </row>
    <row r="1185" spans="1:6" x14ac:dyDescent="0.25">
      <c r="A1185" t="s">
        <v>200</v>
      </c>
      <c r="B1185" t="s">
        <v>58</v>
      </c>
      <c r="C1185" t="s">
        <v>150</v>
      </c>
      <c r="D1185" t="s">
        <v>152</v>
      </c>
      <c r="E1185">
        <v>0</v>
      </c>
      <c r="F1185">
        <v>132884</v>
      </c>
    </row>
    <row r="1186" spans="1:6" x14ac:dyDescent="0.25">
      <c r="A1186" t="s">
        <v>200</v>
      </c>
      <c r="B1186" t="s">
        <v>58</v>
      </c>
      <c r="C1186" t="s">
        <v>150</v>
      </c>
      <c r="D1186" t="s">
        <v>156</v>
      </c>
      <c r="E1186">
        <v>0</v>
      </c>
      <c r="F1186">
        <v>1307142</v>
      </c>
    </row>
    <row r="1187" spans="1:6" x14ac:dyDescent="0.25">
      <c r="A1187" t="s">
        <v>200</v>
      </c>
      <c r="B1187" t="s">
        <v>58</v>
      </c>
      <c r="C1187" t="s">
        <v>150</v>
      </c>
      <c r="D1187" t="s">
        <v>158</v>
      </c>
      <c r="E1187">
        <v>0</v>
      </c>
      <c r="F1187">
        <v>317942</v>
      </c>
    </row>
    <row r="1188" spans="1:6" x14ac:dyDescent="0.25">
      <c r="A1188" t="s">
        <v>178</v>
      </c>
      <c r="B1188" t="s">
        <v>58</v>
      </c>
      <c r="C1188" t="s">
        <v>150</v>
      </c>
      <c r="D1188" t="s">
        <v>153</v>
      </c>
      <c r="E1188">
        <v>0</v>
      </c>
      <c r="F1188">
        <v>169972</v>
      </c>
    </row>
    <row r="1189" spans="1:6" x14ac:dyDescent="0.25">
      <c r="A1189" t="s">
        <v>178</v>
      </c>
      <c r="B1189" t="s">
        <v>58</v>
      </c>
      <c r="C1189" t="s">
        <v>150</v>
      </c>
      <c r="D1189" t="s">
        <v>130</v>
      </c>
      <c r="E1189">
        <v>0</v>
      </c>
      <c r="F1189">
        <v>12295</v>
      </c>
    </row>
    <row r="1190" spans="1:6" x14ac:dyDescent="0.25">
      <c r="A1190" t="s">
        <v>178</v>
      </c>
      <c r="B1190" t="s">
        <v>58</v>
      </c>
      <c r="C1190" t="s">
        <v>150</v>
      </c>
      <c r="D1190" t="s">
        <v>152</v>
      </c>
      <c r="E1190">
        <v>0</v>
      </c>
      <c r="F1190">
        <v>312019</v>
      </c>
    </row>
    <row r="1191" spans="1:6" x14ac:dyDescent="0.25">
      <c r="A1191" t="s">
        <v>178</v>
      </c>
      <c r="B1191" t="s">
        <v>58</v>
      </c>
      <c r="C1191" t="s">
        <v>150</v>
      </c>
      <c r="D1191" t="s">
        <v>155</v>
      </c>
      <c r="E1191">
        <v>0</v>
      </c>
      <c r="F1191">
        <v>18842</v>
      </c>
    </row>
    <row r="1192" spans="1:6" x14ac:dyDescent="0.25">
      <c r="A1192" t="s">
        <v>178</v>
      </c>
      <c r="B1192" t="s">
        <v>58</v>
      </c>
      <c r="C1192" t="s">
        <v>150</v>
      </c>
      <c r="D1192" t="s">
        <v>156</v>
      </c>
      <c r="E1192">
        <v>0</v>
      </c>
      <c r="F1192">
        <v>3269634</v>
      </c>
    </row>
    <row r="1193" spans="1:6" x14ac:dyDescent="0.25">
      <c r="A1193" t="s">
        <v>178</v>
      </c>
      <c r="B1193" t="s">
        <v>58</v>
      </c>
      <c r="C1193" t="s">
        <v>150</v>
      </c>
      <c r="D1193" t="s">
        <v>158</v>
      </c>
      <c r="E1193">
        <v>0</v>
      </c>
      <c r="F1193">
        <v>873245</v>
      </c>
    </row>
    <row r="1194" spans="1:6" x14ac:dyDescent="0.25">
      <c r="A1194" t="s">
        <v>192</v>
      </c>
      <c r="B1194" t="s">
        <v>45</v>
      </c>
      <c r="C1194" t="s">
        <v>150</v>
      </c>
      <c r="D1194" t="s">
        <v>153</v>
      </c>
      <c r="E1194">
        <v>0</v>
      </c>
      <c r="F1194">
        <v>489092</v>
      </c>
    </row>
    <row r="1195" spans="1:6" x14ac:dyDescent="0.25">
      <c r="A1195" t="s">
        <v>192</v>
      </c>
      <c r="B1195" t="s">
        <v>45</v>
      </c>
      <c r="C1195" t="s">
        <v>150</v>
      </c>
      <c r="D1195" t="s">
        <v>152</v>
      </c>
      <c r="E1195">
        <v>0</v>
      </c>
      <c r="F1195">
        <v>41651</v>
      </c>
    </row>
    <row r="1196" spans="1:6" x14ac:dyDescent="0.25">
      <c r="A1196" t="s">
        <v>192</v>
      </c>
      <c r="B1196" t="s">
        <v>45</v>
      </c>
      <c r="C1196" t="s">
        <v>150</v>
      </c>
      <c r="D1196" t="s">
        <v>156</v>
      </c>
      <c r="E1196">
        <v>0</v>
      </c>
      <c r="F1196">
        <v>56031</v>
      </c>
    </row>
    <row r="1197" spans="1:6" x14ac:dyDescent="0.25">
      <c r="A1197" t="s">
        <v>192</v>
      </c>
      <c r="B1197" t="s">
        <v>45</v>
      </c>
      <c r="C1197" t="s">
        <v>150</v>
      </c>
      <c r="D1197" t="s">
        <v>157</v>
      </c>
      <c r="E1197">
        <v>0</v>
      </c>
      <c r="F1197">
        <v>22525</v>
      </c>
    </row>
    <row r="1198" spans="1:6" x14ac:dyDescent="0.25">
      <c r="A1198" t="s">
        <v>192</v>
      </c>
      <c r="B1198" t="s">
        <v>45</v>
      </c>
      <c r="C1198" t="s">
        <v>150</v>
      </c>
      <c r="D1198" t="s">
        <v>158</v>
      </c>
      <c r="E1198">
        <v>0</v>
      </c>
      <c r="F1198">
        <v>85479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5" width="18" customWidth="1"/>
    <col min="6" max="6" width="8" customWidth="1"/>
    <col min="7" max="8" width="18" customWidth="1"/>
  </cols>
  <sheetData>
    <row r="1" spans="1:9" x14ac:dyDescent="0.25">
      <c r="A1" s="10" t="s">
        <v>214</v>
      </c>
      <c r="B1" s="10" t="s">
        <v>42</v>
      </c>
      <c r="C1" s="10" t="s">
        <v>35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spans="1:9" x14ac:dyDescent="0.25">
      <c r="A2" t="s">
        <v>125</v>
      </c>
      <c r="B2" t="s">
        <v>44</v>
      </c>
      <c r="C2" t="s">
        <v>34</v>
      </c>
      <c r="D2">
        <v>229276</v>
      </c>
      <c r="E2">
        <v>0</v>
      </c>
      <c r="F2" t="s">
        <v>220</v>
      </c>
      <c r="G2">
        <v>33030321</v>
      </c>
      <c r="H2">
        <v>0</v>
      </c>
    </row>
    <row r="3" spans="1:9" x14ac:dyDescent="0.25">
      <c r="A3" t="s">
        <v>126</v>
      </c>
      <c r="B3" t="s">
        <v>62</v>
      </c>
      <c r="C3" t="s">
        <v>34</v>
      </c>
      <c r="D3">
        <v>21510</v>
      </c>
      <c r="E3">
        <v>0</v>
      </c>
      <c r="F3" t="s">
        <v>220</v>
      </c>
      <c r="G3">
        <v>13812141</v>
      </c>
      <c r="H3">
        <v>0</v>
      </c>
    </row>
    <row r="4" spans="1:9" x14ac:dyDescent="0.25">
      <c r="A4" t="s">
        <v>125</v>
      </c>
      <c r="B4" t="s">
        <v>161</v>
      </c>
      <c r="C4" t="s">
        <v>45</v>
      </c>
      <c r="D4">
        <v>85283</v>
      </c>
      <c r="E4">
        <v>0</v>
      </c>
      <c r="F4" t="s">
        <v>220</v>
      </c>
      <c r="G4">
        <v>11244166</v>
      </c>
      <c r="H4">
        <v>0</v>
      </c>
    </row>
    <row r="5" spans="1:9" x14ac:dyDescent="0.25">
      <c r="A5" t="s">
        <v>125</v>
      </c>
      <c r="B5" t="s">
        <v>64</v>
      </c>
      <c r="C5" t="s">
        <v>34</v>
      </c>
      <c r="D5">
        <v>77500</v>
      </c>
      <c r="E5">
        <v>0</v>
      </c>
      <c r="F5" t="s">
        <v>220</v>
      </c>
      <c r="G5">
        <v>10419952</v>
      </c>
      <c r="H5">
        <v>0</v>
      </c>
    </row>
    <row r="6" spans="1:9" x14ac:dyDescent="0.25">
      <c r="A6" t="s">
        <v>125</v>
      </c>
      <c r="B6" t="s">
        <v>162</v>
      </c>
      <c r="C6" t="s">
        <v>58</v>
      </c>
      <c r="D6">
        <v>73566</v>
      </c>
      <c r="E6">
        <v>0</v>
      </c>
      <c r="F6" t="s">
        <v>220</v>
      </c>
      <c r="G6">
        <v>9732727</v>
      </c>
      <c r="H6">
        <v>0</v>
      </c>
    </row>
    <row r="7" spans="1:9" x14ac:dyDescent="0.25">
      <c r="A7" t="s">
        <v>127</v>
      </c>
      <c r="B7" t="s">
        <v>163</v>
      </c>
      <c r="C7" t="s">
        <v>45</v>
      </c>
      <c r="D7">
        <v>77481</v>
      </c>
      <c r="E7">
        <v>0</v>
      </c>
      <c r="F7" t="s">
        <v>220</v>
      </c>
      <c r="G7">
        <v>9715707</v>
      </c>
      <c r="H7">
        <v>0</v>
      </c>
    </row>
    <row r="8" spans="1:9" x14ac:dyDescent="0.25">
      <c r="A8" t="s">
        <v>125</v>
      </c>
      <c r="B8" t="s">
        <v>49</v>
      </c>
      <c r="C8" t="s">
        <v>34</v>
      </c>
      <c r="D8">
        <v>64303</v>
      </c>
      <c r="E8">
        <v>0</v>
      </c>
      <c r="F8" t="s">
        <v>220</v>
      </c>
      <c r="G8">
        <v>9672544</v>
      </c>
      <c r="H8">
        <v>0</v>
      </c>
    </row>
    <row r="9" spans="1:9" x14ac:dyDescent="0.25">
      <c r="A9" t="s">
        <v>126</v>
      </c>
      <c r="B9" t="s">
        <v>164</v>
      </c>
      <c r="C9" t="s">
        <v>55</v>
      </c>
      <c r="D9">
        <v>18540</v>
      </c>
      <c r="E9">
        <v>0</v>
      </c>
      <c r="F9" t="s">
        <v>220</v>
      </c>
      <c r="G9">
        <v>9663397</v>
      </c>
      <c r="H9">
        <v>0</v>
      </c>
    </row>
    <row r="10" spans="1:9" x14ac:dyDescent="0.25">
      <c r="A10" t="s">
        <v>127</v>
      </c>
      <c r="B10" t="s">
        <v>165</v>
      </c>
      <c r="C10" t="s">
        <v>48</v>
      </c>
      <c r="D10">
        <v>189309</v>
      </c>
      <c r="E10">
        <v>0</v>
      </c>
      <c r="F10" t="s">
        <v>220</v>
      </c>
      <c r="G10">
        <v>8795109</v>
      </c>
      <c r="H10">
        <v>0</v>
      </c>
    </row>
    <row r="11" spans="1:9" x14ac:dyDescent="0.25">
      <c r="A11" t="s">
        <v>125</v>
      </c>
      <c r="B11" t="s">
        <v>164</v>
      </c>
      <c r="C11" t="s">
        <v>55</v>
      </c>
      <c r="D11">
        <v>57021</v>
      </c>
      <c r="E11">
        <v>0</v>
      </c>
      <c r="F11" t="s">
        <v>220</v>
      </c>
      <c r="G11">
        <v>8643476</v>
      </c>
      <c r="H11">
        <v>0</v>
      </c>
    </row>
    <row r="12" spans="1:9" x14ac:dyDescent="0.25">
      <c r="A12" t="s">
        <v>126</v>
      </c>
      <c r="B12" t="s">
        <v>47</v>
      </c>
      <c r="C12" t="s">
        <v>34</v>
      </c>
      <c r="D12">
        <v>11795</v>
      </c>
      <c r="E12">
        <v>0</v>
      </c>
      <c r="F12" t="s">
        <v>220</v>
      </c>
      <c r="G12">
        <v>7846546</v>
      </c>
      <c r="H12">
        <v>0</v>
      </c>
    </row>
    <row r="13" spans="1:9" x14ac:dyDescent="0.25">
      <c r="A13" t="s">
        <v>125</v>
      </c>
      <c r="B13" t="s">
        <v>166</v>
      </c>
      <c r="C13" t="s">
        <v>50</v>
      </c>
      <c r="D13">
        <v>49256</v>
      </c>
      <c r="E13">
        <v>0</v>
      </c>
      <c r="F13" t="s">
        <v>220</v>
      </c>
      <c r="G13">
        <v>7815602</v>
      </c>
      <c r="H13">
        <v>0</v>
      </c>
    </row>
    <row r="14" spans="1:9" x14ac:dyDescent="0.25">
      <c r="A14" t="s">
        <v>127</v>
      </c>
      <c r="B14" t="s">
        <v>163</v>
      </c>
      <c r="C14" t="s">
        <v>45</v>
      </c>
      <c r="D14">
        <v>200836</v>
      </c>
      <c r="E14">
        <v>0</v>
      </c>
      <c r="F14" t="s">
        <v>220</v>
      </c>
      <c r="G14">
        <v>7814551</v>
      </c>
      <c r="H14">
        <v>0</v>
      </c>
    </row>
    <row r="15" spans="1:9" x14ac:dyDescent="0.25">
      <c r="A15" t="s">
        <v>125</v>
      </c>
      <c r="B15" t="s">
        <v>47</v>
      </c>
      <c r="C15" t="s">
        <v>34</v>
      </c>
      <c r="D15">
        <v>47163</v>
      </c>
      <c r="E15">
        <v>0</v>
      </c>
      <c r="F15" t="s">
        <v>220</v>
      </c>
      <c r="G15">
        <v>7666607</v>
      </c>
      <c r="H15">
        <v>0</v>
      </c>
    </row>
    <row r="16" spans="1:9" x14ac:dyDescent="0.25">
      <c r="A16" t="s">
        <v>126</v>
      </c>
      <c r="B16" t="s">
        <v>167</v>
      </c>
      <c r="C16" t="s">
        <v>50</v>
      </c>
      <c r="D16">
        <v>11864</v>
      </c>
      <c r="E16">
        <v>0</v>
      </c>
      <c r="F16" t="s">
        <v>220</v>
      </c>
      <c r="G16">
        <v>7341981</v>
      </c>
      <c r="H16">
        <v>0</v>
      </c>
    </row>
    <row r="17" spans="1:9" x14ac:dyDescent="0.25">
      <c r="A17" t="s">
        <v>126</v>
      </c>
      <c r="B17" t="s">
        <v>54</v>
      </c>
      <c r="C17" t="s">
        <v>34</v>
      </c>
      <c r="D17">
        <v>9465</v>
      </c>
      <c r="E17">
        <v>0</v>
      </c>
      <c r="F17" t="s">
        <v>220</v>
      </c>
      <c r="G17">
        <v>6898102</v>
      </c>
      <c r="H17">
        <v>0</v>
      </c>
    </row>
    <row r="18" spans="1:9" x14ac:dyDescent="0.25">
      <c r="A18" t="s">
        <v>126</v>
      </c>
      <c r="B18" t="s">
        <v>168</v>
      </c>
      <c r="C18" t="s">
        <v>53</v>
      </c>
      <c r="D18">
        <v>11589</v>
      </c>
      <c r="E18">
        <v>0</v>
      </c>
      <c r="F18" t="s">
        <v>220</v>
      </c>
      <c r="G18">
        <v>6803815</v>
      </c>
      <c r="H18">
        <v>0</v>
      </c>
    </row>
    <row r="19" spans="1:9" x14ac:dyDescent="0.25">
      <c r="A19" t="s">
        <v>127</v>
      </c>
      <c r="B19" t="s">
        <v>169</v>
      </c>
      <c r="C19" t="s">
        <v>45</v>
      </c>
      <c r="D19">
        <v>128952</v>
      </c>
      <c r="E19">
        <v>0</v>
      </c>
      <c r="F19" t="s">
        <v>220</v>
      </c>
      <c r="G19">
        <v>6703476</v>
      </c>
      <c r="H19">
        <v>0</v>
      </c>
    </row>
    <row r="20" spans="1:9" x14ac:dyDescent="0.25">
      <c r="A20" t="s">
        <v>127</v>
      </c>
      <c r="B20" t="s">
        <v>169</v>
      </c>
      <c r="C20" t="s">
        <v>45</v>
      </c>
      <c r="D20">
        <v>51120</v>
      </c>
      <c r="E20">
        <v>0</v>
      </c>
      <c r="F20" t="s">
        <v>220</v>
      </c>
      <c r="G20">
        <v>6455888</v>
      </c>
      <c r="H20">
        <v>0</v>
      </c>
    </row>
    <row r="21" spans="1:9" x14ac:dyDescent="0.25">
      <c r="A21" t="s">
        <v>127</v>
      </c>
      <c r="B21" t="s">
        <v>165</v>
      </c>
      <c r="C21" t="s">
        <v>48</v>
      </c>
      <c r="D21">
        <v>52839</v>
      </c>
      <c r="E21">
        <v>0</v>
      </c>
      <c r="F21" t="s">
        <v>220</v>
      </c>
      <c r="G21">
        <v>6393121</v>
      </c>
      <c r="H21">
        <v>0</v>
      </c>
    </row>
    <row r="22" spans="1:9" x14ac:dyDescent="0.25">
      <c r="A22" t="s">
        <v>125</v>
      </c>
      <c r="B22" t="s">
        <v>52</v>
      </c>
      <c r="C22" t="s">
        <v>34</v>
      </c>
      <c r="D22">
        <v>40299</v>
      </c>
      <c r="E22">
        <v>0</v>
      </c>
      <c r="F22" t="s">
        <v>220</v>
      </c>
      <c r="G22">
        <v>6282725</v>
      </c>
      <c r="H22">
        <v>0</v>
      </c>
    </row>
    <row r="23" spans="1:9" x14ac:dyDescent="0.25">
      <c r="A23" t="s">
        <v>126</v>
      </c>
      <c r="B23" t="s">
        <v>166</v>
      </c>
      <c r="C23" t="s">
        <v>50</v>
      </c>
      <c r="D23">
        <v>14530</v>
      </c>
      <c r="E23">
        <v>0</v>
      </c>
      <c r="F23" t="s">
        <v>220</v>
      </c>
      <c r="G23">
        <v>6083765</v>
      </c>
      <c r="H23">
        <v>0</v>
      </c>
    </row>
    <row r="24" spans="1:9" x14ac:dyDescent="0.25">
      <c r="A24" t="s">
        <v>126</v>
      </c>
      <c r="B24" t="s">
        <v>165</v>
      </c>
      <c r="C24" t="s">
        <v>48</v>
      </c>
      <c r="D24">
        <v>7422</v>
      </c>
      <c r="E24">
        <v>0</v>
      </c>
      <c r="F24" t="s">
        <v>220</v>
      </c>
      <c r="G24">
        <v>6078436</v>
      </c>
      <c r="H24">
        <v>0</v>
      </c>
    </row>
    <row r="25" spans="1:9" x14ac:dyDescent="0.25">
      <c r="A25" t="s">
        <v>132</v>
      </c>
      <c r="B25" t="s">
        <v>166</v>
      </c>
      <c r="C25" t="s">
        <v>50</v>
      </c>
      <c r="D25">
        <v>3320</v>
      </c>
      <c r="E25">
        <v>0</v>
      </c>
      <c r="F25" t="s">
        <v>43</v>
      </c>
      <c r="G25">
        <v>6047005</v>
      </c>
      <c r="H25">
        <v>0</v>
      </c>
    </row>
    <row r="26" spans="1:9" x14ac:dyDescent="0.25">
      <c r="A26" t="s">
        <v>126</v>
      </c>
      <c r="B26" t="s">
        <v>161</v>
      </c>
      <c r="C26" t="s">
        <v>45</v>
      </c>
      <c r="D26">
        <v>9910</v>
      </c>
      <c r="E26">
        <v>0</v>
      </c>
      <c r="F26" t="s">
        <v>220</v>
      </c>
      <c r="G26">
        <v>6040792</v>
      </c>
      <c r="H26">
        <v>0</v>
      </c>
    </row>
    <row r="27" spans="1:9" x14ac:dyDescent="0.25">
      <c r="A27" t="s">
        <v>125</v>
      </c>
      <c r="B27" t="s">
        <v>167</v>
      </c>
      <c r="C27" t="s">
        <v>50</v>
      </c>
      <c r="D27">
        <v>36977</v>
      </c>
      <c r="E27">
        <v>0</v>
      </c>
      <c r="F27" t="s">
        <v>220</v>
      </c>
      <c r="G27">
        <v>5960784</v>
      </c>
      <c r="H27">
        <v>0</v>
      </c>
    </row>
    <row r="28" spans="1:9" x14ac:dyDescent="0.25">
      <c r="A28" t="s">
        <v>126</v>
      </c>
      <c r="B28" t="s">
        <v>52</v>
      </c>
      <c r="C28" t="s">
        <v>34</v>
      </c>
      <c r="D28">
        <v>11827</v>
      </c>
      <c r="E28">
        <v>0</v>
      </c>
      <c r="F28" t="s">
        <v>220</v>
      </c>
      <c r="G28">
        <v>5605684</v>
      </c>
      <c r="H28">
        <v>0</v>
      </c>
    </row>
    <row r="29" spans="1:9" x14ac:dyDescent="0.25">
      <c r="A29" t="s">
        <v>126</v>
      </c>
      <c r="B29" t="s">
        <v>49</v>
      </c>
      <c r="C29" t="s">
        <v>34</v>
      </c>
      <c r="D29">
        <v>9810</v>
      </c>
      <c r="E29">
        <v>0</v>
      </c>
      <c r="F29" t="s">
        <v>220</v>
      </c>
      <c r="G29">
        <v>5241729</v>
      </c>
      <c r="H29">
        <v>0</v>
      </c>
    </row>
    <row r="30" spans="1:9" x14ac:dyDescent="0.25">
      <c r="A30" t="s">
        <v>125</v>
      </c>
      <c r="B30" t="s">
        <v>170</v>
      </c>
      <c r="C30" t="s">
        <v>61</v>
      </c>
      <c r="D30">
        <v>44723</v>
      </c>
      <c r="E30">
        <v>0</v>
      </c>
      <c r="F30" t="s">
        <v>220</v>
      </c>
      <c r="G30">
        <v>5096873</v>
      </c>
      <c r="H30">
        <v>0</v>
      </c>
    </row>
    <row r="31" spans="1:9" x14ac:dyDescent="0.25">
      <c r="A31" t="s">
        <v>125</v>
      </c>
      <c r="B31" t="s">
        <v>66</v>
      </c>
      <c r="C31" t="s">
        <v>34</v>
      </c>
      <c r="D31">
        <v>36124</v>
      </c>
      <c r="E31">
        <v>0</v>
      </c>
      <c r="F31" t="s">
        <v>220</v>
      </c>
      <c r="G31">
        <v>5093218</v>
      </c>
      <c r="H31">
        <v>0</v>
      </c>
    </row>
    <row r="32" spans="1:9" x14ac:dyDescent="0.25">
      <c r="A32" t="s">
        <v>126</v>
      </c>
      <c r="B32" t="s">
        <v>171</v>
      </c>
      <c r="C32" t="s">
        <v>48</v>
      </c>
      <c r="D32">
        <v>7224</v>
      </c>
      <c r="E32">
        <v>0</v>
      </c>
      <c r="F32" t="s">
        <v>220</v>
      </c>
      <c r="G32">
        <v>5034572</v>
      </c>
      <c r="H32">
        <v>0</v>
      </c>
    </row>
    <row r="33" spans="1:9" x14ac:dyDescent="0.25">
      <c r="A33" t="s">
        <v>127</v>
      </c>
      <c r="B33" t="s">
        <v>163</v>
      </c>
      <c r="C33" t="s">
        <v>45</v>
      </c>
      <c r="D33">
        <v>168490</v>
      </c>
      <c r="E33">
        <v>0</v>
      </c>
      <c r="F33" t="s">
        <v>220</v>
      </c>
      <c r="G33">
        <v>4974051</v>
      </c>
      <c r="H33">
        <v>0</v>
      </c>
    </row>
    <row r="34" spans="1:9" x14ac:dyDescent="0.25">
      <c r="A34" t="s">
        <v>127</v>
      </c>
      <c r="B34" t="s">
        <v>54</v>
      </c>
      <c r="C34" t="s">
        <v>34</v>
      </c>
      <c r="D34">
        <v>152741</v>
      </c>
      <c r="E34">
        <v>0</v>
      </c>
      <c r="F34" t="s">
        <v>220</v>
      </c>
      <c r="G34">
        <v>4900905</v>
      </c>
      <c r="H34">
        <v>0</v>
      </c>
    </row>
    <row r="35" spans="1:9" x14ac:dyDescent="0.25">
      <c r="A35" t="s">
        <v>127</v>
      </c>
      <c r="B35" t="s">
        <v>52</v>
      </c>
      <c r="C35" t="s">
        <v>34</v>
      </c>
      <c r="D35">
        <v>860950</v>
      </c>
      <c r="E35">
        <v>0</v>
      </c>
      <c r="F35" t="s">
        <v>221</v>
      </c>
      <c r="G35">
        <v>4812981</v>
      </c>
      <c r="H35">
        <v>0</v>
      </c>
    </row>
    <row r="36" spans="1:9" x14ac:dyDescent="0.25">
      <c r="A36" t="s">
        <v>132</v>
      </c>
      <c r="B36" t="s">
        <v>164</v>
      </c>
      <c r="C36" t="s">
        <v>55</v>
      </c>
      <c r="D36">
        <v>2939</v>
      </c>
      <c r="E36">
        <v>0</v>
      </c>
      <c r="F36" t="s">
        <v>220</v>
      </c>
      <c r="G36">
        <v>4719097</v>
      </c>
      <c r="H36">
        <v>0</v>
      </c>
    </row>
    <row r="37" spans="1:9" x14ac:dyDescent="0.25">
      <c r="A37" t="s">
        <v>127</v>
      </c>
      <c r="B37" t="s">
        <v>52</v>
      </c>
      <c r="C37" t="s">
        <v>34</v>
      </c>
      <c r="D37">
        <v>143069</v>
      </c>
      <c r="E37">
        <v>0</v>
      </c>
      <c r="F37" t="s">
        <v>220</v>
      </c>
      <c r="G37">
        <v>4665989</v>
      </c>
      <c r="H37">
        <v>0</v>
      </c>
    </row>
    <row r="38" spans="1:9" x14ac:dyDescent="0.25">
      <c r="A38" t="s">
        <v>127</v>
      </c>
      <c r="B38" t="s">
        <v>161</v>
      </c>
      <c r="C38" t="s">
        <v>45</v>
      </c>
      <c r="D38">
        <v>86383</v>
      </c>
      <c r="E38">
        <v>0</v>
      </c>
      <c r="F38" t="s">
        <v>220</v>
      </c>
      <c r="G38">
        <v>4616469</v>
      </c>
      <c r="H38">
        <v>0</v>
      </c>
    </row>
    <row r="39" spans="1:9" x14ac:dyDescent="0.25">
      <c r="A39" t="s">
        <v>127</v>
      </c>
      <c r="B39" t="s">
        <v>171</v>
      </c>
      <c r="C39" t="s">
        <v>48</v>
      </c>
      <c r="D39">
        <v>43322</v>
      </c>
      <c r="E39">
        <v>0</v>
      </c>
      <c r="F39" t="s">
        <v>220</v>
      </c>
      <c r="G39">
        <v>4613114</v>
      </c>
      <c r="H39">
        <v>0</v>
      </c>
    </row>
    <row r="40" spans="1:9" x14ac:dyDescent="0.25">
      <c r="A40" t="s">
        <v>125</v>
      </c>
      <c r="B40" t="s">
        <v>172</v>
      </c>
      <c r="C40" t="s">
        <v>50</v>
      </c>
      <c r="D40">
        <v>30924</v>
      </c>
      <c r="E40">
        <v>0</v>
      </c>
      <c r="F40" t="s">
        <v>220</v>
      </c>
      <c r="G40">
        <v>4591262</v>
      </c>
      <c r="H40">
        <v>0</v>
      </c>
    </row>
    <row r="41" spans="1:9" x14ac:dyDescent="0.25">
      <c r="A41" t="s">
        <v>127</v>
      </c>
      <c r="B41" t="s">
        <v>57</v>
      </c>
      <c r="C41" t="s">
        <v>34</v>
      </c>
      <c r="D41">
        <v>117956</v>
      </c>
      <c r="E41">
        <v>0</v>
      </c>
      <c r="F41" t="s">
        <v>220</v>
      </c>
      <c r="G41">
        <v>4424298</v>
      </c>
      <c r="H41">
        <v>0</v>
      </c>
    </row>
    <row r="42" spans="1:9" x14ac:dyDescent="0.25">
      <c r="A42" t="s">
        <v>127</v>
      </c>
      <c r="B42" t="s">
        <v>165</v>
      </c>
      <c r="C42" t="s">
        <v>48</v>
      </c>
      <c r="D42">
        <v>93830</v>
      </c>
      <c r="E42">
        <v>0</v>
      </c>
      <c r="F42" t="s">
        <v>220</v>
      </c>
      <c r="G42">
        <v>4389939</v>
      </c>
      <c r="H42">
        <v>0</v>
      </c>
    </row>
    <row r="43" spans="1:9" x14ac:dyDescent="0.25">
      <c r="A43" t="s">
        <v>125</v>
      </c>
      <c r="B43" t="s">
        <v>60</v>
      </c>
      <c r="C43" t="s">
        <v>34</v>
      </c>
      <c r="D43">
        <v>26664</v>
      </c>
      <c r="E43">
        <v>0</v>
      </c>
      <c r="F43" t="s">
        <v>220</v>
      </c>
      <c r="G43">
        <v>4379074</v>
      </c>
      <c r="H43">
        <v>0</v>
      </c>
    </row>
    <row r="44" spans="1:9" x14ac:dyDescent="0.25">
      <c r="A44" t="s">
        <v>127</v>
      </c>
      <c r="B44" t="s">
        <v>169</v>
      </c>
      <c r="C44" t="s">
        <v>45</v>
      </c>
      <c r="D44">
        <v>95224</v>
      </c>
      <c r="E44">
        <v>0</v>
      </c>
      <c r="F44" t="s">
        <v>220</v>
      </c>
      <c r="G44">
        <v>4365699</v>
      </c>
      <c r="H44">
        <v>0</v>
      </c>
    </row>
    <row r="45" spans="1:9" x14ac:dyDescent="0.25">
      <c r="A45" t="s">
        <v>125</v>
      </c>
      <c r="B45" t="s">
        <v>171</v>
      </c>
      <c r="C45" t="s">
        <v>48</v>
      </c>
      <c r="D45">
        <v>30267</v>
      </c>
      <c r="E45">
        <v>0</v>
      </c>
      <c r="F45" t="s">
        <v>220</v>
      </c>
      <c r="G45">
        <v>4243283</v>
      </c>
      <c r="H45">
        <v>0</v>
      </c>
    </row>
    <row r="46" spans="1:9" x14ac:dyDescent="0.25">
      <c r="A46" t="s">
        <v>127</v>
      </c>
      <c r="B46" t="s">
        <v>57</v>
      </c>
      <c r="C46" t="s">
        <v>34</v>
      </c>
      <c r="D46">
        <v>42186</v>
      </c>
      <c r="E46">
        <v>0</v>
      </c>
      <c r="F46" t="s">
        <v>220</v>
      </c>
      <c r="G46">
        <v>3915036</v>
      </c>
      <c r="H46">
        <v>0</v>
      </c>
    </row>
    <row r="47" spans="1:9" x14ac:dyDescent="0.25">
      <c r="A47" t="s">
        <v>127</v>
      </c>
      <c r="B47" t="s">
        <v>47</v>
      </c>
      <c r="C47" t="s">
        <v>34</v>
      </c>
      <c r="D47">
        <v>96107</v>
      </c>
      <c r="E47">
        <v>0</v>
      </c>
      <c r="F47" t="s">
        <v>220</v>
      </c>
      <c r="G47">
        <v>3839476</v>
      </c>
      <c r="H47">
        <v>0</v>
      </c>
    </row>
    <row r="48" spans="1:9" x14ac:dyDescent="0.25">
      <c r="A48" t="s">
        <v>127</v>
      </c>
      <c r="B48" t="s">
        <v>162</v>
      </c>
      <c r="C48" t="s">
        <v>58</v>
      </c>
      <c r="D48">
        <v>53280</v>
      </c>
      <c r="E48">
        <v>0</v>
      </c>
      <c r="F48" t="s">
        <v>220</v>
      </c>
      <c r="G48">
        <v>3812946</v>
      </c>
      <c r="H48">
        <v>0</v>
      </c>
    </row>
    <row r="49" spans="1:9" x14ac:dyDescent="0.25">
      <c r="A49" t="s">
        <v>131</v>
      </c>
      <c r="B49" t="s">
        <v>47</v>
      </c>
      <c r="C49" t="s">
        <v>34</v>
      </c>
      <c r="D49">
        <v>2964</v>
      </c>
      <c r="E49">
        <v>0</v>
      </c>
      <c r="F49" t="s">
        <v>220</v>
      </c>
      <c r="G49">
        <v>3781443</v>
      </c>
      <c r="H49">
        <v>0</v>
      </c>
    </row>
    <row r="50" spans="1:9" x14ac:dyDescent="0.25">
      <c r="A50" t="s">
        <v>125</v>
      </c>
      <c r="B50" t="s">
        <v>173</v>
      </c>
      <c r="C50" t="s">
        <v>61</v>
      </c>
      <c r="D50">
        <v>24518</v>
      </c>
      <c r="E50">
        <v>0</v>
      </c>
      <c r="F50" t="s">
        <v>220</v>
      </c>
      <c r="G50">
        <v>3537202</v>
      </c>
      <c r="H50">
        <v>0</v>
      </c>
    </row>
    <row r="51" spans="1:9" x14ac:dyDescent="0.25">
      <c r="A51" t="s">
        <v>127</v>
      </c>
      <c r="B51" t="s">
        <v>49</v>
      </c>
      <c r="C51" t="s">
        <v>34</v>
      </c>
      <c r="D51">
        <v>37227</v>
      </c>
      <c r="E51">
        <v>0</v>
      </c>
      <c r="F51" t="s">
        <v>220</v>
      </c>
      <c r="G51">
        <v>3413847</v>
      </c>
      <c r="H51">
        <v>0</v>
      </c>
    </row>
    <row r="52" spans="1:9" x14ac:dyDescent="0.25">
      <c r="A52" t="s">
        <v>126</v>
      </c>
      <c r="B52" t="s">
        <v>169</v>
      </c>
      <c r="C52" t="s">
        <v>45</v>
      </c>
      <c r="D52">
        <v>7838</v>
      </c>
      <c r="E52">
        <v>0</v>
      </c>
      <c r="F52" t="s">
        <v>220</v>
      </c>
      <c r="G52">
        <v>3369321</v>
      </c>
      <c r="H52">
        <v>0</v>
      </c>
    </row>
    <row r="53" spans="1:9" x14ac:dyDescent="0.25">
      <c r="A53" t="s">
        <v>131</v>
      </c>
      <c r="B53" t="s">
        <v>164</v>
      </c>
      <c r="C53" t="s">
        <v>55</v>
      </c>
      <c r="D53">
        <v>3679</v>
      </c>
      <c r="E53">
        <v>0</v>
      </c>
      <c r="F53" t="s">
        <v>220</v>
      </c>
      <c r="G53">
        <v>3366883</v>
      </c>
      <c r="H53">
        <v>0</v>
      </c>
    </row>
    <row r="54" spans="1:9" x14ac:dyDescent="0.25">
      <c r="A54" t="s">
        <v>125</v>
      </c>
      <c r="B54" t="s">
        <v>165</v>
      </c>
      <c r="C54" t="s">
        <v>48</v>
      </c>
      <c r="D54">
        <v>25119</v>
      </c>
      <c r="E54">
        <v>0</v>
      </c>
      <c r="F54" t="s">
        <v>220</v>
      </c>
      <c r="G54">
        <v>3286545</v>
      </c>
      <c r="H54">
        <v>0</v>
      </c>
    </row>
    <row r="55" spans="1:9" x14ac:dyDescent="0.25">
      <c r="A55" t="s">
        <v>126</v>
      </c>
      <c r="B55" t="s">
        <v>62</v>
      </c>
      <c r="C55" t="s">
        <v>34</v>
      </c>
      <c r="D55">
        <v>6475</v>
      </c>
      <c r="E55">
        <v>0</v>
      </c>
      <c r="F55" t="s">
        <v>220</v>
      </c>
      <c r="G55">
        <v>3236224</v>
      </c>
      <c r="H55">
        <v>0</v>
      </c>
    </row>
    <row r="56" spans="1:9" x14ac:dyDescent="0.25">
      <c r="A56" t="s">
        <v>127</v>
      </c>
      <c r="B56" t="s">
        <v>52</v>
      </c>
      <c r="C56" t="s">
        <v>34</v>
      </c>
      <c r="D56">
        <v>41494</v>
      </c>
      <c r="E56">
        <v>0</v>
      </c>
      <c r="F56" t="s">
        <v>220</v>
      </c>
      <c r="G56">
        <v>3164147</v>
      </c>
      <c r="H56">
        <v>0</v>
      </c>
    </row>
    <row r="57" spans="1:9" x14ac:dyDescent="0.25">
      <c r="A57" t="s">
        <v>125</v>
      </c>
      <c r="B57" t="s">
        <v>71</v>
      </c>
      <c r="C57" t="s">
        <v>34</v>
      </c>
      <c r="D57">
        <v>25220</v>
      </c>
      <c r="E57">
        <v>0</v>
      </c>
      <c r="F57" t="s">
        <v>220</v>
      </c>
      <c r="G57">
        <v>3158029</v>
      </c>
      <c r="H57">
        <v>0</v>
      </c>
    </row>
    <row r="58" spans="1:9" x14ac:dyDescent="0.25">
      <c r="A58" t="s">
        <v>125</v>
      </c>
      <c r="B58" t="s">
        <v>168</v>
      </c>
      <c r="C58" t="s">
        <v>53</v>
      </c>
      <c r="D58">
        <v>23238</v>
      </c>
      <c r="E58">
        <v>0</v>
      </c>
      <c r="F58" t="s">
        <v>220</v>
      </c>
      <c r="G58">
        <v>3101834</v>
      </c>
      <c r="H58">
        <v>0</v>
      </c>
    </row>
    <row r="59" spans="1:9" x14ac:dyDescent="0.25">
      <c r="A59" t="s">
        <v>127</v>
      </c>
      <c r="B59" t="s">
        <v>52</v>
      </c>
      <c r="C59" t="s">
        <v>34</v>
      </c>
      <c r="D59">
        <v>63938</v>
      </c>
      <c r="E59">
        <v>0</v>
      </c>
      <c r="F59" t="s">
        <v>220</v>
      </c>
      <c r="G59">
        <v>3003906</v>
      </c>
      <c r="H59">
        <v>0</v>
      </c>
    </row>
    <row r="60" spans="1:9" x14ac:dyDescent="0.25">
      <c r="A60" t="s">
        <v>126</v>
      </c>
      <c r="B60" t="s">
        <v>60</v>
      </c>
      <c r="C60" t="s">
        <v>34</v>
      </c>
      <c r="D60">
        <v>4453</v>
      </c>
      <c r="E60">
        <v>0</v>
      </c>
      <c r="F60" t="s">
        <v>220</v>
      </c>
      <c r="G60">
        <v>2993958</v>
      </c>
      <c r="H60">
        <v>0</v>
      </c>
    </row>
    <row r="61" spans="1:9" x14ac:dyDescent="0.25">
      <c r="A61" t="s">
        <v>127</v>
      </c>
      <c r="B61" t="s">
        <v>170</v>
      </c>
      <c r="C61" t="s">
        <v>61</v>
      </c>
      <c r="D61">
        <v>85556</v>
      </c>
      <c r="E61">
        <v>0</v>
      </c>
      <c r="F61" t="s">
        <v>220</v>
      </c>
      <c r="G61">
        <v>2972876</v>
      </c>
      <c r="H61">
        <v>0</v>
      </c>
    </row>
    <row r="62" spans="1:9" x14ac:dyDescent="0.25">
      <c r="A62" t="s">
        <v>127</v>
      </c>
      <c r="B62" t="s">
        <v>49</v>
      </c>
      <c r="C62" t="s">
        <v>34</v>
      </c>
      <c r="D62">
        <v>78827</v>
      </c>
      <c r="E62">
        <v>0</v>
      </c>
      <c r="F62" t="s">
        <v>220</v>
      </c>
      <c r="G62">
        <v>2886704</v>
      </c>
      <c r="H62">
        <v>0</v>
      </c>
    </row>
    <row r="63" spans="1:9" x14ac:dyDescent="0.25">
      <c r="A63" t="s">
        <v>127</v>
      </c>
      <c r="B63" t="s">
        <v>47</v>
      </c>
      <c r="C63" t="s">
        <v>34</v>
      </c>
      <c r="D63">
        <v>32378</v>
      </c>
      <c r="E63">
        <v>0</v>
      </c>
      <c r="F63" t="s">
        <v>220</v>
      </c>
      <c r="G63">
        <v>2866810</v>
      </c>
      <c r="H63">
        <v>0</v>
      </c>
    </row>
    <row r="64" spans="1:9" x14ac:dyDescent="0.25">
      <c r="A64" t="s">
        <v>127</v>
      </c>
      <c r="B64" t="s">
        <v>54</v>
      </c>
      <c r="C64" t="s">
        <v>34</v>
      </c>
      <c r="D64">
        <v>546250</v>
      </c>
      <c r="E64">
        <v>0</v>
      </c>
      <c r="F64" t="s">
        <v>221</v>
      </c>
      <c r="G64">
        <v>2823269</v>
      </c>
      <c r="H64">
        <v>0</v>
      </c>
    </row>
    <row r="65" spans="1:9" x14ac:dyDescent="0.25">
      <c r="A65" t="s">
        <v>127</v>
      </c>
      <c r="B65" t="s">
        <v>60</v>
      </c>
      <c r="C65" t="s">
        <v>34</v>
      </c>
      <c r="D65">
        <v>28714</v>
      </c>
      <c r="E65">
        <v>0</v>
      </c>
      <c r="F65" t="s">
        <v>220</v>
      </c>
      <c r="G65">
        <v>2813984</v>
      </c>
      <c r="H65">
        <v>0</v>
      </c>
    </row>
    <row r="66" spans="1:9" x14ac:dyDescent="0.25">
      <c r="A66" t="s">
        <v>131</v>
      </c>
      <c r="B66" t="s">
        <v>49</v>
      </c>
      <c r="C66" t="s">
        <v>34</v>
      </c>
      <c r="D66">
        <v>2626</v>
      </c>
      <c r="E66">
        <v>0</v>
      </c>
      <c r="F66" t="s">
        <v>220</v>
      </c>
      <c r="G66">
        <v>2770211</v>
      </c>
      <c r="H66">
        <v>0</v>
      </c>
    </row>
    <row r="67" spans="1:9" x14ac:dyDescent="0.25">
      <c r="A67" t="s">
        <v>127</v>
      </c>
      <c r="B67" t="s">
        <v>54</v>
      </c>
      <c r="C67" t="s">
        <v>34</v>
      </c>
      <c r="D67">
        <v>35165</v>
      </c>
      <c r="E67">
        <v>0</v>
      </c>
      <c r="F67" t="s">
        <v>220</v>
      </c>
      <c r="G67">
        <v>2766183</v>
      </c>
      <c r="H67">
        <v>0</v>
      </c>
    </row>
    <row r="68" spans="1:9" x14ac:dyDescent="0.25">
      <c r="A68" t="s">
        <v>125</v>
      </c>
      <c r="B68" t="s">
        <v>54</v>
      </c>
      <c r="C68" t="s">
        <v>34</v>
      </c>
      <c r="D68">
        <v>18794</v>
      </c>
      <c r="E68">
        <v>0</v>
      </c>
      <c r="F68" t="s">
        <v>220</v>
      </c>
      <c r="G68">
        <v>2738145</v>
      </c>
      <c r="H68">
        <v>0</v>
      </c>
    </row>
    <row r="69" spans="1:9" x14ac:dyDescent="0.25">
      <c r="A69" t="s">
        <v>127</v>
      </c>
      <c r="B69" t="s">
        <v>171</v>
      </c>
      <c r="C69" t="s">
        <v>48</v>
      </c>
      <c r="D69">
        <v>54442</v>
      </c>
      <c r="E69">
        <v>0</v>
      </c>
      <c r="F69" t="s">
        <v>220</v>
      </c>
      <c r="G69">
        <v>2717951</v>
      </c>
      <c r="H69">
        <v>0</v>
      </c>
    </row>
    <row r="70" spans="1:9" x14ac:dyDescent="0.25">
      <c r="A70" t="s">
        <v>127</v>
      </c>
      <c r="B70" t="s">
        <v>54</v>
      </c>
      <c r="C70" t="s">
        <v>34</v>
      </c>
      <c r="D70">
        <v>58285</v>
      </c>
      <c r="E70">
        <v>0</v>
      </c>
      <c r="F70" t="s">
        <v>220</v>
      </c>
      <c r="G70">
        <v>2621822</v>
      </c>
      <c r="H70">
        <v>0</v>
      </c>
    </row>
    <row r="71" spans="1:9" x14ac:dyDescent="0.25">
      <c r="A71" t="s">
        <v>127</v>
      </c>
      <c r="B71" t="s">
        <v>174</v>
      </c>
      <c r="C71" t="s">
        <v>45</v>
      </c>
      <c r="D71">
        <v>40440</v>
      </c>
      <c r="E71">
        <v>0</v>
      </c>
      <c r="F71" t="s">
        <v>220</v>
      </c>
      <c r="G71">
        <v>2617407</v>
      </c>
      <c r="H71">
        <v>0</v>
      </c>
    </row>
    <row r="72" spans="1:9" x14ac:dyDescent="0.25">
      <c r="A72" t="s">
        <v>125</v>
      </c>
      <c r="B72" t="s">
        <v>57</v>
      </c>
      <c r="C72" t="s">
        <v>34</v>
      </c>
      <c r="D72">
        <v>5150</v>
      </c>
      <c r="E72">
        <v>0</v>
      </c>
      <c r="F72" t="s">
        <v>220</v>
      </c>
      <c r="G72">
        <v>2608653</v>
      </c>
      <c r="H72">
        <v>0</v>
      </c>
    </row>
    <row r="73" spans="1:9" x14ac:dyDescent="0.25">
      <c r="A73" t="s">
        <v>131</v>
      </c>
      <c r="B73" t="s">
        <v>167</v>
      </c>
      <c r="C73" t="s">
        <v>50</v>
      </c>
      <c r="D73">
        <v>2436</v>
      </c>
      <c r="E73">
        <v>0</v>
      </c>
      <c r="F73" t="s">
        <v>220</v>
      </c>
      <c r="G73">
        <v>2602305</v>
      </c>
      <c r="H73">
        <v>0</v>
      </c>
    </row>
    <row r="74" spans="1:9" x14ac:dyDescent="0.25">
      <c r="A74" t="s">
        <v>126</v>
      </c>
      <c r="B74" t="s">
        <v>162</v>
      </c>
      <c r="C74" t="s">
        <v>58</v>
      </c>
      <c r="D74">
        <v>4891</v>
      </c>
      <c r="E74">
        <v>0</v>
      </c>
      <c r="F74" t="s">
        <v>220</v>
      </c>
      <c r="G74">
        <v>2564510</v>
      </c>
      <c r="H74">
        <v>0</v>
      </c>
    </row>
    <row r="75" spans="1:9" x14ac:dyDescent="0.25">
      <c r="A75" t="s">
        <v>127</v>
      </c>
      <c r="B75" t="s">
        <v>169</v>
      </c>
      <c r="C75" t="s">
        <v>45</v>
      </c>
      <c r="D75">
        <v>422750</v>
      </c>
      <c r="E75">
        <v>0</v>
      </c>
      <c r="F75" t="s">
        <v>221</v>
      </c>
      <c r="G75">
        <v>2540213</v>
      </c>
      <c r="H75">
        <v>0</v>
      </c>
    </row>
    <row r="76" spans="1:9" x14ac:dyDescent="0.25">
      <c r="A76" t="s">
        <v>127</v>
      </c>
      <c r="B76" t="s">
        <v>175</v>
      </c>
      <c r="C76" t="s">
        <v>48</v>
      </c>
      <c r="D76">
        <v>56654</v>
      </c>
      <c r="E76">
        <v>0</v>
      </c>
      <c r="F76" t="s">
        <v>220</v>
      </c>
      <c r="G76">
        <v>2533416</v>
      </c>
      <c r="H76">
        <v>0</v>
      </c>
    </row>
    <row r="77" spans="1:9" x14ac:dyDescent="0.25">
      <c r="A77" t="s">
        <v>131</v>
      </c>
      <c r="B77" t="s">
        <v>166</v>
      </c>
      <c r="C77" t="s">
        <v>50</v>
      </c>
      <c r="D77">
        <v>2114</v>
      </c>
      <c r="E77">
        <v>0</v>
      </c>
      <c r="F77" t="s">
        <v>220</v>
      </c>
      <c r="G77">
        <v>2504144</v>
      </c>
      <c r="H77">
        <v>0</v>
      </c>
    </row>
    <row r="78" spans="1:9" x14ac:dyDescent="0.25">
      <c r="A78" t="s">
        <v>125</v>
      </c>
      <c r="B78" t="s">
        <v>44</v>
      </c>
      <c r="C78" t="s">
        <v>34</v>
      </c>
      <c r="D78">
        <v>44800</v>
      </c>
      <c r="E78">
        <v>0</v>
      </c>
      <c r="F78" t="s">
        <v>220</v>
      </c>
      <c r="G78">
        <v>2494304</v>
      </c>
      <c r="H78">
        <v>0</v>
      </c>
    </row>
    <row r="79" spans="1:9" x14ac:dyDescent="0.25">
      <c r="A79" t="s">
        <v>127</v>
      </c>
      <c r="B79" t="s">
        <v>60</v>
      </c>
      <c r="C79" t="s">
        <v>34</v>
      </c>
      <c r="D79">
        <v>453550</v>
      </c>
      <c r="E79">
        <v>0</v>
      </c>
      <c r="F79" t="s">
        <v>221</v>
      </c>
      <c r="G79">
        <v>2482851</v>
      </c>
      <c r="H79">
        <v>0</v>
      </c>
    </row>
    <row r="80" spans="1:9" x14ac:dyDescent="0.25">
      <c r="A80" t="s">
        <v>126</v>
      </c>
      <c r="B80" t="s">
        <v>176</v>
      </c>
      <c r="C80" t="s">
        <v>53</v>
      </c>
      <c r="D80">
        <v>2616</v>
      </c>
      <c r="E80">
        <v>0</v>
      </c>
      <c r="F80" t="s">
        <v>220</v>
      </c>
      <c r="G80">
        <v>2476994</v>
      </c>
      <c r="H80">
        <v>0</v>
      </c>
    </row>
    <row r="81" spans="1:9" x14ac:dyDescent="0.25">
      <c r="A81" t="s">
        <v>125</v>
      </c>
      <c r="B81" t="s">
        <v>177</v>
      </c>
      <c r="C81" t="s">
        <v>48</v>
      </c>
      <c r="D81">
        <v>19628</v>
      </c>
      <c r="E81">
        <v>0</v>
      </c>
      <c r="F81" t="s">
        <v>220</v>
      </c>
      <c r="G81">
        <v>2476379</v>
      </c>
      <c r="H81">
        <v>0</v>
      </c>
    </row>
    <row r="82" spans="1:9" x14ac:dyDescent="0.25">
      <c r="A82" t="s">
        <v>127</v>
      </c>
      <c r="B82" t="s">
        <v>168</v>
      </c>
      <c r="C82" t="s">
        <v>53</v>
      </c>
      <c r="D82">
        <v>25278</v>
      </c>
      <c r="E82">
        <v>0</v>
      </c>
      <c r="F82" t="s">
        <v>220</v>
      </c>
      <c r="G82">
        <v>2470859</v>
      </c>
      <c r="H82">
        <v>0</v>
      </c>
    </row>
    <row r="83" spans="1:9" x14ac:dyDescent="0.25">
      <c r="A83" t="s">
        <v>131</v>
      </c>
      <c r="B83" t="s">
        <v>169</v>
      </c>
      <c r="C83" t="s">
        <v>45</v>
      </c>
      <c r="D83">
        <v>1786</v>
      </c>
      <c r="E83">
        <v>0</v>
      </c>
      <c r="F83" t="s">
        <v>220</v>
      </c>
      <c r="G83">
        <v>2443685</v>
      </c>
      <c r="H83">
        <v>0</v>
      </c>
    </row>
    <row r="84" spans="1:9" x14ac:dyDescent="0.25">
      <c r="A84" t="s">
        <v>131</v>
      </c>
      <c r="B84" t="s">
        <v>162</v>
      </c>
      <c r="C84" t="s">
        <v>58</v>
      </c>
      <c r="D84">
        <v>1232</v>
      </c>
      <c r="E84">
        <v>0</v>
      </c>
      <c r="F84" t="s">
        <v>220</v>
      </c>
      <c r="G84">
        <v>2440653</v>
      </c>
      <c r="H84">
        <v>0</v>
      </c>
    </row>
    <row r="85" spans="1:9" x14ac:dyDescent="0.25">
      <c r="A85" t="s">
        <v>126</v>
      </c>
      <c r="B85" t="s">
        <v>168</v>
      </c>
      <c r="C85" t="s">
        <v>53</v>
      </c>
      <c r="D85">
        <v>7080</v>
      </c>
      <c r="E85">
        <v>0</v>
      </c>
      <c r="F85" t="s">
        <v>220</v>
      </c>
      <c r="G85">
        <v>2436723</v>
      </c>
      <c r="H85">
        <v>0</v>
      </c>
    </row>
    <row r="86" spans="1:9" x14ac:dyDescent="0.25">
      <c r="A86" t="s">
        <v>125</v>
      </c>
      <c r="B86" t="s">
        <v>178</v>
      </c>
      <c r="C86" t="s">
        <v>58</v>
      </c>
      <c r="D86">
        <v>17257</v>
      </c>
      <c r="E86">
        <v>0</v>
      </c>
      <c r="F86" t="s">
        <v>220</v>
      </c>
      <c r="G86">
        <v>2435272</v>
      </c>
      <c r="H86">
        <v>0</v>
      </c>
    </row>
    <row r="87" spans="1:9" x14ac:dyDescent="0.25">
      <c r="A87" t="s">
        <v>127</v>
      </c>
      <c r="B87" t="s">
        <v>168</v>
      </c>
      <c r="C87" t="s">
        <v>53</v>
      </c>
      <c r="D87">
        <v>74862</v>
      </c>
      <c r="E87">
        <v>0</v>
      </c>
      <c r="F87" t="s">
        <v>220</v>
      </c>
      <c r="G87">
        <v>2427904</v>
      </c>
      <c r="H87">
        <v>0</v>
      </c>
    </row>
    <row r="88" spans="1:9" x14ac:dyDescent="0.25">
      <c r="A88" t="s">
        <v>126</v>
      </c>
      <c r="B88" t="s">
        <v>47</v>
      </c>
      <c r="C88" t="s">
        <v>34</v>
      </c>
      <c r="D88">
        <v>4164</v>
      </c>
      <c r="E88">
        <v>0</v>
      </c>
      <c r="F88" t="s">
        <v>220</v>
      </c>
      <c r="G88">
        <v>2426031</v>
      </c>
      <c r="H88">
        <v>0</v>
      </c>
    </row>
    <row r="89" spans="1:9" x14ac:dyDescent="0.25">
      <c r="A89" t="s">
        <v>125</v>
      </c>
      <c r="B89" t="s">
        <v>67</v>
      </c>
      <c r="C89" t="s">
        <v>34</v>
      </c>
      <c r="D89">
        <v>20348</v>
      </c>
      <c r="E89">
        <v>0</v>
      </c>
      <c r="F89" t="s">
        <v>220</v>
      </c>
      <c r="G89">
        <v>2418189</v>
      </c>
      <c r="H89">
        <v>0</v>
      </c>
    </row>
    <row r="90" spans="1:9" x14ac:dyDescent="0.25">
      <c r="A90" t="s">
        <v>127</v>
      </c>
      <c r="B90" t="s">
        <v>64</v>
      </c>
      <c r="C90" t="s">
        <v>34</v>
      </c>
      <c r="D90">
        <v>36155</v>
      </c>
      <c r="E90">
        <v>0</v>
      </c>
      <c r="F90" t="s">
        <v>220</v>
      </c>
      <c r="G90">
        <v>2414296</v>
      </c>
      <c r="H90">
        <v>0</v>
      </c>
    </row>
    <row r="91" spans="1:9" x14ac:dyDescent="0.25">
      <c r="A91" t="s">
        <v>125</v>
      </c>
      <c r="B91" t="s">
        <v>69</v>
      </c>
      <c r="C91" t="s">
        <v>34</v>
      </c>
      <c r="D91">
        <v>14693</v>
      </c>
      <c r="E91">
        <v>0</v>
      </c>
      <c r="F91" t="s">
        <v>220</v>
      </c>
      <c r="G91">
        <v>2408380</v>
      </c>
      <c r="H91">
        <v>0</v>
      </c>
    </row>
    <row r="92" spans="1:9" x14ac:dyDescent="0.25">
      <c r="A92" t="s">
        <v>126</v>
      </c>
      <c r="B92" t="s">
        <v>179</v>
      </c>
      <c r="C92" t="s">
        <v>45</v>
      </c>
      <c r="D92">
        <v>3436</v>
      </c>
      <c r="E92">
        <v>0</v>
      </c>
      <c r="F92" t="s">
        <v>220</v>
      </c>
      <c r="G92">
        <v>2250468</v>
      </c>
      <c r="H92">
        <v>0</v>
      </c>
    </row>
    <row r="93" spans="1:9" x14ac:dyDescent="0.25">
      <c r="A93" t="s">
        <v>126</v>
      </c>
      <c r="B93" t="s">
        <v>180</v>
      </c>
      <c r="C93" t="s">
        <v>45</v>
      </c>
      <c r="D93">
        <v>3531</v>
      </c>
      <c r="E93">
        <v>0</v>
      </c>
      <c r="F93" t="s">
        <v>220</v>
      </c>
      <c r="G93">
        <v>2222567</v>
      </c>
      <c r="H93">
        <v>0</v>
      </c>
    </row>
    <row r="94" spans="1:9" x14ac:dyDescent="0.25">
      <c r="A94" t="s">
        <v>131</v>
      </c>
      <c r="B94" t="s">
        <v>168</v>
      </c>
      <c r="C94" t="s">
        <v>53</v>
      </c>
      <c r="D94">
        <v>1588</v>
      </c>
      <c r="E94">
        <v>0</v>
      </c>
      <c r="F94" t="s">
        <v>220</v>
      </c>
      <c r="G94">
        <v>2210966</v>
      </c>
      <c r="H94">
        <v>0</v>
      </c>
    </row>
    <row r="95" spans="1:9" x14ac:dyDescent="0.25">
      <c r="A95" t="s">
        <v>131</v>
      </c>
      <c r="B95" t="s">
        <v>161</v>
      </c>
      <c r="C95" t="s">
        <v>45</v>
      </c>
      <c r="D95">
        <v>2345</v>
      </c>
      <c r="E95">
        <v>0</v>
      </c>
      <c r="F95" t="s">
        <v>220</v>
      </c>
      <c r="G95">
        <v>2178274</v>
      </c>
      <c r="H95">
        <v>0</v>
      </c>
    </row>
    <row r="96" spans="1:9" x14ac:dyDescent="0.25">
      <c r="A96" t="s">
        <v>126</v>
      </c>
      <c r="B96" t="s">
        <v>172</v>
      </c>
      <c r="C96" t="s">
        <v>50</v>
      </c>
      <c r="D96">
        <v>3671</v>
      </c>
      <c r="E96">
        <v>0</v>
      </c>
      <c r="F96" t="s">
        <v>220</v>
      </c>
      <c r="G96">
        <v>2164721</v>
      </c>
      <c r="H96">
        <v>0</v>
      </c>
    </row>
    <row r="97" spans="1:9" x14ac:dyDescent="0.25">
      <c r="A97" t="s">
        <v>131</v>
      </c>
      <c r="B97" t="s">
        <v>165</v>
      </c>
      <c r="C97" t="s">
        <v>48</v>
      </c>
      <c r="D97">
        <v>2045</v>
      </c>
      <c r="E97">
        <v>0</v>
      </c>
      <c r="F97" t="s">
        <v>220</v>
      </c>
      <c r="G97">
        <v>2160164</v>
      </c>
      <c r="H97">
        <v>0</v>
      </c>
    </row>
    <row r="98" spans="1:9" x14ac:dyDescent="0.25">
      <c r="A98" t="s">
        <v>132</v>
      </c>
      <c r="B98" t="s">
        <v>167</v>
      </c>
      <c r="C98" t="s">
        <v>50</v>
      </c>
      <c r="D98">
        <v>1311</v>
      </c>
      <c r="E98">
        <v>0</v>
      </c>
      <c r="F98" t="s">
        <v>43</v>
      </c>
      <c r="G98">
        <v>2149420</v>
      </c>
      <c r="H98">
        <v>0</v>
      </c>
    </row>
    <row r="99" spans="1:9" x14ac:dyDescent="0.25">
      <c r="A99" t="s">
        <v>126</v>
      </c>
      <c r="B99" t="s">
        <v>181</v>
      </c>
      <c r="C99" t="s">
        <v>50</v>
      </c>
      <c r="D99">
        <v>6617</v>
      </c>
      <c r="E99">
        <v>0</v>
      </c>
      <c r="F99" t="s">
        <v>220</v>
      </c>
      <c r="G99">
        <v>2132823</v>
      </c>
      <c r="H99">
        <v>0</v>
      </c>
    </row>
    <row r="100" spans="1:9" x14ac:dyDescent="0.25">
      <c r="A100" t="s">
        <v>127</v>
      </c>
      <c r="B100" t="s">
        <v>182</v>
      </c>
      <c r="C100" t="s">
        <v>53</v>
      </c>
      <c r="D100">
        <v>11597</v>
      </c>
      <c r="E100">
        <v>0</v>
      </c>
      <c r="F100" t="s">
        <v>220</v>
      </c>
      <c r="G100">
        <v>2124152</v>
      </c>
      <c r="H100">
        <v>0</v>
      </c>
    </row>
    <row r="101" spans="1:9" x14ac:dyDescent="0.25">
      <c r="A101" t="s">
        <v>126</v>
      </c>
      <c r="B101" t="s">
        <v>183</v>
      </c>
      <c r="C101" t="s">
        <v>45</v>
      </c>
      <c r="D101">
        <v>4071</v>
      </c>
      <c r="E101">
        <v>0</v>
      </c>
      <c r="F101" t="s">
        <v>220</v>
      </c>
      <c r="G101">
        <v>2117180</v>
      </c>
      <c r="H101">
        <v>0</v>
      </c>
    </row>
    <row r="102" spans="1:9" x14ac:dyDescent="0.25">
      <c r="A102" t="s">
        <v>125</v>
      </c>
      <c r="B102" t="s">
        <v>57</v>
      </c>
      <c r="C102" t="s">
        <v>34</v>
      </c>
      <c r="D102">
        <v>24231</v>
      </c>
      <c r="E102">
        <v>0</v>
      </c>
      <c r="F102" t="s">
        <v>220</v>
      </c>
      <c r="G102">
        <v>2050919</v>
      </c>
      <c r="H102">
        <v>0</v>
      </c>
    </row>
    <row r="103" spans="1:9" x14ac:dyDescent="0.25">
      <c r="A103" t="s">
        <v>127</v>
      </c>
      <c r="B103" t="s">
        <v>168</v>
      </c>
      <c r="C103" t="s">
        <v>53</v>
      </c>
      <c r="D103">
        <v>25246</v>
      </c>
      <c r="E103">
        <v>0</v>
      </c>
      <c r="F103" t="s">
        <v>220</v>
      </c>
      <c r="G103">
        <v>2002885</v>
      </c>
      <c r="H103">
        <v>0</v>
      </c>
    </row>
    <row r="104" spans="1:9" x14ac:dyDescent="0.25">
      <c r="A104" t="s">
        <v>127</v>
      </c>
      <c r="B104" t="s">
        <v>60</v>
      </c>
      <c r="C104" t="s">
        <v>34</v>
      </c>
      <c r="D104">
        <v>60857</v>
      </c>
      <c r="E104">
        <v>0</v>
      </c>
      <c r="F104" t="s">
        <v>220</v>
      </c>
      <c r="G104">
        <v>1994984</v>
      </c>
      <c r="H104">
        <v>0</v>
      </c>
    </row>
    <row r="105" spans="1:9" x14ac:dyDescent="0.25">
      <c r="A105" t="s">
        <v>125</v>
      </c>
      <c r="B105" t="s">
        <v>169</v>
      </c>
      <c r="C105" t="s">
        <v>45</v>
      </c>
      <c r="D105">
        <v>13065</v>
      </c>
      <c r="E105">
        <v>0</v>
      </c>
      <c r="F105" t="s">
        <v>220</v>
      </c>
      <c r="G105">
        <v>1932288</v>
      </c>
      <c r="H105">
        <v>0</v>
      </c>
    </row>
    <row r="106" spans="1:9" x14ac:dyDescent="0.25">
      <c r="A106" t="s">
        <v>132</v>
      </c>
      <c r="B106" t="s">
        <v>172</v>
      </c>
      <c r="C106" t="s">
        <v>50</v>
      </c>
      <c r="D106">
        <v>1205</v>
      </c>
      <c r="E106">
        <v>0</v>
      </c>
      <c r="F106" t="s">
        <v>43</v>
      </c>
      <c r="G106">
        <v>1886828</v>
      </c>
      <c r="H106">
        <v>0</v>
      </c>
    </row>
    <row r="107" spans="1:9" x14ac:dyDescent="0.25">
      <c r="A107" t="s">
        <v>127</v>
      </c>
      <c r="B107" t="s">
        <v>167</v>
      </c>
      <c r="C107" t="s">
        <v>50</v>
      </c>
      <c r="D107">
        <v>39150</v>
      </c>
      <c r="E107">
        <v>0</v>
      </c>
      <c r="F107" t="s">
        <v>220</v>
      </c>
      <c r="G107">
        <v>1886160</v>
      </c>
      <c r="H107">
        <v>0</v>
      </c>
    </row>
    <row r="108" spans="1:9" x14ac:dyDescent="0.25">
      <c r="A108" t="s">
        <v>125</v>
      </c>
      <c r="B108" t="s">
        <v>66</v>
      </c>
      <c r="C108" t="s">
        <v>34</v>
      </c>
      <c r="D108">
        <v>3800</v>
      </c>
      <c r="E108">
        <v>0</v>
      </c>
      <c r="F108" t="s">
        <v>220</v>
      </c>
      <c r="G108">
        <v>1870501</v>
      </c>
      <c r="H108">
        <v>0</v>
      </c>
    </row>
    <row r="109" spans="1:9" x14ac:dyDescent="0.25">
      <c r="A109" t="s">
        <v>127</v>
      </c>
      <c r="B109" t="s">
        <v>175</v>
      </c>
      <c r="C109" t="s">
        <v>48</v>
      </c>
      <c r="D109">
        <v>18723</v>
      </c>
      <c r="E109">
        <v>0</v>
      </c>
      <c r="F109" t="s">
        <v>220</v>
      </c>
      <c r="G109">
        <v>1855597</v>
      </c>
      <c r="H109">
        <v>0</v>
      </c>
    </row>
    <row r="110" spans="1:9" x14ac:dyDescent="0.25">
      <c r="A110" t="s">
        <v>131</v>
      </c>
      <c r="B110" t="s">
        <v>171</v>
      </c>
      <c r="C110" t="s">
        <v>48</v>
      </c>
      <c r="D110">
        <v>1805</v>
      </c>
      <c r="E110">
        <v>0</v>
      </c>
      <c r="F110" t="s">
        <v>220</v>
      </c>
      <c r="G110">
        <v>1854376</v>
      </c>
      <c r="H110">
        <v>0</v>
      </c>
    </row>
    <row r="111" spans="1:9" x14ac:dyDescent="0.25">
      <c r="A111" t="s">
        <v>132</v>
      </c>
      <c r="B111" t="s">
        <v>184</v>
      </c>
      <c r="C111" t="s">
        <v>50</v>
      </c>
      <c r="D111">
        <v>977</v>
      </c>
      <c r="E111">
        <v>0</v>
      </c>
      <c r="F111" t="s">
        <v>43</v>
      </c>
      <c r="G111">
        <v>1835699</v>
      </c>
      <c r="H111">
        <v>0</v>
      </c>
    </row>
    <row r="112" spans="1:9" x14ac:dyDescent="0.25">
      <c r="A112" t="s">
        <v>125</v>
      </c>
      <c r="B112" t="s">
        <v>161</v>
      </c>
      <c r="C112" t="s">
        <v>45</v>
      </c>
      <c r="D112">
        <v>32300</v>
      </c>
      <c r="E112">
        <v>0</v>
      </c>
      <c r="F112" t="s">
        <v>220</v>
      </c>
      <c r="G112">
        <v>1828310</v>
      </c>
      <c r="H112">
        <v>0</v>
      </c>
    </row>
    <row r="113" spans="1:9" x14ac:dyDescent="0.25">
      <c r="A113" t="s">
        <v>127</v>
      </c>
      <c r="B113" t="s">
        <v>64</v>
      </c>
      <c r="C113" t="s">
        <v>34</v>
      </c>
      <c r="D113">
        <v>16466</v>
      </c>
      <c r="E113">
        <v>0</v>
      </c>
      <c r="F113" t="s">
        <v>220</v>
      </c>
      <c r="G113">
        <v>1796653</v>
      </c>
      <c r="H113">
        <v>0</v>
      </c>
    </row>
    <row r="114" spans="1:9" x14ac:dyDescent="0.25">
      <c r="A114" t="s">
        <v>127</v>
      </c>
      <c r="B114" t="s">
        <v>47</v>
      </c>
      <c r="C114" t="s">
        <v>34</v>
      </c>
      <c r="D114">
        <v>282750</v>
      </c>
      <c r="E114">
        <v>0</v>
      </c>
      <c r="F114" t="s">
        <v>221</v>
      </c>
      <c r="G114">
        <v>1768179</v>
      </c>
      <c r="H114">
        <v>0</v>
      </c>
    </row>
    <row r="115" spans="1:9" x14ac:dyDescent="0.25">
      <c r="A115" t="s">
        <v>126</v>
      </c>
      <c r="B115" t="s">
        <v>185</v>
      </c>
      <c r="C115" t="s">
        <v>45</v>
      </c>
      <c r="D115">
        <v>3000</v>
      </c>
      <c r="E115">
        <v>0</v>
      </c>
      <c r="F115" t="s">
        <v>220</v>
      </c>
      <c r="G115">
        <v>1719124</v>
      </c>
      <c r="H115">
        <v>0</v>
      </c>
    </row>
    <row r="116" spans="1:9" x14ac:dyDescent="0.25">
      <c r="A116" t="s">
        <v>127</v>
      </c>
      <c r="B116" t="s">
        <v>182</v>
      </c>
      <c r="C116" t="s">
        <v>53</v>
      </c>
      <c r="D116">
        <v>35570</v>
      </c>
      <c r="E116">
        <v>0</v>
      </c>
      <c r="F116" t="s">
        <v>220</v>
      </c>
      <c r="G116">
        <v>1718335</v>
      </c>
      <c r="H116">
        <v>0</v>
      </c>
    </row>
    <row r="117" spans="1:9" x14ac:dyDescent="0.25">
      <c r="A117" t="s">
        <v>126</v>
      </c>
      <c r="B117" t="s">
        <v>164</v>
      </c>
      <c r="C117" t="s">
        <v>55</v>
      </c>
      <c r="D117">
        <v>4813</v>
      </c>
      <c r="E117">
        <v>0</v>
      </c>
      <c r="F117" t="s">
        <v>220</v>
      </c>
      <c r="G117">
        <v>1715867</v>
      </c>
      <c r="H117">
        <v>0</v>
      </c>
    </row>
    <row r="118" spans="1:9" x14ac:dyDescent="0.25">
      <c r="A118" t="s">
        <v>126</v>
      </c>
      <c r="B118" t="s">
        <v>177</v>
      </c>
      <c r="C118" t="s">
        <v>48</v>
      </c>
      <c r="D118">
        <v>2477</v>
      </c>
      <c r="E118">
        <v>0</v>
      </c>
      <c r="F118" t="s">
        <v>220</v>
      </c>
      <c r="G118">
        <v>1711582</v>
      </c>
      <c r="H118">
        <v>0</v>
      </c>
    </row>
    <row r="119" spans="1:9" x14ac:dyDescent="0.25">
      <c r="A119" t="s">
        <v>132</v>
      </c>
      <c r="B119" t="s">
        <v>162</v>
      </c>
      <c r="C119" t="s">
        <v>58</v>
      </c>
      <c r="D119">
        <v>1023</v>
      </c>
      <c r="E119">
        <v>0</v>
      </c>
      <c r="F119" t="s">
        <v>43</v>
      </c>
      <c r="G119">
        <v>1709816</v>
      </c>
      <c r="H119">
        <v>0</v>
      </c>
    </row>
    <row r="120" spans="1:9" x14ac:dyDescent="0.25">
      <c r="A120" t="s">
        <v>127</v>
      </c>
      <c r="B120" t="s">
        <v>49</v>
      </c>
      <c r="C120" t="s">
        <v>34</v>
      </c>
      <c r="D120">
        <v>257500</v>
      </c>
      <c r="E120">
        <v>0</v>
      </c>
      <c r="F120" t="s">
        <v>221</v>
      </c>
      <c r="G120">
        <v>1599168</v>
      </c>
      <c r="H120">
        <v>0</v>
      </c>
    </row>
    <row r="121" spans="1:9" x14ac:dyDescent="0.25">
      <c r="A121" t="s">
        <v>127</v>
      </c>
      <c r="B121" t="s">
        <v>186</v>
      </c>
      <c r="C121" t="s">
        <v>53</v>
      </c>
      <c r="D121">
        <v>33127</v>
      </c>
      <c r="E121">
        <v>0</v>
      </c>
      <c r="F121" t="s">
        <v>220</v>
      </c>
      <c r="G121">
        <v>1594887</v>
      </c>
      <c r="H121">
        <v>0</v>
      </c>
    </row>
    <row r="122" spans="1:9" x14ac:dyDescent="0.25">
      <c r="A122" t="s">
        <v>127</v>
      </c>
      <c r="B122" t="s">
        <v>57</v>
      </c>
      <c r="C122" t="s">
        <v>34</v>
      </c>
      <c r="D122">
        <v>259450</v>
      </c>
      <c r="E122">
        <v>0</v>
      </c>
      <c r="F122" t="s">
        <v>221</v>
      </c>
      <c r="G122">
        <v>1593457</v>
      </c>
      <c r="H122">
        <v>0</v>
      </c>
    </row>
    <row r="123" spans="1:9" x14ac:dyDescent="0.25">
      <c r="A123" t="s">
        <v>125</v>
      </c>
      <c r="B123" t="s">
        <v>181</v>
      </c>
      <c r="C123" t="s">
        <v>50</v>
      </c>
      <c r="D123">
        <v>11460</v>
      </c>
      <c r="E123">
        <v>0</v>
      </c>
      <c r="F123" t="s">
        <v>220</v>
      </c>
      <c r="G123">
        <v>1591415</v>
      </c>
      <c r="H123">
        <v>0</v>
      </c>
    </row>
    <row r="124" spans="1:9" x14ac:dyDescent="0.25">
      <c r="A124" t="s">
        <v>127</v>
      </c>
      <c r="B124" t="s">
        <v>165</v>
      </c>
      <c r="C124" t="s">
        <v>48</v>
      </c>
      <c r="D124">
        <v>299850</v>
      </c>
      <c r="E124">
        <v>0</v>
      </c>
      <c r="F124" t="s">
        <v>221</v>
      </c>
      <c r="G124">
        <v>1588240</v>
      </c>
      <c r="H124">
        <v>0</v>
      </c>
    </row>
    <row r="125" spans="1:9" x14ac:dyDescent="0.25">
      <c r="A125" t="s">
        <v>126</v>
      </c>
      <c r="B125" t="s">
        <v>167</v>
      </c>
      <c r="C125" t="s">
        <v>50</v>
      </c>
      <c r="D125">
        <v>3837</v>
      </c>
      <c r="E125">
        <v>0</v>
      </c>
      <c r="F125" t="s">
        <v>220</v>
      </c>
      <c r="G125">
        <v>1584901</v>
      </c>
      <c r="H125">
        <v>0</v>
      </c>
    </row>
    <row r="126" spans="1:9" x14ac:dyDescent="0.25">
      <c r="A126" t="s">
        <v>127</v>
      </c>
      <c r="B126" t="s">
        <v>186</v>
      </c>
      <c r="C126" t="s">
        <v>53</v>
      </c>
      <c r="D126">
        <v>13166</v>
      </c>
      <c r="E126">
        <v>0</v>
      </c>
      <c r="F126" t="s">
        <v>220</v>
      </c>
      <c r="G126">
        <v>1577075</v>
      </c>
      <c r="H126">
        <v>0</v>
      </c>
    </row>
    <row r="127" spans="1:9" x14ac:dyDescent="0.25">
      <c r="A127" t="s">
        <v>126</v>
      </c>
      <c r="B127" t="s">
        <v>166</v>
      </c>
      <c r="C127" t="s">
        <v>50</v>
      </c>
      <c r="D127">
        <v>4557</v>
      </c>
      <c r="E127">
        <v>0</v>
      </c>
      <c r="F127" t="s">
        <v>220</v>
      </c>
      <c r="G127">
        <v>1542281</v>
      </c>
      <c r="H127">
        <v>0</v>
      </c>
    </row>
    <row r="128" spans="1:9" x14ac:dyDescent="0.25">
      <c r="A128" t="s">
        <v>125</v>
      </c>
      <c r="B128" t="s">
        <v>73</v>
      </c>
      <c r="C128" t="s">
        <v>34</v>
      </c>
      <c r="D128">
        <v>9546</v>
      </c>
      <c r="E128">
        <v>0</v>
      </c>
      <c r="F128" t="s">
        <v>220</v>
      </c>
      <c r="G128">
        <v>1540346</v>
      </c>
      <c r="H128">
        <v>0</v>
      </c>
    </row>
    <row r="129" spans="1:9" x14ac:dyDescent="0.25">
      <c r="A129" t="s">
        <v>127</v>
      </c>
      <c r="B129" t="s">
        <v>57</v>
      </c>
      <c r="C129" t="s">
        <v>34</v>
      </c>
      <c r="D129">
        <v>36751</v>
      </c>
      <c r="E129">
        <v>0</v>
      </c>
      <c r="F129" t="s">
        <v>220</v>
      </c>
      <c r="G129">
        <v>1520204</v>
      </c>
      <c r="H129">
        <v>0</v>
      </c>
    </row>
    <row r="130" spans="1:9" x14ac:dyDescent="0.25">
      <c r="A130" t="s">
        <v>131</v>
      </c>
      <c r="B130" t="s">
        <v>176</v>
      </c>
      <c r="C130" t="s">
        <v>53</v>
      </c>
      <c r="D130">
        <v>943</v>
      </c>
      <c r="E130">
        <v>0</v>
      </c>
      <c r="F130" t="s">
        <v>220</v>
      </c>
      <c r="G130">
        <v>1514668</v>
      </c>
      <c r="H130">
        <v>0</v>
      </c>
    </row>
    <row r="131" spans="1:9" x14ac:dyDescent="0.25">
      <c r="A131" t="s">
        <v>127</v>
      </c>
      <c r="B131" t="s">
        <v>181</v>
      </c>
      <c r="C131" t="s">
        <v>50</v>
      </c>
      <c r="D131">
        <v>26053</v>
      </c>
      <c r="E131">
        <v>0</v>
      </c>
      <c r="F131" t="s">
        <v>220</v>
      </c>
      <c r="G131">
        <v>1503322</v>
      </c>
      <c r="H131">
        <v>0</v>
      </c>
    </row>
    <row r="132" spans="1:9" x14ac:dyDescent="0.25">
      <c r="A132" t="s">
        <v>126</v>
      </c>
      <c r="B132" t="s">
        <v>170</v>
      </c>
      <c r="C132" t="s">
        <v>61</v>
      </c>
      <c r="D132">
        <v>2105</v>
      </c>
      <c r="E132">
        <v>0</v>
      </c>
      <c r="F132" t="s">
        <v>220</v>
      </c>
      <c r="G132">
        <v>1476452</v>
      </c>
      <c r="H132">
        <v>0</v>
      </c>
    </row>
    <row r="133" spans="1:9" x14ac:dyDescent="0.25">
      <c r="A133" t="s">
        <v>125</v>
      </c>
      <c r="B133" t="s">
        <v>49</v>
      </c>
      <c r="C133" t="s">
        <v>34</v>
      </c>
      <c r="D133">
        <v>3000</v>
      </c>
      <c r="E133">
        <v>0</v>
      </c>
      <c r="F133" t="s">
        <v>220</v>
      </c>
      <c r="G133">
        <v>1470744</v>
      </c>
      <c r="H133">
        <v>0</v>
      </c>
    </row>
    <row r="134" spans="1:9" x14ac:dyDescent="0.25">
      <c r="A134" t="s">
        <v>127</v>
      </c>
      <c r="B134" t="s">
        <v>64</v>
      </c>
      <c r="C134" t="s">
        <v>34</v>
      </c>
      <c r="D134">
        <v>254400</v>
      </c>
      <c r="E134">
        <v>0</v>
      </c>
      <c r="F134" t="s">
        <v>221</v>
      </c>
      <c r="G134">
        <v>1412019</v>
      </c>
      <c r="H134">
        <v>0</v>
      </c>
    </row>
    <row r="135" spans="1:9" x14ac:dyDescent="0.25">
      <c r="A135" t="s">
        <v>126</v>
      </c>
      <c r="B135" t="s">
        <v>72</v>
      </c>
      <c r="C135" t="s">
        <v>34</v>
      </c>
      <c r="D135">
        <v>1551</v>
      </c>
      <c r="E135">
        <v>0</v>
      </c>
      <c r="F135" t="s">
        <v>220</v>
      </c>
      <c r="G135">
        <v>1411675</v>
      </c>
      <c r="H135">
        <v>0</v>
      </c>
    </row>
    <row r="136" spans="1:9" x14ac:dyDescent="0.25">
      <c r="A136" t="s">
        <v>127</v>
      </c>
      <c r="B136" t="s">
        <v>162</v>
      </c>
      <c r="C136" t="s">
        <v>58</v>
      </c>
      <c r="D136">
        <v>31123</v>
      </c>
      <c r="E136">
        <v>0</v>
      </c>
      <c r="F136" t="s">
        <v>220</v>
      </c>
      <c r="G136">
        <v>1407937</v>
      </c>
      <c r="H136">
        <v>0</v>
      </c>
    </row>
    <row r="137" spans="1:9" x14ac:dyDescent="0.25">
      <c r="A137" t="s">
        <v>127</v>
      </c>
      <c r="B137" t="s">
        <v>177</v>
      </c>
      <c r="C137" t="s">
        <v>48</v>
      </c>
      <c r="D137">
        <v>12343</v>
      </c>
      <c r="E137">
        <v>0</v>
      </c>
      <c r="F137" t="s">
        <v>220</v>
      </c>
      <c r="G137">
        <v>1404817</v>
      </c>
      <c r="H137">
        <v>0</v>
      </c>
    </row>
    <row r="138" spans="1:9" x14ac:dyDescent="0.25">
      <c r="A138" t="s">
        <v>125</v>
      </c>
      <c r="B138" t="s">
        <v>187</v>
      </c>
      <c r="C138" t="s">
        <v>45</v>
      </c>
      <c r="D138">
        <v>8808</v>
      </c>
      <c r="E138">
        <v>0</v>
      </c>
      <c r="F138" t="s">
        <v>220</v>
      </c>
      <c r="G138">
        <v>1381010</v>
      </c>
      <c r="H138">
        <v>0</v>
      </c>
    </row>
    <row r="139" spans="1:9" x14ac:dyDescent="0.25">
      <c r="A139" t="s">
        <v>125</v>
      </c>
      <c r="B139" t="s">
        <v>180</v>
      </c>
      <c r="C139" t="s">
        <v>45</v>
      </c>
      <c r="D139">
        <v>9033</v>
      </c>
      <c r="E139">
        <v>0</v>
      </c>
      <c r="F139" t="s">
        <v>220</v>
      </c>
      <c r="G139">
        <v>1378327</v>
      </c>
      <c r="H139">
        <v>0</v>
      </c>
    </row>
    <row r="140" spans="1:9" x14ac:dyDescent="0.25">
      <c r="A140" t="s">
        <v>125</v>
      </c>
      <c r="B140" t="s">
        <v>183</v>
      </c>
      <c r="C140" t="s">
        <v>45</v>
      </c>
      <c r="D140">
        <v>9874</v>
      </c>
      <c r="E140">
        <v>0</v>
      </c>
      <c r="F140" t="s">
        <v>220</v>
      </c>
      <c r="G140">
        <v>1344912</v>
      </c>
      <c r="H140">
        <v>0</v>
      </c>
    </row>
    <row r="141" spans="1:9" x14ac:dyDescent="0.25">
      <c r="A141" t="s">
        <v>126</v>
      </c>
      <c r="B141" t="s">
        <v>188</v>
      </c>
      <c r="C141" t="s">
        <v>45</v>
      </c>
      <c r="D141">
        <v>2069</v>
      </c>
      <c r="E141">
        <v>0</v>
      </c>
      <c r="F141" t="s">
        <v>220</v>
      </c>
      <c r="G141">
        <v>1324414</v>
      </c>
      <c r="H141">
        <v>0</v>
      </c>
    </row>
    <row r="142" spans="1:9" x14ac:dyDescent="0.25">
      <c r="A142" t="s">
        <v>126</v>
      </c>
      <c r="B142" t="s">
        <v>169</v>
      </c>
      <c r="C142" t="s">
        <v>45</v>
      </c>
      <c r="D142">
        <v>2600</v>
      </c>
      <c r="E142">
        <v>0</v>
      </c>
      <c r="F142" t="s">
        <v>220</v>
      </c>
      <c r="G142">
        <v>1312445</v>
      </c>
      <c r="H142">
        <v>0</v>
      </c>
    </row>
    <row r="143" spans="1:9" x14ac:dyDescent="0.25">
      <c r="A143" t="s">
        <v>127</v>
      </c>
      <c r="B143" t="s">
        <v>161</v>
      </c>
      <c r="C143" t="s">
        <v>45</v>
      </c>
      <c r="D143">
        <v>10807</v>
      </c>
      <c r="E143">
        <v>0</v>
      </c>
      <c r="F143" t="s">
        <v>220</v>
      </c>
      <c r="G143">
        <v>1284133</v>
      </c>
      <c r="H143">
        <v>0</v>
      </c>
    </row>
    <row r="144" spans="1:9" x14ac:dyDescent="0.25">
      <c r="A144" t="s">
        <v>125</v>
      </c>
      <c r="B144" t="s">
        <v>166</v>
      </c>
      <c r="C144" t="s">
        <v>50</v>
      </c>
      <c r="D144">
        <v>3300</v>
      </c>
      <c r="E144">
        <v>0</v>
      </c>
      <c r="F144" t="s">
        <v>220</v>
      </c>
      <c r="G144">
        <v>1280829</v>
      </c>
      <c r="H144">
        <v>0</v>
      </c>
    </row>
    <row r="145" spans="1:9" x14ac:dyDescent="0.25">
      <c r="A145" t="s">
        <v>126</v>
      </c>
      <c r="B145" t="s">
        <v>165</v>
      </c>
      <c r="C145" t="s">
        <v>48</v>
      </c>
      <c r="D145">
        <v>2683</v>
      </c>
      <c r="E145">
        <v>0</v>
      </c>
      <c r="F145" t="s">
        <v>220</v>
      </c>
      <c r="G145">
        <v>1269486</v>
      </c>
      <c r="H145">
        <v>0</v>
      </c>
    </row>
    <row r="146" spans="1:9" x14ac:dyDescent="0.25">
      <c r="A146" t="s">
        <v>126</v>
      </c>
      <c r="B146" t="s">
        <v>69</v>
      </c>
      <c r="C146" t="s">
        <v>34</v>
      </c>
      <c r="D146">
        <v>1955</v>
      </c>
      <c r="E146">
        <v>0</v>
      </c>
      <c r="F146" t="s">
        <v>220</v>
      </c>
      <c r="G146">
        <v>1255441</v>
      </c>
      <c r="H146">
        <v>0</v>
      </c>
    </row>
    <row r="147" spans="1:9" x14ac:dyDescent="0.25">
      <c r="A147" t="s">
        <v>132</v>
      </c>
      <c r="B147" t="s">
        <v>171</v>
      </c>
      <c r="C147" t="s">
        <v>48</v>
      </c>
      <c r="D147">
        <v>646</v>
      </c>
      <c r="E147">
        <v>0</v>
      </c>
      <c r="F147" t="s">
        <v>43</v>
      </c>
      <c r="G147">
        <v>1237789</v>
      </c>
      <c r="H147">
        <v>0</v>
      </c>
    </row>
    <row r="148" spans="1:9" x14ac:dyDescent="0.25">
      <c r="A148" t="s">
        <v>132</v>
      </c>
      <c r="B148" t="s">
        <v>44</v>
      </c>
      <c r="C148" t="s">
        <v>34</v>
      </c>
      <c r="D148">
        <v>842</v>
      </c>
      <c r="E148">
        <v>0</v>
      </c>
      <c r="F148" t="s">
        <v>220</v>
      </c>
      <c r="G148">
        <v>1233263</v>
      </c>
      <c r="H148">
        <v>0</v>
      </c>
    </row>
    <row r="149" spans="1:9" x14ac:dyDescent="0.25">
      <c r="A149" t="s">
        <v>127</v>
      </c>
      <c r="B149" t="s">
        <v>170</v>
      </c>
      <c r="C149" t="s">
        <v>61</v>
      </c>
      <c r="D149">
        <v>16857</v>
      </c>
      <c r="E149">
        <v>0</v>
      </c>
      <c r="F149" t="s">
        <v>220</v>
      </c>
      <c r="G149">
        <v>1230903</v>
      </c>
      <c r="H149">
        <v>0</v>
      </c>
    </row>
    <row r="150" spans="1:9" x14ac:dyDescent="0.25">
      <c r="A150" t="s">
        <v>132</v>
      </c>
      <c r="B150" t="s">
        <v>168</v>
      </c>
      <c r="C150" t="s">
        <v>53</v>
      </c>
      <c r="D150">
        <v>771</v>
      </c>
      <c r="E150">
        <v>0</v>
      </c>
      <c r="F150" t="s">
        <v>43</v>
      </c>
      <c r="G150">
        <v>1226436</v>
      </c>
      <c r="H150">
        <v>0</v>
      </c>
    </row>
    <row r="151" spans="1:9" x14ac:dyDescent="0.25">
      <c r="A151" t="s">
        <v>132</v>
      </c>
      <c r="B151" t="s">
        <v>47</v>
      </c>
      <c r="C151" t="s">
        <v>34</v>
      </c>
      <c r="D151">
        <v>754</v>
      </c>
      <c r="E151">
        <v>0</v>
      </c>
      <c r="F151" t="s">
        <v>43</v>
      </c>
      <c r="G151">
        <v>1225372</v>
      </c>
      <c r="H151">
        <v>0</v>
      </c>
    </row>
    <row r="152" spans="1:9" x14ac:dyDescent="0.25">
      <c r="A152" t="s">
        <v>125</v>
      </c>
      <c r="B152" t="s">
        <v>74</v>
      </c>
      <c r="C152" t="s">
        <v>34</v>
      </c>
      <c r="D152">
        <v>7623</v>
      </c>
      <c r="E152">
        <v>0</v>
      </c>
      <c r="F152" t="s">
        <v>220</v>
      </c>
      <c r="G152">
        <v>1188111</v>
      </c>
      <c r="H152">
        <v>0</v>
      </c>
    </row>
    <row r="153" spans="1:9" x14ac:dyDescent="0.25">
      <c r="A153" t="s">
        <v>125</v>
      </c>
      <c r="B153" t="s">
        <v>54</v>
      </c>
      <c r="C153" t="s">
        <v>34</v>
      </c>
      <c r="D153">
        <v>2400</v>
      </c>
      <c r="E153">
        <v>0</v>
      </c>
      <c r="F153" t="s">
        <v>220</v>
      </c>
      <c r="G153">
        <v>1186863</v>
      </c>
      <c r="H153">
        <v>0</v>
      </c>
    </row>
    <row r="154" spans="1:9" x14ac:dyDescent="0.25">
      <c r="A154" t="s">
        <v>127</v>
      </c>
      <c r="B154" t="s">
        <v>85</v>
      </c>
      <c r="C154" t="s">
        <v>34</v>
      </c>
      <c r="D154">
        <v>205650</v>
      </c>
      <c r="E154">
        <v>0</v>
      </c>
      <c r="F154" t="s">
        <v>221</v>
      </c>
      <c r="G154">
        <v>1183852</v>
      </c>
      <c r="H154">
        <v>0</v>
      </c>
    </row>
    <row r="155" spans="1:9" x14ac:dyDescent="0.25">
      <c r="A155" t="s">
        <v>126</v>
      </c>
      <c r="B155" t="s">
        <v>161</v>
      </c>
      <c r="C155" t="s">
        <v>45</v>
      </c>
      <c r="D155">
        <v>2912</v>
      </c>
      <c r="E155">
        <v>0</v>
      </c>
      <c r="F155" t="s">
        <v>220</v>
      </c>
      <c r="G155">
        <v>1180628</v>
      </c>
      <c r="H155">
        <v>0</v>
      </c>
    </row>
    <row r="156" spans="1:9" x14ac:dyDescent="0.25">
      <c r="A156" t="s">
        <v>131</v>
      </c>
      <c r="B156" t="s">
        <v>52</v>
      </c>
      <c r="C156" t="s">
        <v>34</v>
      </c>
      <c r="D156">
        <v>593</v>
      </c>
      <c r="E156">
        <v>0</v>
      </c>
      <c r="F156" t="s">
        <v>220</v>
      </c>
      <c r="G156">
        <v>1166054</v>
      </c>
      <c r="H156">
        <v>0</v>
      </c>
    </row>
    <row r="157" spans="1:9" x14ac:dyDescent="0.25">
      <c r="A157" t="s">
        <v>127</v>
      </c>
      <c r="B157" t="s">
        <v>186</v>
      </c>
      <c r="C157" t="s">
        <v>53</v>
      </c>
      <c r="D157">
        <v>34020</v>
      </c>
      <c r="E157">
        <v>0</v>
      </c>
      <c r="F157" t="s">
        <v>220</v>
      </c>
      <c r="G157">
        <v>1161510</v>
      </c>
      <c r="H157">
        <v>0</v>
      </c>
    </row>
    <row r="158" spans="1:9" x14ac:dyDescent="0.25">
      <c r="A158" t="s">
        <v>131</v>
      </c>
      <c r="B158" t="s">
        <v>54</v>
      </c>
      <c r="C158" t="s">
        <v>34</v>
      </c>
      <c r="D158">
        <v>1040</v>
      </c>
      <c r="E158">
        <v>0</v>
      </c>
      <c r="F158" t="s">
        <v>220</v>
      </c>
      <c r="G158">
        <v>1157194</v>
      </c>
      <c r="H158">
        <v>0</v>
      </c>
    </row>
    <row r="159" spans="1:9" x14ac:dyDescent="0.25">
      <c r="A159" t="s">
        <v>126</v>
      </c>
      <c r="B159" t="s">
        <v>189</v>
      </c>
      <c r="C159" t="s">
        <v>63</v>
      </c>
      <c r="D159">
        <v>1106</v>
      </c>
      <c r="E159">
        <v>0</v>
      </c>
      <c r="F159" t="s">
        <v>220</v>
      </c>
      <c r="G159">
        <v>1151540</v>
      </c>
      <c r="H159">
        <v>0</v>
      </c>
    </row>
    <row r="160" spans="1:9" x14ac:dyDescent="0.25">
      <c r="A160" t="s">
        <v>127</v>
      </c>
      <c r="B160" t="s">
        <v>177</v>
      </c>
      <c r="C160" t="s">
        <v>48</v>
      </c>
      <c r="D160">
        <v>23838</v>
      </c>
      <c r="E160">
        <v>0</v>
      </c>
      <c r="F160" t="s">
        <v>220</v>
      </c>
      <c r="G160">
        <v>1137968</v>
      </c>
      <c r="H160">
        <v>0</v>
      </c>
    </row>
    <row r="161" spans="1:9" x14ac:dyDescent="0.25">
      <c r="A161" t="s">
        <v>143</v>
      </c>
      <c r="B161" t="s">
        <v>168</v>
      </c>
      <c r="C161" t="s">
        <v>53</v>
      </c>
      <c r="D161">
        <v>14374</v>
      </c>
      <c r="E161">
        <v>0</v>
      </c>
      <c r="F161" t="s">
        <v>220</v>
      </c>
      <c r="G161">
        <v>1134557</v>
      </c>
      <c r="H161">
        <v>0</v>
      </c>
    </row>
    <row r="162" spans="1:9" x14ac:dyDescent="0.25">
      <c r="A162" t="s">
        <v>126</v>
      </c>
      <c r="B162" t="s">
        <v>175</v>
      </c>
      <c r="C162" t="s">
        <v>48</v>
      </c>
      <c r="D162">
        <v>1149</v>
      </c>
      <c r="E162">
        <v>0</v>
      </c>
      <c r="F162" t="s">
        <v>220</v>
      </c>
      <c r="G162">
        <v>1132607</v>
      </c>
      <c r="H162">
        <v>0</v>
      </c>
    </row>
    <row r="163" spans="1:9" x14ac:dyDescent="0.25">
      <c r="A163" t="s">
        <v>125</v>
      </c>
      <c r="B163" t="s">
        <v>167</v>
      </c>
      <c r="C163" t="s">
        <v>50</v>
      </c>
      <c r="D163">
        <v>2141</v>
      </c>
      <c r="E163">
        <v>0</v>
      </c>
      <c r="F163" t="s">
        <v>220</v>
      </c>
      <c r="G163">
        <v>1118212</v>
      </c>
      <c r="H163">
        <v>0</v>
      </c>
    </row>
    <row r="164" spans="1:9" x14ac:dyDescent="0.25">
      <c r="A164" t="s">
        <v>126</v>
      </c>
      <c r="B164" t="s">
        <v>182</v>
      </c>
      <c r="C164" t="s">
        <v>53</v>
      </c>
      <c r="D164">
        <v>2448</v>
      </c>
      <c r="E164">
        <v>0</v>
      </c>
      <c r="F164" t="s">
        <v>220</v>
      </c>
      <c r="G164">
        <v>1105803</v>
      </c>
      <c r="H164">
        <v>0</v>
      </c>
    </row>
    <row r="165" spans="1:9" x14ac:dyDescent="0.25">
      <c r="A165" t="s">
        <v>127</v>
      </c>
      <c r="B165" t="s">
        <v>167</v>
      </c>
      <c r="C165" t="s">
        <v>50</v>
      </c>
      <c r="D165">
        <v>9777</v>
      </c>
      <c r="E165">
        <v>0</v>
      </c>
      <c r="F165" t="s">
        <v>220</v>
      </c>
      <c r="G165">
        <v>1098822</v>
      </c>
      <c r="H165">
        <v>0</v>
      </c>
    </row>
    <row r="166" spans="1:9" x14ac:dyDescent="0.25">
      <c r="A166" t="s">
        <v>126</v>
      </c>
      <c r="B166" t="s">
        <v>49</v>
      </c>
      <c r="C166" t="s">
        <v>34</v>
      </c>
      <c r="D166">
        <v>2399</v>
      </c>
      <c r="E166">
        <v>0</v>
      </c>
      <c r="F166" t="s">
        <v>220</v>
      </c>
      <c r="G166">
        <v>1092665</v>
      </c>
      <c r="H166">
        <v>0</v>
      </c>
    </row>
    <row r="167" spans="1:9" x14ac:dyDescent="0.25">
      <c r="A167" t="s">
        <v>127</v>
      </c>
      <c r="B167" t="s">
        <v>175</v>
      </c>
      <c r="C167" t="s">
        <v>48</v>
      </c>
      <c r="D167">
        <v>225000</v>
      </c>
      <c r="E167">
        <v>0</v>
      </c>
      <c r="F167" t="s">
        <v>221</v>
      </c>
      <c r="G167">
        <v>1092034</v>
      </c>
      <c r="H167">
        <v>0</v>
      </c>
    </row>
    <row r="168" spans="1:9" x14ac:dyDescent="0.25">
      <c r="A168" t="s">
        <v>127</v>
      </c>
      <c r="B168" t="s">
        <v>174</v>
      </c>
      <c r="C168" t="s">
        <v>45</v>
      </c>
      <c r="D168">
        <v>12450</v>
      </c>
      <c r="E168">
        <v>0</v>
      </c>
      <c r="F168" t="s">
        <v>220</v>
      </c>
      <c r="G168">
        <v>1080262</v>
      </c>
      <c r="H168">
        <v>0</v>
      </c>
    </row>
    <row r="169" spans="1:9" x14ac:dyDescent="0.25">
      <c r="A169" t="s">
        <v>125</v>
      </c>
      <c r="B169" t="s">
        <v>161</v>
      </c>
      <c r="C169" t="s">
        <v>45</v>
      </c>
      <c r="D169">
        <v>2900</v>
      </c>
      <c r="E169">
        <v>0</v>
      </c>
      <c r="F169" t="s">
        <v>220</v>
      </c>
      <c r="G169">
        <v>1077806</v>
      </c>
      <c r="H169">
        <v>0</v>
      </c>
    </row>
    <row r="170" spans="1:9" x14ac:dyDescent="0.25">
      <c r="A170" t="s">
        <v>125</v>
      </c>
      <c r="B170" t="s">
        <v>184</v>
      </c>
      <c r="C170" t="s">
        <v>50</v>
      </c>
      <c r="D170">
        <v>5864</v>
      </c>
      <c r="E170">
        <v>0</v>
      </c>
      <c r="F170" t="s">
        <v>220</v>
      </c>
      <c r="G170">
        <v>1065143</v>
      </c>
      <c r="H170">
        <v>0</v>
      </c>
    </row>
    <row r="171" spans="1:9" x14ac:dyDescent="0.25">
      <c r="A171" t="s">
        <v>125</v>
      </c>
      <c r="B171" t="s">
        <v>188</v>
      </c>
      <c r="C171" t="s">
        <v>45</v>
      </c>
      <c r="D171">
        <v>6898</v>
      </c>
      <c r="E171">
        <v>0</v>
      </c>
      <c r="F171" t="s">
        <v>220</v>
      </c>
      <c r="G171">
        <v>1063242</v>
      </c>
      <c r="H171">
        <v>0</v>
      </c>
    </row>
    <row r="172" spans="1:9" x14ac:dyDescent="0.25">
      <c r="A172" t="s">
        <v>125</v>
      </c>
      <c r="B172" t="s">
        <v>47</v>
      </c>
      <c r="C172" t="s">
        <v>34</v>
      </c>
      <c r="D172">
        <v>2070</v>
      </c>
      <c r="E172">
        <v>0</v>
      </c>
      <c r="F172" t="s">
        <v>220</v>
      </c>
      <c r="G172">
        <v>1061024</v>
      </c>
      <c r="H172">
        <v>0</v>
      </c>
    </row>
    <row r="173" spans="1:9" x14ac:dyDescent="0.25">
      <c r="A173" t="s">
        <v>127</v>
      </c>
      <c r="B173" t="s">
        <v>168</v>
      </c>
      <c r="C173" t="s">
        <v>53</v>
      </c>
      <c r="D173">
        <v>6734</v>
      </c>
      <c r="E173">
        <v>0</v>
      </c>
      <c r="F173" t="s">
        <v>220</v>
      </c>
      <c r="G173">
        <v>1025727</v>
      </c>
      <c r="H173">
        <v>0</v>
      </c>
    </row>
    <row r="174" spans="1:9" x14ac:dyDescent="0.25">
      <c r="A174" t="s">
        <v>125</v>
      </c>
      <c r="B174" t="s">
        <v>76</v>
      </c>
      <c r="C174" t="s">
        <v>34</v>
      </c>
      <c r="D174">
        <v>6456</v>
      </c>
      <c r="E174">
        <v>0</v>
      </c>
      <c r="F174" t="s">
        <v>220</v>
      </c>
      <c r="G174">
        <v>1020289</v>
      </c>
      <c r="H174">
        <v>0</v>
      </c>
    </row>
    <row r="175" spans="1:9" x14ac:dyDescent="0.25">
      <c r="A175" t="s">
        <v>125</v>
      </c>
      <c r="B175" t="s">
        <v>75</v>
      </c>
      <c r="C175" t="s">
        <v>34</v>
      </c>
      <c r="D175">
        <v>7602</v>
      </c>
      <c r="E175">
        <v>0</v>
      </c>
      <c r="F175" t="s">
        <v>220</v>
      </c>
      <c r="G175">
        <v>1019520</v>
      </c>
      <c r="H175">
        <v>0</v>
      </c>
    </row>
    <row r="176" spans="1:9" x14ac:dyDescent="0.25">
      <c r="A176" t="s">
        <v>127</v>
      </c>
      <c r="B176" t="s">
        <v>171</v>
      </c>
      <c r="C176" t="s">
        <v>48</v>
      </c>
      <c r="D176">
        <v>197750</v>
      </c>
      <c r="E176">
        <v>0</v>
      </c>
      <c r="F176" t="s">
        <v>221</v>
      </c>
      <c r="G176">
        <v>1014152</v>
      </c>
      <c r="H176">
        <v>0</v>
      </c>
    </row>
    <row r="177" spans="1:9" x14ac:dyDescent="0.25">
      <c r="A177" t="s">
        <v>127</v>
      </c>
      <c r="B177" t="s">
        <v>164</v>
      </c>
      <c r="C177" t="s">
        <v>55</v>
      </c>
      <c r="D177">
        <v>1428</v>
      </c>
      <c r="E177">
        <v>0</v>
      </c>
      <c r="F177" t="s">
        <v>43</v>
      </c>
      <c r="G177">
        <v>1008075</v>
      </c>
      <c r="H177">
        <v>0</v>
      </c>
    </row>
    <row r="178" spans="1:9" x14ac:dyDescent="0.25">
      <c r="A178" t="s">
        <v>127</v>
      </c>
      <c r="B178" t="s">
        <v>73</v>
      </c>
      <c r="C178" t="s">
        <v>34</v>
      </c>
      <c r="D178">
        <v>196750</v>
      </c>
      <c r="E178">
        <v>0</v>
      </c>
      <c r="F178" t="s">
        <v>221</v>
      </c>
      <c r="G178">
        <v>1002446</v>
      </c>
      <c r="H178">
        <v>0</v>
      </c>
    </row>
    <row r="179" spans="1:9" x14ac:dyDescent="0.25">
      <c r="A179" t="s">
        <v>127</v>
      </c>
      <c r="B179" t="s">
        <v>167</v>
      </c>
      <c r="C179" t="s">
        <v>50</v>
      </c>
      <c r="D179">
        <v>19270</v>
      </c>
      <c r="E179">
        <v>0</v>
      </c>
      <c r="F179" t="s">
        <v>220</v>
      </c>
      <c r="G179">
        <v>996908</v>
      </c>
      <c r="H179">
        <v>0</v>
      </c>
    </row>
    <row r="180" spans="1:9" x14ac:dyDescent="0.25">
      <c r="A180" t="s">
        <v>127</v>
      </c>
      <c r="B180" t="s">
        <v>49</v>
      </c>
      <c r="C180" t="s">
        <v>34</v>
      </c>
      <c r="D180">
        <v>1337</v>
      </c>
      <c r="E180">
        <v>0</v>
      </c>
      <c r="F180" t="s">
        <v>43</v>
      </c>
      <c r="G180">
        <v>992651</v>
      </c>
      <c r="H180">
        <v>0</v>
      </c>
    </row>
    <row r="181" spans="1:9" x14ac:dyDescent="0.25">
      <c r="A181" t="s">
        <v>127</v>
      </c>
      <c r="B181" t="s">
        <v>57</v>
      </c>
      <c r="C181" t="s">
        <v>34</v>
      </c>
      <c r="D181">
        <v>1756</v>
      </c>
      <c r="E181">
        <v>0</v>
      </c>
      <c r="F181" t="s">
        <v>43</v>
      </c>
      <c r="G181">
        <v>990772</v>
      </c>
      <c r="H181">
        <v>0</v>
      </c>
    </row>
    <row r="182" spans="1:9" x14ac:dyDescent="0.25">
      <c r="A182" t="s">
        <v>131</v>
      </c>
      <c r="B182" t="s">
        <v>177</v>
      </c>
      <c r="C182" t="s">
        <v>48</v>
      </c>
      <c r="D182">
        <v>904</v>
      </c>
      <c r="E182">
        <v>0</v>
      </c>
      <c r="F182" t="s">
        <v>220</v>
      </c>
      <c r="G182">
        <v>980188</v>
      </c>
      <c r="H182">
        <v>0</v>
      </c>
    </row>
    <row r="183" spans="1:9" x14ac:dyDescent="0.25">
      <c r="A183" t="s">
        <v>126</v>
      </c>
      <c r="B183" t="s">
        <v>184</v>
      </c>
      <c r="C183" t="s">
        <v>50</v>
      </c>
      <c r="D183">
        <v>2628</v>
      </c>
      <c r="E183">
        <v>0</v>
      </c>
      <c r="F183" t="s">
        <v>220</v>
      </c>
      <c r="G183">
        <v>974371</v>
      </c>
      <c r="H183">
        <v>0</v>
      </c>
    </row>
    <row r="184" spans="1:9" x14ac:dyDescent="0.25">
      <c r="A184" t="s">
        <v>125</v>
      </c>
      <c r="B184" t="s">
        <v>174</v>
      </c>
      <c r="C184" t="s">
        <v>45</v>
      </c>
      <c r="D184">
        <v>5736</v>
      </c>
      <c r="E184">
        <v>0</v>
      </c>
      <c r="F184" t="s">
        <v>220</v>
      </c>
      <c r="G184">
        <v>972774</v>
      </c>
      <c r="H184">
        <v>0</v>
      </c>
    </row>
    <row r="185" spans="1:9" x14ac:dyDescent="0.25">
      <c r="A185" t="s">
        <v>127</v>
      </c>
      <c r="B185" t="s">
        <v>175</v>
      </c>
      <c r="C185" t="s">
        <v>48</v>
      </c>
      <c r="D185">
        <v>27130</v>
      </c>
      <c r="E185">
        <v>0</v>
      </c>
      <c r="F185" t="s">
        <v>220</v>
      </c>
      <c r="G185">
        <v>964997</v>
      </c>
      <c r="H185">
        <v>0</v>
      </c>
    </row>
    <row r="186" spans="1:9" x14ac:dyDescent="0.25">
      <c r="A186" t="s">
        <v>127</v>
      </c>
      <c r="B186" t="s">
        <v>72</v>
      </c>
      <c r="C186" t="s">
        <v>34</v>
      </c>
      <c r="D186">
        <v>158750</v>
      </c>
      <c r="E186">
        <v>0</v>
      </c>
      <c r="F186" t="s">
        <v>221</v>
      </c>
      <c r="G186">
        <v>944475</v>
      </c>
      <c r="H186">
        <v>0</v>
      </c>
    </row>
    <row r="187" spans="1:9" x14ac:dyDescent="0.25">
      <c r="A187" t="s">
        <v>126</v>
      </c>
      <c r="B187" t="s">
        <v>187</v>
      </c>
      <c r="C187" t="s">
        <v>45</v>
      </c>
      <c r="D187">
        <v>886</v>
      </c>
      <c r="E187">
        <v>0</v>
      </c>
      <c r="F187" t="s">
        <v>220</v>
      </c>
      <c r="G187">
        <v>920533</v>
      </c>
      <c r="H187">
        <v>0</v>
      </c>
    </row>
    <row r="188" spans="1:9" x14ac:dyDescent="0.25">
      <c r="A188" t="s">
        <v>125</v>
      </c>
      <c r="B188" t="s">
        <v>60</v>
      </c>
      <c r="C188" t="s">
        <v>34</v>
      </c>
      <c r="D188">
        <v>1830</v>
      </c>
      <c r="E188">
        <v>0</v>
      </c>
      <c r="F188" t="s">
        <v>220</v>
      </c>
      <c r="G188">
        <v>919170</v>
      </c>
      <c r="H188">
        <v>0</v>
      </c>
    </row>
    <row r="189" spans="1:9" x14ac:dyDescent="0.25">
      <c r="A189" t="s">
        <v>125</v>
      </c>
      <c r="B189" t="s">
        <v>168</v>
      </c>
      <c r="C189" t="s">
        <v>53</v>
      </c>
      <c r="D189">
        <v>1710</v>
      </c>
      <c r="E189">
        <v>0</v>
      </c>
      <c r="F189" t="s">
        <v>220</v>
      </c>
      <c r="G189">
        <v>899840</v>
      </c>
      <c r="H189">
        <v>0</v>
      </c>
    </row>
    <row r="190" spans="1:9" x14ac:dyDescent="0.25">
      <c r="A190" t="s">
        <v>126</v>
      </c>
      <c r="B190" t="s">
        <v>190</v>
      </c>
      <c r="C190" t="s">
        <v>45</v>
      </c>
      <c r="D190">
        <v>1084</v>
      </c>
      <c r="E190">
        <v>0</v>
      </c>
      <c r="F190" t="s">
        <v>43</v>
      </c>
      <c r="G190">
        <v>892793</v>
      </c>
      <c r="H190">
        <v>0</v>
      </c>
    </row>
    <row r="191" spans="1:9" x14ac:dyDescent="0.25">
      <c r="A191" t="s">
        <v>125</v>
      </c>
      <c r="B191" t="s">
        <v>175</v>
      </c>
      <c r="C191" t="s">
        <v>48</v>
      </c>
      <c r="D191">
        <v>5295</v>
      </c>
      <c r="E191">
        <v>0</v>
      </c>
      <c r="F191" t="s">
        <v>220</v>
      </c>
      <c r="G191">
        <v>887126</v>
      </c>
      <c r="H191">
        <v>0</v>
      </c>
    </row>
    <row r="192" spans="1:9" x14ac:dyDescent="0.25">
      <c r="A192" t="s">
        <v>127</v>
      </c>
      <c r="B192" t="s">
        <v>79</v>
      </c>
      <c r="C192" t="s">
        <v>34</v>
      </c>
      <c r="D192">
        <v>24629</v>
      </c>
      <c r="E192">
        <v>0</v>
      </c>
      <c r="F192" t="s">
        <v>220</v>
      </c>
      <c r="G192">
        <v>864892</v>
      </c>
      <c r="H192">
        <v>0</v>
      </c>
    </row>
    <row r="193" spans="1:9" x14ac:dyDescent="0.25">
      <c r="A193" t="s">
        <v>127</v>
      </c>
      <c r="B193" t="s">
        <v>47</v>
      </c>
      <c r="C193" t="s">
        <v>34</v>
      </c>
      <c r="D193">
        <v>19404</v>
      </c>
      <c r="E193">
        <v>0</v>
      </c>
      <c r="F193" t="s">
        <v>220</v>
      </c>
      <c r="G193">
        <v>853722</v>
      </c>
      <c r="H193">
        <v>0</v>
      </c>
    </row>
    <row r="194" spans="1:9" x14ac:dyDescent="0.25">
      <c r="A194" t="s">
        <v>125</v>
      </c>
      <c r="B194" t="s">
        <v>172</v>
      </c>
      <c r="C194" t="s">
        <v>50</v>
      </c>
      <c r="D194">
        <v>1600</v>
      </c>
      <c r="E194">
        <v>0</v>
      </c>
      <c r="F194" t="s">
        <v>220</v>
      </c>
      <c r="G194">
        <v>852553</v>
      </c>
      <c r="H194">
        <v>0</v>
      </c>
    </row>
    <row r="195" spans="1:9" x14ac:dyDescent="0.25">
      <c r="A195" t="s">
        <v>125</v>
      </c>
      <c r="B195" t="s">
        <v>175</v>
      </c>
      <c r="C195" t="s">
        <v>48</v>
      </c>
      <c r="D195">
        <v>1660</v>
      </c>
      <c r="E195">
        <v>0</v>
      </c>
      <c r="F195" t="s">
        <v>220</v>
      </c>
      <c r="G195">
        <v>846737</v>
      </c>
      <c r="H195">
        <v>0</v>
      </c>
    </row>
    <row r="196" spans="1:9" x14ac:dyDescent="0.25">
      <c r="A196" t="s">
        <v>126</v>
      </c>
      <c r="B196" t="s">
        <v>164</v>
      </c>
      <c r="C196" t="s">
        <v>55</v>
      </c>
      <c r="D196">
        <v>96000</v>
      </c>
      <c r="E196">
        <v>0</v>
      </c>
      <c r="F196" t="s">
        <v>43</v>
      </c>
      <c r="G196">
        <v>839696</v>
      </c>
      <c r="H196">
        <v>0</v>
      </c>
    </row>
    <row r="197" spans="1:9" x14ac:dyDescent="0.25">
      <c r="A197" t="s">
        <v>126</v>
      </c>
      <c r="B197" t="s">
        <v>186</v>
      </c>
      <c r="C197" t="s">
        <v>53</v>
      </c>
      <c r="D197">
        <v>1210</v>
      </c>
      <c r="E197">
        <v>0</v>
      </c>
      <c r="F197" t="s">
        <v>220</v>
      </c>
      <c r="G197">
        <v>837013</v>
      </c>
      <c r="H197">
        <v>0</v>
      </c>
    </row>
    <row r="198" spans="1:9" x14ac:dyDescent="0.25">
      <c r="A198" t="s">
        <v>131</v>
      </c>
      <c r="B198" t="s">
        <v>191</v>
      </c>
      <c r="C198" t="s">
        <v>45</v>
      </c>
      <c r="D198">
        <v>683</v>
      </c>
      <c r="E198">
        <v>0</v>
      </c>
      <c r="F198" t="s">
        <v>220</v>
      </c>
      <c r="G198">
        <v>836818</v>
      </c>
      <c r="H198">
        <v>0</v>
      </c>
    </row>
    <row r="199" spans="1:9" x14ac:dyDescent="0.25">
      <c r="A199" t="s">
        <v>126</v>
      </c>
      <c r="B199" t="s">
        <v>80</v>
      </c>
      <c r="C199" t="s">
        <v>34</v>
      </c>
      <c r="D199">
        <v>1214</v>
      </c>
      <c r="E199">
        <v>0</v>
      </c>
      <c r="F199" t="s">
        <v>220</v>
      </c>
      <c r="G199">
        <v>825527</v>
      </c>
      <c r="H199">
        <v>0</v>
      </c>
    </row>
    <row r="200" spans="1:9" x14ac:dyDescent="0.25">
      <c r="A200" t="s">
        <v>127</v>
      </c>
      <c r="B200" t="s">
        <v>67</v>
      </c>
      <c r="C200" t="s">
        <v>34</v>
      </c>
      <c r="D200">
        <v>26188</v>
      </c>
      <c r="E200">
        <v>0</v>
      </c>
      <c r="F200" t="s">
        <v>220</v>
      </c>
      <c r="G200">
        <v>825125</v>
      </c>
      <c r="H200">
        <v>0</v>
      </c>
    </row>
    <row r="201" spans="1:9" x14ac:dyDescent="0.25">
      <c r="A201" t="s">
        <v>126</v>
      </c>
      <c r="B201" t="s">
        <v>171</v>
      </c>
      <c r="C201" t="s">
        <v>48</v>
      </c>
      <c r="D201">
        <v>1922</v>
      </c>
      <c r="E201">
        <v>0</v>
      </c>
      <c r="F201" t="s">
        <v>220</v>
      </c>
      <c r="G201">
        <v>820115</v>
      </c>
      <c r="H201">
        <v>0</v>
      </c>
    </row>
    <row r="202" spans="1:9" x14ac:dyDescent="0.25">
      <c r="A202" t="s">
        <v>125</v>
      </c>
      <c r="B202" t="s">
        <v>77</v>
      </c>
      <c r="C202" t="s">
        <v>34</v>
      </c>
      <c r="D202">
        <v>6916</v>
      </c>
      <c r="E202">
        <v>0</v>
      </c>
      <c r="F202" t="s">
        <v>220</v>
      </c>
      <c r="G202">
        <v>811152</v>
      </c>
      <c r="H202">
        <v>0</v>
      </c>
    </row>
    <row r="203" spans="1:9" x14ac:dyDescent="0.25">
      <c r="A203" t="s">
        <v>125</v>
      </c>
      <c r="B203" t="s">
        <v>69</v>
      </c>
      <c r="C203" t="s">
        <v>34</v>
      </c>
      <c r="D203">
        <v>1600</v>
      </c>
      <c r="E203">
        <v>0</v>
      </c>
      <c r="F203" t="s">
        <v>220</v>
      </c>
      <c r="G203">
        <v>800916</v>
      </c>
      <c r="H203">
        <v>0</v>
      </c>
    </row>
    <row r="204" spans="1:9" x14ac:dyDescent="0.25">
      <c r="A204" t="s">
        <v>126</v>
      </c>
      <c r="B204" t="s">
        <v>71</v>
      </c>
      <c r="C204" t="s">
        <v>34</v>
      </c>
      <c r="D204">
        <v>1004</v>
      </c>
      <c r="E204">
        <v>0</v>
      </c>
      <c r="F204" t="s">
        <v>220</v>
      </c>
      <c r="G204">
        <v>797986</v>
      </c>
      <c r="H204">
        <v>0</v>
      </c>
    </row>
    <row r="205" spans="1:9" x14ac:dyDescent="0.25">
      <c r="A205" t="s">
        <v>132</v>
      </c>
      <c r="B205" t="s">
        <v>49</v>
      </c>
      <c r="C205" t="s">
        <v>34</v>
      </c>
      <c r="D205">
        <v>558</v>
      </c>
      <c r="E205">
        <v>0</v>
      </c>
      <c r="F205" t="s">
        <v>43</v>
      </c>
      <c r="G205">
        <v>777636</v>
      </c>
      <c r="H205">
        <v>0</v>
      </c>
    </row>
    <row r="206" spans="1:9" x14ac:dyDescent="0.25">
      <c r="A206" t="s">
        <v>127</v>
      </c>
      <c r="B206" t="s">
        <v>171</v>
      </c>
      <c r="C206" t="s">
        <v>48</v>
      </c>
      <c r="D206">
        <v>28947</v>
      </c>
      <c r="E206">
        <v>0</v>
      </c>
      <c r="F206" t="s">
        <v>220</v>
      </c>
      <c r="G206">
        <v>762199</v>
      </c>
      <c r="H206">
        <v>0</v>
      </c>
    </row>
    <row r="207" spans="1:9" x14ac:dyDescent="0.25">
      <c r="A207" t="s">
        <v>131</v>
      </c>
      <c r="B207" t="s">
        <v>76</v>
      </c>
      <c r="C207" t="s">
        <v>34</v>
      </c>
      <c r="D207">
        <v>565</v>
      </c>
      <c r="E207">
        <v>0</v>
      </c>
      <c r="F207" t="s">
        <v>220</v>
      </c>
      <c r="G207">
        <v>756727</v>
      </c>
      <c r="H207">
        <v>0</v>
      </c>
    </row>
    <row r="208" spans="1:9" x14ac:dyDescent="0.25">
      <c r="A208" t="s">
        <v>125</v>
      </c>
      <c r="B208" t="s">
        <v>171</v>
      </c>
      <c r="C208" t="s">
        <v>48</v>
      </c>
      <c r="D208">
        <v>2130</v>
      </c>
      <c r="E208">
        <v>0</v>
      </c>
      <c r="F208" t="s">
        <v>220</v>
      </c>
      <c r="G208">
        <v>754494</v>
      </c>
      <c r="H208">
        <v>0</v>
      </c>
    </row>
    <row r="209" spans="1:9" x14ac:dyDescent="0.25">
      <c r="A209" t="s">
        <v>125</v>
      </c>
      <c r="B209" t="s">
        <v>166</v>
      </c>
      <c r="C209" t="s">
        <v>50</v>
      </c>
      <c r="D209">
        <v>13500</v>
      </c>
      <c r="E209">
        <v>0</v>
      </c>
      <c r="F209" t="s">
        <v>220</v>
      </c>
      <c r="G209">
        <v>752465</v>
      </c>
      <c r="H209">
        <v>0</v>
      </c>
    </row>
    <row r="210" spans="1:9" x14ac:dyDescent="0.25">
      <c r="A210" t="s">
        <v>131</v>
      </c>
      <c r="B210" t="s">
        <v>181</v>
      </c>
      <c r="C210" t="s">
        <v>50</v>
      </c>
      <c r="D210">
        <v>830</v>
      </c>
      <c r="E210">
        <v>0</v>
      </c>
      <c r="F210" t="s">
        <v>220</v>
      </c>
      <c r="G210">
        <v>747723</v>
      </c>
      <c r="H210">
        <v>0</v>
      </c>
    </row>
    <row r="211" spans="1:9" x14ac:dyDescent="0.25">
      <c r="A211" t="s">
        <v>126</v>
      </c>
      <c r="B211" t="s">
        <v>74</v>
      </c>
      <c r="C211" t="s">
        <v>34</v>
      </c>
      <c r="D211">
        <v>1210</v>
      </c>
      <c r="E211">
        <v>0</v>
      </c>
      <c r="F211" t="s">
        <v>220</v>
      </c>
      <c r="G211">
        <v>724764</v>
      </c>
      <c r="H211">
        <v>0</v>
      </c>
    </row>
    <row r="212" spans="1:9" x14ac:dyDescent="0.25">
      <c r="A212" t="s">
        <v>126</v>
      </c>
      <c r="B212" t="s">
        <v>192</v>
      </c>
      <c r="C212" t="s">
        <v>45</v>
      </c>
      <c r="D212">
        <v>981</v>
      </c>
      <c r="E212">
        <v>0</v>
      </c>
      <c r="F212" t="s">
        <v>220</v>
      </c>
      <c r="G212">
        <v>721428</v>
      </c>
      <c r="H212">
        <v>0</v>
      </c>
    </row>
    <row r="213" spans="1:9" x14ac:dyDescent="0.25">
      <c r="A213" t="s">
        <v>132</v>
      </c>
      <c r="B213" t="s">
        <v>161</v>
      </c>
      <c r="C213" t="s">
        <v>45</v>
      </c>
      <c r="D213">
        <v>291</v>
      </c>
      <c r="E213">
        <v>0</v>
      </c>
      <c r="F213" t="s">
        <v>43</v>
      </c>
      <c r="G213">
        <v>719413</v>
      </c>
      <c r="H213">
        <v>0</v>
      </c>
    </row>
    <row r="214" spans="1:9" x14ac:dyDescent="0.25">
      <c r="A214" t="s">
        <v>127</v>
      </c>
      <c r="B214" t="s">
        <v>175</v>
      </c>
      <c r="C214" t="s">
        <v>48</v>
      </c>
      <c r="D214">
        <v>1060</v>
      </c>
      <c r="E214">
        <v>0</v>
      </c>
      <c r="F214" t="s">
        <v>43</v>
      </c>
      <c r="G214">
        <v>708495</v>
      </c>
      <c r="H214">
        <v>0</v>
      </c>
    </row>
    <row r="215" spans="1:9" x14ac:dyDescent="0.25">
      <c r="A215" t="s">
        <v>125</v>
      </c>
      <c r="B215" t="s">
        <v>166</v>
      </c>
      <c r="C215" t="s">
        <v>50</v>
      </c>
      <c r="D215">
        <v>15112</v>
      </c>
      <c r="E215">
        <v>0</v>
      </c>
      <c r="F215" t="s">
        <v>220</v>
      </c>
      <c r="G215">
        <v>707895</v>
      </c>
      <c r="H215">
        <v>0</v>
      </c>
    </row>
    <row r="216" spans="1:9" x14ac:dyDescent="0.25">
      <c r="A216" t="s">
        <v>127</v>
      </c>
      <c r="B216" t="s">
        <v>60</v>
      </c>
      <c r="C216" t="s">
        <v>34</v>
      </c>
      <c r="D216">
        <v>17244</v>
      </c>
      <c r="E216">
        <v>0</v>
      </c>
      <c r="F216" t="s">
        <v>220</v>
      </c>
      <c r="G216">
        <v>707894</v>
      </c>
      <c r="H216">
        <v>0</v>
      </c>
    </row>
    <row r="217" spans="1:9" x14ac:dyDescent="0.25">
      <c r="A217" t="s">
        <v>131</v>
      </c>
      <c r="B217" t="s">
        <v>175</v>
      </c>
      <c r="C217" t="s">
        <v>48</v>
      </c>
      <c r="D217">
        <v>627</v>
      </c>
      <c r="E217">
        <v>0</v>
      </c>
      <c r="F217" t="s">
        <v>220</v>
      </c>
      <c r="G217">
        <v>707162</v>
      </c>
      <c r="H217">
        <v>0</v>
      </c>
    </row>
    <row r="218" spans="1:9" x14ac:dyDescent="0.25">
      <c r="A218" t="s">
        <v>126</v>
      </c>
      <c r="B218" t="s">
        <v>172</v>
      </c>
      <c r="C218" t="s">
        <v>50</v>
      </c>
      <c r="D218">
        <v>1428</v>
      </c>
      <c r="E218">
        <v>0</v>
      </c>
      <c r="F218" t="s">
        <v>220</v>
      </c>
      <c r="G218">
        <v>705093</v>
      </c>
      <c r="H218">
        <v>0</v>
      </c>
    </row>
    <row r="219" spans="1:9" x14ac:dyDescent="0.25">
      <c r="A219" t="s">
        <v>131</v>
      </c>
      <c r="B219" t="s">
        <v>180</v>
      </c>
      <c r="C219" t="s">
        <v>45</v>
      </c>
      <c r="D219">
        <v>528</v>
      </c>
      <c r="E219">
        <v>0</v>
      </c>
      <c r="F219" t="s">
        <v>220</v>
      </c>
      <c r="G219">
        <v>696314</v>
      </c>
      <c r="H219">
        <v>0</v>
      </c>
    </row>
    <row r="220" spans="1:9" x14ac:dyDescent="0.25">
      <c r="A220" t="s">
        <v>125</v>
      </c>
      <c r="B220" t="s">
        <v>71</v>
      </c>
      <c r="C220" t="s">
        <v>34</v>
      </c>
      <c r="D220">
        <v>1400</v>
      </c>
      <c r="E220">
        <v>0</v>
      </c>
      <c r="F220" t="s">
        <v>220</v>
      </c>
      <c r="G220">
        <v>694328</v>
      </c>
      <c r="H220">
        <v>0</v>
      </c>
    </row>
    <row r="221" spans="1:9" x14ac:dyDescent="0.25">
      <c r="A221" t="s">
        <v>125</v>
      </c>
      <c r="B221" t="s">
        <v>57</v>
      </c>
      <c r="C221" t="s">
        <v>34</v>
      </c>
      <c r="D221">
        <v>9912</v>
      </c>
      <c r="E221">
        <v>0</v>
      </c>
      <c r="F221" t="s">
        <v>220</v>
      </c>
      <c r="G221">
        <v>692255</v>
      </c>
      <c r="H221">
        <v>0</v>
      </c>
    </row>
    <row r="222" spans="1:9" x14ac:dyDescent="0.25">
      <c r="A222" t="s">
        <v>125</v>
      </c>
      <c r="B222" t="s">
        <v>165</v>
      </c>
      <c r="C222" t="s">
        <v>48</v>
      </c>
      <c r="D222">
        <v>1600</v>
      </c>
      <c r="E222">
        <v>0</v>
      </c>
      <c r="F222" t="s">
        <v>220</v>
      </c>
      <c r="G222">
        <v>686335</v>
      </c>
      <c r="H222">
        <v>0</v>
      </c>
    </row>
    <row r="223" spans="1:9" x14ac:dyDescent="0.25">
      <c r="A223" t="s">
        <v>125</v>
      </c>
      <c r="B223" t="s">
        <v>161</v>
      </c>
      <c r="C223" t="s">
        <v>45</v>
      </c>
      <c r="D223">
        <v>17700</v>
      </c>
      <c r="E223">
        <v>0</v>
      </c>
      <c r="F223" t="s">
        <v>220</v>
      </c>
      <c r="G223">
        <v>683575</v>
      </c>
      <c r="H223">
        <v>0</v>
      </c>
    </row>
    <row r="224" spans="1:9" x14ac:dyDescent="0.25">
      <c r="A224" t="s">
        <v>127</v>
      </c>
      <c r="B224" t="s">
        <v>82</v>
      </c>
      <c r="C224" t="s">
        <v>34</v>
      </c>
      <c r="D224">
        <v>137450</v>
      </c>
      <c r="E224">
        <v>0</v>
      </c>
      <c r="F224" t="s">
        <v>221</v>
      </c>
      <c r="G224">
        <v>676776</v>
      </c>
      <c r="H224">
        <v>0</v>
      </c>
    </row>
    <row r="225" spans="1:9" x14ac:dyDescent="0.25">
      <c r="A225" t="s">
        <v>125</v>
      </c>
      <c r="B225" t="s">
        <v>83</v>
      </c>
      <c r="C225" t="s">
        <v>34</v>
      </c>
      <c r="D225">
        <v>4440</v>
      </c>
      <c r="E225">
        <v>0</v>
      </c>
      <c r="F225" t="s">
        <v>220</v>
      </c>
      <c r="G225">
        <v>673848</v>
      </c>
      <c r="H225">
        <v>0</v>
      </c>
    </row>
    <row r="226" spans="1:9" x14ac:dyDescent="0.25">
      <c r="A226" t="s">
        <v>127</v>
      </c>
      <c r="B226" t="s">
        <v>193</v>
      </c>
      <c r="C226" t="s">
        <v>45</v>
      </c>
      <c r="D226">
        <v>119000</v>
      </c>
      <c r="E226">
        <v>0</v>
      </c>
      <c r="F226" t="s">
        <v>221</v>
      </c>
      <c r="G226">
        <v>671578</v>
      </c>
      <c r="H226">
        <v>0</v>
      </c>
    </row>
    <row r="227" spans="1:9" x14ac:dyDescent="0.25">
      <c r="A227" t="s">
        <v>125</v>
      </c>
      <c r="B227" t="s">
        <v>57</v>
      </c>
      <c r="C227" t="s">
        <v>34</v>
      </c>
      <c r="D227">
        <v>2505</v>
      </c>
      <c r="E227">
        <v>0</v>
      </c>
      <c r="F227" t="s">
        <v>220</v>
      </c>
      <c r="G227">
        <v>669799</v>
      </c>
      <c r="H227">
        <v>0</v>
      </c>
    </row>
    <row r="228" spans="1:9" x14ac:dyDescent="0.25">
      <c r="A228" t="s">
        <v>125</v>
      </c>
      <c r="B228" t="s">
        <v>49</v>
      </c>
      <c r="C228" t="s">
        <v>34</v>
      </c>
      <c r="D228">
        <v>11300</v>
      </c>
      <c r="E228">
        <v>0</v>
      </c>
      <c r="F228" t="s">
        <v>220</v>
      </c>
      <c r="G228">
        <v>657620</v>
      </c>
      <c r="H228">
        <v>0</v>
      </c>
    </row>
    <row r="229" spans="1:9" x14ac:dyDescent="0.25">
      <c r="A229" t="s">
        <v>125</v>
      </c>
      <c r="B229" t="s">
        <v>52</v>
      </c>
      <c r="C229" t="s">
        <v>34</v>
      </c>
      <c r="D229">
        <v>1250</v>
      </c>
      <c r="E229">
        <v>0</v>
      </c>
      <c r="F229" t="s">
        <v>220</v>
      </c>
      <c r="G229">
        <v>652761</v>
      </c>
      <c r="H229">
        <v>0</v>
      </c>
    </row>
    <row r="230" spans="1:9" x14ac:dyDescent="0.25">
      <c r="A230" t="s">
        <v>127</v>
      </c>
      <c r="B230" t="s">
        <v>67</v>
      </c>
      <c r="C230" t="s">
        <v>34</v>
      </c>
      <c r="D230">
        <v>113250</v>
      </c>
      <c r="E230">
        <v>0</v>
      </c>
      <c r="F230" t="s">
        <v>221</v>
      </c>
      <c r="G230">
        <v>651431</v>
      </c>
      <c r="H230">
        <v>0</v>
      </c>
    </row>
    <row r="231" spans="1:9" x14ac:dyDescent="0.25">
      <c r="A231" t="s">
        <v>127</v>
      </c>
      <c r="B231" t="s">
        <v>161</v>
      </c>
      <c r="C231" t="s">
        <v>45</v>
      </c>
      <c r="D231">
        <v>21166</v>
      </c>
      <c r="E231">
        <v>0</v>
      </c>
      <c r="F231" t="s">
        <v>220</v>
      </c>
      <c r="G231">
        <v>648847</v>
      </c>
      <c r="H231">
        <v>0</v>
      </c>
    </row>
    <row r="232" spans="1:9" x14ac:dyDescent="0.25">
      <c r="A232" t="s">
        <v>132</v>
      </c>
      <c r="B232" t="s">
        <v>181</v>
      </c>
      <c r="C232" t="s">
        <v>50</v>
      </c>
      <c r="D232">
        <v>409</v>
      </c>
      <c r="E232">
        <v>0</v>
      </c>
      <c r="F232" t="s">
        <v>43</v>
      </c>
      <c r="G232">
        <v>628804</v>
      </c>
      <c r="H232">
        <v>0</v>
      </c>
    </row>
    <row r="233" spans="1:9" x14ac:dyDescent="0.25">
      <c r="A233" t="s">
        <v>125</v>
      </c>
      <c r="B233" t="s">
        <v>169</v>
      </c>
      <c r="C233" t="s">
        <v>45</v>
      </c>
      <c r="D233">
        <v>2300</v>
      </c>
      <c r="E233">
        <v>0</v>
      </c>
      <c r="F233" t="s">
        <v>220</v>
      </c>
      <c r="G233">
        <v>626663</v>
      </c>
      <c r="H233">
        <v>0</v>
      </c>
    </row>
    <row r="234" spans="1:9" x14ac:dyDescent="0.25">
      <c r="A234" t="s">
        <v>125</v>
      </c>
      <c r="B234" t="s">
        <v>194</v>
      </c>
      <c r="C234" t="s">
        <v>58</v>
      </c>
      <c r="D234">
        <v>4664</v>
      </c>
      <c r="E234">
        <v>0</v>
      </c>
      <c r="F234" t="s">
        <v>220</v>
      </c>
      <c r="G234">
        <v>622831</v>
      </c>
      <c r="H234">
        <v>0</v>
      </c>
    </row>
    <row r="235" spans="1:9" x14ac:dyDescent="0.25">
      <c r="A235" t="s">
        <v>127</v>
      </c>
      <c r="B235" t="s">
        <v>67</v>
      </c>
      <c r="C235" t="s">
        <v>34</v>
      </c>
      <c r="D235">
        <v>8235</v>
      </c>
      <c r="E235">
        <v>0</v>
      </c>
      <c r="F235" t="s">
        <v>220</v>
      </c>
      <c r="G235">
        <v>618056</v>
      </c>
      <c r="H235">
        <v>0</v>
      </c>
    </row>
    <row r="236" spans="1:9" x14ac:dyDescent="0.25">
      <c r="A236" t="s">
        <v>127</v>
      </c>
      <c r="B236" t="s">
        <v>195</v>
      </c>
      <c r="C236" t="s">
        <v>45</v>
      </c>
      <c r="D236">
        <v>113500</v>
      </c>
      <c r="E236">
        <v>0</v>
      </c>
      <c r="F236" t="s">
        <v>221</v>
      </c>
      <c r="G236">
        <v>614896</v>
      </c>
      <c r="H236">
        <v>0</v>
      </c>
    </row>
    <row r="237" spans="1:9" x14ac:dyDescent="0.25">
      <c r="A237" t="s">
        <v>125</v>
      </c>
      <c r="B237" t="s">
        <v>164</v>
      </c>
      <c r="C237" t="s">
        <v>55</v>
      </c>
      <c r="D237">
        <v>1110</v>
      </c>
      <c r="E237">
        <v>0</v>
      </c>
      <c r="F237" t="s">
        <v>220</v>
      </c>
      <c r="G237">
        <v>611819</v>
      </c>
      <c r="H237">
        <v>0</v>
      </c>
    </row>
    <row r="238" spans="1:9" x14ac:dyDescent="0.25">
      <c r="A238" t="s">
        <v>126</v>
      </c>
      <c r="B238" t="s">
        <v>66</v>
      </c>
      <c r="C238" t="s">
        <v>34</v>
      </c>
      <c r="D238">
        <v>590</v>
      </c>
      <c r="E238">
        <v>0</v>
      </c>
      <c r="F238" t="s">
        <v>220</v>
      </c>
      <c r="G238">
        <v>611079</v>
      </c>
      <c r="H238">
        <v>0</v>
      </c>
    </row>
    <row r="239" spans="1:9" x14ac:dyDescent="0.25">
      <c r="A239" t="s">
        <v>126</v>
      </c>
      <c r="B239" t="s">
        <v>83</v>
      </c>
      <c r="C239" t="s">
        <v>34</v>
      </c>
      <c r="D239">
        <v>1358</v>
      </c>
      <c r="E239">
        <v>0</v>
      </c>
      <c r="F239" t="s">
        <v>220</v>
      </c>
      <c r="G239">
        <v>602526</v>
      </c>
      <c r="H239">
        <v>0</v>
      </c>
    </row>
    <row r="240" spans="1:9" x14ac:dyDescent="0.25">
      <c r="A240" t="s">
        <v>125</v>
      </c>
      <c r="B240" t="s">
        <v>54</v>
      </c>
      <c r="C240" t="s">
        <v>34</v>
      </c>
      <c r="D240">
        <v>10000</v>
      </c>
      <c r="E240">
        <v>0</v>
      </c>
      <c r="F240" t="s">
        <v>220</v>
      </c>
      <c r="G240">
        <v>602160</v>
      </c>
      <c r="H240">
        <v>0</v>
      </c>
    </row>
    <row r="241" spans="1:9" x14ac:dyDescent="0.25">
      <c r="A241" t="s">
        <v>125</v>
      </c>
      <c r="B241" t="s">
        <v>57</v>
      </c>
      <c r="C241" t="s">
        <v>34</v>
      </c>
      <c r="D241">
        <v>10900</v>
      </c>
      <c r="E241">
        <v>0</v>
      </c>
      <c r="F241" t="s">
        <v>220</v>
      </c>
      <c r="G241">
        <v>601742</v>
      </c>
      <c r="H241">
        <v>0</v>
      </c>
    </row>
    <row r="242" spans="1:9" x14ac:dyDescent="0.25">
      <c r="A242" t="s">
        <v>125</v>
      </c>
      <c r="B242" t="s">
        <v>86</v>
      </c>
      <c r="C242" t="s">
        <v>34</v>
      </c>
      <c r="D242">
        <v>3414</v>
      </c>
      <c r="E242">
        <v>0</v>
      </c>
      <c r="F242" t="s">
        <v>220</v>
      </c>
      <c r="G242">
        <v>600845</v>
      </c>
      <c r="H242">
        <v>0</v>
      </c>
    </row>
    <row r="243" spans="1:9" x14ac:dyDescent="0.25">
      <c r="A243" t="s">
        <v>127</v>
      </c>
      <c r="B243" t="s">
        <v>177</v>
      </c>
      <c r="C243" t="s">
        <v>48</v>
      </c>
      <c r="D243">
        <v>22500</v>
      </c>
      <c r="E243">
        <v>0</v>
      </c>
      <c r="F243" t="s">
        <v>43</v>
      </c>
      <c r="G243">
        <v>596696</v>
      </c>
      <c r="H243">
        <v>0</v>
      </c>
    </row>
    <row r="244" spans="1:9" x14ac:dyDescent="0.25">
      <c r="A244" t="s">
        <v>131</v>
      </c>
      <c r="B244" t="s">
        <v>170</v>
      </c>
      <c r="C244" t="s">
        <v>61</v>
      </c>
      <c r="D244">
        <v>600</v>
      </c>
      <c r="E244">
        <v>0</v>
      </c>
      <c r="F244" t="s">
        <v>220</v>
      </c>
      <c r="G244">
        <v>592772</v>
      </c>
      <c r="H244">
        <v>0</v>
      </c>
    </row>
    <row r="245" spans="1:9" x14ac:dyDescent="0.25">
      <c r="A245" t="s">
        <v>127</v>
      </c>
      <c r="B245" t="s">
        <v>167</v>
      </c>
      <c r="C245" t="s">
        <v>50</v>
      </c>
      <c r="D245">
        <v>8543</v>
      </c>
      <c r="E245">
        <v>0</v>
      </c>
      <c r="F245" t="s">
        <v>220</v>
      </c>
      <c r="G245">
        <v>588660</v>
      </c>
      <c r="H245">
        <v>0</v>
      </c>
    </row>
    <row r="246" spans="1:9" x14ac:dyDescent="0.25">
      <c r="A246" t="s">
        <v>125</v>
      </c>
      <c r="B246" t="s">
        <v>196</v>
      </c>
      <c r="C246" t="s">
        <v>53</v>
      </c>
      <c r="D246">
        <v>3298</v>
      </c>
      <c r="E246">
        <v>0</v>
      </c>
      <c r="F246" t="s">
        <v>220</v>
      </c>
      <c r="G246">
        <v>574846</v>
      </c>
      <c r="H246">
        <v>0</v>
      </c>
    </row>
    <row r="247" spans="1:9" x14ac:dyDescent="0.25">
      <c r="A247" t="s">
        <v>125</v>
      </c>
      <c r="B247" t="s">
        <v>80</v>
      </c>
      <c r="C247" t="s">
        <v>34</v>
      </c>
      <c r="D247">
        <v>1200</v>
      </c>
      <c r="E247">
        <v>0</v>
      </c>
      <c r="F247" t="s">
        <v>220</v>
      </c>
      <c r="G247">
        <v>572253</v>
      </c>
      <c r="H247">
        <v>0</v>
      </c>
    </row>
    <row r="248" spans="1:9" x14ac:dyDescent="0.25">
      <c r="A248" t="s">
        <v>132</v>
      </c>
      <c r="B248" t="s">
        <v>196</v>
      </c>
      <c r="C248" t="s">
        <v>53</v>
      </c>
      <c r="D248">
        <v>364</v>
      </c>
      <c r="E248">
        <v>0</v>
      </c>
      <c r="F248" t="s">
        <v>43</v>
      </c>
      <c r="G248">
        <v>567923</v>
      </c>
      <c r="H248">
        <v>0</v>
      </c>
    </row>
    <row r="249" spans="1:9" x14ac:dyDescent="0.25">
      <c r="A249" t="s">
        <v>127</v>
      </c>
      <c r="B249" t="s">
        <v>57</v>
      </c>
      <c r="C249" t="s">
        <v>34</v>
      </c>
      <c r="D249">
        <v>18400</v>
      </c>
      <c r="E249">
        <v>0</v>
      </c>
      <c r="F249" t="s">
        <v>220</v>
      </c>
      <c r="G249">
        <v>567358</v>
      </c>
      <c r="H249">
        <v>0</v>
      </c>
    </row>
    <row r="250" spans="1:9" x14ac:dyDescent="0.25">
      <c r="A250" t="s">
        <v>127</v>
      </c>
      <c r="B250" t="s">
        <v>173</v>
      </c>
      <c r="C250" t="s">
        <v>61</v>
      </c>
      <c r="D250">
        <v>780</v>
      </c>
      <c r="E250">
        <v>0</v>
      </c>
      <c r="F250" t="s">
        <v>43</v>
      </c>
      <c r="G250">
        <v>560104</v>
      </c>
      <c r="H250">
        <v>0</v>
      </c>
    </row>
    <row r="251" spans="1:9" x14ac:dyDescent="0.25">
      <c r="A251" t="s">
        <v>126</v>
      </c>
      <c r="B251" t="s">
        <v>67</v>
      </c>
      <c r="C251" t="s">
        <v>34</v>
      </c>
      <c r="D251">
        <v>240</v>
      </c>
      <c r="E251">
        <v>0</v>
      </c>
      <c r="F251" t="s">
        <v>220</v>
      </c>
      <c r="G251">
        <v>551886</v>
      </c>
      <c r="H251">
        <v>0</v>
      </c>
    </row>
    <row r="252" spans="1:9" x14ac:dyDescent="0.25">
      <c r="A252" t="s">
        <v>126</v>
      </c>
      <c r="B252" t="s">
        <v>54</v>
      </c>
      <c r="C252" t="s">
        <v>34</v>
      </c>
      <c r="D252">
        <v>1044</v>
      </c>
      <c r="E252">
        <v>0</v>
      </c>
      <c r="F252" t="s">
        <v>220</v>
      </c>
      <c r="G252">
        <v>551262</v>
      </c>
      <c r="H252">
        <v>0</v>
      </c>
    </row>
    <row r="253" spans="1:9" x14ac:dyDescent="0.25">
      <c r="A253" t="s">
        <v>126</v>
      </c>
      <c r="B253" t="s">
        <v>76</v>
      </c>
      <c r="C253" t="s">
        <v>34</v>
      </c>
      <c r="D253">
        <v>928</v>
      </c>
      <c r="E253">
        <v>0</v>
      </c>
      <c r="F253" t="s">
        <v>220</v>
      </c>
      <c r="G253">
        <v>549862</v>
      </c>
      <c r="H253">
        <v>0</v>
      </c>
    </row>
    <row r="254" spans="1:9" x14ac:dyDescent="0.25">
      <c r="A254" t="s">
        <v>127</v>
      </c>
      <c r="B254" t="s">
        <v>180</v>
      </c>
      <c r="C254" t="s">
        <v>45</v>
      </c>
      <c r="D254">
        <v>90000</v>
      </c>
      <c r="E254">
        <v>0</v>
      </c>
      <c r="F254" t="s">
        <v>221</v>
      </c>
      <c r="G254">
        <v>543996</v>
      </c>
      <c r="H254">
        <v>0</v>
      </c>
    </row>
    <row r="255" spans="1:9" x14ac:dyDescent="0.25">
      <c r="A255" t="s">
        <v>127</v>
      </c>
      <c r="B255" t="s">
        <v>171</v>
      </c>
      <c r="C255" t="s">
        <v>48</v>
      </c>
      <c r="D255">
        <v>656</v>
      </c>
      <c r="E255">
        <v>0</v>
      </c>
      <c r="F255" t="s">
        <v>43</v>
      </c>
      <c r="G255">
        <v>538203</v>
      </c>
      <c r="H255">
        <v>0</v>
      </c>
    </row>
    <row r="256" spans="1:9" x14ac:dyDescent="0.25">
      <c r="A256" t="s">
        <v>127</v>
      </c>
      <c r="B256" t="s">
        <v>191</v>
      </c>
      <c r="C256" t="s">
        <v>45</v>
      </c>
      <c r="D256">
        <v>87000</v>
      </c>
      <c r="E256">
        <v>0</v>
      </c>
      <c r="F256" t="s">
        <v>221</v>
      </c>
      <c r="G256">
        <v>535099</v>
      </c>
      <c r="H256">
        <v>0</v>
      </c>
    </row>
    <row r="257" spans="1:9" x14ac:dyDescent="0.25">
      <c r="A257" t="s">
        <v>126</v>
      </c>
      <c r="B257" t="s">
        <v>180</v>
      </c>
      <c r="C257" t="s">
        <v>45</v>
      </c>
      <c r="D257">
        <v>1305</v>
      </c>
      <c r="E257">
        <v>0</v>
      </c>
      <c r="F257" t="s">
        <v>220</v>
      </c>
      <c r="G257">
        <v>533901</v>
      </c>
      <c r="H257">
        <v>0</v>
      </c>
    </row>
    <row r="258" spans="1:9" x14ac:dyDescent="0.25">
      <c r="A258" t="s">
        <v>126</v>
      </c>
      <c r="B258" t="s">
        <v>170</v>
      </c>
      <c r="C258" t="s">
        <v>61</v>
      </c>
      <c r="D258">
        <v>1626</v>
      </c>
      <c r="E258">
        <v>0</v>
      </c>
      <c r="F258" t="s">
        <v>220</v>
      </c>
      <c r="G258">
        <v>533886</v>
      </c>
      <c r="H258">
        <v>0</v>
      </c>
    </row>
    <row r="259" spans="1:9" x14ac:dyDescent="0.25">
      <c r="A259" t="s">
        <v>132</v>
      </c>
      <c r="B259" t="s">
        <v>169</v>
      </c>
      <c r="C259" t="s">
        <v>45</v>
      </c>
      <c r="D259">
        <v>290</v>
      </c>
      <c r="E259">
        <v>0</v>
      </c>
      <c r="F259" t="s">
        <v>43</v>
      </c>
      <c r="G259">
        <v>533449</v>
      </c>
      <c r="H259">
        <v>0</v>
      </c>
    </row>
    <row r="260" spans="1:9" x14ac:dyDescent="0.25">
      <c r="A260" t="s">
        <v>131</v>
      </c>
      <c r="B260" t="s">
        <v>75</v>
      </c>
      <c r="C260" t="s">
        <v>34</v>
      </c>
      <c r="D260">
        <v>482</v>
      </c>
      <c r="E260">
        <v>0</v>
      </c>
      <c r="F260" t="s">
        <v>220</v>
      </c>
      <c r="G260">
        <v>532949</v>
      </c>
      <c r="H260">
        <v>0</v>
      </c>
    </row>
    <row r="261" spans="1:9" x14ac:dyDescent="0.25">
      <c r="A261" t="s">
        <v>132</v>
      </c>
      <c r="B261" t="s">
        <v>170</v>
      </c>
      <c r="C261" t="s">
        <v>61</v>
      </c>
      <c r="D261">
        <v>321</v>
      </c>
      <c r="E261">
        <v>0</v>
      </c>
      <c r="F261" t="s">
        <v>43</v>
      </c>
      <c r="G261">
        <v>525313</v>
      </c>
      <c r="H261">
        <v>0</v>
      </c>
    </row>
    <row r="262" spans="1:9" x14ac:dyDescent="0.25">
      <c r="A262" t="s">
        <v>127</v>
      </c>
      <c r="B262" t="s">
        <v>170</v>
      </c>
      <c r="C262" t="s">
        <v>61</v>
      </c>
      <c r="D262">
        <v>714</v>
      </c>
      <c r="E262">
        <v>0</v>
      </c>
      <c r="F262" t="s">
        <v>43</v>
      </c>
      <c r="G262">
        <v>524222</v>
      </c>
      <c r="H262">
        <v>0</v>
      </c>
    </row>
    <row r="263" spans="1:9" x14ac:dyDescent="0.25">
      <c r="A263" t="s">
        <v>125</v>
      </c>
      <c r="B263" t="s">
        <v>82</v>
      </c>
      <c r="C263" t="s">
        <v>34</v>
      </c>
      <c r="D263">
        <v>3759</v>
      </c>
      <c r="E263">
        <v>0</v>
      </c>
      <c r="F263" t="s">
        <v>220</v>
      </c>
      <c r="G263">
        <v>523947</v>
      </c>
      <c r="H263">
        <v>0</v>
      </c>
    </row>
    <row r="264" spans="1:9" x14ac:dyDescent="0.25">
      <c r="A264" t="s">
        <v>125</v>
      </c>
      <c r="B264" t="s">
        <v>73</v>
      </c>
      <c r="C264" t="s">
        <v>34</v>
      </c>
      <c r="D264">
        <v>1000</v>
      </c>
      <c r="E264">
        <v>0</v>
      </c>
      <c r="F264" t="s">
        <v>220</v>
      </c>
      <c r="G264">
        <v>521181</v>
      </c>
      <c r="H264">
        <v>0</v>
      </c>
    </row>
    <row r="265" spans="1:9" x14ac:dyDescent="0.25">
      <c r="A265" t="s">
        <v>125</v>
      </c>
      <c r="B265" t="s">
        <v>60</v>
      </c>
      <c r="C265" t="s">
        <v>34</v>
      </c>
      <c r="D265">
        <v>9200</v>
      </c>
      <c r="E265">
        <v>0</v>
      </c>
      <c r="F265" t="s">
        <v>220</v>
      </c>
      <c r="G265">
        <v>518135</v>
      </c>
      <c r="H265">
        <v>0</v>
      </c>
    </row>
    <row r="266" spans="1:9" x14ac:dyDescent="0.25">
      <c r="A266" t="s">
        <v>127</v>
      </c>
      <c r="B266" t="s">
        <v>72</v>
      </c>
      <c r="C266" t="s">
        <v>34</v>
      </c>
      <c r="D266">
        <v>4916</v>
      </c>
      <c r="E266">
        <v>0</v>
      </c>
      <c r="F266" t="s">
        <v>220</v>
      </c>
      <c r="G266">
        <v>509018</v>
      </c>
      <c r="H266">
        <v>0</v>
      </c>
    </row>
    <row r="267" spans="1:9" x14ac:dyDescent="0.25">
      <c r="A267" t="s">
        <v>125</v>
      </c>
      <c r="B267" t="s">
        <v>75</v>
      </c>
      <c r="C267" t="s">
        <v>34</v>
      </c>
      <c r="D267">
        <v>1000</v>
      </c>
      <c r="E267">
        <v>0</v>
      </c>
      <c r="F267" t="s">
        <v>220</v>
      </c>
      <c r="G267">
        <v>503100</v>
      </c>
      <c r="H267">
        <v>0</v>
      </c>
    </row>
    <row r="268" spans="1:9" x14ac:dyDescent="0.25">
      <c r="A268" t="s">
        <v>125</v>
      </c>
      <c r="B268" t="s">
        <v>77</v>
      </c>
      <c r="C268" t="s">
        <v>34</v>
      </c>
      <c r="D268">
        <v>1000</v>
      </c>
      <c r="E268">
        <v>0</v>
      </c>
      <c r="F268" t="s">
        <v>220</v>
      </c>
      <c r="G268">
        <v>503100</v>
      </c>
      <c r="H268">
        <v>0</v>
      </c>
    </row>
    <row r="269" spans="1:9" x14ac:dyDescent="0.25">
      <c r="A269" t="s">
        <v>126</v>
      </c>
      <c r="B269" t="s">
        <v>162</v>
      </c>
      <c r="C269" t="s">
        <v>58</v>
      </c>
      <c r="D269">
        <v>1071</v>
      </c>
      <c r="E269">
        <v>0</v>
      </c>
      <c r="F269" t="s">
        <v>220</v>
      </c>
      <c r="G269">
        <v>495875</v>
      </c>
      <c r="H269">
        <v>0</v>
      </c>
    </row>
    <row r="270" spans="1:9" x14ac:dyDescent="0.25">
      <c r="A270" t="s">
        <v>126</v>
      </c>
      <c r="B270" t="s">
        <v>177</v>
      </c>
      <c r="C270" t="s">
        <v>48</v>
      </c>
      <c r="D270">
        <v>1362</v>
      </c>
      <c r="E270">
        <v>0</v>
      </c>
      <c r="F270" t="s">
        <v>220</v>
      </c>
      <c r="G270">
        <v>493930</v>
      </c>
      <c r="H270">
        <v>0</v>
      </c>
    </row>
    <row r="271" spans="1:9" x14ac:dyDescent="0.25">
      <c r="A271" t="s">
        <v>125</v>
      </c>
      <c r="B271" t="s">
        <v>87</v>
      </c>
      <c r="C271" t="s">
        <v>34</v>
      </c>
      <c r="D271">
        <v>3207</v>
      </c>
      <c r="E271">
        <v>0</v>
      </c>
      <c r="F271" t="s">
        <v>220</v>
      </c>
      <c r="G271">
        <v>491231</v>
      </c>
      <c r="H271">
        <v>0</v>
      </c>
    </row>
    <row r="272" spans="1:9" x14ac:dyDescent="0.25">
      <c r="A272" t="s">
        <v>127</v>
      </c>
      <c r="B272" t="s">
        <v>77</v>
      </c>
      <c r="C272" t="s">
        <v>34</v>
      </c>
      <c r="D272">
        <v>101250</v>
      </c>
      <c r="E272">
        <v>0</v>
      </c>
      <c r="F272" t="s">
        <v>221</v>
      </c>
      <c r="G272">
        <v>486834</v>
      </c>
      <c r="H272">
        <v>0</v>
      </c>
    </row>
    <row r="273" spans="1:9" x14ac:dyDescent="0.25">
      <c r="A273" t="s">
        <v>125</v>
      </c>
      <c r="B273" t="s">
        <v>64</v>
      </c>
      <c r="C273" t="s">
        <v>34</v>
      </c>
      <c r="D273">
        <v>8500</v>
      </c>
      <c r="E273">
        <v>0</v>
      </c>
      <c r="F273" t="s">
        <v>220</v>
      </c>
      <c r="G273">
        <v>485875</v>
      </c>
      <c r="H273">
        <v>0</v>
      </c>
    </row>
    <row r="274" spans="1:9" x14ac:dyDescent="0.25">
      <c r="A274" t="s">
        <v>126</v>
      </c>
      <c r="B274" t="s">
        <v>75</v>
      </c>
      <c r="C274" t="s">
        <v>34</v>
      </c>
      <c r="D274">
        <v>600</v>
      </c>
      <c r="E274">
        <v>0</v>
      </c>
      <c r="F274" t="s">
        <v>220</v>
      </c>
      <c r="G274">
        <v>484047</v>
      </c>
      <c r="H274">
        <v>0</v>
      </c>
    </row>
    <row r="275" spans="1:9" x14ac:dyDescent="0.25">
      <c r="A275" t="s">
        <v>126</v>
      </c>
      <c r="B275" t="s">
        <v>186</v>
      </c>
      <c r="C275" t="s">
        <v>53</v>
      </c>
      <c r="D275">
        <v>1510</v>
      </c>
      <c r="E275">
        <v>0</v>
      </c>
      <c r="F275" t="s">
        <v>220</v>
      </c>
      <c r="G275">
        <v>478569</v>
      </c>
      <c r="H275">
        <v>0</v>
      </c>
    </row>
    <row r="276" spans="1:9" x14ac:dyDescent="0.25">
      <c r="A276" t="s">
        <v>125</v>
      </c>
      <c r="B276" t="s">
        <v>181</v>
      </c>
      <c r="C276" t="s">
        <v>50</v>
      </c>
      <c r="D276">
        <v>1010</v>
      </c>
      <c r="E276">
        <v>0</v>
      </c>
      <c r="F276" t="s">
        <v>220</v>
      </c>
      <c r="G276">
        <v>476659</v>
      </c>
      <c r="H276">
        <v>0</v>
      </c>
    </row>
    <row r="277" spans="1:9" x14ac:dyDescent="0.25">
      <c r="A277" t="s">
        <v>132</v>
      </c>
      <c r="B277" t="s">
        <v>177</v>
      </c>
      <c r="C277" t="s">
        <v>48</v>
      </c>
      <c r="D277">
        <v>277</v>
      </c>
      <c r="E277">
        <v>0</v>
      </c>
      <c r="F277" t="s">
        <v>43</v>
      </c>
      <c r="G277">
        <v>475938</v>
      </c>
      <c r="H277">
        <v>0</v>
      </c>
    </row>
    <row r="278" spans="1:9" x14ac:dyDescent="0.25">
      <c r="A278" t="s">
        <v>125</v>
      </c>
      <c r="B278" t="s">
        <v>62</v>
      </c>
      <c r="C278" t="s">
        <v>34</v>
      </c>
      <c r="D278">
        <v>1000</v>
      </c>
      <c r="E278">
        <v>0</v>
      </c>
      <c r="F278" t="s">
        <v>220</v>
      </c>
      <c r="G278">
        <v>473697</v>
      </c>
      <c r="H278">
        <v>0</v>
      </c>
    </row>
    <row r="279" spans="1:9" x14ac:dyDescent="0.25">
      <c r="A279" t="s">
        <v>125</v>
      </c>
      <c r="B279" t="s">
        <v>47</v>
      </c>
      <c r="C279" t="s">
        <v>34</v>
      </c>
      <c r="D279">
        <v>1750</v>
      </c>
      <c r="E279">
        <v>0</v>
      </c>
      <c r="F279" t="s">
        <v>220</v>
      </c>
      <c r="G279">
        <v>472024</v>
      </c>
      <c r="H279">
        <v>0</v>
      </c>
    </row>
    <row r="280" spans="1:9" x14ac:dyDescent="0.25">
      <c r="A280" t="s">
        <v>131</v>
      </c>
      <c r="B280" t="s">
        <v>184</v>
      </c>
      <c r="C280" t="s">
        <v>50</v>
      </c>
      <c r="D280">
        <v>368</v>
      </c>
      <c r="E280">
        <v>0</v>
      </c>
      <c r="F280" t="s">
        <v>220</v>
      </c>
      <c r="G280">
        <v>467461</v>
      </c>
      <c r="H280">
        <v>0</v>
      </c>
    </row>
    <row r="281" spans="1:9" x14ac:dyDescent="0.25">
      <c r="A281" t="s">
        <v>126</v>
      </c>
      <c r="B281" t="s">
        <v>197</v>
      </c>
      <c r="C281" t="s">
        <v>45</v>
      </c>
      <c r="D281">
        <v>545</v>
      </c>
      <c r="E281">
        <v>0</v>
      </c>
      <c r="F281" t="s">
        <v>220</v>
      </c>
      <c r="G281">
        <v>464578</v>
      </c>
      <c r="H281">
        <v>0</v>
      </c>
    </row>
    <row r="282" spans="1:9" x14ac:dyDescent="0.25">
      <c r="A282" t="s">
        <v>125</v>
      </c>
      <c r="B282" t="s">
        <v>175</v>
      </c>
      <c r="C282" t="s">
        <v>48</v>
      </c>
      <c r="D282">
        <v>8700</v>
      </c>
      <c r="E282">
        <v>0</v>
      </c>
      <c r="F282" t="s">
        <v>220</v>
      </c>
      <c r="G282">
        <v>464218</v>
      </c>
      <c r="H282">
        <v>0</v>
      </c>
    </row>
    <row r="283" spans="1:9" x14ac:dyDescent="0.25">
      <c r="A283" t="s">
        <v>125</v>
      </c>
      <c r="B283" t="s">
        <v>170</v>
      </c>
      <c r="C283" t="s">
        <v>61</v>
      </c>
      <c r="D283">
        <v>930</v>
      </c>
      <c r="E283">
        <v>0</v>
      </c>
      <c r="F283" t="s">
        <v>220</v>
      </c>
      <c r="G283">
        <v>459424</v>
      </c>
      <c r="H283">
        <v>0</v>
      </c>
    </row>
    <row r="284" spans="1:9" x14ac:dyDescent="0.25">
      <c r="A284" t="s">
        <v>126</v>
      </c>
      <c r="B284" t="s">
        <v>73</v>
      </c>
      <c r="C284" t="s">
        <v>34</v>
      </c>
      <c r="D284">
        <v>722</v>
      </c>
      <c r="E284">
        <v>0</v>
      </c>
      <c r="F284" t="s">
        <v>220</v>
      </c>
      <c r="G284">
        <v>458061</v>
      </c>
      <c r="H284">
        <v>0</v>
      </c>
    </row>
    <row r="285" spans="1:9" x14ac:dyDescent="0.25">
      <c r="A285" t="s">
        <v>125</v>
      </c>
      <c r="B285" t="s">
        <v>167</v>
      </c>
      <c r="C285" t="s">
        <v>50</v>
      </c>
      <c r="D285">
        <v>9300</v>
      </c>
      <c r="E285">
        <v>0</v>
      </c>
      <c r="F285" t="s">
        <v>220</v>
      </c>
      <c r="G285">
        <v>457578</v>
      </c>
      <c r="H285">
        <v>0</v>
      </c>
    </row>
    <row r="286" spans="1:9" x14ac:dyDescent="0.25">
      <c r="A286" t="s">
        <v>132</v>
      </c>
      <c r="B286" t="s">
        <v>166</v>
      </c>
      <c r="C286" t="s">
        <v>50</v>
      </c>
      <c r="D286">
        <v>2740</v>
      </c>
      <c r="E286">
        <v>0</v>
      </c>
      <c r="F286" t="s">
        <v>220</v>
      </c>
      <c r="G286">
        <v>455630</v>
      </c>
      <c r="H286">
        <v>0</v>
      </c>
    </row>
    <row r="287" spans="1:9" x14ac:dyDescent="0.25">
      <c r="A287" t="s">
        <v>127</v>
      </c>
      <c r="B287" t="s">
        <v>167</v>
      </c>
      <c r="C287" t="s">
        <v>50</v>
      </c>
      <c r="D287">
        <v>81500</v>
      </c>
      <c r="E287">
        <v>0</v>
      </c>
      <c r="F287" t="s">
        <v>221</v>
      </c>
      <c r="G287">
        <v>455075</v>
      </c>
      <c r="H287">
        <v>0</v>
      </c>
    </row>
    <row r="288" spans="1:9" x14ac:dyDescent="0.25">
      <c r="A288" t="s">
        <v>132</v>
      </c>
      <c r="B288" t="s">
        <v>178</v>
      </c>
      <c r="C288" t="s">
        <v>58</v>
      </c>
      <c r="D288">
        <v>264</v>
      </c>
      <c r="E288">
        <v>0</v>
      </c>
      <c r="F288" t="s">
        <v>43</v>
      </c>
      <c r="G288">
        <v>448951</v>
      </c>
      <c r="H288">
        <v>0</v>
      </c>
    </row>
    <row r="289" spans="1:9" x14ac:dyDescent="0.25">
      <c r="A289" t="s">
        <v>126</v>
      </c>
      <c r="B289" t="s">
        <v>198</v>
      </c>
      <c r="C289" t="s">
        <v>45</v>
      </c>
      <c r="D289">
        <v>383</v>
      </c>
      <c r="E289">
        <v>0</v>
      </c>
      <c r="F289" t="s">
        <v>220</v>
      </c>
      <c r="G289">
        <v>447151</v>
      </c>
      <c r="H289">
        <v>0</v>
      </c>
    </row>
    <row r="290" spans="1:9" x14ac:dyDescent="0.25">
      <c r="A290" t="s">
        <v>125</v>
      </c>
      <c r="B290" t="s">
        <v>165</v>
      </c>
      <c r="C290" t="s">
        <v>48</v>
      </c>
      <c r="D290">
        <v>7500</v>
      </c>
      <c r="E290">
        <v>0</v>
      </c>
      <c r="F290" t="s">
        <v>220</v>
      </c>
      <c r="G290">
        <v>441053</v>
      </c>
      <c r="H290">
        <v>0</v>
      </c>
    </row>
    <row r="291" spans="1:9" x14ac:dyDescent="0.25">
      <c r="A291" t="s">
        <v>126</v>
      </c>
      <c r="B291" t="s">
        <v>52</v>
      </c>
      <c r="C291" t="s">
        <v>34</v>
      </c>
      <c r="D291">
        <v>1201</v>
      </c>
      <c r="E291">
        <v>0</v>
      </c>
      <c r="F291" t="s">
        <v>220</v>
      </c>
      <c r="G291">
        <v>432913</v>
      </c>
      <c r="H291">
        <v>0</v>
      </c>
    </row>
    <row r="292" spans="1:9" x14ac:dyDescent="0.25">
      <c r="A292" t="s">
        <v>132</v>
      </c>
      <c r="B292" t="s">
        <v>69</v>
      </c>
      <c r="C292" t="s">
        <v>34</v>
      </c>
      <c r="D292">
        <v>194</v>
      </c>
      <c r="E292">
        <v>0</v>
      </c>
      <c r="F292" t="s">
        <v>220</v>
      </c>
      <c r="G292">
        <v>432057</v>
      </c>
      <c r="H292">
        <v>0</v>
      </c>
    </row>
    <row r="293" spans="1:9" x14ac:dyDescent="0.25">
      <c r="A293" t="s">
        <v>125</v>
      </c>
      <c r="B293" t="s">
        <v>177</v>
      </c>
      <c r="C293" t="s">
        <v>48</v>
      </c>
      <c r="D293">
        <v>790</v>
      </c>
      <c r="E293">
        <v>0</v>
      </c>
      <c r="F293" t="s">
        <v>220</v>
      </c>
      <c r="G293">
        <v>425374</v>
      </c>
      <c r="H293">
        <v>0</v>
      </c>
    </row>
    <row r="294" spans="1:9" x14ac:dyDescent="0.25">
      <c r="A294" t="s">
        <v>132</v>
      </c>
      <c r="B294" t="s">
        <v>173</v>
      </c>
      <c r="C294" t="s">
        <v>61</v>
      </c>
      <c r="D294">
        <v>281</v>
      </c>
      <c r="E294">
        <v>0</v>
      </c>
      <c r="F294" t="s">
        <v>43</v>
      </c>
      <c r="G294">
        <v>425130</v>
      </c>
      <c r="H294">
        <v>0</v>
      </c>
    </row>
    <row r="295" spans="1:9" x14ac:dyDescent="0.25">
      <c r="A295" t="s">
        <v>127</v>
      </c>
      <c r="B295" t="s">
        <v>49</v>
      </c>
      <c r="C295" t="s">
        <v>34</v>
      </c>
      <c r="D295">
        <v>19975</v>
      </c>
      <c r="E295">
        <v>0</v>
      </c>
      <c r="F295" t="s">
        <v>220</v>
      </c>
      <c r="G295">
        <v>424294</v>
      </c>
      <c r="H295">
        <v>0</v>
      </c>
    </row>
    <row r="296" spans="1:9" x14ac:dyDescent="0.25">
      <c r="A296" t="s">
        <v>126</v>
      </c>
      <c r="B296" t="s">
        <v>60</v>
      </c>
      <c r="C296" t="s">
        <v>34</v>
      </c>
      <c r="D296">
        <v>750</v>
      </c>
      <c r="E296">
        <v>0</v>
      </c>
      <c r="F296" t="s">
        <v>220</v>
      </c>
      <c r="G296">
        <v>418447</v>
      </c>
      <c r="H296">
        <v>0</v>
      </c>
    </row>
    <row r="297" spans="1:9" x14ac:dyDescent="0.25">
      <c r="A297" t="s">
        <v>125</v>
      </c>
      <c r="B297" t="s">
        <v>72</v>
      </c>
      <c r="C297" t="s">
        <v>34</v>
      </c>
      <c r="D297">
        <v>2794</v>
      </c>
      <c r="E297">
        <v>0</v>
      </c>
      <c r="F297" t="s">
        <v>220</v>
      </c>
      <c r="G297">
        <v>415506</v>
      </c>
      <c r="H297">
        <v>0</v>
      </c>
    </row>
    <row r="298" spans="1:9" x14ac:dyDescent="0.25">
      <c r="A298" t="s">
        <v>126</v>
      </c>
      <c r="B298" t="s">
        <v>77</v>
      </c>
      <c r="C298" t="s">
        <v>34</v>
      </c>
      <c r="D298">
        <v>492</v>
      </c>
      <c r="E298">
        <v>0</v>
      </c>
      <c r="F298" t="s">
        <v>220</v>
      </c>
      <c r="G298">
        <v>412710</v>
      </c>
      <c r="H298">
        <v>0</v>
      </c>
    </row>
    <row r="299" spans="1:9" x14ac:dyDescent="0.25">
      <c r="A299" t="s">
        <v>125</v>
      </c>
      <c r="B299" t="s">
        <v>79</v>
      </c>
      <c r="C299" t="s">
        <v>34</v>
      </c>
      <c r="D299">
        <v>2732</v>
      </c>
      <c r="E299">
        <v>0</v>
      </c>
      <c r="F299" t="s">
        <v>220</v>
      </c>
      <c r="G299">
        <v>411368</v>
      </c>
      <c r="H299">
        <v>0</v>
      </c>
    </row>
    <row r="300" spans="1:9" x14ac:dyDescent="0.25">
      <c r="A300" t="s">
        <v>125</v>
      </c>
      <c r="B300" t="s">
        <v>52</v>
      </c>
      <c r="C300" t="s">
        <v>34</v>
      </c>
      <c r="D300">
        <v>1450</v>
      </c>
      <c r="E300">
        <v>0</v>
      </c>
      <c r="F300" t="s">
        <v>220</v>
      </c>
      <c r="G300">
        <v>409056</v>
      </c>
      <c r="H300">
        <v>0</v>
      </c>
    </row>
    <row r="301" spans="1:9" x14ac:dyDescent="0.25">
      <c r="A301" t="s">
        <v>126</v>
      </c>
      <c r="B301" t="s">
        <v>174</v>
      </c>
      <c r="C301" t="s">
        <v>45</v>
      </c>
      <c r="D301">
        <v>501</v>
      </c>
      <c r="E301">
        <v>0</v>
      </c>
      <c r="F301" t="s">
        <v>220</v>
      </c>
      <c r="G301">
        <v>406064</v>
      </c>
      <c r="H301">
        <v>0</v>
      </c>
    </row>
    <row r="302" spans="1:9" x14ac:dyDescent="0.25">
      <c r="A302" t="s">
        <v>127</v>
      </c>
      <c r="B302" t="s">
        <v>163</v>
      </c>
      <c r="C302" t="s">
        <v>45</v>
      </c>
      <c r="D302">
        <v>9272</v>
      </c>
      <c r="E302">
        <v>0</v>
      </c>
      <c r="F302" t="s">
        <v>220</v>
      </c>
      <c r="G302">
        <v>405992</v>
      </c>
      <c r="H302">
        <v>0</v>
      </c>
    </row>
    <row r="303" spans="1:9" x14ac:dyDescent="0.25">
      <c r="A303" t="s">
        <v>125</v>
      </c>
      <c r="B303" t="s">
        <v>79</v>
      </c>
      <c r="C303" t="s">
        <v>34</v>
      </c>
      <c r="D303">
        <v>800</v>
      </c>
      <c r="E303">
        <v>0</v>
      </c>
      <c r="F303" t="s">
        <v>220</v>
      </c>
      <c r="G303">
        <v>405227</v>
      </c>
      <c r="H303">
        <v>0</v>
      </c>
    </row>
    <row r="304" spans="1:9" x14ac:dyDescent="0.25">
      <c r="A304" t="s">
        <v>125</v>
      </c>
      <c r="B304" t="s">
        <v>164</v>
      </c>
      <c r="C304" t="s">
        <v>55</v>
      </c>
      <c r="D304">
        <v>1420</v>
      </c>
      <c r="E304">
        <v>0</v>
      </c>
      <c r="F304" t="s">
        <v>220</v>
      </c>
      <c r="G304">
        <v>403730</v>
      </c>
      <c r="H304">
        <v>0</v>
      </c>
    </row>
    <row r="305" spans="1:9" x14ac:dyDescent="0.25">
      <c r="A305" t="s">
        <v>126</v>
      </c>
      <c r="B305" t="s">
        <v>184</v>
      </c>
      <c r="C305" t="s">
        <v>50</v>
      </c>
      <c r="D305">
        <v>2030</v>
      </c>
      <c r="E305">
        <v>0</v>
      </c>
      <c r="F305" t="s">
        <v>220</v>
      </c>
      <c r="G305">
        <v>401663</v>
      </c>
      <c r="H305">
        <v>0</v>
      </c>
    </row>
    <row r="306" spans="1:9" x14ac:dyDescent="0.25">
      <c r="A306" t="s">
        <v>131</v>
      </c>
      <c r="B306" t="s">
        <v>60</v>
      </c>
      <c r="C306" t="s">
        <v>34</v>
      </c>
      <c r="D306">
        <v>341</v>
      </c>
      <c r="E306">
        <v>0</v>
      </c>
      <c r="F306" t="s">
        <v>220</v>
      </c>
      <c r="G306">
        <v>400488</v>
      </c>
      <c r="H306">
        <v>0</v>
      </c>
    </row>
    <row r="307" spans="1:9" x14ac:dyDescent="0.25">
      <c r="A307" t="s">
        <v>131</v>
      </c>
      <c r="B307" t="s">
        <v>187</v>
      </c>
      <c r="C307" t="s">
        <v>45</v>
      </c>
      <c r="D307">
        <v>328</v>
      </c>
      <c r="E307">
        <v>0</v>
      </c>
      <c r="F307" t="s">
        <v>220</v>
      </c>
      <c r="G307">
        <v>395566</v>
      </c>
      <c r="H307">
        <v>0</v>
      </c>
    </row>
    <row r="308" spans="1:9" x14ac:dyDescent="0.25">
      <c r="A308" t="s">
        <v>125</v>
      </c>
      <c r="B308" t="s">
        <v>44</v>
      </c>
      <c r="C308" t="s">
        <v>34</v>
      </c>
      <c r="D308">
        <v>10910</v>
      </c>
      <c r="E308">
        <v>0</v>
      </c>
      <c r="F308" t="s">
        <v>220</v>
      </c>
      <c r="G308">
        <v>393012</v>
      </c>
      <c r="H308">
        <v>0</v>
      </c>
    </row>
    <row r="309" spans="1:9" x14ac:dyDescent="0.25">
      <c r="A309" t="s">
        <v>127</v>
      </c>
      <c r="B309" t="s">
        <v>168</v>
      </c>
      <c r="C309" t="s">
        <v>53</v>
      </c>
      <c r="D309">
        <v>646</v>
      </c>
      <c r="E309">
        <v>0</v>
      </c>
      <c r="F309" t="s">
        <v>43</v>
      </c>
      <c r="G309">
        <v>392063</v>
      </c>
      <c r="H309">
        <v>0</v>
      </c>
    </row>
    <row r="310" spans="1:9" x14ac:dyDescent="0.25">
      <c r="A310" t="s">
        <v>127</v>
      </c>
      <c r="B310" t="s">
        <v>52</v>
      </c>
      <c r="C310" t="s">
        <v>34</v>
      </c>
      <c r="D310">
        <v>12200</v>
      </c>
      <c r="E310">
        <v>0</v>
      </c>
      <c r="F310" t="s">
        <v>220</v>
      </c>
      <c r="G310">
        <v>387867</v>
      </c>
      <c r="H310">
        <v>0</v>
      </c>
    </row>
    <row r="311" spans="1:9" x14ac:dyDescent="0.25">
      <c r="A311" t="s">
        <v>126</v>
      </c>
      <c r="B311" t="s">
        <v>176</v>
      </c>
      <c r="C311" t="s">
        <v>53</v>
      </c>
      <c r="D311">
        <v>700</v>
      </c>
      <c r="E311">
        <v>0</v>
      </c>
      <c r="F311" t="s">
        <v>220</v>
      </c>
      <c r="G311">
        <v>387114</v>
      </c>
      <c r="H311">
        <v>0</v>
      </c>
    </row>
    <row r="312" spans="1:9" x14ac:dyDescent="0.25">
      <c r="A312" t="s">
        <v>125</v>
      </c>
      <c r="B312" t="s">
        <v>88</v>
      </c>
      <c r="C312" t="s">
        <v>34</v>
      </c>
      <c r="D312">
        <v>2670</v>
      </c>
      <c r="E312">
        <v>0</v>
      </c>
      <c r="F312" t="s">
        <v>220</v>
      </c>
      <c r="G312">
        <v>382378</v>
      </c>
      <c r="H312">
        <v>0</v>
      </c>
    </row>
    <row r="313" spans="1:9" x14ac:dyDescent="0.25">
      <c r="A313" t="s">
        <v>125</v>
      </c>
      <c r="B313" t="s">
        <v>186</v>
      </c>
      <c r="C313" t="s">
        <v>53</v>
      </c>
      <c r="D313">
        <v>2379</v>
      </c>
      <c r="E313">
        <v>0</v>
      </c>
      <c r="F313" t="s">
        <v>220</v>
      </c>
      <c r="G313">
        <v>381889</v>
      </c>
      <c r="H313">
        <v>0</v>
      </c>
    </row>
    <row r="314" spans="1:9" x14ac:dyDescent="0.25">
      <c r="A314" t="s">
        <v>127</v>
      </c>
      <c r="B314" t="s">
        <v>67</v>
      </c>
      <c r="C314" t="s">
        <v>34</v>
      </c>
      <c r="D314">
        <v>525</v>
      </c>
      <c r="E314">
        <v>0</v>
      </c>
      <c r="F314" t="s">
        <v>43</v>
      </c>
      <c r="G314">
        <v>375646</v>
      </c>
      <c r="H314">
        <v>0</v>
      </c>
    </row>
    <row r="315" spans="1:9" x14ac:dyDescent="0.25">
      <c r="A315" t="s">
        <v>126</v>
      </c>
      <c r="B315" t="s">
        <v>196</v>
      </c>
      <c r="C315" t="s">
        <v>53</v>
      </c>
      <c r="D315">
        <v>745</v>
      </c>
      <c r="E315">
        <v>0</v>
      </c>
      <c r="F315" t="s">
        <v>220</v>
      </c>
      <c r="G315">
        <v>373807</v>
      </c>
      <c r="H315">
        <v>0</v>
      </c>
    </row>
    <row r="316" spans="1:9" x14ac:dyDescent="0.25">
      <c r="A316" t="s">
        <v>125</v>
      </c>
      <c r="B316" t="s">
        <v>172</v>
      </c>
      <c r="C316" t="s">
        <v>50</v>
      </c>
      <c r="D316">
        <v>6400</v>
      </c>
      <c r="E316">
        <v>0</v>
      </c>
      <c r="F316" t="s">
        <v>220</v>
      </c>
      <c r="G316">
        <v>371747</v>
      </c>
      <c r="H316">
        <v>0</v>
      </c>
    </row>
    <row r="317" spans="1:9" x14ac:dyDescent="0.25">
      <c r="A317" t="s">
        <v>125</v>
      </c>
      <c r="B317" t="s">
        <v>67</v>
      </c>
      <c r="C317" t="s">
        <v>34</v>
      </c>
      <c r="D317">
        <v>750</v>
      </c>
      <c r="E317">
        <v>0</v>
      </c>
      <c r="F317" t="s">
        <v>220</v>
      </c>
      <c r="G317">
        <v>370803</v>
      </c>
      <c r="H317">
        <v>0</v>
      </c>
    </row>
    <row r="318" spans="1:9" x14ac:dyDescent="0.25">
      <c r="A318" t="s">
        <v>125</v>
      </c>
      <c r="B318" t="s">
        <v>162</v>
      </c>
      <c r="C318" t="s">
        <v>58</v>
      </c>
      <c r="D318">
        <v>760</v>
      </c>
      <c r="E318">
        <v>0</v>
      </c>
      <c r="F318" t="s">
        <v>220</v>
      </c>
      <c r="G318">
        <v>367289</v>
      </c>
      <c r="H318">
        <v>0</v>
      </c>
    </row>
    <row r="319" spans="1:9" x14ac:dyDescent="0.25">
      <c r="A319" t="s">
        <v>125</v>
      </c>
      <c r="B319" t="s">
        <v>168</v>
      </c>
      <c r="C319" t="s">
        <v>53</v>
      </c>
      <c r="D319">
        <v>7200</v>
      </c>
      <c r="E319">
        <v>0</v>
      </c>
      <c r="F319" t="s">
        <v>220</v>
      </c>
      <c r="G319">
        <v>363909</v>
      </c>
      <c r="H319">
        <v>0</v>
      </c>
    </row>
    <row r="320" spans="1:9" x14ac:dyDescent="0.25">
      <c r="A320" t="s">
        <v>125</v>
      </c>
      <c r="B320" t="s">
        <v>47</v>
      </c>
      <c r="C320" t="s">
        <v>34</v>
      </c>
      <c r="D320">
        <v>6500</v>
      </c>
      <c r="E320">
        <v>0</v>
      </c>
      <c r="F320" t="s">
        <v>220</v>
      </c>
      <c r="G320">
        <v>363185</v>
      </c>
      <c r="H320">
        <v>0</v>
      </c>
    </row>
    <row r="321" spans="1:9" x14ac:dyDescent="0.25">
      <c r="A321" t="s">
        <v>127</v>
      </c>
      <c r="B321" t="s">
        <v>188</v>
      </c>
      <c r="C321" t="s">
        <v>45</v>
      </c>
      <c r="D321">
        <v>60000</v>
      </c>
      <c r="E321">
        <v>0</v>
      </c>
      <c r="F321" t="s">
        <v>221</v>
      </c>
      <c r="G321">
        <v>345296</v>
      </c>
      <c r="H321">
        <v>0</v>
      </c>
    </row>
    <row r="322" spans="1:9" x14ac:dyDescent="0.25">
      <c r="A322" t="s">
        <v>127</v>
      </c>
      <c r="B322" t="s">
        <v>162</v>
      </c>
      <c r="C322" t="s">
        <v>58</v>
      </c>
      <c r="D322">
        <v>494</v>
      </c>
      <c r="E322">
        <v>0</v>
      </c>
      <c r="F322" t="s">
        <v>43</v>
      </c>
      <c r="G322">
        <v>344067</v>
      </c>
      <c r="H322">
        <v>0</v>
      </c>
    </row>
    <row r="323" spans="1:9" x14ac:dyDescent="0.25">
      <c r="A323" t="s">
        <v>125</v>
      </c>
      <c r="B323" t="s">
        <v>173</v>
      </c>
      <c r="C323" t="s">
        <v>61</v>
      </c>
      <c r="D323">
        <v>5400</v>
      </c>
      <c r="E323">
        <v>0</v>
      </c>
      <c r="F323" t="s">
        <v>220</v>
      </c>
      <c r="G323">
        <v>342168</v>
      </c>
      <c r="H323">
        <v>0</v>
      </c>
    </row>
    <row r="324" spans="1:9" x14ac:dyDescent="0.25">
      <c r="A324" t="s">
        <v>127</v>
      </c>
      <c r="B324" t="s">
        <v>79</v>
      </c>
      <c r="C324" t="s">
        <v>34</v>
      </c>
      <c r="D324">
        <v>5685</v>
      </c>
      <c r="E324">
        <v>0</v>
      </c>
      <c r="F324" t="s">
        <v>220</v>
      </c>
      <c r="G324">
        <v>340557</v>
      </c>
      <c r="H324">
        <v>0</v>
      </c>
    </row>
    <row r="325" spans="1:9" x14ac:dyDescent="0.25">
      <c r="A325" t="s">
        <v>127</v>
      </c>
      <c r="B325" t="s">
        <v>182</v>
      </c>
      <c r="C325" t="s">
        <v>53</v>
      </c>
      <c r="D325">
        <v>550</v>
      </c>
      <c r="E325">
        <v>0</v>
      </c>
      <c r="F325" t="s">
        <v>43</v>
      </c>
      <c r="G325">
        <v>340025</v>
      </c>
      <c r="H325">
        <v>0</v>
      </c>
    </row>
    <row r="326" spans="1:9" x14ac:dyDescent="0.25">
      <c r="A326" t="s">
        <v>127</v>
      </c>
      <c r="B326" t="s">
        <v>169</v>
      </c>
      <c r="C326" t="s">
        <v>45</v>
      </c>
      <c r="D326">
        <v>570</v>
      </c>
      <c r="E326">
        <v>0</v>
      </c>
      <c r="F326" t="s">
        <v>43</v>
      </c>
      <c r="G326">
        <v>339882</v>
      </c>
      <c r="H326">
        <v>0</v>
      </c>
    </row>
    <row r="327" spans="1:9" x14ac:dyDescent="0.25">
      <c r="A327" t="s">
        <v>125</v>
      </c>
      <c r="B327" t="s">
        <v>168</v>
      </c>
      <c r="C327" t="s">
        <v>53</v>
      </c>
      <c r="D327">
        <v>1140</v>
      </c>
      <c r="E327">
        <v>0</v>
      </c>
      <c r="F327" t="s">
        <v>220</v>
      </c>
      <c r="G327">
        <v>338599</v>
      </c>
      <c r="H327">
        <v>0</v>
      </c>
    </row>
    <row r="328" spans="1:9" x14ac:dyDescent="0.25">
      <c r="A328" t="s">
        <v>127</v>
      </c>
      <c r="B328" t="s">
        <v>64</v>
      </c>
      <c r="C328" t="s">
        <v>34</v>
      </c>
      <c r="D328">
        <v>482</v>
      </c>
      <c r="E328">
        <v>0</v>
      </c>
      <c r="F328" t="s">
        <v>43</v>
      </c>
      <c r="G328">
        <v>338307</v>
      </c>
      <c r="H328">
        <v>0</v>
      </c>
    </row>
    <row r="329" spans="1:9" x14ac:dyDescent="0.25">
      <c r="A329" t="s">
        <v>127</v>
      </c>
      <c r="B329" t="s">
        <v>79</v>
      </c>
      <c r="C329" t="s">
        <v>34</v>
      </c>
      <c r="D329">
        <v>2390</v>
      </c>
      <c r="E329">
        <v>0</v>
      </c>
      <c r="F329" t="s">
        <v>220</v>
      </c>
      <c r="G329">
        <v>337254</v>
      </c>
      <c r="H329">
        <v>0</v>
      </c>
    </row>
    <row r="330" spans="1:9" x14ac:dyDescent="0.25">
      <c r="A330" t="s">
        <v>127</v>
      </c>
      <c r="B330" t="s">
        <v>183</v>
      </c>
      <c r="C330" t="s">
        <v>45</v>
      </c>
      <c r="D330">
        <v>57000</v>
      </c>
      <c r="E330">
        <v>0</v>
      </c>
      <c r="F330" t="s">
        <v>221</v>
      </c>
      <c r="G330">
        <v>337085</v>
      </c>
      <c r="H330">
        <v>0</v>
      </c>
    </row>
    <row r="331" spans="1:9" x14ac:dyDescent="0.25">
      <c r="A331" t="s">
        <v>127</v>
      </c>
      <c r="B331" t="s">
        <v>177</v>
      </c>
      <c r="C331" t="s">
        <v>48</v>
      </c>
      <c r="D331">
        <v>64750</v>
      </c>
      <c r="E331">
        <v>0</v>
      </c>
      <c r="F331" t="s">
        <v>221</v>
      </c>
      <c r="G331">
        <v>336779</v>
      </c>
      <c r="H331">
        <v>0</v>
      </c>
    </row>
    <row r="332" spans="1:9" x14ac:dyDescent="0.25">
      <c r="A332" t="s">
        <v>126</v>
      </c>
      <c r="B332" t="s">
        <v>181</v>
      </c>
      <c r="C332" t="s">
        <v>50</v>
      </c>
      <c r="D332">
        <v>950</v>
      </c>
      <c r="E332">
        <v>0</v>
      </c>
      <c r="F332" t="s">
        <v>220</v>
      </c>
      <c r="G332">
        <v>333405</v>
      </c>
      <c r="H332">
        <v>0</v>
      </c>
    </row>
    <row r="333" spans="1:9" x14ac:dyDescent="0.25">
      <c r="A333" t="s">
        <v>125</v>
      </c>
      <c r="B333" t="s">
        <v>162</v>
      </c>
      <c r="C333" t="s">
        <v>58</v>
      </c>
      <c r="D333">
        <v>5600</v>
      </c>
      <c r="E333">
        <v>0</v>
      </c>
      <c r="F333" t="s">
        <v>220</v>
      </c>
      <c r="G333">
        <v>327250</v>
      </c>
      <c r="H333">
        <v>0</v>
      </c>
    </row>
    <row r="334" spans="1:9" x14ac:dyDescent="0.25">
      <c r="A334" t="s">
        <v>127</v>
      </c>
      <c r="B334" t="s">
        <v>187</v>
      </c>
      <c r="C334" t="s">
        <v>45</v>
      </c>
      <c r="D334">
        <v>60000</v>
      </c>
      <c r="E334">
        <v>0</v>
      </c>
      <c r="F334" t="s">
        <v>221</v>
      </c>
      <c r="G334">
        <v>324986</v>
      </c>
      <c r="H334">
        <v>0</v>
      </c>
    </row>
    <row r="335" spans="1:9" x14ac:dyDescent="0.25">
      <c r="A335" t="s">
        <v>132</v>
      </c>
      <c r="B335" t="s">
        <v>60</v>
      </c>
      <c r="C335" t="s">
        <v>34</v>
      </c>
      <c r="D335">
        <v>212</v>
      </c>
      <c r="E335">
        <v>0</v>
      </c>
      <c r="F335" t="s">
        <v>43</v>
      </c>
      <c r="G335">
        <v>324396</v>
      </c>
      <c r="H335">
        <v>0</v>
      </c>
    </row>
    <row r="336" spans="1:9" x14ac:dyDescent="0.25">
      <c r="A336" t="s">
        <v>126</v>
      </c>
      <c r="B336" t="s">
        <v>191</v>
      </c>
      <c r="C336" t="s">
        <v>45</v>
      </c>
      <c r="D336">
        <v>540</v>
      </c>
      <c r="E336">
        <v>0</v>
      </c>
      <c r="F336" t="s">
        <v>220</v>
      </c>
      <c r="G336">
        <v>319900</v>
      </c>
      <c r="H336">
        <v>0</v>
      </c>
    </row>
    <row r="337" spans="1:9" x14ac:dyDescent="0.25">
      <c r="A337" t="s">
        <v>127</v>
      </c>
      <c r="B337" t="s">
        <v>186</v>
      </c>
      <c r="C337" t="s">
        <v>53</v>
      </c>
      <c r="D337">
        <v>2804</v>
      </c>
      <c r="E337">
        <v>0</v>
      </c>
      <c r="F337" t="s">
        <v>220</v>
      </c>
      <c r="G337">
        <v>319808</v>
      </c>
      <c r="H337">
        <v>0</v>
      </c>
    </row>
    <row r="338" spans="1:9" x14ac:dyDescent="0.25">
      <c r="A338" t="s">
        <v>125</v>
      </c>
      <c r="B338" t="s">
        <v>199</v>
      </c>
      <c r="C338" t="s">
        <v>61</v>
      </c>
      <c r="D338">
        <v>2068</v>
      </c>
      <c r="E338">
        <v>0</v>
      </c>
      <c r="F338" t="s">
        <v>220</v>
      </c>
      <c r="G338">
        <v>317790</v>
      </c>
      <c r="H338">
        <v>0</v>
      </c>
    </row>
    <row r="339" spans="1:9" x14ac:dyDescent="0.25">
      <c r="A339" t="s">
        <v>125</v>
      </c>
      <c r="B339" t="s">
        <v>189</v>
      </c>
      <c r="C339" t="s">
        <v>63</v>
      </c>
      <c r="D339">
        <v>1678</v>
      </c>
      <c r="E339">
        <v>0</v>
      </c>
      <c r="F339" t="s">
        <v>220</v>
      </c>
      <c r="G339">
        <v>317459</v>
      </c>
      <c r="H339">
        <v>0</v>
      </c>
    </row>
    <row r="340" spans="1:9" x14ac:dyDescent="0.25">
      <c r="A340" t="s">
        <v>125</v>
      </c>
      <c r="B340" t="s">
        <v>49</v>
      </c>
      <c r="C340" t="s">
        <v>34</v>
      </c>
      <c r="D340">
        <v>1160</v>
      </c>
      <c r="E340">
        <v>0</v>
      </c>
      <c r="F340" t="s">
        <v>220</v>
      </c>
      <c r="G340">
        <v>317294</v>
      </c>
      <c r="H340">
        <v>0</v>
      </c>
    </row>
    <row r="341" spans="1:9" x14ac:dyDescent="0.25">
      <c r="A341" t="s">
        <v>125</v>
      </c>
      <c r="B341" t="s">
        <v>200</v>
      </c>
      <c r="C341" t="s">
        <v>58</v>
      </c>
      <c r="D341">
        <v>2038</v>
      </c>
      <c r="E341">
        <v>0</v>
      </c>
      <c r="F341" t="s">
        <v>220</v>
      </c>
      <c r="G341">
        <v>314169</v>
      </c>
      <c r="H341">
        <v>0</v>
      </c>
    </row>
    <row r="342" spans="1:9" x14ac:dyDescent="0.25">
      <c r="A342" t="s">
        <v>126</v>
      </c>
      <c r="B342" t="s">
        <v>72</v>
      </c>
      <c r="C342" t="s">
        <v>34</v>
      </c>
      <c r="D342">
        <v>547</v>
      </c>
      <c r="E342">
        <v>0</v>
      </c>
      <c r="F342" t="s">
        <v>220</v>
      </c>
      <c r="G342">
        <v>312197</v>
      </c>
      <c r="H342">
        <v>0</v>
      </c>
    </row>
    <row r="343" spans="1:9" x14ac:dyDescent="0.25">
      <c r="A343" t="s">
        <v>127</v>
      </c>
      <c r="B343" t="s">
        <v>162</v>
      </c>
      <c r="C343" t="s">
        <v>58</v>
      </c>
      <c r="D343">
        <v>7514</v>
      </c>
      <c r="E343">
        <v>0</v>
      </c>
      <c r="F343" t="s">
        <v>220</v>
      </c>
      <c r="G343">
        <v>310018</v>
      </c>
      <c r="H343">
        <v>0</v>
      </c>
    </row>
    <row r="344" spans="1:9" x14ac:dyDescent="0.25">
      <c r="A344" t="s">
        <v>125</v>
      </c>
      <c r="B344" t="s">
        <v>198</v>
      </c>
      <c r="C344" t="s">
        <v>45</v>
      </c>
      <c r="D344">
        <v>2126</v>
      </c>
      <c r="E344">
        <v>0</v>
      </c>
      <c r="F344" t="s">
        <v>220</v>
      </c>
      <c r="G344">
        <v>309602</v>
      </c>
      <c r="H344">
        <v>0</v>
      </c>
    </row>
    <row r="345" spans="1:9" x14ac:dyDescent="0.25">
      <c r="A345" t="s">
        <v>132</v>
      </c>
      <c r="B345" t="s">
        <v>164</v>
      </c>
      <c r="C345" t="s">
        <v>55</v>
      </c>
      <c r="D345">
        <v>1840</v>
      </c>
      <c r="E345">
        <v>0</v>
      </c>
      <c r="F345" t="s">
        <v>220</v>
      </c>
      <c r="G345">
        <v>308482</v>
      </c>
      <c r="H345">
        <v>0</v>
      </c>
    </row>
    <row r="346" spans="1:9" x14ac:dyDescent="0.25">
      <c r="A346" t="s">
        <v>126</v>
      </c>
      <c r="B346" t="s">
        <v>201</v>
      </c>
      <c r="C346" t="s">
        <v>53</v>
      </c>
      <c r="D346">
        <v>280</v>
      </c>
      <c r="E346">
        <v>0</v>
      </c>
      <c r="F346" t="s">
        <v>220</v>
      </c>
      <c r="G346">
        <v>307955</v>
      </c>
      <c r="H346">
        <v>0</v>
      </c>
    </row>
    <row r="347" spans="1:9" x14ac:dyDescent="0.25">
      <c r="A347" t="s">
        <v>126</v>
      </c>
      <c r="B347" t="s">
        <v>187</v>
      </c>
      <c r="C347" t="s">
        <v>45</v>
      </c>
      <c r="D347">
        <v>640</v>
      </c>
      <c r="E347">
        <v>0</v>
      </c>
      <c r="F347" t="s">
        <v>220</v>
      </c>
      <c r="G347">
        <v>304544</v>
      </c>
      <c r="H347">
        <v>0</v>
      </c>
    </row>
    <row r="348" spans="1:9" x14ac:dyDescent="0.25">
      <c r="A348" t="s">
        <v>125</v>
      </c>
      <c r="B348" t="s">
        <v>202</v>
      </c>
      <c r="C348" t="s">
        <v>45</v>
      </c>
      <c r="D348">
        <v>1939</v>
      </c>
      <c r="E348">
        <v>0</v>
      </c>
      <c r="F348" t="s">
        <v>220</v>
      </c>
      <c r="G348">
        <v>303240</v>
      </c>
      <c r="H348">
        <v>0</v>
      </c>
    </row>
    <row r="349" spans="1:9" x14ac:dyDescent="0.25">
      <c r="A349" t="s">
        <v>125</v>
      </c>
      <c r="B349" t="s">
        <v>66</v>
      </c>
      <c r="C349" t="s">
        <v>34</v>
      </c>
      <c r="D349">
        <v>5400</v>
      </c>
      <c r="E349">
        <v>0</v>
      </c>
      <c r="F349" t="s">
        <v>220</v>
      </c>
      <c r="G349">
        <v>300064</v>
      </c>
      <c r="H349">
        <v>0</v>
      </c>
    </row>
    <row r="350" spans="1:9" x14ac:dyDescent="0.25">
      <c r="A350" t="s">
        <v>132</v>
      </c>
      <c r="B350" t="s">
        <v>186</v>
      </c>
      <c r="C350" t="s">
        <v>53</v>
      </c>
      <c r="D350">
        <v>192</v>
      </c>
      <c r="E350">
        <v>0</v>
      </c>
      <c r="F350" t="s">
        <v>43</v>
      </c>
      <c r="G350">
        <v>294636</v>
      </c>
      <c r="H350">
        <v>0</v>
      </c>
    </row>
    <row r="351" spans="1:9" x14ac:dyDescent="0.25">
      <c r="A351" t="s">
        <v>132</v>
      </c>
      <c r="B351" t="s">
        <v>201</v>
      </c>
      <c r="C351" t="s">
        <v>53</v>
      </c>
      <c r="D351">
        <v>188</v>
      </c>
      <c r="E351">
        <v>0</v>
      </c>
      <c r="F351" t="s">
        <v>43</v>
      </c>
      <c r="G351">
        <v>289848</v>
      </c>
      <c r="H351">
        <v>0</v>
      </c>
    </row>
    <row r="352" spans="1:9" x14ac:dyDescent="0.25">
      <c r="A352" t="s">
        <v>125</v>
      </c>
      <c r="B352" t="s">
        <v>71</v>
      </c>
      <c r="C352" t="s">
        <v>34</v>
      </c>
      <c r="D352">
        <v>5100</v>
      </c>
      <c r="E352">
        <v>0</v>
      </c>
      <c r="F352" t="s">
        <v>220</v>
      </c>
      <c r="G352">
        <v>287453</v>
      </c>
      <c r="H352">
        <v>0</v>
      </c>
    </row>
    <row r="353" spans="1:9" x14ac:dyDescent="0.25">
      <c r="A353" t="s">
        <v>125</v>
      </c>
      <c r="B353" t="s">
        <v>164</v>
      </c>
      <c r="C353" t="s">
        <v>55</v>
      </c>
      <c r="D353">
        <v>6600</v>
      </c>
      <c r="E353">
        <v>0</v>
      </c>
      <c r="F353" t="s">
        <v>220</v>
      </c>
      <c r="G353">
        <v>286131</v>
      </c>
      <c r="H353">
        <v>0</v>
      </c>
    </row>
    <row r="354" spans="1:9" x14ac:dyDescent="0.25">
      <c r="A354" t="s">
        <v>125</v>
      </c>
      <c r="B354" t="s">
        <v>180</v>
      </c>
      <c r="C354" t="s">
        <v>45</v>
      </c>
      <c r="D354">
        <v>820</v>
      </c>
      <c r="E354">
        <v>0</v>
      </c>
      <c r="F354" t="s">
        <v>220</v>
      </c>
      <c r="G354">
        <v>282758</v>
      </c>
      <c r="H354">
        <v>0</v>
      </c>
    </row>
    <row r="355" spans="1:9" x14ac:dyDescent="0.25">
      <c r="A355" t="s">
        <v>125</v>
      </c>
      <c r="B355" t="s">
        <v>203</v>
      </c>
      <c r="C355" t="s">
        <v>58</v>
      </c>
      <c r="D355">
        <v>2054</v>
      </c>
      <c r="E355">
        <v>0</v>
      </c>
      <c r="F355" t="s">
        <v>220</v>
      </c>
      <c r="G355">
        <v>280350</v>
      </c>
      <c r="H355">
        <v>0</v>
      </c>
    </row>
    <row r="356" spans="1:9" x14ac:dyDescent="0.25">
      <c r="A356" t="s">
        <v>132</v>
      </c>
      <c r="B356" t="s">
        <v>180</v>
      </c>
      <c r="C356" t="s">
        <v>45</v>
      </c>
      <c r="D356">
        <v>186</v>
      </c>
      <c r="E356">
        <v>0</v>
      </c>
      <c r="F356" t="s">
        <v>43</v>
      </c>
      <c r="G356">
        <v>278940</v>
      </c>
      <c r="H356">
        <v>0</v>
      </c>
    </row>
    <row r="357" spans="1:9" x14ac:dyDescent="0.25">
      <c r="A357" t="s">
        <v>127</v>
      </c>
      <c r="B357" t="s">
        <v>166</v>
      </c>
      <c r="C357" t="s">
        <v>50</v>
      </c>
      <c r="D357">
        <v>406</v>
      </c>
      <c r="E357">
        <v>0</v>
      </c>
      <c r="F357" t="s">
        <v>43</v>
      </c>
      <c r="G357">
        <v>278049</v>
      </c>
      <c r="H357">
        <v>0</v>
      </c>
    </row>
    <row r="358" spans="1:9" x14ac:dyDescent="0.25">
      <c r="A358" t="s">
        <v>125</v>
      </c>
      <c r="B358" t="s">
        <v>204</v>
      </c>
      <c r="C358" t="s">
        <v>50</v>
      </c>
      <c r="D358">
        <v>2320</v>
      </c>
      <c r="E358">
        <v>0</v>
      </c>
      <c r="F358" t="s">
        <v>220</v>
      </c>
      <c r="G358">
        <v>274526</v>
      </c>
      <c r="H358">
        <v>0</v>
      </c>
    </row>
    <row r="359" spans="1:9" x14ac:dyDescent="0.25">
      <c r="A359" t="s">
        <v>126</v>
      </c>
      <c r="B359" t="s">
        <v>182</v>
      </c>
      <c r="C359" t="s">
        <v>53</v>
      </c>
      <c r="D359">
        <v>950</v>
      </c>
      <c r="E359">
        <v>0</v>
      </c>
      <c r="F359" t="s">
        <v>220</v>
      </c>
      <c r="G359">
        <v>273474</v>
      </c>
      <c r="H359">
        <v>0</v>
      </c>
    </row>
    <row r="360" spans="1:9" x14ac:dyDescent="0.25">
      <c r="A360" t="s">
        <v>132</v>
      </c>
      <c r="B360" t="s">
        <v>176</v>
      </c>
      <c r="C360" t="s">
        <v>53</v>
      </c>
      <c r="D360">
        <v>103</v>
      </c>
      <c r="E360">
        <v>0</v>
      </c>
      <c r="F360" t="s">
        <v>43</v>
      </c>
      <c r="G360">
        <v>272042</v>
      </c>
      <c r="H360">
        <v>0</v>
      </c>
    </row>
    <row r="361" spans="1:9" x14ac:dyDescent="0.25">
      <c r="A361" t="s">
        <v>127</v>
      </c>
      <c r="B361" t="s">
        <v>72</v>
      </c>
      <c r="C361" t="s">
        <v>34</v>
      </c>
      <c r="D361">
        <v>5450</v>
      </c>
      <c r="E361">
        <v>0</v>
      </c>
      <c r="F361" t="s">
        <v>220</v>
      </c>
      <c r="G361">
        <v>270701</v>
      </c>
      <c r="H361">
        <v>0</v>
      </c>
    </row>
    <row r="362" spans="1:9" x14ac:dyDescent="0.25">
      <c r="A362" t="s">
        <v>127</v>
      </c>
      <c r="B362" t="s">
        <v>186</v>
      </c>
      <c r="C362" t="s">
        <v>53</v>
      </c>
      <c r="D362">
        <v>400</v>
      </c>
      <c r="E362">
        <v>0</v>
      </c>
      <c r="F362" t="s">
        <v>43</v>
      </c>
      <c r="G362">
        <v>268967</v>
      </c>
      <c r="H362">
        <v>0</v>
      </c>
    </row>
    <row r="363" spans="1:9" x14ac:dyDescent="0.25">
      <c r="A363" t="s">
        <v>125</v>
      </c>
      <c r="B363" t="s">
        <v>193</v>
      </c>
      <c r="C363" t="s">
        <v>45</v>
      </c>
      <c r="D363">
        <v>2064</v>
      </c>
      <c r="E363">
        <v>0</v>
      </c>
      <c r="F363" t="s">
        <v>220</v>
      </c>
      <c r="G363">
        <v>267228</v>
      </c>
      <c r="H363">
        <v>0</v>
      </c>
    </row>
    <row r="364" spans="1:9" x14ac:dyDescent="0.25">
      <c r="A364" t="s">
        <v>125</v>
      </c>
      <c r="B364" t="s">
        <v>197</v>
      </c>
      <c r="C364" t="s">
        <v>45</v>
      </c>
      <c r="D364">
        <v>2372</v>
      </c>
      <c r="E364">
        <v>0</v>
      </c>
      <c r="F364" t="s">
        <v>220</v>
      </c>
      <c r="G364">
        <v>262685</v>
      </c>
      <c r="H364">
        <v>0</v>
      </c>
    </row>
    <row r="365" spans="1:9" x14ac:dyDescent="0.25">
      <c r="A365" t="s">
        <v>127</v>
      </c>
      <c r="B365" t="s">
        <v>54</v>
      </c>
      <c r="C365" t="s">
        <v>34</v>
      </c>
      <c r="D365">
        <v>374</v>
      </c>
      <c r="E365">
        <v>0</v>
      </c>
      <c r="F365" t="s">
        <v>43</v>
      </c>
      <c r="G365">
        <v>261440</v>
      </c>
      <c r="H365">
        <v>0</v>
      </c>
    </row>
    <row r="366" spans="1:9" x14ac:dyDescent="0.25">
      <c r="A366" t="s">
        <v>127</v>
      </c>
      <c r="B366" t="s">
        <v>72</v>
      </c>
      <c r="C366" t="s">
        <v>34</v>
      </c>
      <c r="D366">
        <v>3430</v>
      </c>
      <c r="E366">
        <v>0</v>
      </c>
      <c r="F366" t="s">
        <v>220</v>
      </c>
      <c r="G366">
        <v>261408</v>
      </c>
      <c r="H366">
        <v>0</v>
      </c>
    </row>
    <row r="367" spans="1:9" x14ac:dyDescent="0.25">
      <c r="A367" t="s">
        <v>125</v>
      </c>
      <c r="B367" t="s">
        <v>205</v>
      </c>
      <c r="C367" t="s">
        <v>53</v>
      </c>
      <c r="D367">
        <v>1721</v>
      </c>
      <c r="E367">
        <v>0</v>
      </c>
      <c r="F367" t="s">
        <v>220</v>
      </c>
      <c r="G367">
        <v>259357</v>
      </c>
      <c r="H367">
        <v>0</v>
      </c>
    </row>
    <row r="368" spans="1:9" x14ac:dyDescent="0.25">
      <c r="A368" t="s">
        <v>125</v>
      </c>
      <c r="B368" t="s">
        <v>176</v>
      </c>
      <c r="C368" t="s">
        <v>53</v>
      </c>
      <c r="D368">
        <v>1720</v>
      </c>
      <c r="E368">
        <v>0</v>
      </c>
      <c r="F368" t="s">
        <v>220</v>
      </c>
      <c r="G368">
        <v>259326</v>
      </c>
      <c r="H368">
        <v>0</v>
      </c>
    </row>
    <row r="369" spans="1:9" x14ac:dyDescent="0.25">
      <c r="A369" t="s">
        <v>127</v>
      </c>
      <c r="B369" t="s">
        <v>67</v>
      </c>
      <c r="C369" t="s">
        <v>34</v>
      </c>
      <c r="D369">
        <v>7900</v>
      </c>
      <c r="E369">
        <v>0</v>
      </c>
      <c r="F369" t="s">
        <v>220</v>
      </c>
      <c r="G369">
        <v>258342</v>
      </c>
      <c r="H369">
        <v>0</v>
      </c>
    </row>
    <row r="370" spans="1:9" x14ac:dyDescent="0.25">
      <c r="A370" t="s">
        <v>125</v>
      </c>
      <c r="B370" t="s">
        <v>191</v>
      </c>
      <c r="C370" t="s">
        <v>45</v>
      </c>
      <c r="D370">
        <v>1764</v>
      </c>
      <c r="E370">
        <v>0</v>
      </c>
      <c r="F370" t="s">
        <v>220</v>
      </c>
      <c r="G370">
        <v>257246</v>
      </c>
      <c r="H370">
        <v>0</v>
      </c>
    </row>
    <row r="371" spans="1:9" x14ac:dyDescent="0.25">
      <c r="A371" t="s">
        <v>131</v>
      </c>
      <c r="B371" t="s">
        <v>198</v>
      </c>
      <c r="C371" t="s">
        <v>45</v>
      </c>
      <c r="D371">
        <v>342</v>
      </c>
      <c r="E371">
        <v>0</v>
      </c>
      <c r="F371" t="s">
        <v>220</v>
      </c>
      <c r="G371">
        <v>255654</v>
      </c>
      <c r="H371">
        <v>0</v>
      </c>
    </row>
    <row r="372" spans="1:9" x14ac:dyDescent="0.25">
      <c r="A372" t="s">
        <v>126</v>
      </c>
      <c r="B372" t="s">
        <v>82</v>
      </c>
      <c r="C372" t="s">
        <v>34</v>
      </c>
      <c r="D372">
        <v>500</v>
      </c>
      <c r="E372">
        <v>0</v>
      </c>
      <c r="F372" t="s">
        <v>220</v>
      </c>
      <c r="G372">
        <v>254451</v>
      </c>
      <c r="H372">
        <v>0</v>
      </c>
    </row>
    <row r="373" spans="1:9" x14ac:dyDescent="0.25">
      <c r="A373" t="s">
        <v>126</v>
      </c>
      <c r="B373" t="s">
        <v>175</v>
      </c>
      <c r="C373" t="s">
        <v>48</v>
      </c>
      <c r="D373">
        <v>443</v>
      </c>
      <c r="E373">
        <v>0</v>
      </c>
      <c r="F373" t="s">
        <v>220</v>
      </c>
      <c r="G373">
        <v>254190</v>
      </c>
      <c r="H373">
        <v>0</v>
      </c>
    </row>
    <row r="374" spans="1:9" x14ac:dyDescent="0.25">
      <c r="A374" t="s">
        <v>125</v>
      </c>
      <c r="B374" t="s">
        <v>206</v>
      </c>
      <c r="C374" t="s">
        <v>50</v>
      </c>
      <c r="D374">
        <v>1836</v>
      </c>
      <c r="E374">
        <v>0</v>
      </c>
      <c r="F374" t="s">
        <v>220</v>
      </c>
      <c r="G374">
        <v>253574</v>
      </c>
      <c r="H374">
        <v>0</v>
      </c>
    </row>
    <row r="375" spans="1:9" x14ac:dyDescent="0.25">
      <c r="A375" t="s">
        <v>126</v>
      </c>
      <c r="B375" t="s">
        <v>161</v>
      </c>
      <c r="C375" t="s">
        <v>45</v>
      </c>
      <c r="D375">
        <v>26400</v>
      </c>
      <c r="E375">
        <v>0</v>
      </c>
      <c r="F375" t="s">
        <v>43</v>
      </c>
      <c r="G375">
        <v>251814</v>
      </c>
      <c r="H375">
        <v>0</v>
      </c>
    </row>
    <row r="376" spans="1:9" x14ac:dyDescent="0.25">
      <c r="A376" t="s">
        <v>127</v>
      </c>
      <c r="B376" t="s">
        <v>64</v>
      </c>
      <c r="C376" t="s">
        <v>34</v>
      </c>
      <c r="D376">
        <v>2680</v>
      </c>
      <c r="E376">
        <v>0</v>
      </c>
      <c r="F376" t="s">
        <v>220</v>
      </c>
      <c r="G376">
        <v>251144</v>
      </c>
      <c r="H376">
        <v>0</v>
      </c>
    </row>
    <row r="377" spans="1:9" x14ac:dyDescent="0.25">
      <c r="A377" t="s">
        <v>125</v>
      </c>
      <c r="B377" t="s">
        <v>207</v>
      </c>
      <c r="C377" t="s">
        <v>45</v>
      </c>
      <c r="D377">
        <v>1391</v>
      </c>
      <c r="E377">
        <v>0</v>
      </c>
      <c r="F377" t="s">
        <v>220</v>
      </c>
      <c r="G377">
        <v>249776</v>
      </c>
      <c r="H377">
        <v>0</v>
      </c>
    </row>
    <row r="378" spans="1:9" x14ac:dyDescent="0.25">
      <c r="A378" t="s">
        <v>127</v>
      </c>
      <c r="B378" t="s">
        <v>163</v>
      </c>
      <c r="C378" t="s">
        <v>45</v>
      </c>
      <c r="D378">
        <v>380</v>
      </c>
      <c r="E378">
        <v>0</v>
      </c>
      <c r="F378" t="s">
        <v>43</v>
      </c>
      <c r="G378">
        <v>248261</v>
      </c>
      <c r="H378">
        <v>0</v>
      </c>
    </row>
    <row r="379" spans="1:9" x14ac:dyDescent="0.25">
      <c r="A379" t="s">
        <v>125</v>
      </c>
      <c r="B379" t="s">
        <v>171</v>
      </c>
      <c r="C379" t="s">
        <v>48</v>
      </c>
      <c r="D379">
        <v>4700</v>
      </c>
      <c r="E379">
        <v>0</v>
      </c>
      <c r="F379" t="s">
        <v>220</v>
      </c>
      <c r="G379">
        <v>248137</v>
      </c>
      <c r="H379">
        <v>0</v>
      </c>
    </row>
    <row r="380" spans="1:9" x14ac:dyDescent="0.25">
      <c r="A380" t="s">
        <v>132</v>
      </c>
      <c r="B380" t="s">
        <v>168</v>
      </c>
      <c r="C380" t="s">
        <v>53</v>
      </c>
      <c r="D380">
        <v>2480</v>
      </c>
      <c r="E380">
        <v>0</v>
      </c>
      <c r="F380" t="s">
        <v>220</v>
      </c>
      <c r="G380">
        <v>247041</v>
      </c>
      <c r="H380">
        <v>0</v>
      </c>
    </row>
    <row r="381" spans="1:9" x14ac:dyDescent="0.25">
      <c r="A381" t="s">
        <v>127</v>
      </c>
      <c r="B381" t="s">
        <v>47</v>
      </c>
      <c r="C381" t="s">
        <v>34</v>
      </c>
      <c r="D381">
        <v>383</v>
      </c>
      <c r="E381">
        <v>0</v>
      </c>
      <c r="F381" t="s">
        <v>43</v>
      </c>
      <c r="G381">
        <v>246694</v>
      </c>
      <c r="H381">
        <v>0</v>
      </c>
    </row>
    <row r="382" spans="1:9" x14ac:dyDescent="0.25">
      <c r="A382" t="s">
        <v>132</v>
      </c>
      <c r="B382" t="s">
        <v>165</v>
      </c>
      <c r="C382" t="s">
        <v>48</v>
      </c>
      <c r="D382">
        <v>168</v>
      </c>
      <c r="E382">
        <v>0</v>
      </c>
      <c r="F382" t="s">
        <v>43</v>
      </c>
      <c r="G382">
        <v>245425</v>
      </c>
      <c r="H382">
        <v>0</v>
      </c>
    </row>
    <row r="383" spans="1:9" x14ac:dyDescent="0.25">
      <c r="A383" t="s">
        <v>126</v>
      </c>
      <c r="B383" t="s">
        <v>188</v>
      </c>
      <c r="C383" t="s">
        <v>45</v>
      </c>
      <c r="D383">
        <v>533</v>
      </c>
      <c r="E383">
        <v>0</v>
      </c>
      <c r="F383" t="s">
        <v>220</v>
      </c>
      <c r="G383">
        <v>243196</v>
      </c>
      <c r="H383">
        <v>0</v>
      </c>
    </row>
    <row r="384" spans="1:9" x14ac:dyDescent="0.25">
      <c r="A384" t="s">
        <v>127</v>
      </c>
      <c r="B384" t="s">
        <v>161</v>
      </c>
      <c r="C384" t="s">
        <v>45</v>
      </c>
      <c r="D384">
        <v>3485</v>
      </c>
      <c r="E384">
        <v>0</v>
      </c>
      <c r="F384" t="s">
        <v>220</v>
      </c>
      <c r="G384">
        <v>241482</v>
      </c>
      <c r="H384">
        <v>0</v>
      </c>
    </row>
    <row r="385" spans="1:9" x14ac:dyDescent="0.25">
      <c r="A385" t="s">
        <v>125</v>
      </c>
      <c r="B385" t="s">
        <v>168</v>
      </c>
      <c r="C385" t="s">
        <v>53</v>
      </c>
      <c r="D385">
        <v>190</v>
      </c>
      <c r="E385">
        <v>0</v>
      </c>
      <c r="F385" t="s">
        <v>220</v>
      </c>
      <c r="G385">
        <v>240854</v>
      </c>
      <c r="H385">
        <v>0</v>
      </c>
    </row>
    <row r="386" spans="1:9" x14ac:dyDescent="0.25">
      <c r="A386" t="s">
        <v>131</v>
      </c>
      <c r="B386" t="s">
        <v>67</v>
      </c>
      <c r="C386" t="s">
        <v>34</v>
      </c>
      <c r="D386">
        <v>232</v>
      </c>
      <c r="E386">
        <v>0</v>
      </c>
      <c r="F386" t="s">
        <v>220</v>
      </c>
      <c r="G386">
        <v>236877</v>
      </c>
      <c r="H386">
        <v>0</v>
      </c>
    </row>
    <row r="387" spans="1:9" x14ac:dyDescent="0.25">
      <c r="A387" t="s">
        <v>127</v>
      </c>
      <c r="B387" t="s">
        <v>74</v>
      </c>
      <c r="C387" t="s">
        <v>34</v>
      </c>
      <c r="D387">
        <v>44000</v>
      </c>
      <c r="E387">
        <v>0</v>
      </c>
      <c r="F387" t="s">
        <v>221</v>
      </c>
      <c r="G387">
        <v>236281</v>
      </c>
      <c r="H387">
        <v>0</v>
      </c>
    </row>
    <row r="388" spans="1:9" x14ac:dyDescent="0.25">
      <c r="A388" t="s">
        <v>125</v>
      </c>
      <c r="B388" t="s">
        <v>185</v>
      </c>
      <c r="C388" t="s">
        <v>45</v>
      </c>
      <c r="D388">
        <v>1284</v>
      </c>
      <c r="E388">
        <v>0</v>
      </c>
      <c r="F388" t="s">
        <v>220</v>
      </c>
      <c r="G388">
        <v>234901</v>
      </c>
      <c r="H388">
        <v>0</v>
      </c>
    </row>
    <row r="389" spans="1:9" x14ac:dyDescent="0.25">
      <c r="A389" t="s">
        <v>125</v>
      </c>
      <c r="B389" t="s">
        <v>201</v>
      </c>
      <c r="C389" t="s">
        <v>53</v>
      </c>
      <c r="D389">
        <v>1505</v>
      </c>
      <c r="E389">
        <v>0</v>
      </c>
      <c r="F389" t="s">
        <v>220</v>
      </c>
      <c r="G389">
        <v>231306</v>
      </c>
      <c r="H389">
        <v>0</v>
      </c>
    </row>
    <row r="390" spans="1:9" x14ac:dyDescent="0.25">
      <c r="A390" t="s">
        <v>125</v>
      </c>
      <c r="B390" t="s">
        <v>89</v>
      </c>
      <c r="C390" t="s">
        <v>34</v>
      </c>
      <c r="D390">
        <v>1474</v>
      </c>
      <c r="E390">
        <v>0</v>
      </c>
      <c r="F390" t="s">
        <v>220</v>
      </c>
      <c r="G390">
        <v>230909</v>
      </c>
      <c r="H390">
        <v>0</v>
      </c>
    </row>
    <row r="391" spans="1:9" x14ac:dyDescent="0.25">
      <c r="A391" t="s">
        <v>127</v>
      </c>
      <c r="B391" t="s">
        <v>162</v>
      </c>
      <c r="C391" t="s">
        <v>58</v>
      </c>
      <c r="D391">
        <v>4809</v>
      </c>
      <c r="E391">
        <v>0</v>
      </c>
      <c r="F391" t="s">
        <v>220</v>
      </c>
      <c r="G391">
        <v>227657</v>
      </c>
      <c r="H391">
        <v>0</v>
      </c>
    </row>
    <row r="392" spans="1:9" x14ac:dyDescent="0.25">
      <c r="A392" t="s">
        <v>125</v>
      </c>
      <c r="B392" t="s">
        <v>90</v>
      </c>
      <c r="C392" t="s">
        <v>34</v>
      </c>
      <c r="D392">
        <v>1570</v>
      </c>
      <c r="E392">
        <v>0</v>
      </c>
      <c r="F392" t="s">
        <v>220</v>
      </c>
      <c r="G392">
        <v>227105</v>
      </c>
      <c r="H392">
        <v>0</v>
      </c>
    </row>
    <row r="393" spans="1:9" x14ac:dyDescent="0.25">
      <c r="A393" t="s">
        <v>143</v>
      </c>
      <c r="B393" t="s">
        <v>182</v>
      </c>
      <c r="C393" t="s">
        <v>53</v>
      </c>
      <c r="D393">
        <v>4830</v>
      </c>
      <c r="E393">
        <v>0</v>
      </c>
      <c r="F393" t="s">
        <v>220</v>
      </c>
      <c r="G393">
        <v>226900</v>
      </c>
      <c r="H393">
        <v>0</v>
      </c>
    </row>
    <row r="394" spans="1:9" x14ac:dyDescent="0.25">
      <c r="A394" t="s">
        <v>127</v>
      </c>
      <c r="B394" t="s">
        <v>176</v>
      </c>
      <c r="C394" t="s">
        <v>53</v>
      </c>
      <c r="D394">
        <v>264</v>
      </c>
      <c r="E394">
        <v>0</v>
      </c>
      <c r="F394" t="s">
        <v>43</v>
      </c>
      <c r="G394">
        <v>226036</v>
      </c>
      <c r="H394">
        <v>0</v>
      </c>
    </row>
    <row r="395" spans="1:9" x14ac:dyDescent="0.25">
      <c r="A395" t="s">
        <v>125</v>
      </c>
      <c r="B395" t="s">
        <v>171</v>
      </c>
      <c r="C395" t="s">
        <v>48</v>
      </c>
      <c r="D395">
        <v>5884</v>
      </c>
      <c r="E395">
        <v>0</v>
      </c>
      <c r="F395" t="s">
        <v>220</v>
      </c>
      <c r="G395">
        <v>223072</v>
      </c>
      <c r="H395">
        <v>0</v>
      </c>
    </row>
    <row r="396" spans="1:9" x14ac:dyDescent="0.25">
      <c r="A396" t="s">
        <v>126</v>
      </c>
      <c r="B396" t="s">
        <v>185</v>
      </c>
      <c r="C396" t="s">
        <v>45</v>
      </c>
      <c r="D396">
        <v>350</v>
      </c>
      <c r="E396">
        <v>0</v>
      </c>
      <c r="F396" t="s">
        <v>220</v>
      </c>
      <c r="G396">
        <v>222435</v>
      </c>
      <c r="H396">
        <v>0</v>
      </c>
    </row>
    <row r="397" spans="1:9" x14ac:dyDescent="0.25">
      <c r="A397" t="s">
        <v>127</v>
      </c>
      <c r="B397" t="s">
        <v>54</v>
      </c>
      <c r="C397" t="s">
        <v>34</v>
      </c>
      <c r="D397">
        <v>9330</v>
      </c>
      <c r="E397">
        <v>0</v>
      </c>
      <c r="F397" t="s">
        <v>220</v>
      </c>
      <c r="G397">
        <v>220386</v>
      </c>
      <c r="H397">
        <v>0</v>
      </c>
    </row>
    <row r="398" spans="1:9" x14ac:dyDescent="0.25">
      <c r="A398" t="s">
        <v>125</v>
      </c>
      <c r="B398" t="s">
        <v>168</v>
      </c>
      <c r="C398" t="s">
        <v>53</v>
      </c>
      <c r="D398">
        <v>4320</v>
      </c>
      <c r="E398">
        <v>0</v>
      </c>
      <c r="F398" t="s">
        <v>220</v>
      </c>
      <c r="G398">
        <v>219309</v>
      </c>
      <c r="H398">
        <v>0</v>
      </c>
    </row>
    <row r="399" spans="1:9" x14ac:dyDescent="0.25">
      <c r="A399" t="s">
        <v>132</v>
      </c>
      <c r="B399" t="s">
        <v>69</v>
      </c>
      <c r="C399" t="s">
        <v>34</v>
      </c>
      <c r="D399">
        <v>62</v>
      </c>
      <c r="E399">
        <v>0</v>
      </c>
      <c r="F399" t="s">
        <v>220</v>
      </c>
      <c r="G399">
        <v>216872</v>
      </c>
      <c r="H399">
        <v>0</v>
      </c>
    </row>
    <row r="400" spans="1:9" x14ac:dyDescent="0.25">
      <c r="A400" t="s">
        <v>125</v>
      </c>
      <c r="B400" t="s">
        <v>177</v>
      </c>
      <c r="C400" t="s">
        <v>48</v>
      </c>
      <c r="D400">
        <v>4000</v>
      </c>
      <c r="E400">
        <v>0</v>
      </c>
      <c r="F400" t="s">
        <v>220</v>
      </c>
      <c r="G400">
        <v>214326</v>
      </c>
      <c r="H400">
        <v>0</v>
      </c>
    </row>
    <row r="401" spans="1:9" x14ac:dyDescent="0.25">
      <c r="A401" t="s">
        <v>126</v>
      </c>
      <c r="B401" t="s">
        <v>208</v>
      </c>
      <c r="C401" t="s">
        <v>45</v>
      </c>
      <c r="D401">
        <v>296</v>
      </c>
      <c r="E401">
        <v>0</v>
      </c>
      <c r="F401" t="s">
        <v>220</v>
      </c>
      <c r="G401">
        <v>214270</v>
      </c>
      <c r="H401">
        <v>0</v>
      </c>
    </row>
    <row r="402" spans="1:9" x14ac:dyDescent="0.25">
      <c r="A402" t="s">
        <v>131</v>
      </c>
      <c r="B402" t="s">
        <v>188</v>
      </c>
      <c r="C402" t="s">
        <v>45</v>
      </c>
      <c r="D402">
        <v>193</v>
      </c>
      <c r="E402">
        <v>0</v>
      </c>
      <c r="F402" t="s">
        <v>220</v>
      </c>
      <c r="G402">
        <v>213973</v>
      </c>
      <c r="H402">
        <v>0</v>
      </c>
    </row>
    <row r="403" spans="1:9" x14ac:dyDescent="0.25">
      <c r="A403" t="s">
        <v>127</v>
      </c>
      <c r="B403" t="s">
        <v>165</v>
      </c>
      <c r="C403" t="s">
        <v>48</v>
      </c>
      <c r="D403">
        <v>309</v>
      </c>
      <c r="E403">
        <v>0</v>
      </c>
      <c r="F403" t="s">
        <v>43</v>
      </c>
      <c r="G403">
        <v>211992</v>
      </c>
      <c r="H403">
        <v>0</v>
      </c>
    </row>
    <row r="404" spans="1:9" x14ac:dyDescent="0.25">
      <c r="A404" t="s">
        <v>132</v>
      </c>
      <c r="B404" t="s">
        <v>73</v>
      </c>
      <c r="C404" t="s">
        <v>34</v>
      </c>
      <c r="D404">
        <v>100</v>
      </c>
      <c r="E404">
        <v>0</v>
      </c>
      <c r="F404" t="s">
        <v>43</v>
      </c>
      <c r="G404">
        <v>208011</v>
      </c>
      <c r="H404">
        <v>0</v>
      </c>
    </row>
    <row r="405" spans="1:9" x14ac:dyDescent="0.25">
      <c r="A405" t="s">
        <v>125</v>
      </c>
      <c r="B405" t="s">
        <v>164</v>
      </c>
      <c r="C405" t="s">
        <v>55</v>
      </c>
      <c r="D405">
        <v>6200</v>
      </c>
      <c r="E405">
        <v>0</v>
      </c>
      <c r="F405" t="s">
        <v>220</v>
      </c>
      <c r="G405">
        <v>207153</v>
      </c>
      <c r="H405">
        <v>0</v>
      </c>
    </row>
    <row r="406" spans="1:9" x14ac:dyDescent="0.25">
      <c r="A406" t="s">
        <v>125</v>
      </c>
      <c r="B406" t="s">
        <v>209</v>
      </c>
      <c r="C406" t="s">
        <v>45</v>
      </c>
      <c r="D406">
        <v>1016</v>
      </c>
      <c r="E406">
        <v>0</v>
      </c>
      <c r="F406" t="s">
        <v>220</v>
      </c>
      <c r="G406">
        <v>207147</v>
      </c>
      <c r="H406">
        <v>0</v>
      </c>
    </row>
    <row r="407" spans="1:9" x14ac:dyDescent="0.25">
      <c r="A407" t="s">
        <v>125</v>
      </c>
      <c r="B407" t="s">
        <v>72</v>
      </c>
      <c r="C407" t="s">
        <v>34</v>
      </c>
      <c r="D407">
        <v>400</v>
      </c>
      <c r="E407">
        <v>0</v>
      </c>
      <c r="F407" t="s">
        <v>220</v>
      </c>
      <c r="G407">
        <v>203743</v>
      </c>
      <c r="H407">
        <v>0</v>
      </c>
    </row>
    <row r="408" spans="1:9" x14ac:dyDescent="0.25">
      <c r="A408" t="s">
        <v>127</v>
      </c>
      <c r="B408" t="s">
        <v>74</v>
      </c>
      <c r="C408" t="s">
        <v>34</v>
      </c>
      <c r="D408">
        <v>330</v>
      </c>
      <c r="E408">
        <v>0</v>
      </c>
      <c r="F408" t="s">
        <v>43</v>
      </c>
      <c r="G408">
        <v>200971</v>
      </c>
      <c r="H408">
        <v>0</v>
      </c>
    </row>
    <row r="409" spans="1:9" x14ac:dyDescent="0.25">
      <c r="A409" t="s">
        <v>132</v>
      </c>
      <c r="B409" t="s">
        <v>164</v>
      </c>
      <c r="C409" t="s">
        <v>55</v>
      </c>
      <c r="D409">
        <v>59</v>
      </c>
      <c r="E409">
        <v>0</v>
      </c>
      <c r="F409" t="s">
        <v>220</v>
      </c>
      <c r="G409">
        <v>200403</v>
      </c>
      <c r="H409">
        <v>0</v>
      </c>
    </row>
    <row r="410" spans="1:9" x14ac:dyDescent="0.25">
      <c r="A410" t="s">
        <v>126</v>
      </c>
      <c r="B410" t="s">
        <v>209</v>
      </c>
      <c r="C410" t="s">
        <v>45</v>
      </c>
      <c r="D410">
        <v>268</v>
      </c>
      <c r="E410">
        <v>0</v>
      </c>
      <c r="F410" t="s">
        <v>220</v>
      </c>
      <c r="G410">
        <v>200339</v>
      </c>
      <c r="H410">
        <v>0</v>
      </c>
    </row>
    <row r="411" spans="1:9" x14ac:dyDescent="0.25">
      <c r="A411" t="s">
        <v>125</v>
      </c>
      <c r="B411" t="s">
        <v>166</v>
      </c>
      <c r="C411" t="s">
        <v>50</v>
      </c>
      <c r="D411">
        <v>655</v>
      </c>
      <c r="E411">
        <v>0</v>
      </c>
      <c r="F411" t="s">
        <v>220</v>
      </c>
      <c r="G411">
        <v>200304</v>
      </c>
      <c r="H411">
        <v>0</v>
      </c>
    </row>
    <row r="412" spans="1:9" x14ac:dyDescent="0.25">
      <c r="A412" t="s">
        <v>132</v>
      </c>
      <c r="B412" t="s">
        <v>174</v>
      </c>
      <c r="C412" t="s">
        <v>45</v>
      </c>
      <c r="D412">
        <v>118</v>
      </c>
      <c r="E412">
        <v>0</v>
      </c>
      <c r="F412" t="s">
        <v>43</v>
      </c>
      <c r="G412">
        <v>197318</v>
      </c>
      <c r="H412">
        <v>0</v>
      </c>
    </row>
    <row r="413" spans="1:9" x14ac:dyDescent="0.25">
      <c r="A413" t="s">
        <v>125</v>
      </c>
      <c r="B413" t="s">
        <v>49</v>
      </c>
      <c r="C413" t="s">
        <v>34</v>
      </c>
      <c r="D413">
        <v>5218</v>
      </c>
      <c r="E413">
        <v>0</v>
      </c>
      <c r="F413" t="s">
        <v>220</v>
      </c>
      <c r="G413">
        <v>195990</v>
      </c>
      <c r="H413">
        <v>0</v>
      </c>
    </row>
    <row r="414" spans="1:9" x14ac:dyDescent="0.25">
      <c r="A414" t="s">
        <v>127</v>
      </c>
      <c r="B414" t="s">
        <v>177</v>
      </c>
      <c r="C414" t="s">
        <v>48</v>
      </c>
      <c r="D414">
        <v>274</v>
      </c>
      <c r="E414">
        <v>0</v>
      </c>
      <c r="F414" t="s">
        <v>43</v>
      </c>
      <c r="G414">
        <v>195294</v>
      </c>
      <c r="H414">
        <v>0</v>
      </c>
    </row>
    <row r="415" spans="1:9" x14ac:dyDescent="0.25">
      <c r="A415" t="s">
        <v>125</v>
      </c>
      <c r="B415" t="s">
        <v>164</v>
      </c>
      <c r="C415" t="s">
        <v>55</v>
      </c>
      <c r="D415">
        <v>188</v>
      </c>
      <c r="E415">
        <v>0</v>
      </c>
      <c r="F415" t="s">
        <v>220</v>
      </c>
      <c r="G415">
        <v>194753</v>
      </c>
      <c r="H415">
        <v>0</v>
      </c>
    </row>
    <row r="416" spans="1:9" x14ac:dyDescent="0.25">
      <c r="A416" t="s">
        <v>125</v>
      </c>
      <c r="B416" t="s">
        <v>169</v>
      </c>
      <c r="C416" t="s">
        <v>45</v>
      </c>
      <c r="D416">
        <v>4750</v>
      </c>
      <c r="E416">
        <v>0</v>
      </c>
      <c r="F416" t="s">
        <v>220</v>
      </c>
      <c r="G416">
        <v>194236</v>
      </c>
      <c r="H416">
        <v>0</v>
      </c>
    </row>
    <row r="417" spans="1:9" x14ac:dyDescent="0.25">
      <c r="A417" t="s">
        <v>127</v>
      </c>
      <c r="B417" t="s">
        <v>169</v>
      </c>
      <c r="C417" t="s">
        <v>45</v>
      </c>
      <c r="D417">
        <v>6892</v>
      </c>
      <c r="E417">
        <v>0</v>
      </c>
      <c r="F417" t="s">
        <v>220</v>
      </c>
      <c r="G417">
        <v>194015</v>
      </c>
      <c r="H417">
        <v>0</v>
      </c>
    </row>
    <row r="418" spans="1:9" x14ac:dyDescent="0.25">
      <c r="A418" t="s">
        <v>126</v>
      </c>
      <c r="B418" t="s">
        <v>77</v>
      </c>
      <c r="C418" t="s">
        <v>34</v>
      </c>
      <c r="D418">
        <v>350</v>
      </c>
      <c r="E418">
        <v>0</v>
      </c>
      <c r="F418" t="s">
        <v>220</v>
      </c>
      <c r="G418">
        <v>191034</v>
      </c>
      <c r="H418">
        <v>0</v>
      </c>
    </row>
    <row r="419" spans="1:9" x14ac:dyDescent="0.25">
      <c r="A419" t="s">
        <v>125</v>
      </c>
      <c r="B419" t="s">
        <v>173</v>
      </c>
      <c r="C419" t="s">
        <v>61</v>
      </c>
      <c r="D419">
        <v>400</v>
      </c>
      <c r="E419">
        <v>0</v>
      </c>
      <c r="F419" t="s">
        <v>220</v>
      </c>
      <c r="G419">
        <v>190820</v>
      </c>
      <c r="H419">
        <v>0</v>
      </c>
    </row>
    <row r="420" spans="1:9" x14ac:dyDescent="0.25">
      <c r="A420" t="s">
        <v>127</v>
      </c>
      <c r="B420" t="s">
        <v>49</v>
      </c>
      <c r="C420" t="s">
        <v>34</v>
      </c>
      <c r="D420">
        <v>4600</v>
      </c>
      <c r="E420">
        <v>0</v>
      </c>
      <c r="F420" t="s">
        <v>220</v>
      </c>
      <c r="G420">
        <v>188674</v>
      </c>
      <c r="H420">
        <v>0</v>
      </c>
    </row>
    <row r="421" spans="1:9" x14ac:dyDescent="0.25">
      <c r="A421" t="s">
        <v>127</v>
      </c>
      <c r="B421" t="s">
        <v>181</v>
      </c>
      <c r="C421" t="s">
        <v>50</v>
      </c>
      <c r="D421">
        <v>264</v>
      </c>
      <c r="E421">
        <v>0</v>
      </c>
      <c r="F421" t="s">
        <v>43</v>
      </c>
      <c r="G421">
        <v>187429</v>
      </c>
      <c r="H421">
        <v>0</v>
      </c>
    </row>
    <row r="422" spans="1:9" x14ac:dyDescent="0.25">
      <c r="A422" t="s">
        <v>127</v>
      </c>
      <c r="B422" t="s">
        <v>181</v>
      </c>
      <c r="C422" t="s">
        <v>50</v>
      </c>
      <c r="D422">
        <v>36000</v>
      </c>
      <c r="E422">
        <v>0</v>
      </c>
      <c r="F422" t="s">
        <v>221</v>
      </c>
      <c r="G422">
        <v>185716</v>
      </c>
      <c r="H422">
        <v>0</v>
      </c>
    </row>
    <row r="423" spans="1:9" x14ac:dyDescent="0.25">
      <c r="A423" t="s">
        <v>125</v>
      </c>
      <c r="B423" t="s">
        <v>178</v>
      </c>
      <c r="C423" t="s">
        <v>58</v>
      </c>
      <c r="D423">
        <v>300</v>
      </c>
      <c r="E423">
        <v>0</v>
      </c>
      <c r="F423" t="s">
        <v>220</v>
      </c>
      <c r="G423">
        <v>183922</v>
      </c>
      <c r="H423">
        <v>0</v>
      </c>
    </row>
    <row r="424" spans="1:9" x14ac:dyDescent="0.25">
      <c r="A424" t="s">
        <v>126</v>
      </c>
      <c r="B424" t="s">
        <v>183</v>
      </c>
      <c r="C424" t="s">
        <v>45</v>
      </c>
      <c r="D424">
        <v>370</v>
      </c>
      <c r="E424">
        <v>0</v>
      </c>
      <c r="F424" t="s">
        <v>220</v>
      </c>
      <c r="G424">
        <v>182534</v>
      </c>
      <c r="H424">
        <v>0</v>
      </c>
    </row>
    <row r="425" spans="1:9" x14ac:dyDescent="0.25">
      <c r="A425" t="s">
        <v>127</v>
      </c>
      <c r="B425" t="s">
        <v>174</v>
      </c>
      <c r="C425" t="s">
        <v>45</v>
      </c>
      <c r="D425">
        <v>30000</v>
      </c>
      <c r="E425">
        <v>0</v>
      </c>
      <c r="F425" t="s">
        <v>221</v>
      </c>
      <c r="G425">
        <v>182310</v>
      </c>
      <c r="H425">
        <v>0</v>
      </c>
    </row>
    <row r="426" spans="1:9" x14ac:dyDescent="0.25">
      <c r="A426" t="s">
        <v>127</v>
      </c>
      <c r="B426" t="s">
        <v>194</v>
      </c>
      <c r="C426" t="s">
        <v>58</v>
      </c>
      <c r="D426">
        <v>480</v>
      </c>
      <c r="E426">
        <v>0</v>
      </c>
      <c r="F426" t="s">
        <v>220</v>
      </c>
      <c r="G426">
        <v>180340</v>
      </c>
      <c r="H426">
        <v>0</v>
      </c>
    </row>
    <row r="427" spans="1:9" x14ac:dyDescent="0.25">
      <c r="A427" t="s">
        <v>131</v>
      </c>
      <c r="B427" t="s">
        <v>57</v>
      </c>
      <c r="C427" t="s">
        <v>34</v>
      </c>
      <c r="D427">
        <v>150</v>
      </c>
      <c r="E427">
        <v>0</v>
      </c>
      <c r="F427" t="s">
        <v>220</v>
      </c>
      <c r="G427">
        <v>180126</v>
      </c>
      <c r="H427">
        <v>0</v>
      </c>
    </row>
    <row r="428" spans="1:9" x14ac:dyDescent="0.25">
      <c r="A428" t="s">
        <v>127</v>
      </c>
      <c r="B428" t="s">
        <v>44</v>
      </c>
      <c r="C428" t="s">
        <v>34</v>
      </c>
      <c r="D428">
        <v>2070</v>
      </c>
      <c r="E428">
        <v>0</v>
      </c>
      <c r="F428" t="s">
        <v>220</v>
      </c>
      <c r="G428">
        <v>179133</v>
      </c>
      <c r="H428">
        <v>0</v>
      </c>
    </row>
    <row r="429" spans="1:9" x14ac:dyDescent="0.25">
      <c r="A429" t="s">
        <v>127</v>
      </c>
      <c r="B429" t="s">
        <v>60</v>
      </c>
      <c r="C429" t="s">
        <v>34</v>
      </c>
      <c r="D429">
        <v>276</v>
      </c>
      <c r="E429">
        <v>0</v>
      </c>
      <c r="F429" t="s">
        <v>43</v>
      </c>
      <c r="G429">
        <v>178559</v>
      </c>
      <c r="H429">
        <v>0</v>
      </c>
    </row>
    <row r="430" spans="1:9" x14ac:dyDescent="0.25">
      <c r="A430" t="s">
        <v>127</v>
      </c>
      <c r="B430" t="s">
        <v>188</v>
      </c>
      <c r="C430" t="s">
        <v>45</v>
      </c>
      <c r="D430">
        <v>226</v>
      </c>
      <c r="E430">
        <v>0</v>
      </c>
      <c r="F430" t="s">
        <v>43</v>
      </c>
      <c r="G430">
        <v>178265</v>
      </c>
      <c r="H430">
        <v>0</v>
      </c>
    </row>
    <row r="431" spans="1:9" x14ac:dyDescent="0.25">
      <c r="A431" t="s">
        <v>132</v>
      </c>
      <c r="B431" t="s">
        <v>182</v>
      </c>
      <c r="C431" t="s">
        <v>53</v>
      </c>
      <c r="D431">
        <v>120</v>
      </c>
      <c r="E431">
        <v>0</v>
      </c>
      <c r="F431" t="s">
        <v>43</v>
      </c>
      <c r="G431">
        <v>177681</v>
      </c>
      <c r="H431">
        <v>0</v>
      </c>
    </row>
    <row r="432" spans="1:9" x14ac:dyDescent="0.25">
      <c r="A432" t="s">
        <v>132</v>
      </c>
      <c r="B432" t="s">
        <v>54</v>
      </c>
      <c r="C432" t="s">
        <v>34</v>
      </c>
      <c r="D432">
        <v>100</v>
      </c>
      <c r="E432">
        <v>0</v>
      </c>
      <c r="F432" t="s">
        <v>43</v>
      </c>
      <c r="G432">
        <v>177003</v>
      </c>
      <c r="H432">
        <v>0</v>
      </c>
    </row>
    <row r="433" spans="1:9" x14ac:dyDescent="0.25">
      <c r="A433" t="s">
        <v>126</v>
      </c>
      <c r="B433" t="s">
        <v>91</v>
      </c>
      <c r="C433" t="s">
        <v>34</v>
      </c>
      <c r="D433">
        <v>203</v>
      </c>
      <c r="E433">
        <v>0</v>
      </c>
      <c r="F433" t="s">
        <v>220</v>
      </c>
      <c r="G433">
        <v>175729</v>
      </c>
      <c r="H433">
        <v>0</v>
      </c>
    </row>
    <row r="434" spans="1:9" x14ac:dyDescent="0.25">
      <c r="A434" t="s">
        <v>126</v>
      </c>
      <c r="B434" t="s">
        <v>179</v>
      </c>
      <c r="C434" t="s">
        <v>45</v>
      </c>
      <c r="D434">
        <v>397</v>
      </c>
      <c r="E434">
        <v>0</v>
      </c>
      <c r="F434" t="s">
        <v>220</v>
      </c>
      <c r="G434">
        <v>175180</v>
      </c>
      <c r="H434">
        <v>0</v>
      </c>
    </row>
    <row r="435" spans="1:9" x14ac:dyDescent="0.25">
      <c r="A435" t="s">
        <v>125</v>
      </c>
      <c r="B435" t="s">
        <v>92</v>
      </c>
      <c r="C435" t="s">
        <v>34</v>
      </c>
      <c r="D435">
        <v>1299</v>
      </c>
      <c r="E435">
        <v>0</v>
      </c>
      <c r="F435" t="s">
        <v>220</v>
      </c>
      <c r="G435">
        <v>174350</v>
      </c>
      <c r="H435">
        <v>0</v>
      </c>
    </row>
    <row r="436" spans="1:9" x14ac:dyDescent="0.25">
      <c r="A436" t="s">
        <v>127</v>
      </c>
      <c r="B436" t="s">
        <v>73</v>
      </c>
      <c r="C436" t="s">
        <v>34</v>
      </c>
      <c r="D436">
        <v>308</v>
      </c>
      <c r="E436">
        <v>0</v>
      </c>
      <c r="F436" t="s">
        <v>43</v>
      </c>
      <c r="G436">
        <v>173189</v>
      </c>
      <c r="H436">
        <v>0</v>
      </c>
    </row>
    <row r="437" spans="1:9" x14ac:dyDescent="0.25">
      <c r="A437" t="s">
        <v>125</v>
      </c>
      <c r="B437" t="s">
        <v>75</v>
      </c>
      <c r="C437" t="s">
        <v>34</v>
      </c>
      <c r="D437">
        <v>610</v>
      </c>
      <c r="E437">
        <v>0</v>
      </c>
      <c r="F437" t="s">
        <v>220</v>
      </c>
      <c r="G437">
        <v>171867</v>
      </c>
      <c r="H437">
        <v>0</v>
      </c>
    </row>
    <row r="438" spans="1:9" x14ac:dyDescent="0.25">
      <c r="A438" t="s">
        <v>143</v>
      </c>
      <c r="B438" t="s">
        <v>162</v>
      </c>
      <c r="C438" t="s">
        <v>58</v>
      </c>
      <c r="D438">
        <v>2660</v>
      </c>
      <c r="E438">
        <v>0</v>
      </c>
      <c r="F438" t="s">
        <v>220</v>
      </c>
      <c r="G438">
        <v>171028</v>
      </c>
      <c r="H438">
        <v>0</v>
      </c>
    </row>
    <row r="439" spans="1:9" x14ac:dyDescent="0.25">
      <c r="A439" t="s">
        <v>131</v>
      </c>
      <c r="B439" t="s">
        <v>80</v>
      </c>
      <c r="C439" t="s">
        <v>34</v>
      </c>
      <c r="D439">
        <v>155</v>
      </c>
      <c r="E439">
        <v>0</v>
      </c>
      <c r="F439" t="s">
        <v>220</v>
      </c>
      <c r="G439">
        <v>170475</v>
      </c>
      <c r="H439">
        <v>0</v>
      </c>
    </row>
    <row r="440" spans="1:9" x14ac:dyDescent="0.25">
      <c r="A440" t="s">
        <v>125</v>
      </c>
      <c r="B440" t="s">
        <v>184</v>
      </c>
      <c r="C440" t="s">
        <v>50</v>
      </c>
      <c r="D440">
        <v>3000</v>
      </c>
      <c r="E440">
        <v>0</v>
      </c>
      <c r="F440" t="s">
        <v>220</v>
      </c>
      <c r="G440">
        <v>170140</v>
      </c>
      <c r="H440">
        <v>0</v>
      </c>
    </row>
    <row r="441" spans="1:9" x14ac:dyDescent="0.25">
      <c r="A441" t="s">
        <v>125</v>
      </c>
      <c r="B441" t="s">
        <v>184</v>
      </c>
      <c r="C441" t="s">
        <v>50</v>
      </c>
      <c r="D441">
        <v>400</v>
      </c>
      <c r="E441">
        <v>0</v>
      </c>
      <c r="F441" t="s">
        <v>220</v>
      </c>
      <c r="G441">
        <v>167260</v>
      </c>
      <c r="H441">
        <v>0</v>
      </c>
    </row>
    <row r="442" spans="1:9" x14ac:dyDescent="0.25">
      <c r="A442" t="s">
        <v>125</v>
      </c>
      <c r="B442" t="s">
        <v>210</v>
      </c>
      <c r="C442" t="s">
        <v>45</v>
      </c>
      <c r="D442">
        <v>1214</v>
      </c>
      <c r="E442">
        <v>0</v>
      </c>
      <c r="F442" t="s">
        <v>220</v>
      </c>
      <c r="G442">
        <v>166790</v>
      </c>
      <c r="H442">
        <v>0</v>
      </c>
    </row>
    <row r="443" spans="1:9" x14ac:dyDescent="0.25">
      <c r="A443" t="s">
        <v>125</v>
      </c>
      <c r="B443" t="s">
        <v>211</v>
      </c>
      <c r="C443" t="s">
        <v>65</v>
      </c>
      <c r="D443">
        <v>1100</v>
      </c>
      <c r="E443">
        <v>0</v>
      </c>
      <c r="F443" t="s">
        <v>220</v>
      </c>
      <c r="G443">
        <v>166018</v>
      </c>
      <c r="H443">
        <v>0</v>
      </c>
    </row>
    <row r="444" spans="1:9" x14ac:dyDescent="0.25">
      <c r="A444" t="s">
        <v>125</v>
      </c>
      <c r="B444" t="s">
        <v>170</v>
      </c>
      <c r="C444" t="s">
        <v>61</v>
      </c>
      <c r="D444">
        <v>3866</v>
      </c>
      <c r="E444">
        <v>0</v>
      </c>
      <c r="F444" t="s">
        <v>220</v>
      </c>
      <c r="G444">
        <v>165902</v>
      </c>
      <c r="H444">
        <v>0</v>
      </c>
    </row>
    <row r="445" spans="1:9" x14ac:dyDescent="0.25">
      <c r="A445" t="s">
        <v>125</v>
      </c>
      <c r="B445" t="s">
        <v>89</v>
      </c>
      <c r="C445" t="s">
        <v>34</v>
      </c>
      <c r="D445">
        <v>400</v>
      </c>
      <c r="E445">
        <v>0</v>
      </c>
      <c r="F445" t="s">
        <v>220</v>
      </c>
      <c r="G445">
        <v>164320</v>
      </c>
      <c r="H445">
        <v>0</v>
      </c>
    </row>
    <row r="446" spans="1:9" x14ac:dyDescent="0.25">
      <c r="A446" t="s">
        <v>125</v>
      </c>
      <c r="B446" t="s">
        <v>175</v>
      </c>
      <c r="C446" t="s">
        <v>48</v>
      </c>
      <c r="D446">
        <v>5000</v>
      </c>
      <c r="E446">
        <v>0</v>
      </c>
      <c r="F446" t="s">
        <v>220</v>
      </c>
      <c r="G446">
        <v>163824</v>
      </c>
      <c r="H446">
        <v>0</v>
      </c>
    </row>
    <row r="447" spans="1:9" x14ac:dyDescent="0.25">
      <c r="A447" t="s">
        <v>125</v>
      </c>
      <c r="B447" t="s">
        <v>184</v>
      </c>
      <c r="C447" t="s">
        <v>50</v>
      </c>
      <c r="D447">
        <v>120</v>
      </c>
      <c r="E447">
        <v>0</v>
      </c>
      <c r="F447" t="s">
        <v>220</v>
      </c>
      <c r="G447">
        <v>162998</v>
      </c>
      <c r="H447">
        <v>0</v>
      </c>
    </row>
    <row r="448" spans="1:9" x14ac:dyDescent="0.25">
      <c r="A448" t="s">
        <v>127</v>
      </c>
      <c r="B448" t="s">
        <v>79</v>
      </c>
      <c r="C448" t="s">
        <v>34</v>
      </c>
      <c r="D448">
        <v>32500</v>
      </c>
      <c r="E448">
        <v>0</v>
      </c>
      <c r="F448" t="s">
        <v>221</v>
      </c>
      <c r="G448">
        <v>162799</v>
      </c>
      <c r="H448">
        <v>0</v>
      </c>
    </row>
    <row r="449" spans="1:9" x14ac:dyDescent="0.25">
      <c r="A449" t="s">
        <v>125</v>
      </c>
      <c r="B449" t="s">
        <v>162</v>
      </c>
      <c r="C449" t="s">
        <v>58</v>
      </c>
      <c r="D449">
        <v>2920</v>
      </c>
      <c r="E449">
        <v>0</v>
      </c>
      <c r="F449" t="s">
        <v>220</v>
      </c>
      <c r="G449">
        <v>162462</v>
      </c>
      <c r="H449">
        <v>0</v>
      </c>
    </row>
    <row r="450" spans="1:9" x14ac:dyDescent="0.25">
      <c r="A450" t="s">
        <v>127</v>
      </c>
      <c r="B450" t="s">
        <v>165</v>
      </c>
      <c r="C450" t="s">
        <v>48</v>
      </c>
      <c r="D450">
        <v>4815</v>
      </c>
      <c r="E450">
        <v>0</v>
      </c>
      <c r="F450" t="s">
        <v>220</v>
      </c>
      <c r="G450">
        <v>162312</v>
      </c>
      <c r="H450">
        <v>0</v>
      </c>
    </row>
    <row r="451" spans="1:9" x14ac:dyDescent="0.25">
      <c r="A451" t="s">
        <v>125</v>
      </c>
      <c r="B451" t="s">
        <v>74</v>
      </c>
      <c r="C451" t="s">
        <v>34</v>
      </c>
      <c r="D451">
        <v>3100</v>
      </c>
      <c r="E451">
        <v>0</v>
      </c>
      <c r="F451" t="s">
        <v>220</v>
      </c>
      <c r="G451">
        <v>161696</v>
      </c>
      <c r="H451">
        <v>0</v>
      </c>
    </row>
    <row r="452" spans="1:9" x14ac:dyDescent="0.25">
      <c r="A452" t="s">
        <v>125</v>
      </c>
      <c r="B452" t="s">
        <v>66</v>
      </c>
      <c r="C452" t="s">
        <v>34</v>
      </c>
      <c r="D452">
        <v>600</v>
      </c>
      <c r="E452">
        <v>0</v>
      </c>
      <c r="F452" t="s">
        <v>220</v>
      </c>
      <c r="G452">
        <v>160420</v>
      </c>
      <c r="H452">
        <v>0</v>
      </c>
    </row>
    <row r="453" spans="1:9" x14ac:dyDescent="0.25">
      <c r="A453" t="s">
        <v>125</v>
      </c>
      <c r="B453" t="s">
        <v>177</v>
      </c>
      <c r="C453" t="s">
        <v>48</v>
      </c>
      <c r="D453">
        <v>4400</v>
      </c>
      <c r="E453">
        <v>0</v>
      </c>
      <c r="F453" t="s">
        <v>220</v>
      </c>
      <c r="G453">
        <v>158819</v>
      </c>
      <c r="H453">
        <v>0</v>
      </c>
    </row>
    <row r="454" spans="1:9" x14ac:dyDescent="0.25">
      <c r="A454" t="s">
        <v>132</v>
      </c>
      <c r="B454" t="s">
        <v>162</v>
      </c>
      <c r="C454" t="s">
        <v>58</v>
      </c>
      <c r="D454">
        <v>45</v>
      </c>
      <c r="E454">
        <v>0</v>
      </c>
      <c r="F454" t="s">
        <v>220</v>
      </c>
      <c r="G454">
        <v>158758</v>
      </c>
      <c r="H454">
        <v>0</v>
      </c>
    </row>
    <row r="455" spans="1:9" x14ac:dyDescent="0.25">
      <c r="A455" t="s">
        <v>132</v>
      </c>
      <c r="B455" t="s">
        <v>74</v>
      </c>
      <c r="C455" t="s">
        <v>34</v>
      </c>
      <c r="D455">
        <v>96</v>
      </c>
      <c r="E455">
        <v>0</v>
      </c>
      <c r="F455" t="s">
        <v>43</v>
      </c>
      <c r="G455">
        <v>158356</v>
      </c>
      <c r="H455">
        <v>0</v>
      </c>
    </row>
    <row r="456" spans="1:9" x14ac:dyDescent="0.25">
      <c r="A456" t="s">
        <v>131</v>
      </c>
      <c r="B456" t="s">
        <v>210</v>
      </c>
      <c r="C456" t="s">
        <v>45</v>
      </c>
      <c r="D456">
        <v>104</v>
      </c>
      <c r="E456">
        <v>0</v>
      </c>
      <c r="F456" t="s">
        <v>220</v>
      </c>
      <c r="G456">
        <v>158233</v>
      </c>
      <c r="H456">
        <v>0</v>
      </c>
    </row>
    <row r="457" spans="1:9" x14ac:dyDescent="0.25">
      <c r="A457" t="s">
        <v>127</v>
      </c>
      <c r="B457" t="s">
        <v>187</v>
      </c>
      <c r="C457" t="s">
        <v>45</v>
      </c>
      <c r="D457">
        <v>198</v>
      </c>
      <c r="E457">
        <v>0</v>
      </c>
      <c r="F457" t="s">
        <v>43</v>
      </c>
      <c r="G457">
        <v>157336</v>
      </c>
      <c r="H457">
        <v>0</v>
      </c>
    </row>
    <row r="458" spans="1:9" x14ac:dyDescent="0.25">
      <c r="A458" t="s">
        <v>125</v>
      </c>
      <c r="B458" t="s">
        <v>167</v>
      </c>
      <c r="C458" t="s">
        <v>50</v>
      </c>
      <c r="D458">
        <v>510</v>
      </c>
      <c r="E458">
        <v>0</v>
      </c>
      <c r="F458" t="s">
        <v>220</v>
      </c>
      <c r="G458">
        <v>157051</v>
      </c>
      <c r="H458">
        <v>0</v>
      </c>
    </row>
    <row r="459" spans="1:9" x14ac:dyDescent="0.25">
      <c r="A459" t="s">
        <v>125</v>
      </c>
      <c r="B459" t="s">
        <v>167</v>
      </c>
      <c r="C459" t="s">
        <v>50</v>
      </c>
      <c r="D459">
        <v>4310</v>
      </c>
      <c r="E459">
        <v>0</v>
      </c>
      <c r="F459" t="s">
        <v>220</v>
      </c>
      <c r="G459">
        <v>156858</v>
      </c>
      <c r="H459">
        <v>0</v>
      </c>
    </row>
    <row r="460" spans="1:9" x14ac:dyDescent="0.25">
      <c r="A460" t="s">
        <v>126</v>
      </c>
      <c r="B460" t="s">
        <v>190</v>
      </c>
      <c r="C460" t="s">
        <v>45</v>
      </c>
      <c r="D460">
        <v>440</v>
      </c>
      <c r="E460">
        <v>0</v>
      </c>
      <c r="F460" t="s">
        <v>220</v>
      </c>
      <c r="G460">
        <v>156535</v>
      </c>
      <c r="H460">
        <v>0</v>
      </c>
    </row>
    <row r="461" spans="1:9" x14ac:dyDescent="0.25">
      <c r="A461" t="s">
        <v>127</v>
      </c>
      <c r="B461" t="s">
        <v>182</v>
      </c>
      <c r="C461" t="s">
        <v>53</v>
      </c>
      <c r="D461">
        <v>4455</v>
      </c>
      <c r="E461">
        <v>0</v>
      </c>
      <c r="F461" t="s">
        <v>220</v>
      </c>
      <c r="G461">
        <v>156409</v>
      </c>
      <c r="H461">
        <v>0</v>
      </c>
    </row>
    <row r="462" spans="1:9" x14ac:dyDescent="0.25">
      <c r="A462" t="s">
        <v>125</v>
      </c>
      <c r="B462" t="s">
        <v>180</v>
      </c>
      <c r="C462" t="s">
        <v>45</v>
      </c>
      <c r="D462">
        <v>2400</v>
      </c>
      <c r="E462">
        <v>0</v>
      </c>
      <c r="F462" t="s">
        <v>220</v>
      </c>
      <c r="G462">
        <v>153412</v>
      </c>
      <c r="H462">
        <v>0</v>
      </c>
    </row>
    <row r="463" spans="1:9" x14ac:dyDescent="0.25">
      <c r="A463" t="s">
        <v>125</v>
      </c>
      <c r="B463" t="s">
        <v>161</v>
      </c>
      <c r="C463" t="s">
        <v>45</v>
      </c>
      <c r="D463">
        <v>510</v>
      </c>
      <c r="E463">
        <v>0</v>
      </c>
      <c r="F463" t="s">
        <v>220</v>
      </c>
      <c r="G463">
        <v>151725</v>
      </c>
      <c r="H463">
        <v>0</v>
      </c>
    </row>
    <row r="464" spans="1:9" x14ac:dyDescent="0.25">
      <c r="A464" t="s">
        <v>125</v>
      </c>
      <c r="B464" t="s">
        <v>54</v>
      </c>
      <c r="C464" t="s">
        <v>34</v>
      </c>
      <c r="D464">
        <v>560</v>
      </c>
      <c r="E464">
        <v>0</v>
      </c>
      <c r="F464" t="s">
        <v>220</v>
      </c>
      <c r="G464">
        <v>151718</v>
      </c>
      <c r="H464">
        <v>0</v>
      </c>
    </row>
    <row r="465" spans="1:9" x14ac:dyDescent="0.25">
      <c r="A465" t="s">
        <v>125</v>
      </c>
      <c r="B465" t="s">
        <v>170</v>
      </c>
      <c r="C465" t="s">
        <v>61</v>
      </c>
      <c r="D465">
        <v>2800</v>
      </c>
      <c r="E465">
        <v>0</v>
      </c>
      <c r="F465" t="s">
        <v>220</v>
      </c>
      <c r="G465">
        <v>151038</v>
      </c>
      <c r="H465">
        <v>0</v>
      </c>
    </row>
    <row r="466" spans="1:9" x14ac:dyDescent="0.25">
      <c r="A466" t="s">
        <v>125</v>
      </c>
      <c r="B466" t="s">
        <v>179</v>
      </c>
      <c r="C466" t="s">
        <v>45</v>
      </c>
      <c r="D466">
        <v>1174</v>
      </c>
      <c r="E466">
        <v>0</v>
      </c>
      <c r="F466" t="s">
        <v>220</v>
      </c>
      <c r="G466">
        <v>147429</v>
      </c>
      <c r="H466">
        <v>0</v>
      </c>
    </row>
    <row r="467" spans="1:9" x14ac:dyDescent="0.25">
      <c r="A467" t="s">
        <v>126</v>
      </c>
      <c r="B467" t="s">
        <v>57</v>
      </c>
      <c r="C467" t="s">
        <v>34</v>
      </c>
      <c r="D467">
        <v>12000</v>
      </c>
      <c r="E467">
        <v>0</v>
      </c>
      <c r="F467" t="s">
        <v>220</v>
      </c>
      <c r="G467">
        <v>146538</v>
      </c>
      <c r="H467">
        <v>0</v>
      </c>
    </row>
    <row r="468" spans="1:9" x14ac:dyDescent="0.25">
      <c r="A468" t="s">
        <v>127</v>
      </c>
      <c r="B468" t="s">
        <v>181</v>
      </c>
      <c r="C468" t="s">
        <v>50</v>
      </c>
      <c r="D468">
        <v>1221</v>
      </c>
      <c r="E468">
        <v>0</v>
      </c>
      <c r="F468" t="s">
        <v>220</v>
      </c>
      <c r="G468">
        <v>144691</v>
      </c>
      <c r="H468">
        <v>0</v>
      </c>
    </row>
    <row r="469" spans="1:9" x14ac:dyDescent="0.25">
      <c r="A469" t="s">
        <v>125</v>
      </c>
      <c r="B469" t="s">
        <v>172</v>
      </c>
      <c r="C469" t="s">
        <v>50</v>
      </c>
      <c r="D469">
        <v>2770</v>
      </c>
      <c r="E469">
        <v>0</v>
      </c>
      <c r="F469" t="s">
        <v>220</v>
      </c>
      <c r="G469">
        <v>139183</v>
      </c>
      <c r="H469">
        <v>0</v>
      </c>
    </row>
    <row r="470" spans="1:9" x14ac:dyDescent="0.25">
      <c r="A470" t="s">
        <v>125</v>
      </c>
      <c r="B470" t="s">
        <v>73</v>
      </c>
      <c r="C470" t="s">
        <v>34</v>
      </c>
      <c r="D470">
        <v>500</v>
      </c>
      <c r="E470">
        <v>0</v>
      </c>
      <c r="F470" t="s">
        <v>220</v>
      </c>
      <c r="G470">
        <v>138869</v>
      </c>
      <c r="H470">
        <v>0</v>
      </c>
    </row>
    <row r="471" spans="1:9" x14ac:dyDescent="0.25">
      <c r="A471" t="s">
        <v>132</v>
      </c>
      <c r="B471" t="s">
        <v>188</v>
      </c>
      <c r="C471" t="s">
        <v>45</v>
      </c>
      <c r="D471">
        <v>92</v>
      </c>
      <c r="E471">
        <v>0</v>
      </c>
      <c r="F471" t="s">
        <v>43</v>
      </c>
      <c r="G471">
        <v>136867</v>
      </c>
      <c r="H471">
        <v>0</v>
      </c>
    </row>
    <row r="472" spans="1:9" x14ac:dyDescent="0.25">
      <c r="A472" t="s">
        <v>125</v>
      </c>
      <c r="B472" t="s">
        <v>95</v>
      </c>
      <c r="C472" t="s">
        <v>34</v>
      </c>
      <c r="D472">
        <v>650</v>
      </c>
      <c r="E472">
        <v>0</v>
      </c>
      <c r="F472" t="s">
        <v>220</v>
      </c>
      <c r="G472">
        <v>135967</v>
      </c>
      <c r="H472">
        <v>0</v>
      </c>
    </row>
    <row r="473" spans="1:9" x14ac:dyDescent="0.25">
      <c r="A473" t="s">
        <v>125</v>
      </c>
      <c r="B473" t="s">
        <v>52</v>
      </c>
      <c r="C473" t="s">
        <v>34</v>
      </c>
      <c r="D473">
        <v>2000</v>
      </c>
      <c r="E473">
        <v>0</v>
      </c>
      <c r="F473" t="s">
        <v>220</v>
      </c>
      <c r="G473">
        <v>135339</v>
      </c>
      <c r="H473">
        <v>0</v>
      </c>
    </row>
    <row r="474" spans="1:9" x14ac:dyDescent="0.25">
      <c r="A474" t="s">
        <v>131</v>
      </c>
      <c r="B474" t="s">
        <v>96</v>
      </c>
      <c r="C474" t="s">
        <v>34</v>
      </c>
      <c r="D474">
        <v>102</v>
      </c>
      <c r="E474">
        <v>0</v>
      </c>
      <c r="F474" t="s">
        <v>220</v>
      </c>
      <c r="G474">
        <v>134917</v>
      </c>
      <c r="H474">
        <v>0</v>
      </c>
    </row>
    <row r="475" spans="1:9" x14ac:dyDescent="0.25">
      <c r="A475" t="s">
        <v>131</v>
      </c>
      <c r="B475" t="s">
        <v>72</v>
      </c>
      <c r="C475" t="s">
        <v>34</v>
      </c>
      <c r="D475">
        <v>104</v>
      </c>
      <c r="E475">
        <v>0</v>
      </c>
      <c r="F475" t="s">
        <v>220</v>
      </c>
      <c r="G475">
        <v>134076</v>
      </c>
      <c r="H475">
        <v>0</v>
      </c>
    </row>
    <row r="476" spans="1:9" x14ac:dyDescent="0.25">
      <c r="A476" t="s">
        <v>125</v>
      </c>
      <c r="B476" t="s">
        <v>73</v>
      </c>
      <c r="C476" t="s">
        <v>34</v>
      </c>
      <c r="D476">
        <v>2300</v>
      </c>
      <c r="E476">
        <v>0</v>
      </c>
      <c r="F476" t="s">
        <v>220</v>
      </c>
      <c r="G476">
        <v>133772</v>
      </c>
      <c r="H476">
        <v>0</v>
      </c>
    </row>
    <row r="477" spans="1:9" x14ac:dyDescent="0.25">
      <c r="A477" t="s">
        <v>127</v>
      </c>
      <c r="B477" t="s">
        <v>198</v>
      </c>
      <c r="C477" t="s">
        <v>45</v>
      </c>
      <c r="D477">
        <v>195</v>
      </c>
      <c r="E477">
        <v>0</v>
      </c>
      <c r="F477" t="s">
        <v>43</v>
      </c>
      <c r="G477">
        <v>133185</v>
      </c>
      <c r="H477">
        <v>0</v>
      </c>
    </row>
    <row r="478" spans="1:9" x14ac:dyDescent="0.25">
      <c r="A478" t="s">
        <v>126</v>
      </c>
      <c r="B478" t="s">
        <v>83</v>
      </c>
      <c r="C478" t="s">
        <v>34</v>
      </c>
      <c r="D478">
        <v>262</v>
      </c>
      <c r="E478">
        <v>0</v>
      </c>
      <c r="F478" t="s">
        <v>220</v>
      </c>
      <c r="G478">
        <v>132939</v>
      </c>
      <c r="H478">
        <v>0</v>
      </c>
    </row>
    <row r="479" spans="1:9" x14ac:dyDescent="0.25">
      <c r="A479" t="s">
        <v>132</v>
      </c>
      <c r="B479" t="s">
        <v>71</v>
      </c>
      <c r="C479" t="s">
        <v>34</v>
      </c>
      <c r="D479">
        <v>112</v>
      </c>
      <c r="E479">
        <v>0</v>
      </c>
      <c r="F479" t="s">
        <v>43</v>
      </c>
      <c r="G479">
        <v>132595</v>
      </c>
      <c r="H479">
        <v>0</v>
      </c>
    </row>
    <row r="480" spans="1:9" x14ac:dyDescent="0.25">
      <c r="A480" t="s">
        <v>126</v>
      </c>
      <c r="B480" t="s">
        <v>69</v>
      </c>
      <c r="C480" t="s">
        <v>34</v>
      </c>
      <c r="D480">
        <v>329</v>
      </c>
      <c r="E480">
        <v>0</v>
      </c>
      <c r="F480" t="s">
        <v>220</v>
      </c>
      <c r="G480">
        <v>131330</v>
      </c>
      <c r="H480">
        <v>0</v>
      </c>
    </row>
    <row r="481" spans="1:9" x14ac:dyDescent="0.25">
      <c r="A481" t="s">
        <v>127</v>
      </c>
      <c r="B481" t="s">
        <v>177</v>
      </c>
      <c r="C481" t="s">
        <v>48</v>
      </c>
      <c r="D481">
        <v>3310</v>
      </c>
      <c r="E481">
        <v>0</v>
      </c>
      <c r="F481" t="s">
        <v>220</v>
      </c>
      <c r="G481">
        <v>130012</v>
      </c>
      <c r="H481">
        <v>0</v>
      </c>
    </row>
    <row r="482" spans="1:9" x14ac:dyDescent="0.25">
      <c r="A482" t="s">
        <v>125</v>
      </c>
      <c r="B482" t="s">
        <v>67</v>
      </c>
      <c r="C482" t="s">
        <v>34</v>
      </c>
      <c r="D482">
        <v>2100</v>
      </c>
      <c r="E482">
        <v>0</v>
      </c>
      <c r="F482" t="s">
        <v>220</v>
      </c>
      <c r="G482">
        <v>129540</v>
      </c>
      <c r="H482">
        <v>0</v>
      </c>
    </row>
    <row r="483" spans="1:9" x14ac:dyDescent="0.25">
      <c r="A483" t="s">
        <v>127</v>
      </c>
      <c r="B483" t="s">
        <v>171</v>
      </c>
      <c r="C483" t="s">
        <v>48</v>
      </c>
      <c r="D483">
        <v>4200</v>
      </c>
      <c r="E483">
        <v>0</v>
      </c>
      <c r="F483" t="s">
        <v>43</v>
      </c>
      <c r="G483">
        <v>128992</v>
      </c>
      <c r="H483">
        <v>0</v>
      </c>
    </row>
    <row r="484" spans="1:9" x14ac:dyDescent="0.25">
      <c r="A484" t="s">
        <v>132</v>
      </c>
      <c r="B484" t="s">
        <v>202</v>
      </c>
      <c r="C484" t="s">
        <v>45</v>
      </c>
      <c r="D484">
        <v>74</v>
      </c>
      <c r="E484">
        <v>0</v>
      </c>
      <c r="F484" t="s">
        <v>43</v>
      </c>
      <c r="G484">
        <v>128948</v>
      </c>
      <c r="H484">
        <v>0</v>
      </c>
    </row>
    <row r="485" spans="1:9" x14ac:dyDescent="0.25">
      <c r="A485" t="s">
        <v>125</v>
      </c>
      <c r="B485" t="s">
        <v>190</v>
      </c>
      <c r="C485" t="s">
        <v>45</v>
      </c>
      <c r="D485">
        <v>132</v>
      </c>
      <c r="E485">
        <v>0</v>
      </c>
      <c r="F485" t="s">
        <v>43</v>
      </c>
      <c r="G485">
        <v>125698</v>
      </c>
      <c r="H485">
        <v>0</v>
      </c>
    </row>
    <row r="486" spans="1:9" x14ac:dyDescent="0.25">
      <c r="A486" t="s">
        <v>125</v>
      </c>
      <c r="B486" t="s">
        <v>67</v>
      </c>
      <c r="C486" t="s">
        <v>34</v>
      </c>
      <c r="D486">
        <v>460</v>
      </c>
      <c r="E486">
        <v>0</v>
      </c>
      <c r="F486" t="s">
        <v>220</v>
      </c>
      <c r="G486">
        <v>125276</v>
      </c>
      <c r="H486">
        <v>0</v>
      </c>
    </row>
    <row r="487" spans="1:9" x14ac:dyDescent="0.25">
      <c r="A487" t="s">
        <v>125</v>
      </c>
      <c r="B487" t="s">
        <v>182</v>
      </c>
      <c r="C487" t="s">
        <v>53</v>
      </c>
      <c r="D487">
        <v>190</v>
      </c>
      <c r="E487">
        <v>0</v>
      </c>
      <c r="F487" t="s">
        <v>220</v>
      </c>
      <c r="G487">
        <v>124505</v>
      </c>
      <c r="H487">
        <v>0</v>
      </c>
    </row>
    <row r="488" spans="1:9" x14ac:dyDescent="0.25">
      <c r="A488" t="s">
        <v>126</v>
      </c>
      <c r="B488" t="s">
        <v>198</v>
      </c>
      <c r="C488" t="s">
        <v>45</v>
      </c>
      <c r="D488">
        <v>14400</v>
      </c>
      <c r="E488">
        <v>0</v>
      </c>
      <c r="F488" t="s">
        <v>43</v>
      </c>
      <c r="G488">
        <v>121943</v>
      </c>
      <c r="H488">
        <v>0</v>
      </c>
    </row>
    <row r="489" spans="1:9" x14ac:dyDescent="0.25">
      <c r="A489" t="s">
        <v>125</v>
      </c>
      <c r="B489" t="s">
        <v>176</v>
      </c>
      <c r="C489" t="s">
        <v>53</v>
      </c>
      <c r="D489">
        <v>290</v>
      </c>
      <c r="E489">
        <v>0</v>
      </c>
      <c r="F489" t="s">
        <v>220</v>
      </c>
      <c r="G489">
        <v>119710</v>
      </c>
      <c r="H489">
        <v>0</v>
      </c>
    </row>
    <row r="490" spans="1:9" x14ac:dyDescent="0.25">
      <c r="A490" t="s">
        <v>125</v>
      </c>
      <c r="B490" t="s">
        <v>72</v>
      </c>
      <c r="C490" t="s">
        <v>34</v>
      </c>
      <c r="D490">
        <v>420</v>
      </c>
      <c r="E490">
        <v>0</v>
      </c>
      <c r="F490" t="s">
        <v>220</v>
      </c>
      <c r="G490">
        <v>116316</v>
      </c>
      <c r="H490">
        <v>0</v>
      </c>
    </row>
    <row r="491" spans="1:9" x14ac:dyDescent="0.25">
      <c r="A491" t="s">
        <v>126</v>
      </c>
      <c r="B491" t="s">
        <v>169</v>
      </c>
      <c r="C491" t="s">
        <v>45</v>
      </c>
      <c r="D491">
        <v>12000</v>
      </c>
      <c r="E491">
        <v>0</v>
      </c>
      <c r="F491" t="s">
        <v>43</v>
      </c>
      <c r="G491">
        <v>114674</v>
      </c>
      <c r="H491">
        <v>0</v>
      </c>
    </row>
    <row r="492" spans="1:9" x14ac:dyDescent="0.25">
      <c r="A492" t="s">
        <v>132</v>
      </c>
      <c r="B492" t="s">
        <v>183</v>
      </c>
      <c r="C492" t="s">
        <v>45</v>
      </c>
      <c r="D492">
        <v>72</v>
      </c>
      <c r="E492">
        <v>0</v>
      </c>
      <c r="F492" t="s">
        <v>43</v>
      </c>
      <c r="G492">
        <v>113174</v>
      </c>
      <c r="H492">
        <v>0</v>
      </c>
    </row>
    <row r="493" spans="1:9" x14ac:dyDescent="0.25">
      <c r="A493" t="s">
        <v>125</v>
      </c>
      <c r="B493" t="s">
        <v>188</v>
      </c>
      <c r="C493" t="s">
        <v>45</v>
      </c>
      <c r="D493">
        <v>400</v>
      </c>
      <c r="E493">
        <v>0</v>
      </c>
      <c r="F493" t="s">
        <v>220</v>
      </c>
      <c r="G493">
        <v>112379</v>
      </c>
      <c r="H493">
        <v>0</v>
      </c>
    </row>
    <row r="494" spans="1:9" x14ac:dyDescent="0.25">
      <c r="A494" t="s">
        <v>126</v>
      </c>
      <c r="B494" t="s">
        <v>74</v>
      </c>
      <c r="C494" t="s">
        <v>34</v>
      </c>
      <c r="D494">
        <v>320</v>
      </c>
      <c r="E494">
        <v>0</v>
      </c>
      <c r="F494" t="s">
        <v>43</v>
      </c>
      <c r="G494">
        <v>111621</v>
      </c>
      <c r="H494">
        <v>0</v>
      </c>
    </row>
    <row r="495" spans="1:9" x14ac:dyDescent="0.25">
      <c r="A495" t="s">
        <v>127</v>
      </c>
      <c r="B495" t="s">
        <v>99</v>
      </c>
      <c r="C495" t="s">
        <v>34</v>
      </c>
      <c r="D495">
        <v>23400</v>
      </c>
      <c r="E495">
        <v>0</v>
      </c>
      <c r="F495" t="s">
        <v>221</v>
      </c>
      <c r="G495">
        <v>111236</v>
      </c>
      <c r="H495">
        <v>0</v>
      </c>
    </row>
    <row r="496" spans="1:9" x14ac:dyDescent="0.25">
      <c r="A496" t="s">
        <v>125</v>
      </c>
      <c r="B496" t="s">
        <v>182</v>
      </c>
      <c r="C496" t="s">
        <v>53</v>
      </c>
      <c r="D496">
        <v>1824</v>
      </c>
      <c r="E496">
        <v>0</v>
      </c>
      <c r="F496" t="s">
        <v>43</v>
      </c>
      <c r="G496">
        <v>111207</v>
      </c>
      <c r="H496">
        <v>0</v>
      </c>
    </row>
    <row r="497" spans="1:9" x14ac:dyDescent="0.25">
      <c r="A497" t="s">
        <v>125</v>
      </c>
      <c r="B497" t="s">
        <v>174</v>
      </c>
      <c r="C497" t="s">
        <v>45</v>
      </c>
      <c r="D497">
        <v>2000</v>
      </c>
      <c r="E497">
        <v>0</v>
      </c>
      <c r="F497" t="s">
        <v>220</v>
      </c>
      <c r="G497">
        <v>111028</v>
      </c>
      <c r="H497">
        <v>0</v>
      </c>
    </row>
    <row r="498" spans="1:9" x14ac:dyDescent="0.25">
      <c r="A498" t="s">
        <v>125</v>
      </c>
      <c r="B498" t="s">
        <v>80</v>
      </c>
      <c r="C498" t="s">
        <v>34</v>
      </c>
      <c r="D498">
        <v>420</v>
      </c>
      <c r="E498">
        <v>0</v>
      </c>
      <c r="F498" t="s">
        <v>220</v>
      </c>
      <c r="G498">
        <v>110041</v>
      </c>
      <c r="H498">
        <v>0</v>
      </c>
    </row>
    <row r="499" spans="1:9" x14ac:dyDescent="0.25">
      <c r="A499" t="s">
        <v>125</v>
      </c>
      <c r="B499" t="s">
        <v>184</v>
      </c>
      <c r="C499" t="s">
        <v>50</v>
      </c>
      <c r="D499">
        <v>2460</v>
      </c>
      <c r="E499">
        <v>0</v>
      </c>
      <c r="F499" t="s">
        <v>220</v>
      </c>
      <c r="G499">
        <v>109810</v>
      </c>
      <c r="H499">
        <v>0</v>
      </c>
    </row>
    <row r="500" spans="1:9" x14ac:dyDescent="0.25">
      <c r="A500" t="s">
        <v>125</v>
      </c>
      <c r="B500" t="s">
        <v>82</v>
      </c>
      <c r="C500" t="s">
        <v>34</v>
      </c>
      <c r="D500">
        <v>300</v>
      </c>
      <c r="E500">
        <v>0</v>
      </c>
      <c r="F500" t="s">
        <v>220</v>
      </c>
      <c r="G500">
        <v>109615</v>
      </c>
      <c r="H500">
        <v>0</v>
      </c>
    </row>
    <row r="501" spans="1:9" x14ac:dyDescent="0.25">
      <c r="A501" t="s">
        <v>126</v>
      </c>
      <c r="B501" t="s">
        <v>196</v>
      </c>
      <c r="C501" t="s">
        <v>53</v>
      </c>
      <c r="D501">
        <v>271</v>
      </c>
      <c r="E501">
        <v>0</v>
      </c>
      <c r="F501" t="s">
        <v>220</v>
      </c>
      <c r="G501">
        <v>109164</v>
      </c>
      <c r="H501">
        <v>0</v>
      </c>
    </row>
    <row r="502" spans="1:9" x14ac:dyDescent="0.25">
      <c r="A502" t="s">
        <v>125</v>
      </c>
      <c r="B502" t="s">
        <v>176</v>
      </c>
      <c r="C502" t="s">
        <v>53</v>
      </c>
      <c r="D502">
        <v>400</v>
      </c>
      <c r="E502">
        <v>0</v>
      </c>
      <c r="F502" t="s">
        <v>220</v>
      </c>
      <c r="G502">
        <v>108344</v>
      </c>
      <c r="H502">
        <v>0</v>
      </c>
    </row>
    <row r="503" spans="1:9" x14ac:dyDescent="0.25">
      <c r="A503" t="s">
        <v>132</v>
      </c>
      <c r="B503" t="s">
        <v>80</v>
      </c>
      <c r="C503" t="s">
        <v>34</v>
      </c>
      <c r="D503">
        <v>72</v>
      </c>
      <c r="E503">
        <v>0</v>
      </c>
      <c r="F503" t="s">
        <v>43</v>
      </c>
      <c r="G503">
        <v>106094</v>
      </c>
      <c r="H503">
        <v>0</v>
      </c>
    </row>
    <row r="504" spans="1:9" x14ac:dyDescent="0.25">
      <c r="A504" t="s">
        <v>125</v>
      </c>
      <c r="B504" t="s">
        <v>77</v>
      </c>
      <c r="C504" t="s">
        <v>34</v>
      </c>
      <c r="D504">
        <v>2000</v>
      </c>
      <c r="E504">
        <v>0</v>
      </c>
      <c r="F504" t="s">
        <v>220</v>
      </c>
      <c r="G504">
        <v>105692</v>
      </c>
      <c r="H504">
        <v>0</v>
      </c>
    </row>
    <row r="505" spans="1:9" x14ac:dyDescent="0.25">
      <c r="A505" t="s">
        <v>125</v>
      </c>
      <c r="B505" t="s">
        <v>177</v>
      </c>
      <c r="C505" t="s">
        <v>48</v>
      </c>
      <c r="D505">
        <v>325</v>
      </c>
      <c r="E505">
        <v>0</v>
      </c>
      <c r="F505" t="s">
        <v>220</v>
      </c>
      <c r="G505">
        <v>104616</v>
      </c>
      <c r="H505">
        <v>0</v>
      </c>
    </row>
    <row r="506" spans="1:9" x14ac:dyDescent="0.25">
      <c r="A506" t="s">
        <v>132</v>
      </c>
      <c r="B506" t="s">
        <v>167</v>
      </c>
      <c r="C506" t="s">
        <v>50</v>
      </c>
      <c r="D506">
        <v>1100</v>
      </c>
      <c r="E506">
        <v>0</v>
      </c>
      <c r="F506" t="s">
        <v>220</v>
      </c>
      <c r="G506">
        <v>103282</v>
      </c>
      <c r="H506">
        <v>0</v>
      </c>
    </row>
    <row r="507" spans="1:9" x14ac:dyDescent="0.25">
      <c r="A507" t="s">
        <v>125</v>
      </c>
      <c r="B507" t="s">
        <v>76</v>
      </c>
      <c r="C507" t="s">
        <v>34</v>
      </c>
      <c r="D507">
        <v>200</v>
      </c>
      <c r="E507">
        <v>0</v>
      </c>
      <c r="F507" t="s">
        <v>220</v>
      </c>
      <c r="G507">
        <v>103191</v>
      </c>
      <c r="H507">
        <v>0</v>
      </c>
    </row>
    <row r="508" spans="1:9" x14ac:dyDescent="0.25">
      <c r="A508" t="s">
        <v>125</v>
      </c>
      <c r="B508" t="s">
        <v>188</v>
      </c>
      <c r="C508" t="s">
        <v>45</v>
      </c>
      <c r="D508">
        <v>300</v>
      </c>
      <c r="E508">
        <v>0</v>
      </c>
      <c r="F508" t="s">
        <v>220</v>
      </c>
      <c r="G508">
        <v>102542</v>
      </c>
      <c r="H508">
        <v>0</v>
      </c>
    </row>
    <row r="509" spans="1:9" x14ac:dyDescent="0.25">
      <c r="A509" t="s">
        <v>125</v>
      </c>
      <c r="B509" t="s">
        <v>212</v>
      </c>
      <c r="C509" t="s">
        <v>50</v>
      </c>
      <c r="D509">
        <v>932</v>
      </c>
      <c r="E509">
        <v>0</v>
      </c>
      <c r="F509" t="s">
        <v>220</v>
      </c>
      <c r="G509">
        <v>102090</v>
      </c>
      <c r="H509">
        <v>0</v>
      </c>
    </row>
    <row r="510" spans="1:9" x14ac:dyDescent="0.25">
      <c r="A510" t="s">
        <v>125</v>
      </c>
      <c r="B510" t="s">
        <v>174</v>
      </c>
      <c r="C510" t="s">
        <v>45</v>
      </c>
      <c r="D510">
        <v>200</v>
      </c>
      <c r="E510">
        <v>0</v>
      </c>
      <c r="F510" t="s">
        <v>220</v>
      </c>
      <c r="G510">
        <v>101899</v>
      </c>
      <c r="H510">
        <v>0</v>
      </c>
    </row>
    <row r="511" spans="1:9" x14ac:dyDescent="0.25">
      <c r="A511" t="s">
        <v>127</v>
      </c>
      <c r="B511" t="s">
        <v>176</v>
      </c>
      <c r="C511" t="s">
        <v>53</v>
      </c>
      <c r="D511">
        <v>1510</v>
      </c>
      <c r="E511">
        <v>0</v>
      </c>
      <c r="F511" t="s">
        <v>220</v>
      </c>
      <c r="G511">
        <v>101098</v>
      </c>
      <c r="H511">
        <v>0</v>
      </c>
    </row>
    <row r="512" spans="1:9" x14ac:dyDescent="0.25">
      <c r="A512" t="s">
        <v>126</v>
      </c>
      <c r="B512" t="s">
        <v>192</v>
      </c>
      <c r="C512" t="s">
        <v>45</v>
      </c>
      <c r="D512">
        <v>221</v>
      </c>
      <c r="E512">
        <v>0</v>
      </c>
      <c r="F512" t="s">
        <v>220</v>
      </c>
      <c r="G512">
        <v>99781</v>
      </c>
      <c r="H512">
        <v>0</v>
      </c>
    </row>
    <row r="513" spans="1:9" x14ac:dyDescent="0.25">
      <c r="A513" t="s">
        <v>125</v>
      </c>
      <c r="B513" t="s">
        <v>184</v>
      </c>
      <c r="C513" t="s">
        <v>50</v>
      </c>
      <c r="D513">
        <v>330</v>
      </c>
      <c r="E513">
        <v>0</v>
      </c>
      <c r="F513" t="s">
        <v>220</v>
      </c>
      <c r="G513">
        <v>97545</v>
      </c>
      <c r="H513">
        <v>0</v>
      </c>
    </row>
    <row r="514" spans="1:9" x14ac:dyDescent="0.25">
      <c r="A514" t="s">
        <v>127</v>
      </c>
      <c r="B514" t="s">
        <v>189</v>
      </c>
      <c r="C514" t="s">
        <v>63</v>
      </c>
      <c r="D514">
        <v>200</v>
      </c>
      <c r="E514">
        <v>0</v>
      </c>
      <c r="F514" t="s">
        <v>43</v>
      </c>
      <c r="G514">
        <v>97018</v>
      </c>
      <c r="H514">
        <v>0</v>
      </c>
    </row>
    <row r="515" spans="1:9" x14ac:dyDescent="0.25">
      <c r="A515" t="s">
        <v>126</v>
      </c>
      <c r="B515" t="s">
        <v>91</v>
      </c>
      <c r="C515" t="s">
        <v>34</v>
      </c>
      <c r="D515">
        <v>250</v>
      </c>
      <c r="E515">
        <v>0</v>
      </c>
      <c r="F515" t="s">
        <v>43</v>
      </c>
      <c r="G515">
        <v>96155</v>
      </c>
      <c r="H515">
        <v>0</v>
      </c>
    </row>
    <row r="516" spans="1:9" x14ac:dyDescent="0.25">
      <c r="A516" t="s">
        <v>127</v>
      </c>
      <c r="B516" t="s">
        <v>175</v>
      </c>
      <c r="C516" t="s">
        <v>48</v>
      </c>
      <c r="D516">
        <v>2350</v>
      </c>
      <c r="E516">
        <v>0</v>
      </c>
      <c r="F516" t="s">
        <v>220</v>
      </c>
      <c r="G516">
        <v>95940</v>
      </c>
      <c r="H516">
        <v>0</v>
      </c>
    </row>
    <row r="517" spans="1:9" x14ac:dyDescent="0.25">
      <c r="A517" t="s">
        <v>127</v>
      </c>
      <c r="B517" t="s">
        <v>176</v>
      </c>
      <c r="C517" t="s">
        <v>53</v>
      </c>
      <c r="D517">
        <v>1987</v>
      </c>
      <c r="E517">
        <v>0</v>
      </c>
      <c r="F517" t="s">
        <v>220</v>
      </c>
      <c r="G517">
        <v>95277</v>
      </c>
      <c r="H517">
        <v>0</v>
      </c>
    </row>
    <row r="518" spans="1:9" x14ac:dyDescent="0.25">
      <c r="A518" t="s">
        <v>127</v>
      </c>
      <c r="B518" t="s">
        <v>185</v>
      </c>
      <c r="C518" t="s">
        <v>45</v>
      </c>
      <c r="D518">
        <v>144</v>
      </c>
      <c r="E518">
        <v>0</v>
      </c>
      <c r="F518" t="s">
        <v>43</v>
      </c>
      <c r="G518">
        <v>95064</v>
      </c>
      <c r="H518">
        <v>0</v>
      </c>
    </row>
    <row r="519" spans="1:9" x14ac:dyDescent="0.25">
      <c r="A519" t="s">
        <v>125</v>
      </c>
      <c r="B519" t="s">
        <v>69</v>
      </c>
      <c r="C519" t="s">
        <v>34</v>
      </c>
      <c r="D519">
        <v>902</v>
      </c>
      <c r="E519">
        <v>0</v>
      </c>
      <c r="F519" t="s">
        <v>220</v>
      </c>
      <c r="G519">
        <v>94769</v>
      </c>
      <c r="H519">
        <v>0</v>
      </c>
    </row>
    <row r="520" spans="1:9" x14ac:dyDescent="0.25">
      <c r="A520" t="s">
        <v>132</v>
      </c>
      <c r="B520" t="s">
        <v>161</v>
      </c>
      <c r="C520" t="s">
        <v>45</v>
      </c>
      <c r="D520">
        <v>24</v>
      </c>
      <c r="E520">
        <v>0</v>
      </c>
      <c r="F520" t="s">
        <v>43</v>
      </c>
      <c r="G520">
        <v>91266</v>
      </c>
      <c r="H520">
        <v>0</v>
      </c>
    </row>
    <row r="521" spans="1:9" x14ac:dyDescent="0.25">
      <c r="A521" t="s">
        <v>125</v>
      </c>
      <c r="B521" t="s">
        <v>181</v>
      </c>
      <c r="C521" t="s">
        <v>50</v>
      </c>
      <c r="D521">
        <v>310</v>
      </c>
      <c r="E521">
        <v>0</v>
      </c>
      <c r="F521" t="s">
        <v>220</v>
      </c>
      <c r="G521">
        <v>91209</v>
      </c>
      <c r="H521">
        <v>0</v>
      </c>
    </row>
    <row r="522" spans="1:9" x14ac:dyDescent="0.25">
      <c r="A522" t="s">
        <v>125</v>
      </c>
      <c r="B522" t="s">
        <v>76</v>
      </c>
      <c r="C522" t="s">
        <v>34</v>
      </c>
      <c r="D522">
        <v>1500</v>
      </c>
      <c r="E522">
        <v>0</v>
      </c>
      <c r="F522" t="s">
        <v>220</v>
      </c>
      <c r="G522">
        <v>91083</v>
      </c>
      <c r="H522">
        <v>0</v>
      </c>
    </row>
    <row r="523" spans="1:9" x14ac:dyDescent="0.25">
      <c r="A523" t="s">
        <v>126</v>
      </c>
      <c r="B523" t="s">
        <v>71</v>
      </c>
      <c r="C523" t="s">
        <v>34</v>
      </c>
      <c r="D523">
        <v>247</v>
      </c>
      <c r="E523">
        <v>0</v>
      </c>
      <c r="F523" t="s">
        <v>220</v>
      </c>
      <c r="G523">
        <v>90988</v>
      </c>
      <c r="H523">
        <v>0</v>
      </c>
    </row>
    <row r="524" spans="1:9" x14ac:dyDescent="0.25">
      <c r="A524" t="s">
        <v>126</v>
      </c>
      <c r="B524" t="s">
        <v>198</v>
      </c>
      <c r="C524" t="s">
        <v>45</v>
      </c>
      <c r="D524">
        <v>217</v>
      </c>
      <c r="E524">
        <v>0</v>
      </c>
      <c r="F524" t="s">
        <v>220</v>
      </c>
      <c r="G524">
        <v>89986</v>
      </c>
      <c r="H524">
        <v>0</v>
      </c>
    </row>
    <row r="525" spans="1:9" x14ac:dyDescent="0.25">
      <c r="A525" t="s">
        <v>132</v>
      </c>
      <c r="B525" t="s">
        <v>170</v>
      </c>
      <c r="C525" t="s">
        <v>61</v>
      </c>
      <c r="D525">
        <v>26</v>
      </c>
      <c r="E525">
        <v>0</v>
      </c>
      <c r="F525" t="s">
        <v>43</v>
      </c>
      <c r="G525">
        <v>88753</v>
      </c>
      <c r="H525">
        <v>0</v>
      </c>
    </row>
    <row r="526" spans="1:9" x14ac:dyDescent="0.25">
      <c r="A526" t="s">
        <v>125</v>
      </c>
      <c r="B526" t="s">
        <v>173</v>
      </c>
      <c r="C526" t="s">
        <v>61</v>
      </c>
      <c r="D526">
        <v>60</v>
      </c>
      <c r="E526">
        <v>0</v>
      </c>
      <c r="F526" t="s">
        <v>220</v>
      </c>
      <c r="G526">
        <v>88332</v>
      </c>
      <c r="H526">
        <v>0</v>
      </c>
    </row>
    <row r="527" spans="1:9" x14ac:dyDescent="0.25">
      <c r="A527" t="s">
        <v>125</v>
      </c>
      <c r="B527" t="s">
        <v>161</v>
      </c>
      <c r="C527" t="s">
        <v>45</v>
      </c>
      <c r="D527">
        <v>78</v>
      </c>
      <c r="E527">
        <v>0</v>
      </c>
      <c r="F527" t="s">
        <v>220</v>
      </c>
      <c r="G527">
        <v>87520</v>
      </c>
      <c r="H527">
        <v>0</v>
      </c>
    </row>
    <row r="528" spans="1:9" x14ac:dyDescent="0.25">
      <c r="A528" t="s">
        <v>126</v>
      </c>
      <c r="B528" t="s">
        <v>94</v>
      </c>
      <c r="C528" t="s">
        <v>34</v>
      </c>
      <c r="D528">
        <v>58</v>
      </c>
      <c r="E528">
        <v>0</v>
      </c>
      <c r="F528" t="s">
        <v>220</v>
      </c>
      <c r="G528">
        <v>86905</v>
      </c>
      <c r="H528">
        <v>0</v>
      </c>
    </row>
    <row r="529" spans="1:9" x14ac:dyDescent="0.25">
      <c r="A529" t="s">
        <v>125</v>
      </c>
      <c r="B529" t="s">
        <v>198</v>
      </c>
      <c r="C529" t="s">
        <v>45</v>
      </c>
      <c r="D529">
        <v>400</v>
      </c>
      <c r="E529">
        <v>0</v>
      </c>
      <c r="F529" t="s">
        <v>220</v>
      </c>
      <c r="G529">
        <v>86231</v>
      </c>
      <c r="H529">
        <v>0</v>
      </c>
    </row>
    <row r="530" spans="1:9" x14ac:dyDescent="0.25">
      <c r="A530" t="s">
        <v>132</v>
      </c>
      <c r="B530" t="s">
        <v>189</v>
      </c>
      <c r="C530" t="s">
        <v>63</v>
      </c>
      <c r="D530">
        <v>56</v>
      </c>
      <c r="E530">
        <v>0</v>
      </c>
      <c r="F530" t="s">
        <v>43</v>
      </c>
      <c r="G530">
        <v>86224</v>
      </c>
      <c r="H530">
        <v>0</v>
      </c>
    </row>
    <row r="531" spans="1:9" x14ac:dyDescent="0.25">
      <c r="A531" t="s">
        <v>127</v>
      </c>
      <c r="B531" t="s">
        <v>60</v>
      </c>
      <c r="C531" t="s">
        <v>34</v>
      </c>
      <c r="D531">
        <v>1664</v>
      </c>
      <c r="E531">
        <v>0</v>
      </c>
      <c r="F531" t="s">
        <v>220</v>
      </c>
      <c r="G531">
        <v>86100</v>
      </c>
      <c r="H531">
        <v>0</v>
      </c>
    </row>
    <row r="532" spans="1:9" x14ac:dyDescent="0.25">
      <c r="A532" t="s">
        <v>125</v>
      </c>
      <c r="B532" t="s">
        <v>172</v>
      </c>
      <c r="C532" t="s">
        <v>50</v>
      </c>
      <c r="D532">
        <v>300</v>
      </c>
      <c r="E532">
        <v>0</v>
      </c>
      <c r="F532" t="s">
        <v>220</v>
      </c>
      <c r="G532">
        <v>85592</v>
      </c>
      <c r="H532">
        <v>0</v>
      </c>
    </row>
    <row r="533" spans="1:9" x14ac:dyDescent="0.25">
      <c r="A533" t="s">
        <v>125</v>
      </c>
      <c r="B533" t="s">
        <v>170</v>
      </c>
      <c r="C533" t="s">
        <v>61</v>
      </c>
      <c r="D533">
        <v>320</v>
      </c>
      <c r="E533">
        <v>0</v>
      </c>
      <c r="F533" t="s">
        <v>220</v>
      </c>
      <c r="G533">
        <v>85148</v>
      </c>
      <c r="H533">
        <v>0</v>
      </c>
    </row>
    <row r="534" spans="1:9" x14ac:dyDescent="0.25">
      <c r="A534" t="s">
        <v>125</v>
      </c>
      <c r="B534" t="s">
        <v>98</v>
      </c>
      <c r="C534" t="s">
        <v>34</v>
      </c>
      <c r="D534">
        <v>657</v>
      </c>
      <c r="E534">
        <v>0</v>
      </c>
      <c r="F534" t="s">
        <v>220</v>
      </c>
      <c r="G534">
        <v>84478</v>
      </c>
      <c r="H534">
        <v>0</v>
      </c>
    </row>
    <row r="535" spans="1:9" x14ac:dyDescent="0.25">
      <c r="A535" t="s">
        <v>132</v>
      </c>
      <c r="B535" t="s">
        <v>187</v>
      </c>
      <c r="C535" t="s">
        <v>45</v>
      </c>
      <c r="D535">
        <v>56</v>
      </c>
      <c r="E535">
        <v>0</v>
      </c>
      <c r="F535" t="s">
        <v>43</v>
      </c>
      <c r="G535">
        <v>84323</v>
      </c>
      <c r="H535">
        <v>0</v>
      </c>
    </row>
    <row r="536" spans="1:9" x14ac:dyDescent="0.25">
      <c r="A536" t="s">
        <v>125</v>
      </c>
      <c r="B536" t="s">
        <v>77</v>
      </c>
      <c r="C536" t="s">
        <v>34</v>
      </c>
      <c r="D536">
        <v>300</v>
      </c>
      <c r="E536">
        <v>0</v>
      </c>
      <c r="F536" t="s">
        <v>220</v>
      </c>
      <c r="G536">
        <v>83965</v>
      </c>
      <c r="H536">
        <v>0</v>
      </c>
    </row>
    <row r="537" spans="1:9" x14ac:dyDescent="0.25">
      <c r="A537" t="s">
        <v>125</v>
      </c>
      <c r="B537" t="s">
        <v>60</v>
      </c>
      <c r="C537" t="s">
        <v>34</v>
      </c>
      <c r="D537">
        <v>285</v>
      </c>
      <c r="E537">
        <v>0</v>
      </c>
      <c r="F537" t="s">
        <v>220</v>
      </c>
      <c r="G537">
        <v>83347</v>
      </c>
      <c r="H537">
        <v>0</v>
      </c>
    </row>
    <row r="538" spans="1:9" x14ac:dyDescent="0.25">
      <c r="A538" t="s">
        <v>126</v>
      </c>
      <c r="B538" t="s">
        <v>73</v>
      </c>
      <c r="C538" t="s">
        <v>34</v>
      </c>
      <c r="D538">
        <v>172</v>
      </c>
      <c r="E538">
        <v>0</v>
      </c>
      <c r="F538" t="s">
        <v>220</v>
      </c>
      <c r="G538">
        <v>82681</v>
      </c>
      <c r="H538">
        <v>0</v>
      </c>
    </row>
    <row r="539" spans="1:9" x14ac:dyDescent="0.25">
      <c r="A539" t="s">
        <v>126</v>
      </c>
      <c r="B539" t="s">
        <v>67</v>
      </c>
      <c r="C539" t="s">
        <v>34</v>
      </c>
      <c r="D539">
        <v>170</v>
      </c>
      <c r="E539">
        <v>0</v>
      </c>
      <c r="F539" t="s">
        <v>220</v>
      </c>
      <c r="G539">
        <v>81800</v>
      </c>
      <c r="H539">
        <v>0</v>
      </c>
    </row>
    <row r="540" spans="1:9" x14ac:dyDescent="0.25">
      <c r="A540" t="s">
        <v>126</v>
      </c>
      <c r="B540" t="s">
        <v>197</v>
      </c>
      <c r="C540" t="s">
        <v>45</v>
      </c>
      <c r="D540">
        <v>110</v>
      </c>
      <c r="E540">
        <v>0</v>
      </c>
      <c r="F540" t="s">
        <v>220</v>
      </c>
      <c r="G540">
        <v>81616</v>
      </c>
      <c r="H540">
        <v>0</v>
      </c>
    </row>
    <row r="541" spans="1:9" x14ac:dyDescent="0.25">
      <c r="A541" t="s">
        <v>125</v>
      </c>
      <c r="B541" t="s">
        <v>178</v>
      </c>
      <c r="C541" t="s">
        <v>58</v>
      </c>
      <c r="D541">
        <v>1420</v>
      </c>
      <c r="E541">
        <v>0</v>
      </c>
      <c r="F541" t="s">
        <v>220</v>
      </c>
      <c r="G541">
        <v>81027</v>
      </c>
      <c r="H541">
        <v>0</v>
      </c>
    </row>
    <row r="542" spans="1:9" x14ac:dyDescent="0.25">
      <c r="A542" t="s">
        <v>125</v>
      </c>
      <c r="B542" t="s">
        <v>69</v>
      </c>
      <c r="C542" t="s">
        <v>34</v>
      </c>
      <c r="D542">
        <v>300</v>
      </c>
      <c r="E542">
        <v>0</v>
      </c>
      <c r="F542" t="s">
        <v>220</v>
      </c>
      <c r="G542">
        <v>80833</v>
      </c>
      <c r="H542">
        <v>0</v>
      </c>
    </row>
    <row r="543" spans="1:9" x14ac:dyDescent="0.25">
      <c r="A543" t="s">
        <v>125</v>
      </c>
      <c r="B543" t="s">
        <v>54</v>
      </c>
      <c r="C543" t="s">
        <v>34</v>
      </c>
      <c r="D543">
        <v>680</v>
      </c>
      <c r="E543">
        <v>0</v>
      </c>
      <c r="F543" t="s">
        <v>220</v>
      </c>
      <c r="G543">
        <v>80202</v>
      </c>
      <c r="H543">
        <v>0</v>
      </c>
    </row>
    <row r="544" spans="1:9" x14ac:dyDescent="0.25">
      <c r="A544" t="s">
        <v>127</v>
      </c>
      <c r="B544" t="s">
        <v>196</v>
      </c>
      <c r="C544" t="s">
        <v>53</v>
      </c>
      <c r="D544">
        <v>116</v>
      </c>
      <c r="E544">
        <v>0</v>
      </c>
      <c r="F544" t="s">
        <v>43</v>
      </c>
      <c r="G544">
        <v>80016</v>
      </c>
      <c r="H544">
        <v>0</v>
      </c>
    </row>
    <row r="545" spans="1:9" x14ac:dyDescent="0.25">
      <c r="A545" t="s">
        <v>125</v>
      </c>
      <c r="B545" t="s">
        <v>181</v>
      </c>
      <c r="C545" t="s">
        <v>50</v>
      </c>
      <c r="D545">
        <v>1500</v>
      </c>
      <c r="E545">
        <v>0</v>
      </c>
      <c r="F545" t="s">
        <v>220</v>
      </c>
      <c r="G545">
        <v>79710</v>
      </c>
      <c r="H545">
        <v>0</v>
      </c>
    </row>
    <row r="546" spans="1:9" x14ac:dyDescent="0.25">
      <c r="A546" t="s">
        <v>127</v>
      </c>
      <c r="B546" t="s">
        <v>85</v>
      </c>
      <c r="C546" t="s">
        <v>34</v>
      </c>
      <c r="D546">
        <v>138</v>
      </c>
      <c r="E546">
        <v>0</v>
      </c>
      <c r="F546" t="s">
        <v>43</v>
      </c>
      <c r="G546">
        <v>79551</v>
      </c>
      <c r="H546">
        <v>0</v>
      </c>
    </row>
    <row r="547" spans="1:9" x14ac:dyDescent="0.25">
      <c r="A547" t="s">
        <v>125</v>
      </c>
      <c r="B547" t="s">
        <v>71</v>
      </c>
      <c r="C547" t="s">
        <v>34</v>
      </c>
      <c r="D547">
        <v>300</v>
      </c>
      <c r="E547">
        <v>0</v>
      </c>
      <c r="F547" t="s">
        <v>220</v>
      </c>
      <c r="G547">
        <v>79466</v>
      </c>
      <c r="H547">
        <v>0</v>
      </c>
    </row>
    <row r="548" spans="1:9" x14ac:dyDescent="0.25">
      <c r="A548" t="s">
        <v>125</v>
      </c>
      <c r="B548" t="s">
        <v>186</v>
      </c>
      <c r="C548" t="s">
        <v>53</v>
      </c>
      <c r="D548">
        <v>150</v>
      </c>
      <c r="E548">
        <v>0</v>
      </c>
      <c r="F548" t="s">
        <v>43</v>
      </c>
      <c r="G548">
        <v>78731</v>
      </c>
      <c r="H548">
        <v>0</v>
      </c>
    </row>
    <row r="549" spans="1:9" x14ac:dyDescent="0.25">
      <c r="A549" t="s">
        <v>127</v>
      </c>
      <c r="B549" t="s">
        <v>177</v>
      </c>
      <c r="C549" t="s">
        <v>48</v>
      </c>
      <c r="D549">
        <v>7742</v>
      </c>
      <c r="E549">
        <v>0</v>
      </c>
      <c r="F549" t="s">
        <v>220</v>
      </c>
      <c r="G549">
        <v>78065</v>
      </c>
      <c r="H549">
        <v>0</v>
      </c>
    </row>
    <row r="550" spans="1:9" x14ac:dyDescent="0.25">
      <c r="A550" t="s">
        <v>127</v>
      </c>
      <c r="B550" t="s">
        <v>52</v>
      </c>
      <c r="C550" t="s">
        <v>34</v>
      </c>
      <c r="D550">
        <v>90</v>
      </c>
      <c r="E550">
        <v>0</v>
      </c>
      <c r="F550" t="s">
        <v>43</v>
      </c>
      <c r="G550">
        <v>76360</v>
      </c>
      <c r="H550">
        <v>0</v>
      </c>
    </row>
    <row r="551" spans="1:9" x14ac:dyDescent="0.25">
      <c r="A551" t="s">
        <v>125</v>
      </c>
      <c r="B551" t="s">
        <v>196</v>
      </c>
      <c r="C551" t="s">
        <v>53</v>
      </c>
      <c r="D551">
        <v>1600</v>
      </c>
      <c r="E551">
        <v>0</v>
      </c>
      <c r="F551" t="s">
        <v>220</v>
      </c>
      <c r="G551">
        <v>75285</v>
      </c>
      <c r="H551">
        <v>0</v>
      </c>
    </row>
    <row r="552" spans="1:9" x14ac:dyDescent="0.25">
      <c r="A552" t="s">
        <v>125</v>
      </c>
      <c r="B552" t="s">
        <v>94</v>
      </c>
      <c r="C552" t="s">
        <v>34</v>
      </c>
      <c r="D552">
        <v>559</v>
      </c>
      <c r="E552">
        <v>0</v>
      </c>
      <c r="F552" t="s">
        <v>220</v>
      </c>
      <c r="G552">
        <v>74675</v>
      </c>
      <c r="H552">
        <v>0</v>
      </c>
    </row>
    <row r="553" spans="1:9" x14ac:dyDescent="0.25">
      <c r="A553" t="s">
        <v>126</v>
      </c>
      <c r="B553" t="s">
        <v>174</v>
      </c>
      <c r="C553" t="s">
        <v>45</v>
      </c>
      <c r="D553">
        <v>174</v>
      </c>
      <c r="E553">
        <v>0</v>
      </c>
      <c r="F553" t="s">
        <v>220</v>
      </c>
      <c r="G553">
        <v>73310</v>
      </c>
      <c r="H553">
        <v>0</v>
      </c>
    </row>
    <row r="554" spans="1:9" x14ac:dyDescent="0.25">
      <c r="A554" t="s">
        <v>132</v>
      </c>
      <c r="B554" t="s">
        <v>192</v>
      </c>
      <c r="C554" t="s">
        <v>45</v>
      </c>
      <c r="D554">
        <v>26</v>
      </c>
      <c r="E554">
        <v>0</v>
      </c>
      <c r="F554" t="s">
        <v>43</v>
      </c>
      <c r="G554">
        <v>72974</v>
      </c>
      <c r="H554">
        <v>0</v>
      </c>
    </row>
    <row r="555" spans="1:9" x14ac:dyDescent="0.25">
      <c r="A555" t="s">
        <v>126</v>
      </c>
      <c r="B555" t="s">
        <v>168</v>
      </c>
      <c r="C555" t="s">
        <v>53</v>
      </c>
      <c r="D555">
        <v>7400</v>
      </c>
      <c r="E555">
        <v>0</v>
      </c>
      <c r="F555" t="s">
        <v>220</v>
      </c>
      <c r="G555">
        <v>72158</v>
      </c>
      <c r="H555">
        <v>0</v>
      </c>
    </row>
    <row r="556" spans="1:9" x14ac:dyDescent="0.25">
      <c r="A556" t="s">
        <v>125</v>
      </c>
      <c r="B556" t="s">
        <v>180</v>
      </c>
      <c r="C556" t="s">
        <v>45</v>
      </c>
      <c r="D556">
        <v>1500</v>
      </c>
      <c r="E556">
        <v>0</v>
      </c>
      <c r="F556" t="s">
        <v>220</v>
      </c>
      <c r="G556">
        <v>71938</v>
      </c>
      <c r="H556">
        <v>0</v>
      </c>
    </row>
    <row r="557" spans="1:9" x14ac:dyDescent="0.25">
      <c r="A557" t="s">
        <v>125</v>
      </c>
      <c r="B557" t="s">
        <v>74</v>
      </c>
      <c r="C557" t="s">
        <v>34</v>
      </c>
      <c r="D557">
        <v>2200</v>
      </c>
      <c r="E557">
        <v>0</v>
      </c>
      <c r="F557" t="s">
        <v>220</v>
      </c>
      <c r="G557">
        <v>70643</v>
      </c>
      <c r="H557">
        <v>0</v>
      </c>
    </row>
    <row r="558" spans="1:9" x14ac:dyDescent="0.25">
      <c r="A558" t="s">
        <v>125</v>
      </c>
      <c r="B558" t="s">
        <v>82</v>
      </c>
      <c r="C558" t="s">
        <v>34</v>
      </c>
      <c r="D558">
        <v>1200</v>
      </c>
      <c r="E558">
        <v>0</v>
      </c>
      <c r="F558" t="s">
        <v>220</v>
      </c>
      <c r="G558">
        <v>70496</v>
      </c>
      <c r="H558">
        <v>0</v>
      </c>
    </row>
    <row r="559" spans="1:9" x14ac:dyDescent="0.25">
      <c r="A559" t="s">
        <v>132</v>
      </c>
      <c r="B559" t="s">
        <v>172</v>
      </c>
      <c r="C559" t="s">
        <v>50</v>
      </c>
      <c r="D559">
        <v>280</v>
      </c>
      <c r="E559">
        <v>0</v>
      </c>
      <c r="F559" t="s">
        <v>220</v>
      </c>
      <c r="G559">
        <v>70324</v>
      </c>
      <c r="H559">
        <v>0</v>
      </c>
    </row>
    <row r="560" spans="1:9" x14ac:dyDescent="0.25">
      <c r="A560" t="s">
        <v>126</v>
      </c>
      <c r="B560" t="s">
        <v>166</v>
      </c>
      <c r="C560" t="s">
        <v>50</v>
      </c>
      <c r="D560">
        <v>7200</v>
      </c>
      <c r="E560">
        <v>0</v>
      </c>
      <c r="F560" t="s">
        <v>43</v>
      </c>
      <c r="G560">
        <v>70136</v>
      </c>
      <c r="H560">
        <v>0</v>
      </c>
    </row>
    <row r="561" spans="1:9" x14ac:dyDescent="0.25">
      <c r="A561" t="s">
        <v>125</v>
      </c>
      <c r="B561" t="s">
        <v>196</v>
      </c>
      <c r="C561" t="s">
        <v>53</v>
      </c>
      <c r="D561">
        <v>1200</v>
      </c>
      <c r="E561">
        <v>0</v>
      </c>
      <c r="F561" t="s">
        <v>220</v>
      </c>
      <c r="G561">
        <v>69616</v>
      </c>
      <c r="H561">
        <v>0</v>
      </c>
    </row>
    <row r="562" spans="1:9" x14ac:dyDescent="0.25">
      <c r="A562" t="s">
        <v>125</v>
      </c>
      <c r="B562" t="s">
        <v>178</v>
      </c>
      <c r="C562" t="s">
        <v>58</v>
      </c>
      <c r="D562">
        <v>1100</v>
      </c>
      <c r="E562">
        <v>0</v>
      </c>
      <c r="F562" t="s">
        <v>220</v>
      </c>
      <c r="G562">
        <v>69290</v>
      </c>
      <c r="H562">
        <v>0</v>
      </c>
    </row>
    <row r="563" spans="1:9" x14ac:dyDescent="0.25">
      <c r="A563" t="s">
        <v>127</v>
      </c>
      <c r="B563" t="s">
        <v>174</v>
      </c>
      <c r="C563" t="s">
        <v>45</v>
      </c>
      <c r="D563">
        <v>500</v>
      </c>
      <c r="E563">
        <v>0</v>
      </c>
      <c r="F563" t="s">
        <v>220</v>
      </c>
      <c r="G563">
        <v>68018</v>
      </c>
      <c r="H563">
        <v>0</v>
      </c>
    </row>
    <row r="564" spans="1:9" x14ac:dyDescent="0.25">
      <c r="A564" t="s">
        <v>132</v>
      </c>
      <c r="B564" t="s">
        <v>67</v>
      </c>
      <c r="C564" t="s">
        <v>34</v>
      </c>
      <c r="D564">
        <v>32</v>
      </c>
      <c r="E564">
        <v>0</v>
      </c>
      <c r="F564" t="s">
        <v>43</v>
      </c>
      <c r="G564">
        <v>67425</v>
      </c>
      <c r="H564">
        <v>0</v>
      </c>
    </row>
    <row r="565" spans="1:9" x14ac:dyDescent="0.25">
      <c r="A565" t="s">
        <v>127</v>
      </c>
      <c r="B565" t="s">
        <v>192</v>
      </c>
      <c r="C565" t="s">
        <v>45</v>
      </c>
      <c r="D565">
        <v>74</v>
      </c>
      <c r="E565">
        <v>0</v>
      </c>
      <c r="F565" t="s">
        <v>43</v>
      </c>
      <c r="G565">
        <v>65426</v>
      </c>
      <c r="H565">
        <v>0</v>
      </c>
    </row>
    <row r="566" spans="1:9" x14ac:dyDescent="0.25">
      <c r="A566" t="s">
        <v>125</v>
      </c>
      <c r="B566" t="s">
        <v>173</v>
      </c>
      <c r="C566" t="s">
        <v>61</v>
      </c>
      <c r="D566">
        <v>910</v>
      </c>
      <c r="E566">
        <v>0</v>
      </c>
      <c r="F566" t="s">
        <v>220</v>
      </c>
      <c r="G566">
        <v>65008</v>
      </c>
      <c r="H566">
        <v>0</v>
      </c>
    </row>
    <row r="567" spans="1:9" x14ac:dyDescent="0.25">
      <c r="A567" t="s">
        <v>127</v>
      </c>
      <c r="B567" t="s">
        <v>194</v>
      </c>
      <c r="C567" t="s">
        <v>58</v>
      </c>
      <c r="D567">
        <v>60</v>
      </c>
      <c r="E567">
        <v>0</v>
      </c>
      <c r="F567" t="s">
        <v>43</v>
      </c>
      <c r="G567">
        <v>63674</v>
      </c>
      <c r="H567">
        <v>0</v>
      </c>
    </row>
    <row r="568" spans="1:9" x14ac:dyDescent="0.25">
      <c r="A568" t="s">
        <v>143</v>
      </c>
      <c r="B568" t="s">
        <v>164</v>
      </c>
      <c r="C568" t="s">
        <v>55</v>
      </c>
      <c r="D568">
        <v>360</v>
      </c>
      <c r="E568">
        <v>0</v>
      </c>
      <c r="F568" t="s">
        <v>220</v>
      </c>
      <c r="G568">
        <v>62509</v>
      </c>
      <c r="H568">
        <v>0</v>
      </c>
    </row>
    <row r="569" spans="1:9" x14ac:dyDescent="0.25">
      <c r="A569" t="s">
        <v>125</v>
      </c>
      <c r="B569" t="s">
        <v>194</v>
      </c>
      <c r="C569" t="s">
        <v>58</v>
      </c>
      <c r="D569">
        <v>900</v>
      </c>
      <c r="E569">
        <v>0</v>
      </c>
      <c r="F569" t="s">
        <v>220</v>
      </c>
      <c r="G569">
        <v>62240</v>
      </c>
      <c r="H569">
        <v>0</v>
      </c>
    </row>
    <row r="570" spans="1:9" x14ac:dyDescent="0.25">
      <c r="A570" t="s">
        <v>125</v>
      </c>
      <c r="B570" t="s">
        <v>90</v>
      </c>
      <c r="C570" t="s">
        <v>34</v>
      </c>
      <c r="D570">
        <v>800</v>
      </c>
      <c r="E570">
        <v>0</v>
      </c>
      <c r="F570" t="s">
        <v>220</v>
      </c>
      <c r="G570">
        <v>61407</v>
      </c>
      <c r="H570">
        <v>0</v>
      </c>
    </row>
    <row r="571" spans="1:9" x14ac:dyDescent="0.25">
      <c r="A571" t="s">
        <v>132</v>
      </c>
      <c r="B571" t="s">
        <v>44</v>
      </c>
      <c r="C571" t="s">
        <v>34</v>
      </c>
      <c r="D571">
        <v>250</v>
      </c>
      <c r="E571">
        <v>0</v>
      </c>
      <c r="F571" t="s">
        <v>220</v>
      </c>
      <c r="G571">
        <v>61042</v>
      </c>
      <c r="H571">
        <v>0</v>
      </c>
    </row>
    <row r="572" spans="1:9" x14ac:dyDescent="0.25">
      <c r="A572" t="s">
        <v>125</v>
      </c>
      <c r="B572" t="s">
        <v>62</v>
      </c>
      <c r="C572" t="s">
        <v>34</v>
      </c>
      <c r="D572">
        <v>230</v>
      </c>
      <c r="E572">
        <v>0</v>
      </c>
      <c r="F572" t="s">
        <v>220</v>
      </c>
      <c r="G572">
        <v>60985</v>
      </c>
      <c r="H572">
        <v>0</v>
      </c>
    </row>
    <row r="573" spans="1:9" x14ac:dyDescent="0.25">
      <c r="A573" t="s">
        <v>132</v>
      </c>
      <c r="B573" t="s">
        <v>170</v>
      </c>
      <c r="C573" t="s">
        <v>61</v>
      </c>
      <c r="D573">
        <v>250</v>
      </c>
      <c r="E573">
        <v>0</v>
      </c>
      <c r="F573" t="s">
        <v>220</v>
      </c>
      <c r="G573">
        <v>60640</v>
      </c>
      <c r="H573">
        <v>0</v>
      </c>
    </row>
    <row r="574" spans="1:9" x14ac:dyDescent="0.25">
      <c r="A574" t="s">
        <v>125</v>
      </c>
      <c r="B574" t="s">
        <v>187</v>
      </c>
      <c r="C574" t="s">
        <v>45</v>
      </c>
      <c r="D574">
        <v>1200</v>
      </c>
      <c r="E574">
        <v>0</v>
      </c>
      <c r="F574" t="s">
        <v>220</v>
      </c>
      <c r="G574">
        <v>60240</v>
      </c>
      <c r="H574">
        <v>0</v>
      </c>
    </row>
    <row r="575" spans="1:9" x14ac:dyDescent="0.25">
      <c r="A575" t="s">
        <v>127</v>
      </c>
      <c r="B575" t="s">
        <v>167</v>
      </c>
      <c r="C575" t="s">
        <v>50</v>
      </c>
      <c r="D575">
        <v>72</v>
      </c>
      <c r="E575">
        <v>0</v>
      </c>
      <c r="F575" t="s">
        <v>43</v>
      </c>
      <c r="G575">
        <v>60179</v>
      </c>
      <c r="H575">
        <v>0</v>
      </c>
    </row>
    <row r="576" spans="1:9" x14ac:dyDescent="0.25">
      <c r="A576" t="s">
        <v>125</v>
      </c>
      <c r="B576" t="s">
        <v>181</v>
      </c>
      <c r="C576" t="s">
        <v>50</v>
      </c>
      <c r="D576">
        <v>1270</v>
      </c>
      <c r="E576">
        <v>0</v>
      </c>
      <c r="F576" t="s">
        <v>220</v>
      </c>
      <c r="G576">
        <v>59986</v>
      </c>
      <c r="H576">
        <v>0</v>
      </c>
    </row>
    <row r="577" spans="1:9" x14ac:dyDescent="0.25">
      <c r="A577" t="s">
        <v>132</v>
      </c>
      <c r="B577" t="s">
        <v>191</v>
      </c>
      <c r="C577" t="s">
        <v>45</v>
      </c>
      <c r="D577">
        <v>30</v>
      </c>
      <c r="E577">
        <v>0</v>
      </c>
      <c r="F577" t="s">
        <v>43</v>
      </c>
      <c r="G577">
        <v>59930</v>
      </c>
      <c r="H577">
        <v>0</v>
      </c>
    </row>
    <row r="578" spans="1:9" x14ac:dyDescent="0.25">
      <c r="A578" t="s">
        <v>126</v>
      </c>
      <c r="B578" t="s">
        <v>212</v>
      </c>
      <c r="C578" t="s">
        <v>50</v>
      </c>
      <c r="D578">
        <v>89</v>
      </c>
      <c r="E578">
        <v>0</v>
      </c>
      <c r="F578" t="s">
        <v>43</v>
      </c>
      <c r="G578">
        <v>59889</v>
      </c>
      <c r="H578">
        <v>0</v>
      </c>
    </row>
    <row r="579" spans="1:9" x14ac:dyDescent="0.25">
      <c r="A579" t="s">
        <v>127</v>
      </c>
      <c r="B579" t="s">
        <v>82</v>
      </c>
      <c r="C579" t="s">
        <v>34</v>
      </c>
      <c r="D579">
        <v>114</v>
      </c>
      <c r="E579">
        <v>0</v>
      </c>
      <c r="F579" t="s">
        <v>43</v>
      </c>
      <c r="G579">
        <v>59462</v>
      </c>
      <c r="H579">
        <v>0</v>
      </c>
    </row>
    <row r="580" spans="1:9" x14ac:dyDescent="0.25">
      <c r="A580" t="s">
        <v>125</v>
      </c>
      <c r="B580" t="s">
        <v>92</v>
      </c>
      <c r="C580" t="s">
        <v>34</v>
      </c>
      <c r="D580">
        <v>772</v>
      </c>
      <c r="E580">
        <v>0</v>
      </c>
      <c r="F580" t="s">
        <v>220</v>
      </c>
      <c r="G580">
        <v>59264</v>
      </c>
      <c r="H580">
        <v>0</v>
      </c>
    </row>
    <row r="581" spans="1:9" x14ac:dyDescent="0.25">
      <c r="A581" t="s">
        <v>126</v>
      </c>
      <c r="B581" t="s">
        <v>75</v>
      </c>
      <c r="C581" t="s">
        <v>34</v>
      </c>
      <c r="D581">
        <v>118</v>
      </c>
      <c r="E581">
        <v>0</v>
      </c>
      <c r="F581" t="s">
        <v>220</v>
      </c>
      <c r="G581">
        <v>57481</v>
      </c>
      <c r="H581">
        <v>0</v>
      </c>
    </row>
    <row r="582" spans="1:9" x14ac:dyDescent="0.25">
      <c r="A582" t="s">
        <v>132</v>
      </c>
      <c r="B582" t="s">
        <v>177</v>
      </c>
      <c r="C582" t="s">
        <v>48</v>
      </c>
      <c r="D582">
        <v>192</v>
      </c>
      <c r="E582">
        <v>0</v>
      </c>
      <c r="F582" t="s">
        <v>220</v>
      </c>
      <c r="G582">
        <v>56494</v>
      </c>
      <c r="H582">
        <v>0</v>
      </c>
    </row>
    <row r="583" spans="1:9" x14ac:dyDescent="0.25">
      <c r="A583" t="s">
        <v>125</v>
      </c>
      <c r="B583" t="s">
        <v>171</v>
      </c>
      <c r="C583" t="s">
        <v>48</v>
      </c>
      <c r="D583">
        <v>180</v>
      </c>
      <c r="E583">
        <v>0</v>
      </c>
      <c r="F583" t="s">
        <v>220</v>
      </c>
      <c r="G583">
        <v>55608</v>
      </c>
      <c r="H583">
        <v>0</v>
      </c>
    </row>
    <row r="584" spans="1:9" x14ac:dyDescent="0.25">
      <c r="A584" t="s">
        <v>126</v>
      </c>
      <c r="B584" t="s">
        <v>80</v>
      </c>
      <c r="C584" t="s">
        <v>34</v>
      </c>
      <c r="D584">
        <v>149</v>
      </c>
      <c r="E584">
        <v>0</v>
      </c>
      <c r="F584" t="s">
        <v>220</v>
      </c>
      <c r="G584">
        <v>55278</v>
      </c>
      <c r="H584">
        <v>0</v>
      </c>
    </row>
    <row r="585" spans="1:9" x14ac:dyDescent="0.25">
      <c r="A585" t="s">
        <v>132</v>
      </c>
      <c r="B585" t="s">
        <v>194</v>
      </c>
      <c r="C585" t="s">
        <v>58</v>
      </c>
      <c r="D585">
        <v>38</v>
      </c>
      <c r="E585">
        <v>0</v>
      </c>
      <c r="F585" t="s">
        <v>43</v>
      </c>
      <c r="G585">
        <v>53968</v>
      </c>
      <c r="H585">
        <v>0</v>
      </c>
    </row>
    <row r="586" spans="1:9" x14ac:dyDescent="0.25">
      <c r="A586" t="s">
        <v>125</v>
      </c>
      <c r="B586" t="s">
        <v>196</v>
      </c>
      <c r="C586" t="s">
        <v>53</v>
      </c>
      <c r="D586">
        <v>100</v>
      </c>
      <c r="E586">
        <v>0</v>
      </c>
      <c r="F586" t="s">
        <v>220</v>
      </c>
      <c r="G586">
        <v>53810</v>
      </c>
      <c r="H586">
        <v>0</v>
      </c>
    </row>
    <row r="587" spans="1:9" x14ac:dyDescent="0.25">
      <c r="A587" t="s">
        <v>125</v>
      </c>
      <c r="B587" t="s">
        <v>76</v>
      </c>
      <c r="C587" t="s">
        <v>34</v>
      </c>
      <c r="D587">
        <v>200</v>
      </c>
      <c r="E587">
        <v>0</v>
      </c>
      <c r="F587" t="s">
        <v>220</v>
      </c>
      <c r="G587">
        <v>53554</v>
      </c>
      <c r="H587">
        <v>0</v>
      </c>
    </row>
    <row r="588" spans="1:9" x14ac:dyDescent="0.25">
      <c r="A588" t="s">
        <v>125</v>
      </c>
      <c r="B588" t="s">
        <v>72</v>
      </c>
      <c r="C588" t="s">
        <v>34</v>
      </c>
      <c r="D588">
        <v>38</v>
      </c>
      <c r="E588">
        <v>0</v>
      </c>
      <c r="F588" t="s">
        <v>220</v>
      </c>
      <c r="G588">
        <v>52710</v>
      </c>
      <c r="H588">
        <v>0</v>
      </c>
    </row>
    <row r="589" spans="1:9" x14ac:dyDescent="0.25">
      <c r="A589" t="s">
        <v>125</v>
      </c>
      <c r="B589" t="s">
        <v>169</v>
      </c>
      <c r="C589" t="s">
        <v>45</v>
      </c>
      <c r="D589">
        <v>115</v>
      </c>
      <c r="E589">
        <v>0</v>
      </c>
      <c r="F589" t="s">
        <v>220</v>
      </c>
      <c r="G589">
        <v>52703</v>
      </c>
      <c r="H589">
        <v>0</v>
      </c>
    </row>
    <row r="590" spans="1:9" x14ac:dyDescent="0.25">
      <c r="A590" t="s">
        <v>125</v>
      </c>
      <c r="B590" t="s">
        <v>179</v>
      </c>
      <c r="C590" t="s">
        <v>45</v>
      </c>
      <c r="D590">
        <v>1000</v>
      </c>
      <c r="E590">
        <v>0</v>
      </c>
      <c r="F590" t="s">
        <v>220</v>
      </c>
      <c r="G590">
        <v>52084</v>
      </c>
      <c r="H590">
        <v>0</v>
      </c>
    </row>
    <row r="591" spans="1:9" x14ac:dyDescent="0.25">
      <c r="A591" t="s">
        <v>125</v>
      </c>
      <c r="B591" t="s">
        <v>212</v>
      </c>
      <c r="C591" t="s">
        <v>50</v>
      </c>
      <c r="D591">
        <v>100</v>
      </c>
      <c r="E591">
        <v>0</v>
      </c>
      <c r="F591" t="s">
        <v>220</v>
      </c>
      <c r="G591">
        <v>52044</v>
      </c>
      <c r="H591">
        <v>0</v>
      </c>
    </row>
    <row r="592" spans="1:9" x14ac:dyDescent="0.25">
      <c r="A592" t="s">
        <v>125</v>
      </c>
      <c r="B592" t="s">
        <v>183</v>
      </c>
      <c r="C592" t="s">
        <v>45</v>
      </c>
      <c r="D592">
        <v>1000</v>
      </c>
      <c r="E592">
        <v>0</v>
      </c>
      <c r="F592" t="s">
        <v>220</v>
      </c>
      <c r="G592">
        <v>51045</v>
      </c>
      <c r="H592">
        <v>0</v>
      </c>
    </row>
    <row r="593" spans="1:9" x14ac:dyDescent="0.25">
      <c r="A593" t="s">
        <v>125</v>
      </c>
      <c r="B593" t="s">
        <v>89</v>
      </c>
      <c r="C593" t="s">
        <v>34</v>
      </c>
      <c r="D593">
        <v>1000</v>
      </c>
      <c r="E593">
        <v>0</v>
      </c>
      <c r="F593" t="s">
        <v>220</v>
      </c>
      <c r="G593">
        <v>51044</v>
      </c>
      <c r="H593">
        <v>0</v>
      </c>
    </row>
    <row r="594" spans="1:9" x14ac:dyDescent="0.25">
      <c r="A594" t="s">
        <v>125</v>
      </c>
      <c r="B594" t="s">
        <v>98</v>
      </c>
      <c r="C594" t="s">
        <v>34</v>
      </c>
      <c r="D594">
        <v>100</v>
      </c>
      <c r="E594">
        <v>0</v>
      </c>
      <c r="F594" t="s">
        <v>220</v>
      </c>
      <c r="G594">
        <v>50275</v>
      </c>
      <c r="H594">
        <v>0</v>
      </c>
    </row>
    <row r="595" spans="1:9" x14ac:dyDescent="0.25">
      <c r="A595" t="s">
        <v>126</v>
      </c>
      <c r="B595" t="s">
        <v>82</v>
      </c>
      <c r="C595" t="s">
        <v>34</v>
      </c>
      <c r="D595">
        <v>84</v>
      </c>
      <c r="E595">
        <v>0</v>
      </c>
      <c r="F595" t="s">
        <v>220</v>
      </c>
      <c r="G595">
        <v>49997</v>
      </c>
      <c r="H595">
        <v>0</v>
      </c>
    </row>
    <row r="596" spans="1:9" x14ac:dyDescent="0.25">
      <c r="A596" t="s">
        <v>131</v>
      </c>
      <c r="B596" t="s">
        <v>52</v>
      </c>
      <c r="C596" t="s">
        <v>34</v>
      </c>
      <c r="D596">
        <v>13</v>
      </c>
      <c r="E596">
        <v>0</v>
      </c>
      <c r="F596" t="s">
        <v>43</v>
      </c>
      <c r="G596">
        <v>49785</v>
      </c>
      <c r="H596">
        <v>0</v>
      </c>
    </row>
    <row r="597" spans="1:9" x14ac:dyDescent="0.25">
      <c r="A597" t="s">
        <v>125</v>
      </c>
      <c r="B597" t="s">
        <v>47</v>
      </c>
      <c r="C597" t="s">
        <v>34</v>
      </c>
      <c r="D597">
        <v>36</v>
      </c>
      <c r="E597">
        <v>0</v>
      </c>
      <c r="F597" t="s">
        <v>220</v>
      </c>
      <c r="G597">
        <v>49716</v>
      </c>
      <c r="H597">
        <v>0</v>
      </c>
    </row>
    <row r="598" spans="1:9" x14ac:dyDescent="0.25">
      <c r="A598" t="s">
        <v>125</v>
      </c>
      <c r="B598" t="s">
        <v>192</v>
      </c>
      <c r="C598" t="s">
        <v>45</v>
      </c>
      <c r="D598">
        <v>170</v>
      </c>
      <c r="E598">
        <v>0</v>
      </c>
      <c r="F598" t="s">
        <v>220</v>
      </c>
      <c r="G598">
        <v>49690</v>
      </c>
      <c r="H598">
        <v>0</v>
      </c>
    </row>
    <row r="599" spans="1:9" x14ac:dyDescent="0.25">
      <c r="A599" t="s">
        <v>125</v>
      </c>
      <c r="B599" t="s">
        <v>80</v>
      </c>
      <c r="C599" t="s">
        <v>34</v>
      </c>
      <c r="D599">
        <v>1000</v>
      </c>
      <c r="E599">
        <v>0</v>
      </c>
      <c r="F599" t="s">
        <v>220</v>
      </c>
      <c r="G599">
        <v>49516</v>
      </c>
      <c r="H599">
        <v>0</v>
      </c>
    </row>
    <row r="600" spans="1:9" x14ac:dyDescent="0.25">
      <c r="A600" t="s">
        <v>125</v>
      </c>
      <c r="B600" t="s">
        <v>44</v>
      </c>
      <c r="C600" t="s">
        <v>34</v>
      </c>
      <c r="D600">
        <v>39</v>
      </c>
      <c r="E600">
        <v>0</v>
      </c>
      <c r="F600" t="s">
        <v>43</v>
      </c>
      <c r="G600">
        <v>49505</v>
      </c>
      <c r="H600">
        <v>0</v>
      </c>
    </row>
    <row r="601" spans="1:9" x14ac:dyDescent="0.25">
      <c r="A601" t="s">
        <v>125</v>
      </c>
      <c r="B601" t="s">
        <v>192</v>
      </c>
      <c r="C601" t="s">
        <v>45</v>
      </c>
      <c r="D601">
        <v>345</v>
      </c>
      <c r="E601">
        <v>0</v>
      </c>
      <c r="F601" t="s">
        <v>220</v>
      </c>
      <c r="G601">
        <v>49388</v>
      </c>
      <c r="H601">
        <v>0</v>
      </c>
    </row>
    <row r="602" spans="1:9" x14ac:dyDescent="0.25">
      <c r="A602" t="s">
        <v>125</v>
      </c>
      <c r="B602" t="s">
        <v>205</v>
      </c>
      <c r="C602" t="s">
        <v>53</v>
      </c>
      <c r="D602">
        <v>1000</v>
      </c>
      <c r="E602">
        <v>0</v>
      </c>
      <c r="F602" t="s">
        <v>220</v>
      </c>
      <c r="G602">
        <v>49160</v>
      </c>
      <c r="H602">
        <v>0</v>
      </c>
    </row>
    <row r="603" spans="1:9" x14ac:dyDescent="0.25">
      <c r="A603" t="s">
        <v>125</v>
      </c>
      <c r="B603" t="s">
        <v>90</v>
      </c>
      <c r="C603" t="s">
        <v>34</v>
      </c>
      <c r="D603">
        <v>572</v>
      </c>
      <c r="E603">
        <v>0</v>
      </c>
      <c r="F603" t="s">
        <v>220</v>
      </c>
      <c r="G603">
        <v>48827</v>
      </c>
      <c r="H603">
        <v>0</v>
      </c>
    </row>
    <row r="604" spans="1:9" x14ac:dyDescent="0.25">
      <c r="A604" t="s">
        <v>125</v>
      </c>
      <c r="B604" t="s">
        <v>88</v>
      </c>
      <c r="C604" t="s">
        <v>34</v>
      </c>
      <c r="D604">
        <v>100</v>
      </c>
      <c r="E604">
        <v>0</v>
      </c>
      <c r="F604" t="s">
        <v>220</v>
      </c>
      <c r="G604">
        <v>48077</v>
      </c>
      <c r="H604">
        <v>0</v>
      </c>
    </row>
    <row r="605" spans="1:9" x14ac:dyDescent="0.25">
      <c r="A605" t="s">
        <v>125</v>
      </c>
      <c r="B605" t="s">
        <v>52</v>
      </c>
      <c r="C605" t="s">
        <v>34</v>
      </c>
      <c r="D605">
        <v>42</v>
      </c>
      <c r="E605">
        <v>0</v>
      </c>
      <c r="F605" t="s">
        <v>220</v>
      </c>
      <c r="G605">
        <v>47731</v>
      </c>
      <c r="H605">
        <v>0</v>
      </c>
    </row>
    <row r="606" spans="1:9" x14ac:dyDescent="0.25">
      <c r="A606" t="s">
        <v>125</v>
      </c>
      <c r="B606" t="s">
        <v>72</v>
      </c>
      <c r="C606" t="s">
        <v>34</v>
      </c>
      <c r="D606">
        <v>900</v>
      </c>
      <c r="E606">
        <v>0</v>
      </c>
      <c r="F606" t="s">
        <v>220</v>
      </c>
      <c r="G606">
        <v>47376</v>
      </c>
      <c r="H606">
        <v>0</v>
      </c>
    </row>
    <row r="607" spans="1:9" x14ac:dyDescent="0.25">
      <c r="A607" t="s">
        <v>131</v>
      </c>
      <c r="B607" t="s">
        <v>183</v>
      </c>
      <c r="C607" t="s">
        <v>45</v>
      </c>
      <c r="D607">
        <v>70</v>
      </c>
      <c r="E607">
        <v>0</v>
      </c>
      <c r="F607" t="s">
        <v>43</v>
      </c>
      <c r="G607">
        <v>47178</v>
      </c>
      <c r="H607">
        <v>0</v>
      </c>
    </row>
    <row r="608" spans="1:9" x14ac:dyDescent="0.25">
      <c r="A608" t="s">
        <v>125</v>
      </c>
      <c r="B608" t="s">
        <v>191</v>
      </c>
      <c r="C608" t="s">
        <v>45</v>
      </c>
      <c r="D608">
        <v>70</v>
      </c>
      <c r="E608">
        <v>0</v>
      </c>
      <c r="F608" t="s">
        <v>220</v>
      </c>
      <c r="G608">
        <v>46878</v>
      </c>
      <c r="H608">
        <v>0</v>
      </c>
    </row>
    <row r="609" spans="1:9" x14ac:dyDescent="0.25">
      <c r="A609" t="s">
        <v>126</v>
      </c>
      <c r="B609" t="s">
        <v>181</v>
      </c>
      <c r="C609" t="s">
        <v>50</v>
      </c>
      <c r="D609">
        <v>4800</v>
      </c>
      <c r="E609">
        <v>0</v>
      </c>
      <c r="F609" t="s">
        <v>43</v>
      </c>
      <c r="G609">
        <v>46806</v>
      </c>
      <c r="H609">
        <v>0</v>
      </c>
    </row>
    <row r="610" spans="1:9" x14ac:dyDescent="0.25">
      <c r="A610" t="s">
        <v>126</v>
      </c>
      <c r="B610" t="s">
        <v>188</v>
      </c>
      <c r="C610" t="s">
        <v>45</v>
      </c>
      <c r="D610">
        <v>4800</v>
      </c>
      <c r="E610">
        <v>0</v>
      </c>
      <c r="F610" t="s">
        <v>43</v>
      </c>
      <c r="G610">
        <v>46806</v>
      </c>
      <c r="H610">
        <v>0</v>
      </c>
    </row>
    <row r="611" spans="1:9" x14ac:dyDescent="0.25">
      <c r="A611" t="s">
        <v>125</v>
      </c>
      <c r="B611" t="s">
        <v>64</v>
      </c>
      <c r="C611" t="s">
        <v>34</v>
      </c>
      <c r="D611">
        <v>1400</v>
      </c>
      <c r="E611">
        <v>0</v>
      </c>
      <c r="F611" t="s">
        <v>220</v>
      </c>
      <c r="G611">
        <v>46279</v>
      </c>
      <c r="H611">
        <v>0</v>
      </c>
    </row>
    <row r="612" spans="1:9" x14ac:dyDescent="0.25">
      <c r="A612" t="s">
        <v>125</v>
      </c>
      <c r="B612" t="s">
        <v>88</v>
      </c>
      <c r="C612" t="s">
        <v>34</v>
      </c>
      <c r="D612">
        <v>250</v>
      </c>
      <c r="E612">
        <v>0</v>
      </c>
      <c r="F612" t="s">
        <v>220</v>
      </c>
      <c r="G612">
        <v>45656</v>
      </c>
      <c r="H612">
        <v>0</v>
      </c>
    </row>
    <row r="613" spans="1:9" x14ac:dyDescent="0.25">
      <c r="A613" t="s">
        <v>125</v>
      </c>
      <c r="B613" t="s">
        <v>191</v>
      </c>
      <c r="C613" t="s">
        <v>45</v>
      </c>
      <c r="D613">
        <v>700</v>
      </c>
      <c r="E613">
        <v>0</v>
      </c>
      <c r="F613" t="s">
        <v>220</v>
      </c>
      <c r="G613">
        <v>45091</v>
      </c>
      <c r="H613">
        <v>0</v>
      </c>
    </row>
    <row r="614" spans="1:9" x14ac:dyDescent="0.25">
      <c r="A614" t="s">
        <v>127</v>
      </c>
      <c r="B614" t="s">
        <v>67</v>
      </c>
      <c r="C614" t="s">
        <v>34</v>
      </c>
      <c r="D614">
        <v>400</v>
      </c>
      <c r="E614">
        <v>0</v>
      </c>
      <c r="F614" t="s">
        <v>220</v>
      </c>
      <c r="G614">
        <v>44934</v>
      </c>
      <c r="H614">
        <v>0</v>
      </c>
    </row>
    <row r="615" spans="1:9" x14ac:dyDescent="0.25">
      <c r="A615" t="s">
        <v>125</v>
      </c>
      <c r="B615" t="s">
        <v>169</v>
      </c>
      <c r="C615" t="s">
        <v>45</v>
      </c>
      <c r="D615">
        <v>600</v>
      </c>
      <c r="E615">
        <v>0</v>
      </c>
      <c r="F615" t="s">
        <v>220</v>
      </c>
      <c r="G615">
        <v>44456</v>
      </c>
      <c r="H615">
        <v>0</v>
      </c>
    </row>
    <row r="616" spans="1:9" x14ac:dyDescent="0.25">
      <c r="A616" t="s">
        <v>132</v>
      </c>
      <c r="B616" t="s">
        <v>210</v>
      </c>
      <c r="C616" t="s">
        <v>45</v>
      </c>
      <c r="D616">
        <v>22</v>
      </c>
      <c r="E616">
        <v>0</v>
      </c>
      <c r="F616" t="s">
        <v>43</v>
      </c>
      <c r="G616">
        <v>44278</v>
      </c>
      <c r="H616">
        <v>0</v>
      </c>
    </row>
    <row r="617" spans="1:9" x14ac:dyDescent="0.25">
      <c r="A617" t="s">
        <v>126</v>
      </c>
      <c r="B617" t="s">
        <v>201</v>
      </c>
      <c r="C617" t="s">
        <v>53</v>
      </c>
      <c r="D617">
        <v>115</v>
      </c>
      <c r="E617">
        <v>0</v>
      </c>
      <c r="F617" t="s">
        <v>220</v>
      </c>
      <c r="G617">
        <v>44195</v>
      </c>
      <c r="H617">
        <v>0</v>
      </c>
    </row>
    <row r="618" spans="1:9" x14ac:dyDescent="0.25">
      <c r="A618" t="s">
        <v>125</v>
      </c>
      <c r="B618" t="s">
        <v>166</v>
      </c>
      <c r="C618" t="s">
        <v>50</v>
      </c>
      <c r="D618">
        <v>30</v>
      </c>
      <c r="E618">
        <v>0</v>
      </c>
      <c r="F618" t="s">
        <v>220</v>
      </c>
      <c r="G618">
        <v>43610</v>
      </c>
      <c r="H618">
        <v>0</v>
      </c>
    </row>
    <row r="619" spans="1:9" x14ac:dyDescent="0.25">
      <c r="A619" t="s">
        <v>132</v>
      </c>
      <c r="B619" t="s">
        <v>182</v>
      </c>
      <c r="C619" t="s">
        <v>53</v>
      </c>
      <c r="D619">
        <v>330</v>
      </c>
      <c r="E619">
        <v>0</v>
      </c>
      <c r="F619" t="s">
        <v>220</v>
      </c>
      <c r="G619">
        <v>42351</v>
      </c>
      <c r="H619">
        <v>0</v>
      </c>
    </row>
    <row r="620" spans="1:9" x14ac:dyDescent="0.25">
      <c r="A620" t="s">
        <v>126</v>
      </c>
      <c r="B620" t="s">
        <v>171</v>
      </c>
      <c r="C620" t="s">
        <v>48</v>
      </c>
      <c r="D620">
        <v>4800</v>
      </c>
      <c r="E620">
        <v>0</v>
      </c>
      <c r="F620" t="s">
        <v>43</v>
      </c>
      <c r="G620">
        <v>42341</v>
      </c>
      <c r="H620">
        <v>0</v>
      </c>
    </row>
    <row r="621" spans="1:9" x14ac:dyDescent="0.25">
      <c r="A621" t="s">
        <v>125</v>
      </c>
      <c r="B621" t="s">
        <v>200</v>
      </c>
      <c r="C621" t="s">
        <v>58</v>
      </c>
      <c r="D621">
        <v>600</v>
      </c>
      <c r="E621">
        <v>0</v>
      </c>
      <c r="F621" t="s">
        <v>220</v>
      </c>
      <c r="G621">
        <v>41774</v>
      </c>
      <c r="H621">
        <v>0</v>
      </c>
    </row>
    <row r="622" spans="1:9" x14ac:dyDescent="0.25">
      <c r="A622" t="s">
        <v>125</v>
      </c>
      <c r="B622" t="s">
        <v>169</v>
      </c>
      <c r="C622" t="s">
        <v>45</v>
      </c>
      <c r="D622">
        <v>30</v>
      </c>
      <c r="E622">
        <v>0</v>
      </c>
      <c r="F622" t="s">
        <v>220</v>
      </c>
      <c r="G622">
        <v>41393</v>
      </c>
      <c r="H622">
        <v>0</v>
      </c>
    </row>
    <row r="623" spans="1:9" x14ac:dyDescent="0.25">
      <c r="A623" t="s">
        <v>126</v>
      </c>
      <c r="B623" t="s">
        <v>191</v>
      </c>
      <c r="C623" t="s">
        <v>45</v>
      </c>
      <c r="D623">
        <v>96</v>
      </c>
      <c r="E623">
        <v>0</v>
      </c>
      <c r="F623" t="s">
        <v>220</v>
      </c>
      <c r="G623">
        <v>40919</v>
      </c>
      <c r="H623">
        <v>0</v>
      </c>
    </row>
    <row r="624" spans="1:9" x14ac:dyDescent="0.25">
      <c r="A624" t="s">
        <v>126</v>
      </c>
      <c r="B624" t="s">
        <v>208</v>
      </c>
      <c r="C624" t="s">
        <v>45</v>
      </c>
      <c r="D624">
        <v>85</v>
      </c>
      <c r="E624">
        <v>0</v>
      </c>
      <c r="F624" t="s">
        <v>43</v>
      </c>
      <c r="G624">
        <v>40784</v>
      </c>
      <c r="H624">
        <v>0</v>
      </c>
    </row>
    <row r="625" spans="1:9" x14ac:dyDescent="0.25">
      <c r="A625" t="s">
        <v>125</v>
      </c>
      <c r="B625" t="s">
        <v>69</v>
      </c>
      <c r="C625" t="s">
        <v>34</v>
      </c>
      <c r="D625">
        <v>24</v>
      </c>
      <c r="E625">
        <v>0</v>
      </c>
      <c r="F625" t="s">
        <v>220</v>
      </c>
      <c r="G625">
        <v>40409</v>
      </c>
      <c r="H625">
        <v>0</v>
      </c>
    </row>
    <row r="626" spans="1:9" x14ac:dyDescent="0.25">
      <c r="A626" t="s">
        <v>125</v>
      </c>
      <c r="B626" t="s">
        <v>205</v>
      </c>
      <c r="C626" t="s">
        <v>53</v>
      </c>
      <c r="D626">
        <v>70</v>
      </c>
      <c r="E626">
        <v>0</v>
      </c>
      <c r="F626" t="s">
        <v>220</v>
      </c>
      <c r="G626">
        <v>40087</v>
      </c>
      <c r="H626">
        <v>0</v>
      </c>
    </row>
    <row r="627" spans="1:9" x14ac:dyDescent="0.25">
      <c r="A627" t="s">
        <v>127</v>
      </c>
      <c r="B627" t="s">
        <v>196</v>
      </c>
      <c r="C627" t="s">
        <v>53</v>
      </c>
      <c r="D627">
        <v>1240</v>
      </c>
      <c r="E627">
        <v>0</v>
      </c>
      <c r="F627" t="s">
        <v>43</v>
      </c>
      <c r="G627">
        <v>38990</v>
      </c>
      <c r="H627">
        <v>0</v>
      </c>
    </row>
    <row r="628" spans="1:9" x14ac:dyDescent="0.25">
      <c r="A628" t="s">
        <v>125</v>
      </c>
      <c r="B628" t="s">
        <v>201</v>
      </c>
      <c r="C628" t="s">
        <v>53</v>
      </c>
      <c r="D628">
        <v>680</v>
      </c>
      <c r="E628">
        <v>0</v>
      </c>
      <c r="F628" t="s">
        <v>220</v>
      </c>
      <c r="G628">
        <v>38787</v>
      </c>
      <c r="H628">
        <v>0</v>
      </c>
    </row>
    <row r="629" spans="1:9" x14ac:dyDescent="0.25">
      <c r="A629" t="s">
        <v>125</v>
      </c>
      <c r="B629" t="s">
        <v>170</v>
      </c>
      <c r="C629" t="s">
        <v>61</v>
      </c>
      <c r="D629">
        <v>26</v>
      </c>
      <c r="E629">
        <v>0</v>
      </c>
      <c r="F629" t="s">
        <v>220</v>
      </c>
      <c r="G629">
        <v>37929</v>
      </c>
      <c r="H629">
        <v>0</v>
      </c>
    </row>
    <row r="630" spans="1:9" x14ac:dyDescent="0.25">
      <c r="A630" t="s">
        <v>127</v>
      </c>
      <c r="B630" t="s">
        <v>190</v>
      </c>
      <c r="C630" t="s">
        <v>45</v>
      </c>
      <c r="D630">
        <v>2250</v>
      </c>
      <c r="E630">
        <v>0</v>
      </c>
      <c r="F630" t="s">
        <v>220</v>
      </c>
      <c r="G630">
        <v>37901</v>
      </c>
      <c r="H630">
        <v>0</v>
      </c>
    </row>
    <row r="631" spans="1:9" x14ac:dyDescent="0.25">
      <c r="A631" t="s">
        <v>132</v>
      </c>
      <c r="B631" t="s">
        <v>76</v>
      </c>
      <c r="C631" t="s">
        <v>34</v>
      </c>
      <c r="D631">
        <v>32</v>
      </c>
      <c r="E631">
        <v>0</v>
      </c>
      <c r="F631" t="s">
        <v>43</v>
      </c>
      <c r="G631">
        <v>37885</v>
      </c>
      <c r="H631">
        <v>0</v>
      </c>
    </row>
    <row r="632" spans="1:9" x14ac:dyDescent="0.25">
      <c r="A632" t="s">
        <v>125</v>
      </c>
      <c r="B632" t="s">
        <v>201</v>
      </c>
      <c r="C632" t="s">
        <v>53</v>
      </c>
      <c r="D632">
        <v>27</v>
      </c>
      <c r="E632">
        <v>0</v>
      </c>
      <c r="F632" t="s">
        <v>220</v>
      </c>
      <c r="G632">
        <v>37787</v>
      </c>
      <c r="H632">
        <v>0</v>
      </c>
    </row>
    <row r="633" spans="1:9" x14ac:dyDescent="0.25">
      <c r="A633" t="s">
        <v>127</v>
      </c>
      <c r="B633" t="s">
        <v>190</v>
      </c>
      <c r="C633" t="s">
        <v>45</v>
      </c>
      <c r="D633">
        <v>380</v>
      </c>
      <c r="E633">
        <v>0</v>
      </c>
      <c r="F633" t="s">
        <v>220</v>
      </c>
      <c r="G633">
        <v>37783</v>
      </c>
      <c r="H633">
        <v>0</v>
      </c>
    </row>
    <row r="634" spans="1:9" x14ac:dyDescent="0.25">
      <c r="A634" t="s">
        <v>126</v>
      </c>
      <c r="B634" t="s">
        <v>88</v>
      </c>
      <c r="C634" t="s">
        <v>34</v>
      </c>
      <c r="D634">
        <v>116</v>
      </c>
      <c r="E634">
        <v>0</v>
      </c>
      <c r="F634" t="s">
        <v>43</v>
      </c>
      <c r="G634">
        <v>37666</v>
      </c>
      <c r="H634">
        <v>0</v>
      </c>
    </row>
    <row r="635" spans="1:9" x14ac:dyDescent="0.25">
      <c r="A635" t="s">
        <v>132</v>
      </c>
      <c r="B635" t="s">
        <v>186</v>
      </c>
      <c r="C635" t="s">
        <v>53</v>
      </c>
      <c r="D635">
        <v>150</v>
      </c>
      <c r="E635">
        <v>0</v>
      </c>
      <c r="F635" t="s">
        <v>220</v>
      </c>
      <c r="G635">
        <v>37543</v>
      </c>
      <c r="H635">
        <v>0</v>
      </c>
    </row>
    <row r="636" spans="1:9" x14ac:dyDescent="0.25">
      <c r="A636" t="s">
        <v>125</v>
      </c>
      <c r="B636" t="s">
        <v>162</v>
      </c>
      <c r="C636" t="s">
        <v>58</v>
      </c>
      <c r="D636">
        <v>130</v>
      </c>
      <c r="E636">
        <v>0</v>
      </c>
      <c r="F636" t="s">
        <v>220</v>
      </c>
      <c r="G636">
        <v>37462</v>
      </c>
      <c r="H636">
        <v>0</v>
      </c>
    </row>
    <row r="637" spans="1:9" x14ac:dyDescent="0.25">
      <c r="A637" t="s">
        <v>125</v>
      </c>
      <c r="B637" t="s">
        <v>188</v>
      </c>
      <c r="C637" t="s">
        <v>45</v>
      </c>
      <c r="D637">
        <v>600</v>
      </c>
      <c r="E637">
        <v>0</v>
      </c>
      <c r="F637" t="s">
        <v>220</v>
      </c>
      <c r="G637">
        <v>37303</v>
      </c>
      <c r="H637">
        <v>0</v>
      </c>
    </row>
    <row r="638" spans="1:9" x14ac:dyDescent="0.25">
      <c r="A638" t="s">
        <v>132</v>
      </c>
      <c r="B638" t="s">
        <v>83</v>
      </c>
      <c r="C638" t="s">
        <v>34</v>
      </c>
      <c r="D638">
        <v>32</v>
      </c>
      <c r="E638">
        <v>0</v>
      </c>
      <c r="F638" t="s">
        <v>43</v>
      </c>
      <c r="G638">
        <v>37295</v>
      </c>
      <c r="H638">
        <v>0</v>
      </c>
    </row>
    <row r="639" spans="1:9" x14ac:dyDescent="0.25">
      <c r="A639" t="s">
        <v>125</v>
      </c>
      <c r="B639" t="s">
        <v>89</v>
      </c>
      <c r="C639" t="s">
        <v>34</v>
      </c>
      <c r="D639">
        <v>1000</v>
      </c>
      <c r="E639">
        <v>0</v>
      </c>
      <c r="F639" t="s">
        <v>220</v>
      </c>
      <c r="G639">
        <v>37049</v>
      </c>
      <c r="H639">
        <v>0</v>
      </c>
    </row>
    <row r="640" spans="1:9" x14ac:dyDescent="0.25">
      <c r="A640" t="s">
        <v>127</v>
      </c>
      <c r="B640" t="s">
        <v>176</v>
      </c>
      <c r="C640" t="s">
        <v>53</v>
      </c>
      <c r="D640">
        <v>666</v>
      </c>
      <c r="E640">
        <v>0</v>
      </c>
      <c r="F640" t="s">
        <v>220</v>
      </c>
      <c r="G640">
        <v>36557</v>
      </c>
      <c r="H640">
        <v>0</v>
      </c>
    </row>
    <row r="641" spans="1:9" x14ac:dyDescent="0.25">
      <c r="A641" t="s">
        <v>132</v>
      </c>
      <c r="B641" t="s">
        <v>168</v>
      </c>
      <c r="C641" t="s">
        <v>53</v>
      </c>
      <c r="D641">
        <v>15</v>
      </c>
      <c r="E641">
        <v>0</v>
      </c>
      <c r="F641" t="s">
        <v>43</v>
      </c>
      <c r="G641">
        <v>36100</v>
      </c>
      <c r="H641">
        <v>0</v>
      </c>
    </row>
    <row r="642" spans="1:9" x14ac:dyDescent="0.25">
      <c r="A642" t="s">
        <v>127</v>
      </c>
      <c r="B642" t="s">
        <v>171</v>
      </c>
      <c r="C642" t="s">
        <v>48</v>
      </c>
      <c r="D642">
        <v>1124</v>
      </c>
      <c r="E642">
        <v>0</v>
      </c>
      <c r="F642" t="s">
        <v>220</v>
      </c>
      <c r="G642">
        <v>35526</v>
      </c>
      <c r="H642">
        <v>0</v>
      </c>
    </row>
    <row r="643" spans="1:9" x14ac:dyDescent="0.25">
      <c r="A643" t="s">
        <v>125</v>
      </c>
      <c r="B643" t="s">
        <v>67</v>
      </c>
      <c r="C643" t="s">
        <v>34</v>
      </c>
      <c r="D643">
        <v>1000</v>
      </c>
      <c r="E643">
        <v>0</v>
      </c>
      <c r="F643" t="s">
        <v>220</v>
      </c>
      <c r="G643">
        <v>35288</v>
      </c>
      <c r="H643">
        <v>0</v>
      </c>
    </row>
    <row r="644" spans="1:9" x14ac:dyDescent="0.25">
      <c r="A644" t="s">
        <v>126</v>
      </c>
      <c r="B644" t="s">
        <v>76</v>
      </c>
      <c r="C644" t="s">
        <v>34</v>
      </c>
      <c r="D644">
        <v>54</v>
      </c>
      <c r="E644">
        <v>0</v>
      </c>
      <c r="F644" t="s">
        <v>43</v>
      </c>
      <c r="G644">
        <v>34953</v>
      </c>
      <c r="H644">
        <v>0</v>
      </c>
    </row>
    <row r="645" spans="1:9" x14ac:dyDescent="0.25">
      <c r="A645" t="s">
        <v>127</v>
      </c>
      <c r="B645" t="s">
        <v>194</v>
      </c>
      <c r="C645" t="s">
        <v>58</v>
      </c>
      <c r="D645">
        <v>125</v>
      </c>
      <c r="E645">
        <v>0</v>
      </c>
      <c r="F645" t="s">
        <v>43</v>
      </c>
      <c r="G645">
        <v>34831</v>
      </c>
      <c r="H645">
        <v>0</v>
      </c>
    </row>
    <row r="646" spans="1:9" x14ac:dyDescent="0.25">
      <c r="A646" t="s">
        <v>125</v>
      </c>
      <c r="B646" t="s">
        <v>92</v>
      </c>
      <c r="C646" t="s">
        <v>34</v>
      </c>
      <c r="D646">
        <v>500</v>
      </c>
      <c r="E646">
        <v>0</v>
      </c>
      <c r="F646" t="s">
        <v>220</v>
      </c>
      <c r="G646">
        <v>34499</v>
      </c>
      <c r="H646">
        <v>0</v>
      </c>
    </row>
    <row r="647" spans="1:9" x14ac:dyDescent="0.25">
      <c r="A647" t="s">
        <v>125</v>
      </c>
      <c r="B647" t="s">
        <v>60</v>
      </c>
      <c r="C647" t="s">
        <v>34</v>
      </c>
      <c r="D647">
        <v>1000</v>
      </c>
      <c r="E647">
        <v>0</v>
      </c>
      <c r="F647" t="s">
        <v>220</v>
      </c>
      <c r="G647">
        <v>34324</v>
      </c>
      <c r="H647">
        <v>0</v>
      </c>
    </row>
    <row r="648" spans="1:9" x14ac:dyDescent="0.25">
      <c r="A648" t="s">
        <v>125</v>
      </c>
      <c r="B648" t="s">
        <v>197</v>
      </c>
      <c r="C648" t="s">
        <v>45</v>
      </c>
      <c r="D648">
        <v>600</v>
      </c>
      <c r="E648">
        <v>0</v>
      </c>
      <c r="F648" t="s">
        <v>220</v>
      </c>
      <c r="G648">
        <v>34276</v>
      </c>
      <c r="H648">
        <v>0</v>
      </c>
    </row>
    <row r="649" spans="1:9" x14ac:dyDescent="0.25">
      <c r="A649" t="s">
        <v>125</v>
      </c>
      <c r="B649" t="s">
        <v>79</v>
      </c>
      <c r="C649" t="s">
        <v>34</v>
      </c>
      <c r="D649">
        <v>500</v>
      </c>
      <c r="E649">
        <v>0</v>
      </c>
      <c r="F649" t="s">
        <v>220</v>
      </c>
      <c r="G649">
        <v>34212</v>
      </c>
      <c r="H649">
        <v>0</v>
      </c>
    </row>
    <row r="650" spans="1:9" x14ac:dyDescent="0.25">
      <c r="A650" t="s">
        <v>132</v>
      </c>
      <c r="B650" t="s">
        <v>198</v>
      </c>
      <c r="C650" t="s">
        <v>45</v>
      </c>
      <c r="D650">
        <v>9</v>
      </c>
      <c r="E650">
        <v>0</v>
      </c>
      <c r="F650" t="s">
        <v>43</v>
      </c>
      <c r="G650">
        <v>33245</v>
      </c>
      <c r="H650">
        <v>0</v>
      </c>
    </row>
    <row r="651" spans="1:9" x14ac:dyDescent="0.25">
      <c r="A651" t="s">
        <v>125</v>
      </c>
      <c r="B651" t="s">
        <v>189</v>
      </c>
      <c r="C651" t="s">
        <v>63</v>
      </c>
      <c r="D651">
        <v>500</v>
      </c>
      <c r="E651">
        <v>0</v>
      </c>
      <c r="F651" t="s">
        <v>220</v>
      </c>
      <c r="G651">
        <v>33189</v>
      </c>
      <c r="H651">
        <v>0</v>
      </c>
    </row>
    <row r="652" spans="1:9" x14ac:dyDescent="0.25">
      <c r="A652" t="s">
        <v>125</v>
      </c>
      <c r="B652" t="s">
        <v>181</v>
      </c>
      <c r="C652" t="s">
        <v>50</v>
      </c>
      <c r="D652">
        <v>24</v>
      </c>
      <c r="E652">
        <v>0</v>
      </c>
      <c r="F652" t="s">
        <v>220</v>
      </c>
      <c r="G652">
        <v>33142</v>
      </c>
      <c r="H652">
        <v>0</v>
      </c>
    </row>
    <row r="653" spans="1:9" x14ac:dyDescent="0.25">
      <c r="A653" t="s">
        <v>125</v>
      </c>
      <c r="B653" t="s">
        <v>210</v>
      </c>
      <c r="C653" t="s">
        <v>45</v>
      </c>
      <c r="D653">
        <v>600</v>
      </c>
      <c r="E653">
        <v>0</v>
      </c>
      <c r="F653" t="s">
        <v>220</v>
      </c>
      <c r="G653">
        <v>32086</v>
      </c>
      <c r="H653">
        <v>0</v>
      </c>
    </row>
    <row r="654" spans="1:9" x14ac:dyDescent="0.25">
      <c r="A654" t="s">
        <v>125</v>
      </c>
      <c r="B654" t="s">
        <v>88</v>
      </c>
      <c r="C654" t="s">
        <v>34</v>
      </c>
      <c r="D654">
        <v>600</v>
      </c>
      <c r="E654">
        <v>0</v>
      </c>
      <c r="F654" t="s">
        <v>220</v>
      </c>
      <c r="G654">
        <v>32085</v>
      </c>
      <c r="H654">
        <v>0</v>
      </c>
    </row>
    <row r="655" spans="1:9" x14ac:dyDescent="0.25">
      <c r="A655" t="s">
        <v>127</v>
      </c>
      <c r="B655" t="s">
        <v>72</v>
      </c>
      <c r="C655" t="s">
        <v>34</v>
      </c>
      <c r="D655">
        <v>35</v>
      </c>
      <c r="E655">
        <v>0</v>
      </c>
      <c r="F655" t="s">
        <v>43</v>
      </c>
      <c r="G655">
        <v>31578</v>
      </c>
      <c r="H655">
        <v>0</v>
      </c>
    </row>
    <row r="656" spans="1:9" x14ac:dyDescent="0.25">
      <c r="A656" t="s">
        <v>125</v>
      </c>
      <c r="B656" t="s">
        <v>173</v>
      </c>
      <c r="C656" t="s">
        <v>61</v>
      </c>
      <c r="D656">
        <v>100</v>
      </c>
      <c r="E656">
        <v>0</v>
      </c>
      <c r="F656" t="s">
        <v>220</v>
      </c>
      <c r="G656">
        <v>31108</v>
      </c>
      <c r="H656">
        <v>0</v>
      </c>
    </row>
    <row r="657" spans="1:9" x14ac:dyDescent="0.25">
      <c r="A657" t="s">
        <v>125</v>
      </c>
      <c r="B657" t="s">
        <v>204</v>
      </c>
      <c r="C657" t="s">
        <v>50</v>
      </c>
      <c r="D657">
        <v>600</v>
      </c>
      <c r="E657">
        <v>0</v>
      </c>
      <c r="F657" t="s">
        <v>220</v>
      </c>
      <c r="G657">
        <v>30628</v>
      </c>
      <c r="H657">
        <v>0</v>
      </c>
    </row>
    <row r="658" spans="1:9" x14ac:dyDescent="0.25">
      <c r="A658" t="s">
        <v>126</v>
      </c>
      <c r="B658" t="s">
        <v>210</v>
      </c>
      <c r="C658" t="s">
        <v>45</v>
      </c>
      <c r="D658">
        <v>68</v>
      </c>
      <c r="E658">
        <v>0</v>
      </c>
      <c r="F658" t="s">
        <v>220</v>
      </c>
      <c r="G658">
        <v>30128</v>
      </c>
      <c r="H658">
        <v>0</v>
      </c>
    </row>
    <row r="659" spans="1:9" x14ac:dyDescent="0.25">
      <c r="A659" t="s">
        <v>125</v>
      </c>
      <c r="B659" t="s">
        <v>86</v>
      </c>
      <c r="C659" t="s">
        <v>34</v>
      </c>
      <c r="D659">
        <v>600</v>
      </c>
      <c r="E659">
        <v>0</v>
      </c>
      <c r="F659" t="s">
        <v>220</v>
      </c>
      <c r="G659">
        <v>29497</v>
      </c>
      <c r="H659">
        <v>0</v>
      </c>
    </row>
    <row r="660" spans="1:9" x14ac:dyDescent="0.25">
      <c r="A660" t="s">
        <v>132</v>
      </c>
      <c r="B660" t="s">
        <v>66</v>
      </c>
      <c r="C660" t="s">
        <v>34</v>
      </c>
      <c r="D660">
        <v>24</v>
      </c>
      <c r="E660">
        <v>0</v>
      </c>
      <c r="F660" t="s">
        <v>43</v>
      </c>
      <c r="G660">
        <v>29298</v>
      </c>
      <c r="H660">
        <v>0</v>
      </c>
    </row>
    <row r="661" spans="1:9" x14ac:dyDescent="0.25">
      <c r="A661" t="s">
        <v>125</v>
      </c>
      <c r="B661" t="s">
        <v>192</v>
      </c>
      <c r="C661" t="s">
        <v>45</v>
      </c>
      <c r="D661">
        <v>500</v>
      </c>
      <c r="E661">
        <v>0</v>
      </c>
      <c r="F661" t="s">
        <v>220</v>
      </c>
      <c r="G661">
        <v>28973</v>
      </c>
      <c r="H661">
        <v>0</v>
      </c>
    </row>
    <row r="662" spans="1:9" x14ac:dyDescent="0.25">
      <c r="A662" t="s">
        <v>125</v>
      </c>
      <c r="B662" t="s">
        <v>178</v>
      </c>
      <c r="C662" t="s">
        <v>58</v>
      </c>
      <c r="D662">
        <v>100</v>
      </c>
      <c r="E662">
        <v>0</v>
      </c>
      <c r="F662" t="s">
        <v>220</v>
      </c>
      <c r="G662">
        <v>28934</v>
      </c>
      <c r="H662">
        <v>0</v>
      </c>
    </row>
    <row r="663" spans="1:9" x14ac:dyDescent="0.25">
      <c r="A663" t="s">
        <v>126</v>
      </c>
      <c r="B663" t="s">
        <v>66</v>
      </c>
      <c r="C663" t="s">
        <v>34</v>
      </c>
      <c r="D663">
        <v>103</v>
      </c>
      <c r="E663">
        <v>0</v>
      </c>
      <c r="F663" t="s">
        <v>220</v>
      </c>
      <c r="G663">
        <v>28753</v>
      </c>
      <c r="H663">
        <v>0</v>
      </c>
    </row>
    <row r="664" spans="1:9" x14ac:dyDescent="0.25">
      <c r="A664" t="s">
        <v>125</v>
      </c>
      <c r="B664" t="s">
        <v>187</v>
      </c>
      <c r="C664" t="s">
        <v>45</v>
      </c>
      <c r="D664">
        <v>700</v>
      </c>
      <c r="E664">
        <v>0</v>
      </c>
      <c r="F664" t="s">
        <v>220</v>
      </c>
      <c r="G664">
        <v>28603</v>
      </c>
      <c r="H664">
        <v>0</v>
      </c>
    </row>
    <row r="665" spans="1:9" x14ac:dyDescent="0.25">
      <c r="A665" t="s">
        <v>126</v>
      </c>
      <c r="B665" t="s">
        <v>202</v>
      </c>
      <c r="C665" t="s">
        <v>45</v>
      </c>
      <c r="D665">
        <v>312</v>
      </c>
      <c r="E665">
        <v>0</v>
      </c>
      <c r="F665" t="s">
        <v>220</v>
      </c>
      <c r="G665">
        <v>28026</v>
      </c>
      <c r="H665">
        <v>0</v>
      </c>
    </row>
    <row r="666" spans="1:9" x14ac:dyDescent="0.25">
      <c r="A666" t="s">
        <v>125</v>
      </c>
      <c r="B666" t="s">
        <v>82</v>
      </c>
      <c r="C666" t="s">
        <v>34</v>
      </c>
      <c r="D666">
        <v>100</v>
      </c>
      <c r="E666">
        <v>0</v>
      </c>
      <c r="F666" t="s">
        <v>220</v>
      </c>
      <c r="G666">
        <v>27789</v>
      </c>
      <c r="H666">
        <v>0</v>
      </c>
    </row>
    <row r="667" spans="1:9" x14ac:dyDescent="0.25">
      <c r="A667" t="s">
        <v>125</v>
      </c>
      <c r="B667" t="s">
        <v>69</v>
      </c>
      <c r="C667" t="s">
        <v>34</v>
      </c>
      <c r="D667">
        <v>500</v>
      </c>
      <c r="E667">
        <v>0</v>
      </c>
      <c r="F667" t="s">
        <v>220</v>
      </c>
      <c r="G667">
        <v>27265</v>
      </c>
      <c r="H667">
        <v>0</v>
      </c>
    </row>
    <row r="668" spans="1:9" x14ac:dyDescent="0.25">
      <c r="A668" t="s">
        <v>132</v>
      </c>
      <c r="B668" t="s">
        <v>89</v>
      </c>
      <c r="C668" t="s">
        <v>34</v>
      </c>
      <c r="D668">
        <v>8</v>
      </c>
      <c r="E668">
        <v>0</v>
      </c>
      <c r="F668" t="s">
        <v>43</v>
      </c>
      <c r="G668">
        <v>27087</v>
      </c>
      <c r="H668">
        <v>0</v>
      </c>
    </row>
    <row r="669" spans="1:9" x14ac:dyDescent="0.25">
      <c r="A669" t="s">
        <v>125</v>
      </c>
      <c r="B669" t="s">
        <v>87</v>
      </c>
      <c r="C669" t="s">
        <v>34</v>
      </c>
      <c r="D669">
        <v>100</v>
      </c>
      <c r="E669">
        <v>0</v>
      </c>
      <c r="F669" t="s">
        <v>220</v>
      </c>
      <c r="G669">
        <v>26904</v>
      </c>
      <c r="H669">
        <v>0</v>
      </c>
    </row>
    <row r="670" spans="1:9" x14ac:dyDescent="0.25">
      <c r="A670" t="s">
        <v>125</v>
      </c>
      <c r="B670" t="s">
        <v>71</v>
      </c>
      <c r="C670" t="s">
        <v>34</v>
      </c>
      <c r="D670">
        <v>454</v>
      </c>
      <c r="E670">
        <v>0</v>
      </c>
      <c r="F670" t="s">
        <v>220</v>
      </c>
      <c r="G670">
        <v>26904</v>
      </c>
      <c r="H670">
        <v>0</v>
      </c>
    </row>
    <row r="671" spans="1:9" x14ac:dyDescent="0.25">
      <c r="A671" t="s">
        <v>125</v>
      </c>
      <c r="B671" t="s">
        <v>77</v>
      </c>
      <c r="C671" t="s">
        <v>34</v>
      </c>
      <c r="D671">
        <v>448</v>
      </c>
      <c r="E671">
        <v>0</v>
      </c>
      <c r="F671" t="s">
        <v>220</v>
      </c>
      <c r="G671">
        <v>26446</v>
      </c>
      <c r="H671">
        <v>0</v>
      </c>
    </row>
    <row r="672" spans="1:9" x14ac:dyDescent="0.25">
      <c r="A672" t="s">
        <v>125</v>
      </c>
      <c r="B672" t="s">
        <v>191</v>
      </c>
      <c r="C672" t="s">
        <v>45</v>
      </c>
      <c r="D672">
        <v>64</v>
      </c>
      <c r="E672">
        <v>0</v>
      </c>
      <c r="F672" t="s">
        <v>220</v>
      </c>
      <c r="G672">
        <v>26350</v>
      </c>
      <c r="H672">
        <v>0</v>
      </c>
    </row>
    <row r="673" spans="1:9" x14ac:dyDescent="0.25">
      <c r="A673" t="s">
        <v>143</v>
      </c>
      <c r="B673" t="s">
        <v>170</v>
      </c>
      <c r="C673" t="s">
        <v>61</v>
      </c>
      <c r="D673">
        <v>297</v>
      </c>
      <c r="E673">
        <v>0</v>
      </c>
      <c r="F673" t="s">
        <v>220</v>
      </c>
      <c r="G673">
        <v>26057</v>
      </c>
      <c r="H673">
        <v>0</v>
      </c>
    </row>
    <row r="674" spans="1:9" x14ac:dyDescent="0.25">
      <c r="A674" t="s">
        <v>125</v>
      </c>
      <c r="B674" t="s">
        <v>198</v>
      </c>
      <c r="C674" t="s">
        <v>45</v>
      </c>
      <c r="D674">
        <v>510</v>
      </c>
      <c r="E674">
        <v>0</v>
      </c>
      <c r="F674" t="s">
        <v>220</v>
      </c>
      <c r="G674">
        <v>26040</v>
      </c>
      <c r="H674">
        <v>0</v>
      </c>
    </row>
    <row r="675" spans="1:9" x14ac:dyDescent="0.25">
      <c r="A675" t="s">
        <v>126</v>
      </c>
      <c r="B675" t="s">
        <v>67</v>
      </c>
      <c r="C675" t="s">
        <v>34</v>
      </c>
      <c r="D675">
        <v>2000</v>
      </c>
      <c r="E675">
        <v>0</v>
      </c>
      <c r="F675" t="s">
        <v>220</v>
      </c>
      <c r="G675">
        <v>25983</v>
      </c>
      <c r="H675">
        <v>0</v>
      </c>
    </row>
    <row r="676" spans="1:9" x14ac:dyDescent="0.25">
      <c r="A676" t="s">
        <v>125</v>
      </c>
      <c r="B676" t="s">
        <v>87</v>
      </c>
      <c r="C676" t="s">
        <v>34</v>
      </c>
      <c r="D676">
        <v>600</v>
      </c>
      <c r="E676">
        <v>0</v>
      </c>
      <c r="F676" t="s">
        <v>220</v>
      </c>
      <c r="G676">
        <v>25686</v>
      </c>
      <c r="H676">
        <v>0</v>
      </c>
    </row>
    <row r="677" spans="1:9" x14ac:dyDescent="0.25">
      <c r="A677" t="s">
        <v>126</v>
      </c>
      <c r="B677" t="s">
        <v>44</v>
      </c>
      <c r="C677" t="s">
        <v>34</v>
      </c>
      <c r="D677">
        <v>2000</v>
      </c>
      <c r="E677">
        <v>0</v>
      </c>
      <c r="F677" t="s">
        <v>220</v>
      </c>
      <c r="G677">
        <v>25363</v>
      </c>
      <c r="H677">
        <v>0</v>
      </c>
    </row>
    <row r="678" spans="1:9" x14ac:dyDescent="0.25">
      <c r="A678" t="s">
        <v>125</v>
      </c>
      <c r="B678" t="s">
        <v>52</v>
      </c>
      <c r="C678" t="s">
        <v>34</v>
      </c>
      <c r="D678">
        <v>272</v>
      </c>
      <c r="E678">
        <v>0</v>
      </c>
      <c r="F678" t="s">
        <v>43</v>
      </c>
      <c r="G678">
        <v>23926</v>
      </c>
      <c r="H678">
        <v>0</v>
      </c>
    </row>
    <row r="679" spans="1:9" x14ac:dyDescent="0.25">
      <c r="A679" t="s">
        <v>132</v>
      </c>
      <c r="B679" t="s">
        <v>206</v>
      </c>
      <c r="C679" t="s">
        <v>50</v>
      </c>
      <c r="D679">
        <v>12</v>
      </c>
      <c r="E679">
        <v>0</v>
      </c>
      <c r="F679" t="s">
        <v>43</v>
      </c>
      <c r="G679">
        <v>23897</v>
      </c>
      <c r="H679">
        <v>0</v>
      </c>
    </row>
    <row r="680" spans="1:9" x14ac:dyDescent="0.25">
      <c r="A680" t="s">
        <v>126</v>
      </c>
      <c r="B680" t="s">
        <v>44</v>
      </c>
      <c r="C680" t="s">
        <v>34</v>
      </c>
      <c r="D680">
        <v>100</v>
      </c>
      <c r="E680">
        <v>0</v>
      </c>
      <c r="F680" t="s">
        <v>220</v>
      </c>
      <c r="G680">
        <v>23425</v>
      </c>
      <c r="H680">
        <v>0</v>
      </c>
    </row>
    <row r="681" spans="1:9" x14ac:dyDescent="0.25">
      <c r="A681" t="s">
        <v>126</v>
      </c>
      <c r="B681" t="s">
        <v>54</v>
      </c>
      <c r="C681" t="s">
        <v>34</v>
      </c>
      <c r="D681">
        <v>2400</v>
      </c>
      <c r="E681">
        <v>0</v>
      </c>
      <c r="F681" t="s">
        <v>43</v>
      </c>
      <c r="G681">
        <v>23403</v>
      </c>
      <c r="H681">
        <v>0</v>
      </c>
    </row>
    <row r="682" spans="1:9" x14ac:dyDescent="0.25">
      <c r="A682" t="s">
        <v>132</v>
      </c>
      <c r="B682" t="s">
        <v>203</v>
      </c>
      <c r="C682" t="s">
        <v>58</v>
      </c>
      <c r="D682">
        <v>12</v>
      </c>
      <c r="E682">
        <v>0</v>
      </c>
      <c r="F682" t="s">
        <v>43</v>
      </c>
      <c r="G682">
        <v>23048</v>
      </c>
      <c r="H682">
        <v>0</v>
      </c>
    </row>
    <row r="683" spans="1:9" x14ac:dyDescent="0.25">
      <c r="A683" t="s">
        <v>126</v>
      </c>
      <c r="B683" t="s">
        <v>79</v>
      </c>
      <c r="C683" t="s">
        <v>34</v>
      </c>
      <c r="D683">
        <v>2400</v>
      </c>
      <c r="E683">
        <v>0</v>
      </c>
      <c r="F683" t="s">
        <v>43</v>
      </c>
      <c r="G683">
        <v>22940</v>
      </c>
      <c r="H683">
        <v>0</v>
      </c>
    </row>
    <row r="684" spans="1:9" x14ac:dyDescent="0.25">
      <c r="A684" t="s">
        <v>126</v>
      </c>
      <c r="B684" t="s">
        <v>186</v>
      </c>
      <c r="C684" t="s">
        <v>53</v>
      </c>
      <c r="D684">
        <v>2400</v>
      </c>
      <c r="E684">
        <v>0</v>
      </c>
      <c r="F684" t="s">
        <v>43</v>
      </c>
      <c r="G684">
        <v>22935</v>
      </c>
      <c r="H684">
        <v>0</v>
      </c>
    </row>
    <row r="685" spans="1:9" x14ac:dyDescent="0.25">
      <c r="A685" t="s">
        <v>126</v>
      </c>
      <c r="B685" t="s">
        <v>178</v>
      </c>
      <c r="C685" t="s">
        <v>58</v>
      </c>
      <c r="D685">
        <v>2400</v>
      </c>
      <c r="E685">
        <v>0</v>
      </c>
      <c r="F685" t="s">
        <v>43</v>
      </c>
      <c r="G685">
        <v>22935</v>
      </c>
      <c r="H685">
        <v>0</v>
      </c>
    </row>
    <row r="686" spans="1:9" x14ac:dyDescent="0.25">
      <c r="A686" t="s">
        <v>125</v>
      </c>
      <c r="B686" t="s">
        <v>83</v>
      </c>
      <c r="C686" t="s">
        <v>34</v>
      </c>
      <c r="D686">
        <v>620</v>
      </c>
      <c r="E686">
        <v>0</v>
      </c>
      <c r="F686" t="s">
        <v>220</v>
      </c>
      <c r="G686">
        <v>22756</v>
      </c>
      <c r="H686">
        <v>0</v>
      </c>
    </row>
    <row r="687" spans="1:9" x14ac:dyDescent="0.25">
      <c r="A687" t="s">
        <v>132</v>
      </c>
      <c r="B687" t="s">
        <v>204</v>
      </c>
      <c r="C687" t="s">
        <v>50</v>
      </c>
      <c r="D687">
        <v>8</v>
      </c>
      <c r="E687">
        <v>0</v>
      </c>
      <c r="F687" t="s">
        <v>43</v>
      </c>
      <c r="G687">
        <v>22738</v>
      </c>
      <c r="H687">
        <v>0</v>
      </c>
    </row>
    <row r="688" spans="1:9" x14ac:dyDescent="0.25">
      <c r="A688" t="s">
        <v>125</v>
      </c>
      <c r="B688" t="s">
        <v>167</v>
      </c>
      <c r="C688" t="s">
        <v>50</v>
      </c>
      <c r="D688">
        <v>18</v>
      </c>
      <c r="E688">
        <v>0</v>
      </c>
      <c r="F688" t="s">
        <v>220</v>
      </c>
      <c r="G688">
        <v>22136</v>
      </c>
      <c r="H688">
        <v>0</v>
      </c>
    </row>
    <row r="689" spans="1:9" x14ac:dyDescent="0.25">
      <c r="A689" t="s">
        <v>132</v>
      </c>
      <c r="B689" t="s">
        <v>161</v>
      </c>
      <c r="C689" t="s">
        <v>45</v>
      </c>
      <c r="D689">
        <v>324</v>
      </c>
      <c r="E689">
        <v>0</v>
      </c>
      <c r="F689" t="s">
        <v>220</v>
      </c>
      <c r="G689">
        <v>21680</v>
      </c>
      <c r="H689">
        <v>0</v>
      </c>
    </row>
    <row r="690" spans="1:9" x14ac:dyDescent="0.25">
      <c r="A690" t="s">
        <v>125</v>
      </c>
      <c r="B690" t="s">
        <v>197</v>
      </c>
      <c r="C690" t="s">
        <v>45</v>
      </c>
      <c r="D690">
        <v>120</v>
      </c>
      <c r="E690">
        <v>0</v>
      </c>
      <c r="F690" t="s">
        <v>220</v>
      </c>
      <c r="G690">
        <v>20905</v>
      </c>
      <c r="H690">
        <v>0</v>
      </c>
    </row>
    <row r="691" spans="1:9" x14ac:dyDescent="0.25">
      <c r="A691" t="s">
        <v>132</v>
      </c>
      <c r="B691" t="s">
        <v>174</v>
      </c>
      <c r="C691" t="s">
        <v>45</v>
      </c>
      <c r="D691">
        <v>300</v>
      </c>
      <c r="E691">
        <v>0</v>
      </c>
      <c r="F691" t="s">
        <v>220</v>
      </c>
      <c r="G691">
        <v>19624</v>
      </c>
      <c r="H691">
        <v>0</v>
      </c>
    </row>
    <row r="692" spans="1:9" x14ac:dyDescent="0.25">
      <c r="A692" t="s">
        <v>132</v>
      </c>
      <c r="B692" t="s">
        <v>162</v>
      </c>
      <c r="C692" t="s">
        <v>58</v>
      </c>
      <c r="D692">
        <v>80</v>
      </c>
      <c r="E692">
        <v>0</v>
      </c>
      <c r="F692" t="s">
        <v>220</v>
      </c>
      <c r="G692">
        <v>19264</v>
      </c>
      <c r="H692">
        <v>0</v>
      </c>
    </row>
    <row r="693" spans="1:9" x14ac:dyDescent="0.25">
      <c r="A693" t="s">
        <v>125</v>
      </c>
      <c r="B693" t="s">
        <v>91</v>
      </c>
      <c r="C693" t="s">
        <v>34</v>
      </c>
      <c r="D693">
        <v>10</v>
      </c>
      <c r="E693">
        <v>0</v>
      </c>
      <c r="F693" t="s">
        <v>43</v>
      </c>
      <c r="G693">
        <v>18202</v>
      </c>
      <c r="H693">
        <v>0</v>
      </c>
    </row>
    <row r="694" spans="1:9" x14ac:dyDescent="0.25">
      <c r="A694" t="s">
        <v>125</v>
      </c>
      <c r="B694" t="s">
        <v>90</v>
      </c>
      <c r="C694" t="s">
        <v>34</v>
      </c>
      <c r="D694">
        <v>30</v>
      </c>
      <c r="E694">
        <v>0</v>
      </c>
      <c r="F694" t="s">
        <v>220</v>
      </c>
      <c r="G694">
        <v>18181</v>
      </c>
      <c r="H694">
        <v>0</v>
      </c>
    </row>
    <row r="695" spans="1:9" x14ac:dyDescent="0.25">
      <c r="A695" t="s">
        <v>127</v>
      </c>
      <c r="B695" t="s">
        <v>170</v>
      </c>
      <c r="C695" t="s">
        <v>61</v>
      </c>
      <c r="D695">
        <v>1145</v>
      </c>
      <c r="E695">
        <v>0</v>
      </c>
      <c r="F695" t="s">
        <v>220</v>
      </c>
      <c r="G695">
        <v>18134</v>
      </c>
      <c r="H695">
        <v>0</v>
      </c>
    </row>
    <row r="696" spans="1:9" x14ac:dyDescent="0.25">
      <c r="A696" t="s">
        <v>132</v>
      </c>
      <c r="B696" t="s">
        <v>197</v>
      </c>
      <c r="C696" t="s">
        <v>45</v>
      </c>
      <c r="D696">
        <v>180</v>
      </c>
      <c r="E696">
        <v>0</v>
      </c>
      <c r="F696" t="s">
        <v>220</v>
      </c>
      <c r="G696">
        <v>17486</v>
      </c>
      <c r="H696">
        <v>0</v>
      </c>
    </row>
    <row r="697" spans="1:9" x14ac:dyDescent="0.25">
      <c r="A697" t="s">
        <v>127</v>
      </c>
      <c r="B697" t="s">
        <v>209</v>
      </c>
      <c r="C697" t="s">
        <v>45</v>
      </c>
      <c r="D697">
        <v>24</v>
      </c>
      <c r="E697">
        <v>0</v>
      </c>
      <c r="F697" t="s">
        <v>43</v>
      </c>
      <c r="G697">
        <v>17361</v>
      </c>
      <c r="H697">
        <v>0</v>
      </c>
    </row>
    <row r="698" spans="1:9" x14ac:dyDescent="0.25">
      <c r="A698" t="s">
        <v>125</v>
      </c>
      <c r="B698" t="s">
        <v>47</v>
      </c>
      <c r="C698" t="s">
        <v>34</v>
      </c>
      <c r="D698">
        <v>450</v>
      </c>
      <c r="E698">
        <v>0</v>
      </c>
      <c r="F698" t="s">
        <v>220</v>
      </c>
      <c r="G698">
        <v>17147</v>
      </c>
      <c r="H698">
        <v>0</v>
      </c>
    </row>
    <row r="699" spans="1:9" x14ac:dyDescent="0.25">
      <c r="A699" t="s">
        <v>125</v>
      </c>
      <c r="B699" t="s">
        <v>171</v>
      </c>
      <c r="C699" t="s">
        <v>48</v>
      </c>
      <c r="D699">
        <v>12</v>
      </c>
      <c r="E699">
        <v>0</v>
      </c>
      <c r="F699" t="s">
        <v>220</v>
      </c>
      <c r="G699">
        <v>17096</v>
      </c>
      <c r="H699">
        <v>0</v>
      </c>
    </row>
    <row r="700" spans="1:9" x14ac:dyDescent="0.25">
      <c r="A700" t="s">
        <v>125</v>
      </c>
      <c r="B700" t="s">
        <v>196</v>
      </c>
      <c r="C700" t="s">
        <v>53</v>
      </c>
      <c r="D700">
        <v>200</v>
      </c>
      <c r="E700">
        <v>0</v>
      </c>
      <c r="F700" t="s">
        <v>43</v>
      </c>
      <c r="G700">
        <v>17030</v>
      </c>
      <c r="H700">
        <v>0</v>
      </c>
    </row>
    <row r="701" spans="1:9" x14ac:dyDescent="0.25">
      <c r="A701" t="s">
        <v>132</v>
      </c>
      <c r="B701" t="s">
        <v>47</v>
      </c>
      <c r="C701" t="s">
        <v>34</v>
      </c>
      <c r="D701">
        <v>66</v>
      </c>
      <c r="E701">
        <v>0</v>
      </c>
      <c r="F701" t="s">
        <v>220</v>
      </c>
      <c r="G701">
        <v>16211</v>
      </c>
      <c r="H701">
        <v>0</v>
      </c>
    </row>
    <row r="702" spans="1:9" x14ac:dyDescent="0.25">
      <c r="A702" t="s">
        <v>125</v>
      </c>
      <c r="B702" t="s">
        <v>186</v>
      </c>
      <c r="C702" t="s">
        <v>53</v>
      </c>
      <c r="D702">
        <v>300</v>
      </c>
      <c r="E702">
        <v>0</v>
      </c>
      <c r="F702" t="s">
        <v>220</v>
      </c>
      <c r="G702">
        <v>16054</v>
      </c>
      <c r="H702">
        <v>0</v>
      </c>
    </row>
    <row r="703" spans="1:9" x14ac:dyDescent="0.25">
      <c r="A703" t="s">
        <v>125</v>
      </c>
      <c r="B703" t="s">
        <v>209</v>
      </c>
      <c r="C703" t="s">
        <v>45</v>
      </c>
      <c r="D703">
        <v>200</v>
      </c>
      <c r="E703">
        <v>0</v>
      </c>
      <c r="F703" t="s">
        <v>220</v>
      </c>
      <c r="G703">
        <v>15965</v>
      </c>
      <c r="H703">
        <v>0</v>
      </c>
    </row>
    <row r="704" spans="1:9" x14ac:dyDescent="0.25">
      <c r="A704" t="s">
        <v>125</v>
      </c>
      <c r="B704" t="s">
        <v>193</v>
      </c>
      <c r="C704" t="s">
        <v>45</v>
      </c>
      <c r="D704">
        <v>200</v>
      </c>
      <c r="E704">
        <v>0</v>
      </c>
      <c r="F704" t="s">
        <v>220</v>
      </c>
      <c r="G704">
        <v>15666</v>
      </c>
      <c r="H704">
        <v>0</v>
      </c>
    </row>
    <row r="705" spans="1:9" x14ac:dyDescent="0.25">
      <c r="A705" t="s">
        <v>127</v>
      </c>
      <c r="B705" t="s">
        <v>178</v>
      </c>
      <c r="C705" t="s">
        <v>58</v>
      </c>
      <c r="D705">
        <v>32</v>
      </c>
      <c r="E705">
        <v>0</v>
      </c>
      <c r="F705" t="s">
        <v>43</v>
      </c>
      <c r="G705">
        <v>15582</v>
      </c>
      <c r="H705">
        <v>0</v>
      </c>
    </row>
    <row r="706" spans="1:9" x14ac:dyDescent="0.25">
      <c r="A706" t="s">
        <v>125</v>
      </c>
      <c r="B706" t="s">
        <v>205</v>
      </c>
      <c r="C706" t="s">
        <v>53</v>
      </c>
      <c r="D706">
        <v>440</v>
      </c>
      <c r="E706">
        <v>0</v>
      </c>
      <c r="F706" t="s">
        <v>220</v>
      </c>
      <c r="G706">
        <v>15372</v>
      </c>
      <c r="H706">
        <v>0</v>
      </c>
    </row>
    <row r="707" spans="1:9" x14ac:dyDescent="0.25">
      <c r="A707" t="s">
        <v>126</v>
      </c>
      <c r="B707" t="s">
        <v>200</v>
      </c>
      <c r="C707" t="s">
        <v>58</v>
      </c>
      <c r="D707">
        <v>1200</v>
      </c>
      <c r="E707">
        <v>0</v>
      </c>
      <c r="F707" t="s">
        <v>43</v>
      </c>
      <c r="G707">
        <v>15290</v>
      </c>
      <c r="H707">
        <v>0</v>
      </c>
    </row>
    <row r="708" spans="1:9" x14ac:dyDescent="0.25">
      <c r="A708" t="s">
        <v>125</v>
      </c>
      <c r="B708" t="s">
        <v>206</v>
      </c>
      <c r="C708" t="s">
        <v>50</v>
      </c>
      <c r="D708">
        <v>350</v>
      </c>
      <c r="E708">
        <v>0</v>
      </c>
      <c r="F708" t="s">
        <v>220</v>
      </c>
      <c r="G708">
        <v>15220</v>
      </c>
      <c r="H708">
        <v>0</v>
      </c>
    </row>
    <row r="709" spans="1:9" x14ac:dyDescent="0.25">
      <c r="A709" t="s">
        <v>132</v>
      </c>
      <c r="B709" t="s">
        <v>171</v>
      </c>
      <c r="C709" t="s">
        <v>48</v>
      </c>
      <c r="D709">
        <v>60</v>
      </c>
      <c r="E709">
        <v>0</v>
      </c>
      <c r="F709" t="s">
        <v>220</v>
      </c>
      <c r="G709">
        <v>15132</v>
      </c>
      <c r="H709">
        <v>0</v>
      </c>
    </row>
    <row r="710" spans="1:9" x14ac:dyDescent="0.25">
      <c r="A710" t="s">
        <v>125</v>
      </c>
      <c r="B710" t="s">
        <v>197</v>
      </c>
      <c r="C710" t="s">
        <v>45</v>
      </c>
      <c r="D710">
        <v>350</v>
      </c>
      <c r="E710">
        <v>0</v>
      </c>
      <c r="F710" t="s">
        <v>220</v>
      </c>
      <c r="G710">
        <v>14872</v>
      </c>
      <c r="H710">
        <v>0</v>
      </c>
    </row>
    <row r="711" spans="1:9" x14ac:dyDescent="0.25">
      <c r="A711" t="s">
        <v>125</v>
      </c>
      <c r="B711" t="s">
        <v>187</v>
      </c>
      <c r="C711" t="s">
        <v>45</v>
      </c>
      <c r="D711">
        <v>200</v>
      </c>
      <c r="E711">
        <v>0</v>
      </c>
      <c r="F711" t="s">
        <v>220</v>
      </c>
      <c r="G711">
        <v>14802</v>
      </c>
      <c r="H711">
        <v>0</v>
      </c>
    </row>
    <row r="712" spans="1:9" x14ac:dyDescent="0.25">
      <c r="A712" t="s">
        <v>125</v>
      </c>
      <c r="B712" t="s">
        <v>66</v>
      </c>
      <c r="C712" t="s">
        <v>34</v>
      </c>
      <c r="D712">
        <v>224</v>
      </c>
      <c r="E712">
        <v>0</v>
      </c>
      <c r="F712" t="s">
        <v>220</v>
      </c>
      <c r="G712">
        <v>14764</v>
      </c>
      <c r="H712">
        <v>0</v>
      </c>
    </row>
    <row r="713" spans="1:9" x14ac:dyDescent="0.25">
      <c r="A713" t="s">
        <v>127</v>
      </c>
      <c r="B713" t="s">
        <v>169</v>
      </c>
      <c r="C713" t="s">
        <v>45</v>
      </c>
      <c r="D713">
        <v>80</v>
      </c>
      <c r="E713">
        <v>0</v>
      </c>
      <c r="F713" t="s">
        <v>43</v>
      </c>
      <c r="G713">
        <v>14518</v>
      </c>
      <c r="H713">
        <v>0</v>
      </c>
    </row>
    <row r="714" spans="1:9" x14ac:dyDescent="0.25">
      <c r="A714" t="s">
        <v>125</v>
      </c>
      <c r="B714" t="s">
        <v>87</v>
      </c>
      <c r="C714" t="s">
        <v>34</v>
      </c>
      <c r="D714">
        <v>224</v>
      </c>
      <c r="E714">
        <v>0</v>
      </c>
      <c r="F714" t="s">
        <v>220</v>
      </c>
      <c r="G714">
        <v>14138</v>
      </c>
      <c r="H714">
        <v>0</v>
      </c>
    </row>
    <row r="715" spans="1:9" x14ac:dyDescent="0.25">
      <c r="A715" t="s">
        <v>125</v>
      </c>
      <c r="B715" t="s">
        <v>76</v>
      </c>
      <c r="C715" t="s">
        <v>34</v>
      </c>
      <c r="D715">
        <v>400</v>
      </c>
      <c r="E715">
        <v>0</v>
      </c>
      <c r="F715" t="s">
        <v>220</v>
      </c>
      <c r="G715">
        <v>13153</v>
      </c>
      <c r="H715">
        <v>0</v>
      </c>
    </row>
    <row r="716" spans="1:9" x14ac:dyDescent="0.25">
      <c r="A716" t="s">
        <v>132</v>
      </c>
      <c r="B716" t="s">
        <v>169</v>
      </c>
      <c r="C716" t="s">
        <v>45</v>
      </c>
      <c r="D716">
        <v>50</v>
      </c>
      <c r="E716">
        <v>0</v>
      </c>
      <c r="F716" t="s">
        <v>43</v>
      </c>
      <c r="G716">
        <v>13129</v>
      </c>
      <c r="H716">
        <v>0</v>
      </c>
    </row>
    <row r="717" spans="1:9" x14ac:dyDescent="0.25">
      <c r="A717" t="s">
        <v>132</v>
      </c>
      <c r="B717" t="s">
        <v>206</v>
      </c>
      <c r="C717" t="s">
        <v>50</v>
      </c>
      <c r="D717">
        <v>50</v>
      </c>
      <c r="E717">
        <v>0</v>
      </c>
      <c r="F717" t="s">
        <v>220</v>
      </c>
      <c r="G717">
        <v>12695</v>
      </c>
      <c r="H717">
        <v>0</v>
      </c>
    </row>
    <row r="718" spans="1:9" x14ac:dyDescent="0.25">
      <c r="A718" t="s">
        <v>125</v>
      </c>
      <c r="B718" t="s">
        <v>201</v>
      </c>
      <c r="C718" t="s">
        <v>53</v>
      </c>
      <c r="D718">
        <v>250</v>
      </c>
      <c r="E718">
        <v>0</v>
      </c>
      <c r="F718" t="s">
        <v>220</v>
      </c>
      <c r="G718">
        <v>12527</v>
      </c>
      <c r="H718">
        <v>0</v>
      </c>
    </row>
    <row r="719" spans="1:9" x14ac:dyDescent="0.25">
      <c r="A719" t="s">
        <v>132</v>
      </c>
      <c r="B719" t="s">
        <v>184</v>
      </c>
      <c r="C719" t="s">
        <v>50</v>
      </c>
      <c r="D719">
        <v>140</v>
      </c>
      <c r="E719">
        <v>0</v>
      </c>
      <c r="F719" t="s">
        <v>220</v>
      </c>
      <c r="G719">
        <v>12475</v>
      </c>
      <c r="H719">
        <v>0</v>
      </c>
    </row>
    <row r="720" spans="1:9" x14ac:dyDescent="0.25">
      <c r="A720" t="s">
        <v>125</v>
      </c>
      <c r="B720" t="s">
        <v>82</v>
      </c>
      <c r="C720" t="s">
        <v>34</v>
      </c>
      <c r="D720">
        <v>224</v>
      </c>
      <c r="E720">
        <v>0</v>
      </c>
      <c r="F720" t="s">
        <v>220</v>
      </c>
      <c r="G720">
        <v>12371</v>
      </c>
      <c r="H720">
        <v>0</v>
      </c>
    </row>
    <row r="721" spans="1:9" x14ac:dyDescent="0.25">
      <c r="A721" t="s">
        <v>125</v>
      </c>
      <c r="B721" t="s">
        <v>73</v>
      </c>
      <c r="C721" t="s">
        <v>34</v>
      </c>
      <c r="D721">
        <v>148</v>
      </c>
      <c r="E721">
        <v>0</v>
      </c>
      <c r="F721" t="s">
        <v>220</v>
      </c>
      <c r="G721">
        <v>12235</v>
      </c>
      <c r="H721">
        <v>0</v>
      </c>
    </row>
    <row r="722" spans="1:9" x14ac:dyDescent="0.25">
      <c r="A722" t="s">
        <v>125</v>
      </c>
      <c r="B722" t="s">
        <v>201</v>
      </c>
      <c r="C722" t="s">
        <v>53</v>
      </c>
      <c r="D722">
        <v>20</v>
      </c>
      <c r="E722">
        <v>0</v>
      </c>
      <c r="F722" t="s">
        <v>220</v>
      </c>
      <c r="G722">
        <v>11957</v>
      </c>
      <c r="H722">
        <v>0</v>
      </c>
    </row>
    <row r="723" spans="1:9" x14ac:dyDescent="0.25">
      <c r="A723" t="s">
        <v>132</v>
      </c>
      <c r="B723" t="s">
        <v>194</v>
      </c>
      <c r="C723" t="s">
        <v>58</v>
      </c>
      <c r="D723">
        <v>50</v>
      </c>
      <c r="E723">
        <v>0</v>
      </c>
      <c r="F723" t="s">
        <v>220</v>
      </c>
      <c r="G723">
        <v>11948</v>
      </c>
      <c r="H723">
        <v>0</v>
      </c>
    </row>
    <row r="724" spans="1:9" x14ac:dyDescent="0.25">
      <c r="A724" t="s">
        <v>132</v>
      </c>
      <c r="B724" t="s">
        <v>178</v>
      </c>
      <c r="C724" t="s">
        <v>58</v>
      </c>
      <c r="D724">
        <v>50</v>
      </c>
      <c r="E724">
        <v>0</v>
      </c>
      <c r="F724" t="s">
        <v>220</v>
      </c>
      <c r="G724">
        <v>11948</v>
      </c>
      <c r="H724">
        <v>0</v>
      </c>
    </row>
    <row r="725" spans="1:9" x14ac:dyDescent="0.25">
      <c r="A725" t="s">
        <v>126</v>
      </c>
      <c r="B725" t="s">
        <v>203</v>
      </c>
      <c r="C725" t="s">
        <v>58</v>
      </c>
      <c r="D725">
        <v>30</v>
      </c>
      <c r="E725">
        <v>0</v>
      </c>
      <c r="F725" t="s">
        <v>43</v>
      </c>
      <c r="G725">
        <v>11767</v>
      </c>
      <c r="H725">
        <v>0</v>
      </c>
    </row>
    <row r="726" spans="1:9" x14ac:dyDescent="0.25">
      <c r="A726" t="s">
        <v>125</v>
      </c>
      <c r="B726" t="s">
        <v>180</v>
      </c>
      <c r="C726" t="s">
        <v>45</v>
      </c>
      <c r="D726">
        <v>12</v>
      </c>
      <c r="E726">
        <v>0</v>
      </c>
      <c r="F726" t="s">
        <v>43</v>
      </c>
      <c r="G726">
        <v>11495</v>
      </c>
      <c r="H726">
        <v>0</v>
      </c>
    </row>
    <row r="727" spans="1:9" x14ac:dyDescent="0.25">
      <c r="A727" t="s">
        <v>132</v>
      </c>
      <c r="B727" t="s">
        <v>44</v>
      </c>
      <c r="C727" t="s">
        <v>34</v>
      </c>
      <c r="D727">
        <v>4</v>
      </c>
      <c r="E727">
        <v>0</v>
      </c>
      <c r="F727" t="s">
        <v>220</v>
      </c>
      <c r="G727">
        <v>11211</v>
      </c>
      <c r="H727">
        <v>0</v>
      </c>
    </row>
    <row r="728" spans="1:9" x14ac:dyDescent="0.25">
      <c r="A728" t="s">
        <v>125</v>
      </c>
      <c r="B728" t="s">
        <v>193</v>
      </c>
      <c r="C728" t="s">
        <v>45</v>
      </c>
      <c r="D728">
        <v>250</v>
      </c>
      <c r="E728">
        <v>0</v>
      </c>
      <c r="F728" t="s">
        <v>220</v>
      </c>
      <c r="G728">
        <v>10826</v>
      </c>
      <c r="H728">
        <v>0</v>
      </c>
    </row>
    <row r="729" spans="1:9" x14ac:dyDescent="0.25">
      <c r="A729" t="s">
        <v>125</v>
      </c>
      <c r="B729" t="s">
        <v>200</v>
      </c>
      <c r="C729" t="s">
        <v>58</v>
      </c>
      <c r="D729">
        <v>230</v>
      </c>
      <c r="E729">
        <v>0</v>
      </c>
      <c r="F729" t="s">
        <v>220</v>
      </c>
      <c r="G729">
        <v>10307</v>
      </c>
      <c r="H729">
        <v>0</v>
      </c>
    </row>
    <row r="730" spans="1:9" x14ac:dyDescent="0.25">
      <c r="A730" t="s">
        <v>125</v>
      </c>
      <c r="B730" t="s">
        <v>209</v>
      </c>
      <c r="C730" t="s">
        <v>45</v>
      </c>
      <c r="D730">
        <v>250</v>
      </c>
      <c r="E730">
        <v>0</v>
      </c>
      <c r="F730" t="s">
        <v>220</v>
      </c>
      <c r="G730">
        <v>9986</v>
      </c>
      <c r="H730">
        <v>0</v>
      </c>
    </row>
    <row r="731" spans="1:9" x14ac:dyDescent="0.25">
      <c r="A731" t="s">
        <v>125</v>
      </c>
      <c r="B731" t="s">
        <v>192</v>
      </c>
      <c r="C731" t="s">
        <v>45</v>
      </c>
      <c r="D731">
        <v>200</v>
      </c>
      <c r="E731">
        <v>0</v>
      </c>
      <c r="F731" t="s">
        <v>220</v>
      </c>
      <c r="G731">
        <v>9978</v>
      </c>
      <c r="H731">
        <v>0</v>
      </c>
    </row>
    <row r="732" spans="1:9" x14ac:dyDescent="0.25">
      <c r="A732" t="s">
        <v>132</v>
      </c>
      <c r="B732" t="s">
        <v>200</v>
      </c>
      <c r="C732" t="s">
        <v>58</v>
      </c>
      <c r="D732">
        <v>8</v>
      </c>
      <c r="E732">
        <v>0</v>
      </c>
      <c r="F732" t="s">
        <v>43</v>
      </c>
      <c r="G732">
        <v>9558</v>
      </c>
      <c r="H732">
        <v>0</v>
      </c>
    </row>
    <row r="733" spans="1:9" x14ac:dyDescent="0.25">
      <c r="A733" t="s">
        <v>126</v>
      </c>
      <c r="B733" t="s">
        <v>203</v>
      </c>
      <c r="C733" t="s">
        <v>58</v>
      </c>
      <c r="D733">
        <v>500</v>
      </c>
      <c r="E733">
        <v>0</v>
      </c>
      <c r="F733" t="s">
        <v>220</v>
      </c>
      <c r="G733">
        <v>9311</v>
      </c>
      <c r="H733">
        <v>0</v>
      </c>
    </row>
    <row r="734" spans="1:9" x14ac:dyDescent="0.25">
      <c r="A734" t="s">
        <v>125</v>
      </c>
      <c r="B734" t="s">
        <v>206</v>
      </c>
      <c r="C734" t="s">
        <v>50</v>
      </c>
      <c r="D734">
        <v>6</v>
      </c>
      <c r="E734">
        <v>0</v>
      </c>
      <c r="F734" t="s">
        <v>220</v>
      </c>
      <c r="G734">
        <v>8892</v>
      </c>
      <c r="H734">
        <v>0</v>
      </c>
    </row>
    <row r="735" spans="1:9" x14ac:dyDescent="0.25">
      <c r="A735" t="s">
        <v>125</v>
      </c>
      <c r="B735" t="s">
        <v>209</v>
      </c>
      <c r="C735" t="s">
        <v>45</v>
      </c>
      <c r="D735">
        <v>15</v>
      </c>
      <c r="E735">
        <v>0</v>
      </c>
      <c r="F735" t="s">
        <v>43</v>
      </c>
      <c r="G735">
        <v>8825</v>
      </c>
      <c r="H735">
        <v>0</v>
      </c>
    </row>
    <row r="736" spans="1:9" x14ac:dyDescent="0.25">
      <c r="A736" t="s">
        <v>125</v>
      </c>
      <c r="B736" t="s">
        <v>172</v>
      </c>
      <c r="C736" t="s">
        <v>50</v>
      </c>
      <c r="D736">
        <v>6</v>
      </c>
      <c r="E736">
        <v>0</v>
      </c>
      <c r="F736" t="s">
        <v>220</v>
      </c>
      <c r="G736">
        <v>8729</v>
      </c>
      <c r="H736">
        <v>0</v>
      </c>
    </row>
    <row r="737" spans="1:9" x14ac:dyDescent="0.25">
      <c r="A737" t="s">
        <v>125</v>
      </c>
      <c r="B737" t="s">
        <v>191</v>
      </c>
      <c r="C737" t="s">
        <v>45</v>
      </c>
      <c r="D737">
        <v>150</v>
      </c>
      <c r="E737">
        <v>0</v>
      </c>
      <c r="F737" t="s">
        <v>220</v>
      </c>
      <c r="G737">
        <v>8317</v>
      </c>
      <c r="H737">
        <v>0</v>
      </c>
    </row>
    <row r="738" spans="1:9" x14ac:dyDescent="0.25">
      <c r="A738" t="s">
        <v>125</v>
      </c>
      <c r="B738" t="s">
        <v>177</v>
      </c>
      <c r="C738" t="s">
        <v>48</v>
      </c>
      <c r="D738">
        <v>6</v>
      </c>
      <c r="E738">
        <v>0</v>
      </c>
      <c r="F738" t="s">
        <v>220</v>
      </c>
      <c r="G738">
        <v>8288</v>
      </c>
      <c r="H738">
        <v>0</v>
      </c>
    </row>
    <row r="739" spans="1:9" x14ac:dyDescent="0.25">
      <c r="A739" t="s">
        <v>125</v>
      </c>
      <c r="B739" t="s">
        <v>178</v>
      </c>
      <c r="C739" t="s">
        <v>58</v>
      </c>
      <c r="D739">
        <v>6</v>
      </c>
      <c r="E739">
        <v>0</v>
      </c>
      <c r="F739" t="s">
        <v>220</v>
      </c>
      <c r="G739">
        <v>8279</v>
      </c>
      <c r="H739">
        <v>0</v>
      </c>
    </row>
    <row r="740" spans="1:9" x14ac:dyDescent="0.25">
      <c r="A740" t="s">
        <v>132</v>
      </c>
      <c r="B740" t="s">
        <v>198</v>
      </c>
      <c r="C740" t="s">
        <v>45</v>
      </c>
      <c r="D740">
        <v>40</v>
      </c>
      <c r="E740">
        <v>0</v>
      </c>
      <c r="F740" t="s">
        <v>220</v>
      </c>
      <c r="G740">
        <v>8264</v>
      </c>
      <c r="H740">
        <v>0</v>
      </c>
    </row>
    <row r="741" spans="1:9" x14ac:dyDescent="0.25">
      <c r="A741" t="s">
        <v>125</v>
      </c>
      <c r="B741" t="s">
        <v>204</v>
      </c>
      <c r="C741" t="s">
        <v>50</v>
      </c>
      <c r="D741">
        <v>150</v>
      </c>
      <c r="E741">
        <v>0</v>
      </c>
      <c r="F741" t="s">
        <v>220</v>
      </c>
      <c r="G741">
        <v>8152</v>
      </c>
      <c r="H741">
        <v>0</v>
      </c>
    </row>
    <row r="742" spans="1:9" x14ac:dyDescent="0.25">
      <c r="A742" t="s">
        <v>125</v>
      </c>
      <c r="B742" t="s">
        <v>90</v>
      </c>
      <c r="C742" t="s">
        <v>34</v>
      </c>
      <c r="D742">
        <v>6</v>
      </c>
      <c r="E742">
        <v>0</v>
      </c>
      <c r="F742" t="s">
        <v>220</v>
      </c>
      <c r="G742">
        <v>8120</v>
      </c>
      <c r="H742">
        <v>0</v>
      </c>
    </row>
    <row r="743" spans="1:9" x14ac:dyDescent="0.25">
      <c r="A743" t="s">
        <v>125</v>
      </c>
      <c r="B743" t="s">
        <v>72</v>
      </c>
      <c r="C743" t="s">
        <v>34</v>
      </c>
      <c r="D743">
        <v>30</v>
      </c>
      <c r="E743">
        <v>0</v>
      </c>
      <c r="F743" t="s">
        <v>43</v>
      </c>
      <c r="G743">
        <v>7793</v>
      </c>
      <c r="H743">
        <v>0</v>
      </c>
    </row>
    <row r="744" spans="1:9" x14ac:dyDescent="0.25">
      <c r="A744" t="s">
        <v>125</v>
      </c>
      <c r="B744" t="s">
        <v>183</v>
      </c>
      <c r="C744" t="s">
        <v>45</v>
      </c>
      <c r="D744">
        <v>200</v>
      </c>
      <c r="E744">
        <v>0</v>
      </c>
      <c r="F744" t="s">
        <v>220</v>
      </c>
      <c r="G744">
        <v>7598</v>
      </c>
      <c r="H744">
        <v>0</v>
      </c>
    </row>
    <row r="745" spans="1:9" x14ac:dyDescent="0.25">
      <c r="A745" t="s">
        <v>132</v>
      </c>
      <c r="B745" t="s">
        <v>83</v>
      </c>
      <c r="C745" t="s">
        <v>34</v>
      </c>
      <c r="D745">
        <v>30</v>
      </c>
      <c r="E745">
        <v>0</v>
      </c>
      <c r="F745" t="s">
        <v>220</v>
      </c>
      <c r="G745">
        <v>7546</v>
      </c>
      <c r="H745">
        <v>0</v>
      </c>
    </row>
    <row r="746" spans="1:9" x14ac:dyDescent="0.25">
      <c r="A746" t="s">
        <v>132</v>
      </c>
      <c r="B746" t="s">
        <v>183</v>
      </c>
      <c r="C746" t="s">
        <v>45</v>
      </c>
      <c r="D746">
        <v>30</v>
      </c>
      <c r="E746">
        <v>0</v>
      </c>
      <c r="F746" t="s">
        <v>220</v>
      </c>
      <c r="G746">
        <v>7324</v>
      </c>
      <c r="H746">
        <v>0</v>
      </c>
    </row>
    <row r="747" spans="1:9" x14ac:dyDescent="0.25">
      <c r="A747" t="s">
        <v>125</v>
      </c>
      <c r="B747" t="s">
        <v>182</v>
      </c>
      <c r="C747" t="s">
        <v>53</v>
      </c>
      <c r="D747">
        <v>100</v>
      </c>
      <c r="E747">
        <v>0</v>
      </c>
      <c r="F747" t="s">
        <v>220</v>
      </c>
      <c r="G747">
        <v>7302</v>
      </c>
      <c r="H747">
        <v>0</v>
      </c>
    </row>
    <row r="748" spans="1:9" x14ac:dyDescent="0.25">
      <c r="A748" t="s">
        <v>125</v>
      </c>
      <c r="B748" t="s">
        <v>207</v>
      </c>
      <c r="C748" t="s">
        <v>45</v>
      </c>
      <c r="D748">
        <v>200</v>
      </c>
      <c r="E748">
        <v>0</v>
      </c>
      <c r="F748" t="s">
        <v>43</v>
      </c>
      <c r="G748">
        <v>7264</v>
      </c>
      <c r="H748">
        <v>0</v>
      </c>
    </row>
    <row r="749" spans="1:9" x14ac:dyDescent="0.25">
      <c r="A749" t="s">
        <v>127</v>
      </c>
      <c r="B749" t="s">
        <v>196</v>
      </c>
      <c r="C749" t="s">
        <v>53</v>
      </c>
      <c r="D749">
        <v>150</v>
      </c>
      <c r="E749">
        <v>0</v>
      </c>
      <c r="F749" t="s">
        <v>220</v>
      </c>
      <c r="G749">
        <v>6917</v>
      </c>
      <c r="H749">
        <v>0</v>
      </c>
    </row>
    <row r="750" spans="1:9" x14ac:dyDescent="0.25">
      <c r="A750" t="s">
        <v>125</v>
      </c>
      <c r="B750" t="s">
        <v>86</v>
      </c>
      <c r="C750" t="s">
        <v>34</v>
      </c>
      <c r="D750">
        <v>200</v>
      </c>
      <c r="E750">
        <v>0</v>
      </c>
      <c r="F750" t="s">
        <v>220</v>
      </c>
      <c r="G750">
        <v>6728</v>
      </c>
      <c r="H750">
        <v>0</v>
      </c>
    </row>
    <row r="751" spans="1:9" x14ac:dyDescent="0.25">
      <c r="A751" t="s">
        <v>125</v>
      </c>
      <c r="B751" t="s">
        <v>174</v>
      </c>
      <c r="C751" t="s">
        <v>45</v>
      </c>
      <c r="D751">
        <v>200</v>
      </c>
      <c r="E751">
        <v>0</v>
      </c>
      <c r="F751" t="s">
        <v>43</v>
      </c>
      <c r="G751">
        <v>6424</v>
      </c>
      <c r="H751">
        <v>0</v>
      </c>
    </row>
    <row r="752" spans="1:9" x14ac:dyDescent="0.25">
      <c r="A752" t="s">
        <v>125</v>
      </c>
      <c r="B752" t="s">
        <v>79</v>
      </c>
      <c r="C752" t="s">
        <v>34</v>
      </c>
      <c r="D752">
        <v>200</v>
      </c>
      <c r="E752">
        <v>0</v>
      </c>
      <c r="F752" t="s">
        <v>220</v>
      </c>
      <c r="G752">
        <v>6422</v>
      </c>
      <c r="H752">
        <v>0</v>
      </c>
    </row>
    <row r="753" spans="1:9" x14ac:dyDescent="0.25">
      <c r="A753" t="s">
        <v>125</v>
      </c>
      <c r="B753" t="s">
        <v>206</v>
      </c>
      <c r="C753" t="s">
        <v>50</v>
      </c>
      <c r="D753">
        <v>100</v>
      </c>
      <c r="E753">
        <v>0</v>
      </c>
      <c r="F753" t="s">
        <v>220</v>
      </c>
      <c r="G753">
        <v>6383</v>
      </c>
      <c r="H753">
        <v>0</v>
      </c>
    </row>
    <row r="754" spans="1:9" x14ac:dyDescent="0.25">
      <c r="A754" t="s">
        <v>125</v>
      </c>
      <c r="B754" t="s">
        <v>49</v>
      </c>
      <c r="C754" t="s">
        <v>34</v>
      </c>
      <c r="D754">
        <v>3</v>
      </c>
      <c r="E754">
        <v>0</v>
      </c>
      <c r="F754" t="s">
        <v>220</v>
      </c>
      <c r="G754">
        <v>6330</v>
      </c>
      <c r="H754">
        <v>0</v>
      </c>
    </row>
    <row r="755" spans="1:9" x14ac:dyDescent="0.25">
      <c r="A755" t="s">
        <v>132</v>
      </c>
      <c r="B755" t="s">
        <v>191</v>
      </c>
      <c r="C755" t="s">
        <v>45</v>
      </c>
      <c r="D755">
        <v>24</v>
      </c>
      <c r="E755">
        <v>0</v>
      </c>
      <c r="F755" t="s">
        <v>220</v>
      </c>
      <c r="G755">
        <v>6048</v>
      </c>
      <c r="H755">
        <v>0</v>
      </c>
    </row>
    <row r="756" spans="1:9" x14ac:dyDescent="0.25">
      <c r="A756" t="s">
        <v>125</v>
      </c>
      <c r="B756" t="s">
        <v>180</v>
      </c>
      <c r="C756" t="s">
        <v>45</v>
      </c>
      <c r="D756">
        <v>20</v>
      </c>
      <c r="E756">
        <v>0</v>
      </c>
      <c r="F756" t="s">
        <v>220</v>
      </c>
      <c r="G756">
        <v>5982</v>
      </c>
      <c r="H756">
        <v>0</v>
      </c>
    </row>
    <row r="757" spans="1:9" x14ac:dyDescent="0.25">
      <c r="A757" t="s">
        <v>126</v>
      </c>
      <c r="B757" t="s">
        <v>94</v>
      </c>
      <c r="C757" t="s">
        <v>34</v>
      </c>
      <c r="D757">
        <v>14</v>
      </c>
      <c r="E757">
        <v>0</v>
      </c>
      <c r="F757" t="s">
        <v>220</v>
      </c>
      <c r="G757">
        <v>5920</v>
      </c>
      <c r="H757">
        <v>0</v>
      </c>
    </row>
    <row r="758" spans="1:9" x14ac:dyDescent="0.25">
      <c r="A758" t="s">
        <v>127</v>
      </c>
      <c r="B758" t="s">
        <v>190</v>
      </c>
      <c r="C758" t="s">
        <v>45</v>
      </c>
      <c r="D758">
        <v>24</v>
      </c>
      <c r="E758">
        <v>0</v>
      </c>
      <c r="F758" t="s">
        <v>43</v>
      </c>
      <c r="G758">
        <v>5672</v>
      </c>
      <c r="H758">
        <v>0</v>
      </c>
    </row>
    <row r="759" spans="1:9" x14ac:dyDescent="0.25">
      <c r="A759" t="s">
        <v>125</v>
      </c>
      <c r="B759" t="s">
        <v>201</v>
      </c>
      <c r="C759" t="s">
        <v>53</v>
      </c>
      <c r="D759">
        <v>15</v>
      </c>
      <c r="E759">
        <v>0</v>
      </c>
      <c r="F759" t="s">
        <v>220</v>
      </c>
      <c r="G759">
        <v>5146</v>
      </c>
      <c r="H759">
        <v>0</v>
      </c>
    </row>
    <row r="760" spans="1:9" x14ac:dyDescent="0.25">
      <c r="A760" t="s">
        <v>132</v>
      </c>
      <c r="B760" t="s">
        <v>196</v>
      </c>
      <c r="C760" t="s">
        <v>53</v>
      </c>
      <c r="D760">
        <v>20</v>
      </c>
      <c r="E760">
        <v>0</v>
      </c>
      <c r="F760" t="s">
        <v>220</v>
      </c>
      <c r="G760">
        <v>4988</v>
      </c>
      <c r="H760">
        <v>0</v>
      </c>
    </row>
    <row r="761" spans="1:9" x14ac:dyDescent="0.25">
      <c r="A761" t="s">
        <v>132</v>
      </c>
      <c r="B761" t="s">
        <v>180</v>
      </c>
      <c r="C761" t="s">
        <v>45</v>
      </c>
      <c r="D761">
        <v>20</v>
      </c>
      <c r="E761">
        <v>0</v>
      </c>
      <c r="F761" t="s">
        <v>220</v>
      </c>
      <c r="G761">
        <v>4945</v>
      </c>
      <c r="H761">
        <v>0</v>
      </c>
    </row>
    <row r="762" spans="1:9" x14ac:dyDescent="0.25">
      <c r="A762" t="s">
        <v>125</v>
      </c>
      <c r="B762" t="s">
        <v>165</v>
      </c>
      <c r="C762" t="s">
        <v>48</v>
      </c>
      <c r="D762">
        <v>100</v>
      </c>
      <c r="E762">
        <v>0</v>
      </c>
      <c r="F762" t="s">
        <v>220</v>
      </c>
      <c r="G762">
        <v>4694</v>
      </c>
      <c r="H762">
        <v>0</v>
      </c>
    </row>
    <row r="763" spans="1:9" x14ac:dyDescent="0.25">
      <c r="A763" t="s">
        <v>127</v>
      </c>
      <c r="B763" t="s">
        <v>79</v>
      </c>
      <c r="C763" t="s">
        <v>34</v>
      </c>
      <c r="D763">
        <v>8</v>
      </c>
      <c r="E763">
        <v>0</v>
      </c>
      <c r="F763" t="s">
        <v>43</v>
      </c>
      <c r="G763">
        <v>4384</v>
      </c>
      <c r="H763">
        <v>0</v>
      </c>
    </row>
    <row r="764" spans="1:9" x14ac:dyDescent="0.25">
      <c r="A764" t="s">
        <v>127</v>
      </c>
      <c r="B764" t="s">
        <v>165</v>
      </c>
      <c r="C764" t="s">
        <v>48</v>
      </c>
      <c r="D764">
        <v>25</v>
      </c>
      <c r="E764">
        <v>0</v>
      </c>
      <c r="F764" t="s">
        <v>43</v>
      </c>
      <c r="G764">
        <v>4336</v>
      </c>
      <c r="H764">
        <v>0</v>
      </c>
    </row>
    <row r="765" spans="1:9" x14ac:dyDescent="0.25">
      <c r="A765" t="s">
        <v>125</v>
      </c>
      <c r="B765" t="s">
        <v>91</v>
      </c>
      <c r="C765" t="s">
        <v>34</v>
      </c>
      <c r="D765">
        <v>5</v>
      </c>
      <c r="E765">
        <v>0</v>
      </c>
      <c r="F765" t="s">
        <v>43</v>
      </c>
      <c r="G765">
        <v>4220</v>
      </c>
      <c r="H765">
        <v>0</v>
      </c>
    </row>
    <row r="766" spans="1:9" x14ac:dyDescent="0.25">
      <c r="A766" t="s">
        <v>126</v>
      </c>
      <c r="B766" t="s">
        <v>206</v>
      </c>
      <c r="C766" t="s">
        <v>50</v>
      </c>
      <c r="D766">
        <v>30</v>
      </c>
      <c r="E766">
        <v>0</v>
      </c>
      <c r="F766" t="s">
        <v>220</v>
      </c>
      <c r="G766">
        <v>4079</v>
      </c>
      <c r="H766">
        <v>0</v>
      </c>
    </row>
    <row r="767" spans="1:9" x14ac:dyDescent="0.25">
      <c r="A767" t="s">
        <v>127</v>
      </c>
      <c r="B767" t="s">
        <v>193</v>
      </c>
      <c r="C767" t="s">
        <v>45</v>
      </c>
      <c r="D767">
        <v>18</v>
      </c>
      <c r="E767">
        <v>0</v>
      </c>
      <c r="F767" t="s">
        <v>43</v>
      </c>
      <c r="G767">
        <v>3335</v>
      </c>
      <c r="H767">
        <v>0</v>
      </c>
    </row>
    <row r="768" spans="1:9" x14ac:dyDescent="0.25">
      <c r="A768" t="s">
        <v>125</v>
      </c>
      <c r="B768" t="s">
        <v>162</v>
      </c>
      <c r="C768" t="s">
        <v>58</v>
      </c>
      <c r="D768">
        <v>8</v>
      </c>
      <c r="E768">
        <v>0</v>
      </c>
      <c r="F768" t="s">
        <v>43</v>
      </c>
      <c r="G768">
        <v>2935</v>
      </c>
      <c r="H768">
        <v>0</v>
      </c>
    </row>
    <row r="769" spans="1:9" x14ac:dyDescent="0.25">
      <c r="A769" t="s">
        <v>143</v>
      </c>
      <c r="B769" t="s">
        <v>165</v>
      </c>
      <c r="C769" t="s">
        <v>48</v>
      </c>
      <c r="D769">
        <v>80</v>
      </c>
      <c r="E769">
        <v>0</v>
      </c>
      <c r="F769" t="s">
        <v>220</v>
      </c>
      <c r="G769">
        <v>2808</v>
      </c>
      <c r="H769">
        <v>0</v>
      </c>
    </row>
    <row r="770" spans="1:9" x14ac:dyDescent="0.25">
      <c r="A770" t="s">
        <v>127</v>
      </c>
      <c r="B770" t="s">
        <v>77</v>
      </c>
      <c r="C770" t="s">
        <v>34</v>
      </c>
      <c r="D770">
        <v>5</v>
      </c>
      <c r="E770">
        <v>0</v>
      </c>
      <c r="F770" t="s">
        <v>43</v>
      </c>
      <c r="G770">
        <v>2800</v>
      </c>
      <c r="H770">
        <v>0</v>
      </c>
    </row>
    <row r="771" spans="1:9" x14ac:dyDescent="0.25">
      <c r="A771" t="s">
        <v>125</v>
      </c>
      <c r="B771" t="s">
        <v>192</v>
      </c>
      <c r="C771" t="s">
        <v>45</v>
      </c>
      <c r="D771">
        <v>4</v>
      </c>
      <c r="E771">
        <v>0</v>
      </c>
      <c r="F771" t="s">
        <v>43</v>
      </c>
      <c r="G771">
        <v>2751</v>
      </c>
      <c r="H771">
        <v>0</v>
      </c>
    </row>
    <row r="772" spans="1:9" x14ac:dyDescent="0.25">
      <c r="A772" t="s">
        <v>127</v>
      </c>
      <c r="B772" t="s">
        <v>54</v>
      </c>
      <c r="C772" t="s">
        <v>34</v>
      </c>
      <c r="D772">
        <v>14</v>
      </c>
      <c r="E772">
        <v>0</v>
      </c>
      <c r="F772" t="s">
        <v>43</v>
      </c>
      <c r="G772">
        <v>2592</v>
      </c>
      <c r="H772">
        <v>0</v>
      </c>
    </row>
    <row r="773" spans="1:9" x14ac:dyDescent="0.25">
      <c r="A773" t="s">
        <v>127</v>
      </c>
      <c r="B773" t="s">
        <v>60</v>
      </c>
      <c r="C773" t="s">
        <v>34</v>
      </c>
      <c r="D773">
        <v>14</v>
      </c>
      <c r="E773">
        <v>0</v>
      </c>
      <c r="F773" t="s">
        <v>43</v>
      </c>
      <c r="G773">
        <v>2591</v>
      </c>
      <c r="H773">
        <v>0</v>
      </c>
    </row>
    <row r="774" spans="1:9" x14ac:dyDescent="0.25">
      <c r="A774" t="s">
        <v>132</v>
      </c>
      <c r="B774" t="s">
        <v>80</v>
      </c>
      <c r="C774" t="s">
        <v>34</v>
      </c>
      <c r="D774">
        <v>10</v>
      </c>
      <c r="E774">
        <v>0</v>
      </c>
      <c r="F774" t="s">
        <v>43</v>
      </c>
      <c r="G774">
        <v>2549</v>
      </c>
      <c r="H774">
        <v>0</v>
      </c>
    </row>
    <row r="775" spans="1:9" x14ac:dyDescent="0.25">
      <c r="A775" t="s">
        <v>127</v>
      </c>
      <c r="B775" t="s">
        <v>162</v>
      </c>
      <c r="C775" t="s">
        <v>58</v>
      </c>
      <c r="D775">
        <v>500</v>
      </c>
      <c r="E775">
        <v>0</v>
      </c>
      <c r="F775" t="s">
        <v>221</v>
      </c>
      <c r="G775">
        <v>2426</v>
      </c>
      <c r="H775">
        <v>0</v>
      </c>
    </row>
    <row r="776" spans="1:9" x14ac:dyDescent="0.25">
      <c r="A776" t="s">
        <v>127</v>
      </c>
      <c r="B776" t="s">
        <v>67</v>
      </c>
      <c r="C776" t="s">
        <v>34</v>
      </c>
      <c r="D776">
        <v>12</v>
      </c>
      <c r="E776">
        <v>0</v>
      </c>
      <c r="F776" t="s">
        <v>43</v>
      </c>
      <c r="G776">
        <v>2220</v>
      </c>
      <c r="H776">
        <v>0</v>
      </c>
    </row>
    <row r="777" spans="1:9" x14ac:dyDescent="0.25">
      <c r="A777" t="s">
        <v>127</v>
      </c>
      <c r="B777" t="s">
        <v>64</v>
      </c>
      <c r="C777" t="s">
        <v>34</v>
      </c>
      <c r="D777">
        <v>10</v>
      </c>
      <c r="E777">
        <v>0</v>
      </c>
      <c r="F777" t="s">
        <v>43</v>
      </c>
      <c r="G777">
        <v>1814</v>
      </c>
      <c r="H777">
        <v>0</v>
      </c>
    </row>
    <row r="778" spans="1:9" x14ac:dyDescent="0.25">
      <c r="A778" t="s">
        <v>132</v>
      </c>
      <c r="B778" t="s">
        <v>201</v>
      </c>
      <c r="C778" t="s">
        <v>53</v>
      </c>
      <c r="D778">
        <v>5</v>
      </c>
      <c r="E778">
        <v>0</v>
      </c>
      <c r="F778" t="s">
        <v>220</v>
      </c>
      <c r="G778">
        <v>1249</v>
      </c>
      <c r="H778">
        <v>0</v>
      </c>
    </row>
    <row r="779" spans="1:9" x14ac:dyDescent="0.25">
      <c r="A779" t="s">
        <v>125</v>
      </c>
      <c r="B779" t="s">
        <v>211</v>
      </c>
      <c r="C779" t="s">
        <v>65</v>
      </c>
      <c r="D779">
        <v>12</v>
      </c>
      <c r="E779">
        <v>0</v>
      </c>
      <c r="F779" t="s">
        <v>43</v>
      </c>
      <c r="G779">
        <v>1115</v>
      </c>
      <c r="H779">
        <v>0</v>
      </c>
    </row>
    <row r="780" spans="1:9" x14ac:dyDescent="0.25">
      <c r="A780" t="s">
        <v>127</v>
      </c>
      <c r="B780" t="s">
        <v>72</v>
      </c>
      <c r="C780" t="s">
        <v>34</v>
      </c>
      <c r="D780">
        <v>5</v>
      </c>
      <c r="E780">
        <v>0</v>
      </c>
      <c r="F780" t="s">
        <v>43</v>
      </c>
      <c r="G780">
        <v>908</v>
      </c>
      <c r="H780">
        <v>0</v>
      </c>
    </row>
    <row r="781" spans="1:9" x14ac:dyDescent="0.25">
      <c r="A781" t="s">
        <v>127</v>
      </c>
      <c r="B781" t="s">
        <v>77</v>
      </c>
      <c r="C781" t="s">
        <v>34</v>
      </c>
      <c r="D781">
        <v>3</v>
      </c>
      <c r="E781">
        <v>0</v>
      </c>
      <c r="F781" t="s">
        <v>43</v>
      </c>
      <c r="G781">
        <v>556</v>
      </c>
      <c r="H781">
        <v>0</v>
      </c>
    </row>
    <row r="782" spans="1:9" x14ac:dyDescent="0.25">
      <c r="A782" t="s">
        <v>127</v>
      </c>
      <c r="B782" t="s">
        <v>85</v>
      </c>
      <c r="C782" t="s">
        <v>34</v>
      </c>
      <c r="D782">
        <v>1</v>
      </c>
      <c r="E782">
        <v>0</v>
      </c>
      <c r="F782" t="s">
        <v>43</v>
      </c>
      <c r="G782">
        <v>181</v>
      </c>
      <c r="H782">
        <v>0</v>
      </c>
    </row>
    <row r="783" spans="1:9" x14ac:dyDescent="0.25">
      <c r="A783" t="s">
        <v>150</v>
      </c>
      <c r="B783" t="s">
        <v>169</v>
      </c>
      <c r="C783" t="s">
        <v>45</v>
      </c>
      <c r="D783">
        <v>0</v>
      </c>
      <c r="E783">
        <v>3850</v>
      </c>
      <c r="F783" t="s">
        <v>220</v>
      </c>
      <c r="G783">
        <v>0</v>
      </c>
      <c r="H783">
        <v>190993</v>
      </c>
    </row>
    <row r="784" spans="1:9" x14ac:dyDescent="0.25">
      <c r="A784" t="s">
        <v>150</v>
      </c>
      <c r="B784" t="s">
        <v>175</v>
      </c>
      <c r="C784" t="s">
        <v>48</v>
      </c>
      <c r="D784">
        <v>0</v>
      </c>
      <c r="E784">
        <v>1700</v>
      </c>
      <c r="F784" t="s">
        <v>43</v>
      </c>
      <c r="G784">
        <v>0</v>
      </c>
      <c r="H784">
        <v>25964</v>
      </c>
    </row>
    <row r="785" spans="1:9" x14ac:dyDescent="0.25">
      <c r="A785" t="s">
        <v>150</v>
      </c>
      <c r="B785" t="s">
        <v>170</v>
      </c>
      <c r="C785" t="s">
        <v>61</v>
      </c>
      <c r="D785">
        <v>0</v>
      </c>
      <c r="E785">
        <v>136</v>
      </c>
      <c r="F785" t="s">
        <v>43</v>
      </c>
      <c r="G785">
        <v>0</v>
      </c>
      <c r="H785">
        <v>13393</v>
      </c>
    </row>
    <row r="786" spans="1:9" x14ac:dyDescent="0.25">
      <c r="A786" t="s">
        <v>150</v>
      </c>
      <c r="B786" t="s">
        <v>177</v>
      </c>
      <c r="C786" t="s">
        <v>48</v>
      </c>
      <c r="D786">
        <v>0</v>
      </c>
      <c r="E786">
        <v>2136</v>
      </c>
      <c r="F786" t="s">
        <v>220</v>
      </c>
      <c r="G786">
        <v>0</v>
      </c>
      <c r="H786">
        <v>116446</v>
      </c>
    </row>
    <row r="787" spans="1:9" x14ac:dyDescent="0.25">
      <c r="A787" t="s">
        <v>150</v>
      </c>
      <c r="B787" t="s">
        <v>163</v>
      </c>
      <c r="C787" t="s">
        <v>45</v>
      </c>
      <c r="D787">
        <v>0</v>
      </c>
      <c r="E787">
        <v>7037</v>
      </c>
      <c r="F787" t="s">
        <v>220</v>
      </c>
      <c r="G787">
        <v>0</v>
      </c>
      <c r="H787">
        <v>374021</v>
      </c>
    </row>
    <row r="788" spans="1:9" x14ac:dyDescent="0.25">
      <c r="A788" t="s">
        <v>150</v>
      </c>
      <c r="B788" t="s">
        <v>165</v>
      </c>
      <c r="C788" t="s">
        <v>48</v>
      </c>
      <c r="D788">
        <v>0</v>
      </c>
      <c r="E788">
        <v>3135</v>
      </c>
      <c r="F788" t="s">
        <v>220</v>
      </c>
      <c r="G788">
        <v>0</v>
      </c>
      <c r="H788">
        <v>129915</v>
      </c>
    </row>
    <row r="789" spans="1:9" x14ac:dyDescent="0.25">
      <c r="A789" t="s">
        <v>150</v>
      </c>
      <c r="B789" t="s">
        <v>73</v>
      </c>
      <c r="C789" t="s">
        <v>34</v>
      </c>
      <c r="D789">
        <v>0</v>
      </c>
      <c r="E789">
        <v>5750</v>
      </c>
      <c r="F789" t="s">
        <v>220</v>
      </c>
      <c r="G789">
        <v>0</v>
      </c>
      <c r="H789">
        <v>153944</v>
      </c>
    </row>
    <row r="790" spans="1:9" x14ac:dyDescent="0.25">
      <c r="A790" t="s">
        <v>150</v>
      </c>
      <c r="B790" t="s">
        <v>57</v>
      </c>
      <c r="C790" t="s">
        <v>34</v>
      </c>
      <c r="D790">
        <v>0</v>
      </c>
      <c r="E790">
        <v>16545</v>
      </c>
      <c r="F790" t="s">
        <v>220</v>
      </c>
      <c r="G790">
        <v>0</v>
      </c>
      <c r="H790">
        <v>663679</v>
      </c>
    </row>
    <row r="791" spans="1:9" x14ac:dyDescent="0.25">
      <c r="A791" t="s">
        <v>150</v>
      </c>
      <c r="B791" t="s">
        <v>194</v>
      </c>
      <c r="C791" t="s">
        <v>58</v>
      </c>
      <c r="D791">
        <v>0</v>
      </c>
      <c r="E791">
        <v>1505</v>
      </c>
      <c r="F791" t="s">
        <v>220</v>
      </c>
      <c r="G791">
        <v>0</v>
      </c>
      <c r="H791">
        <v>33412</v>
      </c>
    </row>
    <row r="792" spans="1:9" x14ac:dyDescent="0.25">
      <c r="A792" t="s">
        <v>150</v>
      </c>
      <c r="B792" t="s">
        <v>161</v>
      </c>
      <c r="C792" t="s">
        <v>45</v>
      </c>
      <c r="D792">
        <v>0</v>
      </c>
      <c r="E792">
        <v>200</v>
      </c>
      <c r="F792" t="s">
        <v>43</v>
      </c>
      <c r="G792">
        <v>0</v>
      </c>
      <c r="H792">
        <v>3423</v>
      </c>
    </row>
    <row r="793" spans="1:9" x14ac:dyDescent="0.25">
      <c r="A793" t="s">
        <v>150</v>
      </c>
      <c r="B793" t="s">
        <v>171</v>
      </c>
      <c r="C793" t="s">
        <v>48</v>
      </c>
      <c r="D793">
        <v>0</v>
      </c>
      <c r="E793">
        <v>1850</v>
      </c>
      <c r="F793" t="s">
        <v>220</v>
      </c>
      <c r="G793">
        <v>0</v>
      </c>
      <c r="H793">
        <v>76437</v>
      </c>
    </row>
    <row r="794" spans="1:9" x14ac:dyDescent="0.25">
      <c r="A794" t="s">
        <v>150</v>
      </c>
      <c r="B794" t="s">
        <v>182</v>
      </c>
      <c r="C794" t="s">
        <v>53</v>
      </c>
      <c r="D794">
        <v>0</v>
      </c>
      <c r="E794">
        <v>8880</v>
      </c>
      <c r="F794" t="s">
        <v>220</v>
      </c>
      <c r="G794">
        <v>0</v>
      </c>
      <c r="H794">
        <v>1286994</v>
      </c>
    </row>
    <row r="795" spans="1:9" x14ac:dyDescent="0.25">
      <c r="A795" t="s">
        <v>150</v>
      </c>
      <c r="B795" t="s">
        <v>168</v>
      </c>
      <c r="C795" t="s">
        <v>53</v>
      </c>
      <c r="D795">
        <v>0</v>
      </c>
      <c r="E795">
        <v>13246</v>
      </c>
      <c r="F795" t="s">
        <v>220</v>
      </c>
      <c r="G795">
        <v>0</v>
      </c>
      <c r="H795">
        <v>1641024</v>
      </c>
    </row>
    <row r="796" spans="1:9" x14ac:dyDescent="0.25">
      <c r="A796" t="s">
        <v>150</v>
      </c>
      <c r="B796" t="s">
        <v>67</v>
      </c>
      <c r="C796" t="s">
        <v>34</v>
      </c>
      <c r="D796">
        <v>0</v>
      </c>
      <c r="E796">
        <v>1034</v>
      </c>
      <c r="F796" t="s">
        <v>220</v>
      </c>
      <c r="G796">
        <v>0</v>
      </c>
      <c r="H796">
        <v>95265</v>
      </c>
    </row>
    <row r="797" spans="1:9" x14ac:dyDescent="0.25">
      <c r="A797" t="s">
        <v>150</v>
      </c>
      <c r="B797" t="s">
        <v>193</v>
      </c>
      <c r="C797" t="s">
        <v>45</v>
      </c>
      <c r="D797">
        <v>0</v>
      </c>
      <c r="E797">
        <v>319</v>
      </c>
      <c r="F797" t="s">
        <v>220</v>
      </c>
      <c r="G797">
        <v>0</v>
      </c>
      <c r="H797">
        <v>31139</v>
      </c>
    </row>
    <row r="798" spans="1:9" x14ac:dyDescent="0.25">
      <c r="A798" t="s">
        <v>150</v>
      </c>
      <c r="B798" t="s">
        <v>167</v>
      </c>
      <c r="C798" t="s">
        <v>50</v>
      </c>
      <c r="D798">
        <v>0</v>
      </c>
      <c r="E798">
        <v>5903</v>
      </c>
      <c r="F798" t="s">
        <v>220</v>
      </c>
      <c r="G798">
        <v>0</v>
      </c>
      <c r="H798">
        <v>452621</v>
      </c>
    </row>
    <row r="799" spans="1:9" x14ac:dyDescent="0.25">
      <c r="A799" t="s">
        <v>150</v>
      </c>
      <c r="B799" t="s">
        <v>176</v>
      </c>
      <c r="C799" t="s">
        <v>53</v>
      </c>
      <c r="D799">
        <v>0</v>
      </c>
      <c r="E799">
        <v>2130</v>
      </c>
      <c r="F799" t="s">
        <v>220</v>
      </c>
      <c r="G799">
        <v>0</v>
      </c>
      <c r="H799">
        <v>67505</v>
      </c>
    </row>
    <row r="800" spans="1:9" x14ac:dyDescent="0.25">
      <c r="A800" t="s">
        <v>150</v>
      </c>
      <c r="B800" t="s">
        <v>186</v>
      </c>
      <c r="C800" t="s">
        <v>53</v>
      </c>
      <c r="D800">
        <v>0</v>
      </c>
      <c r="E800">
        <v>1671</v>
      </c>
      <c r="F800" t="s">
        <v>220</v>
      </c>
      <c r="G800">
        <v>0</v>
      </c>
      <c r="H800">
        <v>59018</v>
      </c>
    </row>
    <row r="801" spans="1:9" x14ac:dyDescent="0.25">
      <c r="A801" t="s">
        <v>150</v>
      </c>
      <c r="B801" t="s">
        <v>49</v>
      </c>
      <c r="C801" t="s">
        <v>34</v>
      </c>
      <c r="D801">
        <v>0</v>
      </c>
      <c r="E801">
        <v>5899</v>
      </c>
      <c r="F801" t="s">
        <v>220</v>
      </c>
      <c r="G801">
        <v>0</v>
      </c>
      <c r="H801">
        <v>194432</v>
      </c>
    </row>
    <row r="802" spans="1:9" x14ac:dyDescent="0.25">
      <c r="A802" t="s">
        <v>150</v>
      </c>
      <c r="B802" t="s">
        <v>89</v>
      </c>
      <c r="C802" t="s">
        <v>34</v>
      </c>
      <c r="D802">
        <v>0</v>
      </c>
      <c r="E802">
        <v>100</v>
      </c>
      <c r="F802" t="s">
        <v>43</v>
      </c>
      <c r="G802">
        <v>0</v>
      </c>
      <c r="H802">
        <v>48522</v>
      </c>
    </row>
    <row r="803" spans="1:9" x14ac:dyDescent="0.25">
      <c r="A803" t="s">
        <v>150</v>
      </c>
      <c r="B803" t="s">
        <v>165</v>
      </c>
      <c r="C803" t="s">
        <v>48</v>
      </c>
      <c r="D803">
        <v>0</v>
      </c>
      <c r="E803">
        <v>20</v>
      </c>
      <c r="F803" t="s">
        <v>43</v>
      </c>
      <c r="G803">
        <v>0</v>
      </c>
      <c r="H803">
        <v>2446</v>
      </c>
    </row>
    <row r="804" spans="1:9" x14ac:dyDescent="0.25">
      <c r="A804" t="s">
        <v>150</v>
      </c>
      <c r="B804" t="s">
        <v>201</v>
      </c>
      <c r="C804" t="s">
        <v>53</v>
      </c>
      <c r="D804">
        <v>0</v>
      </c>
      <c r="E804">
        <v>270</v>
      </c>
      <c r="F804" t="s">
        <v>220</v>
      </c>
      <c r="G804">
        <v>0</v>
      </c>
      <c r="H804">
        <v>186291</v>
      </c>
    </row>
    <row r="805" spans="1:9" x14ac:dyDescent="0.25">
      <c r="A805" t="s">
        <v>150</v>
      </c>
      <c r="B805" t="s">
        <v>169</v>
      </c>
      <c r="C805" t="s">
        <v>45</v>
      </c>
      <c r="D805">
        <v>0</v>
      </c>
      <c r="E805">
        <v>5910</v>
      </c>
      <c r="F805" t="s">
        <v>220</v>
      </c>
      <c r="G805">
        <v>0</v>
      </c>
      <c r="H805">
        <v>2464276</v>
      </c>
    </row>
    <row r="806" spans="1:9" x14ac:dyDescent="0.25">
      <c r="A806" t="s">
        <v>150</v>
      </c>
      <c r="B806" t="s">
        <v>69</v>
      </c>
      <c r="C806" t="s">
        <v>34</v>
      </c>
      <c r="D806">
        <v>0</v>
      </c>
      <c r="E806">
        <v>1235</v>
      </c>
      <c r="F806" t="s">
        <v>220</v>
      </c>
      <c r="G806">
        <v>0</v>
      </c>
      <c r="H806">
        <v>416765</v>
      </c>
    </row>
    <row r="807" spans="1:9" x14ac:dyDescent="0.25">
      <c r="A807" t="s">
        <v>150</v>
      </c>
      <c r="B807" t="s">
        <v>62</v>
      </c>
      <c r="C807" t="s">
        <v>34</v>
      </c>
      <c r="D807">
        <v>0</v>
      </c>
      <c r="E807">
        <v>22860</v>
      </c>
      <c r="F807" t="s">
        <v>220</v>
      </c>
      <c r="G807">
        <v>0</v>
      </c>
      <c r="H807">
        <v>11864540</v>
      </c>
    </row>
    <row r="808" spans="1:9" x14ac:dyDescent="0.25">
      <c r="A808" t="s">
        <v>150</v>
      </c>
      <c r="B808" t="s">
        <v>44</v>
      </c>
      <c r="C808" t="s">
        <v>34</v>
      </c>
      <c r="D808">
        <v>0</v>
      </c>
      <c r="E808">
        <v>207</v>
      </c>
      <c r="F808" t="s">
        <v>220</v>
      </c>
      <c r="G808">
        <v>0</v>
      </c>
      <c r="H808">
        <v>68141</v>
      </c>
    </row>
    <row r="809" spans="1:9" x14ac:dyDescent="0.25">
      <c r="A809" t="s">
        <v>150</v>
      </c>
      <c r="B809" t="s">
        <v>175</v>
      </c>
      <c r="C809" t="s">
        <v>48</v>
      </c>
      <c r="D809">
        <v>0</v>
      </c>
      <c r="E809">
        <v>3377</v>
      </c>
      <c r="F809" t="s">
        <v>220</v>
      </c>
      <c r="G809">
        <v>0</v>
      </c>
      <c r="H809">
        <v>1947354</v>
      </c>
    </row>
    <row r="810" spans="1:9" x14ac:dyDescent="0.25">
      <c r="A810" t="s">
        <v>150</v>
      </c>
      <c r="B810" t="s">
        <v>170</v>
      </c>
      <c r="C810" t="s">
        <v>61</v>
      </c>
      <c r="D810">
        <v>0</v>
      </c>
      <c r="E810">
        <v>1589</v>
      </c>
      <c r="F810" t="s">
        <v>220</v>
      </c>
      <c r="G810">
        <v>0</v>
      </c>
      <c r="H810">
        <v>1054144</v>
      </c>
    </row>
    <row r="811" spans="1:9" x14ac:dyDescent="0.25">
      <c r="A811" t="s">
        <v>150</v>
      </c>
      <c r="B811" t="s">
        <v>212</v>
      </c>
      <c r="C811" t="s">
        <v>50</v>
      </c>
      <c r="D811">
        <v>0</v>
      </c>
      <c r="E811">
        <v>432</v>
      </c>
      <c r="F811" t="s">
        <v>220</v>
      </c>
      <c r="G811">
        <v>0</v>
      </c>
      <c r="H811">
        <v>160532</v>
      </c>
    </row>
    <row r="812" spans="1:9" x14ac:dyDescent="0.25">
      <c r="A812" t="s">
        <v>150</v>
      </c>
      <c r="B812" t="s">
        <v>177</v>
      </c>
      <c r="C812" t="s">
        <v>48</v>
      </c>
      <c r="D812">
        <v>0</v>
      </c>
      <c r="E812">
        <v>3530</v>
      </c>
      <c r="F812" t="s">
        <v>220</v>
      </c>
      <c r="G812">
        <v>0</v>
      </c>
      <c r="H812">
        <v>1829688</v>
      </c>
    </row>
    <row r="813" spans="1:9" x14ac:dyDescent="0.25">
      <c r="A813" t="s">
        <v>150</v>
      </c>
      <c r="B813" t="s">
        <v>88</v>
      </c>
      <c r="C813" t="s">
        <v>34</v>
      </c>
      <c r="D813">
        <v>0</v>
      </c>
      <c r="E813">
        <v>64</v>
      </c>
      <c r="F813" t="s">
        <v>220</v>
      </c>
      <c r="G813">
        <v>0</v>
      </c>
      <c r="H813">
        <v>21961</v>
      </c>
    </row>
    <row r="814" spans="1:9" x14ac:dyDescent="0.25">
      <c r="A814" t="s">
        <v>150</v>
      </c>
      <c r="B814" t="s">
        <v>196</v>
      </c>
      <c r="C814" t="s">
        <v>53</v>
      </c>
      <c r="D814">
        <v>0</v>
      </c>
      <c r="E814">
        <v>242</v>
      </c>
      <c r="F814" t="s">
        <v>43</v>
      </c>
      <c r="G814">
        <v>0</v>
      </c>
      <c r="H814">
        <v>104365</v>
      </c>
    </row>
    <row r="815" spans="1:9" x14ac:dyDescent="0.25">
      <c r="A815" t="s">
        <v>150</v>
      </c>
      <c r="B815" t="s">
        <v>165</v>
      </c>
      <c r="C815" t="s">
        <v>48</v>
      </c>
      <c r="D815">
        <v>0</v>
      </c>
      <c r="E815">
        <v>11820</v>
      </c>
      <c r="F815" t="s">
        <v>220</v>
      </c>
      <c r="G815">
        <v>0</v>
      </c>
      <c r="H815">
        <v>8703198</v>
      </c>
    </row>
    <row r="816" spans="1:9" x14ac:dyDescent="0.25">
      <c r="A816" t="s">
        <v>150</v>
      </c>
      <c r="B816" t="s">
        <v>73</v>
      </c>
      <c r="C816" t="s">
        <v>34</v>
      </c>
      <c r="D816">
        <v>0</v>
      </c>
      <c r="E816">
        <v>2244</v>
      </c>
      <c r="F816" t="s">
        <v>220</v>
      </c>
      <c r="G816">
        <v>0</v>
      </c>
      <c r="H816">
        <v>1088463</v>
      </c>
    </row>
    <row r="817" spans="1:9" x14ac:dyDescent="0.25">
      <c r="A817" t="s">
        <v>150</v>
      </c>
      <c r="B817" t="s">
        <v>203</v>
      </c>
      <c r="C817" t="s">
        <v>58</v>
      </c>
      <c r="D817">
        <v>0</v>
      </c>
      <c r="E817">
        <v>123</v>
      </c>
      <c r="F817" t="s">
        <v>220</v>
      </c>
      <c r="G817">
        <v>0</v>
      </c>
      <c r="H817">
        <v>115567</v>
      </c>
    </row>
    <row r="818" spans="1:9" x14ac:dyDescent="0.25">
      <c r="A818" t="s">
        <v>150</v>
      </c>
      <c r="B818" t="s">
        <v>164</v>
      </c>
      <c r="C818" t="s">
        <v>55</v>
      </c>
      <c r="D818">
        <v>0</v>
      </c>
      <c r="E818">
        <v>30328</v>
      </c>
      <c r="F818" t="s">
        <v>220</v>
      </c>
      <c r="G818">
        <v>0</v>
      </c>
      <c r="H818">
        <v>13528772</v>
      </c>
    </row>
    <row r="819" spans="1:9" x14ac:dyDescent="0.25">
      <c r="A819" t="s">
        <v>150</v>
      </c>
      <c r="B819" t="s">
        <v>208</v>
      </c>
      <c r="C819" t="s">
        <v>45</v>
      </c>
      <c r="D819">
        <v>0</v>
      </c>
      <c r="E819">
        <v>1272</v>
      </c>
      <c r="F819" t="s">
        <v>220</v>
      </c>
      <c r="G819">
        <v>0</v>
      </c>
      <c r="H819">
        <v>524452</v>
      </c>
    </row>
    <row r="820" spans="1:9" x14ac:dyDescent="0.25">
      <c r="A820" t="s">
        <v>150</v>
      </c>
      <c r="B820" t="s">
        <v>185</v>
      </c>
      <c r="C820" t="s">
        <v>45</v>
      </c>
      <c r="D820">
        <v>0</v>
      </c>
      <c r="E820">
        <v>2806</v>
      </c>
      <c r="F820" t="s">
        <v>220</v>
      </c>
      <c r="G820">
        <v>0</v>
      </c>
      <c r="H820">
        <v>1570509</v>
      </c>
    </row>
    <row r="821" spans="1:9" x14ac:dyDescent="0.25">
      <c r="A821" t="s">
        <v>150</v>
      </c>
      <c r="B821" t="s">
        <v>197</v>
      </c>
      <c r="C821" t="s">
        <v>45</v>
      </c>
      <c r="D821">
        <v>0</v>
      </c>
      <c r="E821">
        <v>325</v>
      </c>
      <c r="F821" t="s">
        <v>220</v>
      </c>
      <c r="G821">
        <v>0</v>
      </c>
      <c r="H821">
        <v>269325</v>
      </c>
    </row>
    <row r="822" spans="1:9" x14ac:dyDescent="0.25">
      <c r="A822" t="s">
        <v>150</v>
      </c>
      <c r="B822" t="s">
        <v>179</v>
      </c>
      <c r="C822" t="s">
        <v>45</v>
      </c>
      <c r="D822">
        <v>0</v>
      </c>
      <c r="E822">
        <v>1932</v>
      </c>
      <c r="F822" t="s">
        <v>220</v>
      </c>
      <c r="G822">
        <v>0</v>
      </c>
      <c r="H822">
        <v>1038056</v>
      </c>
    </row>
    <row r="823" spans="1:9" x14ac:dyDescent="0.25">
      <c r="A823" t="s">
        <v>150</v>
      </c>
      <c r="B823" t="s">
        <v>173</v>
      </c>
      <c r="C823" t="s">
        <v>61</v>
      </c>
      <c r="D823">
        <v>0</v>
      </c>
      <c r="E823">
        <v>3349</v>
      </c>
      <c r="F823" t="s">
        <v>220</v>
      </c>
      <c r="G823">
        <v>0</v>
      </c>
      <c r="H823">
        <v>1410178</v>
      </c>
    </row>
    <row r="824" spans="1:9" x14ac:dyDescent="0.25">
      <c r="A824" t="s">
        <v>150</v>
      </c>
      <c r="B824" t="s">
        <v>94</v>
      </c>
      <c r="C824" t="s">
        <v>34</v>
      </c>
      <c r="D824">
        <v>0</v>
      </c>
      <c r="E824">
        <v>430</v>
      </c>
      <c r="F824" t="s">
        <v>220</v>
      </c>
      <c r="G824">
        <v>0</v>
      </c>
      <c r="H824">
        <v>111726</v>
      </c>
    </row>
    <row r="825" spans="1:9" x14ac:dyDescent="0.25">
      <c r="A825" t="s">
        <v>150</v>
      </c>
      <c r="B825" t="s">
        <v>77</v>
      </c>
      <c r="C825" t="s">
        <v>34</v>
      </c>
      <c r="D825">
        <v>0</v>
      </c>
      <c r="E825">
        <v>1861</v>
      </c>
      <c r="F825" t="s">
        <v>220</v>
      </c>
      <c r="G825">
        <v>0</v>
      </c>
      <c r="H825">
        <v>1228790</v>
      </c>
    </row>
    <row r="826" spans="1:9" x14ac:dyDescent="0.25">
      <c r="A826" t="s">
        <v>150</v>
      </c>
      <c r="B826" t="s">
        <v>174</v>
      </c>
      <c r="C826" t="s">
        <v>45</v>
      </c>
      <c r="D826">
        <v>0</v>
      </c>
      <c r="E826">
        <v>2105</v>
      </c>
      <c r="F826" t="s">
        <v>220</v>
      </c>
      <c r="G826">
        <v>0</v>
      </c>
      <c r="H826">
        <v>1159009</v>
      </c>
    </row>
    <row r="827" spans="1:9" x14ac:dyDescent="0.25">
      <c r="A827" t="s">
        <v>150</v>
      </c>
      <c r="B827" t="s">
        <v>190</v>
      </c>
      <c r="C827" t="s">
        <v>45</v>
      </c>
      <c r="D827">
        <v>0</v>
      </c>
      <c r="E827">
        <v>471</v>
      </c>
      <c r="F827" t="s">
        <v>220</v>
      </c>
      <c r="G827">
        <v>0</v>
      </c>
      <c r="H827">
        <v>316843</v>
      </c>
    </row>
    <row r="828" spans="1:9" x14ac:dyDescent="0.25">
      <c r="A828" t="s">
        <v>150</v>
      </c>
      <c r="B828" t="s">
        <v>180</v>
      </c>
      <c r="C828" t="s">
        <v>45</v>
      </c>
      <c r="D828">
        <v>0</v>
      </c>
      <c r="E828">
        <v>3945</v>
      </c>
      <c r="F828" t="s">
        <v>220</v>
      </c>
      <c r="G828">
        <v>0</v>
      </c>
      <c r="H828">
        <v>2405852</v>
      </c>
    </row>
    <row r="829" spans="1:9" x14ac:dyDescent="0.25">
      <c r="A829" t="s">
        <v>150</v>
      </c>
      <c r="B829" t="s">
        <v>47</v>
      </c>
      <c r="C829" t="s">
        <v>34</v>
      </c>
      <c r="D829">
        <v>0</v>
      </c>
      <c r="E829">
        <v>24089</v>
      </c>
      <c r="F829" t="s">
        <v>220</v>
      </c>
      <c r="G829">
        <v>0</v>
      </c>
      <c r="H829">
        <v>11420601</v>
      </c>
    </row>
    <row r="830" spans="1:9" x14ac:dyDescent="0.25">
      <c r="A830" t="s">
        <v>150</v>
      </c>
      <c r="B830" t="s">
        <v>184</v>
      </c>
      <c r="C830" t="s">
        <v>50</v>
      </c>
      <c r="D830">
        <v>0</v>
      </c>
      <c r="E830">
        <v>3440</v>
      </c>
      <c r="F830" t="s">
        <v>220</v>
      </c>
      <c r="G830">
        <v>0</v>
      </c>
      <c r="H830">
        <v>1440369</v>
      </c>
    </row>
    <row r="831" spans="1:9" x14ac:dyDescent="0.25">
      <c r="A831" t="s">
        <v>150</v>
      </c>
      <c r="B831" t="s">
        <v>194</v>
      </c>
      <c r="C831" t="s">
        <v>58</v>
      </c>
      <c r="D831">
        <v>0</v>
      </c>
      <c r="E831">
        <v>909</v>
      </c>
      <c r="F831" t="s">
        <v>220</v>
      </c>
      <c r="G831">
        <v>0</v>
      </c>
      <c r="H831">
        <v>438941</v>
      </c>
    </row>
    <row r="832" spans="1:9" x14ac:dyDescent="0.25">
      <c r="A832" t="s">
        <v>150</v>
      </c>
      <c r="B832" t="s">
        <v>161</v>
      </c>
      <c r="C832" t="s">
        <v>45</v>
      </c>
      <c r="D832">
        <v>0</v>
      </c>
      <c r="E832">
        <v>15230</v>
      </c>
      <c r="F832" t="s">
        <v>220</v>
      </c>
      <c r="G832">
        <v>0</v>
      </c>
      <c r="H832">
        <v>7328283</v>
      </c>
    </row>
    <row r="833" spans="1:9" x14ac:dyDescent="0.25">
      <c r="A833" t="s">
        <v>150</v>
      </c>
      <c r="B833" t="s">
        <v>187</v>
      </c>
      <c r="C833" t="s">
        <v>45</v>
      </c>
      <c r="D833">
        <v>0</v>
      </c>
      <c r="E833">
        <v>3002</v>
      </c>
      <c r="F833" t="s">
        <v>220</v>
      </c>
      <c r="G833">
        <v>0</v>
      </c>
      <c r="H833">
        <v>1692805</v>
      </c>
    </row>
    <row r="834" spans="1:9" x14ac:dyDescent="0.25">
      <c r="A834" t="s">
        <v>150</v>
      </c>
      <c r="B834" t="s">
        <v>171</v>
      </c>
      <c r="C834" t="s">
        <v>48</v>
      </c>
      <c r="D834">
        <v>0</v>
      </c>
      <c r="E834">
        <v>8502</v>
      </c>
      <c r="F834" t="s">
        <v>220</v>
      </c>
      <c r="G834">
        <v>0</v>
      </c>
      <c r="H834">
        <v>4798950</v>
      </c>
    </row>
    <row r="835" spans="1:9" x14ac:dyDescent="0.25">
      <c r="A835" t="s">
        <v>150</v>
      </c>
      <c r="B835" t="s">
        <v>183</v>
      </c>
      <c r="C835" t="s">
        <v>45</v>
      </c>
      <c r="D835">
        <v>0</v>
      </c>
      <c r="E835">
        <v>2985</v>
      </c>
      <c r="F835" t="s">
        <v>220</v>
      </c>
      <c r="G835">
        <v>0</v>
      </c>
      <c r="H835">
        <v>1194023</v>
      </c>
    </row>
    <row r="836" spans="1:9" x14ac:dyDescent="0.25">
      <c r="A836" t="s">
        <v>150</v>
      </c>
      <c r="B836" t="s">
        <v>91</v>
      </c>
      <c r="C836" t="s">
        <v>34</v>
      </c>
      <c r="D836">
        <v>0</v>
      </c>
      <c r="E836">
        <v>17</v>
      </c>
      <c r="F836" t="s">
        <v>220</v>
      </c>
      <c r="G836">
        <v>0</v>
      </c>
      <c r="H836">
        <v>9663</v>
      </c>
    </row>
    <row r="837" spans="1:9" x14ac:dyDescent="0.25">
      <c r="A837" t="s">
        <v>150</v>
      </c>
      <c r="B837" t="s">
        <v>182</v>
      </c>
      <c r="C837" t="s">
        <v>53</v>
      </c>
      <c r="D837">
        <v>0</v>
      </c>
      <c r="E837">
        <v>4214</v>
      </c>
      <c r="F837" t="s">
        <v>220</v>
      </c>
      <c r="G837">
        <v>0</v>
      </c>
      <c r="H837">
        <v>1563743</v>
      </c>
    </row>
    <row r="838" spans="1:9" x14ac:dyDescent="0.25">
      <c r="A838" t="s">
        <v>150</v>
      </c>
      <c r="B838" t="s">
        <v>166</v>
      </c>
      <c r="C838" t="s">
        <v>50</v>
      </c>
      <c r="D838">
        <v>0</v>
      </c>
      <c r="E838">
        <v>16297</v>
      </c>
      <c r="F838" t="s">
        <v>220</v>
      </c>
      <c r="G838">
        <v>0</v>
      </c>
      <c r="H838">
        <v>5271690</v>
      </c>
    </row>
    <row r="839" spans="1:9" x14ac:dyDescent="0.25">
      <c r="A839" t="s">
        <v>150</v>
      </c>
      <c r="B839" t="s">
        <v>168</v>
      </c>
      <c r="C839" t="s">
        <v>53</v>
      </c>
      <c r="D839">
        <v>0</v>
      </c>
      <c r="E839">
        <v>18247</v>
      </c>
      <c r="F839" t="s">
        <v>220</v>
      </c>
      <c r="G839">
        <v>0</v>
      </c>
      <c r="H839">
        <v>6381564</v>
      </c>
    </row>
    <row r="840" spans="1:9" x14ac:dyDescent="0.25">
      <c r="A840" t="s">
        <v>150</v>
      </c>
      <c r="B840" t="s">
        <v>67</v>
      </c>
      <c r="C840" t="s">
        <v>34</v>
      </c>
      <c r="D840">
        <v>0</v>
      </c>
      <c r="E840">
        <v>857</v>
      </c>
      <c r="F840" t="s">
        <v>220</v>
      </c>
      <c r="G840">
        <v>0</v>
      </c>
      <c r="H840">
        <v>521139</v>
      </c>
    </row>
    <row r="841" spans="1:9" x14ac:dyDescent="0.25">
      <c r="A841" t="s">
        <v>150</v>
      </c>
      <c r="B841" t="s">
        <v>89</v>
      </c>
      <c r="C841" t="s">
        <v>34</v>
      </c>
      <c r="D841">
        <v>0</v>
      </c>
      <c r="E841">
        <v>451</v>
      </c>
      <c r="F841" t="s">
        <v>43</v>
      </c>
      <c r="G841">
        <v>0</v>
      </c>
      <c r="H841">
        <v>199091</v>
      </c>
    </row>
    <row r="842" spans="1:9" x14ac:dyDescent="0.25">
      <c r="A842" t="s">
        <v>150</v>
      </c>
      <c r="B842" t="s">
        <v>181</v>
      </c>
      <c r="C842" t="s">
        <v>50</v>
      </c>
      <c r="D842">
        <v>0</v>
      </c>
      <c r="E842">
        <v>3116</v>
      </c>
      <c r="F842" t="s">
        <v>220</v>
      </c>
      <c r="G842">
        <v>0</v>
      </c>
      <c r="H842">
        <v>1004254</v>
      </c>
    </row>
    <row r="843" spans="1:9" x14ac:dyDescent="0.25">
      <c r="A843" t="s">
        <v>150</v>
      </c>
      <c r="B843" t="s">
        <v>74</v>
      </c>
      <c r="C843" t="s">
        <v>34</v>
      </c>
      <c r="D843">
        <v>0</v>
      </c>
      <c r="E843">
        <v>880</v>
      </c>
      <c r="F843" t="s">
        <v>220</v>
      </c>
      <c r="G843">
        <v>0</v>
      </c>
      <c r="H843">
        <v>437353</v>
      </c>
    </row>
    <row r="844" spans="1:9" x14ac:dyDescent="0.25">
      <c r="A844" t="s">
        <v>150</v>
      </c>
      <c r="B844" t="s">
        <v>167</v>
      </c>
      <c r="C844" t="s">
        <v>50</v>
      </c>
      <c r="D844">
        <v>0</v>
      </c>
      <c r="E844">
        <v>13240</v>
      </c>
      <c r="F844" t="s">
        <v>220</v>
      </c>
      <c r="G844">
        <v>0</v>
      </c>
      <c r="H844">
        <v>6608814</v>
      </c>
    </row>
    <row r="845" spans="1:9" x14ac:dyDescent="0.25">
      <c r="A845" t="s">
        <v>150</v>
      </c>
      <c r="B845" t="s">
        <v>176</v>
      </c>
      <c r="C845" t="s">
        <v>53</v>
      </c>
      <c r="D845">
        <v>0</v>
      </c>
      <c r="E845">
        <v>2885</v>
      </c>
      <c r="F845" t="s">
        <v>220</v>
      </c>
      <c r="G845">
        <v>0</v>
      </c>
      <c r="H845">
        <v>1341226</v>
      </c>
    </row>
    <row r="846" spans="1:9" x14ac:dyDescent="0.25">
      <c r="A846" t="s">
        <v>150</v>
      </c>
      <c r="B846" t="s">
        <v>210</v>
      </c>
      <c r="C846" t="s">
        <v>150</v>
      </c>
      <c r="D846">
        <v>0</v>
      </c>
      <c r="E846">
        <v>99</v>
      </c>
      <c r="F846" t="s">
        <v>43</v>
      </c>
      <c r="G846">
        <v>0</v>
      </c>
      <c r="H846">
        <v>48068</v>
      </c>
    </row>
    <row r="847" spans="1:9" x14ac:dyDescent="0.25">
      <c r="A847" t="s">
        <v>150</v>
      </c>
      <c r="B847" t="s">
        <v>188</v>
      </c>
      <c r="C847" t="s">
        <v>45</v>
      </c>
      <c r="D847">
        <v>0</v>
      </c>
      <c r="E847">
        <v>3889</v>
      </c>
      <c r="F847" t="s">
        <v>220</v>
      </c>
      <c r="G847">
        <v>0</v>
      </c>
      <c r="H847">
        <v>1348559</v>
      </c>
    </row>
    <row r="848" spans="1:9" x14ac:dyDescent="0.25">
      <c r="A848" t="s">
        <v>150</v>
      </c>
      <c r="B848" t="s">
        <v>186</v>
      </c>
      <c r="C848" t="s">
        <v>53</v>
      </c>
      <c r="D848">
        <v>0</v>
      </c>
      <c r="E848">
        <v>2726</v>
      </c>
      <c r="F848" t="s">
        <v>220</v>
      </c>
      <c r="G848">
        <v>0</v>
      </c>
      <c r="H848">
        <v>798113</v>
      </c>
    </row>
    <row r="849" spans="1:9" x14ac:dyDescent="0.25">
      <c r="A849" t="s">
        <v>150</v>
      </c>
      <c r="B849" t="s">
        <v>191</v>
      </c>
      <c r="C849" t="s">
        <v>45</v>
      </c>
      <c r="D849">
        <v>0</v>
      </c>
      <c r="E849">
        <v>279</v>
      </c>
      <c r="F849" t="s">
        <v>220</v>
      </c>
      <c r="G849">
        <v>0</v>
      </c>
      <c r="H849">
        <v>126171</v>
      </c>
    </row>
    <row r="850" spans="1:9" x14ac:dyDescent="0.25">
      <c r="A850" t="s">
        <v>150</v>
      </c>
      <c r="B850" t="s">
        <v>172</v>
      </c>
      <c r="C850" t="s">
        <v>50</v>
      </c>
      <c r="D850">
        <v>0</v>
      </c>
      <c r="E850">
        <v>7321</v>
      </c>
      <c r="F850" t="s">
        <v>220</v>
      </c>
      <c r="G850">
        <v>0</v>
      </c>
      <c r="H850">
        <v>3580730</v>
      </c>
    </row>
    <row r="851" spans="1:9" x14ac:dyDescent="0.25">
      <c r="A851" t="s">
        <v>150</v>
      </c>
      <c r="B851" t="s">
        <v>202</v>
      </c>
      <c r="C851" t="s">
        <v>45</v>
      </c>
      <c r="D851">
        <v>0</v>
      </c>
      <c r="E851">
        <v>2462</v>
      </c>
      <c r="F851" t="s">
        <v>220</v>
      </c>
      <c r="G851">
        <v>0</v>
      </c>
      <c r="H851">
        <v>709505</v>
      </c>
    </row>
    <row r="852" spans="1:9" x14ac:dyDescent="0.25">
      <c r="A852" t="s">
        <v>150</v>
      </c>
      <c r="B852" t="s">
        <v>49</v>
      </c>
      <c r="C852" t="s">
        <v>34</v>
      </c>
      <c r="D852">
        <v>0</v>
      </c>
      <c r="E852">
        <v>7033</v>
      </c>
      <c r="F852" t="s">
        <v>220</v>
      </c>
      <c r="G852">
        <v>0</v>
      </c>
      <c r="H852">
        <v>3777225</v>
      </c>
    </row>
    <row r="853" spans="1:9" x14ac:dyDescent="0.25">
      <c r="A853" t="s">
        <v>150</v>
      </c>
      <c r="B853" t="s">
        <v>82</v>
      </c>
      <c r="C853" t="s">
        <v>34</v>
      </c>
      <c r="D853">
        <v>0</v>
      </c>
      <c r="E853">
        <v>525</v>
      </c>
      <c r="F853" t="s">
        <v>220</v>
      </c>
      <c r="G853">
        <v>0</v>
      </c>
      <c r="H853">
        <v>272872</v>
      </c>
    </row>
    <row r="854" spans="1:9" x14ac:dyDescent="0.25">
      <c r="A854" t="s">
        <v>150</v>
      </c>
      <c r="B854" t="s">
        <v>198</v>
      </c>
      <c r="C854" t="s">
        <v>45</v>
      </c>
      <c r="D854">
        <v>0</v>
      </c>
      <c r="E854">
        <v>604</v>
      </c>
      <c r="F854" t="s">
        <v>220</v>
      </c>
      <c r="G854">
        <v>0</v>
      </c>
      <c r="H854">
        <v>452963</v>
      </c>
    </row>
    <row r="855" spans="1:9" x14ac:dyDescent="0.25">
      <c r="A855" t="s">
        <v>150</v>
      </c>
      <c r="B855" t="s">
        <v>80</v>
      </c>
      <c r="C855" t="s">
        <v>34</v>
      </c>
      <c r="D855">
        <v>0</v>
      </c>
      <c r="E855">
        <v>2907</v>
      </c>
      <c r="F855" t="s">
        <v>220</v>
      </c>
      <c r="G855">
        <v>0</v>
      </c>
      <c r="H855">
        <v>1540819</v>
      </c>
    </row>
    <row r="856" spans="1:9" x14ac:dyDescent="0.25">
      <c r="A856" t="s">
        <v>150</v>
      </c>
      <c r="B856" t="s">
        <v>71</v>
      </c>
      <c r="C856" t="s">
        <v>34</v>
      </c>
      <c r="D856">
        <v>0</v>
      </c>
      <c r="E856">
        <v>1852</v>
      </c>
      <c r="F856" t="s">
        <v>220</v>
      </c>
      <c r="G856">
        <v>0</v>
      </c>
      <c r="H856">
        <v>954509</v>
      </c>
    </row>
    <row r="857" spans="1:9" x14ac:dyDescent="0.25">
      <c r="A857" t="s">
        <v>150</v>
      </c>
      <c r="B857" t="s">
        <v>178</v>
      </c>
      <c r="C857" t="s">
        <v>58</v>
      </c>
      <c r="D857">
        <v>0</v>
      </c>
      <c r="E857">
        <v>217</v>
      </c>
      <c r="F857" t="s">
        <v>220</v>
      </c>
      <c r="G857">
        <v>0</v>
      </c>
      <c r="H857">
        <v>169972</v>
      </c>
    </row>
    <row r="858" spans="1:9" x14ac:dyDescent="0.25">
      <c r="A858" t="s">
        <v>150</v>
      </c>
      <c r="B858" t="s">
        <v>192</v>
      </c>
      <c r="C858" t="s">
        <v>45</v>
      </c>
      <c r="D858">
        <v>0</v>
      </c>
      <c r="E858">
        <v>1071</v>
      </c>
      <c r="F858" t="s">
        <v>220</v>
      </c>
      <c r="G858">
        <v>0</v>
      </c>
      <c r="H858">
        <v>489092</v>
      </c>
    </row>
    <row r="859" spans="1:9" x14ac:dyDescent="0.25">
      <c r="A859" t="s">
        <v>150</v>
      </c>
      <c r="B859" t="s">
        <v>193</v>
      </c>
      <c r="C859" t="s">
        <v>45</v>
      </c>
      <c r="D859">
        <v>0</v>
      </c>
      <c r="E859">
        <v>30</v>
      </c>
      <c r="F859" t="s">
        <v>43</v>
      </c>
      <c r="G859">
        <v>0</v>
      </c>
      <c r="H859">
        <v>8941</v>
      </c>
    </row>
    <row r="860" spans="1:9" x14ac:dyDescent="0.25">
      <c r="A860" t="s">
        <v>150</v>
      </c>
      <c r="B860" t="s">
        <v>169</v>
      </c>
      <c r="C860" t="s">
        <v>45</v>
      </c>
      <c r="D860">
        <v>0</v>
      </c>
      <c r="E860">
        <v>63362</v>
      </c>
      <c r="F860" t="s">
        <v>220</v>
      </c>
      <c r="G860">
        <v>0</v>
      </c>
      <c r="H860">
        <v>3488289</v>
      </c>
    </row>
    <row r="861" spans="1:9" x14ac:dyDescent="0.25">
      <c r="A861" t="s">
        <v>150</v>
      </c>
      <c r="B861" t="s">
        <v>44</v>
      </c>
      <c r="C861" t="s">
        <v>34</v>
      </c>
      <c r="D861">
        <v>0</v>
      </c>
      <c r="E861">
        <v>45</v>
      </c>
      <c r="F861" t="s">
        <v>43</v>
      </c>
      <c r="G861">
        <v>0</v>
      </c>
      <c r="H861">
        <v>9608</v>
      </c>
    </row>
    <row r="862" spans="1:9" x14ac:dyDescent="0.25">
      <c r="A862" t="s">
        <v>150</v>
      </c>
      <c r="B862" t="s">
        <v>175</v>
      </c>
      <c r="C862" t="s">
        <v>48</v>
      </c>
      <c r="D862">
        <v>0</v>
      </c>
      <c r="E862">
        <v>8380</v>
      </c>
      <c r="F862" t="s">
        <v>220</v>
      </c>
      <c r="G862">
        <v>0</v>
      </c>
      <c r="H862">
        <v>727548</v>
      </c>
    </row>
    <row r="863" spans="1:9" x14ac:dyDescent="0.25">
      <c r="A863" t="s">
        <v>150</v>
      </c>
      <c r="B863" t="s">
        <v>170</v>
      </c>
      <c r="C863" t="s">
        <v>61</v>
      </c>
      <c r="D863">
        <v>0</v>
      </c>
      <c r="E863">
        <v>41975</v>
      </c>
      <c r="F863" t="s">
        <v>220</v>
      </c>
      <c r="G863">
        <v>0</v>
      </c>
      <c r="H863">
        <v>1933893</v>
      </c>
    </row>
    <row r="864" spans="1:9" x14ac:dyDescent="0.25">
      <c r="A864" t="s">
        <v>150</v>
      </c>
      <c r="B864" t="s">
        <v>177</v>
      </c>
      <c r="C864" t="s">
        <v>48</v>
      </c>
      <c r="D864">
        <v>0</v>
      </c>
      <c r="E864">
        <v>9182</v>
      </c>
      <c r="F864" t="s">
        <v>220</v>
      </c>
      <c r="G864">
        <v>0</v>
      </c>
      <c r="H864">
        <v>386621</v>
      </c>
    </row>
    <row r="865" spans="1:9" x14ac:dyDescent="0.25">
      <c r="A865" t="s">
        <v>150</v>
      </c>
      <c r="B865" t="s">
        <v>163</v>
      </c>
      <c r="C865" t="s">
        <v>45</v>
      </c>
      <c r="D865">
        <v>0</v>
      </c>
      <c r="E865">
        <v>207257</v>
      </c>
      <c r="F865" t="s">
        <v>220</v>
      </c>
      <c r="G865">
        <v>0</v>
      </c>
      <c r="H865">
        <v>10395846</v>
      </c>
    </row>
    <row r="866" spans="1:9" x14ac:dyDescent="0.25">
      <c r="A866" t="s">
        <v>150</v>
      </c>
      <c r="B866" t="s">
        <v>165</v>
      </c>
      <c r="C866" t="s">
        <v>48</v>
      </c>
      <c r="D866">
        <v>0</v>
      </c>
      <c r="E866">
        <v>103514</v>
      </c>
      <c r="F866" t="s">
        <v>220</v>
      </c>
      <c r="G866">
        <v>0</v>
      </c>
      <c r="H866">
        <v>5682216</v>
      </c>
    </row>
    <row r="867" spans="1:9" x14ac:dyDescent="0.25">
      <c r="A867" t="s">
        <v>150</v>
      </c>
      <c r="B867" t="s">
        <v>73</v>
      </c>
      <c r="C867" t="s">
        <v>34</v>
      </c>
      <c r="D867">
        <v>0</v>
      </c>
      <c r="E867">
        <v>12295</v>
      </c>
      <c r="F867" t="s">
        <v>220</v>
      </c>
      <c r="G867">
        <v>0</v>
      </c>
      <c r="H867">
        <v>383346</v>
      </c>
    </row>
    <row r="868" spans="1:9" x14ac:dyDescent="0.25">
      <c r="A868" t="s">
        <v>150</v>
      </c>
      <c r="B868" t="s">
        <v>203</v>
      </c>
      <c r="C868" t="s">
        <v>58</v>
      </c>
      <c r="D868">
        <v>0</v>
      </c>
      <c r="E868">
        <v>1390</v>
      </c>
      <c r="F868" t="s">
        <v>220</v>
      </c>
      <c r="G868">
        <v>0</v>
      </c>
      <c r="H868">
        <v>39767</v>
      </c>
    </row>
    <row r="869" spans="1:9" x14ac:dyDescent="0.25">
      <c r="A869" t="s">
        <v>150</v>
      </c>
      <c r="B869" t="s">
        <v>164</v>
      </c>
      <c r="C869" t="s">
        <v>55</v>
      </c>
      <c r="D869">
        <v>0</v>
      </c>
      <c r="E869">
        <v>144</v>
      </c>
      <c r="F869" t="s">
        <v>220</v>
      </c>
      <c r="G869">
        <v>0</v>
      </c>
      <c r="H869">
        <v>18513</v>
      </c>
    </row>
    <row r="870" spans="1:9" x14ac:dyDescent="0.25">
      <c r="A870" t="s">
        <v>150</v>
      </c>
      <c r="B870" t="s">
        <v>174</v>
      </c>
      <c r="C870" t="s">
        <v>45</v>
      </c>
      <c r="D870">
        <v>0</v>
      </c>
      <c r="E870">
        <v>3150</v>
      </c>
      <c r="F870" t="s">
        <v>220</v>
      </c>
      <c r="G870">
        <v>0</v>
      </c>
      <c r="H870">
        <v>414916</v>
      </c>
    </row>
    <row r="871" spans="1:9" x14ac:dyDescent="0.25">
      <c r="A871" t="s">
        <v>150</v>
      </c>
      <c r="B871" t="s">
        <v>57</v>
      </c>
      <c r="C871" t="s">
        <v>34</v>
      </c>
      <c r="D871">
        <v>0</v>
      </c>
      <c r="E871">
        <v>27598</v>
      </c>
      <c r="F871" t="s">
        <v>220</v>
      </c>
      <c r="G871">
        <v>0</v>
      </c>
      <c r="H871">
        <v>1353533</v>
      </c>
    </row>
    <row r="872" spans="1:9" x14ac:dyDescent="0.25">
      <c r="A872" t="s">
        <v>150</v>
      </c>
      <c r="B872" t="s">
        <v>47</v>
      </c>
      <c r="C872" t="s">
        <v>34</v>
      </c>
      <c r="D872">
        <v>0</v>
      </c>
      <c r="E872">
        <v>11080</v>
      </c>
      <c r="F872" t="s">
        <v>220</v>
      </c>
      <c r="G872">
        <v>0</v>
      </c>
      <c r="H872">
        <v>457705</v>
      </c>
    </row>
    <row r="873" spans="1:9" x14ac:dyDescent="0.25">
      <c r="A873" t="s">
        <v>150</v>
      </c>
      <c r="B873" t="s">
        <v>194</v>
      </c>
      <c r="C873" t="s">
        <v>58</v>
      </c>
      <c r="D873">
        <v>0</v>
      </c>
      <c r="E873">
        <v>250</v>
      </c>
      <c r="F873" t="s">
        <v>43</v>
      </c>
      <c r="G873">
        <v>0</v>
      </c>
      <c r="H873">
        <v>54547</v>
      </c>
    </row>
    <row r="874" spans="1:9" x14ac:dyDescent="0.25">
      <c r="A874" t="s">
        <v>150</v>
      </c>
      <c r="B874" t="s">
        <v>161</v>
      </c>
      <c r="C874" t="s">
        <v>45</v>
      </c>
      <c r="D874">
        <v>0</v>
      </c>
      <c r="E874">
        <v>12639</v>
      </c>
      <c r="F874" t="s">
        <v>220</v>
      </c>
      <c r="G874">
        <v>0</v>
      </c>
      <c r="H874">
        <v>1024474</v>
      </c>
    </row>
    <row r="875" spans="1:9" x14ac:dyDescent="0.25">
      <c r="A875" t="s">
        <v>150</v>
      </c>
      <c r="B875" t="s">
        <v>171</v>
      </c>
      <c r="C875" t="s">
        <v>48</v>
      </c>
      <c r="D875">
        <v>0</v>
      </c>
      <c r="E875">
        <v>35163</v>
      </c>
      <c r="F875" t="s">
        <v>220</v>
      </c>
      <c r="G875">
        <v>0</v>
      </c>
      <c r="H875">
        <v>1278352</v>
      </c>
    </row>
    <row r="876" spans="1:9" x14ac:dyDescent="0.25">
      <c r="A876" t="s">
        <v>150</v>
      </c>
      <c r="B876" t="s">
        <v>182</v>
      </c>
      <c r="C876" t="s">
        <v>53</v>
      </c>
      <c r="D876">
        <v>0</v>
      </c>
      <c r="E876">
        <v>66621</v>
      </c>
      <c r="F876" t="s">
        <v>220</v>
      </c>
      <c r="G876">
        <v>0</v>
      </c>
      <c r="H876">
        <v>2274116</v>
      </c>
    </row>
    <row r="877" spans="1:9" x14ac:dyDescent="0.25">
      <c r="A877" t="s">
        <v>150</v>
      </c>
      <c r="B877" t="s">
        <v>166</v>
      </c>
      <c r="C877" t="s">
        <v>50</v>
      </c>
      <c r="D877">
        <v>0</v>
      </c>
      <c r="E877">
        <v>7000</v>
      </c>
      <c r="F877" t="s">
        <v>43</v>
      </c>
      <c r="G877">
        <v>0</v>
      </c>
      <c r="H877">
        <v>27302</v>
      </c>
    </row>
    <row r="878" spans="1:9" x14ac:dyDescent="0.25">
      <c r="A878" t="s">
        <v>150</v>
      </c>
      <c r="B878" t="s">
        <v>168</v>
      </c>
      <c r="C878" t="s">
        <v>53</v>
      </c>
      <c r="D878">
        <v>0</v>
      </c>
      <c r="E878">
        <v>204346</v>
      </c>
      <c r="F878" t="s">
        <v>220</v>
      </c>
      <c r="G878">
        <v>0</v>
      </c>
      <c r="H878">
        <v>8316838</v>
      </c>
    </row>
    <row r="879" spans="1:9" x14ac:dyDescent="0.25">
      <c r="A879" t="s">
        <v>150</v>
      </c>
      <c r="B879" t="s">
        <v>193</v>
      </c>
      <c r="C879" t="s">
        <v>45</v>
      </c>
      <c r="D879">
        <v>0</v>
      </c>
      <c r="E879">
        <v>80</v>
      </c>
      <c r="F879" t="s">
        <v>220</v>
      </c>
      <c r="G879">
        <v>0</v>
      </c>
      <c r="H879">
        <v>12329</v>
      </c>
    </row>
    <row r="880" spans="1:9" x14ac:dyDescent="0.25">
      <c r="A880" t="s">
        <v>150</v>
      </c>
      <c r="B880" t="s">
        <v>181</v>
      </c>
      <c r="C880" t="s">
        <v>50</v>
      </c>
      <c r="D880">
        <v>0</v>
      </c>
      <c r="E880">
        <v>8860</v>
      </c>
      <c r="F880" t="s">
        <v>220</v>
      </c>
      <c r="G880">
        <v>0</v>
      </c>
      <c r="H880">
        <v>201990</v>
      </c>
    </row>
    <row r="881" spans="1:9" x14ac:dyDescent="0.25">
      <c r="A881" t="s">
        <v>150</v>
      </c>
      <c r="B881" t="s">
        <v>167</v>
      </c>
      <c r="C881" t="s">
        <v>50</v>
      </c>
      <c r="D881">
        <v>0</v>
      </c>
      <c r="E881">
        <v>15644</v>
      </c>
      <c r="F881" t="s">
        <v>220</v>
      </c>
      <c r="G881">
        <v>0</v>
      </c>
      <c r="H881">
        <v>723180</v>
      </c>
    </row>
    <row r="882" spans="1:9" x14ac:dyDescent="0.25">
      <c r="A882" t="s">
        <v>150</v>
      </c>
      <c r="B882" t="s">
        <v>186</v>
      </c>
      <c r="C882" t="s">
        <v>53</v>
      </c>
      <c r="D882">
        <v>0</v>
      </c>
      <c r="E882">
        <v>20748</v>
      </c>
      <c r="F882" t="s">
        <v>220</v>
      </c>
      <c r="G882">
        <v>0</v>
      </c>
      <c r="H882">
        <v>821457</v>
      </c>
    </row>
    <row r="883" spans="1:9" x14ac:dyDescent="0.25">
      <c r="A883" t="s">
        <v>150</v>
      </c>
      <c r="B883" t="s">
        <v>49</v>
      </c>
      <c r="C883" t="s">
        <v>34</v>
      </c>
      <c r="D883">
        <v>0</v>
      </c>
      <c r="E883">
        <v>38612</v>
      </c>
      <c r="F883" t="s">
        <v>220</v>
      </c>
      <c r="G883">
        <v>0</v>
      </c>
      <c r="H883">
        <v>1408047</v>
      </c>
    </row>
    <row r="884" spans="1:9" x14ac:dyDescent="0.25">
      <c r="A884" t="s">
        <v>150</v>
      </c>
      <c r="B884" t="s">
        <v>200</v>
      </c>
      <c r="C884" t="s">
        <v>58</v>
      </c>
      <c r="D884">
        <v>0</v>
      </c>
      <c r="E884">
        <v>3000</v>
      </c>
      <c r="F884" t="s">
        <v>43</v>
      </c>
      <c r="G884">
        <v>0</v>
      </c>
      <c r="H884">
        <v>11085</v>
      </c>
    </row>
    <row r="885" spans="1:9" x14ac:dyDescent="0.25">
      <c r="A885" t="s">
        <v>150</v>
      </c>
      <c r="B885" t="s">
        <v>178</v>
      </c>
      <c r="C885" t="s">
        <v>58</v>
      </c>
      <c r="D885">
        <v>0</v>
      </c>
      <c r="E885">
        <v>32</v>
      </c>
      <c r="F885" t="s">
        <v>43</v>
      </c>
      <c r="G885">
        <v>0</v>
      </c>
      <c r="H885">
        <v>12295</v>
      </c>
    </row>
    <row r="886" spans="1:9" x14ac:dyDescent="0.25">
      <c r="A886" t="s">
        <v>150</v>
      </c>
      <c r="B886" t="s">
        <v>201</v>
      </c>
      <c r="C886" t="s">
        <v>53</v>
      </c>
      <c r="D886">
        <v>0</v>
      </c>
      <c r="E886">
        <v>950</v>
      </c>
      <c r="F886" t="s">
        <v>220</v>
      </c>
      <c r="G886">
        <v>0</v>
      </c>
      <c r="H886">
        <v>41341</v>
      </c>
    </row>
    <row r="887" spans="1:9" x14ac:dyDescent="0.25">
      <c r="A887" t="s">
        <v>150</v>
      </c>
      <c r="B887" t="s">
        <v>169</v>
      </c>
      <c r="C887" t="s">
        <v>45</v>
      </c>
      <c r="D887">
        <v>0</v>
      </c>
      <c r="E887">
        <v>2600</v>
      </c>
      <c r="F887" t="s">
        <v>220</v>
      </c>
      <c r="G887">
        <v>0</v>
      </c>
      <c r="H887">
        <v>148843</v>
      </c>
    </row>
    <row r="888" spans="1:9" x14ac:dyDescent="0.25">
      <c r="A888" t="s">
        <v>150</v>
      </c>
      <c r="B888" t="s">
        <v>69</v>
      </c>
      <c r="C888" t="s">
        <v>34</v>
      </c>
      <c r="D888">
        <v>0</v>
      </c>
      <c r="E888">
        <v>3050</v>
      </c>
      <c r="F888" t="s">
        <v>220</v>
      </c>
      <c r="G888">
        <v>0</v>
      </c>
      <c r="H888">
        <v>186357</v>
      </c>
    </row>
    <row r="889" spans="1:9" x14ac:dyDescent="0.25">
      <c r="A889" t="s">
        <v>150</v>
      </c>
      <c r="B889" t="s">
        <v>44</v>
      </c>
      <c r="C889" t="s">
        <v>34</v>
      </c>
      <c r="D889">
        <v>0</v>
      </c>
      <c r="E889">
        <v>55742</v>
      </c>
      <c r="F889" t="s">
        <v>220</v>
      </c>
      <c r="G889">
        <v>0</v>
      </c>
      <c r="H889">
        <v>2717028</v>
      </c>
    </row>
    <row r="890" spans="1:9" x14ac:dyDescent="0.25">
      <c r="A890" t="s">
        <v>150</v>
      </c>
      <c r="B890" t="s">
        <v>177</v>
      </c>
      <c r="C890" t="s">
        <v>48</v>
      </c>
      <c r="D890">
        <v>0</v>
      </c>
      <c r="E890">
        <v>5776</v>
      </c>
      <c r="F890" t="s">
        <v>220</v>
      </c>
      <c r="G890">
        <v>0</v>
      </c>
      <c r="H890">
        <v>248695</v>
      </c>
    </row>
    <row r="891" spans="1:9" x14ac:dyDescent="0.25">
      <c r="A891" t="s">
        <v>150</v>
      </c>
      <c r="B891" t="s">
        <v>88</v>
      </c>
      <c r="C891" t="s">
        <v>34</v>
      </c>
      <c r="D891">
        <v>0</v>
      </c>
      <c r="E891">
        <v>1900</v>
      </c>
      <c r="F891" t="s">
        <v>220</v>
      </c>
      <c r="G891">
        <v>0</v>
      </c>
      <c r="H891">
        <v>85760</v>
      </c>
    </row>
    <row r="892" spans="1:9" x14ac:dyDescent="0.25">
      <c r="A892" t="s">
        <v>150</v>
      </c>
      <c r="B892" t="s">
        <v>204</v>
      </c>
      <c r="C892" t="s">
        <v>50</v>
      </c>
      <c r="D892">
        <v>0</v>
      </c>
      <c r="E892">
        <v>750</v>
      </c>
      <c r="F892" t="s">
        <v>220</v>
      </c>
      <c r="G892">
        <v>0</v>
      </c>
      <c r="H892">
        <v>39386</v>
      </c>
    </row>
    <row r="893" spans="1:9" x14ac:dyDescent="0.25">
      <c r="A893" t="s">
        <v>150</v>
      </c>
      <c r="B893" t="s">
        <v>196</v>
      </c>
      <c r="C893" t="s">
        <v>53</v>
      </c>
      <c r="D893">
        <v>0</v>
      </c>
      <c r="E893">
        <v>550</v>
      </c>
      <c r="F893" t="s">
        <v>220</v>
      </c>
      <c r="G893">
        <v>0</v>
      </c>
      <c r="H893">
        <v>26581</v>
      </c>
    </row>
    <row r="894" spans="1:9" x14ac:dyDescent="0.25">
      <c r="A894" t="s">
        <v>150</v>
      </c>
      <c r="B894" t="s">
        <v>98</v>
      </c>
      <c r="C894" t="s">
        <v>34</v>
      </c>
      <c r="D894">
        <v>0</v>
      </c>
      <c r="E894">
        <v>800</v>
      </c>
      <c r="F894" t="s">
        <v>220</v>
      </c>
      <c r="G894">
        <v>0</v>
      </c>
      <c r="H894">
        <v>35197</v>
      </c>
    </row>
    <row r="895" spans="1:9" x14ac:dyDescent="0.25">
      <c r="A895" t="s">
        <v>150</v>
      </c>
      <c r="B895" t="s">
        <v>73</v>
      </c>
      <c r="C895" t="s">
        <v>34</v>
      </c>
      <c r="D895">
        <v>0</v>
      </c>
      <c r="E895">
        <v>3060</v>
      </c>
      <c r="F895" t="s">
        <v>220</v>
      </c>
      <c r="G895">
        <v>0</v>
      </c>
      <c r="H895">
        <v>165261</v>
      </c>
    </row>
    <row r="896" spans="1:9" x14ac:dyDescent="0.25">
      <c r="A896" t="s">
        <v>150</v>
      </c>
      <c r="B896" t="s">
        <v>203</v>
      </c>
      <c r="C896" t="s">
        <v>58</v>
      </c>
      <c r="D896">
        <v>0</v>
      </c>
      <c r="E896">
        <v>1650</v>
      </c>
      <c r="F896" t="s">
        <v>220</v>
      </c>
      <c r="G896">
        <v>0</v>
      </c>
      <c r="H896">
        <v>88640</v>
      </c>
    </row>
    <row r="897" spans="1:9" x14ac:dyDescent="0.25">
      <c r="A897" t="s">
        <v>150</v>
      </c>
      <c r="B897" t="s">
        <v>164</v>
      </c>
      <c r="C897" t="s">
        <v>55</v>
      </c>
      <c r="D897">
        <v>0</v>
      </c>
      <c r="E897">
        <v>83384</v>
      </c>
      <c r="F897" t="s">
        <v>220</v>
      </c>
      <c r="G897">
        <v>0</v>
      </c>
      <c r="H897">
        <v>3710154</v>
      </c>
    </row>
    <row r="898" spans="1:9" x14ac:dyDescent="0.25">
      <c r="A898" t="s">
        <v>150</v>
      </c>
      <c r="B898" t="s">
        <v>208</v>
      </c>
      <c r="C898" t="s">
        <v>45</v>
      </c>
      <c r="D898">
        <v>0</v>
      </c>
      <c r="E898">
        <v>900</v>
      </c>
      <c r="F898" t="s">
        <v>220</v>
      </c>
      <c r="G898">
        <v>0</v>
      </c>
      <c r="H898">
        <v>52118</v>
      </c>
    </row>
    <row r="899" spans="1:9" x14ac:dyDescent="0.25">
      <c r="A899" t="s">
        <v>150</v>
      </c>
      <c r="B899" t="s">
        <v>197</v>
      </c>
      <c r="C899" t="s">
        <v>45</v>
      </c>
      <c r="D899">
        <v>0</v>
      </c>
      <c r="E899">
        <v>650</v>
      </c>
      <c r="F899" t="s">
        <v>220</v>
      </c>
      <c r="G899">
        <v>0</v>
      </c>
      <c r="H899">
        <v>29647</v>
      </c>
    </row>
    <row r="900" spans="1:9" x14ac:dyDescent="0.25">
      <c r="A900" t="s">
        <v>150</v>
      </c>
      <c r="B900" t="s">
        <v>206</v>
      </c>
      <c r="C900" t="s">
        <v>50</v>
      </c>
      <c r="D900">
        <v>0</v>
      </c>
      <c r="E900">
        <v>650</v>
      </c>
      <c r="F900" t="s">
        <v>220</v>
      </c>
      <c r="G900">
        <v>0</v>
      </c>
      <c r="H900">
        <v>30641</v>
      </c>
    </row>
    <row r="901" spans="1:9" x14ac:dyDescent="0.25">
      <c r="A901" t="s">
        <v>150</v>
      </c>
      <c r="B901" t="s">
        <v>173</v>
      </c>
      <c r="C901" t="s">
        <v>61</v>
      </c>
      <c r="D901">
        <v>0</v>
      </c>
      <c r="E901">
        <v>8510</v>
      </c>
      <c r="F901" t="s">
        <v>220</v>
      </c>
      <c r="G901">
        <v>0</v>
      </c>
      <c r="H901">
        <v>459371</v>
      </c>
    </row>
    <row r="902" spans="1:9" x14ac:dyDescent="0.25">
      <c r="A902" t="s">
        <v>150</v>
      </c>
      <c r="B902" t="s">
        <v>94</v>
      </c>
      <c r="C902" t="s">
        <v>34</v>
      </c>
      <c r="D902">
        <v>0</v>
      </c>
      <c r="E902">
        <v>800</v>
      </c>
      <c r="F902" t="s">
        <v>220</v>
      </c>
      <c r="G902">
        <v>0</v>
      </c>
      <c r="H902">
        <v>36806</v>
      </c>
    </row>
    <row r="903" spans="1:9" x14ac:dyDescent="0.25">
      <c r="A903" t="s">
        <v>150</v>
      </c>
      <c r="B903" t="s">
        <v>77</v>
      </c>
      <c r="C903" t="s">
        <v>34</v>
      </c>
      <c r="D903">
        <v>0</v>
      </c>
      <c r="E903">
        <v>1360</v>
      </c>
      <c r="F903" t="s">
        <v>220</v>
      </c>
      <c r="G903">
        <v>0</v>
      </c>
      <c r="H903">
        <v>63886</v>
      </c>
    </row>
    <row r="904" spans="1:9" x14ac:dyDescent="0.25">
      <c r="A904" t="s">
        <v>150</v>
      </c>
      <c r="B904" t="s">
        <v>174</v>
      </c>
      <c r="C904" t="s">
        <v>45</v>
      </c>
      <c r="D904">
        <v>0</v>
      </c>
      <c r="E904">
        <v>1500</v>
      </c>
      <c r="F904" t="s">
        <v>220</v>
      </c>
      <c r="G904">
        <v>0</v>
      </c>
      <c r="H904">
        <v>75418</v>
      </c>
    </row>
    <row r="905" spans="1:9" x14ac:dyDescent="0.25">
      <c r="A905" t="s">
        <v>150</v>
      </c>
      <c r="B905" t="s">
        <v>57</v>
      </c>
      <c r="C905" t="s">
        <v>34</v>
      </c>
      <c r="D905">
        <v>0</v>
      </c>
      <c r="E905">
        <v>10020</v>
      </c>
      <c r="F905" t="s">
        <v>220</v>
      </c>
      <c r="G905">
        <v>0</v>
      </c>
      <c r="H905">
        <v>501125</v>
      </c>
    </row>
    <row r="906" spans="1:9" x14ac:dyDescent="0.25">
      <c r="A906" t="s">
        <v>150</v>
      </c>
      <c r="B906" t="s">
        <v>190</v>
      </c>
      <c r="C906" t="s">
        <v>45</v>
      </c>
      <c r="D906">
        <v>0</v>
      </c>
      <c r="E906">
        <v>500</v>
      </c>
      <c r="F906" t="s">
        <v>220</v>
      </c>
      <c r="G906">
        <v>0</v>
      </c>
      <c r="H906">
        <v>22347</v>
      </c>
    </row>
    <row r="907" spans="1:9" x14ac:dyDescent="0.25">
      <c r="A907" t="s">
        <v>150</v>
      </c>
      <c r="B907" t="s">
        <v>180</v>
      </c>
      <c r="C907" t="s">
        <v>45</v>
      </c>
      <c r="D907">
        <v>0</v>
      </c>
      <c r="E907">
        <v>5070</v>
      </c>
      <c r="F907" t="s">
        <v>220</v>
      </c>
      <c r="G907">
        <v>0</v>
      </c>
      <c r="H907">
        <v>246129</v>
      </c>
    </row>
    <row r="908" spans="1:9" x14ac:dyDescent="0.25">
      <c r="A908" t="s">
        <v>150</v>
      </c>
      <c r="B908" t="s">
        <v>47</v>
      </c>
      <c r="C908" t="s">
        <v>34</v>
      </c>
      <c r="D908">
        <v>0</v>
      </c>
      <c r="E908">
        <v>15130</v>
      </c>
      <c r="F908" t="s">
        <v>220</v>
      </c>
      <c r="G908">
        <v>0</v>
      </c>
      <c r="H908">
        <v>861597</v>
      </c>
    </row>
    <row r="909" spans="1:9" x14ac:dyDescent="0.25">
      <c r="A909" t="s">
        <v>150</v>
      </c>
      <c r="B909" t="s">
        <v>194</v>
      </c>
      <c r="C909" t="s">
        <v>58</v>
      </c>
      <c r="D909">
        <v>0</v>
      </c>
      <c r="E909">
        <v>1250</v>
      </c>
      <c r="F909" t="s">
        <v>220</v>
      </c>
      <c r="G909">
        <v>0</v>
      </c>
      <c r="H909">
        <v>50248</v>
      </c>
    </row>
    <row r="910" spans="1:9" x14ac:dyDescent="0.25">
      <c r="A910" t="s">
        <v>150</v>
      </c>
      <c r="B910" t="s">
        <v>161</v>
      </c>
      <c r="C910" t="s">
        <v>45</v>
      </c>
      <c r="D910">
        <v>0</v>
      </c>
      <c r="E910">
        <v>33880</v>
      </c>
      <c r="F910" t="s">
        <v>220</v>
      </c>
      <c r="G910">
        <v>0</v>
      </c>
      <c r="H910">
        <v>1640867</v>
      </c>
    </row>
    <row r="911" spans="1:9" x14ac:dyDescent="0.25">
      <c r="A911" t="s">
        <v>150</v>
      </c>
      <c r="B911" t="s">
        <v>187</v>
      </c>
      <c r="C911" t="s">
        <v>45</v>
      </c>
      <c r="D911">
        <v>0</v>
      </c>
      <c r="E911">
        <v>2462</v>
      </c>
      <c r="F911" t="s">
        <v>220</v>
      </c>
      <c r="G911">
        <v>0</v>
      </c>
      <c r="H911">
        <v>121518</v>
      </c>
    </row>
    <row r="912" spans="1:9" x14ac:dyDescent="0.25">
      <c r="A912" t="s">
        <v>150</v>
      </c>
      <c r="B912" t="s">
        <v>171</v>
      </c>
      <c r="C912" t="s">
        <v>48</v>
      </c>
      <c r="D912">
        <v>0</v>
      </c>
      <c r="E912">
        <v>10190</v>
      </c>
      <c r="F912" t="s">
        <v>220</v>
      </c>
      <c r="G912">
        <v>0</v>
      </c>
      <c r="H912">
        <v>530567</v>
      </c>
    </row>
    <row r="913" spans="1:9" x14ac:dyDescent="0.25">
      <c r="A913" t="s">
        <v>150</v>
      </c>
      <c r="B913" t="s">
        <v>183</v>
      </c>
      <c r="C913" t="s">
        <v>45</v>
      </c>
      <c r="D913">
        <v>0</v>
      </c>
      <c r="E913">
        <v>950</v>
      </c>
      <c r="F913" t="s">
        <v>220</v>
      </c>
      <c r="G913">
        <v>0</v>
      </c>
      <c r="H913">
        <v>63994</v>
      </c>
    </row>
    <row r="914" spans="1:9" x14ac:dyDescent="0.25">
      <c r="A914" t="s">
        <v>150</v>
      </c>
      <c r="B914" t="s">
        <v>166</v>
      </c>
      <c r="C914" t="s">
        <v>50</v>
      </c>
      <c r="D914">
        <v>0</v>
      </c>
      <c r="E914">
        <v>41680</v>
      </c>
      <c r="F914" t="s">
        <v>220</v>
      </c>
      <c r="G914">
        <v>0</v>
      </c>
      <c r="H914">
        <v>2142867</v>
      </c>
    </row>
    <row r="915" spans="1:9" x14ac:dyDescent="0.25">
      <c r="A915" t="s">
        <v>150</v>
      </c>
      <c r="B915" t="s">
        <v>168</v>
      </c>
      <c r="C915" t="s">
        <v>53</v>
      </c>
      <c r="D915">
        <v>0</v>
      </c>
      <c r="E915">
        <v>19300</v>
      </c>
      <c r="F915" t="s">
        <v>220</v>
      </c>
      <c r="G915">
        <v>0</v>
      </c>
      <c r="H915">
        <v>958189</v>
      </c>
    </row>
    <row r="916" spans="1:9" x14ac:dyDescent="0.25">
      <c r="A916" t="s">
        <v>150</v>
      </c>
      <c r="B916" t="s">
        <v>67</v>
      </c>
      <c r="C916" t="s">
        <v>34</v>
      </c>
      <c r="D916">
        <v>0</v>
      </c>
      <c r="E916">
        <v>4200</v>
      </c>
      <c r="F916" t="s">
        <v>220</v>
      </c>
      <c r="G916">
        <v>0</v>
      </c>
      <c r="H916">
        <v>224852</v>
      </c>
    </row>
    <row r="917" spans="1:9" x14ac:dyDescent="0.25">
      <c r="A917" t="s">
        <v>150</v>
      </c>
      <c r="B917" t="s">
        <v>205</v>
      </c>
      <c r="C917" t="s">
        <v>53</v>
      </c>
      <c r="D917">
        <v>0</v>
      </c>
      <c r="E917">
        <v>820</v>
      </c>
      <c r="F917" t="s">
        <v>220</v>
      </c>
      <c r="G917">
        <v>0</v>
      </c>
      <c r="H917">
        <v>37472</v>
      </c>
    </row>
    <row r="918" spans="1:9" x14ac:dyDescent="0.25">
      <c r="A918" t="s">
        <v>150</v>
      </c>
      <c r="B918" t="s">
        <v>89</v>
      </c>
      <c r="C918" t="s">
        <v>34</v>
      </c>
      <c r="D918">
        <v>0</v>
      </c>
      <c r="E918">
        <v>3810</v>
      </c>
      <c r="F918" t="s">
        <v>220</v>
      </c>
      <c r="G918">
        <v>0</v>
      </c>
      <c r="H918">
        <v>185627</v>
      </c>
    </row>
    <row r="919" spans="1:9" x14ac:dyDescent="0.25">
      <c r="A919" t="s">
        <v>150</v>
      </c>
      <c r="B919" t="s">
        <v>181</v>
      </c>
      <c r="C919" t="s">
        <v>50</v>
      </c>
      <c r="D919">
        <v>0</v>
      </c>
      <c r="E919">
        <v>1150</v>
      </c>
      <c r="F919" t="s">
        <v>220</v>
      </c>
      <c r="G919">
        <v>0</v>
      </c>
      <c r="H919">
        <v>75138</v>
      </c>
    </row>
    <row r="920" spans="1:9" x14ac:dyDescent="0.25">
      <c r="A920" t="s">
        <v>150</v>
      </c>
      <c r="B920" t="s">
        <v>74</v>
      </c>
      <c r="C920" t="s">
        <v>34</v>
      </c>
      <c r="D920">
        <v>0</v>
      </c>
      <c r="E920">
        <v>4140</v>
      </c>
      <c r="F920" t="s">
        <v>220</v>
      </c>
      <c r="G920">
        <v>0</v>
      </c>
      <c r="H920">
        <v>211575</v>
      </c>
    </row>
    <row r="921" spans="1:9" x14ac:dyDescent="0.25">
      <c r="A921" t="s">
        <v>150</v>
      </c>
      <c r="B921" t="s">
        <v>167</v>
      </c>
      <c r="C921" t="s">
        <v>50</v>
      </c>
      <c r="D921">
        <v>0</v>
      </c>
      <c r="E921">
        <v>17130</v>
      </c>
      <c r="F921" t="s">
        <v>220</v>
      </c>
      <c r="G921">
        <v>0</v>
      </c>
      <c r="H921">
        <v>836881</v>
      </c>
    </row>
    <row r="922" spans="1:9" x14ac:dyDescent="0.25">
      <c r="A922" t="s">
        <v>150</v>
      </c>
      <c r="B922" t="s">
        <v>176</v>
      </c>
      <c r="C922" t="s">
        <v>53</v>
      </c>
      <c r="D922">
        <v>0</v>
      </c>
      <c r="E922">
        <v>1580</v>
      </c>
      <c r="F922" t="s">
        <v>220</v>
      </c>
      <c r="G922">
        <v>0</v>
      </c>
      <c r="H922">
        <v>114543</v>
      </c>
    </row>
    <row r="923" spans="1:9" x14ac:dyDescent="0.25">
      <c r="A923" t="s">
        <v>150</v>
      </c>
      <c r="B923" t="s">
        <v>210</v>
      </c>
      <c r="C923" t="s">
        <v>150</v>
      </c>
      <c r="D923">
        <v>0</v>
      </c>
      <c r="E923">
        <v>1570</v>
      </c>
      <c r="F923" t="s">
        <v>220</v>
      </c>
      <c r="G923">
        <v>0</v>
      </c>
      <c r="H923">
        <v>81724</v>
      </c>
    </row>
    <row r="924" spans="1:9" x14ac:dyDescent="0.25">
      <c r="A924" t="s">
        <v>150</v>
      </c>
      <c r="B924" t="s">
        <v>188</v>
      </c>
      <c r="C924" t="s">
        <v>45</v>
      </c>
      <c r="D924">
        <v>0</v>
      </c>
      <c r="E924">
        <v>7420</v>
      </c>
      <c r="F924" t="s">
        <v>220</v>
      </c>
      <c r="G924">
        <v>0</v>
      </c>
      <c r="H924">
        <v>373394</v>
      </c>
    </row>
    <row r="925" spans="1:9" x14ac:dyDescent="0.25">
      <c r="A925" t="s">
        <v>150</v>
      </c>
      <c r="B925" t="s">
        <v>186</v>
      </c>
      <c r="C925" t="s">
        <v>53</v>
      </c>
      <c r="D925">
        <v>0</v>
      </c>
      <c r="E925">
        <v>3260</v>
      </c>
      <c r="F925" t="s">
        <v>220</v>
      </c>
      <c r="G925">
        <v>0</v>
      </c>
      <c r="H925">
        <v>153613</v>
      </c>
    </row>
    <row r="926" spans="1:9" x14ac:dyDescent="0.25">
      <c r="A926" t="s">
        <v>150</v>
      </c>
      <c r="B926" t="s">
        <v>66</v>
      </c>
      <c r="C926" t="s">
        <v>34</v>
      </c>
      <c r="D926">
        <v>0</v>
      </c>
      <c r="E926">
        <v>3000</v>
      </c>
      <c r="F926" t="s">
        <v>220</v>
      </c>
      <c r="G926">
        <v>0</v>
      </c>
      <c r="H926">
        <v>162334</v>
      </c>
    </row>
    <row r="927" spans="1:9" x14ac:dyDescent="0.25">
      <c r="A927" t="s">
        <v>150</v>
      </c>
      <c r="B927" t="s">
        <v>213</v>
      </c>
      <c r="C927" t="s">
        <v>150</v>
      </c>
      <c r="D927">
        <v>0</v>
      </c>
      <c r="E927">
        <v>3260</v>
      </c>
      <c r="F927" t="s">
        <v>220</v>
      </c>
      <c r="G927">
        <v>0</v>
      </c>
      <c r="H927">
        <v>150057</v>
      </c>
    </row>
    <row r="928" spans="1:9" x14ac:dyDescent="0.25">
      <c r="A928" t="s">
        <v>150</v>
      </c>
      <c r="B928" t="s">
        <v>172</v>
      </c>
      <c r="C928" t="s">
        <v>50</v>
      </c>
      <c r="D928">
        <v>0</v>
      </c>
      <c r="E928">
        <v>9590</v>
      </c>
      <c r="F928" t="s">
        <v>220</v>
      </c>
      <c r="G928">
        <v>0</v>
      </c>
      <c r="H928">
        <v>512191</v>
      </c>
    </row>
    <row r="929" spans="1:9" x14ac:dyDescent="0.25">
      <c r="A929" t="s">
        <v>150</v>
      </c>
      <c r="B929" t="s">
        <v>202</v>
      </c>
      <c r="C929" t="s">
        <v>45</v>
      </c>
      <c r="D929">
        <v>0</v>
      </c>
      <c r="E929">
        <v>500</v>
      </c>
      <c r="F929" t="s">
        <v>220</v>
      </c>
      <c r="G929">
        <v>0</v>
      </c>
      <c r="H929">
        <v>31472</v>
      </c>
    </row>
    <row r="930" spans="1:9" x14ac:dyDescent="0.25">
      <c r="A930" t="s">
        <v>150</v>
      </c>
      <c r="B930" t="s">
        <v>49</v>
      </c>
      <c r="C930" t="s">
        <v>34</v>
      </c>
      <c r="D930">
        <v>0</v>
      </c>
      <c r="E930">
        <v>13700</v>
      </c>
      <c r="F930" t="s">
        <v>220</v>
      </c>
      <c r="G930">
        <v>0</v>
      </c>
      <c r="H930">
        <v>710838</v>
      </c>
    </row>
    <row r="931" spans="1:9" x14ac:dyDescent="0.25">
      <c r="A931" t="s">
        <v>150</v>
      </c>
      <c r="B931" t="s">
        <v>82</v>
      </c>
      <c r="C931" t="s">
        <v>34</v>
      </c>
      <c r="D931">
        <v>0</v>
      </c>
      <c r="E931">
        <v>1900</v>
      </c>
      <c r="F931" t="s">
        <v>220</v>
      </c>
      <c r="G931">
        <v>0</v>
      </c>
      <c r="H931">
        <v>120629</v>
      </c>
    </row>
    <row r="932" spans="1:9" x14ac:dyDescent="0.25">
      <c r="A932" t="s">
        <v>150</v>
      </c>
      <c r="B932" t="s">
        <v>198</v>
      </c>
      <c r="C932" t="s">
        <v>45</v>
      </c>
      <c r="D932">
        <v>0</v>
      </c>
      <c r="E932">
        <v>2050</v>
      </c>
      <c r="F932" t="s">
        <v>220</v>
      </c>
      <c r="G932">
        <v>0</v>
      </c>
      <c r="H932">
        <v>99867</v>
      </c>
    </row>
    <row r="933" spans="1:9" x14ac:dyDescent="0.25">
      <c r="A933" t="s">
        <v>150</v>
      </c>
      <c r="B933" t="s">
        <v>64</v>
      </c>
      <c r="C933" t="s">
        <v>34</v>
      </c>
      <c r="D933">
        <v>0</v>
      </c>
      <c r="E933">
        <v>17260</v>
      </c>
      <c r="F933" t="s">
        <v>220</v>
      </c>
      <c r="G933">
        <v>0</v>
      </c>
      <c r="H933">
        <v>887909</v>
      </c>
    </row>
    <row r="934" spans="1:9" x14ac:dyDescent="0.25">
      <c r="A934" t="s">
        <v>150</v>
      </c>
      <c r="B934" t="s">
        <v>71</v>
      </c>
      <c r="C934" t="s">
        <v>34</v>
      </c>
      <c r="D934">
        <v>0</v>
      </c>
      <c r="E934">
        <v>3600</v>
      </c>
      <c r="F934" t="s">
        <v>220</v>
      </c>
      <c r="G934">
        <v>0</v>
      </c>
      <c r="H934">
        <v>189947</v>
      </c>
    </row>
    <row r="935" spans="1:9" x14ac:dyDescent="0.25">
      <c r="A935" t="s">
        <v>150</v>
      </c>
      <c r="B935" t="s">
        <v>200</v>
      </c>
      <c r="C935" t="s">
        <v>58</v>
      </c>
      <c r="D935">
        <v>0</v>
      </c>
      <c r="E935">
        <v>2420</v>
      </c>
      <c r="F935" t="s">
        <v>220</v>
      </c>
      <c r="G935">
        <v>0</v>
      </c>
      <c r="H935">
        <v>132884</v>
      </c>
    </row>
    <row r="936" spans="1:9" x14ac:dyDescent="0.25">
      <c r="A936" t="s">
        <v>150</v>
      </c>
      <c r="B936" t="s">
        <v>178</v>
      </c>
      <c r="C936" t="s">
        <v>58</v>
      </c>
      <c r="D936">
        <v>0</v>
      </c>
      <c r="E936">
        <v>5980</v>
      </c>
      <c r="F936" t="s">
        <v>220</v>
      </c>
      <c r="G936">
        <v>0</v>
      </c>
      <c r="H936">
        <v>312019</v>
      </c>
    </row>
    <row r="937" spans="1:9" x14ac:dyDescent="0.25">
      <c r="A937" t="s">
        <v>150</v>
      </c>
      <c r="B937" t="s">
        <v>192</v>
      </c>
      <c r="C937" t="s">
        <v>45</v>
      </c>
      <c r="D937">
        <v>0</v>
      </c>
      <c r="E937">
        <v>710</v>
      </c>
      <c r="F937" t="s">
        <v>220</v>
      </c>
      <c r="G937">
        <v>0</v>
      </c>
      <c r="H937">
        <v>41651</v>
      </c>
    </row>
    <row r="938" spans="1:9" x14ac:dyDescent="0.25">
      <c r="A938" t="s">
        <v>150</v>
      </c>
      <c r="B938" t="s">
        <v>175</v>
      </c>
      <c r="C938" t="s">
        <v>48</v>
      </c>
      <c r="D938">
        <v>0</v>
      </c>
      <c r="E938">
        <v>780</v>
      </c>
      <c r="F938" t="s">
        <v>220</v>
      </c>
      <c r="G938">
        <v>0</v>
      </c>
      <c r="H938">
        <v>58387</v>
      </c>
    </row>
    <row r="939" spans="1:9" x14ac:dyDescent="0.25">
      <c r="A939" t="s">
        <v>150</v>
      </c>
      <c r="B939" t="s">
        <v>184</v>
      </c>
      <c r="C939" t="s">
        <v>50</v>
      </c>
      <c r="D939">
        <v>0</v>
      </c>
      <c r="E939">
        <v>5215</v>
      </c>
      <c r="F939" t="s">
        <v>220</v>
      </c>
      <c r="G939">
        <v>0</v>
      </c>
      <c r="H939">
        <v>269840</v>
      </c>
    </row>
    <row r="940" spans="1:9" x14ac:dyDescent="0.25">
      <c r="A940" t="s">
        <v>150</v>
      </c>
      <c r="B940" t="s">
        <v>91</v>
      </c>
      <c r="C940" t="s">
        <v>34</v>
      </c>
      <c r="D940">
        <v>0</v>
      </c>
      <c r="E940">
        <v>2</v>
      </c>
      <c r="F940" t="s">
        <v>43</v>
      </c>
      <c r="G940">
        <v>0</v>
      </c>
      <c r="H940">
        <v>117</v>
      </c>
    </row>
    <row r="941" spans="1:9" x14ac:dyDescent="0.25">
      <c r="A941" t="s">
        <v>150</v>
      </c>
      <c r="B941" t="s">
        <v>182</v>
      </c>
      <c r="C941" t="s">
        <v>53</v>
      </c>
      <c r="D941">
        <v>0</v>
      </c>
      <c r="E941">
        <v>1130</v>
      </c>
      <c r="F941" t="s">
        <v>220</v>
      </c>
      <c r="G941">
        <v>0</v>
      </c>
      <c r="H941">
        <v>56722</v>
      </c>
    </row>
    <row r="942" spans="1:9" x14ac:dyDescent="0.25">
      <c r="A942" t="s">
        <v>150</v>
      </c>
      <c r="B942" t="s">
        <v>193</v>
      </c>
      <c r="C942" t="s">
        <v>45</v>
      </c>
      <c r="D942">
        <v>0</v>
      </c>
      <c r="E942">
        <v>148</v>
      </c>
      <c r="F942" t="s">
        <v>220</v>
      </c>
      <c r="G942">
        <v>0</v>
      </c>
      <c r="H942">
        <v>13701</v>
      </c>
    </row>
    <row r="943" spans="1:9" x14ac:dyDescent="0.25">
      <c r="A943" t="s">
        <v>150</v>
      </c>
      <c r="B943" t="s">
        <v>80</v>
      </c>
      <c r="C943" t="s">
        <v>34</v>
      </c>
      <c r="D943">
        <v>0</v>
      </c>
      <c r="E943">
        <v>10</v>
      </c>
      <c r="F943" t="s">
        <v>43</v>
      </c>
      <c r="G943">
        <v>0</v>
      </c>
      <c r="H943">
        <v>2147</v>
      </c>
    </row>
    <row r="944" spans="1:9" x14ac:dyDescent="0.25">
      <c r="A944" t="s">
        <v>150</v>
      </c>
      <c r="B944" t="s">
        <v>169</v>
      </c>
      <c r="C944" t="s">
        <v>45</v>
      </c>
      <c r="D944">
        <v>0</v>
      </c>
      <c r="E944">
        <v>80</v>
      </c>
      <c r="F944" t="s">
        <v>43</v>
      </c>
      <c r="G944">
        <v>0</v>
      </c>
      <c r="H944">
        <v>54498</v>
      </c>
    </row>
    <row r="945" spans="1:9" x14ac:dyDescent="0.25">
      <c r="A945" t="s">
        <v>150</v>
      </c>
      <c r="B945" t="s">
        <v>175</v>
      </c>
      <c r="C945" t="s">
        <v>48</v>
      </c>
      <c r="D945">
        <v>0</v>
      </c>
      <c r="E945">
        <v>228</v>
      </c>
      <c r="F945" t="s">
        <v>43</v>
      </c>
      <c r="G945">
        <v>0</v>
      </c>
      <c r="H945">
        <v>180221</v>
      </c>
    </row>
    <row r="946" spans="1:9" x14ac:dyDescent="0.25">
      <c r="A946" t="s">
        <v>150</v>
      </c>
      <c r="B946" t="s">
        <v>170</v>
      </c>
      <c r="C946" t="s">
        <v>61</v>
      </c>
      <c r="D946">
        <v>0</v>
      </c>
      <c r="E946">
        <v>246</v>
      </c>
      <c r="F946" t="s">
        <v>43</v>
      </c>
      <c r="G946">
        <v>0</v>
      </c>
      <c r="H946">
        <v>146027</v>
      </c>
    </row>
    <row r="947" spans="1:9" x14ac:dyDescent="0.25">
      <c r="A947" t="s">
        <v>150</v>
      </c>
      <c r="B947" t="s">
        <v>177</v>
      </c>
      <c r="C947" t="s">
        <v>48</v>
      </c>
      <c r="D947">
        <v>0</v>
      </c>
      <c r="E947">
        <v>234</v>
      </c>
      <c r="F947" t="s">
        <v>43</v>
      </c>
      <c r="G947">
        <v>0</v>
      </c>
      <c r="H947">
        <v>196379</v>
      </c>
    </row>
    <row r="948" spans="1:9" x14ac:dyDescent="0.25">
      <c r="A948" t="s">
        <v>150</v>
      </c>
      <c r="B948" t="s">
        <v>163</v>
      </c>
      <c r="C948" t="s">
        <v>45</v>
      </c>
      <c r="D948">
        <v>0</v>
      </c>
      <c r="E948">
        <v>1152</v>
      </c>
      <c r="F948" t="s">
        <v>43</v>
      </c>
      <c r="G948">
        <v>0</v>
      </c>
      <c r="H948">
        <v>761728</v>
      </c>
    </row>
    <row r="949" spans="1:9" x14ac:dyDescent="0.25">
      <c r="A949" t="s">
        <v>150</v>
      </c>
      <c r="B949" t="s">
        <v>165</v>
      </c>
      <c r="C949" t="s">
        <v>48</v>
      </c>
      <c r="D949">
        <v>0</v>
      </c>
      <c r="E949">
        <v>348</v>
      </c>
      <c r="F949" t="s">
        <v>43</v>
      </c>
      <c r="G949">
        <v>0</v>
      </c>
      <c r="H949">
        <v>242635</v>
      </c>
    </row>
    <row r="950" spans="1:9" x14ac:dyDescent="0.25">
      <c r="A950" t="s">
        <v>150</v>
      </c>
      <c r="B950" t="s">
        <v>164</v>
      </c>
      <c r="C950" t="s">
        <v>55</v>
      </c>
      <c r="D950">
        <v>0</v>
      </c>
      <c r="E950">
        <v>672</v>
      </c>
      <c r="F950" t="s">
        <v>43</v>
      </c>
      <c r="G950">
        <v>0</v>
      </c>
      <c r="H950">
        <v>412584</v>
      </c>
    </row>
    <row r="951" spans="1:9" x14ac:dyDescent="0.25">
      <c r="A951" t="s">
        <v>150</v>
      </c>
      <c r="B951" t="s">
        <v>173</v>
      </c>
      <c r="C951" t="s">
        <v>61</v>
      </c>
      <c r="D951">
        <v>0</v>
      </c>
      <c r="E951">
        <v>1246</v>
      </c>
      <c r="F951" t="s">
        <v>43</v>
      </c>
      <c r="G951">
        <v>0</v>
      </c>
      <c r="H951">
        <v>795780</v>
      </c>
    </row>
    <row r="952" spans="1:9" x14ac:dyDescent="0.25">
      <c r="A952" t="s">
        <v>150</v>
      </c>
      <c r="B952" t="s">
        <v>57</v>
      </c>
      <c r="C952" t="s">
        <v>34</v>
      </c>
      <c r="D952">
        <v>0</v>
      </c>
      <c r="E952">
        <v>324</v>
      </c>
      <c r="F952" t="s">
        <v>43</v>
      </c>
      <c r="G952">
        <v>0</v>
      </c>
      <c r="H952">
        <v>163121</v>
      </c>
    </row>
    <row r="953" spans="1:9" x14ac:dyDescent="0.25">
      <c r="A953" t="s">
        <v>150</v>
      </c>
      <c r="B953" t="s">
        <v>194</v>
      </c>
      <c r="C953" t="s">
        <v>58</v>
      </c>
      <c r="D953">
        <v>0</v>
      </c>
      <c r="E953">
        <v>84</v>
      </c>
      <c r="F953" t="s">
        <v>43</v>
      </c>
      <c r="G953">
        <v>0</v>
      </c>
      <c r="H953">
        <v>71837</v>
      </c>
    </row>
    <row r="954" spans="1:9" x14ac:dyDescent="0.25">
      <c r="A954" t="s">
        <v>150</v>
      </c>
      <c r="B954" t="s">
        <v>171</v>
      </c>
      <c r="C954" t="s">
        <v>48</v>
      </c>
      <c r="D954">
        <v>0</v>
      </c>
      <c r="E954">
        <v>1164</v>
      </c>
      <c r="F954" t="s">
        <v>43</v>
      </c>
      <c r="G954">
        <v>0</v>
      </c>
      <c r="H954">
        <v>859487</v>
      </c>
    </row>
    <row r="955" spans="1:9" x14ac:dyDescent="0.25">
      <c r="A955" t="s">
        <v>150</v>
      </c>
      <c r="B955" t="s">
        <v>182</v>
      </c>
      <c r="C955" t="s">
        <v>53</v>
      </c>
      <c r="D955">
        <v>0</v>
      </c>
      <c r="E955">
        <v>258</v>
      </c>
      <c r="F955" t="s">
        <v>43</v>
      </c>
      <c r="G955">
        <v>0</v>
      </c>
      <c r="H955">
        <v>148150</v>
      </c>
    </row>
    <row r="956" spans="1:9" x14ac:dyDescent="0.25">
      <c r="A956" t="s">
        <v>150</v>
      </c>
      <c r="B956" t="s">
        <v>168</v>
      </c>
      <c r="C956" t="s">
        <v>53</v>
      </c>
      <c r="D956">
        <v>0</v>
      </c>
      <c r="E956">
        <v>1312</v>
      </c>
      <c r="F956" t="s">
        <v>43</v>
      </c>
      <c r="G956">
        <v>0</v>
      </c>
      <c r="H956">
        <v>981424</v>
      </c>
    </row>
    <row r="957" spans="1:9" x14ac:dyDescent="0.25">
      <c r="A957" t="s">
        <v>150</v>
      </c>
      <c r="B957" t="s">
        <v>176</v>
      </c>
      <c r="C957" t="s">
        <v>53</v>
      </c>
      <c r="D957">
        <v>0</v>
      </c>
      <c r="E957">
        <v>216</v>
      </c>
      <c r="F957" t="s">
        <v>43</v>
      </c>
      <c r="G957">
        <v>0</v>
      </c>
      <c r="H957">
        <v>174695</v>
      </c>
    </row>
    <row r="958" spans="1:9" x14ac:dyDescent="0.25">
      <c r="A958" t="s">
        <v>150</v>
      </c>
      <c r="B958" t="s">
        <v>186</v>
      </c>
      <c r="C958" t="s">
        <v>53</v>
      </c>
      <c r="D958">
        <v>0</v>
      </c>
      <c r="E958">
        <v>162</v>
      </c>
      <c r="F958" t="s">
        <v>43</v>
      </c>
      <c r="G958">
        <v>0</v>
      </c>
      <c r="H958">
        <v>84545</v>
      </c>
    </row>
    <row r="959" spans="1:9" x14ac:dyDescent="0.25">
      <c r="A959" t="s">
        <v>150</v>
      </c>
      <c r="B959" t="s">
        <v>165</v>
      </c>
      <c r="C959" t="s">
        <v>48</v>
      </c>
      <c r="D959">
        <v>0</v>
      </c>
      <c r="E959">
        <v>598</v>
      </c>
      <c r="F959" t="s">
        <v>220</v>
      </c>
      <c r="G959">
        <v>0</v>
      </c>
      <c r="H959">
        <v>69139</v>
      </c>
    </row>
    <row r="960" spans="1:9" x14ac:dyDescent="0.25">
      <c r="A960" t="s">
        <v>150</v>
      </c>
      <c r="B960" t="s">
        <v>164</v>
      </c>
      <c r="C960" t="s">
        <v>55</v>
      </c>
      <c r="D960">
        <v>0</v>
      </c>
      <c r="E960">
        <v>661</v>
      </c>
      <c r="F960" t="s">
        <v>43</v>
      </c>
      <c r="G960">
        <v>0</v>
      </c>
      <c r="H960">
        <v>88984</v>
      </c>
    </row>
    <row r="961" spans="1:9" x14ac:dyDescent="0.25">
      <c r="A961" t="s">
        <v>150</v>
      </c>
      <c r="B961" t="s">
        <v>182</v>
      </c>
      <c r="C961" t="s">
        <v>53</v>
      </c>
      <c r="D961">
        <v>0</v>
      </c>
      <c r="E961">
        <v>3312</v>
      </c>
      <c r="F961" t="s">
        <v>220</v>
      </c>
      <c r="G961">
        <v>0</v>
      </c>
      <c r="H961">
        <v>144501</v>
      </c>
    </row>
    <row r="962" spans="1:9" x14ac:dyDescent="0.25">
      <c r="A962" t="s">
        <v>150</v>
      </c>
      <c r="B962" t="s">
        <v>168</v>
      </c>
      <c r="C962" t="s">
        <v>53</v>
      </c>
      <c r="D962">
        <v>0</v>
      </c>
      <c r="E962">
        <v>75</v>
      </c>
      <c r="F962" t="s">
        <v>43</v>
      </c>
      <c r="G962">
        <v>0</v>
      </c>
      <c r="H962">
        <v>69969</v>
      </c>
    </row>
    <row r="963" spans="1:9" x14ac:dyDescent="0.25">
      <c r="A963" t="s">
        <v>150</v>
      </c>
      <c r="B963" t="s">
        <v>178</v>
      </c>
      <c r="C963" t="s">
        <v>58</v>
      </c>
      <c r="D963">
        <v>0</v>
      </c>
      <c r="E963">
        <v>240</v>
      </c>
      <c r="F963" t="s">
        <v>220</v>
      </c>
      <c r="G963">
        <v>0</v>
      </c>
      <c r="H963">
        <v>18842</v>
      </c>
    </row>
    <row r="964" spans="1:9" x14ac:dyDescent="0.25">
      <c r="A964" t="s">
        <v>150</v>
      </c>
      <c r="B964" t="s">
        <v>169</v>
      </c>
      <c r="C964" t="s">
        <v>45</v>
      </c>
      <c r="D964">
        <v>0</v>
      </c>
      <c r="E964">
        <v>37442</v>
      </c>
      <c r="F964" t="s">
        <v>220</v>
      </c>
      <c r="G964">
        <v>0</v>
      </c>
      <c r="H964">
        <v>2113743</v>
      </c>
    </row>
    <row r="965" spans="1:9" x14ac:dyDescent="0.25">
      <c r="A965" t="s">
        <v>150</v>
      </c>
      <c r="B965" t="s">
        <v>62</v>
      </c>
      <c r="C965" t="s">
        <v>34</v>
      </c>
      <c r="D965">
        <v>0</v>
      </c>
      <c r="E965">
        <v>208</v>
      </c>
      <c r="F965" t="s">
        <v>220</v>
      </c>
      <c r="G965">
        <v>0</v>
      </c>
      <c r="H965">
        <v>90257</v>
      </c>
    </row>
    <row r="966" spans="1:9" x14ac:dyDescent="0.25">
      <c r="A966" t="s">
        <v>150</v>
      </c>
      <c r="B966" t="s">
        <v>75</v>
      </c>
      <c r="C966" t="s">
        <v>34</v>
      </c>
      <c r="D966">
        <v>0</v>
      </c>
      <c r="E966">
        <v>200</v>
      </c>
      <c r="F966" t="s">
        <v>220</v>
      </c>
      <c r="G966">
        <v>0</v>
      </c>
      <c r="H966">
        <v>90006</v>
      </c>
    </row>
    <row r="967" spans="1:9" x14ac:dyDescent="0.25">
      <c r="A967" t="s">
        <v>150</v>
      </c>
      <c r="B967" t="s">
        <v>175</v>
      </c>
      <c r="C967" t="s">
        <v>48</v>
      </c>
      <c r="D967">
        <v>0</v>
      </c>
      <c r="E967">
        <v>13730</v>
      </c>
      <c r="F967" t="s">
        <v>220</v>
      </c>
      <c r="G967">
        <v>0</v>
      </c>
      <c r="H967">
        <v>1884352</v>
      </c>
    </row>
    <row r="968" spans="1:9" x14ac:dyDescent="0.25">
      <c r="A968" t="s">
        <v>150</v>
      </c>
      <c r="B968" t="s">
        <v>170</v>
      </c>
      <c r="C968" t="s">
        <v>61</v>
      </c>
      <c r="D968">
        <v>0</v>
      </c>
      <c r="E968">
        <v>160</v>
      </c>
      <c r="F968" t="s">
        <v>220</v>
      </c>
      <c r="G968">
        <v>0</v>
      </c>
      <c r="H968">
        <v>80099</v>
      </c>
    </row>
    <row r="969" spans="1:9" x14ac:dyDescent="0.25">
      <c r="A969" t="s">
        <v>150</v>
      </c>
      <c r="B969" t="s">
        <v>212</v>
      </c>
      <c r="C969" t="s">
        <v>50</v>
      </c>
      <c r="D969">
        <v>0</v>
      </c>
      <c r="E969">
        <v>1683</v>
      </c>
      <c r="F969" t="s">
        <v>220</v>
      </c>
      <c r="G969">
        <v>0</v>
      </c>
      <c r="H969">
        <v>273339</v>
      </c>
    </row>
    <row r="970" spans="1:9" x14ac:dyDescent="0.25">
      <c r="A970" t="s">
        <v>150</v>
      </c>
      <c r="B970" t="s">
        <v>177</v>
      </c>
      <c r="C970" t="s">
        <v>48</v>
      </c>
      <c r="D970">
        <v>0</v>
      </c>
      <c r="E970">
        <v>26250</v>
      </c>
      <c r="F970" t="s">
        <v>220</v>
      </c>
      <c r="G970">
        <v>0</v>
      </c>
      <c r="H970">
        <v>3650303</v>
      </c>
    </row>
    <row r="971" spans="1:9" x14ac:dyDescent="0.25">
      <c r="A971" t="s">
        <v>150</v>
      </c>
      <c r="B971" t="s">
        <v>204</v>
      </c>
      <c r="C971" t="s">
        <v>50</v>
      </c>
      <c r="D971">
        <v>0</v>
      </c>
      <c r="E971">
        <v>2453</v>
      </c>
      <c r="F971" t="s">
        <v>220</v>
      </c>
      <c r="G971">
        <v>0</v>
      </c>
      <c r="H971">
        <v>389881</v>
      </c>
    </row>
    <row r="972" spans="1:9" x14ac:dyDescent="0.25">
      <c r="A972" t="s">
        <v>150</v>
      </c>
      <c r="B972" t="s">
        <v>196</v>
      </c>
      <c r="C972" t="s">
        <v>53</v>
      </c>
      <c r="D972">
        <v>0</v>
      </c>
      <c r="E972">
        <v>1457</v>
      </c>
      <c r="F972" t="s">
        <v>220</v>
      </c>
      <c r="G972">
        <v>0</v>
      </c>
      <c r="H972">
        <v>241562</v>
      </c>
    </row>
    <row r="973" spans="1:9" x14ac:dyDescent="0.25">
      <c r="A973" t="s">
        <v>150</v>
      </c>
      <c r="B973" t="s">
        <v>165</v>
      </c>
      <c r="C973" t="s">
        <v>48</v>
      </c>
      <c r="D973">
        <v>0</v>
      </c>
      <c r="E973">
        <v>29880</v>
      </c>
      <c r="F973" t="s">
        <v>220</v>
      </c>
      <c r="G973">
        <v>0</v>
      </c>
      <c r="H973">
        <v>4053436</v>
      </c>
    </row>
    <row r="974" spans="1:9" x14ac:dyDescent="0.25">
      <c r="A974" t="s">
        <v>150</v>
      </c>
      <c r="B974" t="s">
        <v>98</v>
      </c>
      <c r="C974" t="s">
        <v>34</v>
      </c>
      <c r="D974">
        <v>0</v>
      </c>
      <c r="E974">
        <v>1478</v>
      </c>
      <c r="F974" t="s">
        <v>220</v>
      </c>
      <c r="G974">
        <v>0</v>
      </c>
      <c r="H974">
        <v>264130</v>
      </c>
    </row>
    <row r="975" spans="1:9" x14ac:dyDescent="0.25">
      <c r="A975" t="s">
        <v>150</v>
      </c>
      <c r="B975" t="s">
        <v>73</v>
      </c>
      <c r="C975" t="s">
        <v>34</v>
      </c>
      <c r="D975">
        <v>0</v>
      </c>
      <c r="E975">
        <v>34146</v>
      </c>
      <c r="F975" t="s">
        <v>220</v>
      </c>
      <c r="G975">
        <v>0</v>
      </c>
      <c r="H975">
        <v>4462849</v>
      </c>
    </row>
    <row r="976" spans="1:9" x14ac:dyDescent="0.25">
      <c r="A976" t="s">
        <v>150</v>
      </c>
      <c r="B976" t="s">
        <v>203</v>
      </c>
      <c r="C976" t="s">
        <v>58</v>
      </c>
      <c r="D976">
        <v>0</v>
      </c>
      <c r="E976">
        <v>4755</v>
      </c>
      <c r="F976" t="s">
        <v>220</v>
      </c>
      <c r="G976">
        <v>0</v>
      </c>
      <c r="H976">
        <v>658437</v>
      </c>
    </row>
    <row r="977" spans="1:9" x14ac:dyDescent="0.25">
      <c r="A977" t="s">
        <v>150</v>
      </c>
      <c r="B977" t="s">
        <v>164</v>
      </c>
      <c r="C977" t="s">
        <v>55</v>
      </c>
      <c r="D977">
        <v>0</v>
      </c>
      <c r="E977">
        <v>136141</v>
      </c>
      <c r="F977" t="s">
        <v>220</v>
      </c>
      <c r="G977">
        <v>0</v>
      </c>
      <c r="H977">
        <v>13697056</v>
      </c>
    </row>
    <row r="978" spans="1:9" x14ac:dyDescent="0.25">
      <c r="A978" t="s">
        <v>150</v>
      </c>
      <c r="B978" t="s">
        <v>208</v>
      </c>
      <c r="C978" t="s">
        <v>45</v>
      </c>
      <c r="D978">
        <v>0</v>
      </c>
      <c r="E978">
        <v>3810</v>
      </c>
      <c r="F978" t="s">
        <v>220</v>
      </c>
      <c r="G978">
        <v>0</v>
      </c>
      <c r="H978">
        <v>432345</v>
      </c>
    </row>
    <row r="979" spans="1:9" x14ac:dyDescent="0.25">
      <c r="A979" t="s">
        <v>150</v>
      </c>
      <c r="B979" t="s">
        <v>197</v>
      </c>
      <c r="C979" t="s">
        <v>45</v>
      </c>
      <c r="D979">
        <v>0</v>
      </c>
      <c r="E979">
        <v>3444</v>
      </c>
      <c r="F979" t="s">
        <v>220</v>
      </c>
      <c r="G979">
        <v>0</v>
      </c>
      <c r="H979">
        <v>525016</v>
      </c>
    </row>
    <row r="980" spans="1:9" x14ac:dyDescent="0.25">
      <c r="A980" t="s">
        <v>150</v>
      </c>
      <c r="B980" t="s">
        <v>173</v>
      </c>
      <c r="C980" t="s">
        <v>61</v>
      </c>
      <c r="D980">
        <v>0</v>
      </c>
      <c r="E980">
        <v>43660</v>
      </c>
      <c r="F980" t="s">
        <v>220</v>
      </c>
      <c r="G980">
        <v>0</v>
      </c>
      <c r="H980">
        <v>6074916</v>
      </c>
    </row>
    <row r="981" spans="1:9" x14ac:dyDescent="0.25">
      <c r="A981" t="s">
        <v>150</v>
      </c>
      <c r="B981" t="s">
        <v>94</v>
      </c>
      <c r="C981" t="s">
        <v>34</v>
      </c>
      <c r="D981">
        <v>0</v>
      </c>
      <c r="E981">
        <v>1844</v>
      </c>
      <c r="F981" t="s">
        <v>220</v>
      </c>
      <c r="G981">
        <v>0</v>
      </c>
      <c r="H981">
        <v>277606</v>
      </c>
    </row>
    <row r="982" spans="1:9" x14ac:dyDescent="0.25">
      <c r="A982" t="s">
        <v>150</v>
      </c>
      <c r="B982" t="s">
        <v>77</v>
      </c>
      <c r="C982" t="s">
        <v>34</v>
      </c>
      <c r="D982">
        <v>0</v>
      </c>
      <c r="E982">
        <v>16623</v>
      </c>
      <c r="F982" t="s">
        <v>220</v>
      </c>
      <c r="G982">
        <v>0</v>
      </c>
      <c r="H982">
        <v>2440959</v>
      </c>
    </row>
    <row r="983" spans="1:9" x14ac:dyDescent="0.25">
      <c r="A983" t="s">
        <v>150</v>
      </c>
      <c r="B983" t="s">
        <v>174</v>
      </c>
      <c r="C983" t="s">
        <v>45</v>
      </c>
      <c r="D983">
        <v>0</v>
      </c>
      <c r="E983">
        <v>13545</v>
      </c>
      <c r="F983" t="s">
        <v>220</v>
      </c>
      <c r="G983">
        <v>0</v>
      </c>
      <c r="H983">
        <v>1259885</v>
      </c>
    </row>
    <row r="984" spans="1:9" x14ac:dyDescent="0.25">
      <c r="A984" t="s">
        <v>150</v>
      </c>
      <c r="B984" t="s">
        <v>57</v>
      </c>
      <c r="C984" t="s">
        <v>34</v>
      </c>
      <c r="D984">
        <v>0</v>
      </c>
      <c r="E984">
        <v>24800</v>
      </c>
      <c r="F984" t="s">
        <v>220</v>
      </c>
      <c r="G984">
        <v>0</v>
      </c>
      <c r="H984">
        <v>2417949</v>
      </c>
    </row>
    <row r="985" spans="1:9" x14ac:dyDescent="0.25">
      <c r="A985" t="s">
        <v>150</v>
      </c>
      <c r="B985" t="s">
        <v>190</v>
      </c>
      <c r="C985" t="s">
        <v>45</v>
      </c>
      <c r="D985">
        <v>0</v>
      </c>
      <c r="E985">
        <v>214</v>
      </c>
      <c r="F985" t="s">
        <v>220</v>
      </c>
      <c r="G985">
        <v>0</v>
      </c>
      <c r="H985">
        <v>55383</v>
      </c>
    </row>
    <row r="986" spans="1:9" x14ac:dyDescent="0.25">
      <c r="A986" t="s">
        <v>150</v>
      </c>
      <c r="B986" t="s">
        <v>180</v>
      </c>
      <c r="C986" t="s">
        <v>45</v>
      </c>
      <c r="D986">
        <v>0</v>
      </c>
      <c r="E986">
        <v>5732</v>
      </c>
      <c r="F986" t="s">
        <v>220</v>
      </c>
      <c r="G986">
        <v>0</v>
      </c>
      <c r="H986">
        <v>977767</v>
      </c>
    </row>
    <row r="987" spans="1:9" x14ac:dyDescent="0.25">
      <c r="A987" t="s">
        <v>150</v>
      </c>
      <c r="B987" t="s">
        <v>47</v>
      </c>
      <c r="C987" t="s">
        <v>34</v>
      </c>
      <c r="D987">
        <v>0</v>
      </c>
      <c r="E987">
        <v>47115</v>
      </c>
      <c r="F987" t="s">
        <v>220</v>
      </c>
      <c r="G987">
        <v>0</v>
      </c>
      <c r="H987">
        <v>7384553</v>
      </c>
    </row>
    <row r="988" spans="1:9" x14ac:dyDescent="0.25">
      <c r="A988" t="s">
        <v>150</v>
      </c>
      <c r="B988" t="s">
        <v>184</v>
      </c>
      <c r="C988" t="s">
        <v>50</v>
      </c>
      <c r="D988">
        <v>0</v>
      </c>
      <c r="E988">
        <v>15926</v>
      </c>
      <c r="F988" t="s">
        <v>220</v>
      </c>
      <c r="G988">
        <v>0</v>
      </c>
      <c r="H988">
        <v>2131128</v>
      </c>
    </row>
    <row r="989" spans="1:9" x14ac:dyDescent="0.25">
      <c r="A989" t="s">
        <v>150</v>
      </c>
      <c r="B989" t="s">
        <v>161</v>
      </c>
      <c r="C989" t="s">
        <v>45</v>
      </c>
      <c r="D989">
        <v>0</v>
      </c>
      <c r="E989">
        <v>107690</v>
      </c>
      <c r="F989" t="s">
        <v>220</v>
      </c>
      <c r="G989">
        <v>0</v>
      </c>
      <c r="H989">
        <v>13614709</v>
      </c>
    </row>
    <row r="990" spans="1:9" x14ac:dyDescent="0.25">
      <c r="A990" t="s">
        <v>150</v>
      </c>
      <c r="B990" t="s">
        <v>187</v>
      </c>
      <c r="C990" t="s">
        <v>45</v>
      </c>
      <c r="D990">
        <v>0</v>
      </c>
      <c r="E990">
        <v>8816</v>
      </c>
      <c r="F990" t="s">
        <v>220</v>
      </c>
      <c r="G990">
        <v>0</v>
      </c>
      <c r="H990">
        <v>1194061</v>
      </c>
    </row>
    <row r="991" spans="1:9" x14ac:dyDescent="0.25">
      <c r="A991" t="s">
        <v>150</v>
      </c>
      <c r="B991" t="s">
        <v>171</v>
      </c>
      <c r="C991" t="s">
        <v>48</v>
      </c>
      <c r="D991">
        <v>0</v>
      </c>
      <c r="E991">
        <v>26376</v>
      </c>
      <c r="F991" t="s">
        <v>220</v>
      </c>
      <c r="G991">
        <v>0</v>
      </c>
      <c r="H991">
        <v>3515256</v>
      </c>
    </row>
    <row r="992" spans="1:9" x14ac:dyDescent="0.25">
      <c r="A992" t="s">
        <v>150</v>
      </c>
      <c r="B992" t="s">
        <v>183</v>
      </c>
      <c r="C992" t="s">
        <v>45</v>
      </c>
      <c r="D992">
        <v>0</v>
      </c>
      <c r="E992">
        <v>9134</v>
      </c>
      <c r="F992" t="s">
        <v>220</v>
      </c>
      <c r="G992">
        <v>0</v>
      </c>
      <c r="H992">
        <v>1241552</v>
      </c>
    </row>
    <row r="993" spans="1:9" x14ac:dyDescent="0.25">
      <c r="A993" t="s">
        <v>150</v>
      </c>
      <c r="B993" t="s">
        <v>182</v>
      </c>
      <c r="C993" t="s">
        <v>53</v>
      </c>
      <c r="D993">
        <v>0</v>
      </c>
      <c r="E993">
        <v>7086</v>
      </c>
      <c r="F993" t="s">
        <v>220</v>
      </c>
      <c r="G993">
        <v>0</v>
      </c>
      <c r="H993">
        <v>265773</v>
      </c>
    </row>
    <row r="994" spans="1:9" x14ac:dyDescent="0.25">
      <c r="A994" t="s">
        <v>150</v>
      </c>
      <c r="B994" t="s">
        <v>166</v>
      </c>
      <c r="C994" t="s">
        <v>50</v>
      </c>
      <c r="D994">
        <v>0</v>
      </c>
      <c r="E994">
        <v>60634</v>
      </c>
      <c r="F994" t="s">
        <v>220</v>
      </c>
      <c r="G994">
        <v>0</v>
      </c>
      <c r="H994">
        <v>8362417</v>
      </c>
    </row>
    <row r="995" spans="1:9" x14ac:dyDescent="0.25">
      <c r="A995" t="s">
        <v>150</v>
      </c>
      <c r="B995" t="s">
        <v>168</v>
      </c>
      <c r="C995" t="s">
        <v>53</v>
      </c>
      <c r="D995">
        <v>0</v>
      </c>
      <c r="E995">
        <v>47883</v>
      </c>
      <c r="F995" t="s">
        <v>220</v>
      </c>
      <c r="G995">
        <v>0</v>
      </c>
      <c r="H995">
        <v>5582446</v>
      </c>
    </row>
    <row r="996" spans="1:9" x14ac:dyDescent="0.25">
      <c r="A996" t="s">
        <v>150</v>
      </c>
      <c r="B996" t="s">
        <v>67</v>
      </c>
      <c r="C996" t="s">
        <v>34</v>
      </c>
      <c r="D996">
        <v>0</v>
      </c>
      <c r="E996">
        <v>8862</v>
      </c>
      <c r="F996" t="s">
        <v>220</v>
      </c>
      <c r="G996">
        <v>0</v>
      </c>
      <c r="H996">
        <v>1031019</v>
      </c>
    </row>
    <row r="997" spans="1:9" x14ac:dyDescent="0.25">
      <c r="A997" t="s">
        <v>150</v>
      </c>
      <c r="B997" t="s">
        <v>89</v>
      </c>
      <c r="C997" t="s">
        <v>34</v>
      </c>
      <c r="D997">
        <v>0</v>
      </c>
      <c r="E997">
        <v>5450</v>
      </c>
      <c r="F997" t="s">
        <v>220</v>
      </c>
      <c r="G997">
        <v>0</v>
      </c>
      <c r="H997">
        <v>823646</v>
      </c>
    </row>
    <row r="998" spans="1:9" x14ac:dyDescent="0.25">
      <c r="A998" t="s">
        <v>150</v>
      </c>
      <c r="B998" t="s">
        <v>193</v>
      </c>
      <c r="C998" t="s">
        <v>45</v>
      </c>
      <c r="D998">
        <v>0</v>
      </c>
      <c r="E998">
        <v>3329</v>
      </c>
      <c r="F998" t="s">
        <v>220</v>
      </c>
      <c r="G998">
        <v>0</v>
      </c>
      <c r="H998">
        <v>425488</v>
      </c>
    </row>
    <row r="999" spans="1:9" x14ac:dyDescent="0.25">
      <c r="A999" t="s">
        <v>150</v>
      </c>
      <c r="B999" t="s">
        <v>181</v>
      </c>
      <c r="C999" t="s">
        <v>50</v>
      </c>
      <c r="D999">
        <v>0</v>
      </c>
      <c r="E999">
        <v>8253</v>
      </c>
      <c r="F999" t="s">
        <v>220</v>
      </c>
      <c r="G999">
        <v>0</v>
      </c>
      <c r="H999">
        <v>857652</v>
      </c>
    </row>
    <row r="1000" spans="1:9" x14ac:dyDescent="0.25">
      <c r="A1000" t="s">
        <v>150</v>
      </c>
      <c r="B1000" t="s">
        <v>99</v>
      </c>
      <c r="C1000" t="s">
        <v>34</v>
      </c>
      <c r="D1000">
        <v>0</v>
      </c>
      <c r="E1000">
        <v>410</v>
      </c>
      <c r="F1000" t="s">
        <v>220</v>
      </c>
      <c r="G1000">
        <v>0</v>
      </c>
      <c r="H1000">
        <v>215748</v>
      </c>
    </row>
    <row r="1001" spans="1:9" x14ac:dyDescent="0.25">
      <c r="A1001" t="s">
        <v>150</v>
      </c>
      <c r="B1001" t="s">
        <v>167</v>
      </c>
      <c r="C1001" t="s">
        <v>50</v>
      </c>
      <c r="D1001">
        <v>0</v>
      </c>
      <c r="E1001">
        <v>41651</v>
      </c>
      <c r="F1001" t="s">
        <v>220</v>
      </c>
      <c r="G1001">
        <v>0</v>
      </c>
      <c r="H1001">
        <v>5629333</v>
      </c>
    </row>
    <row r="1002" spans="1:9" x14ac:dyDescent="0.25">
      <c r="A1002" t="s">
        <v>150</v>
      </c>
      <c r="B1002" t="s">
        <v>176</v>
      </c>
      <c r="C1002" t="s">
        <v>53</v>
      </c>
      <c r="D1002">
        <v>0</v>
      </c>
      <c r="E1002">
        <v>2760</v>
      </c>
      <c r="F1002" t="s">
        <v>220</v>
      </c>
      <c r="G1002">
        <v>0</v>
      </c>
      <c r="H1002">
        <v>447543</v>
      </c>
    </row>
    <row r="1003" spans="1:9" x14ac:dyDescent="0.25">
      <c r="A1003" t="s">
        <v>150</v>
      </c>
      <c r="B1003" t="s">
        <v>188</v>
      </c>
      <c r="C1003" t="s">
        <v>45</v>
      </c>
      <c r="D1003">
        <v>0</v>
      </c>
      <c r="E1003">
        <v>25747</v>
      </c>
      <c r="F1003" t="s">
        <v>220</v>
      </c>
      <c r="G1003">
        <v>0</v>
      </c>
      <c r="H1003">
        <v>2930843</v>
      </c>
    </row>
    <row r="1004" spans="1:9" x14ac:dyDescent="0.25">
      <c r="A1004" t="s">
        <v>150</v>
      </c>
      <c r="B1004" t="s">
        <v>186</v>
      </c>
      <c r="C1004" t="s">
        <v>53</v>
      </c>
      <c r="D1004">
        <v>0</v>
      </c>
      <c r="E1004">
        <v>4893</v>
      </c>
      <c r="F1004" t="s">
        <v>220</v>
      </c>
      <c r="G1004">
        <v>0</v>
      </c>
      <c r="H1004">
        <v>400017</v>
      </c>
    </row>
    <row r="1005" spans="1:9" x14ac:dyDescent="0.25">
      <c r="A1005" t="s">
        <v>150</v>
      </c>
      <c r="B1005" t="s">
        <v>66</v>
      </c>
      <c r="C1005" t="s">
        <v>34</v>
      </c>
      <c r="D1005">
        <v>0</v>
      </c>
      <c r="E1005">
        <v>4698</v>
      </c>
      <c r="F1005" t="s">
        <v>220</v>
      </c>
      <c r="G1005">
        <v>0</v>
      </c>
      <c r="H1005">
        <v>700213</v>
      </c>
    </row>
    <row r="1006" spans="1:9" x14ac:dyDescent="0.25">
      <c r="A1006" t="s">
        <v>150</v>
      </c>
      <c r="B1006" t="s">
        <v>213</v>
      </c>
      <c r="C1006" t="s">
        <v>150</v>
      </c>
      <c r="D1006">
        <v>0</v>
      </c>
      <c r="E1006">
        <v>4207</v>
      </c>
      <c r="F1006" t="s">
        <v>220</v>
      </c>
      <c r="G1006">
        <v>0</v>
      </c>
      <c r="H1006">
        <v>858340</v>
      </c>
    </row>
    <row r="1007" spans="1:9" x14ac:dyDescent="0.25">
      <c r="A1007" t="s">
        <v>150</v>
      </c>
      <c r="B1007" t="s">
        <v>172</v>
      </c>
      <c r="C1007" t="s">
        <v>50</v>
      </c>
      <c r="D1007">
        <v>0</v>
      </c>
      <c r="E1007">
        <v>27615</v>
      </c>
      <c r="F1007" t="s">
        <v>220</v>
      </c>
      <c r="G1007">
        <v>0</v>
      </c>
      <c r="H1007">
        <v>3698639</v>
      </c>
    </row>
    <row r="1008" spans="1:9" x14ac:dyDescent="0.25">
      <c r="A1008" t="s">
        <v>150</v>
      </c>
      <c r="B1008" t="s">
        <v>202</v>
      </c>
      <c r="C1008" t="s">
        <v>45</v>
      </c>
      <c r="D1008">
        <v>0</v>
      </c>
      <c r="E1008">
        <v>3160</v>
      </c>
      <c r="F1008" t="s">
        <v>220</v>
      </c>
      <c r="G1008">
        <v>0</v>
      </c>
      <c r="H1008">
        <v>455733</v>
      </c>
    </row>
    <row r="1009" spans="1:9" x14ac:dyDescent="0.25">
      <c r="A1009" t="s">
        <v>150</v>
      </c>
      <c r="B1009" t="s">
        <v>49</v>
      </c>
      <c r="C1009" t="s">
        <v>34</v>
      </c>
      <c r="D1009">
        <v>0</v>
      </c>
      <c r="E1009">
        <v>59927</v>
      </c>
      <c r="F1009" t="s">
        <v>220</v>
      </c>
      <c r="G1009">
        <v>0</v>
      </c>
      <c r="H1009">
        <v>10252613</v>
      </c>
    </row>
    <row r="1010" spans="1:9" x14ac:dyDescent="0.25">
      <c r="A1010" t="s">
        <v>150</v>
      </c>
      <c r="B1010" t="s">
        <v>82</v>
      </c>
      <c r="C1010" t="s">
        <v>34</v>
      </c>
      <c r="D1010">
        <v>0</v>
      </c>
      <c r="E1010">
        <v>7749</v>
      </c>
      <c r="F1010" t="s">
        <v>220</v>
      </c>
      <c r="G1010">
        <v>0</v>
      </c>
      <c r="H1010">
        <v>1013905</v>
      </c>
    </row>
    <row r="1011" spans="1:9" x14ac:dyDescent="0.25">
      <c r="A1011" t="s">
        <v>150</v>
      </c>
      <c r="B1011" t="s">
        <v>198</v>
      </c>
      <c r="C1011" t="s">
        <v>45</v>
      </c>
      <c r="D1011">
        <v>0</v>
      </c>
      <c r="E1011">
        <v>1362</v>
      </c>
      <c r="F1011" t="s">
        <v>220</v>
      </c>
      <c r="G1011">
        <v>0</v>
      </c>
      <c r="H1011">
        <v>261934</v>
      </c>
    </row>
    <row r="1012" spans="1:9" x14ac:dyDescent="0.25">
      <c r="A1012" t="s">
        <v>150</v>
      </c>
      <c r="B1012" t="s">
        <v>80</v>
      </c>
      <c r="C1012" t="s">
        <v>34</v>
      </c>
      <c r="D1012">
        <v>0</v>
      </c>
      <c r="E1012">
        <v>2400</v>
      </c>
      <c r="F1012" t="s">
        <v>220</v>
      </c>
      <c r="G1012">
        <v>0</v>
      </c>
      <c r="H1012">
        <v>1032782</v>
      </c>
    </row>
    <row r="1013" spans="1:9" x14ac:dyDescent="0.25">
      <c r="A1013" t="s">
        <v>150</v>
      </c>
      <c r="B1013" t="s">
        <v>71</v>
      </c>
      <c r="C1013" t="s">
        <v>34</v>
      </c>
      <c r="D1013">
        <v>0</v>
      </c>
      <c r="E1013">
        <v>36736</v>
      </c>
      <c r="F1013" t="s">
        <v>220</v>
      </c>
      <c r="G1013">
        <v>0</v>
      </c>
      <c r="H1013">
        <v>5186433</v>
      </c>
    </row>
    <row r="1014" spans="1:9" x14ac:dyDescent="0.25">
      <c r="A1014" t="s">
        <v>150</v>
      </c>
      <c r="B1014" t="s">
        <v>200</v>
      </c>
      <c r="C1014" t="s">
        <v>58</v>
      </c>
      <c r="D1014">
        <v>0</v>
      </c>
      <c r="E1014">
        <v>11140</v>
      </c>
      <c r="F1014" t="s">
        <v>220</v>
      </c>
      <c r="G1014">
        <v>0</v>
      </c>
      <c r="H1014">
        <v>1307143</v>
      </c>
    </row>
    <row r="1015" spans="1:9" x14ac:dyDescent="0.25">
      <c r="A1015" t="s">
        <v>150</v>
      </c>
      <c r="B1015" t="s">
        <v>178</v>
      </c>
      <c r="C1015" t="s">
        <v>58</v>
      </c>
      <c r="D1015">
        <v>0</v>
      </c>
      <c r="E1015">
        <v>30280</v>
      </c>
      <c r="F1015" t="s">
        <v>220</v>
      </c>
      <c r="G1015">
        <v>0</v>
      </c>
      <c r="H1015">
        <v>3269635</v>
      </c>
    </row>
    <row r="1016" spans="1:9" x14ac:dyDescent="0.25">
      <c r="A1016" t="s">
        <v>150</v>
      </c>
      <c r="B1016" t="s">
        <v>201</v>
      </c>
      <c r="C1016" t="s">
        <v>53</v>
      </c>
      <c r="D1016">
        <v>0</v>
      </c>
      <c r="E1016">
        <v>1171</v>
      </c>
      <c r="F1016" t="s">
        <v>220</v>
      </c>
      <c r="G1016">
        <v>0</v>
      </c>
      <c r="H1016">
        <v>184345</v>
      </c>
    </row>
    <row r="1017" spans="1:9" x14ac:dyDescent="0.25">
      <c r="A1017" t="s">
        <v>150</v>
      </c>
      <c r="B1017" t="s">
        <v>69</v>
      </c>
      <c r="C1017" t="s">
        <v>34</v>
      </c>
      <c r="D1017">
        <v>0</v>
      </c>
      <c r="E1017">
        <v>20188</v>
      </c>
      <c r="F1017" t="s">
        <v>220</v>
      </c>
      <c r="G1017">
        <v>0</v>
      </c>
      <c r="H1017">
        <v>2325537</v>
      </c>
    </row>
    <row r="1018" spans="1:9" x14ac:dyDescent="0.25">
      <c r="A1018" t="s">
        <v>150</v>
      </c>
      <c r="B1018" t="s">
        <v>44</v>
      </c>
      <c r="C1018" t="s">
        <v>34</v>
      </c>
      <c r="D1018">
        <v>0</v>
      </c>
      <c r="E1018">
        <v>307445</v>
      </c>
      <c r="F1018" t="s">
        <v>220</v>
      </c>
      <c r="G1018">
        <v>0</v>
      </c>
      <c r="H1018">
        <v>42279900</v>
      </c>
    </row>
    <row r="1019" spans="1:9" x14ac:dyDescent="0.25">
      <c r="A1019" t="s">
        <v>150</v>
      </c>
      <c r="B1019" t="s">
        <v>211</v>
      </c>
      <c r="C1019" t="s">
        <v>65</v>
      </c>
      <c r="D1019">
        <v>0</v>
      </c>
      <c r="E1019">
        <v>636</v>
      </c>
      <c r="F1019" t="s">
        <v>220</v>
      </c>
      <c r="G1019">
        <v>0</v>
      </c>
      <c r="H1019">
        <v>97735</v>
      </c>
    </row>
    <row r="1020" spans="1:9" x14ac:dyDescent="0.25">
      <c r="A1020" t="s">
        <v>150</v>
      </c>
      <c r="B1020" t="s">
        <v>88</v>
      </c>
      <c r="C1020" t="s">
        <v>34</v>
      </c>
      <c r="D1020">
        <v>0</v>
      </c>
      <c r="E1020">
        <v>4131</v>
      </c>
      <c r="F1020" t="s">
        <v>220</v>
      </c>
      <c r="G1020">
        <v>0</v>
      </c>
      <c r="H1020">
        <v>608458</v>
      </c>
    </row>
    <row r="1021" spans="1:9" x14ac:dyDescent="0.25">
      <c r="A1021" t="s">
        <v>150</v>
      </c>
      <c r="B1021" t="s">
        <v>185</v>
      </c>
      <c r="C1021" t="s">
        <v>45</v>
      </c>
      <c r="D1021">
        <v>0</v>
      </c>
      <c r="E1021">
        <v>716</v>
      </c>
      <c r="F1021" t="s">
        <v>220</v>
      </c>
      <c r="G1021">
        <v>0</v>
      </c>
      <c r="H1021">
        <v>111451</v>
      </c>
    </row>
    <row r="1022" spans="1:9" x14ac:dyDescent="0.25">
      <c r="A1022" t="s">
        <v>150</v>
      </c>
      <c r="B1022" t="s">
        <v>179</v>
      </c>
      <c r="C1022" t="s">
        <v>45</v>
      </c>
      <c r="D1022">
        <v>0</v>
      </c>
      <c r="E1022">
        <v>1463</v>
      </c>
      <c r="F1022" t="s">
        <v>220</v>
      </c>
      <c r="G1022">
        <v>0</v>
      </c>
      <c r="H1022">
        <v>196326</v>
      </c>
    </row>
    <row r="1023" spans="1:9" x14ac:dyDescent="0.25">
      <c r="A1023" t="s">
        <v>150</v>
      </c>
      <c r="B1023" t="s">
        <v>206</v>
      </c>
      <c r="C1023" t="s">
        <v>50</v>
      </c>
      <c r="D1023">
        <v>0</v>
      </c>
      <c r="E1023">
        <v>1590</v>
      </c>
      <c r="F1023" t="s">
        <v>220</v>
      </c>
      <c r="G1023">
        <v>0</v>
      </c>
      <c r="H1023">
        <v>241674</v>
      </c>
    </row>
    <row r="1024" spans="1:9" x14ac:dyDescent="0.25">
      <c r="A1024" t="s">
        <v>150</v>
      </c>
      <c r="B1024" t="s">
        <v>194</v>
      </c>
      <c r="C1024" t="s">
        <v>58</v>
      </c>
      <c r="D1024">
        <v>0</v>
      </c>
      <c r="E1024">
        <v>13872</v>
      </c>
      <c r="F1024" t="s">
        <v>220</v>
      </c>
      <c r="G1024">
        <v>0</v>
      </c>
      <c r="H1024">
        <v>1830777</v>
      </c>
    </row>
    <row r="1025" spans="1:9" x14ac:dyDescent="0.25">
      <c r="A1025" t="s">
        <v>150</v>
      </c>
      <c r="B1025" t="s">
        <v>91</v>
      </c>
      <c r="C1025" t="s">
        <v>34</v>
      </c>
      <c r="D1025">
        <v>0</v>
      </c>
      <c r="E1025">
        <v>20</v>
      </c>
      <c r="F1025" t="s">
        <v>220</v>
      </c>
      <c r="G1025">
        <v>0</v>
      </c>
      <c r="H1025">
        <v>2189</v>
      </c>
    </row>
    <row r="1026" spans="1:9" x14ac:dyDescent="0.25">
      <c r="A1026" t="s">
        <v>150</v>
      </c>
      <c r="B1026" t="s">
        <v>205</v>
      </c>
      <c r="C1026" t="s">
        <v>53</v>
      </c>
      <c r="D1026">
        <v>0</v>
      </c>
      <c r="E1026">
        <v>2416</v>
      </c>
      <c r="F1026" t="s">
        <v>220</v>
      </c>
      <c r="G1026">
        <v>0</v>
      </c>
      <c r="H1026">
        <v>340409</v>
      </c>
    </row>
    <row r="1027" spans="1:9" x14ac:dyDescent="0.25">
      <c r="A1027" t="s">
        <v>150</v>
      </c>
      <c r="B1027" t="s">
        <v>74</v>
      </c>
      <c r="C1027" t="s">
        <v>34</v>
      </c>
      <c r="D1027">
        <v>0</v>
      </c>
      <c r="E1027">
        <v>17917</v>
      </c>
      <c r="F1027" t="s">
        <v>220</v>
      </c>
      <c r="G1027">
        <v>0</v>
      </c>
      <c r="H1027">
        <v>2758030</v>
      </c>
    </row>
    <row r="1028" spans="1:9" x14ac:dyDescent="0.25">
      <c r="A1028" t="s">
        <v>150</v>
      </c>
      <c r="B1028" t="s">
        <v>210</v>
      </c>
      <c r="C1028" t="s">
        <v>150</v>
      </c>
      <c r="D1028">
        <v>0</v>
      </c>
      <c r="E1028">
        <v>5814</v>
      </c>
      <c r="F1028" t="s">
        <v>220</v>
      </c>
      <c r="G1028">
        <v>0</v>
      </c>
      <c r="H1028">
        <v>470148</v>
      </c>
    </row>
    <row r="1029" spans="1:9" x14ac:dyDescent="0.25">
      <c r="A1029" t="s">
        <v>150</v>
      </c>
      <c r="B1029" t="s">
        <v>199</v>
      </c>
      <c r="C1029" t="s">
        <v>61</v>
      </c>
      <c r="D1029">
        <v>0</v>
      </c>
      <c r="E1029">
        <v>1774</v>
      </c>
      <c r="F1029" t="s">
        <v>220</v>
      </c>
      <c r="G1029">
        <v>0</v>
      </c>
      <c r="H1029">
        <v>228203</v>
      </c>
    </row>
    <row r="1030" spans="1:9" x14ac:dyDescent="0.25">
      <c r="A1030" t="s">
        <v>150</v>
      </c>
      <c r="B1030" t="s">
        <v>64</v>
      </c>
      <c r="C1030" t="s">
        <v>34</v>
      </c>
      <c r="D1030">
        <v>0</v>
      </c>
      <c r="E1030">
        <v>76162</v>
      </c>
      <c r="F1030" t="s">
        <v>220</v>
      </c>
      <c r="G1030">
        <v>0</v>
      </c>
      <c r="H1030">
        <v>9875143</v>
      </c>
    </row>
    <row r="1031" spans="1:9" x14ac:dyDescent="0.25">
      <c r="A1031" t="s">
        <v>150</v>
      </c>
      <c r="B1031" t="s">
        <v>192</v>
      </c>
      <c r="C1031" t="s">
        <v>45</v>
      </c>
      <c r="D1031">
        <v>0</v>
      </c>
      <c r="E1031">
        <v>305</v>
      </c>
      <c r="F1031" t="s">
        <v>220</v>
      </c>
      <c r="G1031">
        <v>0</v>
      </c>
      <c r="H1031">
        <v>56031</v>
      </c>
    </row>
    <row r="1032" spans="1:9" x14ac:dyDescent="0.25">
      <c r="A1032" t="s">
        <v>150</v>
      </c>
      <c r="B1032" t="s">
        <v>169</v>
      </c>
      <c r="C1032" t="s">
        <v>45</v>
      </c>
      <c r="D1032">
        <v>0</v>
      </c>
      <c r="E1032">
        <v>45040</v>
      </c>
      <c r="F1032" t="s">
        <v>220</v>
      </c>
      <c r="G1032">
        <v>0</v>
      </c>
      <c r="H1032">
        <v>5314544</v>
      </c>
    </row>
    <row r="1033" spans="1:9" x14ac:dyDescent="0.25">
      <c r="A1033" t="s">
        <v>150</v>
      </c>
      <c r="B1033" t="s">
        <v>175</v>
      </c>
      <c r="C1033" t="s">
        <v>48</v>
      </c>
      <c r="D1033">
        <v>0</v>
      </c>
      <c r="E1033">
        <v>16181</v>
      </c>
      <c r="F1033" t="s">
        <v>220</v>
      </c>
      <c r="G1033">
        <v>0</v>
      </c>
      <c r="H1033">
        <v>1774747</v>
      </c>
    </row>
    <row r="1034" spans="1:9" x14ac:dyDescent="0.25">
      <c r="A1034" t="s">
        <v>150</v>
      </c>
      <c r="B1034" t="s">
        <v>170</v>
      </c>
      <c r="C1034" t="s">
        <v>61</v>
      </c>
      <c r="D1034">
        <v>0</v>
      </c>
      <c r="E1034">
        <v>3111</v>
      </c>
      <c r="F1034" t="s">
        <v>220</v>
      </c>
      <c r="G1034">
        <v>0</v>
      </c>
      <c r="H1034">
        <v>308916</v>
      </c>
    </row>
    <row r="1035" spans="1:9" x14ac:dyDescent="0.25">
      <c r="A1035" t="s">
        <v>150</v>
      </c>
      <c r="B1035" t="s">
        <v>177</v>
      </c>
      <c r="C1035" t="s">
        <v>48</v>
      </c>
      <c r="D1035">
        <v>0</v>
      </c>
      <c r="E1035">
        <v>11050</v>
      </c>
      <c r="F1035" t="s">
        <v>220</v>
      </c>
      <c r="G1035">
        <v>0</v>
      </c>
      <c r="H1035">
        <v>1070985</v>
      </c>
    </row>
    <row r="1036" spans="1:9" x14ac:dyDescent="0.25">
      <c r="A1036" t="s">
        <v>150</v>
      </c>
      <c r="B1036" t="s">
        <v>163</v>
      </c>
      <c r="C1036" t="s">
        <v>45</v>
      </c>
      <c r="D1036">
        <v>0</v>
      </c>
      <c r="E1036">
        <v>49491</v>
      </c>
      <c r="F1036" t="s">
        <v>220</v>
      </c>
      <c r="G1036">
        <v>0</v>
      </c>
      <c r="H1036">
        <v>5753633</v>
      </c>
    </row>
    <row r="1037" spans="1:9" x14ac:dyDescent="0.25">
      <c r="A1037" t="s">
        <v>150</v>
      </c>
      <c r="B1037" t="s">
        <v>165</v>
      </c>
      <c r="C1037" t="s">
        <v>48</v>
      </c>
      <c r="D1037">
        <v>0</v>
      </c>
      <c r="E1037">
        <v>45793</v>
      </c>
      <c r="F1037" t="s">
        <v>220</v>
      </c>
      <c r="G1037">
        <v>0</v>
      </c>
      <c r="H1037">
        <v>5629783</v>
      </c>
    </row>
    <row r="1038" spans="1:9" x14ac:dyDescent="0.25">
      <c r="A1038" t="s">
        <v>150</v>
      </c>
      <c r="B1038" t="s">
        <v>73</v>
      </c>
      <c r="C1038" t="s">
        <v>34</v>
      </c>
      <c r="D1038">
        <v>0</v>
      </c>
      <c r="E1038">
        <v>7375</v>
      </c>
      <c r="F1038" t="s">
        <v>220</v>
      </c>
      <c r="G1038">
        <v>0</v>
      </c>
      <c r="H1038">
        <v>1142318</v>
      </c>
    </row>
    <row r="1039" spans="1:9" x14ac:dyDescent="0.25">
      <c r="A1039" t="s">
        <v>150</v>
      </c>
      <c r="B1039" t="s">
        <v>57</v>
      </c>
      <c r="C1039" t="s">
        <v>34</v>
      </c>
      <c r="D1039">
        <v>0</v>
      </c>
      <c r="E1039">
        <v>25554</v>
      </c>
      <c r="F1039" t="s">
        <v>220</v>
      </c>
      <c r="G1039">
        <v>0</v>
      </c>
      <c r="H1039">
        <v>2633734</v>
      </c>
    </row>
    <row r="1040" spans="1:9" x14ac:dyDescent="0.25">
      <c r="A1040" t="s">
        <v>150</v>
      </c>
      <c r="B1040" t="s">
        <v>47</v>
      </c>
      <c r="C1040" t="s">
        <v>34</v>
      </c>
      <c r="D1040">
        <v>0</v>
      </c>
      <c r="E1040">
        <v>26091</v>
      </c>
      <c r="F1040" t="s">
        <v>220</v>
      </c>
      <c r="G1040">
        <v>0</v>
      </c>
      <c r="H1040">
        <v>2957879</v>
      </c>
    </row>
    <row r="1041" spans="1:9" x14ac:dyDescent="0.25">
      <c r="A1041" t="s">
        <v>150</v>
      </c>
      <c r="B1041" t="s">
        <v>161</v>
      </c>
      <c r="C1041" t="s">
        <v>45</v>
      </c>
      <c r="D1041">
        <v>0</v>
      </c>
      <c r="E1041">
        <v>3039</v>
      </c>
      <c r="F1041" t="s">
        <v>220</v>
      </c>
      <c r="G1041">
        <v>0</v>
      </c>
      <c r="H1041">
        <v>309190</v>
      </c>
    </row>
    <row r="1042" spans="1:9" x14ac:dyDescent="0.25">
      <c r="A1042" t="s">
        <v>150</v>
      </c>
      <c r="B1042" t="s">
        <v>171</v>
      </c>
      <c r="C1042" t="s">
        <v>48</v>
      </c>
      <c r="D1042">
        <v>0</v>
      </c>
      <c r="E1042">
        <v>32992</v>
      </c>
      <c r="F1042" t="s">
        <v>220</v>
      </c>
      <c r="G1042">
        <v>0</v>
      </c>
      <c r="H1042">
        <v>3070310</v>
      </c>
    </row>
    <row r="1043" spans="1:9" x14ac:dyDescent="0.25">
      <c r="A1043" t="s">
        <v>150</v>
      </c>
      <c r="B1043" t="s">
        <v>182</v>
      </c>
      <c r="C1043" t="s">
        <v>53</v>
      </c>
      <c r="D1043">
        <v>0</v>
      </c>
      <c r="E1043">
        <v>4860</v>
      </c>
      <c r="F1043" t="s">
        <v>220</v>
      </c>
      <c r="G1043">
        <v>0</v>
      </c>
      <c r="H1043">
        <v>462634</v>
      </c>
    </row>
    <row r="1044" spans="1:9" x14ac:dyDescent="0.25">
      <c r="A1044" t="s">
        <v>150</v>
      </c>
      <c r="B1044" t="s">
        <v>168</v>
      </c>
      <c r="C1044" t="s">
        <v>53</v>
      </c>
      <c r="D1044">
        <v>0</v>
      </c>
      <c r="E1044">
        <v>24120</v>
      </c>
      <c r="F1044" t="s">
        <v>220</v>
      </c>
      <c r="G1044">
        <v>0</v>
      </c>
      <c r="H1044">
        <v>2377032</v>
      </c>
    </row>
    <row r="1045" spans="1:9" x14ac:dyDescent="0.25">
      <c r="A1045" t="s">
        <v>150</v>
      </c>
      <c r="B1045" t="s">
        <v>67</v>
      </c>
      <c r="C1045" t="s">
        <v>34</v>
      </c>
      <c r="D1045">
        <v>0</v>
      </c>
      <c r="E1045">
        <v>26210</v>
      </c>
      <c r="F1045" t="s">
        <v>220</v>
      </c>
      <c r="G1045">
        <v>0</v>
      </c>
      <c r="H1045">
        <v>1252031</v>
      </c>
    </row>
    <row r="1046" spans="1:9" x14ac:dyDescent="0.25">
      <c r="A1046" t="s">
        <v>150</v>
      </c>
      <c r="B1046" t="s">
        <v>193</v>
      </c>
      <c r="C1046" t="s">
        <v>45</v>
      </c>
      <c r="D1046">
        <v>0</v>
      </c>
      <c r="E1046">
        <v>2694</v>
      </c>
      <c r="F1046" t="s">
        <v>220</v>
      </c>
      <c r="G1046">
        <v>0</v>
      </c>
      <c r="H1046">
        <v>196612</v>
      </c>
    </row>
    <row r="1047" spans="1:9" x14ac:dyDescent="0.25">
      <c r="A1047" t="s">
        <v>150</v>
      </c>
      <c r="B1047" t="s">
        <v>167</v>
      </c>
      <c r="C1047" t="s">
        <v>50</v>
      </c>
      <c r="D1047">
        <v>0</v>
      </c>
      <c r="E1047">
        <v>8238</v>
      </c>
      <c r="F1047" t="s">
        <v>220</v>
      </c>
      <c r="G1047">
        <v>0</v>
      </c>
      <c r="H1047">
        <v>1075589</v>
      </c>
    </row>
    <row r="1048" spans="1:9" x14ac:dyDescent="0.25">
      <c r="A1048" t="s">
        <v>150</v>
      </c>
      <c r="B1048" t="s">
        <v>186</v>
      </c>
      <c r="C1048" t="s">
        <v>53</v>
      </c>
      <c r="D1048">
        <v>0</v>
      </c>
      <c r="E1048">
        <v>7079</v>
      </c>
      <c r="F1048" t="s">
        <v>220</v>
      </c>
      <c r="G1048">
        <v>0</v>
      </c>
      <c r="H1048">
        <v>730115</v>
      </c>
    </row>
    <row r="1049" spans="1:9" x14ac:dyDescent="0.25">
      <c r="A1049" t="s">
        <v>150</v>
      </c>
      <c r="B1049" t="s">
        <v>49</v>
      </c>
      <c r="C1049" t="s">
        <v>34</v>
      </c>
      <c r="D1049">
        <v>0</v>
      </c>
      <c r="E1049">
        <v>50532</v>
      </c>
      <c r="F1049" t="s">
        <v>220</v>
      </c>
      <c r="G1049">
        <v>0</v>
      </c>
      <c r="H1049">
        <v>3732806</v>
      </c>
    </row>
    <row r="1050" spans="1:9" x14ac:dyDescent="0.25">
      <c r="A1050" t="s">
        <v>150</v>
      </c>
      <c r="B1050" t="s">
        <v>64</v>
      </c>
      <c r="C1050" t="s">
        <v>34</v>
      </c>
      <c r="D1050">
        <v>0</v>
      </c>
      <c r="E1050">
        <v>7632</v>
      </c>
      <c r="F1050" t="s">
        <v>220</v>
      </c>
      <c r="G1050">
        <v>0</v>
      </c>
      <c r="H1050">
        <v>792450</v>
      </c>
    </row>
    <row r="1051" spans="1:9" x14ac:dyDescent="0.25">
      <c r="A1051" t="s">
        <v>150</v>
      </c>
      <c r="B1051" t="s">
        <v>169</v>
      </c>
      <c r="C1051" t="s">
        <v>45</v>
      </c>
      <c r="D1051">
        <v>0</v>
      </c>
      <c r="E1051">
        <v>2370</v>
      </c>
      <c r="F1051" t="s">
        <v>220</v>
      </c>
      <c r="G1051">
        <v>0</v>
      </c>
      <c r="H1051">
        <v>2011961</v>
      </c>
    </row>
    <row r="1052" spans="1:9" x14ac:dyDescent="0.25">
      <c r="A1052" t="s">
        <v>150</v>
      </c>
      <c r="B1052" t="s">
        <v>69</v>
      </c>
      <c r="C1052" t="s">
        <v>34</v>
      </c>
      <c r="D1052">
        <v>0</v>
      </c>
      <c r="E1052">
        <v>130</v>
      </c>
      <c r="F1052" t="s">
        <v>220</v>
      </c>
      <c r="G1052">
        <v>0</v>
      </c>
      <c r="H1052">
        <v>12118</v>
      </c>
    </row>
    <row r="1053" spans="1:9" x14ac:dyDescent="0.25">
      <c r="A1053" t="s">
        <v>150</v>
      </c>
      <c r="B1053" t="s">
        <v>73</v>
      </c>
      <c r="C1053" t="s">
        <v>34</v>
      </c>
      <c r="D1053">
        <v>0</v>
      </c>
      <c r="E1053">
        <v>1716</v>
      </c>
      <c r="F1053" t="s">
        <v>220</v>
      </c>
      <c r="G1053">
        <v>0</v>
      </c>
      <c r="H1053">
        <v>935312</v>
      </c>
    </row>
    <row r="1054" spans="1:9" x14ac:dyDescent="0.25">
      <c r="A1054" t="s">
        <v>150</v>
      </c>
      <c r="B1054" t="s">
        <v>164</v>
      </c>
      <c r="C1054" t="s">
        <v>55</v>
      </c>
      <c r="D1054">
        <v>0</v>
      </c>
      <c r="E1054">
        <v>5421</v>
      </c>
      <c r="F1054" t="s">
        <v>220</v>
      </c>
      <c r="G1054">
        <v>0</v>
      </c>
      <c r="H1054">
        <v>3858910</v>
      </c>
    </row>
    <row r="1055" spans="1:9" x14ac:dyDescent="0.25">
      <c r="A1055" t="s">
        <v>150</v>
      </c>
      <c r="B1055" t="s">
        <v>185</v>
      </c>
      <c r="C1055" t="s">
        <v>45</v>
      </c>
      <c r="D1055">
        <v>0</v>
      </c>
      <c r="E1055">
        <v>599</v>
      </c>
      <c r="F1055" t="s">
        <v>220</v>
      </c>
      <c r="G1055">
        <v>0</v>
      </c>
      <c r="H1055">
        <v>701544</v>
      </c>
    </row>
    <row r="1056" spans="1:9" x14ac:dyDescent="0.25">
      <c r="A1056" t="s">
        <v>150</v>
      </c>
      <c r="B1056" t="s">
        <v>184</v>
      </c>
      <c r="C1056" t="s">
        <v>50</v>
      </c>
      <c r="D1056">
        <v>0</v>
      </c>
      <c r="E1056">
        <v>1775</v>
      </c>
      <c r="F1056" t="s">
        <v>220</v>
      </c>
      <c r="G1056">
        <v>0</v>
      </c>
      <c r="H1056">
        <v>1050339</v>
      </c>
    </row>
    <row r="1057" spans="1:9" x14ac:dyDescent="0.25">
      <c r="A1057" t="s">
        <v>150</v>
      </c>
      <c r="B1057" t="s">
        <v>181</v>
      </c>
      <c r="C1057" t="s">
        <v>50</v>
      </c>
      <c r="D1057">
        <v>0</v>
      </c>
      <c r="E1057">
        <v>940</v>
      </c>
      <c r="F1057" t="s">
        <v>220</v>
      </c>
      <c r="G1057">
        <v>0</v>
      </c>
      <c r="H1057">
        <v>457654</v>
      </c>
    </row>
    <row r="1058" spans="1:9" x14ac:dyDescent="0.25">
      <c r="A1058" t="s">
        <v>150</v>
      </c>
      <c r="B1058" t="s">
        <v>167</v>
      </c>
      <c r="C1058" t="s">
        <v>50</v>
      </c>
      <c r="D1058">
        <v>0</v>
      </c>
      <c r="E1058">
        <v>3188</v>
      </c>
      <c r="F1058" t="s">
        <v>220</v>
      </c>
      <c r="G1058">
        <v>0</v>
      </c>
      <c r="H1058">
        <v>2732227</v>
      </c>
    </row>
    <row r="1059" spans="1:9" x14ac:dyDescent="0.25">
      <c r="A1059" t="s">
        <v>150</v>
      </c>
      <c r="B1059" t="s">
        <v>188</v>
      </c>
      <c r="C1059" t="s">
        <v>45</v>
      </c>
      <c r="D1059">
        <v>0</v>
      </c>
      <c r="E1059">
        <v>250</v>
      </c>
      <c r="F1059" t="s">
        <v>220</v>
      </c>
      <c r="G1059">
        <v>0</v>
      </c>
      <c r="H1059">
        <v>75825</v>
      </c>
    </row>
    <row r="1060" spans="1:9" x14ac:dyDescent="0.25">
      <c r="A1060" t="s">
        <v>150</v>
      </c>
      <c r="B1060" t="s">
        <v>198</v>
      </c>
      <c r="C1060" t="s">
        <v>45</v>
      </c>
      <c r="D1060">
        <v>0</v>
      </c>
      <c r="E1060">
        <v>655</v>
      </c>
      <c r="F1060" t="s">
        <v>220</v>
      </c>
      <c r="G1060">
        <v>0</v>
      </c>
      <c r="H1060">
        <v>436842</v>
      </c>
    </row>
    <row r="1061" spans="1:9" x14ac:dyDescent="0.25">
      <c r="A1061" t="s">
        <v>150</v>
      </c>
      <c r="B1061" t="s">
        <v>192</v>
      </c>
      <c r="C1061" t="s">
        <v>45</v>
      </c>
      <c r="D1061">
        <v>0</v>
      </c>
      <c r="E1061">
        <v>185</v>
      </c>
      <c r="F1061" t="s">
        <v>220</v>
      </c>
      <c r="G1061">
        <v>0</v>
      </c>
      <c r="H1061">
        <v>22525</v>
      </c>
    </row>
    <row r="1062" spans="1:9" x14ac:dyDescent="0.25">
      <c r="A1062" t="s">
        <v>150</v>
      </c>
      <c r="B1062" t="s">
        <v>62</v>
      </c>
      <c r="C1062" t="s">
        <v>34</v>
      </c>
      <c r="D1062">
        <v>0</v>
      </c>
      <c r="E1062">
        <v>350</v>
      </c>
      <c r="F1062" t="s">
        <v>220</v>
      </c>
      <c r="G1062">
        <v>0</v>
      </c>
      <c r="H1062">
        <v>67655</v>
      </c>
    </row>
    <row r="1063" spans="1:9" x14ac:dyDescent="0.25">
      <c r="A1063" t="s">
        <v>150</v>
      </c>
      <c r="B1063" t="s">
        <v>75</v>
      </c>
      <c r="C1063" t="s">
        <v>34</v>
      </c>
      <c r="D1063">
        <v>0</v>
      </c>
      <c r="E1063">
        <v>856</v>
      </c>
      <c r="F1063" t="s">
        <v>220</v>
      </c>
      <c r="G1063">
        <v>0</v>
      </c>
      <c r="H1063">
        <v>669997</v>
      </c>
    </row>
    <row r="1064" spans="1:9" x14ac:dyDescent="0.25">
      <c r="A1064" t="s">
        <v>150</v>
      </c>
      <c r="B1064" t="s">
        <v>177</v>
      </c>
      <c r="C1064" t="s">
        <v>48</v>
      </c>
      <c r="D1064">
        <v>0</v>
      </c>
      <c r="E1064">
        <v>2232</v>
      </c>
      <c r="F1064" t="s">
        <v>220</v>
      </c>
      <c r="G1064">
        <v>0</v>
      </c>
      <c r="H1064">
        <v>1088555</v>
      </c>
    </row>
    <row r="1065" spans="1:9" x14ac:dyDescent="0.25">
      <c r="A1065" t="s">
        <v>150</v>
      </c>
      <c r="B1065" t="s">
        <v>203</v>
      </c>
      <c r="C1065" t="s">
        <v>58</v>
      </c>
      <c r="D1065">
        <v>0</v>
      </c>
      <c r="E1065">
        <v>60</v>
      </c>
      <c r="F1065" t="s">
        <v>220</v>
      </c>
      <c r="G1065">
        <v>0</v>
      </c>
      <c r="H1065">
        <v>12400</v>
      </c>
    </row>
    <row r="1066" spans="1:9" x14ac:dyDescent="0.25">
      <c r="A1066" t="s">
        <v>150</v>
      </c>
      <c r="B1066" t="s">
        <v>179</v>
      </c>
      <c r="C1066" t="s">
        <v>45</v>
      </c>
      <c r="D1066">
        <v>0</v>
      </c>
      <c r="E1066">
        <v>200</v>
      </c>
      <c r="F1066" t="s">
        <v>220</v>
      </c>
      <c r="G1066">
        <v>0</v>
      </c>
      <c r="H1066">
        <v>18002</v>
      </c>
    </row>
    <row r="1067" spans="1:9" x14ac:dyDescent="0.25">
      <c r="A1067" t="s">
        <v>150</v>
      </c>
      <c r="B1067" t="s">
        <v>57</v>
      </c>
      <c r="C1067" t="s">
        <v>34</v>
      </c>
      <c r="D1067">
        <v>0</v>
      </c>
      <c r="E1067">
        <v>2040</v>
      </c>
      <c r="F1067" t="s">
        <v>220</v>
      </c>
      <c r="G1067">
        <v>0</v>
      </c>
      <c r="H1067">
        <v>463467</v>
      </c>
    </row>
    <row r="1068" spans="1:9" x14ac:dyDescent="0.25">
      <c r="A1068" t="s">
        <v>150</v>
      </c>
      <c r="B1068" t="s">
        <v>190</v>
      </c>
      <c r="C1068" t="s">
        <v>45</v>
      </c>
      <c r="D1068">
        <v>0</v>
      </c>
      <c r="E1068">
        <v>10</v>
      </c>
      <c r="F1068" t="s">
        <v>43</v>
      </c>
      <c r="G1068">
        <v>0</v>
      </c>
      <c r="H1068">
        <v>4019</v>
      </c>
    </row>
    <row r="1069" spans="1:9" x14ac:dyDescent="0.25">
      <c r="A1069" t="s">
        <v>150</v>
      </c>
      <c r="B1069" t="s">
        <v>47</v>
      </c>
      <c r="C1069" t="s">
        <v>34</v>
      </c>
      <c r="D1069">
        <v>0</v>
      </c>
      <c r="E1069">
        <v>2489</v>
      </c>
      <c r="F1069" t="s">
        <v>220</v>
      </c>
      <c r="G1069">
        <v>0</v>
      </c>
      <c r="H1069">
        <v>2336381</v>
      </c>
    </row>
    <row r="1070" spans="1:9" x14ac:dyDescent="0.25">
      <c r="A1070" t="s">
        <v>150</v>
      </c>
      <c r="B1070" t="s">
        <v>161</v>
      </c>
      <c r="C1070" t="s">
        <v>45</v>
      </c>
      <c r="D1070">
        <v>0</v>
      </c>
      <c r="E1070">
        <v>1202</v>
      </c>
      <c r="F1070" t="s">
        <v>220</v>
      </c>
      <c r="G1070">
        <v>0</v>
      </c>
      <c r="H1070">
        <v>702778</v>
      </c>
    </row>
    <row r="1071" spans="1:9" x14ac:dyDescent="0.25">
      <c r="A1071" t="s">
        <v>150</v>
      </c>
      <c r="B1071" t="s">
        <v>187</v>
      </c>
      <c r="C1071" t="s">
        <v>45</v>
      </c>
      <c r="D1071">
        <v>0</v>
      </c>
      <c r="E1071">
        <v>771</v>
      </c>
      <c r="F1071" t="s">
        <v>220</v>
      </c>
      <c r="G1071">
        <v>0</v>
      </c>
      <c r="H1071">
        <v>586321</v>
      </c>
    </row>
    <row r="1072" spans="1:9" x14ac:dyDescent="0.25">
      <c r="A1072" t="s">
        <v>150</v>
      </c>
      <c r="B1072" t="s">
        <v>183</v>
      </c>
      <c r="C1072" t="s">
        <v>45</v>
      </c>
      <c r="D1072">
        <v>0</v>
      </c>
      <c r="E1072">
        <v>210</v>
      </c>
      <c r="F1072" t="s">
        <v>220</v>
      </c>
      <c r="G1072">
        <v>0</v>
      </c>
      <c r="H1072">
        <v>37347</v>
      </c>
    </row>
    <row r="1073" spans="1:9" x14ac:dyDescent="0.25">
      <c r="A1073" t="s">
        <v>150</v>
      </c>
      <c r="B1073" t="s">
        <v>166</v>
      </c>
      <c r="C1073" t="s">
        <v>50</v>
      </c>
      <c r="D1073">
        <v>0</v>
      </c>
      <c r="E1073">
        <v>1440</v>
      </c>
      <c r="F1073" t="s">
        <v>220</v>
      </c>
      <c r="G1073">
        <v>0</v>
      </c>
      <c r="H1073">
        <v>300623</v>
      </c>
    </row>
    <row r="1074" spans="1:9" x14ac:dyDescent="0.25">
      <c r="A1074" t="s">
        <v>150</v>
      </c>
      <c r="B1074" t="s">
        <v>168</v>
      </c>
      <c r="C1074" t="s">
        <v>53</v>
      </c>
      <c r="D1074">
        <v>0</v>
      </c>
      <c r="E1074">
        <v>2601</v>
      </c>
      <c r="F1074" t="s">
        <v>220</v>
      </c>
      <c r="G1074">
        <v>0</v>
      </c>
      <c r="H1074">
        <v>1378925</v>
      </c>
    </row>
    <row r="1075" spans="1:9" x14ac:dyDescent="0.25">
      <c r="A1075" t="s">
        <v>150</v>
      </c>
      <c r="B1075" t="s">
        <v>89</v>
      </c>
      <c r="C1075" t="s">
        <v>34</v>
      </c>
      <c r="D1075">
        <v>0</v>
      </c>
      <c r="E1075">
        <v>365</v>
      </c>
      <c r="F1075" t="s">
        <v>220</v>
      </c>
      <c r="G1075">
        <v>0</v>
      </c>
      <c r="H1075">
        <v>64204</v>
      </c>
    </row>
    <row r="1076" spans="1:9" x14ac:dyDescent="0.25">
      <c r="A1076" t="s">
        <v>150</v>
      </c>
      <c r="B1076" t="s">
        <v>193</v>
      </c>
      <c r="C1076" t="s">
        <v>45</v>
      </c>
      <c r="D1076">
        <v>0</v>
      </c>
      <c r="E1076">
        <v>132</v>
      </c>
      <c r="F1076" t="s">
        <v>220</v>
      </c>
      <c r="G1076">
        <v>0</v>
      </c>
      <c r="H1076">
        <v>9087</v>
      </c>
    </row>
    <row r="1077" spans="1:9" x14ac:dyDescent="0.25">
      <c r="A1077" t="s">
        <v>150</v>
      </c>
      <c r="B1077" t="s">
        <v>172</v>
      </c>
      <c r="C1077" t="s">
        <v>50</v>
      </c>
      <c r="D1077">
        <v>0</v>
      </c>
      <c r="E1077">
        <v>350</v>
      </c>
      <c r="F1077" t="s">
        <v>220</v>
      </c>
      <c r="G1077">
        <v>0</v>
      </c>
      <c r="H1077">
        <v>41977</v>
      </c>
    </row>
    <row r="1078" spans="1:9" x14ac:dyDescent="0.25">
      <c r="A1078" t="s">
        <v>150</v>
      </c>
      <c r="B1078" t="s">
        <v>82</v>
      </c>
      <c r="C1078" t="s">
        <v>34</v>
      </c>
      <c r="D1078">
        <v>0</v>
      </c>
      <c r="E1078">
        <v>160</v>
      </c>
      <c r="F1078" t="s">
        <v>220</v>
      </c>
      <c r="G1078">
        <v>0</v>
      </c>
      <c r="H1078">
        <v>31963</v>
      </c>
    </row>
    <row r="1079" spans="1:9" x14ac:dyDescent="0.25">
      <c r="A1079" t="s">
        <v>150</v>
      </c>
      <c r="B1079" t="s">
        <v>175</v>
      </c>
      <c r="C1079" t="s">
        <v>48</v>
      </c>
      <c r="D1079">
        <v>0</v>
      </c>
      <c r="E1079">
        <v>330</v>
      </c>
      <c r="F1079" t="s">
        <v>220</v>
      </c>
      <c r="G1079">
        <v>0</v>
      </c>
      <c r="H1079">
        <v>104986</v>
      </c>
    </row>
    <row r="1080" spans="1:9" x14ac:dyDescent="0.25">
      <c r="A1080" t="s">
        <v>150</v>
      </c>
      <c r="B1080" t="s">
        <v>170</v>
      </c>
      <c r="C1080" t="s">
        <v>61</v>
      </c>
      <c r="D1080">
        <v>0</v>
      </c>
      <c r="E1080">
        <v>639</v>
      </c>
      <c r="F1080" t="s">
        <v>220</v>
      </c>
      <c r="G1080">
        <v>0</v>
      </c>
      <c r="H1080">
        <v>905062</v>
      </c>
    </row>
    <row r="1081" spans="1:9" x14ac:dyDescent="0.25">
      <c r="A1081" t="s">
        <v>150</v>
      </c>
      <c r="B1081" t="s">
        <v>165</v>
      </c>
      <c r="C1081" t="s">
        <v>48</v>
      </c>
      <c r="D1081">
        <v>0</v>
      </c>
      <c r="E1081">
        <v>2863</v>
      </c>
      <c r="F1081" t="s">
        <v>220</v>
      </c>
      <c r="G1081">
        <v>0</v>
      </c>
      <c r="H1081">
        <v>2126777</v>
      </c>
    </row>
    <row r="1082" spans="1:9" x14ac:dyDescent="0.25">
      <c r="A1082" t="s">
        <v>150</v>
      </c>
      <c r="B1082" t="s">
        <v>197</v>
      </c>
      <c r="C1082" t="s">
        <v>45</v>
      </c>
      <c r="D1082">
        <v>0</v>
      </c>
      <c r="E1082">
        <v>723</v>
      </c>
      <c r="F1082" t="s">
        <v>220</v>
      </c>
      <c r="G1082">
        <v>0</v>
      </c>
      <c r="H1082">
        <v>715657</v>
      </c>
    </row>
    <row r="1083" spans="1:9" x14ac:dyDescent="0.25">
      <c r="A1083" t="s">
        <v>150</v>
      </c>
      <c r="B1083" t="s">
        <v>180</v>
      </c>
      <c r="C1083" t="s">
        <v>45</v>
      </c>
      <c r="D1083">
        <v>0</v>
      </c>
      <c r="E1083">
        <v>493</v>
      </c>
      <c r="F1083" t="s">
        <v>220</v>
      </c>
      <c r="G1083">
        <v>0</v>
      </c>
      <c r="H1083">
        <v>621728</v>
      </c>
    </row>
    <row r="1084" spans="1:9" x14ac:dyDescent="0.25">
      <c r="A1084" t="s">
        <v>150</v>
      </c>
      <c r="B1084" t="s">
        <v>171</v>
      </c>
      <c r="C1084" t="s">
        <v>48</v>
      </c>
      <c r="D1084">
        <v>0</v>
      </c>
      <c r="E1084">
        <v>1377</v>
      </c>
      <c r="F1084" t="s">
        <v>220</v>
      </c>
      <c r="G1084">
        <v>0</v>
      </c>
      <c r="H1084">
        <v>981042</v>
      </c>
    </row>
    <row r="1085" spans="1:9" x14ac:dyDescent="0.25">
      <c r="A1085" t="s">
        <v>150</v>
      </c>
      <c r="B1085" t="s">
        <v>176</v>
      </c>
      <c r="C1085" t="s">
        <v>53</v>
      </c>
      <c r="D1085">
        <v>0</v>
      </c>
      <c r="E1085">
        <v>816</v>
      </c>
      <c r="F1085" t="s">
        <v>220</v>
      </c>
      <c r="G1085">
        <v>0</v>
      </c>
      <c r="H1085">
        <v>638583</v>
      </c>
    </row>
    <row r="1086" spans="1:9" x14ac:dyDescent="0.25">
      <c r="A1086" t="s">
        <v>150</v>
      </c>
      <c r="B1086" t="s">
        <v>202</v>
      </c>
      <c r="C1086" t="s">
        <v>45</v>
      </c>
      <c r="D1086">
        <v>0</v>
      </c>
      <c r="E1086">
        <v>191</v>
      </c>
      <c r="F1086" t="s">
        <v>220</v>
      </c>
      <c r="G1086">
        <v>0</v>
      </c>
      <c r="H1086">
        <v>178415</v>
      </c>
    </row>
    <row r="1087" spans="1:9" x14ac:dyDescent="0.25">
      <c r="A1087" t="s">
        <v>150</v>
      </c>
      <c r="B1087" t="s">
        <v>49</v>
      </c>
      <c r="C1087" t="s">
        <v>34</v>
      </c>
      <c r="D1087">
        <v>0</v>
      </c>
      <c r="E1087">
        <v>1602</v>
      </c>
      <c r="F1087" t="s">
        <v>220</v>
      </c>
      <c r="G1087">
        <v>0</v>
      </c>
      <c r="H1087">
        <v>1502951</v>
      </c>
    </row>
    <row r="1088" spans="1:9" x14ac:dyDescent="0.25">
      <c r="A1088" t="s">
        <v>150</v>
      </c>
      <c r="B1088" t="s">
        <v>173</v>
      </c>
      <c r="C1088" t="s">
        <v>61</v>
      </c>
      <c r="D1088">
        <v>0</v>
      </c>
      <c r="E1088">
        <v>300</v>
      </c>
      <c r="F1088" t="s">
        <v>220</v>
      </c>
      <c r="G1088">
        <v>0</v>
      </c>
      <c r="H1088">
        <v>72872</v>
      </c>
    </row>
    <row r="1089" spans="1:9" x14ac:dyDescent="0.25">
      <c r="A1089" t="s">
        <v>150</v>
      </c>
      <c r="B1089" t="s">
        <v>94</v>
      </c>
      <c r="C1089" t="s">
        <v>34</v>
      </c>
      <c r="D1089">
        <v>0</v>
      </c>
      <c r="E1089">
        <v>115</v>
      </c>
      <c r="F1089" t="s">
        <v>220</v>
      </c>
      <c r="G1089">
        <v>0</v>
      </c>
      <c r="H1089">
        <v>26356</v>
      </c>
    </row>
    <row r="1090" spans="1:9" x14ac:dyDescent="0.25">
      <c r="A1090" t="s">
        <v>150</v>
      </c>
      <c r="B1090" t="s">
        <v>77</v>
      </c>
      <c r="C1090" t="s">
        <v>34</v>
      </c>
      <c r="D1090">
        <v>0</v>
      </c>
      <c r="E1090">
        <v>200</v>
      </c>
      <c r="F1090" t="s">
        <v>220</v>
      </c>
      <c r="G1090">
        <v>0</v>
      </c>
      <c r="H1090">
        <v>46829</v>
      </c>
    </row>
    <row r="1091" spans="1:9" x14ac:dyDescent="0.25">
      <c r="A1091" t="s">
        <v>150</v>
      </c>
      <c r="B1091" t="s">
        <v>67</v>
      </c>
      <c r="C1091" t="s">
        <v>34</v>
      </c>
      <c r="D1091">
        <v>0</v>
      </c>
      <c r="E1091">
        <v>200</v>
      </c>
      <c r="F1091" t="s">
        <v>220</v>
      </c>
      <c r="G1091">
        <v>0</v>
      </c>
      <c r="H1091">
        <v>46828</v>
      </c>
    </row>
    <row r="1092" spans="1:9" x14ac:dyDescent="0.25">
      <c r="A1092" t="s">
        <v>150</v>
      </c>
      <c r="B1092" t="s">
        <v>99</v>
      </c>
      <c r="C1092" t="s">
        <v>34</v>
      </c>
      <c r="D1092">
        <v>0</v>
      </c>
      <c r="E1092">
        <v>175</v>
      </c>
      <c r="F1092" t="s">
        <v>220</v>
      </c>
      <c r="G1092">
        <v>0</v>
      </c>
      <c r="H1092">
        <v>47533</v>
      </c>
    </row>
    <row r="1093" spans="1:9" x14ac:dyDescent="0.25">
      <c r="A1093" t="s">
        <v>150</v>
      </c>
      <c r="B1093" t="s">
        <v>186</v>
      </c>
      <c r="C1093" t="s">
        <v>53</v>
      </c>
      <c r="D1093">
        <v>0</v>
      </c>
      <c r="E1093">
        <v>45</v>
      </c>
      <c r="F1093" t="s">
        <v>220</v>
      </c>
      <c r="G1093">
        <v>0</v>
      </c>
      <c r="H1093">
        <v>12572</v>
      </c>
    </row>
    <row r="1094" spans="1:9" x14ac:dyDescent="0.25">
      <c r="A1094" t="s">
        <v>150</v>
      </c>
      <c r="B1094" t="s">
        <v>66</v>
      </c>
      <c r="C1094" t="s">
        <v>34</v>
      </c>
      <c r="D1094">
        <v>0</v>
      </c>
      <c r="E1094">
        <v>100</v>
      </c>
      <c r="F1094" t="s">
        <v>220</v>
      </c>
      <c r="G1094">
        <v>0</v>
      </c>
      <c r="H1094">
        <v>22942</v>
      </c>
    </row>
    <row r="1095" spans="1:9" x14ac:dyDescent="0.25">
      <c r="A1095" t="s">
        <v>150</v>
      </c>
      <c r="B1095" t="s">
        <v>213</v>
      </c>
      <c r="C1095" t="s">
        <v>150</v>
      </c>
      <c r="D1095">
        <v>0</v>
      </c>
      <c r="E1095">
        <v>100</v>
      </c>
      <c r="F1095" t="s">
        <v>220</v>
      </c>
      <c r="G1095">
        <v>0</v>
      </c>
      <c r="H1095">
        <v>23820</v>
      </c>
    </row>
    <row r="1096" spans="1:9" x14ac:dyDescent="0.25">
      <c r="A1096" t="s">
        <v>150</v>
      </c>
      <c r="B1096" t="s">
        <v>80</v>
      </c>
      <c r="C1096" t="s">
        <v>34</v>
      </c>
      <c r="D1096">
        <v>0</v>
      </c>
      <c r="E1096">
        <v>400</v>
      </c>
      <c r="F1096" t="s">
        <v>220</v>
      </c>
      <c r="G1096">
        <v>0</v>
      </c>
      <c r="H1096">
        <v>91990</v>
      </c>
    </row>
    <row r="1097" spans="1:9" x14ac:dyDescent="0.25">
      <c r="A1097" t="s">
        <v>150</v>
      </c>
      <c r="B1097" t="s">
        <v>71</v>
      </c>
      <c r="C1097" t="s">
        <v>34</v>
      </c>
      <c r="D1097">
        <v>0</v>
      </c>
      <c r="E1097">
        <v>770</v>
      </c>
      <c r="F1097" t="s">
        <v>220</v>
      </c>
      <c r="G1097">
        <v>0</v>
      </c>
      <c r="H1097">
        <v>185616</v>
      </c>
    </row>
    <row r="1098" spans="1:9" x14ac:dyDescent="0.25">
      <c r="A1098" t="s">
        <v>150</v>
      </c>
      <c r="B1098" t="s">
        <v>169</v>
      </c>
      <c r="C1098" t="s">
        <v>45</v>
      </c>
      <c r="D1098">
        <v>0</v>
      </c>
      <c r="E1098">
        <v>207</v>
      </c>
      <c r="F1098" t="s">
        <v>220</v>
      </c>
      <c r="G1098">
        <v>0</v>
      </c>
      <c r="H1098">
        <v>304818</v>
      </c>
    </row>
    <row r="1099" spans="1:9" x14ac:dyDescent="0.25">
      <c r="A1099" t="s">
        <v>150</v>
      </c>
      <c r="B1099" t="s">
        <v>69</v>
      </c>
      <c r="C1099" t="s">
        <v>34</v>
      </c>
      <c r="D1099">
        <v>0</v>
      </c>
      <c r="E1099">
        <v>175</v>
      </c>
      <c r="F1099" t="s">
        <v>220</v>
      </c>
      <c r="G1099">
        <v>0</v>
      </c>
      <c r="H1099">
        <v>287406</v>
      </c>
    </row>
    <row r="1100" spans="1:9" x14ac:dyDescent="0.25">
      <c r="A1100" t="s">
        <v>150</v>
      </c>
      <c r="B1100" t="s">
        <v>44</v>
      </c>
      <c r="C1100" t="s">
        <v>34</v>
      </c>
      <c r="D1100">
        <v>0</v>
      </c>
      <c r="E1100">
        <v>1271</v>
      </c>
      <c r="F1100" t="s">
        <v>43</v>
      </c>
      <c r="G1100">
        <v>0</v>
      </c>
      <c r="H1100">
        <v>1867898</v>
      </c>
    </row>
    <row r="1101" spans="1:9" x14ac:dyDescent="0.25">
      <c r="A1101" t="s">
        <v>150</v>
      </c>
      <c r="B1101" t="s">
        <v>175</v>
      </c>
      <c r="C1101" t="s">
        <v>48</v>
      </c>
      <c r="D1101">
        <v>0</v>
      </c>
      <c r="E1101">
        <v>150</v>
      </c>
      <c r="F1101" t="s">
        <v>220</v>
      </c>
      <c r="G1101">
        <v>0</v>
      </c>
      <c r="H1101">
        <v>216519</v>
      </c>
    </row>
    <row r="1102" spans="1:9" x14ac:dyDescent="0.25">
      <c r="A1102" t="s">
        <v>150</v>
      </c>
      <c r="B1102" t="s">
        <v>88</v>
      </c>
      <c r="C1102" t="s">
        <v>34</v>
      </c>
      <c r="D1102">
        <v>0</v>
      </c>
      <c r="E1102">
        <v>12</v>
      </c>
      <c r="F1102" t="s">
        <v>220</v>
      </c>
      <c r="G1102">
        <v>0</v>
      </c>
      <c r="H1102">
        <v>13855</v>
      </c>
    </row>
    <row r="1103" spans="1:9" x14ac:dyDescent="0.25">
      <c r="A1103" t="s">
        <v>150</v>
      </c>
      <c r="B1103" t="s">
        <v>165</v>
      </c>
      <c r="C1103" t="s">
        <v>48</v>
      </c>
      <c r="D1103">
        <v>0</v>
      </c>
      <c r="E1103">
        <v>288</v>
      </c>
      <c r="F1103" t="s">
        <v>220</v>
      </c>
      <c r="G1103">
        <v>0</v>
      </c>
      <c r="H1103">
        <v>370153</v>
      </c>
    </row>
    <row r="1104" spans="1:9" x14ac:dyDescent="0.25">
      <c r="A1104" t="s">
        <v>150</v>
      </c>
      <c r="B1104" t="s">
        <v>98</v>
      </c>
      <c r="C1104" t="s">
        <v>34</v>
      </c>
      <c r="D1104">
        <v>0</v>
      </c>
      <c r="E1104">
        <v>42</v>
      </c>
      <c r="F1104" t="s">
        <v>220</v>
      </c>
      <c r="G1104">
        <v>0</v>
      </c>
      <c r="H1104">
        <v>54076</v>
      </c>
    </row>
    <row r="1105" spans="1:9" x14ac:dyDescent="0.25">
      <c r="A1105" t="s">
        <v>150</v>
      </c>
      <c r="B1105" t="s">
        <v>73</v>
      </c>
      <c r="C1105" t="s">
        <v>34</v>
      </c>
      <c r="D1105">
        <v>0</v>
      </c>
      <c r="E1105">
        <v>150</v>
      </c>
      <c r="F1105" t="s">
        <v>220</v>
      </c>
      <c r="G1105">
        <v>0</v>
      </c>
      <c r="H1105">
        <v>188170</v>
      </c>
    </row>
    <row r="1106" spans="1:9" x14ac:dyDescent="0.25">
      <c r="A1106" t="s">
        <v>150</v>
      </c>
      <c r="B1106" t="s">
        <v>164</v>
      </c>
      <c r="C1106" t="s">
        <v>55</v>
      </c>
      <c r="D1106">
        <v>0</v>
      </c>
      <c r="E1106">
        <v>6478</v>
      </c>
      <c r="F1106" t="s">
        <v>220</v>
      </c>
      <c r="G1106">
        <v>0</v>
      </c>
      <c r="H1106">
        <v>10774092</v>
      </c>
    </row>
    <row r="1107" spans="1:9" x14ac:dyDescent="0.25">
      <c r="A1107" t="s">
        <v>150</v>
      </c>
      <c r="B1107" t="s">
        <v>173</v>
      </c>
      <c r="C1107" t="s">
        <v>61</v>
      </c>
      <c r="D1107">
        <v>0</v>
      </c>
      <c r="E1107">
        <v>497</v>
      </c>
      <c r="F1107" t="s">
        <v>220</v>
      </c>
      <c r="G1107">
        <v>0</v>
      </c>
      <c r="H1107">
        <v>749316</v>
      </c>
    </row>
    <row r="1108" spans="1:9" x14ac:dyDescent="0.25">
      <c r="A1108" t="s">
        <v>150</v>
      </c>
      <c r="B1108" t="s">
        <v>190</v>
      </c>
      <c r="C1108" t="s">
        <v>45</v>
      </c>
      <c r="D1108">
        <v>0</v>
      </c>
      <c r="E1108">
        <v>12</v>
      </c>
      <c r="F1108" t="s">
        <v>43</v>
      </c>
      <c r="G1108">
        <v>0</v>
      </c>
      <c r="H1108">
        <v>10391</v>
      </c>
    </row>
    <row r="1109" spans="1:9" x14ac:dyDescent="0.25">
      <c r="A1109" t="s">
        <v>150</v>
      </c>
      <c r="B1109" t="s">
        <v>47</v>
      </c>
      <c r="C1109" t="s">
        <v>34</v>
      </c>
      <c r="D1109">
        <v>0</v>
      </c>
      <c r="E1109">
        <v>384</v>
      </c>
      <c r="F1109" t="s">
        <v>220</v>
      </c>
      <c r="G1109">
        <v>0</v>
      </c>
      <c r="H1109">
        <v>577819</v>
      </c>
    </row>
    <row r="1110" spans="1:9" x14ac:dyDescent="0.25">
      <c r="A1110" t="s">
        <v>150</v>
      </c>
      <c r="B1110" t="s">
        <v>184</v>
      </c>
      <c r="C1110" t="s">
        <v>50</v>
      </c>
      <c r="D1110">
        <v>0</v>
      </c>
      <c r="E1110">
        <v>1057</v>
      </c>
      <c r="F1110" t="s">
        <v>220</v>
      </c>
      <c r="G1110">
        <v>0</v>
      </c>
      <c r="H1110">
        <v>1917204</v>
      </c>
    </row>
    <row r="1111" spans="1:9" x14ac:dyDescent="0.25">
      <c r="A1111" t="s">
        <v>150</v>
      </c>
      <c r="B1111" t="s">
        <v>194</v>
      </c>
      <c r="C1111" t="s">
        <v>58</v>
      </c>
      <c r="D1111">
        <v>0</v>
      </c>
      <c r="E1111">
        <v>209</v>
      </c>
      <c r="F1111" t="s">
        <v>220</v>
      </c>
      <c r="G1111">
        <v>0</v>
      </c>
      <c r="H1111">
        <v>287575</v>
      </c>
    </row>
    <row r="1112" spans="1:9" x14ac:dyDescent="0.25">
      <c r="A1112" t="s">
        <v>150</v>
      </c>
      <c r="B1112" t="s">
        <v>161</v>
      </c>
      <c r="C1112" t="s">
        <v>45</v>
      </c>
      <c r="D1112">
        <v>0</v>
      </c>
      <c r="E1112">
        <v>563</v>
      </c>
      <c r="F1112" t="s">
        <v>220</v>
      </c>
      <c r="G1112">
        <v>0</v>
      </c>
      <c r="H1112">
        <v>910613</v>
      </c>
    </row>
    <row r="1113" spans="1:9" x14ac:dyDescent="0.25">
      <c r="A1113" t="s">
        <v>150</v>
      </c>
      <c r="B1113" t="s">
        <v>171</v>
      </c>
      <c r="C1113" t="s">
        <v>48</v>
      </c>
      <c r="D1113">
        <v>0</v>
      </c>
      <c r="E1113">
        <v>629</v>
      </c>
      <c r="F1113" t="s">
        <v>220</v>
      </c>
      <c r="G1113">
        <v>0</v>
      </c>
      <c r="H1113">
        <v>1231407</v>
      </c>
    </row>
    <row r="1114" spans="1:9" x14ac:dyDescent="0.25">
      <c r="A1114" t="s">
        <v>150</v>
      </c>
      <c r="B1114" t="s">
        <v>91</v>
      </c>
      <c r="C1114" t="s">
        <v>34</v>
      </c>
      <c r="D1114">
        <v>0</v>
      </c>
      <c r="E1114">
        <v>3</v>
      </c>
      <c r="F1114" t="s">
        <v>43</v>
      </c>
      <c r="G1114">
        <v>0</v>
      </c>
      <c r="H1114">
        <v>2687</v>
      </c>
    </row>
    <row r="1115" spans="1:9" x14ac:dyDescent="0.25">
      <c r="A1115" t="s">
        <v>150</v>
      </c>
      <c r="B1115" t="s">
        <v>166</v>
      </c>
      <c r="C1115" t="s">
        <v>50</v>
      </c>
      <c r="D1115">
        <v>0</v>
      </c>
      <c r="E1115">
        <v>2685</v>
      </c>
      <c r="F1115" t="s">
        <v>220</v>
      </c>
      <c r="G1115">
        <v>0</v>
      </c>
      <c r="H1115">
        <v>4648131</v>
      </c>
    </row>
    <row r="1116" spans="1:9" x14ac:dyDescent="0.25">
      <c r="A1116" t="s">
        <v>150</v>
      </c>
      <c r="B1116" t="s">
        <v>168</v>
      </c>
      <c r="C1116" t="s">
        <v>53</v>
      </c>
      <c r="D1116">
        <v>0</v>
      </c>
      <c r="E1116">
        <v>1846</v>
      </c>
      <c r="F1116" t="s">
        <v>220</v>
      </c>
      <c r="G1116">
        <v>0</v>
      </c>
      <c r="H1116">
        <v>2861772</v>
      </c>
    </row>
    <row r="1117" spans="1:9" x14ac:dyDescent="0.25">
      <c r="A1117" t="s">
        <v>150</v>
      </c>
      <c r="B1117" t="s">
        <v>205</v>
      </c>
      <c r="C1117" t="s">
        <v>53</v>
      </c>
      <c r="D1117">
        <v>0</v>
      </c>
      <c r="E1117">
        <v>48</v>
      </c>
      <c r="F1117" t="s">
        <v>220</v>
      </c>
      <c r="G1117">
        <v>0</v>
      </c>
      <c r="H1117">
        <v>55420</v>
      </c>
    </row>
    <row r="1118" spans="1:9" x14ac:dyDescent="0.25">
      <c r="A1118" t="s">
        <v>150</v>
      </c>
      <c r="B1118" t="s">
        <v>89</v>
      </c>
      <c r="C1118" t="s">
        <v>34</v>
      </c>
      <c r="D1118">
        <v>0</v>
      </c>
      <c r="E1118">
        <v>219</v>
      </c>
      <c r="F1118" t="s">
        <v>220</v>
      </c>
      <c r="G1118">
        <v>0</v>
      </c>
      <c r="H1118">
        <v>481845</v>
      </c>
    </row>
    <row r="1119" spans="1:9" x14ac:dyDescent="0.25">
      <c r="A1119" t="s">
        <v>150</v>
      </c>
      <c r="B1119" t="s">
        <v>167</v>
      </c>
      <c r="C1119" t="s">
        <v>50</v>
      </c>
      <c r="D1119">
        <v>0</v>
      </c>
      <c r="E1119">
        <v>997</v>
      </c>
      <c r="F1119" t="s">
        <v>220</v>
      </c>
      <c r="G1119">
        <v>0</v>
      </c>
      <c r="H1119">
        <v>1476736</v>
      </c>
    </row>
    <row r="1120" spans="1:9" x14ac:dyDescent="0.25">
      <c r="A1120" t="s">
        <v>150</v>
      </c>
      <c r="B1120" t="s">
        <v>210</v>
      </c>
      <c r="C1120" t="s">
        <v>150</v>
      </c>
      <c r="D1120">
        <v>0</v>
      </c>
      <c r="E1120">
        <v>11</v>
      </c>
      <c r="F1120" t="s">
        <v>220</v>
      </c>
      <c r="G1120">
        <v>0</v>
      </c>
      <c r="H1120">
        <v>16080</v>
      </c>
    </row>
    <row r="1121" spans="1:9" x14ac:dyDescent="0.25">
      <c r="A1121" t="s">
        <v>150</v>
      </c>
      <c r="B1121" t="s">
        <v>186</v>
      </c>
      <c r="C1121" t="s">
        <v>53</v>
      </c>
      <c r="D1121">
        <v>0</v>
      </c>
      <c r="E1121">
        <v>230</v>
      </c>
      <c r="F1121" t="s">
        <v>43</v>
      </c>
      <c r="G1121">
        <v>0</v>
      </c>
      <c r="H1121">
        <v>333850</v>
      </c>
    </row>
    <row r="1122" spans="1:9" x14ac:dyDescent="0.25">
      <c r="A1122" t="s">
        <v>150</v>
      </c>
      <c r="B1122" t="s">
        <v>213</v>
      </c>
      <c r="C1122" t="s">
        <v>150</v>
      </c>
      <c r="D1122">
        <v>0</v>
      </c>
      <c r="E1122">
        <v>46</v>
      </c>
      <c r="F1122" t="s">
        <v>220</v>
      </c>
      <c r="G1122">
        <v>0</v>
      </c>
      <c r="H1122">
        <v>70610</v>
      </c>
    </row>
    <row r="1123" spans="1:9" x14ac:dyDescent="0.25">
      <c r="A1123" t="s">
        <v>150</v>
      </c>
      <c r="B1123" t="s">
        <v>172</v>
      </c>
      <c r="C1123" t="s">
        <v>50</v>
      </c>
      <c r="D1123">
        <v>0</v>
      </c>
      <c r="E1123">
        <v>1193</v>
      </c>
      <c r="F1123" t="s">
        <v>220</v>
      </c>
      <c r="G1123">
        <v>0</v>
      </c>
      <c r="H1123">
        <v>1691846</v>
      </c>
    </row>
    <row r="1124" spans="1:9" x14ac:dyDescent="0.25">
      <c r="A1124" t="s">
        <v>150</v>
      </c>
      <c r="B1124" t="s">
        <v>49</v>
      </c>
      <c r="C1124" t="s">
        <v>34</v>
      </c>
      <c r="D1124">
        <v>0</v>
      </c>
      <c r="E1124">
        <v>530</v>
      </c>
      <c r="F1124" t="s">
        <v>220</v>
      </c>
      <c r="G1124">
        <v>0</v>
      </c>
      <c r="H1124">
        <v>602480</v>
      </c>
    </row>
    <row r="1125" spans="1:9" x14ac:dyDescent="0.25">
      <c r="A1125" t="s">
        <v>150</v>
      </c>
      <c r="B1125" t="s">
        <v>178</v>
      </c>
      <c r="C1125" t="s">
        <v>58</v>
      </c>
      <c r="D1125">
        <v>0</v>
      </c>
      <c r="E1125">
        <v>515</v>
      </c>
      <c r="F1125" t="s">
        <v>220</v>
      </c>
      <c r="G1125">
        <v>0</v>
      </c>
      <c r="H1125">
        <v>873245</v>
      </c>
    </row>
    <row r="1126" spans="1:9" x14ac:dyDescent="0.25">
      <c r="A1126" t="s">
        <v>150</v>
      </c>
      <c r="B1126" t="s">
        <v>192</v>
      </c>
      <c r="C1126" t="s">
        <v>45</v>
      </c>
      <c r="D1126">
        <v>0</v>
      </c>
      <c r="E1126">
        <v>45</v>
      </c>
      <c r="F1126" t="s">
        <v>220</v>
      </c>
      <c r="G1126">
        <v>0</v>
      </c>
      <c r="H1126">
        <v>85479</v>
      </c>
    </row>
    <row r="1127" spans="1:9" x14ac:dyDescent="0.25">
      <c r="A1127" t="s">
        <v>150</v>
      </c>
      <c r="B1127" t="s">
        <v>95</v>
      </c>
      <c r="C1127" t="s">
        <v>34</v>
      </c>
      <c r="D1127">
        <v>0</v>
      </c>
      <c r="E1127">
        <v>3</v>
      </c>
      <c r="F1127" t="s">
        <v>43</v>
      </c>
      <c r="G1127">
        <v>0</v>
      </c>
      <c r="H1127">
        <v>8109</v>
      </c>
    </row>
    <row r="1128" spans="1:9" x14ac:dyDescent="0.25">
      <c r="A1128" t="s">
        <v>150</v>
      </c>
      <c r="B1128" t="s">
        <v>201</v>
      </c>
      <c r="C1128" t="s">
        <v>53</v>
      </c>
      <c r="D1128">
        <v>0</v>
      </c>
      <c r="E1128">
        <v>64</v>
      </c>
      <c r="F1128" t="s">
        <v>43</v>
      </c>
      <c r="G1128">
        <v>0</v>
      </c>
      <c r="H1128">
        <v>87994</v>
      </c>
    </row>
    <row r="1129" spans="1:9" x14ac:dyDescent="0.25">
      <c r="A1129" t="s">
        <v>150</v>
      </c>
      <c r="B1129" t="s">
        <v>170</v>
      </c>
      <c r="C1129" t="s">
        <v>61</v>
      </c>
      <c r="D1129">
        <v>0</v>
      </c>
      <c r="E1129">
        <v>330</v>
      </c>
      <c r="F1129" t="s">
        <v>43</v>
      </c>
      <c r="G1129">
        <v>0</v>
      </c>
      <c r="H1129">
        <v>678798</v>
      </c>
    </row>
    <row r="1130" spans="1:9" x14ac:dyDescent="0.25">
      <c r="A1130" t="s">
        <v>150</v>
      </c>
      <c r="B1130" t="s">
        <v>212</v>
      </c>
      <c r="C1130" t="s">
        <v>50</v>
      </c>
      <c r="D1130">
        <v>0</v>
      </c>
      <c r="E1130">
        <v>4</v>
      </c>
      <c r="F1130" t="s">
        <v>43</v>
      </c>
      <c r="G1130">
        <v>0</v>
      </c>
      <c r="H1130">
        <v>10466</v>
      </c>
    </row>
    <row r="1131" spans="1:9" x14ac:dyDescent="0.25">
      <c r="A1131" t="s">
        <v>150</v>
      </c>
      <c r="B1131" t="s">
        <v>177</v>
      </c>
      <c r="C1131" t="s">
        <v>48</v>
      </c>
      <c r="D1131">
        <v>0</v>
      </c>
      <c r="E1131">
        <v>886</v>
      </c>
      <c r="F1131" t="s">
        <v>43</v>
      </c>
      <c r="G1131">
        <v>0</v>
      </c>
      <c r="H1131">
        <v>1387876</v>
      </c>
    </row>
    <row r="1132" spans="1:9" x14ac:dyDescent="0.25">
      <c r="A1132" t="s">
        <v>150</v>
      </c>
      <c r="B1132" t="s">
        <v>196</v>
      </c>
      <c r="C1132" t="s">
        <v>53</v>
      </c>
      <c r="D1132">
        <v>0</v>
      </c>
      <c r="E1132">
        <v>40</v>
      </c>
      <c r="F1132" t="s">
        <v>43</v>
      </c>
      <c r="G1132">
        <v>0</v>
      </c>
      <c r="H1132">
        <v>52051</v>
      </c>
    </row>
    <row r="1133" spans="1:9" x14ac:dyDescent="0.25">
      <c r="A1133" t="s">
        <v>150</v>
      </c>
      <c r="B1133" t="s">
        <v>203</v>
      </c>
      <c r="C1133" t="s">
        <v>58</v>
      </c>
      <c r="D1133">
        <v>0</v>
      </c>
      <c r="E1133">
        <v>112</v>
      </c>
      <c r="F1133" t="s">
        <v>43</v>
      </c>
      <c r="G1133">
        <v>0</v>
      </c>
      <c r="H1133">
        <v>192127</v>
      </c>
    </row>
    <row r="1134" spans="1:9" x14ac:dyDescent="0.25">
      <c r="A1134" t="s">
        <v>150</v>
      </c>
      <c r="B1134" t="s">
        <v>197</v>
      </c>
      <c r="C1134" t="s">
        <v>45</v>
      </c>
      <c r="D1134">
        <v>0</v>
      </c>
      <c r="E1134">
        <v>32</v>
      </c>
      <c r="F1134" t="s">
        <v>43</v>
      </c>
      <c r="G1134">
        <v>0</v>
      </c>
      <c r="H1134">
        <v>42418</v>
      </c>
    </row>
    <row r="1135" spans="1:9" x14ac:dyDescent="0.25">
      <c r="A1135" t="s">
        <v>150</v>
      </c>
      <c r="B1135" t="s">
        <v>174</v>
      </c>
      <c r="C1135" t="s">
        <v>45</v>
      </c>
      <c r="D1135">
        <v>0</v>
      </c>
      <c r="E1135">
        <v>336</v>
      </c>
      <c r="F1135" t="s">
        <v>43</v>
      </c>
      <c r="G1135">
        <v>0</v>
      </c>
      <c r="H1135">
        <v>404530</v>
      </c>
    </row>
    <row r="1136" spans="1:9" x14ac:dyDescent="0.25">
      <c r="A1136" t="s">
        <v>150</v>
      </c>
      <c r="B1136" t="s">
        <v>180</v>
      </c>
      <c r="C1136" t="s">
        <v>45</v>
      </c>
      <c r="D1136">
        <v>0</v>
      </c>
      <c r="E1136">
        <v>104</v>
      </c>
      <c r="F1136" t="s">
        <v>43</v>
      </c>
      <c r="G1136">
        <v>0</v>
      </c>
      <c r="H1136">
        <v>136023</v>
      </c>
    </row>
    <row r="1137" spans="1:9" x14ac:dyDescent="0.25">
      <c r="A1137" t="s">
        <v>150</v>
      </c>
      <c r="B1137" t="s">
        <v>187</v>
      </c>
      <c r="C1137" t="s">
        <v>45</v>
      </c>
      <c r="D1137">
        <v>0</v>
      </c>
      <c r="E1137">
        <v>102</v>
      </c>
      <c r="F1137" t="s">
        <v>43</v>
      </c>
      <c r="G1137">
        <v>0</v>
      </c>
      <c r="H1137">
        <v>131981</v>
      </c>
    </row>
    <row r="1138" spans="1:9" x14ac:dyDescent="0.25">
      <c r="A1138" t="s">
        <v>150</v>
      </c>
      <c r="B1138" t="s">
        <v>183</v>
      </c>
      <c r="C1138" t="s">
        <v>45</v>
      </c>
      <c r="D1138">
        <v>0</v>
      </c>
      <c r="E1138">
        <v>123</v>
      </c>
      <c r="F1138" t="s">
        <v>43</v>
      </c>
      <c r="G1138">
        <v>0</v>
      </c>
      <c r="H1138">
        <v>203946</v>
      </c>
    </row>
    <row r="1139" spans="1:9" x14ac:dyDescent="0.25">
      <c r="A1139" t="s">
        <v>150</v>
      </c>
      <c r="B1139" t="s">
        <v>182</v>
      </c>
      <c r="C1139" t="s">
        <v>53</v>
      </c>
      <c r="D1139">
        <v>0</v>
      </c>
      <c r="E1139">
        <v>265</v>
      </c>
      <c r="F1139" t="s">
        <v>43</v>
      </c>
      <c r="G1139">
        <v>0</v>
      </c>
      <c r="H1139">
        <v>361408</v>
      </c>
    </row>
    <row r="1140" spans="1:9" x14ac:dyDescent="0.25">
      <c r="A1140" t="s">
        <v>150</v>
      </c>
      <c r="B1140" t="s">
        <v>193</v>
      </c>
      <c r="C1140" t="s">
        <v>45</v>
      </c>
      <c r="D1140">
        <v>0</v>
      </c>
      <c r="E1140">
        <v>7</v>
      </c>
      <c r="F1140" t="s">
        <v>43</v>
      </c>
      <c r="G1140">
        <v>0</v>
      </c>
      <c r="H1140">
        <v>9805</v>
      </c>
    </row>
    <row r="1141" spans="1:9" x14ac:dyDescent="0.25">
      <c r="A1141" t="s">
        <v>150</v>
      </c>
      <c r="B1141" t="s">
        <v>181</v>
      </c>
      <c r="C1141" t="s">
        <v>50</v>
      </c>
      <c r="D1141">
        <v>0</v>
      </c>
      <c r="E1141">
        <v>326</v>
      </c>
      <c r="F1141" t="s">
        <v>43</v>
      </c>
      <c r="G1141">
        <v>0</v>
      </c>
      <c r="H1141">
        <v>510191</v>
      </c>
    </row>
    <row r="1142" spans="1:9" x14ac:dyDescent="0.25">
      <c r="A1142" t="s">
        <v>150</v>
      </c>
      <c r="B1142" t="s">
        <v>74</v>
      </c>
      <c r="C1142" t="s">
        <v>34</v>
      </c>
      <c r="D1142">
        <v>0</v>
      </c>
      <c r="E1142">
        <v>68</v>
      </c>
      <c r="F1142" t="s">
        <v>43</v>
      </c>
      <c r="G1142">
        <v>0</v>
      </c>
      <c r="H1142">
        <v>101600</v>
      </c>
    </row>
    <row r="1143" spans="1:9" x14ac:dyDescent="0.25">
      <c r="A1143" t="s">
        <v>150</v>
      </c>
      <c r="B1143" t="s">
        <v>176</v>
      </c>
      <c r="C1143" t="s">
        <v>53</v>
      </c>
      <c r="D1143">
        <v>0</v>
      </c>
      <c r="E1143">
        <v>76</v>
      </c>
      <c r="F1143" t="s">
        <v>43</v>
      </c>
      <c r="G1143">
        <v>0</v>
      </c>
      <c r="H1143">
        <v>120208</v>
      </c>
    </row>
    <row r="1144" spans="1:9" x14ac:dyDescent="0.25">
      <c r="A1144" t="s">
        <v>150</v>
      </c>
      <c r="B1144" t="s">
        <v>188</v>
      </c>
      <c r="C1144" t="s">
        <v>45</v>
      </c>
      <c r="D1144">
        <v>0</v>
      </c>
      <c r="E1144">
        <v>35</v>
      </c>
      <c r="F1144" t="s">
        <v>43</v>
      </c>
      <c r="G1144">
        <v>0</v>
      </c>
      <c r="H1144">
        <v>49027</v>
      </c>
    </row>
    <row r="1145" spans="1:9" x14ac:dyDescent="0.25">
      <c r="A1145" t="s">
        <v>150</v>
      </c>
      <c r="B1145" t="s">
        <v>191</v>
      </c>
      <c r="C1145" t="s">
        <v>45</v>
      </c>
      <c r="D1145">
        <v>0</v>
      </c>
      <c r="E1145">
        <v>5</v>
      </c>
      <c r="F1145" t="s">
        <v>43</v>
      </c>
      <c r="G1145">
        <v>0</v>
      </c>
      <c r="H1145">
        <v>9542</v>
      </c>
    </row>
    <row r="1146" spans="1:9" x14ac:dyDescent="0.25">
      <c r="A1146" t="s">
        <v>150</v>
      </c>
      <c r="B1146" t="s">
        <v>202</v>
      </c>
      <c r="C1146" t="s">
        <v>45</v>
      </c>
      <c r="D1146">
        <v>0</v>
      </c>
      <c r="E1146">
        <v>35</v>
      </c>
      <c r="F1146" t="s">
        <v>43</v>
      </c>
      <c r="G1146">
        <v>0</v>
      </c>
      <c r="H1146">
        <v>46789</v>
      </c>
    </row>
    <row r="1147" spans="1:9" x14ac:dyDescent="0.25">
      <c r="A1147" t="s">
        <v>150</v>
      </c>
      <c r="B1147" t="s">
        <v>82</v>
      </c>
      <c r="C1147" t="s">
        <v>34</v>
      </c>
      <c r="D1147">
        <v>0</v>
      </c>
      <c r="E1147">
        <v>32</v>
      </c>
      <c r="F1147" t="s">
        <v>43</v>
      </c>
      <c r="G1147">
        <v>0</v>
      </c>
      <c r="H1147">
        <v>36042</v>
      </c>
    </row>
    <row r="1148" spans="1:9" x14ac:dyDescent="0.25">
      <c r="A1148" t="s">
        <v>150</v>
      </c>
      <c r="B1148" t="s">
        <v>198</v>
      </c>
      <c r="C1148" t="s">
        <v>45</v>
      </c>
      <c r="D1148">
        <v>0</v>
      </c>
      <c r="E1148">
        <v>24</v>
      </c>
      <c r="F1148" t="s">
        <v>43</v>
      </c>
      <c r="G1148">
        <v>0</v>
      </c>
      <c r="H1148">
        <v>49732</v>
      </c>
    </row>
    <row r="1149" spans="1:9" x14ac:dyDescent="0.25">
      <c r="A1149" t="s">
        <v>150</v>
      </c>
      <c r="B1149" t="s">
        <v>80</v>
      </c>
      <c r="C1149" t="s">
        <v>34</v>
      </c>
      <c r="D1149">
        <v>0</v>
      </c>
      <c r="E1149">
        <v>496</v>
      </c>
      <c r="F1149" t="s">
        <v>43</v>
      </c>
      <c r="G1149">
        <v>0</v>
      </c>
      <c r="H1149">
        <v>592165</v>
      </c>
    </row>
    <row r="1150" spans="1:9" x14ac:dyDescent="0.25">
      <c r="A1150" t="s">
        <v>150</v>
      </c>
      <c r="B1150" t="s">
        <v>200</v>
      </c>
      <c r="C1150" t="s">
        <v>58</v>
      </c>
      <c r="D1150">
        <v>0</v>
      </c>
      <c r="E1150">
        <v>240</v>
      </c>
      <c r="F1150" t="s">
        <v>43</v>
      </c>
      <c r="G1150">
        <v>0</v>
      </c>
      <c r="H1150">
        <v>317942</v>
      </c>
    </row>
    <row r="1151" spans="1:9" x14ac:dyDescent="0.25">
      <c r="A1151" t="s">
        <v>150</v>
      </c>
      <c r="B1151" t="s">
        <v>169</v>
      </c>
      <c r="C1151" t="s">
        <v>45</v>
      </c>
      <c r="D1151">
        <v>0</v>
      </c>
      <c r="E1151">
        <v>63637</v>
      </c>
      <c r="F1151" t="s">
        <v>220</v>
      </c>
      <c r="G1151">
        <v>0</v>
      </c>
      <c r="H1151">
        <v>3490489</v>
      </c>
    </row>
    <row r="1152" spans="1:9" x14ac:dyDescent="0.25">
      <c r="A1152" t="s">
        <v>150</v>
      </c>
      <c r="B1152" t="s">
        <v>44</v>
      </c>
      <c r="C1152" t="s">
        <v>34</v>
      </c>
      <c r="D1152">
        <v>0</v>
      </c>
      <c r="E1152">
        <v>1190</v>
      </c>
      <c r="F1152" t="s">
        <v>220</v>
      </c>
      <c r="G1152">
        <v>0</v>
      </c>
      <c r="H1152">
        <v>88636</v>
      </c>
    </row>
    <row r="1153" spans="1:9" x14ac:dyDescent="0.25">
      <c r="A1153" t="s">
        <v>150</v>
      </c>
      <c r="B1153" t="s">
        <v>75</v>
      </c>
      <c r="C1153" t="s">
        <v>34</v>
      </c>
      <c r="D1153">
        <v>0</v>
      </c>
      <c r="E1153">
        <v>1290</v>
      </c>
      <c r="F1153" t="s">
        <v>220</v>
      </c>
      <c r="G1153">
        <v>0</v>
      </c>
      <c r="H1153">
        <v>124416</v>
      </c>
    </row>
    <row r="1154" spans="1:9" x14ac:dyDescent="0.25">
      <c r="A1154" t="s">
        <v>150</v>
      </c>
      <c r="B1154" t="s">
        <v>175</v>
      </c>
      <c r="C1154" t="s">
        <v>48</v>
      </c>
      <c r="D1154">
        <v>0</v>
      </c>
      <c r="E1154">
        <v>55270</v>
      </c>
      <c r="F1154" t="s">
        <v>220</v>
      </c>
      <c r="G1154">
        <v>0</v>
      </c>
      <c r="H1154">
        <v>2442451</v>
      </c>
    </row>
    <row r="1155" spans="1:9" x14ac:dyDescent="0.25">
      <c r="A1155" t="s">
        <v>150</v>
      </c>
      <c r="B1155" t="s">
        <v>170</v>
      </c>
      <c r="C1155" t="s">
        <v>61</v>
      </c>
      <c r="D1155">
        <v>0</v>
      </c>
      <c r="E1155">
        <v>1823</v>
      </c>
      <c r="F1155" t="s">
        <v>220</v>
      </c>
      <c r="G1155">
        <v>0</v>
      </c>
      <c r="H1155">
        <v>51791</v>
      </c>
    </row>
    <row r="1156" spans="1:9" x14ac:dyDescent="0.25">
      <c r="A1156" t="s">
        <v>150</v>
      </c>
      <c r="B1156" t="s">
        <v>177</v>
      </c>
      <c r="C1156" t="s">
        <v>48</v>
      </c>
      <c r="D1156">
        <v>0</v>
      </c>
      <c r="E1156">
        <v>17527</v>
      </c>
      <c r="F1156" t="s">
        <v>220</v>
      </c>
      <c r="G1156">
        <v>0</v>
      </c>
      <c r="H1156">
        <v>836526</v>
      </c>
    </row>
    <row r="1157" spans="1:9" x14ac:dyDescent="0.25">
      <c r="A1157" t="s">
        <v>150</v>
      </c>
      <c r="B1157" t="s">
        <v>163</v>
      </c>
      <c r="C1157" t="s">
        <v>45</v>
      </c>
      <c r="D1157">
        <v>0</v>
      </c>
      <c r="E1157">
        <v>80523</v>
      </c>
      <c r="F1157" t="s">
        <v>220</v>
      </c>
      <c r="G1157">
        <v>0</v>
      </c>
      <c r="H1157">
        <v>2227340</v>
      </c>
    </row>
    <row r="1158" spans="1:9" x14ac:dyDescent="0.25">
      <c r="A1158" t="s">
        <v>150</v>
      </c>
      <c r="B1158" t="s">
        <v>165</v>
      </c>
      <c r="C1158" t="s">
        <v>48</v>
      </c>
      <c r="D1158">
        <v>0</v>
      </c>
      <c r="E1158">
        <v>183167</v>
      </c>
      <c r="F1158" t="s">
        <v>220</v>
      </c>
      <c r="G1158">
        <v>0</v>
      </c>
      <c r="H1158">
        <v>7769830</v>
      </c>
    </row>
    <row r="1159" spans="1:9" x14ac:dyDescent="0.25">
      <c r="A1159" t="s">
        <v>150</v>
      </c>
      <c r="B1159" t="s">
        <v>73</v>
      </c>
      <c r="C1159" t="s">
        <v>34</v>
      </c>
      <c r="D1159">
        <v>0</v>
      </c>
      <c r="E1159">
        <v>20278</v>
      </c>
      <c r="F1159" t="s">
        <v>220</v>
      </c>
      <c r="G1159">
        <v>0</v>
      </c>
      <c r="H1159">
        <v>1151169</v>
      </c>
    </row>
    <row r="1160" spans="1:9" x14ac:dyDescent="0.25">
      <c r="A1160" t="s">
        <v>150</v>
      </c>
      <c r="B1160" t="s">
        <v>164</v>
      </c>
      <c r="C1160" t="s">
        <v>55</v>
      </c>
      <c r="D1160">
        <v>0</v>
      </c>
      <c r="E1160">
        <v>761</v>
      </c>
      <c r="F1160" t="s">
        <v>220</v>
      </c>
      <c r="G1160">
        <v>0</v>
      </c>
      <c r="H1160">
        <v>180194</v>
      </c>
    </row>
    <row r="1161" spans="1:9" x14ac:dyDescent="0.25">
      <c r="A1161" t="s">
        <v>150</v>
      </c>
      <c r="B1161" t="s">
        <v>57</v>
      </c>
      <c r="C1161" t="s">
        <v>34</v>
      </c>
      <c r="D1161">
        <v>0</v>
      </c>
      <c r="E1161">
        <v>81832</v>
      </c>
      <c r="F1161" t="s">
        <v>220</v>
      </c>
      <c r="G1161">
        <v>0</v>
      </c>
      <c r="H1161">
        <v>3241717</v>
      </c>
    </row>
    <row r="1162" spans="1:9" x14ac:dyDescent="0.25">
      <c r="A1162" t="s">
        <v>150</v>
      </c>
      <c r="B1162" t="s">
        <v>47</v>
      </c>
      <c r="C1162" t="s">
        <v>34</v>
      </c>
      <c r="D1162">
        <v>0</v>
      </c>
      <c r="E1162">
        <v>42243</v>
      </c>
      <c r="F1162" t="s">
        <v>220</v>
      </c>
      <c r="G1162">
        <v>0</v>
      </c>
      <c r="H1162">
        <v>2943756</v>
      </c>
    </row>
    <row r="1163" spans="1:9" x14ac:dyDescent="0.25">
      <c r="A1163" t="s">
        <v>150</v>
      </c>
      <c r="B1163" t="s">
        <v>194</v>
      </c>
      <c r="C1163" t="s">
        <v>58</v>
      </c>
      <c r="D1163">
        <v>0</v>
      </c>
      <c r="E1163">
        <v>480</v>
      </c>
      <c r="F1163" t="s">
        <v>220</v>
      </c>
      <c r="G1163">
        <v>0</v>
      </c>
      <c r="H1163">
        <v>138882</v>
      </c>
    </row>
    <row r="1164" spans="1:9" x14ac:dyDescent="0.25">
      <c r="A1164" t="s">
        <v>150</v>
      </c>
      <c r="B1164" t="s">
        <v>161</v>
      </c>
      <c r="C1164" t="s">
        <v>45</v>
      </c>
      <c r="D1164">
        <v>0</v>
      </c>
      <c r="E1164">
        <v>4348</v>
      </c>
      <c r="F1164" t="s">
        <v>220</v>
      </c>
      <c r="G1164">
        <v>0</v>
      </c>
      <c r="H1164">
        <v>152956</v>
      </c>
    </row>
    <row r="1165" spans="1:9" x14ac:dyDescent="0.25">
      <c r="A1165" t="s">
        <v>150</v>
      </c>
      <c r="B1165" t="s">
        <v>171</v>
      </c>
      <c r="C1165" t="s">
        <v>48</v>
      </c>
      <c r="D1165">
        <v>0</v>
      </c>
      <c r="E1165">
        <v>50067</v>
      </c>
      <c r="F1165" t="s">
        <v>220</v>
      </c>
      <c r="G1165">
        <v>0</v>
      </c>
      <c r="H1165">
        <v>1943966</v>
      </c>
    </row>
    <row r="1166" spans="1:9" x14ac:dyDescent="0.25">
      <c r="A1166" t="s">
        <v>150</v>
      </c>
      <c r="B1166" t="s">
        <v>166</v>
      </c>
      <c r="C1166" t="s">
        <v>50</v>
      </c>
      <c r="D1166">
        <v>0</v>
      </c>
      <c r="E1166">
        <v>270</v>
      </c>
      <c r="F1166" t="s">
        <v>220</v>
      </c>
      <c r="G1166">
        <v>0</v>
      </c>
      <c r="H1166">
        <v>29303</v>
      </c>
    </row>
    <row r="1167" spans="1:9" x14ac:dyDescent="0.25">
      <c r="A1167" t="s">
        <v>150</v>
      </c>
      <c r="B1167" t="s">
        <v>168</v>
      </c>
      <c r="C1167" t="s">
        <v>53</v>
      </c>
      <c r="D1167">
        <v>0</v>
      </c>
      <c r="E1167">
        <v>80850</v>
      </c>
      <c r="F1167" t="s">
        <v>220</v>
      </c>
      <c r="G1167">
        <v>0</v>
      </c>
      <c r="H1167">
        <v>2351419</v>
      </c>
    </row>
    <row r="1168" spans="1:9" x14ac:dyDescent="0.25">
      <c r="A1168" t="s">
        <v>150</v>
      </c>
      <c r="B1168" t="s">
        <v>67</v>
      </c>
      <c r="C1168" t="s">
        <v>34</v>
      </c>
      <c r="D1168">
        <v>0</v>
      </c>
      <c r="E1168">
        <v>21641</v>
      </c>
      <c r="F1168" t="s">
        <v>220</v>
      </c>
      <c r="G1168">
        <v>0</v>
      </c>
      <c r="H1168">
        <v>1197755</v>
      </c>
    </row>
    <row r="1169" spans="1:9" x14ac:dyDescent="0.25">
      <c r="A1169" t="s">
        <v>150</v>
      </c>
      <c r="B1169" t="s">
        <v>193</v>
      </c>
      <c r="C1169" t="s">
        <v>45</v>
      </c>
      <c r="D1169">
        <v>0</v>
      </c>
      <c r="E1169">
        <v>21424</v>
      </c>
      <c r="F1169" t="s">
        <v>220</v>
      </c>
      <c r="G1169">
        <v>0</v>
      </c>
      <c r="H1169">
        <v>644804</v>
      </c>
    </row>
    <row r="1170" spans="1:9" x14ac:dyDescent="0.25">
      <c r="A1170" t="s">
        <v>150</v>
      </c>
      <c r="B1170" t="s">
        <v>167</v>
      </c>
      <c r="C1170" t="s">
        <v>50</v>
      </c>
      <c r="D1170">
        <v>0</v>
      </c>
      <c r="E1170">
        <v>53617</v>
      </c>
      <c r="F1170" t="s">
        <v>220</v>
      </c>
      <c r="G1170">
        <v>0</v>
      </c>
      <c r="H1170">
        <v>1274394</v>
      </c>
    </row>
    <row r="1171" spans="1:9" x14ac:dyDescent="0.25">
      <c r="A1171" t="s">
        <v>150</v>
      </c>
      <c r="B1171" t="s">
        <v>186</v>
      </c>
      <c r="C1171" t="s">
        <v>53</v>
      </c>
      <c r="D1171">
        <v>0</v>
      </c>
      <c r="E1171">
        <v>20503</v>
      </c>
      <c r="F1171" t="s">
        <v>220</v>
      </c>
      <c r="G1171">
        <v>0</v>
      </c>
      <c r="H1171">
        <v>498463</v>
      </c>
    </row>
    <row r="1172" spans="1:9" x14ac:dyDescent="0.25">
      <c r="A1172" t="s">
        <v>150</v>
      </c>
      <c r="B1172" t="s">
        <v>49</v>
      </c>
      <c r="C1172" t="s">
        <v>34</v>
      </c>
      <c r="D1172">
        <v>0</v>
      </c>
      <c r="E1172">
        <v>131275</v>
      </c>
      <c r="F1172" t="s">
        <v>220</v>
      </c>
      <c r="G1172">
        <v>0</v>
      </c>
      <c r="H1172">
        <v>4161046</v>
      </c>
    </row>
    <row r="1173" spans="1:9" x14ac:dyDescent="0.25">
      <c r="A1173" t="s">
        <v>150</v>
      </c>
      <c r="B1173" t="s">
        <v>64</v>
      </c>
      <c r="C1173" t="s">
        <v>34</v>
      </c>
      <c r="D1173">
        <v>0</v>
      </c>
      <c r="E1173">
        <v>32038</v>
      </c>
      <c r="F1173" t="s">
        <v>220</v>
      </c>
      <c r="G1173">
        <v>0</v>
      </c>
      <c r="H1173">
        <v>1306166</v>
      </c>
    </row>
    <row r="1174" spans="1:9" x14ac:dyDescent="0.25">
      <c r="A1174" t="s">
        <v>150</v>
      </c>
      <c r="B1174" t="s">
        <v>169</v>
      </c>
      <c r="C1174" t="s">
        <v>45</v>
      </c>
      <c r="D1174">
        <v>0</v>
      </c>
      <c r="E1174">
        <v>269500</v>
      </c>
      <c r="F1174" t="s">
        <v>221</v>
      </c>
      <c r="G1174">
        <v>0</v>
      </c>
      <c r="H1174">
        <v>1426970</v>
      </c>
    </row>
    <row r="1175" spans="1:9" x14ac:dyDescent="0.25">
      <c r="A1175" t="s">
        <v>150</v>
      </c>
      <c r="B1175" t="s">
        <v>175</v>
      </c>
      <c r="C1175" t="s">
        <v>48</v>
      </c>
      <c r="D1175">
        <v>0</v>
      </c>
      <c r="E1175">
        <v>210800</v>
      </c>
      <c r="F1175" t="s">
        <v>221</v>
      </c>
      <c r="G1175">
        <v>0</v>
      </c>
      <c r="H1175">
        <v>926925</v>
      </c>
    </row>
    <row r="1176" spans="1:9" x14ac:dyDescent="0.25">
      <c r="A1176" t="s">
        <v>150</v>
      </c>
      <c r="B1176" t="s">
        <v>177</v>
      </c>
      <c r="C1176" t="s">
        <v>48</v>
      </c>
      <c r="D1176">
        <v>0</v>
      </c>
      <c r="E1176">
        <v>93750</v>
      </c>
      <c r="F1176" t="s">
        <v>221</v>
      </c>
      <c r="G1176">
        <v>0</v>
      </c>
      <c r="H1176">
        <v>443197</v>
      </c>
    </row>
    <row r="1177" spans="1:9" x14ac:dyDescent="0.25">
      <c r="A1177" t="s">
        <v>150</v>
      </c>
      <c r="B1177" t="s">
        <v>165</v>
      </c>
      <c r="C1177" t="s">
        <v>48</v>
      </c>
      <c r="D1177">
        <v>0</v>
      </c>
      <c r="E1177">
        <v>291800</v>
      </c>
      <c r="F1177" t="s">
        <v>221</v>
      </c>
      <c r="G1177">
        <v>0</v>
      </c>
      <c r="H1177">
        <v>1380479</v>
      </c>
    </row>
    <row r="1178" spans="1:9" x14ac:dyDescent="0.25">
      <c r="A1178" t="s">
        <v>150</v>
      </c>
      <c r="B1178" t="s">
        <v>73</v>
      </c>
      <c r="C1178" t="s">
        <v>34</v>
      </c>
      <c r="D1178">
        <v>0</v>
      </c>
      <c r="E1178">
        <v>195400</v>
      </c>
      <c r="F1178" t="s">
        <v>221</v>
      </c>
      <c r="G1178">
        <v>0</v>
      </c>
      <c r="H1178">
        <v>954629</v>
      </c>
    </row>
    <row r="1179" spans="1:9" x14ac:dyDescent="0.25">
      <c r="A1179" t="s">
        <v>150</v>
      </c>
      <c r="B1179" t="s">
        <v>197</v>
      </c>
      <c r="C1179" t="s">
        <v>45</v>
      </c>
      <c r="D1179">
        <v>0</v>
      </c>
      <c r="E1179">
        <v>38000</v>
      </c>
      <c r="F1179" t="s">
        <v>221</v>
      </c>
      <c r="G1179">
        <v>0</v>
      </c>
      <c r="H1179">
        <v>188525</v>
      </c>
    </row>
    <row r="1180" spans="1:9" x14ac:dyDescent="0.25">
      <c r="A1180" t="s">
        <v>150</v>
      </c>
      <c r="B1180" t="s">
        <v>85</v>
      </c>
      <c r="C1180" t="s">
        <v>34</v>
      </c>
      <c r="D1180">
        <v>0</v>
      </c>
      <c r="E1180">
        <v>294050</v>
      </c>
      <c r="F1180" t="s">
        <v>221</v>
      </c>
      <c r="G1180">
        <v>0</v>
      </c>
      <c r="H1180">
        <v>1559827</v>
      </c>
    </row>
    <row r="1181" spans="1:9" x14ac:dyDescent="0.25">
      <c r="A1181" t="s">
        <v>150</v>
      </c>
      <c r="B1181" t="s">
        <v>77</v>
      </c>
      <c r="C1181" t="s">
        <v>34</v>
      </c>
      <c r="D1181">
        <v>0</v>
      </c>
      <c r="E1181">
        <v>185700</v>
      </c>
      <c r="F1181" t="s">
        <v>221</v>
      </c>
      <c r="G1181">
        <v>0</v>
      </c>
      <c r="H1181">
        <v>909205</v>
      </c>
    </row>
    <row r="1182" spans="1:9" x14ac:dyDescent="0.25">
      <c r="A1182" t="s">
        <v>150</v>
      </c>
      <c r="B1182" t="s">
        <v>174</v>
      </c>
      <c r="C1182" t="s">
        <v>45</v>
      </c>
      <c r="D1182">
        <v>0</v>
      </c>
      <c r="E1182">
        <v>57000</v>
      </c>
      <c r="F1182" t="s">
        <v>221</v>
      </c>
      <c r="G1182">
        <v>0</v>
      </c>
      <c r="H1182">
        <v>282117</v>
      </c>
    </row>
    <row r="1183" spans="1:9" x14ac:dyDescent="0.25">
      <c r="A1183" t="s">
        <v>150</v>
      </c>
      <c r="B1183" t="s">
        <v>57</v>
      </c>
      <c r="C1183" t="s">
        <v>34</v>
      </c>
      <c r="D1183">
        <v>0</v>
      </c>
      <c r="E1183">
        <v>211000</v>
      </c>
      <c r="F1183" t="s">
        <v>221</v>
      </c>
      <c r="G1183">
        <v>0</v>
      </c>
      <c r="H1183">
        <v>1158101</v>
      </c>
    </row>
    <row r="1184" spans="1:9" x14ac:dyDescent="0.25">
      <c r="A1184" t="s">
        <v>150</v>
      </c>
      <c r="B1184" t="s">
        <v>180</v>
      </c>
      <c r="C1184" t="s">
        <v>45</v>
      </c>
      <c r="D1184">
        <v>0</v>
      </c>
      <c r="E1184">
        <v>60005</v>
      </c>
      <c r="F1184" t="s">
        <v>221</v>
      </c>
      <c r="G1184">
        <v>0</v>
      </c>
      <c r="H1184">
        <v>312629</v>
      </c>
    </row>
    <row r="1185" spans="1:9" x14ac:dyDescent="0.25">
      <c r="A1185" t="s">
        <v>150</v>
      </c>
      <c r="B1185" t="s">
        <v>47</v>
      </c>
      <c r="C1185" t="s">
        <v>34</v>
      </c>
      <c r="D1185">
        <v>0</v>
      </c>
      <c r="E1185">
        <v>214250</v>
      </c>
      <c r="F1185" t="s">
        <v>221</v>
      </c>
      <c r="G1185">
        <v>0</v>
      </c>
      <c r="H1185">
        <v>1184659</v>
      </c>
    </row>
    <row r="1186" spans="1:9" x14ac:dyDescent="0.25">
      <c r="A1186" t="s">
        <v>150</v>
      </c>
      <c r="B1186" t="s">
        <v>184</v>
      </c>
      <c r="C1186" t="s">
        <v>50</v>
      </c>
      <c r="D1186">
        <v>0</v>
      </c>
      <c r="E1186">
        <v>25500</v>
      </c>
      <c r="F1186" t="s">
        <v>221</v>
      </c>
      <c r="G1186">
        <v>0</v>
      </c>
      <c r="H1186">
        <v>110099</v>
      </c>
    </row>
    <row r="1187" spans="1:9" x14ac:dyDescent="0.25">
      <c r="A1187" t="s">
        <v>150</v>
      </c>
      <c r="B1187" t="s">
        <v>161</v>
      </c>
      <c r="C1187" t="s">
        <v>45</v>
      </c>
      <c r="D1187">
        <v>0</v>
      </c>
      <c r="E1187">
        <v>55000</v>
      </c>
      <c r="F1187" t="s">
        <v>221</v>
      </c>
      <c r="G1187">
        <v>0</v>
      </c>
      <c r="H1187">
        <v>263966</v>
      </c>
    </row>
    <row r="1188" spans="1:9" x14ac:dyDescent="0.25">
      <c r="A1188" t="s">
        <v>150</v>
      </c>
      <c r="B1188" t="s">
        <v>187</v>
      </c>
      <c r="C1188" t="s">
        <v>45</v>
      </c>
      <c r="D1188">
        <v>0</v>
      </c>
      <c r="E1188">
        <v>93000</v>
      </c>
      <c r="F1188" t="s">
        <v>221</v>
      </c>
      <c r="G1188">
        <v>0</v>
      </c>
      <c r="H1188">
        <v>432201</v>
      </c>
    </row>
    <row r="1189" spans="1:9" x14ac:dyDescent="0.25">
      <c r="A1189" t="s">
        <v>150</v>
      </c>
      <c r="B1189" t="s">
        <v>171</v>
      </c>
      <c r="C1189" t="s">
        <v>48</v>
      </c>
      <c r="D1189">
        <v>0</v>
      </c>
      <c r="E1189">
        <v>122400</v>
      </c>
      <c r="F1189" t="s">
        <v>221</v>
      </c>
      <c r="G1189">
        <v>0</v>
      </c>
      <c r="H1189">
        <v>559071</v>
      </c>
    </row>
    <row r="1190" spans="1:9" x14ac:dyDescent="0.25">
      <c r="A1190" t="s">
        <v>150</v>
      </c>
      <c r="B1190" t="s">
        <v>183</v>
      </c>
      <c r="C1190" t="s">
        <v>45</v>
      </c>
      <c r="D1190">
        <v>0</v>
      </c>
      <c r="E1190">
        <v>59000</v>
      </c>
      <c r="F1190" t="s">
        <v>221</v>
      </c>
      <c r="G1190">
        <v>0</v>
      </c>
      <c r="H1190">
        <v>305199</v>
      </c>
    </row>
    <row r="1191" spans="1:9" x14ac:dyDescent="0.25">
      <c r="A1191" t="s">
        <v>150</v>
      </c>
      <c r="B1191" t="s">
        <v>67</v>
      </c>
      <c r="C1191" t="s">
        <v>34</v>
      </c>
      <c r="D1191">
        <v>0</v>
      </c>
      <c r="E1191">
        <v>25250</v>
      </c>
      <c r="F1191" t="s">
        <v>221</v>
      </c>
      <c r="G1191">
        <v>0</v>
      </c>
      <c r="H1191">
        <v>140615</v>
      </c>
    </row>
    <row r="1192" spans="1:9" x14ac:dyDescent="0.25">
      <c r="A1192" t="s">
        <v>150</v>
      </c>
      <c r="B1192" t="s">
        <v>193</v>
      </c>
      <c r="C1192" t="s">
        <v>45</v>
      </c>
      <c r="D1192">
        <v>0</v>
      </c>
      <c r="E1192">
        <v>117545</v>
      </c>
      <c r="F1192" t="s">
        <v>221</v>
      </c>
      <c r="G1192">
        <v>0</v>
      </c>
      <c r="H1192">
        <v>600557</v>
      </c>
    </row>
    <row r="1193" spans="1:9" x14ac:dyDescent="0.25">
      <c r="A1193" t="s">
        <v>150</v>
      </c>
      <c r="B1193" t="s">
        <v>99</v>
      </c>
      <c r="C1193" t="s">
        <v>34</v>
      </c>
      <c r="D1193">
        <v>0</v>
      </c>
      <c r="E1193">
        <v>67500</v>
      </c>
      <c r="F1193" t="s">
        <v>221</v>
      </c>
      <c r="G1193">
        <v>0</v>
      </c>
      <c r="H1193">
        <v>374127</v>
      </c>
    </row>
    <row r="1194" spans="1:9" x14ac:dyDescent="0.25">
      <c r="A1194" t="s">
        <v>150</v>
      </c>
      <c r="B1194" t="s">
        <v>167</v>
      </c>
      <c r="C1194" t="s">
        <v>50</v>
      </c>
      <c r="D1194">
        <v>0</v>
      </c>
      <c r="E1194">
        <v>35000</v>
      </c>
      <c r="F1194" t="s">
        <v>221</v>
      </c>
      <c r="G1194">
        <v>0</v>
      </c>
      <c r="H1194">
        <v>169022</v>
      </c>
    </row>
    <row r="1195" spans="1:9" x14ac:dyDescent="0.25">
      <c r="A1195" t="s">
        <v>150</v>
      </c>
      <c r="B1195" t="s">
        <v>188</v>
      </c>
      <c r="C1195" t="s">
        <v>45</v>
      </c>
      <c r="D1195">
        <v>0</v>
      </c>
      <c r="E1195">
        <v>68000</v>
      </c>
      <c r="F1195" t="s">
        <v>221</v>
      </c>
      <c r="G1195">
        <v>0</v>
      </c>
      <c r="H1195">
        <v>315788</v>
      </c>
    </row>
    <row r="1196" spans="1:9" x14ac:dyDescent="0.25">
      <c r="A1196" t="s">
        <v>150</v>
      </c>
      <c r="B1196" t="s">
        <v>191</v>
      </c>
      <c r="C1196" t="s">
        <v>45</v>
      </c>
      <c r="D1196">
        <v>0</v>
      </c>
      <c r="E1196">
        <v>94500</v>
      </c>
      <c r="F1196" t="s">
        <v>221</v>
      </c>
      <c r="G1196">
        <v>0</v>
      </c>
      <c r="H1196">
        <v>504180</v>
      </c>
    </row>
    <row r="1197" spans="1:9" x14ac:dyDescent="0.25">
      <c r="A1197" t="s">
        <v>150</v>
      </c>
      <c r="B1197" t="s">
        <v>49</v>
      </c>
      <c r="C1197" t="s">
        <v>34</v>
      </c>
      <c r="D1197">
        <v>0</v>
      </c>
      <c r="E1197">
        <v>472350</v>
      </c>
      <c r="F1197" t="s">
        <v>221</v>
      </c>
      <c r="G1197">
        <v>0</v>
      </c>
      <c r="H1197">
        <v>2603760</v>
      </c>
    </row>
    <row r="1198" spans="1:9" x14ac:dyDescent="0.25">
      <c r="A1198" t="s">
        <v>150</v>
      </c>
      <c r="B1198" t="s">
        <v>64</v>
      </c>
      <c r="C1198" t="s">
        <v>34</v>
      </c>
      <c r="D1198">
        <v>0</v>
      </c>
      <c r="E1198">
        <v>221550</v>
      </c>
      <c r="F1198" t="s">
        <v>221</v>
      </c>
      <c r="G1198">
        <v>0</v>
      </c>
      <c r="H1198">
        <v>1137486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24" customWidth="1"/>
    <col min="4" max="6" width="18" customWidth="1"/>
  </cols>
  <sheetData>
    <row r="1" spans="1:6" x14ac:dyDescent="0.25">
      <c r="A1" s="10" t="s">
        <v>222</v>
      </c>
      <c r="B1" s="10" t="s">
        <v>35</v>
      </c>
      <c r="C1" s="10" t="s">
        <v>223</v>
      </c>
      <c r="D1" s="10" t="s">
        <v>159</v>
      </c>
      <c r="E1" s="10" t="s">
        <v>160</v>
      </c>
      <c r="F1" s="10" t="s">
        <v>124</v>
      </c>
    </row>
    <row r="2" spans="1:6" x14ac:dyDescent="0.25">
      <c r="A2" t="s">
        <v>44</v>
      </c>
      <c r="B2" t="s">
        <v>34</v>
      </c>
      <c r="C2" t="s">
        <v>13</v>
      </c>
      <c r="D2">
        <v>37500579</v>
      </c>
      <c r="E2">
        <v>47031210</v>
      </c>
      <c r="F2">
        <v>-9530631</v>
      </c>
    </row>
    <row r="3" spans="1:6" x14ac:dyDescent="0.25">
      <c r="A3" t="s">
        <v>165</v>
      </c>
      <c r="B3" t="s">
        <v>48</v>
      </c>
      <c r="C3" t="s">
        <v>13</v>
      </c>
      <c r="D3">
        <v>35719995</v>
      </c>
      <c r="E3">
        <v>36160005</v>
      </c>
      <c r="F3">
        <v>-440010</v>
      </c>
    </row>
    <row r="4" spans="1:6" x14ac:dyDescent="0.25">
      <c r="A4" t="s">
        <v>47</v>
      </c>
      <c r="B4" t="s">
        <v>34</v>
      </c>
      <c r="C4" t="s">
        <v>13</v>
      </c>
      <c r="D4">
        <v>34500186</v>
      </c>
      <c r="E4">
        <v>30124950</v>
      </c>
      <c r="F4">
        <v>4375236</v>
      </c>
    </row>
    <row r="5" spans="1:6" x14ac:dyDescent="0.25">
      <c r="A5" t="s">
        <v>161</v>
      </c>
      <c r="B5" t="s">
        <v>45</v>
      </c>
      <c r="C5" t="s">
        <v>13</v>
      </c>
      <c r="D5">
        <v>32347901</v>
      </c>
      <c r="E5">
        <v>25951258</v>
      </c>
      <c r="F5">
        <v>6396643</v>
      </c>
    </row>
    <row r="6" spans="1:6" x14ac:dyDescent="0.25">
      <c r="A6" t="s">
        <v>164</v>
      </c>
      <c r="B6" t="s">
        <v>55</v>
      </c>
      <c r="C6" t="s">
        <v>13</v>
      </c>
      <c r="D6">
        <v>32231470</v>
      </c>
      <c r="E6">
        <v>46269259</v>
      </c>
      <c r="F6">
        <v>-14037789</v>
      </c>
    </row>
    <row r="7" spans="1:6" x14ac:dyDescent="0.25">
      <c r="A7" t="s">
        <v>49</v>
      </c>
      <c r="B7" t="s">
        <v>34</v>
      </c>
      <c r="C7" t="s">
        <v>13</v>
      </c>
      <c r="D7">
        <v>31708100</v>
      </c>
      <c r="E7">
        <v>28946198</v>
      </c>
      <c r="F7">
        <v>2761902</v>
      </c>
    </row>
    <row r="8" spans="1:6" x14ac:dyDescent="0.25">
      <c r="A8" t="s">
        <v>169</v>
      </c>
      <c r="B8" t="s">
        <v>45</v>
      </c>
      <c r="C8" t="s">
        <v>13</v>
      </c>
      <c r="D8">
        <v>31292133</v>
      </c>
      <c r="E8">
        <v>21009423</v>
      </c>
      <c r="F8">
        <v>10282710</v>
      </c>
    </row>
    <row r="9" spans="1:6" x14ac:dyDescent="0.25">
      <c r="A9" t="s">
        <v>52</v>
      </c>
      <c r="B9" t="s">
        <v>34</v>
      </c>
      <c r="C9" t="s">
        <v>13</v>
      </c>
      <c r="D9">
        <v>30917223</v>
      </c>
      <c r="E9">
        <v>0</v>
      </c>
      <c r="F9">
        <v>30917223</v>
      </c>
    </row>
    <row r="10" spans="1:6" x14ac:dyDescent="0.25">
      <c r="A10" t="s">
        <v>166</v>
      </c>
      <c r="B10" t="s">
        <v>50</v>
      </c>
      <c r="C10" t="s">
        <v>13</v>
      </c>
      <c r="D10">
        <v>27781715</v>
      </c>
      <c r="E10">
        <v>20782334</v>
      </c>
      <c r="F10">
        <v>6999381</v>
      </c>
    </row>
    <row r="11" spans="1:6" x14ac:dyDescent="0.25">
      <c r="A11" t="s">
        <v>168</v>
      </c>
      <c r="B11" t="s">
        <v>53</v>
      </c>
      <c r="C11" t="s">
        <v>13</v>
      </c>
      <c r="D11">
        <v>27651579</v>
      </c>
      <c r="E11">
        <v>32900602</v>
      </c>
      <c r="F11">
        <v>-5249023</v>
      </c>
    </row>
    <row r="12" spans="1:6" x14ac:dyDescent="0.25">
      <c r="A12" t="s">
        <v>54</v>
      </c>
      <c r="B12" t="s">
        <v>34</v>
      </c>
      <c r="C12" t="s">
        <v>13</v>
      </c>
      <c r="D12">
        <v>27162649</v>
      </c>
      <c r="E12">
        <v>0</v>
      </c>
      <c r="F12">
        <v>27162649</v>
      </c>
    </row>
    <row r="13" spans="1:6" x14ac:dyDescent="0.25">
      <c r="A13" t="s">
        <v>167</v>
      </c>
      <c r="B13" t="s">
        <v>50</v>
      </c>
      <c r="C13" t="s">
        <v>13</v>
      </c>
      <c r="D13">
        <v>26740311</v>
      </c>
      <c r="E13">
        <v>20978799</v>
      </c>
      <c r="F13">
        <v>5761512</v>
      </c>
    </row>
    <row r="14" spans="1:6" x14ac:dyDescent="0.25">
      <c r="A14" t="s">
        <v>171</v>
      </c>
      <c r="B14" t="s">
        <v>48</v>
      </c>
      <c r="C14" t="s">
        <v>13</v>
      </c>
      <c r="D14">
        <v>24356152</v>
      </c>
      <c r="E14">
        <v>18844844</v>
      </c>
      <c r="F14">
        <v>5511308</v>
      </c>
    </row>
    <row r="15" spans="1:6" x14ac:dyDescent="0.25">
      <c r="A15" t="s">
        <v>162</v>
      </c>
      <c r="B15" t="s">
        <v>58</v>
      </c>
      <c r="C15" t="s">
        <v>13</v>
      </c>
      <c r="D15">
        <v>24295079</v>
      </c>
      <c r="E15">
        <v>0</v>
      </c>
      <c r="F15">
        <v>24295079</v>
      </c>
    </row>
    <row r="16" spans="1:6" x14ac:dyDescent="0.25">
      <c r="A16" t="s">
        <v>163</v>
      </c>
      <c r="B16" t="s">
        <v>45</v>
      </c>
      <c r="C16" t="s">
        <v>13</v>
      </c>
      <c r="D16">
        <v>23158562</v>
      </c>
      <c r="E16">
        <v>19512567</v>
      </c>
      <c r="F16">
        <v>3645995</v>
      </c>
    </row>
    <row r="17" spans="1:6" x14ac:dyDescent="0.25">
      <c r="A17" t="s">
        <v>57</v>
      </c>
      <c r="B17" t="s">
        <v>34</v>
      </c>
      <c r="C17" t="s">
        <v>13</v>
      </c>
      <c r="D17">
        <v>19961157</v>
      </c>
      <c r="E17">
        <v>12596425</v>
      </c>
      <c r="F17">
        <v>7364732</v>
      </c>
    </row>
    <row r="18" spans="1:6" x14ac:dyDescent="0.25">
      <c r="A18" t="s">
        <v>60</v>
      </c>
      <c r="B18" t="s">
        <v>34</v>
      </c>
      <c r="C18" t="s">
        <v>13</v>
      </c>
      <c r="D18">
        <v>18338301</v>
      </c>
      <c r="E18">
        <v>0</v>
      </c>
      <c r="F18">
        <v>18338301</v>
      </c>
    </row>
    <row r="19" spans="1:6" x14ac:dyDescent="0.25">
      <c r="A19" t="s">
        <v>62</v>
      </c>
      <c r="B19" t="s">
        <v>34</v>
      </c>
      <c r="C19" t="s">
        <v>13</v>
      </c>
      <c r="D19">
        <v>17583047</v>
      </c>
      <c r="E19">
        <v>12022451</v>
      </c>
      <c r="F19">
        <v>5560596</v>
      </c>
    </row>
    <row r="20" spans="1:6" x14ac:dyDescent="0.25">
      <c r="A20" t="s">
        <v>64</v>
      </c>
      <c r="B20" t="s">
        <v>34</v>
      </c>
      <c r="C20" t="s">
        <v>13</v>
      </c>
      <c r="D20">
        <v>17166339</v>
      </c>
      <c r="E20">
        <v>13999154</v>
      </c>
      <c r="F20">
        <v>3167185</v>
      </c>
    </row>
    <row r="21" spans="1:6" x14ac:dyDescent="0.25">
      <c r="A21" t="s">
        <v>170</v>
      </c>
      <c r="B21" t="s">
        <v>61</v>
      </c>
      <c r="C21" t="s">
        <v>13</v>
      </c>
      <c r="D21">
        <v>14046323</v>
      </c>
      <c r="E21">
        <v>5172122</v>
      </c>
      <c r="F21">
        <v>8874201</v>
      </c>
    </row>
    <row r="22" spans="1:6" x14ac:dyDescent="0.25">
      <c r="A22" t="s">
        <v>175</v>
      </c>
      <c r="B22" t="s">
        <v>48</v>
      </c>
      <c r="C22" t="s">
        <v>13</v>
      </c>
      <c r="D22">
        <v>11706343</v>
      </c>
      <c r="E22">
        <v>10289455</v>
      </c>
      <c r="F22">
        <v>1416888</v>
      </c>
    </row>
    <row r="23" spans="1:6" x14ac:dyDescent="0.25">
      <c r="A23" t="s">
        <v>177</v>
      </c>
      <c r="B23" t="s">
        <v>48</v>
      </c>
      <c r="C23" t="s">
        <v>13</v>
      </c>
      <c r="D23">
        <v>10985565</v>
      </c>
      <c r="E23">
        <v>11255271</v>
      </c>
      <c r="F23">
        <v>-269706</v>
      </c>
    </row>
    <row r="24" spans="1:6" x14ac:dyDescent="0.25">
      <c r="A24" t="s">
        <v>172</v>
      </c>
      <c r="B24" t="s">
        <v>50</v>
      </c>
      <c r="C24" t="s">
        <v>13</v>
      </c>
      <c r="D24">
        <v>10876032</v>
      </c>
      <c r="E24">
        <v>9525383</v>
      </c>
      <c r="F24">
        <v>1350649</v>
      </c>
    </row>
    <row r="25" spans="1:6" x14ac:dyDescent="0.25">
      <c r="A25" t="s">
        <v>181</v>
      </c>
      <c r="B25" t="s">
        <v>50</v>
      </c>
      <c r="C25" t="s">
        <v>13</v>
      </c>
      <c r="D25">
        <v>8242840</v>
      </c>
      <c r="E25">
        <v>3106880</v>
      </c>
      <c r="F25">
        <v>5135960</v>
      </c>
    </row>
    <row r="26" spans="1:6" x14ac:dyDescent="0.25">
      <c r="A26" t="s">
        <v>66</v>
      </c>
      <c r="B26" t="s">
        <v>34</v>
      </c>
      <c r="C26" t="s">
        <v>13</v>
      </c>
      <c r="D26">
        <v>8108097</v>
      </c>
      <c r="E26">
        <v>885489</v>
      </c>
      <c r="F26">
        <v>7222608</v>
      </c>
    </row>
    <row r="27" spans="1:6" x14ac:dyDescent="0.25">
      <c r="A27" t="s">
        <v>186</v>
      </c>
      <c r="B27" t="s">
        <v>53</v>
      </c>
      <c r="C27" t="s">
        <v>13</v>
      </c>
      <c r="D27">
        <v>7069617</v>
      </c>
      <c r="E27">
        <v>3891766</v>
      </c>
      <c r="F27">
        <v>3177851</v>
      </c>
    </row>
    <row r="28" spans="1:6" x14ac:dyDescent="0.25">
      <c r="A28" t="s">
        <v>67</v>
      </c>
      <c r="B28" t="s">
        <v>34</v>
      </c>
      <c r="C28" t="s">
        <v>13</v>
      </c>
      <c r="D28">
        <v>6818821</v>
      </c>
      <c r="E28">
        <v>4509505</v>
      </c>
      <c r="F28">
        <v>2309316</v>
      </c>
    </row>
    <row r="29" spans="1:6" x14ac:dyDescent="0.25">
      <c r="A29" t="s">
        <v>182</v>
      </c>
      <c r="B29" t="s">
        <v>53</v>
      </c>
      <c r="C29" t="s">
        <v>13</v>
      </c>
      <c r="D29">
        <v>6408143</v>
      </c>
      <c r="E29">
        <v>6564042</v>
      </c>
      <c r="F29">
        <v>-155899</v>
      </c>
    </row>
    <row r="30" spans="1:6" x14ac:dyDescent="0.25">
      <c r="A30" t="s">
        <v>180</v>
      </c>
      <c r="B30" t="s">
        <v>45</v>
      </c>
      <c r="C30" t="s">
        <v>13</v>
      </c>
      <c r="D30">
        <v>6184575</v>
      </c>
      <c r="E30">
        <v>4700127</v>
      </c>
      <c r="F30">
        <v>1484448</v>
      </c>
    </row>
    <row r="31" spans="1:6" x14ac:dyDescent="0.25">
      <c r="A31" t="s">
        <v>174</v>
      </c>
      <c r="B31" t="s">
        <v>45</v>
      </c>
      <c r="C31" t="s">
        <v>13</v>
      </c>
      <c r="D31">
        <v>5836439</v>
      </c>
      <c r="E31">
        <v>3595875</v>
      </c>
      <c r="F31">
        <v>2240564</v>
      </c>
    </row>
    <row r="32" spans="1:6" x14ac:dyDescent="0.25">
      <c r="A32" t="s">
        <v>176</v>
      </c>
      <c r="B32" t="s">
        <v>53</v>
      </c>
      <c r="C32" t="s">
        <v>13</v>
      </c>
      <c r="D32">
        <v>5597166</v>
      </c>
      <c r="E32">
        <v>2904303</v>
      </c>
      <c r="F32">
        <v>2692863</v>
      </c>
    </row>
    <row r="33" spans="1:6" x14ac:dyDescent="0.25">
      <c r="A33" t="s">
        <v>69</v>
      </c>
      <c r="B33" t="s">
        <v>34</v>
      </c>
      <c r="C33" t="s">
        <v>13</v>
      </c>
      <c r="D33">
        <v>5488272</v>
      </c>
      <c r="E33">
        <v>3228185</v>
      </c>
      <c r="F33">
        <v>2260087</v>
      </c>
    </row>
    <row r="34" spans="1:6" x14ac:dyDescent="0.25">
      <c r="A34" t="s">
        <v>184</v>
      </c>
      <c r="B34" t="s">
        <v>50</v>
      </c>
      <c r="C34" t="s">
        <v>13</v>
      </c>
      <c r="D34">
        <v>5464563</v>
      </c>
      <c r="E34">
        <v>6918980</v>
      </c>
      <c r="F34">
        <v>-1454417</v>
      </c>
    </row>
    <row r="35" spans="1:6" x14ac:dyDescent="0.25">
      <c r="A35" t="s">
        <v>71</v>
      </c>
      <c r="B35" t="s">
        <v>34</v>
      </c>
      <c r="C35" t="s">
        <v>13</v>
      </c>
      <c r="D35">
        <v>5267750</v>
      </c>
      <c r="E35">
        <v>6516504</v>
      </c>
      <c r="F35">
        <v>-1248754</v>
      </c>
    </row>
    <row r="36" spans="1:6" x14ac:dyDescent="0.25">
      <c r="A36" t="s">
        <v>173</v>
      </c>
      <c r="B36" t="s">
        <v>61</v>
      </c>
      <c r="C36" t="s">
        <v>13</v>
      </c>
      <c r="D36">
        <v>5239871</v>
      </c>
      <c r="E36">
        <v>9562432</v>
      </c>
      <c r="F36">
        <v>-4322561</v>
      </c>
    </row>
    <row r="37" spans="1:6" x14ac:dyDescent="0.25">
      <c r="A37" t="s">
        <v>72</v>
      </c>
      <c r="B37" t="s">
        <v>34</v>
      </c>
      <c r="C37" t="s">
        <v>13</v>
      </c>
      <c r="D37">
        <v>4719479</v>
      </c>
      <c r="E37">
        <v>0</v>
      </c>
      <c r="F37">
        <v>4719479</v>
      </c>
    </row>
    <row r="38" spans="1:6" x14ac:dyDescent="0.25">
      <c r="A38" t="s">
        <v>73</v>
      </c>
      <c r="B38" t="s">
        <v>34</v>
      </c>
      <c r="C38" t="s">
        <v>13</v>
      </c>
      <c r="D38">
        <v>4270790</v>
      </c>
      <c r="E38">
        <v>10625462</v>
      </c>
      <c r="F38">
        <v>-6354672</v>
      </c>
    </row>
    <row r="39" spans="1:6" x14ac:dyDescent="0.25">
      <c r="A39" t="s">
        <v>183</v>
      </c>
      <c r="B39" t="s">
        <v>45</v>
      </c>
      <c r="C39" t="s">
        <v>13</v>
      </c>
      <c r="D39">
        <v>4208030</v>
      </c>
      <c r="E39">
        <v>3046061</v>
      </c>
      <c r="F39">
        <v>1161969</v>
      </c>
    </row>
    <row r="40" spans="1:6" x14ac:dyDescent="0.25">
      <c r="A40" t="s">
        <v>188</v>
      </c>
      <c r="B40" t="s">
        <v>45</v>
      </c>
      <c r="C40" t="s">
        <v>13</v>
      </c>
      <c r="D40">
        <v>3804283</v>
      </c>
      <c r="E40">
        <v>5093435</v>
      </c>
      <c r="F40">
        <v>-1289152</v>
      </c>
    </row>
    <row r="41" spans="1:6" x14ac:dyDescent="0.25">
      <c r="A41" t="s">
        <v>187</v>
      </c>
      <c r="B41" t="s">
        <v>45</v>
      </c>
      <c r="C41" t="s">
        <v>13</v>
      </c>
      <c r="D41">
        <v>3671943</v>
      </c>
      <c r="E41">
        <v>4158887</v>
      </c>
      <c r="F41">
        <v>-486944</v>
      </c>
    </row>
    <row r="42" spans="1:6" x14ac:dyDescent="0.25">
      <c r="A42" t="s">
        <v>178</v>
      </c>
      <c r="B42" t="s">
        <v>58</v>
      </c>
      <c r="C42" t="s">
        <v>13</v>
      </c>
      <c r="D42">
        <v>3306140</v>
      </c>
      <c r="E42">
        <v>4656006</v>
      </c>
      <c r="F42">
        <v>-1349866</v>
      </c>
    </row>
    <row r="43" spans="1:6" x14ac:dyDescent="0.25">
      <c r="A43" t="s">
        <v>74</v>
      </c>
      <c r="B43" t="s">
        <v>34</v>
      </c>
      <c r="C43" t="s">
        <v>13</v>
      </c>
      <c r="D43">
        <v>2852443</v>
      </c>
      <c r="E43">
        <v>3508559</v>
      </c>
      <c r="F43">
        <v>-656116</v>
      </c>
    </row>
    <row r="44" spans="1:6" x14ac:dyDescent="0.25">
      <c r="A44" t="s">
        <v>75</v>
      </c>
      <c r="B44" t="s">
        <v>34</v>
      </c>
      <c r="C44" t="s">
        <v>13</v>
      </c>
      <c r="D44">
        <v>2768964</v>
      </c>
      <c r="E44">
        <v>884419</v>
      </c>
      <c r="F44">
        <v>1884545</v>
      </c>
    </row>
    <row r="45" spans="1:6" x14ac:dyDescent="0.25">
      <c r="A45" t="s">
        <v>76</v>
      </c>
      <c r="B45" t="s">
        <v>34</v>
      </c>
      <c r="C45" t="s">
        <v>13</v>
      </c>
      <c r="D45">
        <v>2660697</v>
      </c>
      <c r="E45">
        <v>0</v>
      </c>
      <c r="F45">
        <v>2660697</v>
      </c>
    </row>
    <row r="46" spans="1:6" x14ac:dyDescent="0.25">
      <c r="A46" t="s">
        <v>179</v>
      </c>
      <c r="B46" t="s">
        <v>45</v>
      </c>
      <c r="C46" t="s">
        <v>13</v>
      </c>
      <c r="D46">
        <v>2625161</v>
      </c>
      <c r="E46">
        <v>1252384</v>
      </c>
      <c r="F46">
        <v>1372777</v>
      </c>
    </row>
    <row r="47" spans="1:6" x14ac:dyDescent="0.25">
      <c r="A47" t="s">
        <v>77</v>
      </c>
      <c r="B47" t="s">
        <v>34</v>
      </c>
      <c r="C47" t="s">
        <v>13</v>
      </c>
      <c r="D47">
        <v>2624289</v>
      </c>
      <c r="E47">
        <v>4689669</v>
      </c>
      <c r="F47">
        <v>-2065380</v>
      </c>
    </row>
    <row r="48" spans="1:6" x14ac:dyDescent="0.25">
      <c r="A48" t="s">
        <v>79</v>
      </c>
      <c r="B48" t="s">
        <v>34</v>
      </c>
      <c r="C48" t="s">
        <v>13</v>
      </c>
      <c r="D48">
        <v>2590055</v>
      </c>
      <c r="E48">
        <v>0</v>
      </c>
      <c r="F48">
        <v>2590055</v>
      </c>
    </row>
    <row r="49" spans="1:6" x14ac:dyDescent="0.25">
      <c r="A49" t="s">
        <v>185</v>
      </c>
      <c r="B49" t="s">
        <v>45</v>
      </c>
      <c r="C49" t="s">
        <v>13</v>
      </c>
      <c r="D49">
        <v>2271524</v>
      </c>
      <c r="E49">
        <v>2383505</v>
      </c>
      <c r="F49">
        <v>-111981</v>
      </c>
    </row>
    <row r="50" spans="1:6" x14ac:dyDescent="0.25">
      <c r="A50" t="s">
        <v>191</v>
      </c>
      <c r="B50" t="s">
        <v>45</v>
      </c>
      <c r="C50" t="s">
        <v>13</v>
      </c>
      <c r="D50">
        <v>2182596</v>
      </c>
      <c r="E50">
        <v>639892</v>
      </c>
      <c r="F50">
        <v>1542704</v>
      </c>
    </row>
    <row r="51" spans="1:6" x14ac:dyDescent="0.25">
      <c r="A51" t="s">
        <v>196</v>
      </c>
      <c r="B51" t="s">
        <v>53</v>
      </c>
      <c r="C51" t="s">
        <v>13</v>
      </c>
      <c r="D51">
        <v>1972392</v>
      </c>
      <c r="E51">
        <v>424558</v>
      </c>
      <c r="F51">
        <v>1547834</v>
      </c>
    </row>
    <row r="52" spans="1:6" x14ac:dyDescent="0.25">
      <c r="A52" t="s">
        <v>80</v>
      </c>
      <c r="B52" t="s">
        <v>34</v>
      </c>
      <c r="C52" t="s">
        <v>13</v>
      </c>
      <c r="D52">
        <v>1891733</v>
      </c>
      <c r="E52">
        <v>3259902</v>
      </c>
      <c r="F52">
        <v>-1368169</v>
      </c>
    </row>
    <row r="53" spans="1:6" x14ac:dyDescent="0.25">
      <c r="A53" t="s">
        <v>82</v>
      </c>
      <c r="B53" t="s">
        <v>34</v>
      </c>
      <c r="C53" t="s">
        <v>13</v>
      </c>
      <c r="D53">
        <v>1784904</v>
      </c>
      <c r="E53">
        <v>1475412</v>
      </c>
      <c r="F53">
        <v>309492</v>
      </c>
    </row>
    <row r="54" spans="1:6" x14ac:dyDescent="0.25">
      <c r="A54" t="s">
        <v>189</v>
      </c>
      <c r="B54" t="s">
        <v>63</v>
      </c>
      <c r="C54" t="s">
        <v>13</v>
      </c>
      <c r="D54">
        <v>1685430</v>
      </c>
      <c r="E54">
        <v>0</v>
      </c>
      <c r="F54">
        <v>1685430</v>
      </c>
    </row>
    <row r="55" spans="1:6" x14ac:dyDescent="0.25">
      <c r="A55" t="s">
        <v>198</v>
      </c>
      <c r="B55" t="s">
        <v>45</v>
      </c>
      <c r="C55" t="s">
        <v>13</v>
      </c>
      <c r="D55">
        <v>1511301</v>
      </c>
      <c r="E55">
        <v>1301338</v>
      </c>
      <c r="F55">
        <v>209963</v>
      </c>
    </row>
    <row r="56" spans="1:6" x14ac:dyDescent="0.25">
      <c r="A56" t="s">
        <v>83</v>
      </c>
      <c r="B56" t="s">
        <v>34</v>
      </c>
      <c r="C56" t="s">
        <v>13</v>
      </c>
      <c r="D56">
        <v>1476910</v>
      </c>
      <c r="E56">
        <v>0</v>
      </c>
      <c r="F56">
        <v>1476910</v>
      </c>
    </row>
    <row r="57" spans="1:6" x14ac:dyDescent="0.25">
      <c r="A57" t="s">
        <v>85</v>
      </c>
      <c r="B57" t="s">
        <v>34</v>
      </c>
      <c r="C57" t="s">
        <v>13</v>
      </c>
      <c r="D57">
        <v>1263584</v>
      </c>
      <c r="E57">
        <v>1559827</v>
      </c>
      <c r="F57">
        <v>-296243</v>
      </c>
    </row>
    <row r="58" spans="1:6" x14ac:dyDescent="0.25">
      <c r="A58" t="s">
        <v>190</v>
      </c>
      <c r="B58" t="s">
        <v>45</v>
      </c>
      <c r="C58" t="s">
        <v>13</v>
      </c>
      <c r="D58">
        <v>1256382</v>
      </c>
      <c r="E58">
        <v>408984</v>
      </c>
      <c r="F58">
        <v>847398</v>
      </c>
    </row>
    <row r="59" spans="1:6" x14ac:dyDescent="0.25">
      <c r="A59" t="s">
        <v>192</v>
      </c>
      <c r="B59" t="s">
        <v>45</v>
      </c>
      <c r="C59" t="s">
        <v>13</v>
      </c>
      <c r="D59">
        <v>1100389</v>
      </c>
      <c r="E59">
        <v>694779</v>
      </c>
      <c r="F59">
        <v>405610</v>
      </c>
    </row>
    <row r="60" spans="1:6" x14ac:dyDescent="0.25">
      <c r="A60" t="s">
        <v>194</v>
      </c>
      <c r="B60" t="s">
        <v>58</v>
      </c>
      <c r="C60" t="s">
        <v>13</v>
      </c>
      <c r="D60">
        <v>1029832</v>
      </c>
      <c r="E60">
        <v>2906219</v>
      </c>
      <c r="F60">
        <v>-1876387</v>
      </c>
    </row>
    <row r="61" spans="1:6" x14ac:dyDescent="0.25">
      <c r="A61" t="s">
        <v>201</v>
      </c>
      <c r="B61" t="s">
        <v>53</v>
      </c>
      <c r="C61" t="s">
        <v>13</v>
      </c>
      <c r="D61">
        <v>980757</v>
      </c>
      <c r="E61">
        <v>499972</v>
      </c>
      <c r="F61">
        <v>480785</v>
      </c>
    </row>
    <row r="62" spans="1:6" x14ac:dyDescent="0.25">
      <c r="A62" t="s">
        <v>193</v>
      </c>
      <c r="B62" t="s">
        <v>45</v>
      </c>
      <c r="C62" t="s">
        <v>13</v>
      </c>
      <c r="D62">
        <v>968633</v>
      </c>
      <c r="E62">
        <v>1952465</v>
      </c>
      <c r="F62">
        <v>-983832</v>
      </c>
    </row>
    <row r="63" spans="1:6" x14ac:dyDescent="0.25">
      <c r="A63" t="s">
        <v>197</v>
      </c>
      <c r="B63" t="s">
        <v>45</v>
      </c>
      <c r="C63" t="s">
        <v>13</v>
      </c>
      <c r="D63">
        <v>896418</v>
      </c>
      <c r="E63">
        <v>1770588</v>
      </c>
      <c r="F63">
        <v>-874170</v>
      </c>
    </row>
    <row r="64" spans="1:6" x14ac:dyDescent="0.25">
      <c r="A64" t="s">
        <v>86</v>
      </c>
      <c r="B64" t="s">
        <v>34</v>
      </c>
      <c r="C64" t="s">
        <v>13</v>
      </c>
      <c r="D64">
        <v>637070</v>
      </c>
      <c r="E64">
        <v>0</v>
      </c>
      <c r="F64">
        <v>637070</v>
      </c>
    </row>
    <row r="65" spans="1:6" x14ac:dyDescent="0.25">
      <c r="A65" t="s">
        <v>195</v>
      </c>
      <c r="B65" t="s">
        <v>45</v>
      </c>
      <c r="C65" t="s">
        <v>13</v>
      </c>
      <c r="D65">
        <v>614896</v>
      </c>
      <c r="E65">
        <v>0</v>
      </c>
      <c r="F65">
        <v>614896</v>
      </c>
    </row>
    <row r="66" spans="1:6" x14ac:dyDescent="0.25">
      <c r="A66" t="s">
        <v>87</v>
      </c>
      <c r="B66" t="s">
        <v>34</v>
      </c>
      <c r="C66" t="s">
        <v>13</v>
      </c>
      <c r="D66">
        <v>557959</v>
      </c>
      <c r="E66">
        <v>0</v>
      </c>
      <c r="F66">
        <v>557959</v>
      </c>
    </row>
    <row r="67" spans="1:6" x14ac:dyDescent="0.25">
      <c r="A67" t="s">
        <v>88</v>
      </c>
      <c r="B67" t="s">
        <v>34</v>
      </c>
      <c r="C67" t="s">
        <v>13</v>
      </c>
      <c r="D67">
        <v>545862</v>
      </c>
      <c r="E67">
        <v>730034</v>
      </c>
      <c r="F67">
        <v>-184172</v>
      </c>
    </row>
    <row r="68" spans="1:6" x14ac:dyDescent="0.25">
      <c r="A68" t="s">
        <v>89</v>
      </c>
      <c r="B68" t="s">
        <v>34</v>
      </c>
      <c r="C68" t="s">
        <v>13</v>
      </c>
      <c r="D68">
        <v>510409</v>
      </c>
      <c r="E68">
        <v>1802935</v>
      </c>
      <c r="F68">
        <v>-1292526</v>
      </c>
    </row>
    <row r="69" spans="1:6" x14ac:dyDescent="0.25">
      <c r="A69" t="s">
        <v>202</v>
      </c>
      <c r="B69" t="s">
        <v>45</v>
      </c>
      <c r="C69" t="s">
        <v>13</v>
      </c>
      <c r="D69">
        <v>460214</v>
      </c>
      <c r="E69">
        <v>1421914</v>
      </c>
      <c r="F69">
        <v>-961700</v>
      </c>
    </row>
    <row r="70" spans="1:6" x14ac:dyDescent="0.25">
      <c r="A70" t="s">
        <v>209</v>
      </c>
      <c r="B70" t="s">
        <v>45</v>
      </c>
      <c r="C70" t="s">
        <v>13</v>
      </c>
      <c r="D70">
        <v>459623</v>
      </c>
      <c r="E70">
        <v>0</v>
      </c>
      <c r="F70">
        <v>459623</v>
      </c>
    </row>
    <row r="71" spans="1:6" x14ac:dyDescent="0.25">
      <c r="A71" t="s">
        <v>210</v>
      </c>
      <c r="B71" t="s">
        <v>45</v>
      </c>
      <c r="C71" t="s">
        <v>13</v>
      </c>
      <c r="D71">
        <v>431515</v>
      </c>
      <c r="E71">
        <v>616021</v>
      </c>
      <c r="F71">
        <v>-184506</v>
      </c>
    </row>
    <row r="72" spans="1:6" x14ac:dyDescent="0.25">
      <c r="A72" t="s">
        <v>200</v>
      </c>
      <c r="B72" t="s">
        <v>58</v>
      </c>
      <c r="C72" t="s">
        <v>13</v>
      </c>
      <c r="D72">
        <v>391098</v>
      </c>
      <c r="E72">
        <v>1769053</v>
      </c>
      <c r="F72">
        <v>-1377955</v>
      </c>
    </row>
    <row r="73" spans="1:6" x14ac:dyDescent="0.25">
      <c r="A73" t="s">
        <v>205</v>
      </c>
      <c r="B73" t="s">
        <v>53</v>
      </c>
      <c r="C73" t="s">
        <v>13</v>
      </c>
      <c r="D73">
        <v>363976</v>
      </c>
      <c r="E73">
        <v>433302</v>
      </c>
      <c r="F73">
        <v>-69326</v>
      </c>
    </row>
    <row r="74" spans="1:6" x14ac:dyDescent="0.25">
      <c r="A74" t="s">
        <v>90</v>
      </c>
      <c r="B74" t="s">
        <v>34</v>
      </c>
      <c r="C74" t="s">
        <v>13</v>
      </c>
      <c r="D74">
        <v>363640</v>
      </c>
      <c r="E74">
        <v>0</v>
      </c>
      <c r="F74">
        <v>363640</v>
      </c>
    </row>
    <row r="75" spans="1:6" x14ac:dyDescent="0.25">
      <c r="A75" t="s">
        <v>204</v>
      </c>
      <c r="B75" t="s">
        <v>50</v>
      </c>
      <c r="C75" t="s">
        <v>13</v>
      </c>
      <c r="D75">
        <v>336044</v>
      </c>
      <c r="E75">
        <v>429269</v>
      </c>
      <c r="F75">
        <v>-93225</v>
      </c>
    </row>
    <row r="76" spans="1:6" x14ac:dyDescent="0.25">
      <c r="A76" t="s">
        <v>206</v>
      </c>
      <c r="B76" t="s">
        <v>50</v>
      </c>
      <c r="C76" t="s">
        <v>13</v>
      </c>
      <c r="D76">
        <v>324740</v>
      </c>
      <c r="E76">
        <v>272316</v>
      </c>
      <c r="F76">
        <v>52424</v>
      </c>
    </row>
    <row r="77" spans="1:6" x14ac:dyDescent="0.25">
      <c r="A77" t="s">
        <v>203</v>
      </c>
      <c r="B77" t="s">
        <v>58</v>
      </c>
      <c r="C77" t="s">
        <v>13</v>
      </c>
      <c r="D77">
        <v>324476</v>
      </c>
      <c r="E77">
        <v>1106940</v>
      </c>
      <c r="F77">
        <v>-782464</v>
      </c>
    </row>
    <row r="78" spans="1:6" x14ac:dyDescent="0.25">
      <c r="A78" t="s">
        <v>199</v>
      </c>
      <c r="B78" t="s">
        <v>61</v>
      </c>
      <c r="C78" t="s">
        <v>13</v>
      </c>
      <c r="D78">
        <v>317790</v>
      </c>
      <c r="E78">
        <v>228203</v>
      </c>
      <c r="F78">
        <v>89587</v>
      </c>
    </row>
    <row r="79" spans="1:6" x14ac:dyDescent="0.25">
      <c r="A79" t="s">
        <v>91</v>
      </c>
      <c r="B79" t="s">
        <v>34</v>
      </c>
      <c r="C79" t="s">
        <v>13</v>
      </c>
      <c r="D79">
        <v>294306</v>
      </c>
      <c r="E79">
        <v>14655</v>
      </c>
      <c r="F79">
        <v>279651</v>
      </c>
    </row>
    <row r="80" spans="1:6" x14ac:dyDescent="0.25">
      <c r="A80" t="s">
        <v>92</v>
      </c>
      <c r="B80" t="s">
        <v>34</v>
      </c>
      <c r="C80" t="s">
        <v>13</v>
      </c>
      <c r="D80">
        <v>268113</v>
      </c>
      <c r="E80">
        <v>0</v>
      </c>
      <c r="F80">
        <v>268113</v>
      </c>
    </row>
    <row r="81" spans="1:6" x14ac:dyDescent="0.25">
      <c r="A81" t="s">
        <v>207</v>
      </c>
      <c r="B81" t="s">
        <v>45</v>
      </c>
      <c r="C81" t="s">
        <v>13</v>
      </c>
      <c r="D81">
        <v>257040</v>
      </c>
      <c r="E81">
        <v>0</v>
      </c>
      <c r="F81">
        <v>257040</v>
      </c>
    </row>
    <row r="82" spans="1:6" x14ac:dyDescent="0.25">
      <c r="A82" t="s">
        <v>208</v>
      </c>
      <c r="B82" t="s">
        <v>45</v>
      </c>
      <c r="C82" t="s">
        <v>13</v>
      </c>
      <c r="D82">
        <v>255054</v>
      </c>
      <c r="E82">
        <v>1008915</v>
      </c>
      <c r="F82">
        <v>-753861</v>
      </c>
    </row>
    <row r="83" spans="1:6" x14ac:dyDescent="0.25">
      <c r="A83" t="s">
        <v>212</v>
      </c>
      <c r="B83" t="s">
        <v>50</v>
      </c>
      <c r="C83" t="s">
        <v>13</v>
      </c>
      <c r="D83">
        <v>214023</v>
      </c>
      <c r="E83">
        <v>444337</v>
      </c>
      <c r="F83">
        <v>-230314</v>
      </c>
    </row>
    <row r="84" spans="1:6" x14ac:dyDescent="0.25">
      <c r="A84" t="s">
        <v>94</v>
      </c>
      <c r="B84" t="s">
        <v>34</v>
      </c>
      <c r="C84" t="s">
        <v>13</v>
      </c>
      <c r="D84">
        <v>167500</v>
      </c>
      <c r="E84">
        <v>452495</v>
      </c>
      <c r="F84">
        <v>-284995</v>
      </c>
    </row>
    <row r="85" spans="1:6" x14ac:dyDescent="0.25">
      <c r="A85" t="s">
        <v>211</v>
      </c>
      <c r="B85" t="s">
        <v>65</v>
      </c>
      <c r="C85" t="s">
        <v>13</v>
      </c>
      <c r="D85">
        <v>167133</v>
      </c>
      <c r="E85">
        <v>97735</v>
      </c>
      <c r="F85">
        <v>69398</v>
      </c>
    </row>
    <row r="86" spans="1:6" x14ac:dyDescent="0.25">
      <c r="A86" t="s">
        <v>95</v>
      </c>
      <c r="B86" t="s">
        <v>34</v>
      </c>
      <c r="C86" t="s">
        <v>13</v>
      </c>
      <c r="D86">
        <v>135967</v>
      </c>
      <c r="E86">
        <v>8109</v>
      </c>
      <c r="F86">
        <v>127858</v>
      </c>
    </row>
    <row r="87" spans="1:6" x14ac:dyDescent="0.25">
      <c r="A87" t="s">
        <v>96</v>
      </c>
      <c r="B87" t="s">
        <v>34</v>
      </c>
      <c r="C87" t="s">
        <v>13</v>
      </c>
      <c r="D87">
        <v>134917</v>
      </c>
      <c r="E87">
        <v>0</v>
      </c>
      <c r="F87">
        <v>134917</v>
      </c>
    </row>
    <row r="88" spans="1:6" x14ac:dyDescent="0.25">
      <c r="A88" t="s">
        <v>98</v>
      </c>
      <c r="B88" t="s">
        <v>34</v>
      </c>
      <c r="C88" t="s">
        <v>13</v>
      </c>
      <c r="D88">
        <v>134753</v>
      </c>
      <c r="E88">
        <v>353403</v>
      </c>
      <c r="F88">
        <v>-218650</v>
      </c>
    </row>
    <row r="89" spans="1:6" x14ac:dyDescent="0.25">
      <c r="A89" t="s">
        <v>99</v>
      </c>
      <c r="B89" t="s">
        <v>34</v>
      </c>
      <c r="C89" t="s">
        <v>13</v>
      </c>
      <c r="D89">
        <v>111236</v>
      </c>
      <c r="E89">
        <v>637408</v>
      </c>
      <c r="F89">
        <v>-526172</v>
      </c>
    </row>
    <row r="90" spans="1:6" x14ac:dyDescent="0.25">
      <c r="A90" t="s">
        <v>213</v>
      </c>
      <c r="B90" t="s">
        <v>150</v>
      </c>
      <c r="C90" t="s">
        <v>150</v>
      </c>
      <c r="D90">
        <v>0</v>
      </c>
      <c r="E90">
        <v>1102828</v>
      </c>
      <c r="F90">
        <v>-1102828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5" width="22" customWidth="1"/>
    <col min="6" max="6" width="18" customWidth="1"/>
  </cols>
  <sheetData>
    <row r="1" spans="1:6" x14ac:dyDescent="0.25">
      <c r="A1" s="10" t="s">
        <v>120</v>
      </c>
      <c r="B1" s="10" t="s">
        <v>121</v>
      </c>
      <c r="C1" s="10" t="s">
        <v>224</v>
      </c>
      <c r="D1" s="10" t="s">
        <v>225</v>
      </c>
      <c r="E1" s="10" t="s">
        <v>226</v>
      </c>
      <c r="F1" s="10" t="s">
        <v>227</v>
      </c>
    </row>
    <row r="2" spans="1:6" x14ac:dyDescent="0.25">
      <c r="A2" t="s">
        <v>125</v>
      </c>
      <c r="B2" t="s">
        <v>125</v>
      </c>
      <c r="C2">
        <v>190046141</v>
      </c>
      <c r="D2">
        <v>0</v>
      </c>
      <c r="E2">
        <v>0</v>
      </c>
      <c r="F2" t="s">
        <v>43</v>
      </c>
    </row>
    <row r="3" spans="1:6" x14ac:dyDescent="0.25">
      <c r="A3" t="s">
        <v>126</v>
      </c>
      <c r="B3" t="s">
        <v>126</v>
      </c>
      <c r="C3">
        <v>134785223</v>
      </c>
      <c r="D3">
        <v>0</v>
      </c>
      <c r="E3">
        <v>0</v>
      </c>
      <c r="F3" t="s">
        <v>43</v>
      </c>
    </row>
    <row r="4" spans="1:6" x14ac:dyDescent="0.25">
      <c r="A4" t="s">
        <v>127</v>
      </c>
      <c r="B4" t="s">
        <v>128</v>
      </c>
      <c r="C4">
        <v>61454079</v>
      </c>
      <c r="D4">
        <v>0</v>
      </c>
      <c r="E4">
        <v>0</v>
      </c>
      <c r="F4" t="s">
        <v>43</v>
      </c>
    </row>
    <row r="5" spans="1:6" x14ac:dyDescent="0.25">
      <c r="A5" t="s">
        <v>127</v>
      </c>
      <c r="B5" t="s">
        <v>129</v>
      </c>
      <c r="C5">
        <v>59806308</v>
      </c>
      <c r="D5">
        <v>0</v>
      </c>
      <c r="E5">
        <v>0</v>
      </c>
      <c r="F5" t="s">
        <v>43</v>
      </c>
    </row>
    <row r="6" spans="1:6" x14ac:dyDescent="0.25">
      <c r="A6" t="s">
        <v>127</v>
      </c>
      <c r="B6" t="s">
        <v>130</v>
      </c>
      <c r="C6">
        <v>53452778</v>
      </c>
      <c r="D6">
        <v>0</v>
      </c>
      <c r="E6">
        <v>0</v>
      </c>
      <c r="F6" t="s">
        <v>43</v>
      </c>
    </row>
    <row r="7" spans="1:6" x14ac:dyDescent="0.25">
      <c r="A7" t="s">
        <v>131</v>
      </c>
      <c r="B7" t="s">
        <v>131</v>
      </c>
      <c r="C7">
        <v>40796696</v>
      </c>
      <c r="D7">
        <v>0</v>
      </c>
      <c r="E7">
        <v>0</v>
      </c>
      <c r="F7" t="s">
        <v>43</v>
      </c>
    </row>
    <row r="8" spans="1:6" x14ac:dyDescent="0.25">
      <c r="A8" t="s">
        <v>132</v>
      </c>
      <c r="B8" t="s">
        <v>132</v>
      </c>
      <c r="C8">
        <v>32759846</v>
      </c>
      <c r="D8">
        <v>0</v>
      </c>
      <c r="E8">
        <v>0</v>
      </c>
      <c r="F8" t="s">
        <v>43</v>
      </c>
    </row>
    <row r="9" spans="1:6" x14ac:dyDescent="0.25">
      <c r="A9" t="s">
        <v>127</v>
      </c>
      <c r="B9" t="s">
        <v>133</v>
      </c>
      <c r="C9">
        <v>32717935</v>
      </c>
      <c r="D9">
        <v>0</v>
      </c>
      <c r="E9">
        <v>0</v>
      </c>
      <c r="F9" t="s">
        <v>43</v>
      </c>
    </row>
    <row r="10" spans="1:6" x14ac:dyDescent="0.25">
      <c r="A10" t="s">
        <v>126</v>
      </c>
      <c r="B10" t="s">
        <v>134</v>
      </c>
      <c r="C10">
        <v>28296026</v>
      </c>
      <c r="D10">
        <v>0</v>
      </c>
      <c r="E10">
        <v>0</v>
      </c>
      <c r="F10" t="s">
        <v>43</v>
      </c>
    </row>
    <row r="11" spans="1:6" x14ac:dyDescent="0.25">
      <c r="A11" t="s">
        <v>125</v>
      </c>
      <c r="B11" t="s">
        <v>135</v>
      </c>
      <c r="C11">
        <v>27534144</v>
      </c>
      <c r="D11">
        <v>0</v>
      </c>
      <c r="E11">
        <v>0</v>
      </c>
      <c r="F11" t="s">
        <v>43</v>
      </c>
    </row>
    <row r="12" spans="1:6" x14ac:dyDescent="0.25">
      <c r="A12" t="s">
        <v>125</v>
      </c>
      <c r="B12" t="s">
        <v>136</v>
      </c>
      <c r="C12">
        <v>15111614</v>
      </c>
      <c r="D12">
        <v>0</v>
      </c>
      <c r="E12">
        <v>0</v>
      </c>
      <c r="F12" t="s">
        <v>43</v>
      </c>
    </row>
    <row r="13" spans="1:6" x14ac:dyDescent="0.25">
      <c r="A13" t="s">
        <v>127</v>
      </c>
      <c r="B13" t="s">
        <v>137</v>
      </c>
      <c r="C13">
        <v>11234034</v>
      </c>
      <c r="D13">
        <v>0</v>
      </c>
      <c r="E13">
        <v>0</v>
      </c>
      <c r="F13" t="s">
        <v>43</v>
      </c>
    </row>
    <row r="14" spans="1:6" x14ac:dyDescent="0.25">
      <c r="A14" t="s">
        <v>127</v>
      </c>
      <c r="B14" t="s">
        <v>138</v>
      </c>
      <c r="C14">
        <v>7215569</v>
      </c>
      <c r="D14">
        <v>0</v>
      </c>
      <c r="E14">
        <v>0</v>
      </c>
      <c r="F14" t="s">
        <v>43</v>
      </c>
    </row>
    <row r="15" spans="1:6" x14ac:dyDescent="0.25">
      <c r="A15" t="s">
        <v>125</v>
      </c>
      <c r="B15" t="s">
        <v>139</v>
      </c>
      <c r="C15">
        <v>5904334</v>
      </c>
      <c r="D15">
        <v>0</v>
      </c>
      <c r="E15">
        <v>0</v>
      </c>
      <c r="F15" t="s">
        <v>43</v>
      </c>
    </row>
    <row r="16" spans="1:6" x14ac:dyDescent="0.25">
      <c r="A16" t="s">
        <v>125</v>
      </c>
      <c r="B16" t="s">
        <v>140</v>
      </c>
      <c r="C16">
        <v>5509220</v>
      </c>
      <c r="D16">
        <v>0</v>
      </c>
      <c r="E16">
        <v>0</v>
      </c>
      <c r="F16" t="s">
        <v>43</v>
      </c>
    </row>
    <row r="17" spans="1:6" x14ac:dyDescent="0.25">
      <c r="A17" t="s">
        <v>126</v>
      </c>
      <c r="B17" t="s">
        <v>141</v>
      </c>
      <c r="C17">
        <v>1921071</v>
      </c>
      <c r="D17">
        <v>0</v>
      </c>
      <c r="E17">
        <v>0</v>
      </c>
      <c r="F17" t="s">
        <v>43</v>
      </c>
    </row>
    <row r="18" spans="1:6" x14ac:dyDescent="0.25">
      <c r="A18" t="s">
        <v>132</v>
      </c>
      <c r="B18" t="s">
        <v>142</v>
      </c>
      <c r="C18">
        <v>1657334</v>
      </c>
      <c r="D18">
        <v>0</v>
      </c>
      <c r="E18">
        <v>0</v>
      </c>
      <c r="F18" t="s">
        <v>43</v>
      </c>
    </row>
    <row r="19" spans="1:6" x14ac:dyDescent="0.25">
      <c r="A19" t="s">
        <v>143</v>
      </c>
      <c r="B19" t="s">
        <v>143</v>
      </c>
      <c r="C19">
        <v>1623859</v>
      </c>
      <c r="D19">
        <v>0</v>
      </c>
      <c r="E19">
        <v>0</v>
      </c>
      <c r="F19" t="s">
        <v>43</v>
      </c>
    </row>
    <row r="20" spans="1:6" x14ac:dyDescent="0.25">
      <c r="A20" t="s">
        <v>125</v>
      </c>
      <c r="B20" t="s">
        <v>144</v>
      </c>
      <c r="C20">
        <v>1452182</v>
      </c>
      <c r="D20">
        <v>0</v>
      </c>
      <c r="E20">
        <v>0</v>
      </c>
      <c r="F20" t="s">
        <v>43</v>
      </c>
    </row>
    <row r="21" spans="1:6" x14ac:dyDescent="0.25">
      <c r="A21" t="s">
        <v>132</v>
      </c>
      <c r="B21" t="s">
        <v>145</v>
      </c>
      <c r="C21">
        <v>803363</v>
      </c>
      <c r="D21">
        <v>0</v>
      </c>
      <c r="E21">
        <v>0</v>
      </c>
      <c r="F21" t="s">
        <v>43</v>
      </c>
    </row>
    <row r="22" spans="1:6" x14ac:dyDescent="0.25">
      <c r="A22" t="s">
        <v>127</v>
      </c>
      <c r="B22" t="s">
        <v>146</v>
      </c>
      <c r="C22">
        <v>725688</v>
      </c>
      <c r="D22">
        <v>0</v>
      </c>
      <c r="E22">
        <v>0</v>
      </c>
      <c r="F22" t="s">
        <v>43</v>
      </c>
    </row>
    <row r="23" spans="1:6" x14ac:dyDescent="0.25">
      <c r="A23" t="s">
        <v>131</v>
      </c>
      <c r="B23" t="s">
        <v>147</v>
      </c>
      <c r="C23">
        <v>49785</v>
      </c>
      <c r="D23">
        <v>0</v>
      </c>
      <c r="E23">
        <v>0</v>
      </c>
      <c r="F23" t="s">
        <v>43</v>
      </c>
    </row>
    <row r="24" spans="1:6" x14ac:dyDescent="0.25">
      <c r="A24" t="s">
        <v>127</v>
      </c>
      <c r="B24" t="s">
        <v>148</v>
      </c>
      <c r="C24">
        <v>33051</v>
      </c>
      <c r="D24">
        <v>0</v>
      </c>
      <c r="E24">
        <v>0</v>
      </c>
      <c r="F24" t="s">
        <v>43</v>
      </c>
    </row>
    <row r="25" spans="1:6" x14ac:dyDescent="0.25">
      <c r="A25" t="s">
        <v>125</v>
      </c>
      <c r="B25" t="s">
        <v>149</v>
      </c>
      <c r="C25">
        <v>17030</v>
      </c>
      <c r="D25">
        <v>0</v>
      </c>
      <c r="E25">
        <v>0</v>
      </c>
      <c r="F25" t="s">
        <v>43</v>
      </c>
    </row>
    <row r="26" spans="1:6" x14ac:dyDescent="0.25">
      <c r="A26" t="s">
        <v>150</v>
      </c>
      <c r="B26" t="s">
        <v>138</v>
      </c>
      <c r="C26">
        <v>0</v>
      </c>
      <c r="D26">
        <v>5609625</v>
      </c>
      <c r="E26">
        <v>16774589</v>
      </c>
      <c r="F26">
        <v>-100</v>
      </c>
    </row>
    <row r="27" spans="1:6" x14ac:dyDescent="0.25">
      <c r="A27" t="s">
        <v>150</v>
      </c>
      <c r="B27" t="s">
        <v>135</v>
      </c>
      <c r="C27">
        <v>0</v>
      </c>
      <c r="D27">
        <v>48522</v>
      </c>
      <c r="E27">
        <v>225158</v>
      </c>
      <c r="F27">
        <v>-100</v>
      </c>
    </row>
    <row r="28" spans="1:6" x14ac:dyDescent="0.25">
      <c r="A28" t="s">
        <v>150</v>
      </c>
      <c r="B28" t="s">
        <v>151</v>
      </c>
      <c r="C28">
        <v>0</v>
      </c>
      <c r="D28">
        <v>2446</v>
      </c>
      <c r="E28">
        <v>1250326</v>
      </c>
      <c r="F28">
        <v>-100</v>
      </c>
    </row>
    <row r="29" spans="1:6" x14ac:dyDescent="0.25">
      <c r="A29" t="s">
        <v>150</v>
      </c>
      <c r="B29" t="s">
        <v>152</v>
      </c>
      <c r="C29">
        <v>0</v>
      </c>
      <c r="D29">
        <v>21428113</v>
      </c>
      <c r="E29">
        <v>67044079</v>
      </c>
      <c r="F29">
        <v>-100</v>
      </c>
    </row>
    <row r="30" spans="1:6" x14ac:dyDescent="0.25">
      <c r="A30" t="s">
        <v>150</v>
      </c>
      <c r="B30" t="s">
        <v>153</v>
      </c>
      <c r="C30">
        <v>0</v>
      </c>
      <c r="D30">
        <v>119518848</v>
      </c>
      <c r="E30">
        <v>414627825</v>
      </c>
      <c r="F30">
        <v>-100</v>
      </c>
    </row>
    <row r="31" spans="1:6" x14ac:dyDescent="0.25">
      <c r="A31" t="s">
        <v>150</v>
      </c>
      <c r="B31" t="s">
        <v>130</v>
      </c>
      <c r="C31">
        <v>0</v>
      </c>
      <c r="D31">
        <v>41457813</v>
      </c>
      <c r="E31">
        <v>146170031</v>
      </c>
      <c r="F31">
        <v>-100</v>
      </c>
    </row>
    <row r="32" spans="1:6" x14ac:dyDescent="0.25">
      <c r="A32" t="s">
        <v>150</v>
      </c>
      <c r="B32" t="s">
        <v>154</v>
      </c>
      <c r="C32">
        <v>0</v>
      </c>
      <c r="D32">
        <v>5273111</v>
      </c>
      <c r="E32">
        <v>14256528</v>
      </c>
      <c r="F32">
        <v>-100</v>
      </c>
    </row>
    <row r="33" spans="1:6" x14ac:dyDescent="0.25">
      <c r="A33" t="s">
        <v>150</v>
      </c>
      <c r="B33" t="s">
        <v>155</v>
      </c>
      <c r="C33">
        <v>0</v>
      </c>
      <c r="D33">
        <v>391436</v>
      </c>
      <c r="E33">
        <v>1994802</v>
      </c>
      <c r="F33">
        <v>-100</v>
      </c>
    </row>
    <row r="34" spans="1:6" x14ac:dyDescent="0.25">
      <c r="A34" t="s">
        <v>150</v>
      </c>
      <c r="B34" t="s">
        <v>228</v>
      </c>
      <c r="C34">
        <v>0</v>
      </c>
      <c r="D34">
        <v>0</v>
      </c>
      <c r="E34">
        <v>33498</v>
      </c>
      <c r="F34" t="s">
        <v>43</v>
      </c>
    </row>
    <row r="35" spans="1:6" x14ac:dyDescent="0.25">
      <c r="A35" t="s">
        <v>150</v>
      </c>
      <c r="B35" t="s">
        <v>156</v>
      </c>
      <c r="C35">
        <v>0</v>
      </c>
      <c r="D35">
        <v>192108184</v>
      </c>
      <c r="E35">
        <v>555768678</v>
      </c>
      <c r="F35">
        <v>-100</v>
      </c>
    </row>
    <row r="36" spans="1:6" x14ac:dyDescent="0.25">
      <c r="A36" t="s">
        <v>150</v>
      </c>
      <c r="B36" t="s">
        <v>157</v>
      </c>
      <c r="C36">
        <v>0</v>
      </c>
      <c r="D36">
        <v>28461519</v>
      </c>
      <c r="E36">
        <v>91650286</v>
      </c>
      <c r="F36">
        <v>-100</v>
      </c>
    </row>
    <row r="37" spans="1:6" x14ac:dyDescent="0.25">
      <c r="A37" t="s">
        <v>150</v>
      </c>
      <c r="B37" t="s">
        <v>158</v>
      </c>
      <c r="C37">
        <v>0</v>
      </c>
      <c r="D37">
        <v>38502266</v>
      </c>
      <c r="E37">
        <v>103480415</v>
      </c>
      <c r="F37">
        <v>-100</v>
      </c>
    </row>
    <row r="38" spans="1:6" x14ac:dyDescent="0.25">
      <c r="A38" t="s">
        <v>150</v>
      </c>
      <c r="B38" t="s">
        <v>128</v>
      </c>
      <c r="C38">
        <v>0</v>
      </c>
      <c r="D38">
        <v>40585307</v>
      </c>
      <c r="E38">
        <v>140572491</v>
      </c>
      <c r="F38">
        <v>-100</v>
      </c>
    </row>
    <row r="39" spans="1:6" x14ac:dyDescent="0.25">
      <c r="A39" t="s">
        <v>150</v>
      </c>
      <c r="B39" t="s">
        <v>129</v>
      </c>
      <c r="C39">
        <v>0</v>
      </c>
      <c r="D39">
        <v>38247470</v>
      </c>
      <c r="E39">
        <v>142484172</v>
      </c>
      <c r="F39">
        <v>-100</v>
      </c>
    </row>
    <row r="40" spans="1:6" x14ac:dyDescent="0.25">
      <c r="A40" t="s">
        <v>150</v>
      </c>
      <c r="B40" t="s">
        <v>133</v>
      </c>
      <c r="C40">
        <v>0</v>
      </c>
      <c r="D40">
        <v>18243334</v>
      </c>
      <c r="E40">
        <v>46036385</v>
      </c>
      <c r="F4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Report 1</vt:lpstr>
      <vt:lpstr>Report 2</vt:lpstr>
      <vt:lpstr>R3 By Group</vt:lpstr>
      <vt:lpstr>R3A State x Group</vt:lpstr>
      <vt:lpstr>R3B Party x Group</vt:lpstr>
      <vt:lpstr>R4 Quantity</vt:lpstr>
      <vt:lpstr>R5 By Customer</vt:lpstr>
      <vt:lpstr>R6 By Group (full prior)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Sales Intelligence</dc:creator>
  <dc:title/>
  <dc:subject/>
  <dc:description/>
  <cp:keywords/>
  <cp:category/>
  <cp:lastModifiedBy>Unknown</cp:lastModifiedBy>
  <dcterms:created xsi:type="dcterms:W3CDTF">2026-09-18T05:30:39Z</dcterms:created>
  <dcterms:modified xsi:type="dcterms:W3CDTF">2026-09-18T05:30:39Z</dcterms:modified>
</cp:coreProperties>
</file>