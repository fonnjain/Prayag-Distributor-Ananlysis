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HE MULTIPLIER" sheetId="1" state="visible" r:id="rId1"/>
    <sheet xmlns:r="http://schemas.openxmlformats.org/officeDocument/2006/relationships" name="2. Category multipliers" sheetId="2" state="visible" r:id="rId2"/>
    <sheet xmlns:r="http://schemas.openxmlformats.org/officeDocument/2006/relationships" name="3. Customer multipliers" sheetId="3" state="visible" r:id="rId3"/>
    <sheet xmlns:r="http://schemas.openxmlformats.org/officeDocument/2006/relationships" name="4. Auto-update each year" sheetId="4" state="visible" r:id="rId4"/>
  </sheets>
  <definedNames>
    <definedName name="_xlnm._FilterDatabase" localSheetId="2" hidden="1">'3. Customer multipliers'!$A$4:$J$254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+0.0%;-0.0%"/>
    <numFmt numFmtId="166" formatCode="0.000"/>
  </numFmts>
  <fonts count="18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C00000"/>
      <sz val="10"/>
    </font>
    <font>
      <b val="1"/>
      <color rgb="001F3864"/>
      <sz val="12"/>
    </font>
    <font>
      <b val="1"/>
      <color rgb="00FFFFFF"/>
      <sz val="9"/>
    </font>
    <font>
      <b val="1"/>
      <sz val="10"/>
    </font>
    <font>
      <b val="1"/>
      <sz val="12"/>
    </font>
    <font>
      <sz val="9"/>
    </font>
    <font>
      <sz val="10"/>
    </font>
    <font>
      <b val="1"/>
      <sz val="11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b val="1"/>
      <sz val="12"/>
    </font>
    <font>
      <i val="1"/>
      <color rgb="00595959"/>
      <sz val="9"/>
    </font>
    <font>
      <b val="1"/>
      <sz val="9"/>
    </font>
    <font>
      <name val="Arial"/>
      <b val="1"/>
      <sz val="14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3" borderId="1" pivotButton="0" quotePrefix="0" xfId="0"/>
    <xf numFmtId="0" fontId="7" fillId="0" borderId="1" applyAlignment="1" pivotButton="0" quotePrefix="0" xfId="0">
      <alignment wrapText="1"/>
    </xf>
    <xf numFmtId="0" fontId="8" fillId="0" borderId="1" pivotButton="0" quotePrefix="0" xfId="0"/>
    <xf numFmtId="164" fontId="8" fillId="4" borderId="1" pivotButton="0" quotePrefix="0" xfId="0"/>
    <xf numFmtId="165" fontId="8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3" fontId="9" fillId="5" borderId="1" pivotButton="0" quotePrefix="0" xfId="0"/>
    <xf numFmtId="3" fontId="9" fillId="4" borderId="1" pivotButton="0" quotePrefix="0" xfId="0"/>
    <xf numFmtId="3" fontId="9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7" fillId="0" borderId="1" pivotButton="0" quotePrefix="0" xfId="0"/>
    <xf numFmtId="164" fontId="5" fillId="4" borderId="1" pivotButton="0" quotePrefix="0" xfId="0"/>
    <xf numFmtId="165" fontId="7" fillId="0" borderId="1" pivotButton="0" quotePrefix="0" xfId="0"/>
    <xf numFmtId="164" fontId="5" fillId="7" borderId="1" pivotButton="0" quotePrefix="0" xfId="0"/>
    <xf numFmtId="164" fontId="5" fillId="3" borderId="1" pivotButton="0" quotePrefix="0" xfId="0"/>
    <xf numFmtId="166" fontId="15" fillId="4" borderId="1" pivotButton="0" quotePrefix="0" xfId="0"/>
    <xf numFmtId="3" fontId="7" fillId="0" borderId="1" pivotButton="0" quotePrefix="0" xfId="0"/>
    <xf numFmtId="165" fontId="7" fillId="4" borderId="1" pivotButton="0" quotePrefix="0" xfId="0"/>
    <xf numFmtId="3" fontId="7" fillId="3" borderId="1" pivotButton="0" quotePrefix="0" xfId="0"/>
    <xf numFmtId="166" fontId="15" fillId="0" borderId="1" pivotButton="0" quotePrefix="0" xfId="0"/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6" customWidth="1" min="3" max="3"/>
  </cols>
  <sheetData>
    <row r="1">
      <c r="A1" s="1" t="inlineStr">
        <is>
          <t>Prayag — PRICE MULTIPLIER for setting realistic scheme targets</t>
        </is>
      </c>
    </row>
    <row r="2">
      <c r="A2" s="2" t="inlineStr">
        <is>
          <t>Value-based scheme targets silently reward price inflation. This multiplier strips price out so targets measure REAL (volume) growth.</t>
        </is>
      </c>
    </row>
    <row r="4">
      <c r="A4" s="3" t="inlineStr">
        <is>
          <t>THE COMPANY MULTIPLIER</t>
        </is>
      </c>
    </row>
    <row r="5">
      <c r="A5" s="4" t="inlineStr">
        <is>
          <t>Measure</t>
        </is>
      </c>
      <c r="B5" s="4" t="inlineStr">
        <is>
          <t>Value</t>
        </is>
      </c>
      <c r="C5" s="4" t="inlineStr">
        <is>
          <t>What it is</t>
        </is>
      </c>
    </row>
    <row r="6" ht="26" customHeight="1">
      <c r="A6" s="5" t="inlineStr">
        <is>
          <t>PRICE MULTIPLIER (Laspeyres)</t>
        </is>
      </c>
      <c r="B6" s="6" t="n">
        <v>1.107159109561095</v>
      </c>
      <c r="C6" s="7" t="inlineStr">
        <is>
          <t>Last year's basket, repriced at this year's prices. PURE price. Mix removed. USE THIS.</t>
        </is>
      </c>
    </row>
    <row r="7" ht="26" customHeight="1">
      <c r="A7" s="8" t="inlineStr">
        <is>
          <t>Naive value/qty ratio</t>
        </is>
      </c>
      <c r="B7" s="9" t="n">
        <v>1.156279312168057</v>
      </c>
      <c r="C7" s="7" t="inlineStr">
        <is>
          <t>WRONG. Contaminated by mix shift (customers buying dearer items).</t>
        </is>
      </c>
    </row>
    <row r="8" ht="26" customHeight="1">
      <c r="A8" s="8" t="inlineStr">
        <is>
          <t xml:space="preserve">  -&gt; mix contamination</t>
        </is>
      </c>
      <c r="B8" s="9" t="n">
        <v>0.04912020260696126</v>
      </c>
      <c r="C8" s="7" t="inlineStr">
        <is>
          <t>This much of the 'price rise' is actually mix, not price.</t>
        </is>
      </c>
    </row>
    <row r="9" ht="26" customHeight="1">
      <c r="A9" s="8" t="inlineStr">
        <is>
          <t>Reported VALUE growth</t>
        </is>
      </c>
      <c r="B9" s="10" t="n">
        <v>-0.2755751611354723</v>
      </c>
      <c r="C9" s="7" t="inlineStr">
        <is>
          <t>What the reports show today.</t>
        </is>
      </c>
    </row>
    <row r="10" ht="26" customHeight="1">
      <c r="A10" s="8" t="inlineStr">
        <is>
          <t>Actual UNITS growth</t>
        </is>
      </c>
      <c r="B10" s="10" t="n">
        <v>-0.3734862924199427</v>
      </c>
      <c r="C10" s="7" t="inlineStr">
        <is>
          <t>What customers really bought.</t>
        </is>
      </c>
    </row>
    <row r="11" ht="26" customHeight="1">
      <c r="A11" s="8" t="inlineStr">
        <is>
          <t>REAL growth (value / multiplier)</t>
        </is>
      </c>
      <c r="B11" s="10" t="n">
        <v>-0.3456903957086103</v>
      </c>
      <c r="C11" s="7" t="inlineStr">
        <is>
          <t>Value deflated by the multiplier = true performance.</t>
        </is>
      </c>
    </row>
    <row r="13">
      <c r="A13" s="3" t="inlineStr">
        <is>
          <t>WORKED EXAMPLE — a distributor who did Rs 1,00,00,000 last year</t>
        </is>
      </c>
    </row>
    <row r="14">
      <c r="A14" s="11" t="inlineStr">
        <is>
          <t>Target method</t>
        </is>
      </c>
      <c r="B14" s="11" t="inlineStr">
        <is>
          <t>Target value</t>
        </is>
      </c>
      <c r="C14" s="11" t="inlineStr">
        <is>
          <t>What it actually demands</t>
        </is>
      </c>
    </row>
    <row r="15" ht="24" customHeight="1">
      <c r="A15" s="8" t="inlineStr">
        <is>
          <t>Last year actual</t>
        </is>
      </c>
      <c r="B15" s="12" t="n">
        <v>10000000</v>
      </c>
      <c r="C15" s="7" t="inlineStr">
        <is>
          <t>baseline</t>
        </is>
      </c>
    </row>
    <row r="16" ht="24" customHeight="1">
      <c r="A16" s="8" t="inlineStr">
        <is>
          <t>Flat target (same pieces)</t>
        </is>
      </c>
      <c r="B16" s="12" t="n">
        <v>11071591.09561095</v>
      </c>
      <c r="C16" s="7" t="inlineStr">
        <is>
          <t>They hit this buying the SAME pcs. Multiplier 1.1072. ZERO growth.</t>
        </is>
      </c>
    </row>
    <row r="17" ht="24" customHeight="1">
      <c r="A17" s="5" t="inlineStr">
        <is>
          <t>NAIVE '+10% value' target</t>
        </is>
      </c>
      <c r="B17" s="13" t="n">
        <v>11000000</v>
      </c>
      <c r="C17" s="7" t="inlineStr">
        <is>
          <t>*** BROKEN *** They can buy FEWER pieces and still hit it.</t>
        </is>
      </c>
    </row>
    <row r="18" ht="24" customHeight="1">
      <c r="A18" s="5" t="inlineStr">
        <is>
          <t>CORRECT '+10% real growth'</t>
        </is>
      </c>
      <c r="B18" s="14" t="n">
        <v>12178750.20517205</v>
      </c>
      <c r="C18" s="7">
        <f> LY x multiplier x 1.10. Demands 10% MORE PIECES.</f>
        <v/>
      </c>
    </row>
    <row r="19" ht="24" customHeight="1">
      <c r="A19" s="5" t="inlineStr">
        <is>
          <t>CORRECT '+5% real growth'</t>
        </is>
      </c>
      <c r="B19" s="14" t="n">
        <v>11625170.6503915</v>
      </c>
      <c r="C19" s="7">
        <f> LY x multiplier x 1.05</f>
        <v/>
      </c>
    </row>
    <row r="20" ht="24" customHeight="1">
      <c r="A20" s="5" t="inlineStr">
        <is>
          <t>CORRECT '+15% real growth'</t>
        </is>
      </c>
      <c r="B20" s="14" t="n">
        <v>12732329.7599526</v>
      </c>
      <c r="C20" s="7">
        <f> LY x multiplier x 1.15</f>
        <v/>
      </c>
    </row>
    <row r="22">
      <c r="A22" s="15" t="inlineStr">
        <is>
          <t>THE FINDING THAT MATTERS</t>
        </is>
      </c>
    </row>
    <row r="23">
      <c r="A23" s="16" t="inlineStr">
        <is>
          <t>At a naive +10% VALUE target, 135 of 250 customers (54%) would hit it</t>
        </is>
      </c>
    </row>
    <row r="24">
      <c r="A24" s="16" t="inlineStr">
        <is>
          <t>buying ZERO extra pieces — purely because prices rose. The scheme pays out for nothing.</t>
        </is>
      </c>
    </row>
    <row r="25">
      <c r="A25" s="17" t="inlineStr"/>
    </row>
    <row r="26">
      <c r="A26" s="18" t="inlineStr">
        <is>
          <t>THE FORMULA</t>
        </is>
      </c>
    </row>
    <row r="27">
      <c r="A27" s="16" t="inlineStr">
        <is>
          <t xml:space="preserve">    Scheme target  =  Last-year value  x  PRICE MULTIPLIER  x  (1 + desired REAL growth)</t>
        </is>
      </c>
    </row>
    <row r="28">
      <c r="A28" s="17" t="inlineStr"/>
    </row>
    <row r="29">
      <c r="A29" s="17" t="inlineStr">
        <is>
          <t xml:space="preserve">    Achievement %  =  (Actual value / multiplier)  /  Last-year value      &lt;- deflated, honest</t>
        </is>
      </c>
    </row>
    <row r="30">
      <c r="A30" s="17" t="inlineStr"/>
    </row>
    <row r="31">
      <c r="A31" s="17" t="inlineStr">
        <is>
          <t>Use the CATEGORY multiplier (tab 2) when a scheme is category-specific.</t>
        </is>
      </c>
    </row>
    <row r="32">
      <c r="A32" s="17" t="inlineStr">
        <is>
          <t>Use the CUSTOMER multiplier (tab 3) for the fairest per-customer target — it reprices THEIR OWN basket.</t>
        </is>
      </c>
    </row>
    <row r="33">
      <c r="A33" s="17" t="inlineStr"/>
    </row>
    <row r="34">
      <c r="A34" s="16" t="inlineStr">
        <is>
          <t>ALTERNATIVE, AND SIMPLEST: set the scheme in PIECES, not rupees. Then no multiplier is needed at all.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34" customWidth="1" min="7" max="7"/>
  </cols>
  <sheetData>
    <row r="1">
      <c r="A1" s="3" t="inlineStr">
        <is>
          <t>PRICE MULTIPLIER BY CATEGORY — each category inflates differently</t>
        </is>
      </c>
    </row>
    <row r="2">
      <c r="A2" s="19" t="inlineStr">
        <is>
          <t>Use the category multiplier when a scheme is specific to a product group. A single company multiplier over-taxes some categories and under-taxes others.</t>
        </is>
      </c>
    </row>
    <row r="4">
      <c r="A4" s="11" t="inlineStr">
        <is>
          <t>Category</t>
        </is>
      </c>
      <c r="B4" s="11" t="inlineStr">
        <is>
          <t>MULTIPLIER</t>
        </is>
      </c>
      <c r="C4" s="11" t="inlineStr">
        <is>
          <t>Price rise %</t>
        </is>
      </c>
      <c r="D4" s="11" t="inlineStr">
        <is>
          <t>Value growth %</t>
        </is>
      </c>
      <c r="E4" s="11" t="inlineStr">
        <is>
          <t>Units growth %</t>
        </is>
      </c>
      <c r="F4" s="11" t="inlineStr">
        <is>
          <t>REAL growth %</t>
        </is>
      </c>
      <c r="G4" s="11" t="inlineStr">
        <is>
          <t>Note</t>
        </is>
      </c>
    </row>
    <row r="5">
      <c r="A5" s="20" t="inlineStr">
        <is>
          <t>HDPE PIPE</t>
        </is>
      </c>
      <c r="B5" s="21" t="n">
        <v>1.319474959597711</v>
      </c>
      <c r="C5" s="22" t="n">
        <v>0.3194749595977107</v>
      </c>
      <c r="D5" s="22" t="n">
        <v>4.35653329480026</v>
      </c>
      <c r="E5" s="22" t="n">
        <v>5.768215847602105</v>
      </c>
      <c r="F5" s="22" t="n">
        <v>3.059594504493963</v>
      </c>
      <c r="G5" s="20" t="inlineStr">
        <is>
          <t>prices UP most - target must rise</t>
        </is>
      </c>
    </row>
    <row r="6">
      <c r="A6" s="20" t="inlineStr">
        <is>
          <t>C P</t>
        </is>
      </c>
      <c r="B6" s="21" t="n">
        <v>1.2297617435912</v>
      </c>
      <c r="C6" s="22" t="n">
        <v>0.2297617435912003</v>
      </c>
      <c r="D6" s="22" t="n">
        <v>-0.2035939616255565</v>
      </c>
      <c r="E6" s="22" t="n">
        <v>-0.3100817569477406</v>
      </c>
      <c r="F6" s="22" t="n">
        <v>-0.3523899710453293</v>
      </c>
      <c r="G6" s="20" t="inlineStr">
        <is>
          <t>prices UP most - target must rise</t>
        </is>
      </c>
    </row>
    <row r="7">
      <c r="A7" s="20" t="inlineStr">
        <is>
          <t>WATER TANK</t>
        </is>
      </c>
      <c r="B7" s="21" t="n">
        <v>1.190128612882006</v>
      </c>
      <c r="C7" s="22" t="n">
        <v>0.1901286128820057</v>
      </c>
      <c r="D7" s="22" t="n">
        <v>-0.3127526565663268</v>
      </c>
      <c r="E7" s="22" t="n">
        <v>-0.4262848398462327</v>
      </c>
      <c r="F7" s="22" t="n">
        <v>-0.4225436343644905</v>
      </c>
      <c r="G7" s="20" t="inlineStr">
        <is>
          <t>prices UP most - target must rise</t>
        </is>
      </c>
    </row>
    <row r="8">
      <c r="A8" s="20" t="inlineStr">
        <is>
          <t>CABINET</t>
        </is>
      </c>
      <c r="B8" s="21" t="n">
        <v>1.18565661966981</v>
      </c>
      <c r="C8" s="22" t="n">
        <v>0.18565661966981</v>
      </c>
      <c r="D8" s="22" t="n">
        <v>-0.4961574555514836</v>
      </c>
      <c r="E8" s="22" t="n">
        <v>-0.4956697991523862</v>
      </c>
      <c r="F8" s="22" t="n">
        <v>-0.5750518859424663</v>
      </c>
      <c r="G8" s="20" t="inlineStr">
        <is>
          <t>prices UP most - target must rise</t>
        </is>
      </c>
    </row>
    <row r="9">
      <c r="A9" s="20" t="inlineStr">
        <is>
          <t>SEAT COVER</t>
        </is>
      </c>
      <c r="B9" s="21" t="n">
        <v>1.173036963201384</v>
      </c>
      <c r="C9" s="22" t="n">
        <v>0.1730369632013844</v>
      </c>
      <c r="D9" s="22" t="n">
        <v>-0.296318339547006</v>
      </c>
      <c r="E9" s="22" t="n">
        <v>-0.3807169876203577</v>
      </c>
      <c r="F9" s="22" t="n">
        <v>-0.4001197894629451</v>
      </c>
      <c r="G9" s="20" t="inlineStr">
        <is>
          <t>prices UP most - target must rise</t>
        </is>
      </c>
    </row>
    <row r="10">
      <c r="A10" s="20" t="inlineStr">
        <is>
          <t>FLOOR TRAP</t>
        </is>
      </c>
      <c r="B10" s="21" t="n">
        <v>1.161149430399406</v>
      </c>
      <c r="C10" s="22" t="n">
        <v>0.1611494303994064</v>
      </c>
      <c r="D10" s="22" t="n">
        <v>-0.4037105756449343</v>
      </c>
      <c r="E10" s="22" t="n">
        <v>-0.4868043027994922</v>
      </c>
      <c r="F10" s="22" t="n">
        <v>-0.486466247371833</v>
      </c>
      <c r="G10" s="20" t="inlineStr">
        <is>
          <t>prices UP most - target must rise</t>
        </is>
      </c>
    </row>
    <row r="11">
      <c r="A11" s="20" t="inlineStr">
        <is>
          <t>CISTERN</t>
        </is>
      </c>
      <c r="B11" s="23" t="n">
        <v>1.143568052416547</v>
      </c>
      <c r="C11" s="22" t="n">
        <v>0.1435680524165472</v>
      </c>
      <c r="D11" s="22" t="n">
        <v>-0.3251928794798175</v>
      </c>
      <c r="E11" s="22" t="n">
        <v>-0.3886074862637364</v>
      </c>
      <c r="F11" s="22" t="n">
        <v>-0.409910832071424</v>
      </c>
      <c r="G11" s="20" t="inlineStr"/>
    </row>
    <row r="12">
      <c r="A12" s="20" t="inlineStr">
        <is>
          <t>CONNECTION</t>
        </is>
      </c>
      <c r="B12" s="23" t="n">
        <v>1.121466690157631</v>
      </c>
      <c r="C12" s="22" t="n">
        <v>0.1214666901576313</v>
      </c>
      <c r="D12" s="22" t="n">
        <v>-0.4365157696856543</v>
      </c>
      <c r="E12" s="22" t="n">
        <v>-0.4863003813588972</v>
      </c>
      <c r="F12" s="22" t="n">
        <v>-0.4975470646969075</v>
      </c>
      <c r="G12" s="20" t="inlineStr"/>
    </row>
    <row r="13">
      <c r="A13" s="20" t="inlineStr">
        <is>
          <t>GARDEN PIPE</t>
        </is>
      </c>
      <c r="B13" s="23" t="n">
        <v>1.108818080433386</v>
      </c>
      <c r="C13" s="22" t="n">
        <v>0.1088180804333865</v>
      </c>
      <c r="D13" s="22" t="n">
        <v>0.09764774845356626</v>
      </c>
      <c r="E13" s="22" t="n">
        <v>0.02700626403498396</v>
      </c>
      <c r="F13" s="22" t="n">
        <v>-0.01007408895736461</v>
      </c>
      <c r="G13" s="20" t="inlineStr"/>
    </row>
    <row r="14">
      <c r="A14" s="20" t="inlineStr">
        <is>
          <t>WASTE PIPE</t>
        </is>
      </c>
      <c r="B14" s="23" t="n">
        <v>1.107661316396967</v>
      </c>
      <c r="C14" s="22" t="n">
        <v>0.1076613163969673</v>
      </c>
      <c r="D14" s="22" t="n">
        <v>-0.2198480994294512</v>
      </c>
      <c r="E14" s="22" t="n">
        <v>-0.3379148201137593</v>
      </c>
      <c r="F14" s="22" t="n">
        <v>-0.2956764951327817</v>
      </c>
      <c r="G14" s="20" t="inlineStr"/>
    </row>
    <row r="15">
      <c r="A15" s="20" t="inlineStr">
        <is>
          <t>PLATE RACK</t>
        </is>
      </c>
      <c r="B15" s="23" t="n">
        <v>1.102298990922442</v>
      </c>
      <c r="C15" s="22" t="n">
        <v>0.1022989909224421</v>
      </c>
      <c r="D15" s="22" t="n">
        <v>-0.7831536940094818</v>
      </c>
      <c r="E15" s="22" t="n">
        <v>-0.7717717717717718</v>
      </c>
      <c r="F15" s="22" t="n">
        <v>-0.8032781416146868</v>
      </c>
      <c r="G15" s="20" t="inlineStr"/>
    </row>
    <row r="16">
      <c r="A16" s="20" t="inlineStr">
        <is>
          <t>COLUMN</t>
        </is>
      </c>
      <c r="B16" s="23" t="n">
        <v>1.092818957443015</v>
      </c>
      <c r="C16" s="22" t="n">
        <v>0.09281895744301473</v>
      </c>
      <c r="D16" s="22" t="n">
        <v>-0.5020845165782641</v>
      </c>
      <c r="E16" s="22" t="n">
        <v>-0.4959349593495935</v>
      </c>
      <c r="F16" s="22" t="n">
        <v>-0.5443751409778231</v>
      </c>
      <c r="G16" s="20" t="inlineStr"/>
    </row>
    <row r="17">
      <c r="A17" s="20" t="inlineStr">
        <is>
          <t>SANITARYWARE</t>
        </is>
      </c>
      <c r="B17" s="23" t="n">
        <v>1.092397968725123</v>
      </c>
      <c r="C17" s="22" t="n">
        <v>0.09239796872512308</v>
      </c>
      <c r="D17" s="22" t="n">
        <v>-0.02001136484137678</v>
      </c>
      <c r="E17" s="22" t="n">
        <v>-0.1670893289642399</v>
      </c>
      <c r="F17" s="22" t="n">
        <v>-0.1029014487254004</v>
      </c>
      <c r="G17" s="20" t="inlineStr"/>
    </row>
    <row r="18">
      <c r="A18" s="20" t="inlineStr">
        <is>
          <t>CP ACCESSORIES</t>
        </is>
      </c>
      <c r="B18" s="23" t="n">
        <v>1.091821495229874</v>
      </c>
      <c r="C18" s="22" t="n">
        <v>0.09182149522987369</v>
      </c>
      <c r="D18" s="22" t="n">
        <v>-0.1024317909245948</v>
      </c>
      <c r="E18" s="22" t="n">
        <v>-0.1939907633795165</v>
      </c>
      <c r="F18" s="22" t="n">
        <v>-0.177916707999571</v>
      </c>
      <c r="G18" s="20" t="inlineStr"/>
    </row>
    <row r="19">
      <c r="A19" s="20" t="inlineStr">
        <is>
          <t>QUAA</t>
        </is>
      </c>
      <c r="B19" s="23" t="n">
        <v>1.09056777197903</v>
      </c>
      <c r="C19" s="22" t="n">
        <v>0.09056777197903031</v>
      </c>
      <c r="D19" s="22" t="n">
        <v>-0.8181074157616881</v>
      </c>
      <c r="E19" s="22" t="n">
        <v>-0.8244256348246676</v>
      </c>
      <c r="F19" s="22" t="n">
        <v>-0.8332129475014328</v>
      </c>
      <c r="G19" s="20" t="inlineStr"/>
    </row>
    <row r="20">
      <c r="A20" s="20" t="inlineStr">
        <is>
          <t>SINK</t>
        </is>
      </c>
      <c r="B20" s="23" t="n">
        <v>1.08275576442116</v>
      </c>
      <c r="C20" s="22" t="n">
        <v>0.08275576442115963</v>
      </c>
      <c r="D20" s="22" t="n">
        <v>-0.2978754490669189</v>
      </c>
      <c r="E20" s="22" t="n">
        <v>-0.35466741196199</v>
      </c>
      <c r="F20" s="22" t="n">
        <v>-0.3515393092287655</v>
      </c>
      <c r="G20" s="20" t="inlineStr"/>
    </row>
    <row r="21">
      <c r="A21" s="20" t="inlineStr">
        <is>
          <t>PTMT</t>
        </is>
      </c>
      <c r="B21" s="23" t="n">
        <v>1.080069734174831</v>
      </c>
      <c r="C21" s="22" t="n">
        <v>0.0800697341748311</v>
      </c>
      <c r="D21" s="22" t="n">
        <v>-0.4609697705950839</v>
      </c>
      <c r="E21" s="22" t="n">
        <v>-0.5127532929742523</v>
      </c>
      <c r="F21" s="22" t="n">
        <v>-0.5009301600171836</v>
      </c>
      <c r="G21" s="20" t="inlineStr"/>
    </row>
    <row r="22">
      <c r="A22" s="20" t="inlineStr">
        <is>
          <t>SWR</t>
        </is>
      </c>
      <c r="B22" s="23" t="n">
        <v>1.06960524297758</v>
      </c>
      <c r="C22" s="22" t="n">
        <v>0.06960524297757975</v>
      </c>
      <c r="D22" s="22" t="n">
        <v>-0.05325501511082509</v>
      </c>
      <c r="E22" s="22" t="n">
        <v>0.001775303195545641</v>
      </c>
      <c r="F22" s="22" t="n">
        <v>-0.1148650484793671</v>
      </c>
      <c r="G22" s="20" t="inlineStr"/>
    </row>
    <row r="23">
      <c r="A23" s="20" t="inlineStr">
        <is>
          <t>UPVC</t>
        </is>
      </c>
      <c r="B23" s="23" t="n">
        <v>1.05590128523536</v>
      </c>
      <c r="C23" s="22" t="n">
        <v>0.05590128523535998</v>
      </c>
      <c r="D23" s="22" t="n">
        <v>-0.07447252142500083</v>
      </c>
      <c r="E23" s="22" t="n">
        <v>-0.08175928927268783</v>
      </c>
      <c r="F23" s="22" t="n">
        <v>-0.1234715862963464</v>
      </c>
      <c r="G23" s="20" t="inlineStr"/>
    </row>
    <row r="24">
      <c r="A24" s="20" t="inlineStr">
        <is>
          <t>AGRI</t>
        </is>
      </c>
      <c r="B24" s="23" t="n">
        <v>1.053180484397331</v>
      </c>
      <c r="C24" s="22" t="n">
        <v>0.05318048439733092</v>
      </c>
      <c r="D24" s="22" t="n">
        <v>0.05671121108326505</v>
      </c>
      <c r="E24" s="22" t="n">
        <v>-0.09420327550480746</v>
      </c>
      <c r="F24" s="22" t="n">
        <v>0.00335244218653985</v>
      </c>
      <c r="G24" s="20" t="inlineStr"/>
    </row>
    <row r="25">
      <c r="A25" s="20" t="inlineStr">
        <is>
          <t>TEFELON TAPE</t>
        </is>
      </c>
      <c r="B25" s="23" t="n">
        <v>1.040811431855547</v>
      </c>
      <c r="C25" s="22" t="n">
        <v>0.04081143185554681</v>
      </c>
      <c r="D25" s="22" t="n">
        <v>0.05515376473336686</v>
      </c>
      <c r="E25" s="22" t="n">
        <v>0.01458268371271187</v>
      </c>
      <c r="F25" s="22" t="n">
        <v>0.01377995325459747</v>
      </c>
      <c r="G25" s="20" t="inlineStr"/>
    </row>
    <row r="26">
      <c r="A26" s="20" t="inlineStr">
        <is>
          <t>CPVC</t>
        </is>
      </c>
      <c r="B26" s="23" t="n">
        <v>1.010299296686398</v>
      </c>
      <c r="C26" s="22" t="n">
        <v>0.01029929668639795</v>
      </c>
      <c r="D26" s="22" t="n">
        <v>-0.3054233230287069</v>
      </c>
      <c r="E26" s="22" t="n">
        <v>-0.4067319521526109</v>
      </c>
      <c r="F26" s="22" t="n">
        <v>-0.3125040478109991</v>
      </c>
      <c r="G26" s="20" t="inlineStr"/>
    </row>
    <row r="27">
      <c r="A27" s="20" t="inlineStr">
        <is>
          <t>WT LID</t>
        </is>
      </c>
      <c r="B27" s="24" t="n">
        <v>0.9936133538372783</v>
      </c>
      <c r="C27" s="22" t="n">
        <v>-0.006386646162721665</v>
      </c>
      <c r="D27" s="22" t="n">
        <v>0.2526682481937716</v>
      </c>
      <c r="E27" s="22" t="n">
        <v>0.3771929824561404</v>
      </c>
      <c r="F27" s="22" t="n">
        <v>0.2607200208773746</v>
      </c>
      <c r="G27" s="20" t="inlineStr">
        <is>
          <t>prices FELL - target should NOT rise</t>
        </is>
      </c>
    </row>
    <row r="28">
      <c r="A28" s="20" t="inlineStr">
        <is>
          <t>HARDWARE</t>
        </is>
      </c>
      <c r="B28" s="24" t="n">
        <v>0.9819256224970383</v>
      </c>
      <c r="C28" s="22" t="n">
        <v>-0.0180743775029617</v>
      </c>
      <c r="D28" s="22" t="n">
        <v>-0.3574591494348233</v>
      </c>
      <c r="E28" s="22" t="n">
        <v>-0.493126157645606</v>
      </c>
      <c r="F28" s="22" t="n">
        <v>-0.3456318525111969</v>
      </c>
      <c r="G28" s="20" t="inlineStr">
        <is>
          <t>prices FELL - target should NOT rise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4" customWidth="1" min="4" max="4"/>
    <col width="12" customWidth="1" min="5" max="5"/>
    <col width="13" customWidth="1" min="6" max="6"/>
    <col width="13" customWidth="1" min="7" max="7"/>
    <col width="13" customWidth="1" min="8" max="8"/>
    <col width="18" customWidth="1" min="9" max="9"/>
    <col width="18" customWidth="1" min="10" max="10"/>
  </cols>
  <sheetData>
    <row r="1">
      <c r="A1" s="3" t="inlineStr">
        <is>
          <t>PER-CUSTOMER MULTIPLIER + their price-adjusted scheme target</t>
        </is>
      </c>
    </row>
    <row r="2">
      <c r="A2" s="19" t="inlineStr">
        <is>
          <t>Each customer's OWN last-year basket, repriced at this year's prices. 'Flat target' = what they'd hit buying the SAME pieces (zero growth) — any scheme target must exceed this.</t>
        </is>
      </c>
    </row>
    <row r="4">
      <c r="A4" s="11" t="inlineStr">
        <is>
          <t>Customer</t>
        </is>
      </c>
      <c r="B4" s="11" t="inlineStr">
        <is>
          <t>MULTIPLIER</t>
        </is>
      </c>
      <c r="C4" s="11" t="inlineStr">
        <is>
          <t>Price rise %</t>
        </is>
      </c>
      <c r="D4" s="11" t="inlineStr">
        <is>
          <t>Value LY</t>
        </is>
      </c>
      <c r="E4" s="11" t="inlineStr">
        <is>
          <t>Qty LY (pcs)</t>
        </is>
      </c>
      <c r="F4" s="11" t="inlineStr">
        <is>
          <t>Value growth %</t>
        </is>
      </c>
      <c r="G4" s="11" t="inlineStr">
        <is>
          <t>Units growth %</t>
        </is>
      </c>
      <c r="H4" s="11" t="inlineStr">
        <is>
          <t>REAL growth %</t>
        </is>
      </c>
      <c r="I4" s="11" t="inlineStr">
        <is>
          <t>FLAT target (0% growth)</t>
        </is>
      </c>
      <c r="J4" s="11" t="inlineStr">
        <is>
          <t>Target for +10% REAL</t>
        </is>
      </c>
    </row>
    <row r="5">
      <c r="A5" s="20" t="inlineStr">
        <is>
          <t>ARADHYA KEDIA DISTRIBUTION HOUSE PVT LTD</t>
        </is>
      </c>
      <c r="B5" s="25" t="n">
        <v>1.140359373724682</v>
      </c>
      <c r="C5" s="22" t="n">
        <v>0.1403593737246822</v>
      </c>
      <c r="D5" s="26" t="n">
        <v>52437199.15000001</v>
      </c>
      <c r="E5" s="26" t="n">
        <v>1474286</v>
      </c>
      <c r="F5" s="22" t="n">
        <v>-1</v>
      </c>
      <c r="G5" s="22" t="n">
        <v>-1</v>
      </c>
      <c r="H5" s="27" t="n">
        <v>-1</v>
      </c>
      <c r="I5" s="26" t="n">
        <v>59797251.58257045</v>
      </c>
      <c r="J5" s="28" t="n">
        <v>65776976.7408275</v>
      </c>
    </row>
    <row r="6">
      <c r="A6" s="20" t="inlineStr">
        <is>
          <t>GRAHAA PRIYA ENTERPRISES</t>
        </is>
      </c>
      <c r="B6" s="25" t="n">
        <v>1.118667847511287</v>
      </c>
      <c r="C6" s="22" t="n">
        <v>0.1186678475112868</v>
      </c>
      <c r="D6" s="26" t="n">
        <v>39313510.64</v>
      </c>
      <c r="E6" s="26" t="n">
        <v>223622</v>
      </c>
      <c r="F6" s="22" t="n">
        <v>-0.4033975758416267</v>
      </c>
      <c r="G6" s="22" t="n">
        <v>-0.2317303306472529</v>
      </c>
      <c r="H6" s="27" t="n">
        <v>-0.4666849275362285</v>
      </c>
      <c r="I6" s="26" t="n">
        <v>43978760.32576087</v>
      </c>
      <c r="J6" s="28" t="n">
        <v>48376636.35833696</v>
      </c>
    </row>
    <row r="7">
      <c r="A7" s="20" t="inlineStr">
        <is>
          <t>AVIRASICO INTERNATIONAL (KOLKATTA)</t>
        </is>
      </c>
      <c r="B7" s="25" t="n">
        <v>1.10574032651903</v>
      </c>
      <c r="C7" s="22" t="n">
        <v>0.1057403265190295</v>
      </c>
      <c r="D7" s="26" t="n">
        <v>39269243.98</v>
      </c>
      <c r="E7" s="26" t="n">
        <v>309982</v>
      </c>
      <c r="F7" s="22" t="n">
        <v>-0.5352109758136474</v>
      </c>
      <c r="G7" s="22" t="n">
        <v>-0.5422895522965849</v>
      </c>
      <c r="H7" s="27" t="n">
        <v>-0.5796580688618362</v>
      </c>
      <c r="I7" s="26" t="n">
        <v>43421586.66060064</v>
      </c>
      <c r="J7" s="28" t="n">
        <v>47763745.32666071</v>
      </c>
    </row>
    <row r="8">
      <c r="A8" s="20" t="inlineStr">
        <is>
          <t>CHHINAMASTIKE SANITATION PRIVATE LIMITED</t>
        </is>
      </c>
      <c r="B8" s="25" t="n">
        <v>1.104161833780967</v>
      </c>
      <c r="C8" s="22" t="n">
        <v>0.1041618337809669</v>
      </c>
      <c r="D8" s="26" t="n">
        <v>25042052.99</v>
      </c>
      <c r="E8" s="26" t="n">
        <v>555238</v>
      </c>
      <c r="F8" s="22" t="n">
        <v>-0.2474505405956335</v>
      </c>
      <c r="G8" s="22" t="n">
        <v>-0.2755467024951462</v>
      </c>
      <c r="H8" s="27" t="n">
        <v>-0.318442789470977</v>
      </c>
      <c r="I8" s="26" t="n">
        <v>27650479.15107855</v>
      </c>
      <c r="J8" s="28" t="n">
        <v>30415527.06618641</v>
      </c>
    </row>
    <row r="9">
      <c r="A9" s="20" t="inlineStr">
        <is>
          <t>PROGRESSIVE MARKETING (Bhopal)</t>
        </is>
      </c>
      <c r="B9" s="29" t="n">
        <v>1.069912740585714</v>
      </c>
      <c r="C9" s="22" t="n">
        <v>0.06991274058571362</v>
      </c>
      <c r="D9" s="26" t="n">
        <v>24915495.51</v>
      </c>
      <c r="E9" s="26" t="n">
        <v>325512</v>
      </c>
      <c r="F9" s="22" t="n">
        <v>0.009435827993292012</v>
      </c>
      <c r="G9" s="22" t="n">
        <v>-0.1751302563346359</v>
      </c>
      <c r="H9" s="27" t="n">
        <v>-0.05652508872762285</v>
      </c>
      <c r="I9" s="26" t="n">
        <v>26657406.08415514</v>
      </c>
      <c r="J9" s="28" t="n">
        <v>29323146.69257066</v>
      </c>
    </row>
    <row r="10">
      <c r="A10" s="20" t="inlineStr">
        <is>
          <t>PRAYAG SALES CORPORATION (NE) (GUWAHATI)</t>
        </is>
      </c>
      <c r="B10" s="29" t="n">
        <v>1.082199423002085</v>
      </c>
      <c r="C10" s="22" t="n">
        <v>0.08219942300208549</v>
      </c>
      <c r="D10" s="26" t="n">
        <v>24555517.13</v>
      </c>
      <c r="E10" s="26" t="n">
        <v>337908</v>
      </c>
      <c r="F10" s="22" t="n">
        <v>-0.4197221864820078</v>
      </c>
      <c r="G10" s="22" t="n">
        <v>-0.7089740402713164</v>
      </c>
      <c r="H10" s="27" t="n">
        <v>-0.463797705686936</v>
      </c>
      <c r="I10" s="26" t="n">
        <v>26573966.46960382</v>
      </c>
      <c r="J10" s="28" t="n">
        <v>29231363.11656421</v>
      </c>
    </row>
    <row r="11">
      <c r="A11" s="20" t="inlineStr">
        <is>
          <t>MAJI TRADING</t>
        </is>
      </c>
      <c r="B11" s="25" t="n">
        <v>1.121696954973622</v>
      </c>
      <c r="C11" s="22" t="n">
        <v>0.121696954973622</v>
      </c>
      <c r="D11" s="26" t="n">
        <v>24062059.03</v>
      </c>
      <c r="E11" s="26" t="n">
        <v>291316</v>
      </c>
      <c r="F11" s="22" t="n">
        <v>-0.3653105625350135</v>
      </c>
      <c r="G11" s="22" t="n">
        <v>0.003357179145669908</v>
      </c>
      <c r="H11" s="27" t="n">
        <v>-0.4341703125333777</v>
      </c>
      <c r="I11" s="26" t="n">
        <v>26990338.34434655</v>
      </c>
      <c r="J11" s="28" t="n">
        <v>29689372.1787812</v>
      </c>
    </row>
    <row r="12">
      <c r="A12" s="20" t="inlineStr">
        <is>
          <t>SUBHAM ENTERPRISE (W.B)</t>
        </is>
      </c>
      <c r="B12" s="25" t="n">
        <v>1.103475772848062</v>
      </c>
      <c r="C12" s="22" t="n">
        <v>0.1034757728480617</v>
      </c>
      <c r="D12" s="26" t="n">
        <v>23974713.1</v>
      </c>
      <c r="E12" s="26" t="n">
        <v>626667</v>
      </c>
      <c r="F12" s="22" t="n">
        <v>-0.1867871595093249</v>
      </c>
      <c r="G12" s="22" t="n">
        <v>-0.4394151918004299</v>
      </c>
      <c r="H12" s="27" t="n">
        <v>-0.2630442276120122</v>
      </c>
      <c r="I12" s="26" t="n">
        <v>26455515.06683305</v>
      </c>
      <c r="J12" s="28" t="n">
        <v>29101066.57351636</v>
      </c>
    </row>
    <row r="13">
      <c r="A13" s="20" t="inlineStr">
        <is>
          <t>MITTAL AGENCIES (Patna)</t>
        </is>
      </c>
      <c r="B13" s="25" t="n">
        <v>1.110734807878718</v>
      </c>
      <c r="C13" s="22" t="n">
        <v>0.1107348078787183</v>
      </c>
      <c r="D13" s="26" t="n">
        <v>21997834.53</v>
      </c>
      <c r="E13" s="26" t="n">
        <v>186436</v>
      </c>
      <c r="F13" s="22" t="n">
        <v>-0.2085012701475211</v>
      </c>
      <c r="G13" s="22" t="n">
        <v>-0.08078911798150568</v>
      </c>
      <c r="H13" s="27" t="n">
        <v>-0.2874098081394573</v>
      </c>
      <c r="I13" s="26" t="n">
        <v>24433760.51042738</v>
      </c>
      <c r="J13" s="28" t="n">
        <v>26877136.56147012</v>
      </c>
    </row>
    <row r="14">
      <c r="A14" s="20" t="inlineStr">
        <is>
          <t>Lalta Prasad Ram Dayal</t>
        </is>
      </c>
      <c r="B14" s="29" t="n">
        <v>1.081744562377028</v>
      </c>
      <c r="C14" s="22" t="n">
        <v>0.0817445623770281</v>
      </c>
      <c r="D14" s="26" t="n">
        <v>21610836.4</v>
      </c>
      <c r="E14" s="26" t="n">
        <v>719489</v>
      </c>
      <c r="F14" s="22" t="n">
        <v>-0.3613379086984343</v>
      </c>
      <c r="G14" s="22" t="n">
        <v>-0.7398250702929441</v>
      </c>
      <c r="H14" s="27" t="n">
        <v>-0.4095999060090784</v>
      </c>
      <c r="I14" s="26" t="n">
        <v>23377404.76411955</v>
      </c>
      <c r="J14" s="28" t="n">
        <v>25715145.2405315</v>
      </c>
    </row>
    <row r="15">
      <c r="A15" s="20" t="inlineStr">
        <is>
          <t>PRAYAG SALES CORPORATION (BHUBANESHWAR)</t>
        </is>
      </c>
      <c r="B15" s="25" t="n">
        <v>1.106291765457677</v>
      </c>
      <c r="C15" s="22" t="n">
        <v>0.1062917654576774</v>
      </c>
      <c r="D15" s="26" t="n">
        <v>17950088.38</v>
      </c>
      <c r="E15" s="26" t="n">
        <v>107846</v>
      </c>
      <c r="F15" s="22" t="n">
        <v>0.0360554497726655</v>
      </c>
      <c r="G15" s="22" t="n">
        <v>-0.3640283367023349</v>
      </c>
      <c r="H15" s="27" t="n">
        <v>-0.06348805792290679</v>
      </c>
      <c r="I15" s="26" t="n">
        <v>19858034.96403154</v>
      </c>
      <c r="J15" s="28" t="n">
        <v>21843838.4604347</v>
      </c>
    </row>
    <row r="16">
      <c r="A16" s="20" t="inlineStr">
        <is>
          <t>SB ENTERPRISES</t>
        </is>
      </c>
      <c r="B16" s="25" t="n">
        <v>1.116991513704394</v>
      </c>
      <c r="C16" s="22" t="n">
        <v>0.1169915137043944</v>
      </c>
      <c r="D16" s="26" t="n">
        <v>16501662.89</v>
      </c>
      <c r="E16" s="26" t="n">
        <v>137570</v>
      </c>
      <c r="F16" s="22" t="n">
        <v>0.1188649503431953</v>
      </c>
      <c r="G16" s="22" t="n">
        <v>0.4250781420367813</v>
      </c>
      <c r="H16" s="22" t="n">
        <v>0.001677216537292914</v>
      </c>
      <c r="I16" s="26" t="n">
        <v>18432217.41014073</v>
      </c>
      <c r="J16" s="28" t="n">
        <v>20275439.15115481</v>
      </c>
    </row>
    <row r="17">
      <c r="A17" s="20" t="inlineStr">
        <is>
          <t>ANAND SANITARYWARE</t>
        </is>
      </c>
      <c r="B17" s="29" t="n">
        <v>1.082442530322179</v>
      </c>
      <c r="C17" s="22" t="n">
        <v>0.0824425303221792</v>
      </c>
      <c r="D17" s="26" t="n">
        <v>15141008.2</v>
      </c>
      <c r="E17" s="26" t="n">
        <v>427771</v>
      </c>
      <c r="F17" s="22" t="n">
        <v>0.02888017258982778</v>
      </c>
      <c r="G17" s="22" t="n">
        <v>-0.07739421325896334</v>
      </c>
      <c r="H17" s="27" t="n">
        <v>-0.04948286512394251</v>
      </c>
      <c r="I17" s="26" t="n">
        <v>16389271.22763686</v>
      </c>
      <c r="J17" s="28" t="n">
        <v>18028198.35040055</v>
      </c>
    </row>
    <row r="18">
      <c r="A18" s="20" t="inlineStr">
        <is>
          <t>NATIONAL CASTING &amp; METALS(RANCHI)</t>
        </is>
      </c>
      <c r="B18" s="25" t="n">
        <v>1.112325621310932</v>
      </c>
      <c r="C18" s="22" t="n">
        <v>0.112325621310932</v>
      </c>
      <c r="D18" s="26" t="n">
        <v>13597906.7</v>
      </c>
      <c r="E18" s="26" t="n">
        <v>251292</v>
      </c>
      <c r="F18" s="22" t="n">
        <v>-0.1663396249071191</v>
      </c>
      <c r="G18" s="22" t="n">
        <v>-0.1162830492017255</v>
      </c>
      <c r="H18" s="27" t="n">
        <v>-0.250524883073025</v>
      </c>
      <c r="I18" s="26" t="n">
        <v>15125300.01860559</v>
      </c>
      <c r="J18" s="28" t="n">
        <v>16637830.02046615</v>
      </c>
    </row>
    <row r="19">
      <c r="A19" s="20" t="inlineStr">
        <is>
          <t>TRINITY TRADING</t>
        </is>
      </c>
      <c r="B19" s="25" t="n">
        <v>1.120768228132866</v>
      </c>
      <c r="C19" s="22" t="n">
        <v>0.1207682281328659</v>
      </c>
      <c r="D19" s="26" t="n">
        <v>13533025.88</v>
      </c>
      <c r="E19" s="26" t="n">
        <v>118933</v>
      </c>
      <c r="F19" s="22" t="n">
        <v>-1</v>
      </c>
      <c r="G19" s="22" t="n">
        <v>-1</v>
      </c>
      <c r="H19" s="27" t="n">
        <v>-1</v>
      </c>
      <c r="I19" s="26" t="n">
        <v>15167385.43680382</v>
      </c>
      <c r="J19" s="28" t="n">
        <v>16684123.9804842</v>
      </c>
    </row>
    <row r="20">
      <c r="A20" s="20" t="inlineStr">
        <is>
          <t>BMW POLYTUBE (UNIT OF BMW VENTURES LTD)</t>
        </is>
      </c>
      <c r="B20" s="29" t="n">
        <v>1.044849804495132</v>
      </c>
      <c r="C20" s="22" t="n">
        <v>0.04484980449513243</v>
      </c>
      <c r="D20" s="26" t="n">
        <v>13351569.09</v>
      </c>
      <c r="E20" s="26" t="n">
        <v>253598</v>
      </c>
      <c r="F20" s="22" t="n">
        <v>0.159784180092948</v>
      </c>
      <c r="G20" s="22" t="n">
        <v>0.1873713515090814</v>
      </c>
      <c r="H20" s="22" t="n">
        <v>0.1100008585955104</v>
      </c>
      <c r="I20" s="26" t="n">
        <v>13950384.35338975</v>
      </c>
      <c r="J20" s="28" t="n">
        <v>15345422.78872873</v>
      </c>
    </row>
    <row r="21">
      <c r="A21" s="20" t="inlineStr">
        <is>
          <t>WAHID MARKETING (WADI)</t>
        </is>
      </c>
      <c r="B21" s="25" t="n">
        <v>1.12429940371578</v>
      </c>
      <c r="C21" s="22" t="n">
        <v>0.1242994037157798</v>
      </c>
      <c r="D21" s="26" t="n">
        <v>12817272.56</v>
      </c>
      <c r="E21" s="26" t="n">
        <v>124105</v>
      </c>
      <c r="F21" s="22" t="n">
        <v>-0.5253912810605004</v>
      </c>
      <c r="G21" s="22" t="n">
        <v>-0.703356029168849</v>
      </c>
      <c r="H21" s="27" t="n">
        <v>-0.5778626962080293</v>
      </c>
      <c r="I21" s="26" t="n">
        <v>14410451.89647062</v>
      </c>
      <c r="J21" s="28" t="n">
        <v>15851497.08611769</v>
      </c>
    </row>
    <row r="22">
      <c r="A22" s="20" t="inlineStr">
        <is>
          <t>SEWA BATH SOLUTIONS</t>
        </is>
      </c>
      <c r="B22" s="29" t="n">
        <v>1.076022945653592</v>
      </c>
      <c r="C22" s="22" t="n">
        <v>0.07602294565359191</v>
      </c>
      <c r="D22" s="26" t="n">
        <v>12486052.86</v>
      </c>
      <c r="E22" s="26" t="n">
        <v>251365</v>
      </c>
      <c r="F22" s="22" t="n">
        <v>0.2250951554917573</v>
      </c>
      <c r="G22" s="22" t="n">
        <v>-0.3054363177053289</v>
      </c>
      <c r="H22" s="22" t="n">
        <v>0.138539991586905</v>
      </c>
      <c r="I22" s="26" t="n">
        <v>13435279.37800366</v>
      </c>
      <c r="J22" s="28" t="n">
        <v>14778807.31580402</v>
      </c>
    </row>
    <row r="23">
      <c r="A23" s="20" t="inlineStr">
        <is>
          <t>NEW BHARAT PIPE</t>
        </is>
      </c>
      <c r="B23" s="29" t="n">
        <v>1.085124013610958</v>
      </c>
      <c r="C23" s="22" t="n">
        <v>0.08512401361095791</v>
      </c>
      <c r="D23" s="26" t="n">
        <v>11959312.6</v>
      </c>
      <c r="E23" s="26" t="n">
        <v>246255</v>
      </c>
      <c r="F23" s="22" t="n">
        <v>-1</v>
      </c>
      <c r="G23" s="22" t="n">
        <v>-1</v>
      </c>
      <c r="H23" s="27" t="n">
        <v>-1</v>
      </c>
      <c r="I23" s="26" t="n">
        <v>12977337.2885401</v>
      </c>
      <c r="J23" s="28" t="n">
        <v>14275071.01739411</v>
      </c>
    </row>
    <row r="24">
      <c r="A24" s="20" t="inlineStr">
        <is>
          <t>PRAYAG DISTRIBUTORS (KARNAL)</t>
        </is>
      </c>
      <c r="B24" s="29" t="n">
        <v>1.086884713918033</v>
      </c>
      <c r="C24" s="22" t="n">
        <v>0.08688471391803333</v>
      </c>
      <c r="D24" s="26" t="n">
        <v>11614877.04</v>
      </c>
      <c r="E24" s="26" t="n">
        <v>432209</v>
      </c>
      <c r="F24" s="22" t="n">
        <v>-0.2654059659334973</v>
      </c>
      <c r="G24" s="22" t="n">
        <v>-0.3036331959769464</v>
      </c>
      <c r="H24" s="27" t="n">
        <v>-0.3241288384502005</v>
      </c>
      <c r="I24" s="26" t="n">
        <v>12624032.30881353</v>
      </c>
      <c r="J24" s="28" t="n">
        <v>13886435.53969489</v>
      </c>
    </row>
    <row r="25">
      <c r="A25" s="20" t="inlineStr">
        <is>
          <t>MANOJ ENTERPRISES-(GHZ)</t>
        </is>
      </c>
      <c r="B25" s="29" t="n">
        <v>1.083780381581375</v>
      </c>
      <c r="C25" s="22" t="n">
        <v>0.08378038158137491</v>
      </c>
      <c r="D25" s="26" t="n">
        <v>10768304.82</v>
      </c>
      <c r="E25" s="26" t="n">
        <v>390405</v>
      </c>
      <c r="F25" s="22" t="n">
        <v>-1</v>
      </c>
      <c r="G25" s="22" t="n">
        <v>-1</v>
      </c>
      <c r="H25" s="27" t="n">
        <v>-1</v>
      </c>
      <c r="I25" s="26" t="n">
        <v>11670477.50680416</v>
      </c>
      <c r="J25" s="28" t="n">
        <v>12837525.25748458</v>
      </c>
    </row>
    <row r="26">
      <c r="A26" s="20" t="inlineStr">
        <is>
          <t>PRAYAG SYNDICATE</t>
        </is>
      </c>
      <c r="B26" s="25" t="n">
        <v>1.213693124854984</v>
      </c>
      <c r="C26" s="22" t="n">
        <v>0.2136931248549843</v>
      </c>
      <c r="D26" s="26" t="n">
        <v>10331507.32</v>
      </c>
      <c r="E26" s="26" t="n">
        <v>75428</v>
      </c>
      <c r="F26" s="22" t="n">
        <v>1.43224702569344</v>
      </c>
      <c r="G26" s="22" t="n">
        <v>-0.2478389987802938</v>
      </c>
      <c r="H26" s="22" t="n">
        <v>1.004004946459635</v>
      </c>
      <c r="I26" s="26" t="n">
        <v>12539279.40367294</v>
      </c>
      <c r="J26" s="28" t="n">
        <v>13793207.34404024</v>
      </c>
    </row>
    <row r="27">
      <c r="A27" s="20" t="inlineStr">
        <is>
          <t>MAHABIR SALES CORPORATION</t>
        </is>
      </c>
      <c r="B27" s="29" t="n">
        <v>1.085351481711331</v>
      </c>
      <c r="C27" s="22" t="n">
        <v>0.08535148171133056</v>
      </c>
      <c r="D27" s="26" t="n">
        <v>9479459.710000001</v>
      </c>
      <c r="E27" s="26" t="n">
        <v>311906</v>
      </c>
      <c r="F27" s="22" t="n">
        <v>0.2019252149973008</v>
      </c>
      <c r="G27" s="22" t="n">
        <v>-0.03406475027732714</v>
      </c>
      <c r="H27" s="22" t="n">
        <v>0.1074064349201995</v>
      </c>
      <c r="I27" s="26" t="n">
        <v>10288545.64207136</v>
      </c>
      <c r="J27" s="28" t="n">
        <v>11317400.2062785</v>
      </c>
    </row>
    <row r="28">
      <c r="A28" s="20" t="inlineStr">
        <is>
          <t>AVIRASICO EXIM PRIVATE LIMITED</t>
        </is>
      </c>
      <c r="B28" s="25" t="n">
        <v>1.190479104583248</v>
      </c>
      <c r="C28" s="22" t="n">
        <v>0.1904791045832479</v>
      </c>
      <c r="D28" s="26" t="n">
        <v>9415999.059999999</v>
      </c>
      <c r="E28" s="26" t="n">
        <v>18562</v>
      </c>
      <c r="F28" s="22" t="n">
        <v>0.1928950574895239</v>
      </c>
      <c r="G28" s="22" t="n">
        <v>0.03668785691197063</v>
      </c>
      <c r="H28" s="22" t="n">
        <v>0.002029395473616136</v>
      </c>
      <c r="I28" s="26" t="n">
        <v>11209550.1297055</v>
      </c>
      <c r="J28" s="28" t="n">
        <v>12330505.14267605</v>
      </c>
    </row>
    <row r="29">
      <c r="A29" s="20" t="inlineStr">
        <is>
          <t>KAKKAR TRADERS</t>
        </is>
      </c>
      <c r="B29" s="29" t="n">
        <v>1.086668502482536</v>
      </c>
      <c r="C29" s="22" t="n">
        <v>0.08666850248253644</v>
      </c>
      <c r="D29" s="26" t="n">
        <v>9173902.649999999</v>
      </c>
      <c r="E29" s="26" t="n">
        <v>101746</v>
      </c>
      <c r="F29" s="22" t="n">
        <v>-0.3617732230895211</v>
      </c>
      <c r="G29" s="22" t="n">
        <v>-0.48773416153952</v>
      </c>
      <c r="H29" s="27" t="n">
        <v>-0.4126757374006654</v>
      </c>
      <c r="I29" s="26" t="n">
        <v>9968991.05459607</v>
      </c>
      <c r="J29" s="28" t="n">
        <v>10965890.16005568</v>
      </c>
    </row>
    <row r="30">
      <c r="A30" s="20" t="inlineStr">
        <is>
          <t>UNIQUE PIPE &amp; SANITATION (BANKUDA)</t>
        </is>
      </c>
      <c r="B30" s="25" t="n">
        <v>1.101961113111466</v>
      </c>
      <c r="C30" s="22" t="n">
        <v>0.101961113111466</v>
      </c>
      <c r="D30" s="26" t="n">
        <v>8768552.619999999</v>
      </c>
      <c r="E30" s="26" t="n">
        <v>279000</v>
      </c>
      <c r="F30" s="22" t="n">
        <v>0.186392742431875</v>
      </c>
      <c r="G30" s="22" t="n">
        <v>-0.3019139784946236</v>
      </c>
      <c r="H30" s="22" t="n">
        <v>0.07661942723369819</v>
      </c>
      <c r="I30" s="26" t="n">
        <v>9662604.00551166</v>
      </c>
      <c r="J30" s="28" t="n">
        <v>10628864.40606283</v>
      </c>
    </row>
    <row r="31">
      <c r="A31" s="20" t="inlineStr">
        <is>
          <t>DAS ENTERPRISE</t>
        </is>
      </c>
      <c r="B31" s="25" t="n">
        <v>1.102268035112451</v>
      </c>
      <c r="C31" s="22" t="n">
        <v>0.1022680351124512</v>
      </c>
      <c r="D31" s="26" t="n">
        <v>8696988.359999999</v>
      </c>
      <c r="E31" s="26" t="n">
        <v>198532</v>
      </c>
      <c r="F31" s="22" t="n">
        <v>-0.8532271233257118</v>
      </c>
      <c r="G31" s="22" t="n">
        <v>-0.7236616767070296</v>
      </c>
      <c r="H31" s="27" t="n">
        <v>-0.8668446584688317</v>
      </c>
      <c r="I31" s="26" t="n">
        <v>9586412.270973058</v>
      </c>
      <c r="J31" s="28" t="n">
        <v>10545053.49807036</v>
      </c>
    </row>
    <row r="32">
      <c r="A32" s="20" t="inlineStr">
        <is>
          <t>BASUKI COMMOTRADE PVT. LTD.( JAMSHEDPUR)</t>
        </is>
      </c>
      <c r="B32" s="25" t="n">
        <v>1.112461798921669</v>
      </c>
      <c r="C32" s="22" t="n">
        <v>0.1124617989216688</v>
      </c>
      <c r="D32" s="26" t="n">
        <v>8111019.23</v>
      </c>
      <c r="E32" s="26" t="n">
        <v>99667</v>
      </c>
      <c r="F32" s="22" t="n">
        <v>-0.4162002116224793</v>
      </c>
      <c r="G32" s="22" t="n">
        <v>-0.1437787833485507</v>
      </c>
      <c r="H32" s="27" t="n">
        <v>-0.4752181252934623</v>
      </c>
      <c r="I32" s="26" t="n">
        <v>9023199.043694049</v>
      </c>
      <c r="J32" s="28" t="n">
        <v>9925518.948063456</v>
      </c>
    </row>
    <row r="33">
      <c r="A33" s="20" t="inlineStr">
        <is>
          <t>SWASTI TRADING COMPANY</t>
        </is>
      </c>
      <c r="B33" s="29" t="n">
        <v>1.094675695963386</v>
      </c>
      <c r="C33" s="22" t="n">
        <v>0.09467569596338565</v>
      </c>
      <c r="D33" s="26" t="n">
        <v>8078567.43</v>
      </c>
      <c r="E33" s="26" t="n">
        <v>77135</v>
      </c>
      <c r="F33" s="22" t="n">
        <v>-0.7549859752795305</v>
      </c>
      <c r="G33" s="22" t="n">
        <v>-0.7315356193686394</v>
      </c>
      <c r="H33" s="27" t="n">
        <v>-0.7761766104573635</v>
      </c>
      <c r="I33" s="26" t="n">
        <v>8843411.42382239</v>
      </c>
      <c r="J33" s="28" t="n">
        <v>9727752.56620463</v>
      </c>
    </row>
    <row r="34">
      <c r="A34" s="20" t="inlineStr">
        <is>
          <t>SRIRAM PACKAGING</t>
        </is>
      </c>
      <c r="B34" s="25" t="n">
        <v>1.127245821976042</v>
      </c>
      <c r="C34" s="22" t="n">
        <v>0.1272458219760417</v>
      </c>
      <c r="D34" s="26" t="n">
        <v>7933063.859999999</v>
      </c>
      <c r="E34" s="26" t="n">
        <v>34454</v>
      </c>
      <c r="F34" s="22" t="n">
        <v>-0.3133358666798882</v>
      </c>
      <c r="G34" s="22" t="n">
        <v>-0.2641783247228189</v>
      </c>
      <c r="H34" s="27" t="n">
        <v>-0.3908479233780597</v>
      </c>
      <c r="I34" s="26" t="n">
        <v>8942513.091654129</v>
      </c>
      <c r="J34" s="28" t="n">
        <v>9836764.400819544</v>
      </c>
    </row>
    <row r="35">
      <c r="A35" s="20" t="inlineStr">
        <is>
          <t>LOHIA &amp; SONS (GHAZIABAD)</t>
        </is>
      </c>
      <c r="B35" s="29" t="n">
        <v>1.093156616479008</v>
      </c>
      <c r="C35" s="22" t="n">
        <v>0.0931566164790083</v>
      </c>
      <c r="D35" s="26" t="n">
        <v>7327082.49</v>
      </c>
      <c r="E35" s="26" t="n">
        <v>233643</v>
      </c>
      <c r="F35" s="22" t="n">
        <v>-0.6567261248344428</v>
      </c>
      <c r="G35" s="22" t="n">
        <v>-0.7578228322697449</v>
      </c>
      <c r="H35" s="27" t="n">
        <v>-0.6859792366520895</v>
      </c>
      <c r="I35" s="26" t="n">
        <v>8009648.703430988</v>
      </c>
      <c r="J35" s="28" t="n">
        <v>8810613.573774088</v>
      </c>
    </row>
    <row r="36">
      <c r="A36" s="20" t="inlineStr">
        <is>
          <t>JVM ENTERPRISES (SECUNDRABAD)</t>
        </is>
      </c>
      <c r="B36" s="25" t="n">
        <v>1.103854297255998</v>
      </c>
      <c r="C36" s="22" t="n">
        <v>0.1038542972559977</v>
      </c>
      <c r="D36" s="26" t="n">
        <v>7145868.17</v>
      </c>
      <c r="E36" s="26" t="n">
        <v>44988</v>
      </c>
      <c r="F36" s="22" t="n">
        <v>-0.2690190812742072</v>
      </c>
      <c r="G36" s="22" t="n">
        <v>-0.2831643993953943</v>
      </c>
      <c r="H36" s="27" t="n">
        <v>-0.3377922063238848</v>
      </c>
      <c r="I36" s="26" t="n">
        <v>7887997.287079352</v>
      </c>
      <c r="J36" s="28" t="n">
        <v>8676797.015787289</v>
      </c>
    </row>
    <row r="37">
      <c r="A37" s="20" t="inlineStr">
        <is>
          <t>BABA ENTERPRISES (DHANBAD)</t>
        </is>
      </c>
      <c r="B37" s="25" t="n">
        <v>1.12952288614621</v>
      </c>
      <c r="C37" s="22" t="n">
        <v>0.1295228861462097</v>
      </c>
      <c r="D37" s="26" t="n">
        <v>6943073.83</v>
      </c>
      <c r="E37" s="26" t="n">
        <v>214068</v>
      </c>
      <c r="F37" s="22" t="n">
        <v>-0.08277320738212579</v>
      </c>
      <c r="G37" s="22" t="n">
        <v>-0.1479483154885364</v>
      </c>
      <c r="H37" s="27" t="n">
        <v>-0.1879520071104208</v>
      </c>
      <c r="I37" s="26" t="n">
        <v>7842360.791187818</v>
      </c>
      <c r="J37" s="28" t="n">
        <v>8626596.8703066</v>
      </c>
    </row>
    <row r="38">
      <c r="A38" s="20" t="inlineStr">
        <is>
          <t>R.R. PORWAL &amp; SONS</t>
        </is>
      </c>
      <c r="B38" s="29" t="n">
        <v>1.077338975271821</v>
      </c>
      <c r="C38" s="22" t="n">
        <v>0.07733897527182099</v>
      </c>
      <c r="D38" s="26" t="n">
        <v>6520906.45</v>
      </c>
      <c r="E38" s="26" t="n">
        <v>54642</v>
      </c>
      <c r="F38" s="22" t="n">
        <v>-0.3157919571135697</v>
      </c>
      <c r="G38" s="22" t="n">
        <v>0.2068921342557006</v>
      </c>
      <c r="H38" s="27" t="n">
        <v>-0.3649092267233725</v>
      </c>
      <c r="I38" s="26" t="n">
        <v>7025226.672686408</v>
      </c>
      <c r="J38" s="28" t="n">
        <v>7727749.33995505</v>
      </c>
    </row>
    <row r="39">
      <c r="A39" s="20" t="inlineStr">
        <is>
          <t>DIVEKAR MARKETING ASSOCIATES(MIRAJ)</t>
        </is>
      </c>
      <c r="B39" s="25" t="n">
        <v>1.130912202632272</v>
      </c>
      <c r="C39" s="22" t="n">
        <v>0.1309122026322722</v>
      </c>
      <c r="D39" s="26" t="n">
        <v>6482056.42</v>
      </c>
      <c r="E39" s="26" t="n">
        <v>46281</v>
      </c>
      <c r="F39" s="22" t="n">
        <v>-0.3425868514732859</v>
      </c>
      <c r="G39" s="22" t="n">
        <v>-0.4169313541194011</v>
      </c>
      <c r="H39" s="27" t="n">
        <v>-0.4186877221798988</v>
      </c>
      <c r="I39" s="26" t="n">
        <v>7330636.703528861</v>
      </c>
      <c r="J39" s="28" t="n">
        <v>8063700.373881747</v>
      </c>
    </row>
    <row r="40">
      <c r="A40" s="20" t="inlineStr">
        <is>
          <t>NEW RAVI TRADING CO. (KANPUR)</t>
        </is>
      </c>
      <c r="B40" s="25" t="n">
        <v>1.132559828483408</v>
      </c>
      <c r="C40" s="22" t="n">
        <v>0.1325598284834075</v>
      </c>
      <c r="D40" s="26" t="n">
        <v>5672861.99</v>
      </c>
      <c r="E40" s="26" t="n">
        <v>117158</v>
      </c>
      <c r="F40" s="22" t="n">
        <v>0.0531956198708794</v>
      </c>
      <c r="G40" s="22" t="n">
        <v>-0.008031888560746991</v>
      </c>
      <c r="H40" s="27" t="n">
        <v>-0.07007506942816744</v>
      </c>
      <c r="I40" s="26" t="n">
        <v>6424855.602404443</v>
      </c>
      <c r="J40" s="28" t="n">
        <v>7067341.162644887</v>
      </c>
    </row>
    <row r="41">
      <c r="A41" s="20" t="inlineStr">
        <is>
          <t>A.N.MARKETING</t>
        </is>
      </c>
      <c r="B41" s="29" t="n">
        <v>1.069744457291157</v>
      </c>
      <c r="C41" s="22" t="n">
        <v>0.06974445729115719</v>
      </c>
      <c r="D41" s="26" t="n">
        <v>5654764.98</v>
      </c>
      <c r="E41" s="26" t="n">
        <v>174279</v>
      </c>
      <c r="F41" s="22" t="n">
        <v>-0.7950791511055867</v>
      </c>
      <c r="G41" s="22" t="n">
        <v>-0.89572467136029</v>
      </c>
      <c r="H41" s="27" t="n">
        <v>-0.8084394385054159</v>
      </c>
      <c r="I41" s="26" t="n">
        <v>6049153.494639141</v>
      </c>
      <c r="J41" s="28" t="n">
        <v>6654068.844103056</v>
      </c>
    </row>
    <row r="42">
      <c r="A42" s="20" t="inlineStr">
        <is>
          <t>JAISWAL PAINT AND SANITARY STORE</t>
        </is>
      </c>
      <c r="B42" s="29" t="n">
        <v>1.087909498208001</v>
      </c>
      <c r="C42" s="22" t="n">
        <v>0.08790949820800108</v>
      </c>
      <c r="D42" s="26" t="n">
        <v>5396134.51</v>
      </c>
      <c r="E42" s="26" t="n">
        <v>201255</v>
      </c>
      <c r="F42" s="22" t="n">
        <v>-0.3428435515407491</v>
      </c>
      <c r="G42" s="22" t="n">
        <v>-0.6217882785520856</v>
      </c>
      <c r="H42" s="27" t="n">
        <v>-0.3959456650192726</v>
      </c>
      <c r="I42" s="26" t="n">
        <v>5870505.987036978</v>
      </c>
      <c r="J42" s="28" t="n">
        <v>6457556.585740676</v>
      </c>
    </row>
    <row r="43">
      <c r="A43" s="20" t="inlineStr">
        <is>
          <t>WARSI SALES CORPORATION</t>
        </is>
      </c>
      <c r="B43" s="29" t="n">
        <v>1.088296202844915</v>
      </c>
      <c r="C43" s="22" t="n">
        <v>0.08829620284491459</v>
      </c>
      <c r="D43" s="26" t="n">
        <v>5394149.5</v>
      </c>
      <c r="E43" s="26" t="n">
        <v>166237</v>
      </c>
      <c r="F43" s="22" t="n">
        <v>-0.300581051748751</v>
      </c>
      <c r="G43" s="22" t="n">
        <v>-0.4634287192381961</v>
      </c>
      <c r="H43" s="27" t="n">
        <v>-0.3573266667448639</v>
      </c>
      <c r="I43" s="26" t="n">
        <v>5870432.418427794</v>
      </c>
      <c r="J43" s="28" t="n">
        <v>6457475.660270575</v>
      </c>
    </row>
    <row r="44">
      <c r="A44" s="20" t="inlineStr">
        <is>
          <t>ALPHA AGENCIES</t>
        </is>
      </c>
      <c r="B44" s="25" t="n">
        <v>1.181311348010483</v>
      </c>
      <c r="C44" s="22" t="n">
        <v>0.1813113480104833</v>
      </c>
      <c r="D44" s="26" t="n">
        <v>5265767.76</v>
      </c>
      <c r="E44" s="26" t="n">
        <v>12769</v>
      </c>
      <c r="F44" s="22" t="n">
        <v>-1</v>
      </c>
      <c r="G44" s="22" t="n">
        <v>-1</v>
      </c>
      <c r="H44" s="27" t="n">
        <v>-1</v>
      </c>
      <c r="I44" s="26" t="n">
        <v>6220511.210875743</v>
      </c>
      <c r="J44" s="28" t="n">
        <v>6842562.331963317</v>
      </c>
    </row>
    <row r="45">
      <c r="A45" s="20" t="inlineStr">
        <is>
          <t>MEERA ASSOCIATES</t>
        </is>
      </c>
      <c r="B45" s="25" t="n">
        <v>1.11617449644525</v>
      </c>
      <c r="C45" s="22" t="n">
        <v>0.1161744964452498</v>
      </c>
      <c r="D45" s="26" t="n">
        <v>5205710.68</v>
      </c>
      <c r="E45" s="26" t="n">
        <v>19533</v>
      </c>
      <c r="F45" s="22" t="n">
        <v>-0.3771643759502977</v>
      </c>
      <c r="G45" s="22" t="n">
        <v>-0.4375671939794195</v>
      </c>
      <c r="H45" s="27" t="n">
        <v>-0.4419908123386751</v>
      </c>
      <c r="I45" s="26" t="n">
        <v>5810481.496888659</v>
      </c>
      <c r="J45" s="28" t="n">
        <v>6391529.646577525</v>
      </c>
    </row>
    <row r="46">
      <c r="A46" s="20" t="inlineStr">
        <is>
          <t>BAJRANG HOME INNOVATIONS</t>
        </is>
      </c>
      <c r="B46" s="29" t="n">
        <v>1.07552569204379</v>
      </c>
      <c r="C46" s="22" t="n">
        <v>0.07552569204379012</v>
      </c>
      <c r="D46" s="26" t="n">
        <v>4937015.41</v>
      </c>
      <c r="E46" s="26" t="n">
        <v>49906</v>
      </c>
      <c r="F46" s="22" t="n">
        <v>0.6413030438566121</v>
      </c>
      <c r="G46" s="22" t="n">
        <v>1.109045004608664</v>
      </c>
      <c r="H46" s="22" t="n">
        <v>0.5260472678599539</v>
      </c>
      <c r="I46" s="26" t="n">
        <v>5309886.915471107</v>
      </c>
      <c r="J46" s="28" t="n">
        <v>5840875.607018218</v>
      </c>
    </row>
    <row r="47">
      <c r="A47" s="20" t="inlineStr">
        <is>
          <t>VAIDIK CONSTRUCTION</t>
        </is>
      </c>
      <c r="B47" s="25" t="n">
        <v>1.108987708766062</v>
      </c>
      <c r="C47" s="22" t="n">
        <v>0.1089877087660618</v>
      </c>
      <c r="D47" s="26" t="n">
        <v>4884672.27</v>
      </c>
      <c r="E47" s="26" t="n">
        <v>31609</v>
      </c>
      <c r="F47" s="22" t="n">
        <v>-0.71598309091881</v>
      </c>
      <c r="G47" s="22" t="n">
        <v>-0.7452940618178368</v>
      </c>
      <c r="H47" s="27" t="n">
        <v>-0.7438953499338532</v>
      </c>
      <c r="I47" s="26" t="n">
        <v>5417041.508780417</v>
      </c>
      <c r="J47" s="28" t="n">
        <v>5958745.659658459</v>
      </c>
    </row>
    <row r="48">
      <c r="A48" s="20" t="inlineStr">
        <is>
          <t>GORAKHPUR MARBLE WORKS (GORAKHPUR</t>
        </is>
      </c>
      <c r="B48" s="25" t="n">
        <v>1.115126913648663</v>
      </c>
      <c r="C48" s="22" t="n">
        <v>0.115126913648663</v>
      </c>
      <c r="D48" s="26" t="n">
        <v>4820266.03</v>
      </c>
      <c r="E48" s="26" t="n">
        <v>114834</v>
      </c>
      <c r="F48" s="22" t="n">
        <v>0.00402800589825536</v>
      </c>
      <c r="G48" s="22" t="n">
        <v>-0.3982531306059182</v>
      </c>
      <c r="H48" s="27" t="n">
        <v>-0.09962893585528775</v>
      </c>
      <c r="I48" s="26" t="n">
        <v>5375208.380999394</v>
      </c>
      <c r="J48" s="28" t="n">
        <v>5912729.219099334</v>
      </c>
    </row>
    <row r="49">
      <c r="A49" s="20" t="inlineStr">
        <is>
          <t>SHREE MAHADEV TRADERS (DARBHANGA)</t>
        </is>
      </c>
      <c r="B49" s="25" t="n">
        <v>1.129452570627354</v>
      </c>
      <c r="C49" s="22" t="n">
        <v>0.1294525706273539</v>
      </c>
      <c r="D49" s="26" t="n">
        <v>4449159.14</v>
      </c>
      <c r="E49" s="26" t="n">
        <v>68445</v>
      </c>
      <c r="F49" s="22" t="n">
        <v>-0.5490361264083712</v>
      </c>
      <c r="G49" s="22" t="n">
        <v>-0.4495288187595879</v>
      </c>
      <c r="H49" s="27" t="n">
        <v>-0.6007234962145058</v>
      </c>
      <c r="I49" s="26" t="n">
        <v>5025114.227803187</v>
      </c>
      <c r="J49" s="28" t="n">
        <v>5527625.650583506</v>
      </c>
    </row>
    <row r="50">
      <c r="A50" s="20" t="inlineStr">
        <is>
          <t>SAWARIYA TRADING COMPANY</t>
        </is>
      </c>
      <c r="B50" s="29" t="n">
        <v>1.047797978075949</v>
      </c>
      <c r="C50" s="22" t="n">
        <v>0.04779797807594854</v>
      </c>
      <c r="D50" s="26" t="n">
        <v>4292919.43</v>
      </c>
      <c r="E50" s="26" t="n">
        <v>59540</v>
      </c>
      <c r="F50" s="22" t="n">
        <v>-0.7896474730717228</v>
      </c>
      <c r="G50" s="22" t="n">
        <v>-0.8903762176687942</v>
      </c>
      <c r="H50" s="27" t="n">
        <v>-0.7992432402718093</v>
      </c>
      <c r="I50" s="26" t="n">
        <v>4498112.298796954</v>
      </c>
      <c r="J50" s="28" t="n">
        <v>4947923.52867665</v>
      </c>
    </row>
    <row r="51">
      <c r="A51" s="20" t="inlineStr">
        <is>
          <t>JINDAL ENTERPRISES</t>
        </is>
      </c>
      <c r="B51" s="25" t="n">
        <v>1.140860966952083</v>
      </c>
      <c r="C51" s="22" t="n">
        <v>0.1408609669520828</v>
      </c>
      <c r="D51" s="26" t="n">
        <v>4282421.27</v>
      </c>
      <c r="E51" s="26" t="n">
        <v>20155</v>
      </c>
      <c r="F51" s="22" t="n">
        <v>-1</v>
      </c>
      <c r="G51" s="22" t="n">
        <v>-1</v>
      </c>
      <c r="H51" s="27" t="n">
        <v>-1</v>
      </c>
      <c r="I51" s="26" t="n">
        <v>4885647.270988367</v>
      </c>
      <c r="J51" s="28" t="n">
        <v>5374211.998087205</v>
      </c>
    </row>
    <row r="52">
      <c r="A52" s="20" t="inlineStr">
        <is>
          <t>PP Enterprises</t>
        </is>
      </c>
      <c r="B52" s="29" t="n">
        <v>1.077446424806662</v>
      </c>
      <c r="C52" s="22" t="n">
        <v>0.07744642480666242</v>
      </c>
      <c r="D52" s="26" t="n">
        <v>4159338.11</v>
      </c>
      <c r="E52" s="26" t="n">
        <v>53839</v>
      </c>
      <c r="F52" s="22" t="n">
        <v>-0.1077857601723078</v>
      </c>
      <c r="G52" s="22" t="n">
        <v>-0.1120191682609261</v>
      </c>
      <c r="H52" s="27" t="n">
        <v>-0.1719177684516503</v>
      </c>
      <c r="I52" s="26" t="n">
        <v>4481463.9761816</v>
      </c>
      <c r="J52" s="28" t="n">
        <v>4929610.373799761</v>
      </c>
    </row>
    <row r="53">
      <c r="A53" s="20" t="inlineStr">
        <is>
          <t>JAI DURGA TRADERS(RAIPUR)</t>
        </is>
      </c>
      <c r="B53" s="29" t="n">
        <v>1.071546330222359</v>
      </c>
      <c r="C53" s="22" t="n">
        <v>0.0715463302223589</v>
      </c>
      <c r="D53" s="26" t="n">
        <v>4105994.17</v>
      </c>
      <c r="E53" s="26" t="n">
        <v>59623</v>
      </c>
      <c r="F53" s="22" t="n">
        <v>-0.3975763998710208</v>
      </c>
      <c r="G53" s="22" t="n">
        <v>-0.2280495781829159</v>
      </c>
      <c r="H53" s="27" t="n">
        <v>-0.4377997636332075</v>
      </c>
      <c r="I53" s="26" t="n">
        <v>4399762.984777901</v>
      </c>
      <c r="J53" s="28" t="n">
        <v>4839739.283255692</v>
      </c>
    </row>
    <row r="54">
      <c r="A54" s="20" t="inlineStr">
        <is>
          <t>NITIN TRADERS</t>
        </is>
      </c>
      <c r="B54" s="29" t="n">
        <v>1.052519350100964</v>
      </c>
      <c r="C54" s="22" t="n">
        <v>0.05251935010096398</v>
      </c>
      <c r="D54" s="26" t="n">
        <v>3966145.08</v>
      </c>
      <c r="E54" s="26" t="n">
        <v>168913</v>
      </c>
      <c r="F54" s="22" t="n">
        <v>-0.234266034463873</v>
      </c>
      <c r="G54" s="22" t="n">
        <v>-0.2615606850864054</v>
      </c>
      <c r="H54" s="27" t="n">
        <v>-0.2724751659314641</v>
      </c>
      <c r="I54" s="26" t="n">
        <v>4174444.442007736</v>
      </c>
      <c r="J54" s="28" t="n">
        <v>4591888.88620851</v>
      </c>
    </row>
    <row r="55">
      <c r="A55" s="20" t="inlineStr">
        <is>
          <t>MAHADEV HARDWARE (AURANGABAD - BIHAR)</t>
        </is>
      </c>
      <c r="B55" s="25" t="n">
        <v>1.146202022898707</v>
      </c>
      <c r="C55" s="22" t="n">
        <v>0.1462020228987073</v>
      </c>
      <c r="D55" s="26" t="n">
        <v>3740775.079999999</v>
      </c>
      <c r="E55" s="26" t="n">
        <v>72457</v>
      </c>
      <c r="F55" s="22" t="n">
        <v>0.02981125505145332</v>
      </c>
      <c r="G55" s="22" t="n">
        <v>-0.3998647473674041</v>
      </c>
      <c r="H55" s="27" t="n">
        <v>-0.1015447238113448</v>
      </c>
      <c r="I55" s="26" t="n">
        <v>4287683.963905073</v>
      </c>
      <c r="J55" s="28" t="n">
        <v>4716452.360295581</v>
      </c>
    </row>
    <row r="56">
      <c r="A56" s="20" t="inlineStr">
        <is>
          <t>SHREE VYANKATESH ENTERPRISES</t>
        </is>
      </c>
      <c r="B56" s="25" t="n">
        <v>1.139393352267789</v>
      </c>
      <c r="C56" s="22" t="n">
        <v>0.1393933522677888</v>
      </c>
      <c r="D56" s="26" t="n">
        <v>3735769.88</v>
      </c>
      <c r="E56" s="26" t="n">
        <v>12698</v>
      </c>
      <c r="F56" s="22" t="n">
        <v>-0.9590678749195334</v>
      </c>
      <c r="G56" s="22" t="n">
        <v>-0.9420381162387776</v>
      </c>
      <c r="H56" s="27" t="n">
        <v>-0.9640755100080253</v>
      </c>
      <c r="I56" s="26" t="n">
        <v>4256511.366874236</v>
      </c>
      <c r="J56" s="28" t="n">
        <v>4682162.50356166</v>
      </c>
    </row>
    <row r="57">
      <c r="A57" s="20" t="inlineStr">
        <is>
          <t>SINGHAL TILES AGENCIES</t>
        </is>
      </c>
      <c r="B57" s="29" t="n">
        <v>1.092355528008649</v>
      </c>
      <c r="C57" s="22" t="n">
        <v>0.09235552800864921</v>
      </c>
      <c r="D57" s="26" t="n">
        <v>3655507.78</v>
      </c>
      <c r="E57" s="26" t="n">
        <v>152148</v>
      </c>
      <c r="F57" s="22" t="n">
        <v>-1</v>
      </c>
      <c r="G57" s="22" t="n">
        <v>-1</v>
      </c>
      <c r="H57" s="27" t="n">
        <v>-1</v>
      </c>
      <c r="I57" s="26" t="n">
        <v>3993114.131161625</v>
      </c>
      <c r="J57" s="28" t="n">
        <v>4392425.544277788</v>
      </c>
    </row>
    <row r="58">
      <c r="A58" s="20" t="inlineStr">
        <is>
          <t>VIJAYA SAI AGENCIES</t>
        </is>
      </c>
      <c r="B58" s="29" t="n">
        <v>1.085124115299828</v>
      </c>
      <c r="C58" s="22" t="n">
        <v>0.08512411529982809</v>
      </c>
      <c r="D58" s="26" t="n">
        <v>3628161.94</v>
      </c>
      <c r="E58" s="26" t="n">
        <v>29225</v>
      </c>
      <c r="F58" s="22" t="n">
        <v>-0.4155938916001087</v>
      </c>
      <c r="G58" s="22" t="n">
        <v>-0.5680410607356715</v>
      </c>
      <c r="H58" s="27" t="n">
        <v>-0.4614384657386262</v>
      </c>
      <c r="I58" s="26" t="n">
        <v>3937006.015307008</v>
      </c>
      <c r="J58" s="28" t="n">
        <v>4330706.616837709</v>
      </c>
    </row>
    <row r="59">
      <c r="A59" s="20" t="inlineStr">
        <is>
          <t>DIYA TRADING COMPANY</t>
        </is>
      </c>
      <c r="B59" s="29" t="n">
        <v>1.043008277186612</v>
      </c>
      <c r="C59" s="22" t="n">
        <v>0.04300827718661204</v>
      </c>
      <c r="D59" s="26" t="n">
        <v>3580458.61</v>
      </c>
      <c r="E59" s="26" t="n">
        <v>42931</v>
      </c>
      <c r="F59" s="22" t="n">
        <v>-0.09018716459900655</v>
      </c>
      <c r="G59" s="22" t="n">
        <v>0.1787752439961798</v>
      </c>
      <c r="H59" s="27" t="n">
        <v>-0.127703149341151</v>
      </c>
      <c r="I59" s="26" t="n">
        <v>3734447.966354072</v>
      </c>
      <c r="J59" s="28" t="n">
        <v>4107892.762989479</v>
      </c>
    </row>
    <row r="60">
      <c r="A60" s="20" t="inlineStr">
        <is>
          <t>CHANDRASEN KESHARWANI</t>
        </is>
      </c>
      <c r="B60" s="25" t="n">
        <v>1.14571350969826</v>
      </c>
      <c r="C60" s="22" t="n">
        <v>0.14571350969826</v>
      </c>
      <c r="D60" s="26" t="n">
        <v>3527269.48</v>
      </c>
      <c r="E60" s="26" t="n">
        <v>214646</v>
      </c>
      <c r="F60" s="22" t="n">
        <v>-1</v>
      </c>
      <c r="G60" s="22" t="n">
        <v>-1</v>
      </c>
      <c r="H60" s="27" t="n">
        <v>-1</v>
      </c>
      <c r="I60" s="26" t="n">
        <v>4041240.295582356</v>
      </c>
      <c r="J60" s="28" t="n">
        <v>4445364.325140593</v>
      </c>
    </row>
    <row r="61">
      <c r="A61" s="20" t="inlineStr">
        <is>
          <t>LAKSHMI ENGINEERING WORKS</t>
        </is>
      </c>
      <c r="B61" s="25" t="n">
        <v>1.135664877676061</v>
      </c>
      <c r="C61" s="22" t="n">
        <v>0.1356648776760612</v>
      </c>
      <c r="D61" s="26" t="n">
        <v>3425430.07</v>
      </c>
      <c r="E61" s="26" t="n">
        <v>148569</v>
      </c>
      <c r="F61" s="22" t="n">
        <v>-0.6669246381666756</v>
      </c>
      <c r="G61" s="22" t="n">
        <v>-0.6460163291130721</v>
      </c>
      <c r="H61" s="27" t="n">
        <v>-0.7067133373756307</v>
      </c>
      <c r="I61" s="26" t="n">
        <v>3890140.621434452</v>
      </c>
      <c r="J61" s="28" t="n">
        <v>4279154.683577898</v>
      </c>
    </row>
    <row r="62">
      <c r="A62" s="20" t="inlineStr">
        <is>
          <t>N.G.ENTERPRISES</t>
        </is>
      </c>
      <c r="B62" s="25" t="n">
        <v>1.154029289536435</v>
      </c>
      <c r="C62" s="22" t="n">
        <v>0.1540292895364355</v>
      </c>
      <c r="D62" s="26" t="n">
        <v>3120473.08</v>
      </c>
      <c r="E62" s="26" t="n">
        <v>71666</v>
      </c>
      <c r="F62" s="22" t="n">
        <v>-0.5927812971230632</v>
      </c>
      <c r="G62" s="22" t="n">
        <v>-0.9277900259537298</v>
      </c>
      <c r="H62" s="27" t="n">
        <v>-0.6471331303553715</v>
      </c>
      <c r="I62" s="26" t="n">
        <v>3601117.331529973</v>
      </c>
      <c r="J62" s="28" t="n">
        <v>3961229.06468297</v>
      </c>
    </row>
    <row r="63">
      <c r="A63" s="20" t="inlineStr">
        <is>
          <t>VIJAY ENTERPRISES (DELHI)</t>
        </is>
      </c>
      <c r="B63" s="29" t="n">
        <v>1.098202455156428</v>
      </c>
      <c r="C63" s="22" t="n">
        <v>0.09820245515642846</v>
      </c>
      <c r="D63" s="26" t="n">
        <v>3108535.21</v>
      </c>
      <c r="E63" s="26" t="n">
        <v>19737</v>
      </c>
      <c r="F63" s="22" t="n">
        <v>-1</v>
      </c>
      <c r="G63" s="22" t="n">
        <v>-1</v>
      </c>
      <c r="H63" s="27" t="n">
        <v>-1</v>
      </c>
      <c r="I63" s="26" t="n">
        <v>3413800.999562204</v>
      </c>
      <c r="J63" s="28" t="n">
        <v>3755181.099518424</v>
      </c>
    </row>
    <row r="64">
      <c r="A64" s="20" t="inlineStr">
        <is>
          <t>JAI HANUMAN PIPING SYSTEMS</t>
        </is>
      </c>
      <c r="B64" s="25" t="n">
        <v>1.158680358114649</v>
      </c>
      <c r="C64" s="22" t="n">
        <v>0.158680358114649</v>
      </c>
      <c r="D64" s="26" t="n">
        <v>3018421.76</v>
      </c>
      <c r="E64" s="26" t="n">
        <v>11147</v>
      </c>
      <c r="F64" s="22" t="n">
        <v>0.1062044424169537</v>
      </c>
      <c r="G64" s="22" t="n">
        <v>-0.0388445321611196</v>
      </c>
      <c r="H64" s="27" t="n">
        <v>-0.04528938057004927</v>
      </c>
      <c r="I64" s="26" t="n">
        <v>3497386.005817849</v>
      </c>
      <c r="J64" s="28" t="n">
        <v>3847124.606399634</v>
      </c>
    </row>
    <row r="65">
      <c r="A65" s="20" t="inlineStr">
        <is>
          <t>PRAYAG MARKETING</t>
        </is>
      </c>
      <c r="B65" s="25" t="n">
        <v>1.179080929588799</v>
      </c>
      <c r="C65" s="22" t="n">
        <v>0.1790809295887992</v>
      </c>
      <c r="D65" s="26" t="n">
        <v>2967374.08</v>
      </c>
      <c r="E65" s="26" t="n">
        <v>10053</v>
      </c>
      <c r="F65" s="22" t="n">
        <v>-1</v>
      </c>
      <c r="G65" s="22" t="n">
        <v>-1</v>
      </c>
      <c r="H65" s="27" t="n">
        <v>-1</v>
      </c>
      <c r="I65" s="26" t="n">
        <v>3498774.188684108</v>
      </c>
      <c r="J65" s="28" t="n">
        <v>3848651.607552519</v>
      </c>
    </row>
    <row r="66">
      <c r="A66" s="20" t="inlineStr">
        <is>
          <t>NEW CHIRAG KATNA TRADERS</t>
        </is>
      </c>
      <c r="B66" s="29" t="n">
        <v>1.042531788009022</v>
      </c>
      <c r="C66" s="22" t="n">
        <v>0.04253178800902213</v>
      </c>
      <c r="D66" s="26" t="n">
        <v>2955758.64</v>
      </c>
      <c r="E66" s="26" t="n">
        <v>54713</v>
      </c>
      <c r="F66" s="22" t="n">
        <v>-0.2842176856497323</v>
      </c>
      <c r="G66" s="22" t="n">
        <v>-0.518450825215214</v>
      </c>
      <c r="H66" s="27" t="n">
        <v>-0.3134191949031742</v>
      </c>
      <c r="I66" s="26" t="n">
        <v>3081472.339882316</v>
      </c>
      <c r="J66" s="28" t="n">
        <v>3389619.573870548</v>
      </c>
    </row>
    <row r="67">
      <c r="A67" s="20" t="inlineStr">
        <is>
          <t>NEXUS DISTRIBUTORS</t>
        </is>
      </c>
      <c r="B67" s="25" t="n">
        <v>1.13466705998568</v>
      </c>
      <c r="C67" s="22" t="n">
        <v>0.1346670599856801</v>
      </c>
      <c r="D67" s="26" t="n">
        <v>2916725.46</v>
      </c>
      <c r="E67" s="26" t="n">
        <v>23112</v>
      </c>
      <c r="F67" s="22" t="n">
        <v>-1</v>
      </c>
      <c r="G67" s="22" t="n">
        <v>-1</v>
      </c>
      <c r="H67" s="27" t="n">
        <v>-1</v>
      </c>
      <c r="I67" s="26" t="n">
        <v>3309512.30248358</v>
      </c>
      <c r="J67" s="28" t="n">
        <v>3640463.532731938</v>
      </c>
    </row>
    <row r="68">
      <c r="A68" s="20" t="inlineStr">
        <is>
          <t>MAGADH TUBEWELL</t>
        </is>
      </c>
      <c r="B68" s="25" t="n">
        <v>1.11785545532524</v>
      </c>
      <c r="C68" s="22" t="n">
        <v>0.11785545532524</v>
      </c>
      <c r="D68" s="26" t="n">
        <v>2838503.99</v>
      </c>
      <c r="E68" s="26" t="n">
        <v>47782</v>
      </c>
      <c r="F68" s="22" t="n">
        <v>0.9514893512621059</v>
      </c>
      <c r="G68" s="22" t="n">
        <v>0.8865263069775229</v>
      </c>
      <c r="H68" s="22" t="n">
        <v>0.7457439080925898</v>
      </c>
      <c r="I68" s="26" t="n">
        <v>3173037.170183961</v>
      </c>
      <c r="J68" s="28" t="n">
        <v>3490340.887202357</v>
      </c>
    </row>
    <row r="69">
      <c r="A69" s="20" t="inlineStr">
        <is>
          <t>AVANTI SALES &amp; AGENCIES(MORADABAD)</t>
        </is>
      </c>
      <c r="B69" s="29" t="n">
        <v>1.033565399955639</v>
      </c>
      <c r="C69" s="22" t="n">
        <v>0.03356539995563868</v>
      </c>
      <c r="D69" s="26" t="n">
        <v>2823510.84</v>
      </c>
      <c r="E69" s="26" t="n">
        <v>30950</v>
      </c>
      <c r="F69" s="22" t="n">
        <v>-0.1736390146106185</v>
      </c>
      <c r="G69" s="22" t="n">
        <v>0.26</v>
      </c>
      <c r="H69" s="27" t="n">
        <v>-0.2004753783119583</v>
      </c>
      <c r="I69" s="26" t="n">
        <v>2918283.110623681</v>
      </c>
      <c r="J69" s="28" t="n">
        <v>3210111.42168605</v>
      </c>
    </row>
    <row r="70">
      <c r="A70" s="20" t="inlineStr">
        <is>
          <t>MILAN MARKETING</t>
        </is>
      </c>
      <c r="B70" s="25" t="n">
        <v>1.119354889341995</v>
      </c>
      <c r="C70" s="22" t="n">
        <v>0.1193548893419949</v>
      </c>
      <c r="D70" s="26" t="n">
        <v>2727054.49</v>
      </c>
      <c r="E70" s="26" t="n">
        <v>17246</v>
      </c>
      <c r="F70" s="22" t="n">
        <v>-0.6223646341588136</v>
      </c>
      <c r="G70" s="22" t="n">
        <v>-0.6337121651397426</v>
      </c>
      <c r="H70" s="27" t="n">
        <v>-0.6626312446241454</v>
      </c>
      <c r="I70" s="26" t="n">
        <v>3052541.77688354</v>
      </c>
      <c r="J70" s="28" t="n">
        <v>3357795.954571894</v>
      </c>
    </row>
    <row r="71">
      <c r="A71" s="20" t="inlineStr">
        <is>
          <t>SHRI SHYAMA SANITATION (DEHRADUN)</t>
        </is>
      </c>
      <c r="B71" s="29" t="n">
        <v>1.081960015275436</v>
      </c>
      <c r="C71" s="22" t="n">
        <v>0.08196001527543582</v>
      </c>
      <c r="D71" s="26" t="n">
        <v>2697294.77</v>
      </c>
      <c r="E71" s="26" t="n">
        <v>107155</v>
      </c>
      <c r="F71" s="22" t="n">
        <v>-1</v>
      </c>
      <c r="G71" s="22" t="n">
        <v>-1</v>
      </c>
      <c r="H71" s="27" t="n">
        <v>-1</v>
      </c>
      <c r="I71" s="26" t="n">
        <v>2918365.090551554</v>
      </c>
      <c r="J71" s="28" t="n">
        <v>3210201.59960671</v>
      </c>
    </row>
    <row r="72">
      <c r="A72" s="20" t="inlineStr">
        <is>
          <t>ARIHANT TILES &amp; SANITATION</t>
        </is>
      </c>
      <c r="B72" s="25" t="n">
        <v>1.101223251448204</v>
      </c>
      <c r="C72" s="22" t="n">
        <v>0.1012232514482039</v>
      </c>
      <c r="D72" s="26" t="n">
        <v>2683621.44</v>
      </c>
      <c r="E72" s="26" t="n">
        <v>18322</v>
      </c>
      <c r="F72" s="22" t="n">
        <v>-0.3300690651808178</v>
      </c>
      <c r="G72" s="22" t="n">
        <v>-0.800349306844231</v>
      </c>
      <c r="H72" s="27" t="n">
        <v>-0.3916483928774978</v>
      </c>
      <c r="I72" s="26" t="n">
        <v>2955266.327812911</v>
      </c>
      <c r="J72" s="28" t="n">
        <v>3250792.960594203</v>
      </c>
    </row>
    <row r="73">
      <c r="A73" s="20" t="inlineStr">
        <is>
          <t>AGRASEN TRADING CORPORATION</t>
        </is>
      </c>
      <c r="B73" s="29" t="n">
        <v>1.096357776849755</v>
      </c>
      <c r="C73" s="22" t="n">
        <v>0.09635777684975455</v>
      </c>
      <c r="D73" s="26" t="n">
        <v>2681786.38</v>
      </c>
      <c r="E73" s="26" t="n">
        <v>179041</v>
      </c>
      <c r="F73" s="22" t="n">
        <v>0.09914241566101169</v>
      </c>
      <c r="G73" s="22" t="n">
        <v>-0.4980367625292532</v>
      </c>
      <c r="H73" s="22" t="n">
        <v>0.002539899720744865</v>
      </c>
      <c r="I73" s="26" t="n">
        <v>2940197.353562751</v>
      </c>
      <c r="J73" s="28" t="n">
        <v>3234217.088919027</v>
      </c>
    </row>
    <row r="74">
      <c r="A74" s="20" t="inlineStr">
        <is>
          <t>B R ASSOCIATES</t>
        </is>
      </c>
      <c r="B74" s="29" t="n">
        <v>1.092479990431108</v>
      </c>
      <c r="C74" s="22" t="n">
        <v>0.09247999043110777</v>
      </c>
      <c r="D74" s="26" t="n">
        <v>2649370.75</v>
      </c>
      <c r="E74" s="26" t="n">
        <v>34436</v>
      </c>
      <c r="F74" s="22" t="n">
        <v>-0.2757526329601094</v>
      </c>
      <c r="G74" s="22" t="n">
        <v>-0.2728249506330584</v>
      </c>
      <c r="H74" s="27" t="n">
        <v>-0.3370612062614597</v>
      </c>
      <c r="I74" s="26" t="n">
        <v>2894384.531608457</v>
      </c>
      <c r="J74" s="28" t="n">
        <v>3183822.984769303</v>
      </c>
    </row>
    <row r="75">
      <c r="A75" s="20" t="inlineStr">
        <is>
          <t>SHIVSHAKTI FITTING AND HARDWARE</t>
        </is>
      </c>
      <c r="B75" s="29" t="n">
        <v>1.098123481073544</v>
      </c>
      <c r="C75" s="22" t="n">
        <v>0.09812348107354429</v>
      </c>
      <c r="D75" s="26" t="n">
        <v>2539700.57</v>
      </c>
      <c r="E75" s="26" t="n">
        <v>151090</v>
      </c>
      <c r="F75" s="22" t="n">
        <v>-0.8386849202463265</v>
      </c>
      <c r="G75" s="22" t="n">
        <v>-0.8239459924548282</v>
      </c>
      <c r="H75" s="27" t="n">
        <v>-0.853099325773483</v>
      </c>
      <c r="I75" s="26" t="n">
        <v>2788904.830812864</v>
      </c>
      <c r="J75" s="28" t="n">
        <v>3067795.313894151</v>
      </c>
    </row>
    <row r="76">
      <c r="A76" s="20" t="inlineStr">
        <is>
          <t>RADHAA MARKETING</t>
        </is>
      </c>
      <c r="B76" s="25" t="n">
        <v>1.104078576423418</v>
      </c>
      <c r="C76" s="22" t="n">
        <v>0.1040785764234176</v>
      </c>
      <c r="D76" s="26" t="n">
        <v>2534155.65</v>
      </c>
      <c r="E76" s="26" t="n">
        <v>4360</v>
      </c>
      <c r="F76" s="22" t="n">
        <v>-1</v>
      </c>
      <c r="G76" s="22" t="n">
        <v>-1</v>
      </c>
      <c r="H76" s="27" t="n">
        <v>-1</v>
      </c>
      <c r="I76" s="26" t="n">
        <v>2797906.962487361</v>
      </c>
      <c r="J76" s="28" t="n">
        <v>3077697.658736097</v>
      </c>
    </row>
    <row r="77">
      <c r="A77" s="20" t="inlineStr">
        <is>
          <t>RAJ KUMAR KAMAL KUMAR</t>
        </is>
      </c>
      <c r="B77" s="29" t="n">
        <v>1.07783497080507</v>
      </c>
      <c r="C77" s="22" t="n">
        <v>0.07783497080507007</v>
      </c>
      <c r="D77" s="26" t="n">
        <v>2526025.74</v>
      </c>
      <c r="E77" s="26" t="n">
        <v>116276</v>
      </c>
      <c r="F77" s="22" t="n">
        <v>-0.4182317477097443</v>
      </c>
      <c r="G77" s="22" t="n">
        <v>-0.6011300698338435</v>
      </c>
      <c r="H77" s="27" t="n">
        <v>-0.4602436661934303</v>
      </c>
      <c r="I77" s="26" t="n">
        <v>2722638.879725756</v>
      </c>
      <c r="J77" s="28" t="n">
        <v>2994902.767698331</v>
      </c>
    </row>
    <row r="78">
      <c r="A78" s="20" t="inlineStr">
        <is>
          <t>P S CORPORATION</t>
        </is>
      </c>
      <c r="B78" s="25" t="n">
        <v>1.1516047150876</v>
      </c>
      <c r="C78" s="22" t="n">
        <v>0.1516047150876003</v>
      </c>
      <c r="D78" s="26" t="n">
        <v>2504733.77</v>
      </c>
      <c r="E78" s="26" t="n">
        <v>2540</v>
      </c>
      <c r="F78" s="22" t="n">
        <v>0.274472144798048</v>
      </c>
      <c r="G78" s="22" t="n">
        <v>0.4515748031496063</v>
      </c>
      <c r="H78" s="22" t="n">
        <v>0.1066923642294235</v>
      </c>
      <c r="I78" s="26" t="n">
        <v>2884463.219571141</v>
      </c>
      <c r="J78" s="28" t="n">
        <v>3172909.541528255</v>
      </c>
    </row>
    <row r="79">
      <c r="A79" s="20" t="inlineStr">
        <is>
          <t>SURESH BIHARI &amp; CO (LUCKNOW)</t>
        </is>
      </c>
      <c r="B79" s="25" t="n">
        <v>1.135417253447008</v>
      </c>
      <c r="C79" s="22" t="n">
        <v>0.1354172534470084</v>
      </c>
      <c r="D79" s="26" t="n">
        <v>2489362.25</v>
      </c>
      <c r="E79" s="26" t="n">
        <v>41852</v>
      </c>
      <c r="F79" s="22" t="n">
        <v>-0.3063516569354259</v>
      </c>
      <c r="G79" s="22" t="n">
        <v>-0.8715712510752174</v>
      </c>
      <c r="H79" s="27" t="n">
        <v>-0.3890806741233409</v>
      </c>
      <c r="I79" s="26" t="n">
        <v>2826464.848729665</v>
      </c>
      <c r="J79" s="28" t="n">
        <v>3109111.333602631</v>
      </c>
    </row>
    <row r="80">
      <c r="A80" s="20" t="inlineStr">
        <is>
          <t>M K TRADING COMPANY (MP)</t>
        </is>
      </c>
      <c r="B80" s="25" t="n">
        <v>1.121648308647412</v>
      </c>
      <c r="C80" s="22" t="n">
        <v>0.1216483086474123</v>
      </c>
      <c r="D80" s="26" t="n">
        <v>2487487.02</v>
      </c>
      <c r="E80" s="26" t="n">
        <v>16000</v>
      </c>
      <c r="F80" s="22" t="n">
        <v>-0.3817306431613058</v>
      </c>
      <c r="G80" s="22" t="n">
        <v>-0.3754375</v>
      </c>
      <c r="H80" s="27" t="n">
        <v>-0.4487850139191483</v>
      </c>
      <c r="I80" s="26" t="n">
        <v>2790085.608765392</v>
      </c>
      <c r="J80" s="28" t="n">
        <v>3069094.169641931</v>
      </c>
    </row>
    <row r="81">
      <c r="A81" s="20" t="inlineStr">
        <is>
          <t>UNIVERSAL PIPE TRADERS ( AHMEDABAD)</t>
        </is>
      </c>
      <c r="B81" s="29" t="n">
        <v>0.9655379245036189</v>
      </c>
      <c r="C81" s="22" t="n">
        <v>-0.03446207549638114</v>
      </c>
      <c r="D81" s="26" t="n">
        <v>2478433.74</v>
      </c>
      <c r="E81" s="26" t="n">
        <v>8506</v>
      </c>
      <c r="F81" s="22" t="n">
        <v>-0.1516033226694209</v>
      </c>
      <c r="G81" s="22" t="n">
        <v>-0.01810486715259818</v>
      </c>
      <c r="H81" s="27" t="n">
        <v>-0.1213222642013382</v>
      </c>
      <c r="I81" s="26" t="n">
        <v>2393021.769339342</v>
      </c>
      <c r="J81" s="28" t="n">
        <v>2632323.946273276</v>
      </c>
    </row>
    <row r="82">
      <c r="A82" s="20" t="inlineStr">
        <is>
          <t>NATIONAL MACHINERY STORE(BEGUSARAI)</t>
        </is>
      </c>
      <c r="B82" s="25" t="n">
        <v>1.155707883748668</v>
      </c>
      <c r="C82" s="22" t="n">
        <v>0.1557078837486683</v>
      </c>
      <c r="D82" s="26" t="n">
        <v>2426137.84</v>
      </c>
      <c r="E82" s="26" t="n">
        <v>69136</v>
      </c>
      <c r="F82" s="22" t="n">
        <v>-0.05189558397061244</v>
      </c>
      <c r="G82" s="22" t="n">
        <v>-0.06701284424901643</v>
      </c>
      <c r="H82" s="27" t="n">
        <v>-0.1796331673760808</v>
      </c>
      <c r="I82" s="26" t="n">
        <v>2803906.628748965</v>
      </c>
      <c r="J82" s="28" t="n">
        <v>3084297.291623862</v>
      </c>
    </row>
    <row r="83">
      <c r="A83" s="20" t="inlineStr">
        <is>
          <t>CITY CENTRE</t>
        </is>
      </c>
      <c r="B83" s="29" t="n">
        <v>1.038065514530497</v>
      </c>
      <c r="C83" s="22" t="n">
        <v>0.03806551453049667</v>
      </c>
      <c r="D83" s="26" t="n">
        <v>2423129.470000001</v>
      </c>
      <c r="E83" s="26" t="n">
        <v>30651</v>
      </c>
      <c r="F83" s="22" t="n">
        <v>-1</v>
      </c>
      <c r="G83" s="22" t="n">
        <v>-1</v>
      </c>
      <c r="H83" s="27" t="n">
        <v>-1</v>
      </c>
      <c r="I83" s="26" t="n">
        <v>2515367.14004956</v>
      </c>
      <c r="J83" s="28" t="n">
        <v>2766903.854054517</v>
      </c>
    </row>
    <row r="84">
      <c r="A84" s="20" t="inlineStr">
        <is>
          <t>HIND SANITARY WORLD</t>
        </is>
      </c>
      <c r="B84" s="25" t="n">
        <v>1.150658778582057</v>
      </c>
      <c r="C84" s="22" t="n">
        <v>0.150658778582057</v>
      </c>
      <c r="D84" s="26" t="n">
        <v>2357687.17</v>
      </c>
      <c r="E84" s="26" t="n">
        <v>4111</v>
      </c>
      <c r="F84" s="22" t="n">
        <v>-0.03654543363358953</v>
      </c>
      <c r="G84" s="22" t="n">
        <v>0.1622476283142789</v>
      </c>
      <c r="H84" s="27" t="n">
        <v>-0.1626930726121396</v>
      </c>
      <c r="I84" s="26" t="n">
        <v>2712893.439310787</v>
      </c>
      <c r="J84" s="28" t="n">
        <v>2984182.783241866</v>
      </c>
    </row>
    <row r="85">
      <c r="A85" s="20" t="inlineStr">
        <is>
          <t>UNIQUE SANITATION (BANKURA)</t>
        </is>
      </c>
      <c r="B85" s="25" t="n">
        <v>1.165315686192791</v>
      </c>
      <c r="C85" s="22" t="n">
        <v>0.1653156861927911</v>
      </c>
      <c r="D85" s="26" t="n">
        <v>2230462.57</v>
      </c>
      <c r="E85" s="26" t="n">
        <v>4435</v>
      </c>
      <c r="F85" s="22" t="n">
        <v>-0.4372931485687296</v>
      </c>
      <c r="G85" s="22" t="n">
        <v>-0.2811724915445322</v>
      </c>
      <c r="H85" s="27" t="n">
        <v>-0.5171206754543116</v>
      </c>
      <c r="I85" s="26" t="n">
        <v>2599193.020286887</v>
      </c>
      <c r="J85" s="28" t="n">
        <v>2859112.322315576</v>
      </c>
    </row>
    <row r="86">
      <c r="A86" s="20" t="inlineStr">
        <is>
          <t>GOYAL SANITATIONS</t>
        </is>
      </c>
      <c r="B86" s="29" t="n">
        <v>1.096983316724197</v>
      </c>
      <c r="C86" s="22" t="n">
        <v>0.0969833167241967</v>
      </c>
      <c r="D86" s="26" t="n">
        <v>2139660.94</v>
      </c>
      <c r="E86" s="26" t="n">
        <v>81193</v>
      </c>
      <c r="F86" s="22" t="n">
        <v>0.117277852443294</v>
      </c>
      <c r="G86" s="22" t="n">
        <v>-0.0641434606431589</v>
      </c>
      <c r="H86" s="22" t="n">
        <v>0.01850031391516582</v>
      </c>
      <c r="I86" s="26" t="n">
        <v>2347172.354626413</v>
      </c>
      <c r="J86" s="28" t="n">
        <v>2581889.590089054</v>
      </c>
    </row>
    <row r="87">
      <c r="A87" s="20" t="inlineStr">
        <is>
          <t>RATNAM ENTERPRISES</t>
        </is>
      </c>
      <c r="B87" s="25" t="n">
        <v>1.126879536691139</v>
      </c>
      <c r="C87" s="22" t="n">
        <v>0.1268795366911395</v>
      </c>
      <c r="D87" s="26" t="n">
        <v>2122931.8</v>
      </c>
      <c r="E87" s="26" t="n">
        <v>15741</v>
      </c>
      <c r="F87" s="22" t="n">
        <v>0.8059731688036329</v>
      </c>
      <c r="G87" s="22" t="n">
        <v>0.505495203608411</v>
      </c>
      <c r="H87" s="22" t="n">
        <v>0.6026319673055014</v>
      </c>
      <c r="I87" s="26" t="n">
        <v>2392288.403210887</v>
      </c>
      <c r="J87" s="28" t="n">
        <v>2631517.243531975</v>
      </c>
    </row>
    <row r="88">
      <c r="A88" s="20" t="inlineStr">
        <is>
          <t>PSA BHARAT PIPE AND PUMPS PRIVATE LIMITED</t>
        </is>
      </c>
      <c r="B88" s="29" t="n">
        <v>1.08337737008029</v>
      </c>
      <c r="C88" s="22" t="n">
        <v>0.08337737008028956</v>
      </c>
      <c r="D88" s="26" t="n">
        <v>2121052.26</v>
      </c>
      <c r="E88" s="26" t="n">
        <v>32528</v>
      </c>
      <c r="F88" s="22" t="n">
        <v>0.4106812908042166</v>
      </c>
      <c r="G88" s="22" t="n">
        <v>3.248186178061977</v>
      </c>
      <c r="H88" s="22" t="n">
        <v>0.3021144153118782</v>
      </c>
      <c r="I88" s="26" t="n">
        <v>2297900.019241654</v>
      </c>
      <c r="J88" s="28" t="n">
        <v>2527690.02116582</v>
      </c>
    </row>
    <row r="89">
      <c r="A89" s="20" t="inlineStr">
        <is>
          <t>MAIYA HARDWARE STORE</t>
        </is>
      </c>
      <c r="B89" s="29" t="n">
        <v>1.092622376942784</v>
      </c>
      <c r="C89" s="22" t="n">
        <v>0.09262237694278387</v>
      </c>
      <c r="D89" s="26" t="n">
        <v>2073330.5</v>
      </c>
      <c r="E89" s="26" t="n">
        <v>17728</v>
      </c>
      <c r="F89" s="22" t="n">
        <v>-0.6403203734281631</v>
      </c>
      <c r="G89" s="22" t="n">
        <v>-0.4101421480144405</v>
      </c>
      <c r="H89" s="27" t="n">
        <v>-0.6708106714981987</v>
      </c>
      <c r="I89" s="26" t="n">
        <v>2265367.299097971</v>
      </c>
      <c r="J89" s="28" t="n">
        <v>2491904.029007768</v>
      </c>
    </row>
    <row r="90">
      <c r="A90" s="20" t="inlineStr">
        <is>
          <t>MANOJ ENTERPRISES (UTTAM NAGAR)</t>
        </is>
      </c>
      <c r="B90" s="29" t="n">
        <v>1.085900189939981</v>
      </c>
      <c r="C90" s="22" t="n">
        <v>0.0859001899399814</v>
      </c>
      <c r="D90" s="26" t="n">
        <v>2042185.03</v>
      </c>
      <c r="E90" s="26" t="n">
        <v>15031</v>
      </c>
      <c r="F90" s="22" t="n">
        <v>-0.4626953072905445</v>
      </c>
      <c r="G90" s="22" t="n">
        <v>-0.4959749850309361</v>
      </c>
      <c r="H90" s="27" t="n">
        <v>-0.505198822426624</v>
      </c>
      <c r="I90" s="26" t="n">
        <v>2217609.111969586</v>
      </c>
      <c r="J90" s="28" t="n">
        <v>2439370.023166545</v>
      </c>
    </row>
    <row r="91">
      <c r="A91" s="20" t="inlineStr">
        <is>
          <t>ROY ENTERPRISE</t>
        </is>
      </c>
      <c r="B91" s="25" t="n">
        <v>1.116315246248981</v>
      </c>
      <c r="C91" s="22" t="n">
        <v>0.1163152462489809</v>
      </c>
      <c r="D91" s="26" t="n">
        <v>1957794.71</v>
      </c>
      <c r="E91" s="26" t="n">
        <v>13454</v>
      </c>
      <c r="F91" s="22" t="n">
        <v>-0.5253552401313824</v>
      </c>
      <c r="G91" s="22" t="n">
        <v>1.253753530548536</v>
      </c>
      <c r="H91" s="27" t="n">
        <v>-0.5748111821785924</v>
      </c>
      <c r="I91" s="26" t="n">
        <v>2185516.083798602</v>
      </c>
      <c r="J91" s="28" t="n">
        <v>2404067.692178463</v>
      </c>
    </row>
    <row r="92">
      <c r="A92" s="20" t="inlineStr">
        <is>
          <t>KAMAT PLUS HARDWARE AND PAINTS</t>
        </is>
      </c>
      <c r="B92" s="29" t="n">
        <v>1.048607937302284</v>
      </c>
      <c r="C92" s="22" t="n">
        <v>0.0486079373022843</v>
      </c>
      <c r="D92" s="26" t="n">
        <v>1917437.11</v>
      </c>
      <c r="E92" s="26" t="n">
        <v>34091</v>
      </c>
      <c r="F92" s="22" t="n">
        <v>0.4710878418327886</v>
      </c>
      <c r="G92" s="22" t="n">
        <v>0.04068522483940051</v>
      </c>
      <c r="H92" s="22" t="n">
        <v>0.402895962829924</v>
      </c>
      <c r="I92" s="26" t="n">
        <v>2010639.772823954</v>
      </c>
      <c r="J92" s="28" t="n">
        <v>2211703.750106349</v>
      </c>
    </row>
    <row r="93">
      <c r="A93" s="20" t="inlineStr">
        <is>
          <t>RAYBAN CORPORATION(INDORE)</t>
        </is>
      </c>
      <c r="B93" s="25" t="n">
        <v>1.107241933442992</v>
      </c>
      <c r="C93" s="22" t="n">
        <v>0.1072419334429922</v>
      </c>
      <c r="D93" s="26" t="n">
        <v>1914698.82</v>
      </c>
      <c r="E93" s="26" t="n">
        <v>10857</v>
      </c>
      <c r="F93" s="22" t="n">
        <v>-0.819779488870213</v>
      </c>
      <c r="G93" s="22" t="n">
        <v>-0.9033803076356268</v>
      </c>
      <c r="H93" s="27" t="n">
        <v>-0.8372347490765749</v>
      </c>
      <c r="I93" s="26" t="n">
        <v>2120034.823417816</v>
      </c>
      <c r="J93" s="28" t="n">
        <v>2332038.305759598</v>
      </c>
    </row>
    <row r="94">
      <c r="A94" s="20" t="inlineStr">
        <is>
          <t>SHIVAM TRADERS</t>
        </is>
      </c>
      <c r="B94" s="29" t="n">
        <v>1.090280460292583</v>
      </c>
      <c r="C94" s="22" t="n">
        <v>0.09028046029258263</v>
      </c>
      <c r="D94" s="26" t="n">
        <v>1819827.66</v>
      </c>
      <c r="E94" s="26" t="n">
        <v>20050</v>
      </c>
      <c r="F94" s="22" t="n">
        <v>-0.3601369978078033</v>
      </c>
      <c r="G94" s="22" t="n">
        <v>-0.1751122194513716</v>
      </c>
      <c r="H94" s="27" t="n">
        <v>-0.4131207285687886</v>
      </c>
      <c r="I94" s="26" t="n">
        <v>1984122.538797973</v>
      </c>
      <c r="J94" s="28" t="n">
        <v>2182534.792677771</v>
      </c>
    </row>
    <row r="95">
      <c r="A95" s="20" t="inlineStr">
        <is>
          <t>HINDUSTAN ENTERPRISES (BHAGALPUR)</t>
        </is>
      </c>
      <c r="B95" s="25" t="n">
        <v>1.106246281514303</v>
      </c>
      <c r="C95" s="22" t="n">
        <v>0.1062462815143035</v>
      </c>
      <c r="D95" s="26" t="n">
        <v>1770588.09</v>
      </c>
      <c r="E95" s="26" t="n">
        <v>43174</v>
      </c>
      <c r="F95" s="22" t="n">
        <v>-0.7013286133648396</v>
      </c>
      <c r="G95" s="22" t="n">
        <v>-0.9815398156297772</v>
      </c>
      <c r="H95" s="27" t="n">
        <v>-0.7300136582368267</v>
      </c>
      <c r="I95" s="26" t="n">
        <v>1958706.490656013</v>
      </c>
      <c r="J95" s="28" t="n">
        <v>2154577.139721614</v>
      </c>
    </row>
    <row r="96">
      <c r="A96" s="20" t="inlineStr">
        <is>
          <t>ANIK TRADERS</t>
        </is>
      </c>
      <c r="B96" s="29" t="n">
        <v>1.077206265146311</v>
      </c>
      <c r="C96" s="22" t="n">
        <v>0.07720626514631102</v>
      </c>
      <c r="D96" s="26" t="n">
        <v>1761709.12</v>
      </c>
      <c r="E96" s="26" t="n">
        <v>45754</v>
      </c>
      <c r="F96" s="22" t="n">
        <v>-1</v>
      </c>
      <c r="G96" s="22" t="n">
        <v>-1</v>
      </c>
      <c r="H96" s="27" t="n">
        <v>-1</v>
      </c>
      <c r="I96" s="26" t="n">
        <v>1897724.101429394</v>
      </c>
      <c r="J96" s="28" t="n">
        <v>2087496.511572334</v>
      </c>
    </row>
    <row r="97">
      <c r="A97" s="20" t="inlineStr">
        <is>
          <t>S S SANITATAION</t>
        </is>
      </c>
      <c r="B97" s="25" t="n">
        <v>1.140065465575197</v>
      </c>
      <c r="C97" s="22" t="n">
        <v>0.1400654655751969</v>
      </c>
      <c r="D97" s="26" t="n">
        <v>1713592.68</v>
      </c>
      <c r="E97" s="26" t="n">
        <v>10323</v>
      </c>
      <c r="F97" s="22" t="n">
        <v>-1</v>
      </c>
      <c r="G97" s="22" t="n">
        <v>-1</v>
      </c>
      <c r="H97" s="27" t="n">
        <v>-1</v>
      </c>
      <c r="I97" s="26" t="n">
        <v>1953607.83653045</v>
      </c>
      <c r="J97" s="28" t="n">
        <v>2148968.620183495</v>
      </c>
    </row>
    <row r="98">
      <c r="A98" s="20" t="inlineStr">
        <is>
          <t>PREM KUMAR &amp; SONS(MALOUT)</t>
        </is>
      </c>
      <c r="B98" s="25" t="n">
        <v>1.114692735356091</v>
      </c>
      <c r="C98" s="22" t="n">
        <v>0.1146927353560912</v>
      </c>
      <c r="D98" s="26" t="n">
        <v>1712317.85</v>
      </c>
      <c r="E98" s="26" t="n">
        <v>5624</v>
      </c>
      <c r="F98" s="22" t="n">
        <v>0.1604443298888698</v>
      </c>
      <c r="G98" s="22" t="n">
        <v>5.569701280227596</v>
      </c>
      <c r="H98" s="22" t="n">
        <v>0.04104413089061998</v>
      </c>
      <c r="I98" s="26" t="n">
        <v>1908708.268015561</v>
      </c>
      <c r="J98" s="28" t="n">
        <v>2099579.094817117</v>
      </c>
    </row>
    <row r="99">
      <c r="A99" s="20" t="inlineStr">
        <is>
          <t>ADITI ENTERPRISES</t>
        </is>
      </c>
      <c r="B99" s="29" t="n">
        <v>1.027606698929538</v>
      </c>
      <c r="C99" s="22" t="n">
        <v>0.02760669892953782</v>
      </c>
      <c r="D99" s="26" t="n">
        <v>1708023.19</v>
      </c>
      <c r="E99" s="26" t="n">
        <v>29778</v>
      </c>
      <c r="F99" s="22" t="n">
        <v>-1</v>
      </c>
      <c r="G99" s="22" t="n">
        <v>-1</v>
      </c>
      <c r="H99" s="27" t="n">
        <v>-1</v>
      </c>
      <c r="I99" s="26" t="n">
        <v>1755176.071970999</v>
      </c>
      <c r="J99" s="28" t="n">
        <v>1930693.679168099</v>
      </c>
    </row>
    <row r="100">
      <c r="A100" s="20" t="inlineStr">
        <is>
          <t>HAERISONS CORPORATION</t>
        </is>
      </c>
      <c r="B100" s="25" t="n">
        <v>1.261399739460836</v>
      </c>
      <c r="C100" s="22" t="n">
        <v>0.2613997394608358</v>
      </c>
      <c r="D100" s="26" t="n">
        <v>1676310.52</v>
      </c>
      <c r="E100" s="26" t="n">
        <v>4232</v>
      </c>
      <c r="F100" s="22" t="n">
        <v>-0.8317229793439463</v>
      </c>
      <c r="G100" s="22" t="n">
        <v>-0.9281663516068054</v>
      </c>
      <c r="H100" s="27" t="n">
        <v>-0.8665950091856045</v>
      </c>
      <c r="I100" s="26" t="n">
        <v>2114497.653183458</v>
      </c>
      <c r="J100" s="28" t="n">
        <v>2325947.418501805</v>
      </c>
    </row>
    <row r="101">
      <c r="A101" s="20" t="inlineStr">
        <is>
          <t>KIRODIWAL UDHYOG</t>
        </is>
      </c>
      <c r="B101" s="29" t="n">
        <v>1.090872653150324</v>
      </c>
      <c r="C101" s="22" t="n">
        <v>0.09087265315032367</v>
      </c>
      <c r="D101" s="26" t="n">
        <v>1655362.03</v>
      </c>
      <c r="E101" s="26" t="n">
        <v>38417</v>
      </c>
      <c r="F101" s="22" t="n">
        <v>-1</v>
      </c>
      <c r="G101" s="22" t="n">
        <v>-1</v>
      </c>
      <c r="H101" s="27" t="n">
        <v>-1</v>
      </c>
      <c r="I101" s="26" t="n">
        <v>1805789.169590406</v>
      </c>
      <c r="J101" s="28" t="n">
        <v>1986368.086549446</v>
      </c>
    </row>
    <row r="102">
      <c r="A102" s="20" t="inlineStr">
        <is>
          <t>SHIV SALES (SILCHAR)</t>
        </is>
      </c>
      <c r="B102" s="25" t="n">
        <v>1.135195560865996</v>
      </c>
      <c r="C102" s="22" t="n">
        <v>0.1351955608659958</v>
      </c>
      <c r="D102" s="26" t="n">
        <v>1608555.75</v>
      </c>
      <c r="E102" s="26" t="n">
        <v>4826</v>
      </c>
      <c r="F102" s="22" t="n">
        <v>0.7443194865953511</v>
      </c>
      <c r="G102" s="22" t="n">
        <v>-0.2517612929962703</v>
      </c>
      <c r="H102" s="22" t="n">
        <v>0.5365806093046019</v>
      </c>
      <c r="I102" s="26" t="n">
        <v>1826025.346805472</v>
      </c>
      <c r="J102" s="28" t="n">
        <v>2008627.88148602</v>
      </c>
    </row>
    <row r="103">
      <c r="A103" s="20" t="inlineStr">
        <is>
          <t>VASHNAVI ENTERPRISES</t>
        </is>
      </c>
      <c r="B103" s="29" t="n">
        <v>1.09717866977359</v>
      </c>
      <c r="C103" s="22" t="n">
        <v>0.09717866977359035</v>
      </c>
      <c r="D103" s="26" t="n">
        <v>1600908.38</v>
      </c>
      <c r="E103" s="26" t="n">
        <v>16065</v>
      </c>
      <c r="F103" s="22" t="n">
        <v>-1</v>
      </c>
      <c r="G103" s="22" t="n">
        <v>-1</v>
      </c>
      <c r="H103" s="27" t="n">
        <v>-1</v>
      </c>
      <c r="I103" s="26" t="n">
        <v>1756482.526797793</v>
      </c>
      <c r="J103" s="28" t="n">
        <v>1932130.779477573</v>
      </c>
    </row>
    <row r="104">
      <c r="A104" s="20" t="inlineStr">
        <is>
          <t>Kundra Constructions</t>
        </is>
      </c>
      <c r="B104" s="25" t="n">
        <v>1.187380331083057</v>
      </c>
      <c r="C104" s="22" t="n">
        <v>0.1873803310830571</v>
      </c>
      <c r="D104" s="26" t="n">
        <v>1579786.63</v>
      </c>
      <c r="E104" s="26" t="n">
        <v>12510</v>
      </c>
      <c r="F104" s="22" t="n">
        <v>0.695606266777938</v>
      </c>
      <c r="G104" s="22" t="n">
        <v>8.776338928856914</v>
      </c>
      <c r="H104" s="22" t="n">
        <v>0.4280228688235959</v>
      </c>
      <c r="I104" s="26" t="n">
        <v>1875807.571769987</v>
      </c>
      <c r="J104" s="28" t="n">
        <v>2063388.328946986</v>
      </c>
    </row>
    <row r="105">
      <c r="A105" s="20" t="inlineStr">
        <is>
          <t>RANJAN KUMAR RAO ENTERPRISES</t>
        </is>
      </c>
      <c r="B105" s="25" t="n">
        <v>1.114813076074096</v>
      </c>
      <c r="C105" s="22" t="n">
        <v>0.1148130760740964</v>
      </c>
      <c r="D105" s="26" t="n">
        <v>1564118.95</v>
      </c>
      <c r="E105" s="26" t="n">
        <v>112136</v>
      </c>
      <c r="F105" s="22" t="n">
        <v>-0.7914698239542459</v>
      </c>
      <c r="G105" s="22" t="n">
        <v>-0.4915281443960905</v>
      </c>
      <c r="H105" s="27" t="n">
        <v>-0.8129460619711155</v>
      </c>
      <c r="I105" s="26" t="n">
        <v>1743700.257995286</v>
      </c>
      <c r="J105" s="28" t="n">
        <v>1918070.283794815</v>
      </c>
    </row>
    <row r="106">
      <c r="A106" s="20" t="inlineStr">
        <is>
          <t>DEVENDAR IRON STORE</t>
        </is>
      </c>
      <c r="B106" s="25" t="n">
        <v>1.127341325833526</v>
      </c>
      <c r="C106" s="22" t="n">
        <v>0.1273413258335259</v>
      </c>
      <c r="D106" s="26" t="n">
        <v>1543845.48</v>
      </c>
      <c r="E106" s="26" t="n">
        <v>54517</v>
      </c>
      <c r="F106" s="22" t="n">
        <v>-0.9615816474068376</v>
      </c>
      <c r="G106" s="22" t="n">
        <v>-0.9981657097786012</v>
      </c>
      <c r="H106" s="27" t="n">
        <v>-0.9659212771564486</v>
      </c>
      <c r="I106" s="26" t="n">
        <v>1740440.810305296</v>
      </c>
      <c r="J106" s="28" t="n">
        <v>1914484.891335826</v>
      </c>
    </row>
    <row r="107">
      <c r="A107" s="20" t="inlineStr">
        <is>
          <t>VIJAY AGENCIES</t>
        </is>
      </c>
      <c r="B107" s="29" t="n">
        <v>1.076881378067075</v>
      </c>
      <c r="C107" s="22" t="n">
        <v>0.07688137806707451</v>
      </c>
      <c r="D107" s="26" t="n">
        <v>1523190.25</v>
      </c>
      <c r="E107" s="26" t="n">
        <v>15422</v>
      </c>
      <c r="F107" s="22" t="n">
        <v>-0.7432375896576282</v>
      </c>
      <c r="G107" s="22" t="n">
        <v>-0.7357022435481779</v>
      </c>
      <c r="H107" s="27" t="n">
        <v>-0.7615685296710747</v>
      </c>
      <c r="I107" s="26" t="n">
        <v>1640295.215478332</v>
      </c>
      <c r="J107" s="28" t="n">
        <v>1804324.737026165</v>
      </c>
    </row>
    <row r="108">
      <c r="A108" s="20" t="inlineStr">
        <is>
          <t>B S ENTERPRISES</t>
        </is>
      </c>
      <c r="B108" s="25" t="n">
        <v>1.109933022471341</v>
      </c>
      <c r="C108" s="22" t="n">
        <v>0.1099330224713411</v>
      </c>
      <c r="D108" s="26" t="n">
        <v>1473983.72</v>
      </c>
      <c r="E108" s="26" t="n">
        <v>10343</v>
      </c>
      <c r="F108" s="22" t="n">
        <v>-0.3073994060124354</v>
      </c>
      <c r="G108" s="22" t="n">
        <v>-0.6468142705211254</v>
      </c>
      <c r="H108" s="27" t="n">
        <v>-0.3759978485499581</v>
      </c>
      <c r="I108" s="26" t="n">
        <v>1636023.205413151</v>
      </c>
      <c r="J108" s="28" t="n">
        <v>1799625.525954466</v>
      </c>
    </row>
    <row r="109">
      <c r="A109" s="20" t="inlineStr">
        <is>
          <t>D.G.S. ENTERPRISES</t>
        </is>
      </c>
      <c r="B109" s="29" t="n">
        <v>1.084210000594186</v>
      </c>
      <c r="C109" s="22" t="n">
        <v>0.08421000059418592</v>
      </c>
      <c r="D109" s="26" t="n">
        <v>1469002.83</v>
      </c>
      <c r="E109" s="26" t="n">
        <v>44783</v>
      </c>
      <c r="F109" s="22" t="n">
        <v>-0.9219143777959912</v>
      </c>
      <c r="G109" s="22" t="n">
        <v>-0.7744233302815801</v>
      </c>
      <c r="H109" s="27" t="n">
        <v>-0.9279792455693867</v>
      </c>
      <c r="I109" s="26" t="n">
        <v>1592707.559187161</v>
      </c>
      <c r="J109" s="28" t="n">
        <v>1751978.315105877</v>
      </c>
    </row>
    <row r="110">
      <c r="A110" s="20" t="inlineStr">
        <is>
          <t>INDIRA ENTERPRISE</t>
        </is>
      </c>
      <c r="B110" s="25" t="n">
        <v>1.12796712926559</v>
      </c>
      <c r="C110" s="22" t="n">
        <v>0.1279671292655895</v>
      </c>
      <c r="D110" s="26" t="n">
        <v>1460556.72</v>
      </c>
      <c r="E110" s="26" t="n">
        <v>3907</v>
      </c>
      <c r="F110" s="22" t="n">
        <v>-1</v>
      </c>
      <c r="G110" s="22" t="n">
        <v>-1</v>
      </c>
      <c r="H110" s="27" t="n">
        <v>-1</v>
      </c>
      <c r="I110" s="26" t="n">
        <v>1647459.970587965</v>
      </c>
      <c r="J110" s="28" t="n">
        <v>1812205.967646762</v>
      </c>
    </row>
    <row r="111">
      <c r="A111" s="20" t="inlineStr">
        <is>
          <t>DEIVULLATHIL DISTRIBUTORS (SOORANADU)</t>
        </is>
      </c>
      <c r="B111" s="29" t="n">
        <v>1.014729205635656</v>
      </c>
      <c r="C111" s="22" t="n">
        <v>0.01472920563565649</v>
      </c>
      <c r="D111" s="26" t="n">
        <v>1428845.33</v>
      </c>
      <c r="E111" s="26" t="n">
        <v>22396</v>
      </c>
      <c r="F111" s="22" t="n">
        <v>-1</v>
      </c>
      <c r="G111" s="22" t="n">
        <v>-1</v>
      </c>
      <c r="H111" s="27" t="n">
        <v>-1</v>
      </c>
      <c r="I111" s="26" t="n">
        <v>1449891.086687118</v>
      </c>
      <c r="J111" s="28" t="n">
        <v>1594880.19535583</v>
      </c>
    </row>
    <row r="112">
      <c r="A112" s="20" t="inlineStr">
        <is>
          <t>RAMSWARUP &amp; SONS.</t>
        </is>
      </c>
      <c r="B112" s="25" t="n">
        <v>1.119783744500372</v>
      </c>
      <c r="C112" s="22" t="n">
        <v>0.1197837445003724</v>
      </c>
      <c r="D112" s="26" t="n">
        <v>1393653.54</v>
      </c>
      <c r="E112" s="26" t="n">
        <v>9069</v>
      </c>
      <c r="F112" s="22" t="n">
        <v>-0.7584313530319737</v>
      </c>
      <c r="G112" s="22" t="n">
        <v>-0.6879479545705149</v>
      </c>
      <c r="H112" s="27" t="n">
        <v>-0.7842720541761303</v>
      </c>
      <c r="I112" s="26" t="n">
        <v>1560590.5795574</v>
      </c>
      <c r="J112" s="28" t="n">
        <v>1716649.63751314</v>
      </c>
    </row>
    <row r="113">
      <c r="A113" s="20" t="inlineStr">
        <is>
          <t>OM SALES (RAJKOT)</t>
        </is>
      </c>
      <c r="B113" s="25" t="n">
        <v>1.137588654639789</v>
      </c>
      <c r="C113" s="22" t="n">
        <v>0.1375886546397893</v>
      </c>
      <c r="D113" s="26" t="n">
        <v>1385233.59</v>
      </c>
      <c r="E113" s="26" t="n">
        <v>6064</v>
      </c>
      <c r="F113" s="22" t="n">
        <v>-0.5945853363258394</v>
      </c>
      <c r="G113" s="22" t="n">
        <v>-0.5255606860158311</v>
      </c>
      <c r="H113" s="27" t="n">
        <v>-0.6436192801144516</v>
      </c>
      <c r="I113" s="26" t="n">
        <v>1575826.016009945</v>
      </c>
      <c r="J113" s="28" t="n">
        <v>1733408.61761094</v>
      </c>
    </row>
    <row r="114">
      <c r="A114" s="20" t="inlineStr">
        <is>
          <t>PUNJAB SANITARY &amp; H/W STORE</t>
        </is>
      </c>
      <c r="B114" s="29" t="n">
        <v>1.030658970511246</v>
      </c>
      <c r="C114" s="22" t="n">
        <v>0.03065897051124633</v>
      </c>
      <c r="D114" s="26" t="n">
        <v>1368493.68</v>
      </c>
      <c r="E114" s="26" t="n">
        <v>26132</v>
      </c>
      <c r="F114" s="22" t="n">
        <v>0.1840375251130135</v>
      </c>
      <c r="G114" s="22" t="n">
        <v>-0.1188581050053574</v>
      </c>
      <c r="H114" s="22" t="n">
        <v>0.1488160089711204</v>
      </c>
      <c r="I114" s="26" t="n">
        <v>1410450.287379947</v>
      </c>
      <c r="J114" s="28" t="n">
        <v>1551495.316117942</v>
      </c>
    </row>
    <row r="115">
      <c r="A115" s="20" t="inlineStr">
        <is>
          <t>JAGDAMBA TRADERS</t>
        </is>
      </c>
      <c r="B115" s="29" t="n">
        <v>1.087273406252238</v>
      </c>
      <c r="C115" s="22" t="n">
        <v>0.08727340625223778</v>
      </c>
      <c r="D115" s="26" t="n">
        <v>1345285.48</v>
      </c>
      <c r="E115" s="26" t="n">
        <v>70461</v>
      </c>
      <c r="F115" s="22" t="n">
        <v>-0.4607667957584736</v>
      </c>
      <c r="G115" s="22" t="n">
        <v>-0.6567179006826471</v>
      </c>
      <c r="H115" s="27" t="n">
        <v>-0.5040500382509778</v>
      </c>
      <c r="I115" s="26" t="n">
        <v>1462693.126221277</v>
      </c>
      <c r="J115" s="28" t="n">
        <v>1608962.438843404</v>
      </c>
    </row>
    <row r="116">
      <c r="A116" s="20" t="inlineStr">
        <is>
          <t>RATHI SALES CORP.</t>
        </is>
      </c>
      <c r="B116" s="29" t="n">
        <v>1.053709381295999</v>
      </c>
      <c r="C116" s="22" t="n">
        <v>0.05370938129599923</v>
      </c>
      <c r="D116" s="26" t="n">
        <v>1285217.89</v>
      </c>
      <c r="E116" s="26" t="n">
        <v>47198</v>
      </c>
      <c r="F116" s="22" t="n">
        <v>-1</v>
      </c>
      <c r="G116" s="22" t="n">
        <v>-1</v>
      </c>
      <c r="H116" s="27" t="n">
        <v>-1</v>
      </c>
      <c r="I116" s="26" t="n">
        <v>1354246.14770245</v>
      </c>
      <c r="J116" s="28" t="n">
        <v>1489670.762472695</v>
      </c>
    </row>
    <row r="117">
      <c r="A117" s="20" t="inlineStr">
        <is>
          <t>SAPPHIRE SALES CORPORATION PRIVATE LIMIT</t>
        </is>
      </c>
      <c r="B117" s="29" t="n">
        <v>1.070469743054248</v>
      </c>
      <c r="C117" s="22" t="n">
        <v>0.07046974305424847</v>
      </c>
      <c r="D117" s="26" t="n">
        <v>1253776.55</v>
      </c>
      <c r="E117" s="26" t="n">
        <v>8522</v>
      </c>
      <c r="F117" s="22" t="n">
        <v>0.519945376231514</v>
      </c>
      <c r="G117" s="22" t="n">
        <v>0.2808026284909646</v>
      </c>
      <c r="H117" s="22" t="n">
        <v>0.4198863499820447</v>
      </c>
      <c r="I117" s="26" t="n">
        <v>1342129.861325942</v>
      </c>
      <c r="J117" s="28" t="n">
        <v>1476342.847458537</v>
      </c>
    </row>
    <row r="118">
      <c r="A118" s="20" t="inlineStr">
        <is>
          <t>PERFECT SANITARY (SURAT)</t>
        </is>
      </c>
      <c r="B118" s="25" t="n">
        <v>1.101778817649358</v>
      </c>
      <c r="C118" s="22" t="n">
        <v>0.1017788176493577</v>
      </c>
      <c r="D118" s="26" t="n">
        <v>1239554.5</v>
      </c>
      <c r="E118" s="26" t="n">
        <v>6378</v>
      </c>
      <c r="F118" s="22" t="n">
        <v>-0.1959812981196066</v>
      </c>
      <c r="G118" s="22" t="n">
        <v>-0.535434305424898</v>
      </c>
      <c r="H118" s="27" t="n">
        <v>-0.2702539847373675</v>
      </c>
      <c r="I118" s="26" t="n">
        <v>1365714.891421941</v>
      </c>
      <c r="J118" s="28" t="n">
        <v>1502286.380564135</v>
      </c>
    </row>
    <row r="119">
      <c r="A119" s="20" t="inlineStr">
        <is>
          <t>VENKATESH TRADERS</t>
        </is>
      </c>
      <c r="B119" s="25" t="n">
        <v>1.142284747841217</v>
      </c>
      <c r="C119" s="22" t="n">
        <v>0.1422847478412166</v>
      </c>
      <c r="D119" s="26" t="n">
        <v>1203809.11</v>
      </c>
      <c r="E119" s="26" t="n">
        <v>9556</v>
      </c>
      <c r="F119" s="22" t="n">
        <v>-0.7473262185231344</v>
      </c>
      <c r="G119" s="22" t="n">
        <v>-0.896504813729594</v>
      </c>
      <c r="H119" s="27" t="n">
        <v>-0.778799653979107</v>
      </c>
      <c r="I119" s="26" t="n">
        <v>1375092.785665309</v>
      </c>
      <c r="J119" s="28" t="n">
        <v>1512602.06423184</v>
      </c>
    </row>
    <row r="120">
      <c r="A120" s="20" t="inlineStr">
        <is>
          <t>MAHADEV TRADERS (RAJASTHAN)</t>
        </is>
      </c>
      <c r="B120" s="25" t="n">
        <v>1.142737701018777</v>
      </c>
      <c r="C120" s="22" t="n">
        <v>0.1427377010187769</v>
      </c>
      <c r="D120" s="26" t="n">
        <v>1202679.51</v>
      </c>
      <c r="E120" s="26" t="n">
        <v>10552</v>
      </c>
      <c r="F120" s="22" t="n">
        <v>-1</v>
      </c>
      <c r="G120" s="22" t="n">
        <v>-1</v>
      </c>
      <c r="H120" s="27" t="n">
        <v>-1</v>
      </c>
      <c r="I120" s="26" t="n">
        <v>1374347.218319789</v>
      </c>
      <c r="J120" s="28" t="n">
        <v>1511781.940151768</v>
      </c>
    </row>
    <row r="121">
      <c r="A121" s="20" t="inlineStr">
        <is>
          <t>KITES CERAMIC ZONE</t>
        </is>
      </c>
      <c r="B121" s="29" t="n">
        <v>1.074531915087632</v>
      </c>
      <c r="C121" s="22" t="n">
        <v>0.07453191508763179</v>
      </c>
      <c r="D121" s="26" t="n">
        <v>1197017.83</v>
      </c>
      <c r="E121" s="26" t="n">
        <v>9635</v>
      </c>
      <c r="F121" s="22" t="n">
        <v>-0.840187844152664</v>
      </c>
      <c r="G121" s="22" t="n">
        <v>-0.9078360145303581</v>
      </c>
      <c r="H121" s="27" t="n">
        <v>-0.8512727694697623</v>
      </c>
      <c r="I121" s="26" t="n">
        <v>1286233.861263941</v>
      </c>
      <c r="J121" s="28" t="n">
        <v>1414857.247390335</v>
      </c>
    </row>
    <row r="122">
      <c r="A122" s="20" t="inlineStr">
        <is>
          <t>DIVYA ENTERPRISES</t>
        </is>
      </c>
      <c r="B122" s="29" t="n">
        <v>1.09055542710538</v>
      </c>
      <c r="C122" s="22" t="n">
        <v>0.09055542710537988</v>
      </c>
      <c r="D122" s="26" t="n">
        <v>1171272.46</v>
      </c>
      <c r="E122" s="26" t="n">
        <v>4446</v>
      </c>
      <c r="F122" s="22" t="n">
        <v>0.06526196304487497</v>
      </c>
      <c r="G122" s="22" t="n">
        <v>-0.08434547908232115</v>
      </c>
      <c r="H122" s="27" t="n">
        <v>-0.02319319443271251</v>
      </c>
      <c r="I122" s="26" t="n">
        <v>1277337.537872069</v>
      </c>
      <c r="J122" s="28" t="n">
        <v>1405071.291659276</v>
      </c>
    </row>
    <row r="123">
      <c r="A123" s="20" t="inlineStr">
        <is>
          <t>GOVIND HARDWARE STORE (MIRZAPUR)</t>
        </is>
      </c>
      <c r="B123" s="25" t="n">
        <v>1.177025056062238</v>
      </c>
      <c r="C123" s="22" t="n">
        <v>0.1770250560622384</v>
      </c>
      <c r="D123" s="26" t="n">
        <v>1169706.36</v>
      </c>
      <c r="E123" s="26" t="n">
        <v>14025</v>
      </c>
      <c r="F123" s="22" t="n">
        <v>-0.4712117321478871</v>
      </c>
      <c r="G123" s="22" t="n">
        <v>2.000285204991088</v>
      </c>
      <c r="H123" s="27" t="n">
        <v>-0.5507417067048811</v>
      </c>
      <c r="I123" s="26" t="n">
        <v>1376773.693955357</v>
      </c>
      <c r="J123" s="28" t="n">
        <v>1514451.063350893</v>
      </c>
    </row>
    <row r="124">
      <c r="A124" s="20" t="inlineStr">
        <is>
          <t>ARYAN HARDWARE STORE</t>
        </is>
      </c>
      <c r="B124" s="29" t="n">
        <v>1.078367009043123</v>
      </c>
      <c r="C124" s="22" t="n">
        <v>0.07836700904312299</v>
      </c>
      <c r="D124" s="26" t="n">
        <v>1138718.14</v>
      </c>
      <c r="E124" s="26" t="n">
        <v>20840</v>
      </c>
      <c r="F124" s="22" t="n">
        <v>-0.7610286598227021</v>
      </c>
      <c r="G124" s="22" t="n">
        <v>-0.9235124760076775</v>
      </c>
      <c r="H124" s="27" t="n">
        <v>-0.7783951677181348</v>
      </c>
      <c r="I124" s="26" t="n">
        <v>1227956.074774948</v>
      </c>
      <c r="J124" s="28" t="n">
        <v>1350751.682252443</v>
      </c>
    </row>
    <row r="125">
      <c r="A125" s="20" t="inlineStr">
        <is>
          <t>INDIA TRADING ( MOTIHARI )</t>
        </is>
      </c>
      <c r="B125" s="25" t="n">
        <v>1.222516357063047</v>
      </c>
      <c r="C125" s="22" t="n">
        <v>0.2225163570630471</v>
      </c>
      <c r="D125" s="26" t="n">
        <v>1129586.46</v>
      </c>
      <c r="E125" s="26" t="n">
        <v>3385</v>
      </c>
      <c r="F125" s="22" t="n">
        <v>0.0761098623650287</v>
      </c>
      <c r="G125" s="22" t="n">
        <v>-0.2901033973412113</v>
      </c>
      <c r="H125" s="27" t="n">
        <v>-0.1197583114959238</v>
      </c>
      <c r="I125" s="26" t="n">
        <v>1380937.924066943</v>
      </c>
      <c r="J125" s="28" t="n">
        <v>1519031.716473638</v>
      </c>
    </row>
    <row r="126">
      <c r="A126" s="20" t="inlineStr">
        <is>
          <t>PRADEEP TRADERS (U.P)</t>
        </is>
      </c>
      <c r="B126" s="25" t="n">
        <v>1.125355622566338</v>
      </c>
      <c r="C126" s="22" t="n">
        <v>0.1253556225663384</v>
      </c>
      <c r="D126" s="26" t="n">
        <v>1126016.5</v>
      </c>
      <c r="E126" s="26" t="n">
        <v>5104</v>
      </c>
      <c r="F126" s="22" t="n">
        <v>0.1209222955436269</v>
      </c>
      <c r="G126" s="22" t="n">
        <v>-0.2695924764890282</v>
      </c>
      <c r="H126" s="27" t="n">
        <v>-0.003939489823315934</v>
      </c>
      <c r="I126" s="26" t="n">
        <v>1267168.999377469</v>
      </c>
      <c r="J126" s="28" t="n">
        <v>1393885.899315216</v>
      </c>
    </row>
    <row r="127">
      <c r="A127" s="20" t="inlineStr">
        <is>
          <t>MAHAVEER SANITARY WARE &amp; HARDWARE STORE</t>
        </is>
      </c>
      <c r="B127" s="29" t="n">
        <v>1.051455270620597</v>
      </c>
      <c r="C127" s="22" t="n">
        <v>0.05145527062059707</v>
      </c>
      <c r="D127" s="26" t="n">
        <v>1115443.98</v>
      </c>
      <c r="E127" s="26" t="n">
        <v>42349</v>
      </c>
      <c r="F127" s="22" t="n">
        <v>-1</v>
      </c>
      <c r="G127" s="22" t="n">
        <v>-1</v>
      </c>
      <c r="H127" s="27" t="n">
        <v>-1</v>
      </c>
      <c r="I127" s="26" t="n">
        <v>1172839.451853016</v>
      </c>
      <c r="J127" s="28" t="n">
        <v>1290123.397038318</v>
      </c>
    </row>
    <row r="128">
      <c r="A128" s="20" t="inlineStr">
        <is>
          <t>SIVANI SALES</t>
        </is>
      </c>
      <c r="B128" s="29" t="n">
        <v>1.097016436506321</v>
      </c>
      <c r="C128" s="22" t="n">
        <v>0.09701643650632065</v>
      </c>
      <c r="D128" s="26" t="n">
        <v>1102827.61</v>
      </c>
      <c r="E128" s="26" t="n">
        <v>7613</v>
      </c>
      <c r="F128" s="22" t="n">
        <v>-1</v>
      </c>
      <c r="G128" s="22" t="n">
        <v>-1</v>
      </c>
      <c r="H128" s="27" t="n">
        <v>-1</v>
      </c>
      <c r="I128" s="26" t="n">
        <v>1209820.014802982</v>
      </c>
      <c r="J128" s="28" t="n">
        <v>1330802.01628328</v>
      </c>
    </row>
    <row r="129">
      <c r="A129" s="20" t="inlineStr">
        <is>
          <t>ADINATH ENTERPRISES(PUNE)</t>
        </is>
      </c>
      <c r="B129" s="29" t="n">
        <v>1.029875063101046</v>
      </c>
      <c r="C129" s="22" t="n">
        <v>0.02987506310104604</v>
      </c>
      <c r="D129" s="26" t="n">
        <v>1082801.28</v>
      </c>
      <c r="E129" s="26" t="n">
        <v>9164</v>
      </c>
      <c r="F129" s="22" t="n">
        <v>-0.1827789490607178</v>
      </c>
      <c r="G129" s="22" t="n">
        <v>-0.5210606721955477</v>
      </c>
      <c r="H129" s="27" t="n">
        <v>-0.2064852522221905</v>
      </c>
      <c r="I129" s="26" t="n">
        <v>1115150.036565894</v>
      </c>
      <c r="J129" s="28" t="n">
        <v>1226665.040222483</v>
      </c>
    </row>
    <row r="130">
      <c r="A130" s="20" t="inlineStr">
        <is>
          <t>AGGARWAL SALES AGENCIES</t>
        </is>
      </c>
      <c r="B130" s="29" t="n">
        <v>1.095914769111332</v>
      </c>
      <c r="C130" s="22" t="n">
        <v>0.09591476911133245</v>
      </c>
      <c r="D130" s="26" t="n">
        <v>1071987.87</v>
      </c>
      <c r="E130" s="26" t="n">
        <v>9144</v>
      </c>
      <c r="F130" s="22" t="n">
        <v>-0.1842674208617679</v>
      </c>
      <c r="G130" s="22" t="n">
        <v>-0.778652668416448</v>
      </c>
      <c r="H130" s="27" t="n">
        <v>-0.255660565830587</v>
      </c>
      <c r="I130" s="26" t="n">
        <v>1174807.339041199</v>
      </c>
      <c r="J130" s="28" t="n">
        <v>1292288.072945319</v>
      </c>
    </row>
    <row r="131">
      <c r="A131" s="20" t="inlineStr">
        <is>
          <t>KARMAKAR ENTERPRISE</t>
        </is>
      </c>
      <c r="B131" s="25" t="n">
        <v>1.145200342085929</v>
      </c>
      <c r="C131" s="22" t="n">
        <v>0.1452003420859291</v>
      </c>
      <c r="D131" s="26" t="n">
        <v>1059866.15</v>
      </c>
      <c r="E131" s="26" t="n">
        <v>200050</v>
      </c>
      <c r="F131" s="22" t="n">
        <v>-0.167137284269339</v>
      </c>
      <c r="G131" s="22" t="n">
        <v>-0.3200749812546864</v>
      </c>
      <c r="H131" s="27" t="n">
        <v>-0.272736232148132</v>
      </c>
      <c r="I131" s="26" t="n">
        <v>1213759.077545297</v>
      </c>
      <c r="J131" s="28" t="n">
        <v>1335134.985299826</v>
      </c>
    </row>
    <row r="132">
      <c r="A132" s="20" t="inlineStr">
        <is>
          <t>PURSHOTAM PROFILES PRIVATE LIMITED</t>
        </is>
      </c>
      <c r="B132" s="29" t="n">
        <v>0.9853498574308716</v>
      </c>
      <c r="C132" s="22" t="n">
        <v>-0.01465014256912844</v>
      </c>
      <c r="D132" s="26" t="n">
        <v>1057808.07</v>
      </c>
      <c r="E132" s="26" t="n">
        <v>10279</v>
      </c>
      <c r="F132" s="22" t="n">
        <v>-0.8826422263917877</v>
      </c>
      <c r="G132" s="22" t="n">
        <v>-0.8302364043194863</v>
      </c>
      <c r="H132" s="27" t="n">
        <v>-0.8808973556720227</v>
      </c>
      <c r="I132" s="26" t="n">
        <v>1042311.030963725</v>
      </c>
      <c r="J132" s="28" t="n">
        <v>1146542.134060098</v>
      </c>
    </row>
    <row r="133">
      <c r="A133" s="20" t="inlineStr">
        <is>
          <t>Terra Realcon Private Limited (Bhiwadi</t>
        </is>
      </c>
      <c r="B133" s="25" t="n">
        <v>1.192547847671635</v>
      </c>
      <c r="C133" s="22" t="n">
        <v>0.1925478476716347</v>
      </c>
      <c r="D133" s="26" t="n">
        <v>1042193.58</v>
      </c>
      <c r="E133" s="26" t="n">
        <v>3943</v>
      </c>
      <c r="F133" s="22" t="n">
        <v>0.3452250876463852</v>
      </c>
      <c r="G133" s="22" t="n">
        <v>0.3963986812072027</v>
      </c>
      <c r="H133" s="22" t="n">
        <v>0.128026091592754</v>
      </c>
      <c r="I133" s="26" t="n">
        <v>1242865.710686196</v>
      </c>
      <c r="J133" s="28" t="n">
        <v>1367152.281754815</v>
      </c>
    </row>
    <row r="134">
      <c r="A134" s="20" t="inlineStr">
        <is>
          <t>AJIT TRADING CO.</t>
        </is>
      </c>
      <c r="B134" s="25" t="n">
        <v>1.118296979374018</v>
      </c>
      <c r="C134" s="22" t="n">
        <v>0.1182969793740181</v>
      </c>
      <c r="D134" s="26" t="n">
        <v>1037747.84</v>
      </c>
      <c r="E134" s="26" t="n">
        <v>85171</v>
      </c>
      <c r="F134" s="22" t="n">
        <v>0.09465609680286115</v>
      </c>
      <c r="G134" s="22" t="n">
        <v>0.0615702527855726</v>
      </c>
      <c r="H134" s="27" t="n">
        <v>-0.02114007549621588</v>
      </c>
      <c r="I134" s="26" t="n">
        <v>1160510.274823912</v>
      </c>
      <c r="J134" s="28" t="n">
        <v>1276561.302306303</v>
      </c>
    </row>
    <row r="135">
      <c r="A135" s="20" t="inlineStr">
        <is>
          <t>DREAMWALL COLOURS</t>
        </is>
      </c>
      <c r="B135" s="29" t="n">
        <v>1.074253294665644</v>
      </c>
      <c r="C135" s="22" t="n">
        <v>0.07425329466564401</v>
      </c>
      <c r="D135" s="26" t="n">
        <v>1029899.58</v>
      </c>
      <c r="E135" s="26" t="n">
        <v>13341</v>
      </c>
      <c r="F135" s="22" t="n">
        <v>-0.2972878773287778</v>
      </c>
      <c r="G135" s="22" t="n">
        <v>0.01356719886065516</v>
      </c>
      <c r="H135" s="27" t="n">
        <v>-0.3458599325125292</v>
      </c>
      <c r="I135" s="26" t="n">
        <v>1106373.016989763</v>
      </c>
      <c r="J135" s="28" t="n">
        <v>1217010.318688739</v>
      </c>
    </row>
    <row r="136">
      <c r="A136" s="20" t="inlineStr">
        <is>
          <t>LIBERTY AGENCIES</t>
        </is>
      </c>
      <c r="B136" s="25" t="n">
        <v>1.111835320185556</v>
      </c>
      <c r="C136" s="22" t="n">
        <v>0.111835320185556</v>
      </c>
      <c r="D136" s="26" t="n">
        <v>1026969.81</v>
      </c>
      <c r="E136" s="26" t="n">
        <v>6837</v>
      </c>
      <c r="F136" s="22" t="n">
        <v>-0.3056748182305379</v>
      </c>
      <c r="G136" s="22" t="n">
        <v>-0.4243089074155332</v>
      </c>
      <c r="H136" s="27" t="n">
        <v>-0.3755143687523931</v>
      </c>
      <c r="I136" s="26" t="n">
        <v>1141821.30752225</v>
      </c>
      <c r="J136" s="28" t="n">
        <v>1256003.438274475</v>
      </c>
    </row>
    <row r="137">
      <c r="A137" s="20" t="inlineStr">
        <is>
          <t>MAHAMAYA ENTERPRISES (KARNATAKA)</t>
        </is>
      </c>
      <c r="B137" s="29" t="n">
        <v>1.087077174062691</v>
      </c>
      <c r="C137" s="22" t="n">
        <v>0.08707717406269054</v>
      </c>
      <c r="D137" s="26" t="n">
        <v>1019796.51</v>
      </c>
      <c r="E137" s="26" t="n">
        <v>18218</v>
      </c>
      <c r="F137" s="22" t="n">
        <v>0.4822751746816627</v>
      </c>
      <c r="G137" s="22" t="n">
        <v>-0.3061807004061917</v>
      </c>
      <c r="H137" s="22" t="n">
        <v>0.3635418073787846</v>
      </c>
      <c r="I137" s="26" t="n">
        <v>1108597.508209794</v>
      </c>
      <c r="J137" s="28" t="n">
        <v>1219457.259030774</v>
      </c>
    </row>
    <row r="138">
      <c r="A138" s="20" t="inlineStr">
        <is>
          <t>SHIV SALES</t>
        </is>
      </c>
      <c r="B138" s="29" t="n">
        <v>1.034079893118874</v>
      </c>
      <c r="C138" s="22" t="n">
        <v>0.03407989311887394</v>
      </c>
      <c r="D138" s="26" t="n">
        <v>1019311.25</v>
      </c>
      <c r="E138" s="26" t="n">
        <v>488</v>
      </c>
      <c r="F138" s="22" t="n">
        <v>-1</v>
      </c>
      <c r="G138" s="22" t="n">
        <v>-1</v>
      </c>
      <c r="H138" s="27" t="n">
        <v>-1</v>
      </c>
      <c r="I138" s="26" t="n">
        <v>1054049.268454866</v>
      </c>
      <c r="J138" s="28" t="n">
        <v>1159454.195300353</v>
      </c>
    </row>
    <row r="139">
      <c r="A139" s="20" t="inlineStr">
        <is>
          <t>THE COLOURS BY NB</t>
        </is>
      </c>
      <c r="B139" s="29" t="n">
        <v>1.05418049193544</v>
      </c>
      <c r="C139" s="22" t="n">
        <v>0.05418049193543961</v>
      </c>
      <c r="D139" s="26" t="n">
        <v>1010871.24</v>
      </c>
      <c r="E139" s="26" t="n">
        <v>22560</v>
      </c>
      <c r="F139" s="22" t="n">
        <v>-1</v>
      </c>
      <c r="G139" s="22" t="n">
        <v>-1</v>
      </c>
      <c r="H139" s="27" t="n">
        <v>-1</v>
      </c>
      <c r="I139" s="26" t="n">
        <v>1065640.741066588</v>
      </c>
      <c r="J139" s="28" t="n">
        <v>1172204.815173247</v>
      </c>
    </row>
    <row r="140">
      <c r="A140" s="20" t="inlineStr">
        <is>
          <t>POOJA TRADING CO.</t>
        </is>
      </c>
      <c r="B140" s="29" t="n">
        <v>1.089205920613157</v>
      </c>
      <c r="C140" s="22" t="n">
        <v>0.08920592061315681</v>
      </c>
      <c r="D140" s="26" t="n">
        <v>970985.4700000002</v>
      </c>
      <c r="E140" s="26" t="n">
        <v>945</v>
      </c>
      <c r="F140" s="22" t="n">
        <v>0.2485482712733071</v>
      </c>
      <c r="G140" s="22" t="n">
        <v>1.369312169312169</v>
      </c>
      <c r="H140" s="22" t="n">
        <v>0.1462922186196438</v>
      </c>
      <c r="I140" s="26" t="n">
        <v>1057603.122753349</v>
      </c>
      <c r="J140" s="28" t="n">
        <v>1163363.435028684</v>
      </c>
    </row>
    <row r="141">
      <c r="A141" s="20" t="inlineStr">
        <is>
          <t>OM TRADERS</t>
        </is>
      </c>
      <c r="B141" s="25" t="n">
        <v>1.277068763355673</v>
      </c>
      <c r="C141" s="22" t="n">
        <v>0.2770687633556732</v>
      </c>
      <c r="D141" s="26" t="n">
        <v>953150.66</v>
      </c>
      <c r="E141" s="26" t="n">
        <v>1162</v>
      </c>
      <c r="F141" s="22" t="n">
        <v>-0.8792373495287723</v>
      </c>
      <c r="G141" s="22" t="n">
        <v>-0.8743545611015491</v>
      </c>
      <c r="H141" s="27" t="n">
        <v>-0.9054376287820969</v>
      </c>
      <c r="I141" s="26" t="n">
        <v>1217238.934657844</v>
      </c>
      <c r="J141" s="28" t="n">
        <v>1338962.828123628</v>
      </c>
    </row>
    <row r="142">
      <c r="A142" s="20" t="inlineStr">
        <is>
          <t>VISHAL ENTERPRISES</t>
        </is>
      </c>
      <c r="B142" s="29" t="n">
        <v>1.042452346985644</v>
      </c>
      <c r="C142" s="22" t="n">
        <v>0.04245234698564437</v>
      </c>
      <c r="D142" s="26" t="n">
        <v>924572.89</v>
      </c>
      <c r="E142" s="26" t="n">
        <v>15644</v>
      </c>
      <c r="F142" s="22" t="n">
        <v>-1</v>
      </c>
      <c r="G142" s="22" t="n">
        <v>-1</v>
      </c>
      <c r="H142" s="27" t="n">
        <v>-1</v>
      </c>
      <c r="I142" s="26" t="n">
        <v>963823.1791398</v>
      </c>
      <c r="J142" s="28" t="n">
        <v>1060205.49705378</v>
      </c>
    </row>
    <row r="143">
      <c r="A143" s="20" t="inlineStr">
        <is>
          <t>FRIENDS ELECTRICALS AND PLUMBING</t>
        </is>
      </c>
      <c r="B143" s="25" t="n">
        <v>1.11363646557726</v>
      </c>
      <c r="C143" s="22" t="n">
        <v>0.1136364655772599</v>
      </c>
      <c r="D143" s="26" t="n">
        <v>917027.4</v>
      </c>
      <c r="E143" s="26" t="n">
        <v>5807</v>
      </c>
      <c r="F143" s="22" t="n">
        <v>-0.6461654253733313</v>
      </c>
      <c r="G143" s="22" t="n">
        <v>-0.5529533321852936</v>
      </c>
      <c r="H143" s="27" t="n">
        <v>-0.682271023297305</v>
      </c>
      <c r="I143" s="26" t="n">
        <v>1021235.152573504</v>
      </c>
      <c r="J143" s="28" t="n">
        <v>1123358.667830855</v>
      </c>
    </row>
    <row r="144">
      <c r="A144" s="20" t="inlineStr">
        <is>
          <t>CHANDRA SANITARY</t>
        </is>
      </c>
      <c r="B144" s="29" t="n">
        <v>1.099359655287519</v>
      </c>
      <c r="C144" s="22" t="n">
        <v>0.09935965528751911</v>
      </c>
      <c r="D144" s="26" t="n">
        <v>913510</v>
      </c>
      <c r="E144" s="26" t="n">
        <v>25537</v>
      </c>
      <c r="F144" s="22" t="n">
        <v>-0.9882124990421562</v>
      </c>
      <c r="G144" s="22" t="n">
        <v>-0.9994909347221679</v>
      </c>
      <c r="H144" s="27" t="n">
        <v>-0.9892778483354828</v>
      </c>
      <c r="I144" s="26" t="n">
        <v>1004276.038701702</v>
      </c>
      <c r="J144" s="28" t="n">
        <v>1104703.642571872</v>
      </c>
    </row>
    <row r="145">
      <c r="A145" s="20" t="inlineStr">
        <is>
          <t>THE ALLAHABAD HARDWARE TRADING .CO.</t>
        </is>
      </c>
      <c r="B145" s="25" t="n">
        <v>1.117190664162048</v>
      </c>
      <c r="C145" s="22" t="n">
        <v>0.1171906641620484</v>
      </c>
      <c r="D145" s="26" t="n">
        <v>910983.1100000001</v>
      </c>
      <c r="E145" s="26" t="n">
        <v>29901</v>
      </c>
      <c r="F145" s="22" t="n">
        <v>-0.5739108708612611</v>
      </c>
      <c r="G145" s="22" t="n">
        <v>-0.9092338048894686</v>
      </c>
      <c r="H145" s="27" t="n">
        <v>-0.6186066149609941</v>
      </c>
      <c r="I145" s="26" t="n">
        <v>1017741.825701308</v>
      </c>
      <c r="J145" s="28" t="n">
        <v>1119516.008271439</v>
      </c>
    </row>
    <row r="146">
      <c r="A146" s="20" t="inlineStr">
        <is>
          <t>G.S. TRADERS (SRINAGAR)</t>
        </is>
      </c>
      <c r="B146" s="25" t="n">
        <v>1.133196269971853</v>
      </c>
      <c r="C146" s="22" t="n">
        <v>0.1331962699718525</v>
      </c>
      <c r="D146" s="26" t="n">
        <v>896170.2099999998</v>
      </c>
      <c r="E146" s="26" t="n">
        <v>14049</v>
      </c>
      <c r="F146" s="22" t="n">
        <v>0.1566273777388787</v>
      </c>
      <c r="G146" s="22" t="n">
        <v>-0.7164922770303935</v>
      </c>
      <c r="H146" s="22" t="n">
        <v>0.02067700749456947</v>
      </c>
      <c r="I146" s="26" t="n">
        <v>1015536.739231892</v>
      </c>
      <c r="J146" s="28" t="n">
        <v>1117090.413155081</v>
      </c>
    </row>
    <row r="147">
      <c r="A147" s="20" t="inlineStr">
        <is>
          <t>EXPO INCORPORATION</t>
        </is>
      </c>
      <c r="B147" s="29" t="n">
        <v>0.9915856271783089</v>
      </c>
      <c r="C147" s="22" t="n">
        <v>-0.008414372821691107</v>
      </c>
      <c r="D147" s="26" t="n">
        <v>885327.8400000001</v>
      </c>
      <c r="E147" s="26" t="n">
        <v>4745</v>
      </c>
      <c r="F147" s="22" t="n">
        <v>0.0224205645673583</v>
      </c>
      <c r="G147" s="22" t="n">
        <v>-0.3877766069546892</v>
      </c>
      <c r="H147" s="22" t="n">
        <v>0.03109659573908341</v>
      </c>
      <c r="I147" s="26" t="n">
        <v>877878.3614848176</v>
      </c>
      <c r="J147" s="28" t="n">
        <v>965666.1976332994</v>
      </c>
    </row>
    <row r="148">
      <c r="A148" s="20" t="inlineStr">
        <is>
          <t>ZUM ZUM TRADERS</t>
        </is>
      </c>
      <c r="B148" s="25" t="n">
        <v>1.128420392739278</v>
      </c>
      <c r="C148" s="22" t="n">
        <v>0.1284203927392775</v>
      </c>
      <c r="D148" s="26" t="n">
        <v>867628.51</v>
      </c>
      <c r="E148" s="26" t="n">
        <v>1081</v>
      </c>
      <c r="F148" s="22" t="n">
        <v>-1</v>
      </c>
      <c r="G148" s="22" t="n">
        <v>-1</v>
      </c>
      <c r="H148" s="27" t="n">
        <v>-1</v>
      </c>
      <c r="I148" s="26" t="n">
        <v>979049.7040059941</v>
      </c>
      <c r="J148" s="28" t="n">
        <v>1076954.674406594</v>
      </c>
    </row>
    <row r="149">
      <c r="A149" s="20" t="inlineStr">
        <is>
          <t>DURGA MACHINERY STORES</t>
        </is>
      </c>
      <c r="B149" s="25" t="n">
        <v>1.101435301588288</v>
      </c>
      <c r="C149" s="22" t="n">
        <v>0.1014353015882881</v>
      </c>
      <c r="D149" s="26" t="n">
        <v>865235.8300000001</v>
      </c>
      <c r="E149" s="26" t="n">
        <v>100456</v>
      </c>
      <c r="F149" s="22" t="n">
        <v>-1</v>
      </c>
      <c r="G149" s="22" t="n">
        <v>-1</v>
      </c>
      <c r="H149" s="27" t="n">
        <v>-1</v>
      </c>
      <c r="I149" s="26" t="n">
        <v>953001.2873610428</v>
      </c>
      <c r="J149" s="28" t="n">
        <v>1048301.416097147</v>
      </c>
    </row>
    <row r="150">
      <c r="A150" s="20" t="inlineStr">
        <is>
          <t>GUPTA TRADERS</t>
        </is>
      </c>
      <c r="B150" s="25" t="n">
        <v>1.131219410717419</v>
      </c>
      <c r="C150" s="22" t="n">
        <v>0.1312194107174189</v>
      </c>
      <c r="D150" s="26" t="n">
        <v>810806.22</v>
      </c>
      <c r="E150" s="26" t="n">
        <v>5250</v>
      </c>
      <c r="F150" s="22" t="n">
        <v>-0.6854316189138262</v>
      </c>
      <c r="G150" s="22" t="n">
        <v>-0.9274285714285715</v>
      </c>
      <c r="H150" s="27" t="n">
        <v>-0.7219209835811828</v>
      </c>
      <c r="I150" s="26" t="n">
        <v>917199.734394418</v>
      </c>
      <c r="J150" s="28" t="n">
        <v>1008919.70783386</v>
      </c>
    </row>
    <row r="151">
      <c r="A151" s="20" t="inlineStr">
        <is>
          <t>SHABIR &amp; SONS</t>
        </is>
      </c>
      <c r="B151" s="25" t="n">
        <v>1.143126069214688</v>
      </c>
      <c r="C151" s="22" t="n">
        <v>0.1431260692146883</v>
      </c>
      <c r="D151" s="26" t="n">
        <v>799238.9800000001</v>
      </c>
      <c r="E151" s="26" t="n">
        <v>4272</v>
      </c>
      <c r="F151" s="22" t="n">
        <v>-0.2532271136225114</v>
      </c>
      <c r="G151" s="22" t="n">
        <v>-0.8096910112359549</v>
      </c>
      <c r="H151" s="27" t="n">
        <v>-0.3467274463519922</v>
      </c>
      <c r="I151" s="26" t="n">
        <v>913630.913570557</v>
      </c>
      <c r="J151" s="28" t="n">
        <v>1004994.004927613</v>
      </c>
    </row>
    <row r="152">
      <c r="A152" s="20" t="inlineStr">
        <is>
          <t>KASHMIR SANITARY AND CEMENT</t>
        </is>
      </c>
      <c r="B152" s="25" t="n">
        <v>1.131732952499273</v>
      </c>
      <c r="C152" s="22" t="n">
        <v>0.1317329524992734</v>
      </c>
      <c r="D152" s="26" t="n">
        <v>798314.8600000003</v>
      </c>
      <c r="E152" s="26" t="n">
        <v>7520</v>
      </c>
      <c r="F152" s="22" t="n">
        <v>-1</v>
      </c>
      <c r="G152" s="22" t="n">
        <v>-1</v>
      </c>
      <c r="H152" s="27" t="n">
        <v>-1</v>
      </c>
      <c r="I152" s="26" t="n">
        <v>903479.2335318445</v>
      </c>
      <c r="J152" s="28" t="n">
        <v>993827.1568850289</v>
      </c>
    </row>
    <row r="153">
      <c r="A153" s="20" t="inlineStr">
        <is>
          <t>SUPREME SYNDICATE</t>
        </is>
      </c>
      <c r="B153" s="25" t="n">
        <v>1.124402839125787</v>
      </c>
      <c r="C153" s="22" t="n">
        <v>0.1244028391257872</v>
      </c>
      <c r="D153" s="26" t="n">
        <v>791607.4</v>
      </c>
      <c r="E153" s="26" t="n">
        <v>5900</v>
      </c>
      <c r="F153" s="22" t="n">
        <v>0.5890920170781626</v>
      </c>
      <c r="G153" s="22" t="n">
        <v>15.02508474576271</v>
      </c>
      <c r="H153" s="22" t="n">
        <v>0.4132764181862676</v>
      </c>
      <c r="I153" s="26" t="n">
        <v>890085.6080329827</v>
      </c>
      <c r="J153" s="28" t="n">
        <v>979094.1688362811</v>
      </c>
    </row>
    <row r="154">
      <c r="A154" s="20" t="inlineStr">
        <is>
          <t>SUVIDHA TRADERS (SIWAN)</t>
        </is>
      </c>
      <c r="B154" s="25" t="n">
        <v>1.188556736507149</v>
      </c>
      <c r="C154" s="22" t="n">
        <v>0.1885567365071492</v>
      </c>
      <c r="D154" s="26" t="n">
        <v>788330.8699999999</v>
      </c>
      <c r="E154" s="26" t="n">
        <v>2949</v>
      </c>
      <c r="F154" s="22" t="n">
        <v>-0.5254840014066682</v>
      </c>
      <c r="G154" s="22" t="n">
        <v>4.357409291285181</v>
      </c>
      <c r="H154" s="27" t="n">
        <v>-0.6007628546300553</v>
      </c>
      <c r="I154" s="26" t="n">
        <v>936975.9661350416</v>
      </c>
      <c r="J154" s="28" t="n">
        <v>1030673.562748546</v>
      </c>
    </row>
    <row r="155">
      <c r="A155" s="20" t="inlineStr">
        <is>
          <t>PRAKASH AGENCIES</t>
        </is>
      </c>
      <c r="B155" s="25" t="n">
        <v>1.144682461080251</v>
      </c>
      <c r="C155" s="22" t="n">
        <v>0.1446824610802508</v>
      </c>
      <c r="D155" s="26" t="n">
        <v>774533.89</v>
      </c>
      <c r="E155" s="26" t="n">
        <v>2033</v>
      </c>
      <c r="F155" s="22" t="n">
        <v>-0.1064109538189478</v>
      </c>
      <c r="G155" s="22" t="n">
        <v>-0.1628135759960649</v>
      </c>
      <c r="H155" s="27" t="n">
        <v>-0.219356392219235</v>
      </c>
      <c r="I155" s="26" t="n">
        <v>886595.3593952603</v>
      </c>
      <c r="J155" s="28" t="n">
        <v>975254.8953347865</v>
      </c>
    </row>
    <row r="156">
      <c r="A156" s="20" t="inlineStr">
        <is>
          <t>RAGHUNATH JI</t>
        </is>
      </c>
      <c r="B156" s="25" t="n">
        <v>1.172764311660433</v>
      </c>
      <c r="C156" s="22" t="n">
        <v>0.1727643116604334</v>
      </c>
      <c r="D156" s="26" t="n">
        <v>751062.14</v>
      </c>
      <c r="E156" s="26" t="n">
        <v>32415</v>
      </c>
      <c r="F156" s="22" t="n">
        <v>-0.3809620066856253</v>
      </c>
      <c r="G156" s="22" t="n">
        <v>-0.1332099336726824</v>
      </c>
      <c r="H156" s="27" t="n">
        <v>-0.4721548164797726</v>
      </c>
      <c r="I156" s="26" t="n">
        <v>880818.873631312</v>
      </c>
      <c r="J156" s="28" t="n">
        <v>968900.7609944433</v>
      </c>
    </row>
    <row r="157">
      <c r="A157" s="20" t="inlineStr">
        <is>
          <t>SHREE DURGA TRADERS</t>
        </is>
      </c>
      <c r="B157" s="25" t="n">
        <v>1.236046202995341</v>
      </c>
      <c r="C157" s="22" t="n">
        <v>0.2360462029953414</v>
      </c>
      <c r="D157" s="26" t="n">
        <v>750208.04</v>
      </c>
      <c r="E157" s="26" t="n">
        <v>187820</v>
      </c>
      <c r="F157" s="22" t="n">
        <v>-1</v>
      </c>
      <c r="G157" s="22" t="n">
        <v>-1</v>
      </c>
      <c r="H157" s="27" t="n">
        <v>-1</v>
      </c>
      <c r="I157" s="26" t="n">
        <v>927291.7992985772</v>
      </c>
      <c r="J157" s="28" t="n">
        <v>1020020.979228435</v>
      </c>
    </row>
    <row r="158">
      <c r="A158" s="20" t="inlineStr">
        <is>
          <t>STRUCTOS</t>
        </is>
      </c>
      <c r="B158" s="29" t="n">
        <v>1.075224795238922</v>
      </c>
      <c r="C158" s="22" t="n">
        <v>0.07522479523892156</v>
      </c>
      <c r="D158" s="26" t="n">
        <v>742892.6099999999</v>
      </c>
      <c r="E158" s="26" t="n">
        <v>1822</v>
      </c>
      <c r="F158" s="22" t="n">
        <v>-0.2722447461147849</v>
      </c>
      <c r="G158" s="22" t="n">
        <v>1.621295279912184</v>
      </c>
      <c r="H158" s="27" t="n">
        <v>-0.3231599037636559</v>
      </c>
      <c r="I158" s="26" t="n">
        <v>798776.5544717578</v>
      </c>
      <c r="J158" s="28" t="n">
        <v>878654.2099189337</v>
      </c>
    </row>
    <row r="159">
      <c r="A159" s="20" t="inlineStr">
        <is>
          <t>Vidhya Sales</t>
        </is>
      </c>
      <c r="B159" s="25" t="n">
        <v>1.163205931213413</v>
      </c>
      <c r="C159" s="22" t="n">
        <v>0.1632059312134126</v>
      </c>
      <c r="D159" s="26" t="n">
        <v>740632.1899999999</v>
      </c>
      <c r="E159" s="26" t="n">
        <v>25551</v>
      </c>
      <c r="F159" s="22" t="n">
        <v>2.41641430680997</v>
      </c>
      <c r="G159" s="22" t="n">
        <v>0.0587452545888616</v>
      </c>
      <c r="H159" s="22" t="n">
        <v>1.937067474583882</v>
      </c>
      <c r="I159" s="26" t="n">
        <v>861507.7562555791</v>
      </c>
      <c r="J159" s="28" t="n">
        <v>947658.5318811371</v>
      </c>
    </row>
    <row r="160">
      <c r="A160" s="20" t="inlineStr">
        <is>
          <t>HARSH ENTERPRISE</t>
        </is>
      </c>
      <c r="B160" s="29" t="n">
        <v>1.033265146427104</v>
      </c>
      <c r="C160" s="22" t="n">
        <v>0.0332651464271041</v>
      </c>
      <c r="D160" s="26" t="n">
        <v>704004.45</v>
      </c>
      <c r="E160" s="26" t="n">
        <v>30791</v>
      </c>
      <c r="F160" s="22" t="n">
        <v>-0.007473887416478586</v>
      </c>
      <c r="G160" s="22" t="n">
        <v>-0.4552953785196974</v>
      </c>
      <c r="H160" s="27" t="n">
        <v>-0.03942747317516027</v>
      </c>
      <c r="I160" s="26" t="n">
        <v>727423.2611145829</v>
      </c>
      <c r="J160" s="28" t="n">
        <v>800165.5872260412</v>
      </c>
    </row>
    <row r="161">
      <c r="A161" s="20" t="inlineStr">
        <is>
          <t>CENTURY HARDWARES</t>
        </is>
      </c>
      <c r="B161" s="29" t="n">
        <v>1.045621497059436</v>
      </c>
      <c r="C161" s="22" t="n">
        <v>0.04562149705943552</v>
      </c>
      <c r="D161" s="26" t="n">
        <v>701766.2899999999</v>
      </c>
      <c r="E161" s="26" t="n">
        <v>17379</v>
      </c>
      <c r="F161" s="22" t="n">
        <v>-1</v>
      </c>
      <c r="G161" s="22" t="n">
        <v>-1</v>
      </c>
      <c r="H161" s="27" t="n">
        <v>-1</v>
      </c>
      <c r="I161" s="26" t="n">
        <v>733781.9187356459</v>
      </c>
      <c r="J161" s="28" t="n">
        <v>807160.1106092106</v>
      </c>
    </row>
    <row r="162">
      <c r="A162" s="20" t="inlineStr">
        <is>
          <t>DHRUV ENTERPRISES</t>
        </is>
      </c>
      <c r="B162" s="25" t="n">
        <v>1.227034202005161</v>
      </c>
      <c r="C162" s="22" t="n">
        <v>0.2270342020051612</v>
      </c>
      <c r="D162" s="26" t="n">
        <v>661681.29</v>
      </c>
      <c r="E162" s="26" t="n">
        <v>89178</v>
      </c>
      <c r="F162" s="22" t="n">
        <v>-0.1945641836117203</v>
      </c>
      <c r="G162" s="22" t="n">
        <v>-0.3244297921011908</v>
      </c>
      <c r="H162" s="27" t="n">
        <v>-0.3435913888365341</v>
      </c>
      <c r="I162" s="26" t="n">
        <v>811905.5736568957</v>
      </c>
      <c r="J162" s="28" t="n">
        <v>893096.1310225853</v>
      </c>
    </row>
    <row r="163">
      <c r="A163" s="20" t="inlineStr">
        <is>
          <t>DAKSHITA SANITARY AND HARDWARE</t>
        </is>
      </c>
      <c r="B163" s="29" t="n">
        <v>1.007531822027967</v>
      </c>
      <c r="C163" s="22" t="n">
        <v>0.007531822027967205</v>
      </c>
      <c r="D163" s="26" t="n">
        <v>658969.9299999999</v>
      </c>
      <c r="E163" s="26" t="n">
        <v>9007</v>
      </c>
      <c r="F163" s="22" t="n">
        <v>-1</v>
      </c>
      <c r="G163" s="22" t="n">
        <v>-1</v>
      </c>
      <c r="H163" s="27" t="n">
        <v>-1</v>
      </c>
      <c r="I163" s="26" t="n">
        <v>663933.1742345419</v>
      </c>
      <c r="J163" s="28" t="n">
        <v>730326.4916579962</v>
      </c>
    </row>
    <row r="164">
      <c r="A164" s="20" t="inlineStr">
        <is>
          <t>SHARDA DISTRIBUTORES</t>
        </is>
      </c>
      <c r="B164" s="25" t="n">
        <v>1.130161662147924</v>
      </c>
      <c r="C164" s="22" t="n">
        <v>0.1301616621479238</v>
      </c>
      <c r="D164" s="26" t="n">
        <v>652561.8699999999</v>
      </c>
      <c r="E164" s="26" t="n">
        <v>2338</v>
      </c>
      <c r="F164" s="22" t="n">
        <v>-1</v>
      </c>
      <c r="G164" s="22" t="n">
        <v>-1</v>
      </c>
      <c r="H164" s="27" t="n">
        <v>-1</v>
      </c>
      <c r="I164" s="26" t="n">
        <v>737500.4076535573</v>
      </c>
      <c r="J164" s="28" t="n">
        <v>811250.4484189131</v>
      </c>
    </row>
    <row r="165">
      <c r="A165" s="20" t="inlineStr">
        <is>
          <t>SHIVANJALI SALES CORPORATION</t>
        </is>
      </c>
      <c r="B165" s="25" t="n">
        <v>1.221887995336239</v>
      </c>
      <c r="C165" s="22" t="n">
        <v>0.2218879953362392</v>
      </c>
      <c r="D165" s="26" t="n">
        <v>651013</v>
      </c>
      <c r="E165" s="26" t="n">
        <v>1175</v>
      </c>
      <c r="F165" s="22" t="n">
        <v>1.761044894648802</v>
      </c>
      <c r="G165" s="22" t="n">
        <v>0.5574468085106383</v>
      </c>
      <c r="H165" s="22" t="n">
        <v>1.259654653443925</v>
      </c>
      <c r="I165" s="26" t="n">
        <v>795464.969507831</v>
      </c>
      <c r="J165" s="28" t="n">
        <v>875011.4664586142</v>
      </c>
    </row>
    <row r="166">
      <c r="A166" s="20" t="inlineStr">
        <is>
          <t>GAURSONS REALTECH PVT LTD</t>
        </is>
      </c>
      <c r="B166" s="25" t="n">
        <v>1.333539572824215</v>
      </c>
      <c r="C166" s="22" t="n">
        <v>0.3335395728242152</v>
      </c>
      <c r="D166" s="26" t="n">
        <v>644521.79</v>
      </c>
      <c r="E166" s="26" t="n">
        <v>404</v>
      </c>
      <c r="F166" s="22" t="n">
        <v>-1</v>
      </c>
      <c r="G166" s="22" t="n">
        <v>-1</v>
      </c>
      <c r="H166" s="27" t="n">
        <v>-1</v>
      </c>
      <c r="I166" s="26" t="n">
        <v>859495.3125124986</v>
      </c>
      <c r="J166" s="28" t="n">
        <v>945444.8437637485</v>
      </c>
    </row>
    <row r="167">
      <c r="A167" s="20" t="inlineStr">
        <is>
          <t>SHRI BALAJI SANITARY AND PIPE STORE</t>
        </is>
      </c>
      <c r="B167" s="25" t="n">
        <v>1.212300720414876</v>
      </c>
      <c r="C167" s="22" t="n">
        <v>0.2123007204148759</v>
      </c>
      <c r="D167" s="26" t="n">
        <v>642908.77</v>
      </c>
      <c r="E167" s="26" t="n">
        <v>142000</v>
      </c>
      <c r="F167" s="22" t="n">
        <v>1.365838748785461</v>
      </c>
      <c r="G167" s="22" t="n">
        <v>-0.6068591549295774</v>
      </c>
      <c r="H167" s="22" t="n">
        <v>0.9515279574987132</v>
      </c>
      <c r="I167" s="26" t="n">
        <v>779398.7650320418</v>
      </c>
      <c r="J167" s="28" t="n">
        <v>857338.641535246</v>
      </c>
    </row>
    <row r="168">
      <c r="A168" s="20" t="inlineStr">
        <is>
          <t>SHRI GANESH PIPE</t>
        </is>
      </c>
      <c r="B168" s="25" t="n">
        <v>1.179188971082729</v>
      </c>
      <c r="C168" s="22" t="n">
        <v>0.1791889710827295</v>
      </c>
      <c r="D168" s="26" t="n">
        <v>639892.4299999999</v>
      </c>
      <c r="E168" s="26" t="n">
        <v>94784</v>
      </c>
      <c r="F168" s="22" t="n">
        <v>1.10223041707182</v>
      </c>
      <c r="G168" s="22" t="n">
        <v>-0.6874155975692101</v>
      </c>
      <c r="H168" s="22" t="n">
        <v>0.7827765257518946</v>
      </c>
      <c r="I168" s="26" t="n">
        <v>754554.0961353274</v>
      </c>
      <c r="J168" s="28" t="n">
        <v>830009.5057488602</v>
      </c>
    </row>
    <row r="169">
      <c r="A169" s="20" t="inlineStr">
        <is>
          <t>GOPAL PIPE CORPORATION</t>
        </is>
      </c>
      <c r="B169" s="25" t="n">
        <v>1.111943346714769</v>
      </c>
      <c r="C169" s="22" t="n">
        <v>0.1119433467147695</v>
      </c>
      <c r="D169" s="26" t="n">
        <v>639042.84</v>
      </c>
      <c r="E169" s="26" t="n">
        <v>4692</v>
      </c>
      <c r="F169" s="22" t="n">
        <v>-0.4490275487633974</v>
      </c>
      <c r="G169" s="22" t="n">
        <v>-0.2853793691389599</v>
      </c>
      <c r="H169" s="27" t="n">
        <v>-0.5044959324011897</v>
      </c>
      <c r="I169" s="26" t="n">
        <v>710579.4342037109</v>
      </c>
      <c r="J169" s="28" t="n">
        <v>781637.377624082</v>
      </c>
    </row>
    <row r="170">
      <c r="A170" s="20" t="inlineStr">
        <is>
          <t>SANTRA ENTERPRISE</t>
        </is>
      </c>
      <c r="B170" s="25" t="n">
        <v>1.147117327851577</v>
      </c>
      <c r="C170" s="22" t="n">
        <v>0.1471173278515767</v>
      </c>
      <c r="D170" s="26" t="n">
        <v>637407.7000000001</v>
      </c>
      <c r="E170" s="26" t="n">
        <v>68085</v>
      </c>
      <c r="F170" s="22" t="n">
        <v>-0.8254868901018924</v>
      </c>
      <c r="G170" s="22" t="n">
        <v>-0.6563119629874421</v>
      </c>
      <c r="H170" s="27" t="n">
        <v>-0.8478681250287177</v>
      </c>
      <c r="I170" s="26" t="n">
        <v>731181.4175760195</v>
      </c>
      <c r="J170" s="28" t="n">
        <v>804299.5593336215</v>
      </c>
    </row>
    <row r="171">
      <c r="A171" s="20" t="inlineStr">
        <is>
          <t>ARADHANA ENTERPRISES (JAUNPUR)</t>
        </is>
      </c>
      <c r="B171" s="25" t="n">
        <v>1.10500780089993</v>
      </c>
      <c r="C171" s="22" t="n">
        <v>0.10500780089993</v>
      </c>
      <c r="D171" s="26" t="n">
        <v>629129.25</v>
      </c>
      <c r="E171" s="26" t="n">
        <v>3610</v>
      </c>
      <c r="F171" s="22" t="n">
        <v>-0.0651730149249935</v>
      </c>
      <c r="G171" s="22" t="n">
        <v>-0.1049861495844875</v>
      </c>
      <c r="H171" s="27" t="n">
        <v>-0.1540087008311855</v>
      </c>
      <c r="I171" s="26" t="n">
        <v>695192.7290243222</v>
      </c>
      <c r="J171" s="28" t="n">
        <v>764712.0019267545</v>
      </c>
    </row>
    <row r="172">
      <c r="A172" s="20" t="inlineStr">
        <is>
          <t>SUMIT PAINT AND HARDWARE</t>
        </is>
      </c>
      <c r="B172" s="29" t="n">
        <v>1.051662611036102</v>
      </c>
      <c r="C172" s="22" t="n">
        <v>0.05166261103610226</v>
      </c>
      <c r="D172" s="26" t="n">
        <v>628992.64</v>
      </c>
      <c r="E172" s="26" t="n">
        <v>3843</v>
      </c>
      <c r="F172" s="22" t="n">
        <v>-0.3169131676962071</v>
      </c>
      <c r="G172" s="22" t="n">
        <v>-0.3944834764506895</v>
      </c>
      <c r="H172" s="27" t="n">
        <v>-0.3504696039057498</v>
      </c>
      <c r="I172" s="26" t="n">
        <v>661488.0421048912</v>
      </c>
      <c r="J172" s="28" t="n">
        <v>727636.8463153803</v>
      </c>
    </row>
    <row r="173">
      <c r="A173" s="20" t="inlineStr">
        <is>
          <t>DEEPAK TRADING COMPANY</t>
        </is>
      </c>
      <c r="B173" s="25" t="n">
        <v>1.127147277608699</v>
      </c>
      <c r="C173" s="22" t="n">
        <v>0.127147277608699</v>
      </c>
      <c r="D173" s="26" t="n">
        <v>616210.0800000001</v>
      </c>
      <c r="E173" s="26" t="n">
        <v>5640</v>
      </c>
      <c r="F173" s="22" t="n">
        <v>-1</v>
      </c>
      <c r="G173" s="22" t="n">
        <v>-1</v>
      </c>
      <c r="H173" s="27" t="n">
        <v>-1</v>
      </c>
      <c r="I173" s="26" t="n">
        <v>694559.5141070387</v>
      </c>
      <c r="J173" s="28" t="n">
        <v>764015.4655177427</v>
      </c>
    </row>
    <row r="174">
      <c r="A174" s="20" t="inlineStr">
        <is>
          <t>HEMANG SALES AGENCY(VADODARA)</t>
        </is>
      </c>
      <c r="B174" s="29" t="n">
        <v>1.017272355976895</v>
      </c>
      <c r="C174" s="22" t="n">
        <v>0.01727235597689547</v>
      </c>
      <c r="D174" s="26" t="n">
        <v>607956.9400000001</v>
      </c>
      <c r="E174" s="26" t="n">
        <v>2671</v>
      </c>
      <c r="F174" s="22" t="n">
        <v>-0.5871105608236005</v>
      </c>
      <c r="G174" s="22" t="n">
        <v>-0.6563084986896294</v>
      </c>
      <c r="H174" s="27" t="n">
        <v>-0.5941210465904205</v>
      </c>
      <c r="I174" s="26" t="n">
        <v>618457.7886863041</v>
      </c>
      <c r="J174" s="28" t="n">
        <v>680303.5675549345</v>
      </c>
    </row>
    <row r="175">
      <c r="A175" s="20" t="inlineStr">
        <is>
          <t>NEELKANTH HARDWARE</t>
        </is>
      </c>
      <c r="B175" s="29" t="n">
        <v>1.063326172790811</v>
      </c>
      <c r="C175" s="22" t="n">
        <v>0.06332617279081076</v>
      </c>
      <c r="D175" s="26" t="n">
        <v>565311.01</v>
      </c>
      <c r="E175" s="26" t="n">
        <v>4088</v>
      </c>
      <c r="F175" s="22" t="n">
        <v>-1</v>
      </c>
      <c r="G175" s="22" t="n">
        <v>-1</v>
      </c>
      <c r="H175" s="27" t="n">
        <v>-1</v>
      </c>
      <c r="I175" s="26" t="n">
        <v>601109.9926998077</v>
      </c>
      <c r="J175" s="28" t="n">
        <v>661220.9919697886</v>
      </c>
    </row>
    <row r="176">
      <c r="A176" s="20" t="inlineStr">
        <is>
          <t>KAANHA C.P. FITTINGS (BANGALORE)</t>
        </is>
      </c>
      <c r="B176" s="29" t="n">
        <v>1.052634353503633</v>
      </c>
      <c r="C176" s="22" t="n">
        <v>0.0526343535036331</v>
      </c>
      <c r="D176" s="26" t="n">
        <v>557747.29</v>
      </c>
      <c r="E176" s="26" t="n">
        <v>2572</v>
      </c>
      <c r="F176" s="22" t="n">
        <v>-1</v>
      </c>
      <c r="G176" s="22" t="n">
        <v>-1</v>
      </c>
      <c r="H176" s="27" t="n">
        <v>-1</v>
      </c>
      <c r="I176" s="26" t="n">
        <v>587103.9580275534</v>
      </c>
      <c r="J176" s="28" t="n">
        <v>645814.3538303088</v>
      </c>
    </row>
    <row r="177">
      <c r="A177" s="20" t="inlineStr">
        <is>
          <t>CITY PROMOTER &amp; BUILDWELL PRIVATE LIMITED (KARNATAKA)</t>
        </is>
      </c>
      <c r="B177" s="25" t="n">
        <v>1.28261590532191</v>
      </c>
      <c r="C177" s="22" t="n">
        <v>0.2826159053219097</v>
      </c>
      <c r="D177" s="26" t="n">
        <v>541779.6899999999</v>
      </c>
      <c r="E177" s="26" t="n">
        <v>1491</v>
      </c>
      <c r="F177" s="22" t="n">
        <v>-1</v>
      </c>
      <c r="G177" s="22" t="n">
        <v>-1</v>
      </c>
      <c r="H177" s="27" t="n">
        <v>-1</v>
      </c>
      <c r="I177" s="26" t="n">
        <v>694895.2475743735</v>
      </c>
      <c r="J177" s="28" t="n">
        <v>764384.7723318109</v>
      </c>
    </row>
    <row r="178">
      <c r="A178" s="20" t="inlineStr">
        <is>
          <t>SALROO SANITARY &amp; HARDWARE STORE</t>
        </is>
      </c>
      <c r="B178" s="25" t="n">
        <v>1.150172714402703</v>
      </c>
      <c r="C178" s="22" t="n">
        <v>0.1501727144027027</v>
      </c>
      <c r="D178" s="26" t="n">
        <v>530643.21</v>
      </c>
      <c r="E178" s="26" t="n">
        <v>1015</v>
      </c>
      <c r="F178" s="22" t="n">
        <v>-1</v>
      </c>
      <c r="G178" s="22" t="n">
        <v>-1</v>
      </c>
      <c r="H178" s="27" t="n">
        <v>-1</v>
      </c>
      <c r="I178" s="26" t="n">
        <v>610331.3412250634</v>
      </c>
      <c r="J178" s="28" t="n">
        <v>671364.4753475698</v>
      </c>
    </row>
    <row r="179">
      <c r="A179" s="20" t="inlineStr">
        <is>
          <t>NEELKANTH BUILDING MATERIALS</t>
        </is>
      </c>
      <c r="B179" s="29" t="n">
        <v>1.067281458385485</v>
      </c>
      <c r="C179" s="22" t="n">
        <v>0.06728145838548505</v>
      </c>
      <c r="D179" s="26" t="n">
        <v>528239.7</v>
      </c>
      <c r="E179" s="26" t="n">
        <v>11686</v>
      </c>
      <c r="F179" s="22" t="n">
        <v>0.2648117322495831</v>
      </c>
      <c r="G179" s="22" t="n">
        <v>0.5963546123566661</v>
      </c>
      <c r="H179" s="22" t="n">
        <v>0.1850779588759175</v>
      </c>
      <c r="I179" s="26" t="n">
        <v>563780.4373931111</v>
      </c>
      <c r="J179" s="28" t="n">
        <v>620158.4811324222</v>
      </c>
    </row>
    <row r="180">
      <c r="A180" s="20" t="inlineStr">
        <is>
          <t>TERRA DEVELOPERS</t>
        </is>
      </c>
      <c r="B180" s="25" t="n">
        <v>1.202413195195342</v>
      </c>
      <c r="C180" s="22" t="n">
        <v>0.2024131951953423</v>
      </c>
      <c r="D180" s="26" t="n">
        <v>513115</v>
      </c>
      <c r="E180" s="26" t="n">
        <v>3845</v>
      </c>
      <c r="F180" s="22" t="n">
        <v>-1</v>
      </c>
      <c r="G180" s="22" t="n">
        <v>-1</v>
      </c>
      <c r="H180" s="27" t="n">
        <v>-1</v>
      </c>
      <c r="I180" s="26" t="n">
        <v>616976.2466526581</v>
      </c>
      <c r="J180" s="28" t="n">
        <v>678673.871317924</v>
      </c>
    </row>
    <row r="181">
      <c r="A181" s="20" t="inlineStr">
        <is>
          <t>ALLIED TRADES CORPORATION</t>
        </is>
      </c>
      <c r="B181" s="25" t="n">
        <v>1.146011749081004</v>
      </c>
      <c r="C181" s="22" t="n">
        <v>0.1460117490810044</v>
      </c>
      <c r="D181" s="26" t="n">
        <v>499971.77</v>
      </c>
      <c r="E181" s="26" t="n">
        <v>2455</v>
      </c>
      <c r="F181" s="22" t="n">
        <v>-0.1542762504370997</v>
      </c>
      <c r="G181" s="22" t="n">
        <v>-0.4928716904276986</v>
      </c>
      <c r="H181" s="27" t="n">
        <v>-0.2620287268074759</v>
      </c>
      <c r="I181" s="26" t="n">
        <v>572973.5226288257</v>
      </c>
      <c r="J181" s="28" t="n">
        <v>630270.8748917084</v>
      </c>
    </row>
    <row r="182">
      <c r="A182" s="20" t="inlineStr">
        <is>
          <t>VISHAL HARDWARE.</t>
        </is>
      </c>
      <c r="B182" s="25" t="n">
        <v>1.207022193499318</v>
      </c>
      <c r="C182" s="22" t="n">
        <v>0.2070221934993182</v>
      </c>
      <c r="D182" s="26" t="n">
        <v>498298.13</v>
      </c>
      <c r="E182" s="26" t="n">
        <v>1713</v>
      </c>
      <c r="F182" s="22" t="n">
        <v>0.2027819570585183</v>
      </c>
      <c r="G182" s="22" t="n">
        <v>-0.2603619381202569</v>
      </c>
      <c r="H182" s="27" t="n">
        <v>-0.003512973053549917</v>
      </c>
      <c r="I182" s="26" t="n">
        <v>601456.9018892084</v>
      </c>
      <c r="J182" s="28" t="n">
        <v>661602.5920781293</v>
      </c>
    </row>
    <row r="183">
      <c r="A183" s="20" t="inlineStr">
        <is>
          <t>NEW KALIMATA HARDWARE STORES</t>
        </is>
      </c>
      <c r="B183" s="25" t="n">
        <v>1.161092591127003</v>
      </c>
      <c r="C183" s="22" t="n">
        <v>0.1610925911270031</v>
      </c>
      <c r="D183" s="26" t="n">
        <v>494390.45</v>
      </c>
      <c r="E183" s="26" t="n">
        <v>1300</v>
      </c>
      <c r="F183" s="22" t="n">
        <v>-1</v>
      </c>
      <c r="G183" s="22" t="n">
        <v>-1</v>
      </c>
      <c r="H183" s="27" t="n">
        <v>-1</v>
      </c>
      <c r="I183" s="26" t="n">
        <v>574033.0886189451</v>
      </c>
      <c r="J183" s="28" t="n">
        <v>631436.3974808396</v>
      </c>
    </row>
    <row r="184">
      <c r="A184" s="20" t="inlineStr">
        <is>
          <t>CHAWLA ISPAT PRIVATE LIMITED</t>
        </is>
      </c>
      <c r="B184" s="29" t="n">
        <v>1.077802261941169</v>
      </c>
      <c r="C184" s="22" t="n">
        <v>0.0778022619411689</v>
      </c>
      <c r="D184" s="26" t="n">
        <v>494312.29</v>
      </c>
      <c r="E184" s="26" t="n">
        <v>7275</v>
      </c>
      <c r="F184" s="22" t="n">
        <v>-0.3885788273643773</v>
      </c>
      <c r="G184" s="22" t="n">
        <v>-0.4992439862542956</v>
      </c>
      <c r="H184" s="27" t="n">
        <v>-0.4327148919372034</v>
      </c>
      <c r="I184" s="26" t="n">
        <v>532770.9042673191</v>
      </c>
      <c r="J184" s="28" t="n">
        <v>586047.9946940511</v>
      </c>
    </row>
    <row r="185">
      <c r="A185" s="20" t="inlineStr">
        <is>
          <t>M Y TRADERS</t>
        </is>
      </c>
      <c r="B185" s="25" t="n">
        <v>1.212872504187672</v>
      </c>
      <c r="C185" s="22" t="n">
        <v>0.2128725041876724</v>
      </c>
      <c r="D185" s="26" t="n">
        <v>475316.13</v>
      </c>
      <c r="E185" s="26" t="n">
        <v>1514</v>
      </c>
      <c r="F185" s="22" t="n">
        <v>0.822747568023833</v>
      </c>
      <c r="G185" s="22" t="n">
        <v>14.03434610303831</v>
      </c>
      <c r="H185" s="22" t="n">
        <v>0.502835262346579</v>
      </c>
      <c r="I185" s="26" t="n">
        <v>576497.8648738933</v>
      </c>
      <c r="J185" s="28" t="n">
        <v>634147.6513612827</v>
      </c>
    </row>
    <row r="186">
      <c r="A186" s="20" t="inlineStr">
        <is>
          <t>USHASRI STEEL SYNDICATE</t>
        </is>
      </c>
      <c r="B186" s="29" t="n">
        <v>1.098071025937594</v>
      </c>
      <c r="C186" s="22" t="n">
        <v>0.09807102593759431</v>
      </c>
      <c r="D186" s="26" t="n">
        <v>456570.0599999999</v>
      </c>
      <c r="E186" s="26" t="n">
        <v>3096</v>
      </c>
      <c r="F186" s="22" t="n">
        <v>-1</v>
      </c>
      <c r="G186" s="22" t="n">
        <v>-1</v>
      </c>
      <c r="H186" s="27" t="n">
        <v>-1</v>
      </c>
      <c r="I186" s="26" t="n">
        <v>501346.3541965889</v>
      </c>
      <c r="J186" s="28" t="n">
        <v>551480.9896162478</v>
      </c>
    </row>
    <row r="187">
      <c r="A187" s="20" t="inlineStr">
        <is>
          <t>RAHUL ENTERPRISES &amp; SWAGAT COLLECTION</t>
        </is>
      </c>
      <c r="B187" s="25" t="n">
        <v>1.121294918472759</v>
      </c>
      <c r="C187" s="22" t="n">
        <v>0.1212949184727588</v>
      </c>
      <c r="D187" s="26" t="n">
        <v>455898.96</v>
      </c>
      <c r="E187" s="26" t="n">
        <v>1202</v>
      </c>
      <c r="F187" s="22" t="n">
        <v>-0.8223882765602272</v>
      </c>
      <c r="G187" s="22" t="n">
        <v>-0.410981697171381</v>
      </c>
      <c r="H187" s="27" t="n">
        <v>-0.8416012411064113</v>
      </c>
      <c r="I187" s="26" t="n">
        <v>511197.1871850155</v>
      </c>
      <c r="J187" s="28" t="n">
        <v>562316.905903517</v>
      </c>
    </row>
    <row r="188">
      <c r="A188" s="20" t="inlineStr">
        <is>
          <t>MENTOR INFRASTRUCTURE PRIVATE LIMITED</t>
        </is>
      </c>
      <c r="B188" s="29" t="n">
        <v>0.9921430354413969</v>
      </c>
      <c r="C188" s="22" t="n">
        <v>-0.007856964558603075</v>
      </c>
      <c r="D188" s="26" t="n">
        <v>453722.42</v>
      </c>
      <c r="E188" s="26" t="n">
        <v>2621</v>
      </c>
      <c r="F188" s="22" t="n">
        <v>-1</v>
      </c>
      <c r="G188" s="22" t="n">
        <v>-1</v>
      </c>
      <c r="H188" s="27" t="n">
        <v>-1</v>
      </c>
      <c r="I188" s="26" t="n">
        <v>450157.5390266164</v>
      </c>
      <c r="J188" s="28" t="n">
        <v>495173.2929292781</v>
      </c>
    </row>
    <row r="189">
      <c r="A189" s="20" t="inlineStr">
        <is>
          <t>SUDHA TRADING CORPORATION</t>
        </is>
      </c>
      <c r="B189" s="29" t="n">
        <v>1.074864779409377</v>
      </c>
      <c r="C189" s="22" t="n">
        <v>0.07486477940937664</v>
      </c>
      <c r="D189" s="26" t="n">
        <v>452728.65</v>
      </c>
      <c r="E189" s="26" t="n">
        <v>2264</v>
      </c>
      <c r="F189" s="22" t="n">
        <v>-1</v>
      </c>
      <c r="G189" s="22" t="n">
        <v>-1</v>
      </c>
      <c r="H189" s="27" t="n">
        <v>-1</v>
      </c>
      <c r="I189" s="26" t="n">
        <v>486622.0805145549</v>
      </c>
      <c r="J189" s="28" t="n">
        <v>535284.2885660104</v>
      </c>
    </row>
    <row r="190">
      <c r="A190" s="20" t="inlineStr">
        <is>
          <t>ROHIT TRADERS</t>
        </is>
      </c>
      <c r="B190" s="25" t="n">
        <v>1.122400720948287</v>
      </c>
      <c r="C190" s="22" t="n">
        <v>0.1224007209482869</v>
      </c>
      <c r="D190" s="26" t="n">
        <v>449801.93</v>
      </c>
      <c r="E190" s="26" t="n">
        <v>2248</v>
      </c>
      <c r="F190" s="22" t="n">
        <v>-0.8634309995068272</v>
      </c>
      <c r="G190" s="22" t="n">
        <v>-0.9546263345195729</v>
      </c>
      <c r="H190" s="27" t="n">
        <v>-0.8783242045872983</v>
      </c>
      <c r="I190" s="26" t="n">
        <v>504858.0105159309</v>
      </c>
      <c r="J190" s="28" t="n">
        <v>555343.811567524</v>
      </c>
    </row>
    <row r="191">
      <c r="A191" s="20" t="inlineStr">
        <is>
          <t>GANIE TRADING HUB</t>
        </is>
      </c>
      <c r="B191" s="25" t="n">
        <v>1.125968450064202</v>
      </c>
      <c r="C191" s="22" t="n">
        <v>0.1259684500642022</v>
      </c>
      <c r="D191" s="26" t="n">
        <v>449330</v>
      </c>
      <c r="E191" s="26" t="n">
        <v>1179</v>
      </c>
      <c r="F191" s="22" t="n">
        <v>-1</v>
      </c>
      <c r="G191" s="22" t="n">
        <v>-1</v>
      </c>
      <c r="H191" s="27" t="n">
        <v>-1</v>
      </c>
      <c r="I191" s="26" t="n">
        <v>505931.403667348</v>
      </c>
      <c r="J191" s="28" t="n">
        <v>556524.5440340828</v>
      </c>
    </row>
    <row r="192">
      <c r="A192" s="20" t="inlineStr">
        <is>
          <t>SHREE VINAYAK BATH DECOR</t>
        </is>
      </c>
      <c r="B192" s="25" t="n">
        <v>1.157244753231921</v>
      </c>
      <c r="C192" s="22" t="n">
        <v>0.1572447532319208</v>
      </c>
      <c r="D192" s="26" t="n">
        <v>435413.7</v>
      </c>
      <c r="E192" s="26" t="n">
        <v>42078</v>
      </c>
      <c r="F192" s="22" t="n">
        <v>-1</v>
      </c>
      <c r="G192" s="22" t="n">
        <v>-1</v>
      </c>
      <c r="H192" s="27" t="n">
        <v>-1</v>
      </c>
      <c r="I192" s="26" t="n">
        <v>503880.2198102976</v>
      </c>
      <c r="J192" s="28" t="n">
        <v>554268.2417913274</v>
      </c>
    </row>
    <row r="193">
      <c r="A193" s="20" t="inlineStr">
        <is>
          <t>INDERJIT SINGH AND SONS</t>
        </is>
      </c>
      <c r="B193" s="29" t="n">
        <v>1.054679996582511</v>
      </c>
      <c r="C193" s="22" t="n">
        <v>0.0546799965825111</v>
      </c>
      <c r="D193" s="26" t="n">
        <v>428900.47</v>
      </c>
      <c r="E193" s="26" t="n">
        <v>5815</v>
      </c>
      <c r="F193" s="22" t="n">
        <v>-1</v>
      </c>
      <c r="G193" s="22" t="n">
        <v>-1</v>
      </c>
      <c r="H193" s="27" t="n">
        <v>-1</v>
      </c>
      <c r="I193" s="26" t="n">
        <v>452352.7462338374</v>
      </c>
      <c r="J193" s="28" t="n">
        <v>497588.0208572212</v>
      </c>
    </row>
    <row r="194">
      <c r="A194" s="20" t="inlineStr">
        <is>
          <t>JK SANITARIES</t>
        </is>
      </c>
      <c r="B194" s="29" t="n">
        <v>1.062547930348659</v>
      </c>
      <c r="C194" s="22" t="n">
        <v>0.06254793034865891</v>
      </c>
      <c r="D194" s="26" t="n">
        <v>425496.15</v>
      </c>
      <c r="E194" s="26" t="n">
        <v>2522</v>
      </c>
      <c r="F194" s="22" t="n">
        <v>-0.3735031445055379</v>
      </c>
      <c r="G194" s="22" t="n">
        <v>-0.6022997620935766</v>
      </c>
      <c r="H194" s="27" t="n">
        <v>-0.4103824988968859</v>
      </c>
      <c r="I194" s="26" t="n">
        <v>452110.0535538226</v>
      </c>
      <c r="J194" s="28" t="n">
        <v>497321.0589092048</v>
      </c>
    </row>
    <row r="195">
      <c r="A195" s="20" t="inlineStr">
        <is>
          <t>BEHARILALL MADANLALL (SILIGURI)</t>
        </is>
      </c>
      <c r="B195" s="29" t="n">
        <v>1.083184565642349</v>
      </c>
      <c r="C195" s="22" t="n">
        <v>0.08318456564234911</v>
      </c>
      <c r="D195" s="26" t="n">
        <v>424499.17</v>
      </c>
      <c r="E195" s="26" t="n">
        <v>3578</v>
      </c>
      <c r="F195" s="22" t="n">
        <v>-0.5117352055128871</v>
      </c>
      <c r="G195" s="22" t="n">
        <v>-0.7641140301844606</v>
      </c>
      <c r="H195" s="27" t="n">
        <v>-0.5492321346015833</v>
      </c>
      <c r="I195" s="26" t="n">
        <v>459810.9490719877</v>
      </c>
      <c r="J195" s="28" t="n">
        <v>505792.0439791865</v>
      </c>
    </row>
    <row r="196">
      <c r="A196" s="20" t="inlineStr">
        <is>
          <t>STANDARD AGENCIES(BEGUSARAI)</t>
        </is>
      </c>
      <c r="B196" s="25" t="n">
        <v>1.124699704931905</v>
      </c>
      <c r="C196" s="22" t="n">
        <v>0.1246997049319045</v>
      </c>
      <c r="D196" s="26" t="n">
        <v>416501.12</v>
      </c>
      <c r="E196" s="26" t="n">
        <v>3392</v>
      </c>
      <c r="F196" s="22" t="n">
        <v>-0.6547884433059867</v>
      </c>
      <c r="G196" s="22" t="n">
        <v>-0.7594339622641509</v>
      </c>
      <c r="H196" s="27" t="n">
        <v>-0.693063352661843</v>
      </c>
      <c r="I196" s="26" t="n">
        <v>468438.6867678078</v>
      </c>
      <c r="J196" s="28" t="n">
        <v>515282.5554445886</v>
      </c>
    </row>
    <row r="197">
      <c r="A197" s="20" t="inlineStr">
        <is>
          <t>RAINBOW POLYTECH PRODUCTS</t>
        </is>
      </c>
      <c r="B197" s="29" t="n">
        <v>1.074720989749415</v>
      </c>
      <c r="C197" s="22" t="n">
        <v>0.07472098974941521</v>
      </c>
      <c r="D197" s="26" t="n">
        <v>410816.15</v>
      </c>
      <c r="E197" s="26" t="n">
        <v>2837</v>
      </c>
      <c r="F197" s="22" t="n">
        <v>-1</v>
      </c>
      <c r="G197" s="22" t="n">
        <v>-1</v>
      </c>
      <c r="H197" s="27" t="n">
        <v>-1</v>
      </c>
      <c r="I197" s="26" t="n">
        <v>441512.7393330443</v>
      </c>
      <c r="J197" s="28" t="n">
        <v>485664.0132663487</v>
      </c>
    </row>
    <row r="198">
      <c r="A198" s="20" t="inlineStr">
        <is>
          <t>MAHABIR TILES</t>
        </is>
      </c>
      <c r="B198" s="25" t="n">
        <v>1.191802129157301</v>
      </c>
      <c r="C198" s="22" t="n">
        <v>0.1918021291573013</v>
      </c>
      <c r="D198" s="26" t="n">
        <v>408984.29</v>
      </c>
      <c r="E198" s="26" t="n">
        <v>1207</v>
      </c>
      <c r="F198" s="22" t="n">
        <v>-1</v>
      </c>
      <c r="G198" s="22" t="n">
        <v>-1</v>
      </c>
      <c r="H198" s="27" t="n">
        <v>-1</v>
      </c>
      <c r="I198" s="26" t="n">
        <v>487428.3476138872</v>
      </c>
      <c r="J198" s="28" t="n">
        <v>536171.1823752759</v>
      </c>
    </row>
    <row r="199">
      <c r="A199" s="20" t="inlineStr">
        <is>
          <t>Shree Ambica Enterprise (VADODARA)</t>
        </is>
      </c>
      <c r="B199" s="29" t="n">
        <v>1.019674835583198</v>
      </c>
      <c r="C199" s="22" t="n">
        <v>0.01967483558319771</v>
      </c>
      <c r="D199" s="26" t="n">
        <v>407726.05</v>
      </c>
      <c r="E199" s="26" t="n">
        <v>1852</v>
      </c>
      <c r="F199" s="22" t="n">
        <v>-0.5177301033377681</v>
      </c>
      <c r="G199" s="22" t="n">
        <v>-0.4368250539956804</v>
      </c>
      <c r="H199" s="27" t="n">
        <v>-0.5270356001416863</v>
      </c>
      <c r="I199" s="26" t="n">
        <v>415747.9929967367</v>
      </c>
      <c r="J199" s="28" t="n">
        <v>457322.7922964104</v>
      </c>
    </row>
    <row r="200">
      <c r="A200" s="20" t="inlineStr">
        <is>
          <t>SIGNATUREGLOBAL (INDIA) PRIVATE LIMITED</t>
        </is>
      </c>
      <c r="B200" s="29" t="n">
        <v>1.017977974069345</v>
      </c>
      <c r="C200" s="22" t="n">
        <v>0.01797797406934487</v>
      </c>
      <c r="D200" s="26" t="n">
        <v>398568.31</v>
      </c>
      <c r="E200" s="26" t="n">
        <v>4015</v>
      </c>
      <c r="F200" s="22" t="n">
        <v>-1</v>
      </c>
      <c r="G200" s="22" t="n">
        <v>-1</v>
      </c>
      <c r="H200" s="27" t="n">
        <v>-1</v>
      </c>
      <c r="I200" s="26" t="n">
        <v>405733.7607420426</v>
      </c>
      <c r="J200" s="28" t="n">
        <v>446307.1368162469</v>
      </c>
    </row>
    <row r="201">
      <c r="A201" s="20" t="inlineStr">
        <is>
          <t>MAGIC TRADING CO.</t>
        </is>
      </c>
      <c r="B201" s="29" t="n">
        <v>1.027020046299312</v>
      </c>
      <c r="C201" s="22" t="n">
        <v>0.02702004629931243</v>
      </c>
      <c r="D201" s="26" t="n">
        <v>393563.31</v>
      </c>
      <c r="E201" s="26" t="n">
        <v>4559</v>
      </c>
      <c r="F201" s="22" t="n">
        <v>-0.8206641772577835</v>
      </c>
      <c r="G201" s="22" t="n">
        <v>-0.8762886597938144</v>
      </c>
      <c r="H201" s="27" t="n">
        <v>-0.8253823541337661</v>
      </c>
      <c r="I201" s="26" t="n">
        <v>404197.4088579107</v>
      </c>
      <c r="J201" s="28" t="n">
        <v>444617.1497437017</v>
      </c>
    </row>
    <row r="202">
      <c r="A202" s="20" t="inlineStr">
        <is>
          <t>LUXMI MARBLE &amp; TILES CO. (CHANDIGARH)</t>
        </is>
      </c>
      <c r="B202" s="29" t="n">
        <v>1.046241148542894</v>
      </c>
      <c r="C202" s="22" t="n">
        <v>0.04624114854289374</v>
      </c>
      <c r="D202" s="26" t="n">
        <v>392676.96</v>
      </c>
      <c r="E202" s="26" t="n">
        <v>3194</v>
      </c>
      <c r="F202" s="22" t="n">
        <v>-0.2374953702402097</v>
      </c>
      <c r="G202" s="22" t="n">
        <v>-0.3722604884157796</v>
      </c>
      <c r="H202" s="27" t="n">
        <v>-0.2711960996547164</v>
      </c>
      <c r="I202" s="26" t="n">
        <v>410834.793636732</v>
      </c>
      <c r="J202" s="28" t="n">
        <v>451918.2730004052</v>
      </c>
    </row>
    <row r="203">
      <c r="A203" s="20" t="inlineStr">
        <is>
          <t>MAYANK BUILD MART</t>
        </is>
      </c>
      <c r="B203" s="25" t="n">
        <v>1.105235831873042</v>
      </c>
      <c r="C203" s="22" t="n">
        <v>0.1052358318730424</v>
      </c>
      <c r="D203" s="26" t="n">
        <v>383562.7899999999</v>
      </c>
      <c r="E203" s="26" t="n">
        <v>710</v>
      </c>
      <c r="F203" s="22" t="n">
        <v>-1</v>
      </c>
      <c r="G203" s="22" t="n">
        <v>-1</v>
      </c>
      <c r="H203" s="27" t="n">
        <v>-1</v>
      </c>
      <c r="I203" s="26" t="n">
        <v>423927.339281195</v>
      </c>
      <c r="J203" s="28" t="n">
        <v>466320.0732093145</v>
      </c>
    </row>
    <row r="204">
      <c r="A204" s="20" t="inlineStr">
        <is>
          <t>SS STEEL AND FURNITURE INDUSTRY</t>
        </is>
      </c>
      <c r="B204" s="29" t="n">
        <v>1.063851208234063</v>
      </c>
      <c r="C204" s="22" t="n">
        <v>0.06385120823406298</v>
      </c>
      <c r="D204" s="26" t="n">
        <v>382887.49</v>
      </c>
      <c r="E204" s="26" t="n">
        <v>5466</v>
      </c>
      <c r="F204" s="22" t="n">
        <v>0.5440646546065007</v>
      </c>
      <c r="G204" s="22" t="n">
        <v>2.598243688254665</v>
      </c>
      <c r="H204" s="22" t="n">
        <v>0.4513915504871839</v>
      </c>
      <c r="I204" s="26" t="n">
        <v>407335.3188542078</v>
      </c>
      <c r="J204" s="28" t="n">
        <v>448068.8507396285</v>
      </c>
    </row>
    <row r="205">
      <c r="A205" s="20" t="inlineStr">
        <is>
          <t>DEEPAK SANITORY &amp; ELECTRIC STORE</t>
        </is>
      </c>
      <c r="B205" s="29" t="n">
        <v>1.086552506355135</v>
      </c>
      <c r="C205" s="22" t="n">
        <v>0.08655250635513469</v>
      </c>
      <c r="D205" s="26" t="n">
        <v>374039</v>
      </c>
      <c r="E205" s="26" t="n">
        <v>2339</v>
      </c>
      <c r="F205" s="22" t="n">
        <v>-1</v>
      </c>
      <c r="G205" s="22" t="n">
        <v>-1</v>
      </c>
      <c r="H205" s="27" t="n">
        <v>-1</v>
      </c>
      <c r="I205" s="26" t="n">
        <v>406413.0129245682</v>
      </c>
      <c r="J205" s="28" t="n">
        <v>447054.3142170251</v>
      </c>
    </row>
    <row r="206">
      <c r="A206" s="20" t="inlineStr">
        <is>
          <t>BALAJI HARDWARE AND SANITARY</t>
        </is>
      </c>
      <c r="B206" s="25" t="n">
        <v>1.209449057916594</v>
      </c>
      <c r="C206" s="22" t="n">
        <v>0.2094490579165942</v>
      </c>
      <c r="D206" s="26" t="n">
        <v>370577.37</v>
      </c>
      <c r="E206" s="26" t="n">
        <v>62047</v>
      </c>
      <c r="F206" s="22" t="n">
        <v>-1</v>
      </c>
      <c r="G206" s="22" t="n">
        <v>-1</v>
      </c>
      <c r="H206" s="27" t="n">
        <v>-1</v>
      </c>
      <c r="I206" s="26" t="n">
        <v>448194.4510317091</v>
      </c>
      <c r="J206" s="28" t="n">
        <v>493013.8961348801</v>
      </c>
    </row>
    <row r="207">
      <c r="A207" s="20" t="inlineStr">
        <is>
          <t>LR INFRAHOMES INDIA PVT LTD</t>
        </is>
      </c>
      <c r="B207" s="29" t="n">
        <v>0.9972256710891779</v>
      </c>
      <c r="C207" s="22" t="n">
        <v>-0.002774328910822077</v>
      </c>
      <c r="D207" s="26" t="n">
        <v>368565.93</v>
      </c>
      <c r="E207" s="26" t="n">
        <v>4931</v>
      </c>
      <c r="F207" s="22" t="n">
        <v>-1</v>
      </c>
      <c r="G207" s="22" t="n">
        <v>-1</v>
      </c>
      <c r="H207" s="27" t="n">
        <v>-1</v>
      </c>
      <c r="I207" s="26" t="n">
        <v>367543.406884857</v>
      </c>
      <c r="J207" s="28" t="n">
        <v>404297.7475733427</v>
      </c>
    </row>
    <row r="208">
      <c r="A208" s="20" t="inlineStr">
        <is>
          <t>RAJENDRA PRASAD &amp; CO.</t>
        </is>
      </c>
      <c r="B208" s="29" t="n">
        <v>1.096789902103342</v>
      </c>
      <c r="C208" s="22" t="n">
        <v>0.09678990210334228</v>
      </c>
      <c r="D208" s="26" t="n">
        <v>353465.16</v>
      </c>
      <c r="E208" s="26" t="n">
        <v>1741</v>
      </c>
      <c r="F208" s="22" t="n">
        <v>-1</v>
      </c>
      <c r="G208" s="22" t="n">
        <v>-1</v>
      </c>
      <c r="H208" s="27" t="n">
        <v>-1</v>
      </c>
      <c r="I208" s="26" t="n">
        <v>387677.0182333422</v>
      </c>
      <c r="J208" s="28" t="n">
        <v>426444.7200566764</v>
      </c>
    </row>
    <row r="209">
      <c r="A209" s="20" t="inlineStr">
        <is>
          <t>AARYA AGRO INDUSTRIES</t>
        </is>
      </c>
      <c r="B209" s="29" t="n">
        <v>1.090450712652806</v>
      </c>
      <c r="C209" s="22" t="n">
        <v>0.09045071265280648</v>
      </c>
      <c r="D209" s="26" t="n">
        <v>349950.55</v>
      </c>
      <c r="E209" s="26" t="n">
        <v>2145</v>
      </c>
      <c r="F209" s="22" t="n">
        <v>-0.08700243505832483</v>
      </c>
      <c r="G209" s="22" t="n">
        <v>-0.3594405594405594</v>
      </c>
      <c r="H209" s="27" t="n">
        <v>-0.1627337628854679</v>
      </c>
      <c r="I209" s="26" t="n">
        <v>381603.8266407416</v>
      </c>
      <c r="J209" s="28" t="n">
        <v>419764.2093048158</v>
      </c>
    </row>
    <row r="210">
      <c r="A210" s="20" t="inlineStr">
        <is>
          <t>BAJRANG TRADERS</t>
        </is>
      </c>
      <c r="B210" s="25" t="n">
        <v>1.140313764832697</v>
      </c>
      <c r="C210" s="22" t="n">
        <v>0.1403137648326971</v>
      </c>
      <c r="D210" s="26" t="n">
        <v>341186.95</v>
      </c>
      <c r="E210" s="26" t="n">
        <v>1418</v>
      </c>
      <c r="F210" s="22" t="n">
        <v>-1</v>
      </c>
      <c r="G210" s="22" t="n">
        <v>-1</v>
      </c>
      <c r="H210" s="27" t="n">
        <v>-1</v>
      </c>
      <c r="I210" s="26" t="n">
        <v>389060.1754662852</v>
      </c>
      <c r="J210" s="28" t="n">
        <v>427966.1930129137</v>
      </c>
    </row>
    <row r="211">
      <c r="A211" s="20" t="inlineStr">
        <is>
          <t>EMPIRE BUILDING (PANCHKULA)</t>
        </is>
      </c>
      <c r="B211" s="29" t="n">
        <v>1.040967579227092</v>
      </c>
      <c r="C211" s="22" t="n">
        <v>0.04096757922709182</v>
      </c>
      <c r="D211" s="26" t="n">
        <v>336995.4400000001</v>
      </c>
      <c r="E211" s="26" t="n">
        <v>2728</v>
      </c>
      <c r="F211" s="22" t="n">
        <v>-0.8599654642211183</v>
      </c>
      <c r="G211" s="22" t="n">
        <v>-0.8552052785923753</v>
      </c>
      <c r="H211" s="27" t="n">
        <v>-0.8654765637534496</v>
      </c>
      <c r="I211" s="26" t="n">
        <v>350801.3273873687</v>
      </c>
      <c r="J211" s="28" t="n">
        <v>385881.4601261056</v>
      </c>
    </row>
    <row r="212">
      <c r="A212" s="20" t="inlineStr">
        <is>
          <t>YADVINDER HARDWARE STORE</t>
        </is>
      </c>
      <c r="B212" s="29" t="n">
        <v>1.071210711994905</v>
      </c>
      <c r="C212" s="22" t="n">
        <v>0.07121071199490547</v>
      </c>
      <c r="D212" s="26" t="n">
        <v>333029.83</v>
      </c>
      <c r="E212" s="26" t="n">
        <v>8144</v>
      </c>
      <c r="F212" s="22" t="n">
        <v>-1</v>
      </c>
      <c r="G212" s="22" t="n">
        <v>-1</v>
      </c>
      <c r="H212" s="27" t="n">
        <v>-1</v>
      </c>
      <c r="I212" s="26" t="n">
        <v>356745.1213098423</v>
      </c>
      <c r="J212" s="28" t="n">
        <v>392419.6334408266</v>
      </c>
    </row>
    <row r="213">
      <c r="A213" s="20" t="inlineStr">
        <is>
          <t>NEW BARKAT MARBLES</t>
        </is>
      </c>
      <c r="B213" s="25" t="n">
        <v>1.131032586114809</v>
      </c>
      <c r="C213" s="22" t="n">
        <v>0.1310325861148092</v>
      </c>
      <c r="D213" s="26" t="n">
        <v>328928.42</v>
      </c>
      <c r="E213" s="26" t="n">
        <v>905</v>
      </c>
      <c r="F213" s="22" t="n">
        <v>-1</v>
      </c>
      <c r="G213" s="22" t="n">
        <v>-1</v>
      </c>
      <c r="H213" s="27" t="n">
        <v>-1</v>
      </c>
      <c r="I213" s="26" t="n">
        <v>372028.7615192581</v>
      </c>
      <c r="J213" s="28" t="n">
        <v>409231.6376711839</v>
      </c>
    </row>
    <row r="214">
      <c r="A214" s="20" t="inlineStr">
        <is>
          <t>CHHABRA HARDWARE &amp; BATH ASSETS</t>
        </is>
      </c>
      <c r="B214" s="29" t="n">
        <v>1.093737055382745</v>
      </c>
      <c r="C214" s="22" t="n">
        <v>0.09373705538274546</v>
      </c>
      <c r="D214" s="26" t="n">
        <v>328030.33</v>
      </c>
      <c r="E214" s="26" t="n">
        <v>2128</v>
      </c>
      <c r="F214" s="22" t="n">
        <v>-1</v>
      </c>
      <c r="G214" s="22" t="n">
        <v>-1</v>
      </c>
      <c r="H214" s="27" t="n">
        <v>-1</v>
      </c>
      <c r="I214" s="26" t="n">
        <v>358778.9272104302</v>
      </c>
      <c r="J214" s="28" t="n">
        <v>394656.8199314732</v>
      </c>
    </row>
    <row r="215">
      <c r="A215" s="20" t="inlineStr">
        <is>
          <t>VOHRA SANITARY &amp; HARDWARE STORE</t>
        </is>
      </c>
      <c r="B215" s="25" t="n">
        <v>1.164090070904716</v>
      </c>
      <c r="C215" s="22" t="n">
        <v>0.1640900709047159</v>
      </c>
      <c r="D215" s="26" t="n">
        <v>321545.46</v>
      </c>
      <c r="E215" s="26" t="n">
        <v>235</v>
      </c>
      <c r="F215" s="22" t="n">
        <v>0.8534092193371352</v>
      </c>
      <c r="G215" s="22" t="n">
        <v>0.3999999999999999</v>
      </c>
      <c r="H215" s="22" t="n">
        <v>0.5921527600494774</v>
      </c>
      <c r="I215" s="26" t="n">
        <v>374307.8773304895</v>
      </c>
      <c r="J215" s="28" t="n">
        <v>411738.6650635385</v>
      </c>
    </row>
    <row r="216">
      <c r="A216" s="20" t="inlineStr">
        <is>
          <t>SDR AND LATH TRADERS</t>
        </is>
      </c>
      <c r="B216" s="29" t="n">
        <v>1.050072616638211</v>
      </c>
      <c r="C216" s="22" t="n">
        <v>0.05007261663821128</v>
      </c>
      <c r="D216" s="26" t="n">
        <v>319701.04</v>
      </c>
      <c r="E216" s="26" t="n">
        <v>10584</v>
      </c>
      <c r="F216" s="22" t="n">
        <v>-1</v>
      </c>
      <c r="G216" s="22" t="n">
        <v>-1</v>
      </c>
      <c r="H216" s="27" t="n">
        <v>-1</v>
      </c>
      <c r="I216" s="26" t="n">
        <v>335709.3076147574</v>
      </c>
      <c r="J216" s="28" t="n">
        <v>369280.2383762332</v>
      </c>
    </row>
    <row r="217">
      <c r="A217" s="20" t="inlineStr">
        <is>
          <t>BHARAT CORPORATION</t>
        </is>
      </c>
      <c r="B217" s="29" t="n">
        <v>1.052550296745017</v>
      </c>
      <c r="C217" s="22" t="n">
        <v>0.0525502967450171</v>
      </c>
      <c r="D217" s="26" t="n">
        <v>318836.15</v>
      </c>
      <c r="E217" s="26" t="n">
        <v>2278</v>
      </c>
      <c r="F217" s="22" t="n">
        <v>-0.5949549635447549</v>
      </c>
      <c r="G217" s="22" t="n">
        <v>-0.5741878841088675</v>
      </c>
      <c r="H217" s="27" t="n">
        <v>-0.6151775001082269</v>
      </c>
      <c r="I217" s="26" t="n">
        <v>335591.0842955388</v>
      </c>
      <c r="J217" s="28" t="n">
        <v>369150.1927250928</v>
      </c>
    </row>
    <row r="218">
      <c r="A218" s="20" t="inlineStr">
        <is>
          <t>K T SUPPLIERS</t>
        </is>
      </c>
      <c r="B218" s="25" t="n">
        <v>1.164896636698177</v>
      </c>
      <c r="C218" s="22" t="n">
        <v>0.1648966366981772</v>
      </c>
      <c r="D218" s="26" t="n">
        <v>317951.97</v>
      </c>
      <c r="E218" s="26" t="n">
        <v>2286</v>
      </c>
      <c r="F218" s="22" t="n">
        <v>-0.7341453805114024</v>
      </c>
      <c r="G218" s="22" t="n">
        <v>-0.8407699037620298</v>
      </c>
      <c r="H218" s="27" t="n">
        <v>-0.7717783611753357</v>
      </c>
      <c r="I218" s="26" t="n">
        <v>370381.1804845598</v>
      </c>
      <c r="J218" s="28" t="n">
        <v>407419.2985330158</v>
      </c>
    </row>
    <row r="219">
      <c r="A219" s="20" t="inlineStr">
        <is>
          <t>LALISONS BUILDMART PRIVATE LIMITED</t>
        </is>
      </c>
      <c r="B219" s="29" t="n">
        <v>1.039403451253363</v>
      </c>
      <c r="C219" s="22" t="n">
        <v>0.03940345125336298</v>
      </c>
      <c r="D219" s="26" t="n">
        <v>316507.78</v>
      </c>
      <c r="E219" s="26" t="n">
        <v>1713</v>
      </c>
      <c r="F219" s="22" t="n">
        <v>-1</v>
      </c>
      <c r="G219" s="22" t="n">
        <v>-1</v>
      </c>
      <c r="H219" s="27" t="n">
        <v>-1</v>
      </c>
      <c r="I219" s="26" t="n">
        <v>328979.2788805401</v>
      </c>
      <c r="J219" s="28" t="n">
        <v>361877.2067685942</v>
      </c>
    </row>
    <row r="220">
      <c r="A220" s="20" t="inlineStr">
        <is>
          <t>URMILA SALES CORPORATION</t>
        </is>
      </c>
      <c r="B220" s="25" t="n">
        <v>1.10695585696306</v>
      </c>
      <c r="C220" s="22" t="n">
        <v>0.1069558569630596</v>
      </c>
      <c r="D220" s="26" t="n">
        <v>314846.71</v>
      </c>
      <c r="E220" s="26" t="n">
        <v>564</v>
      </c>
      <c r="F220" s="22" t="n">
        <v>-0.5283006133365662</v>
      </c>
      <c r="G220" s="22" t="n">
        <v>46.87234042553192</v>
      </c>
      <c r="H220" s="27" t="n">
        <v>-0.5738769674541999</v>
      </c>
      <c r="I220" s="26" t="n">
        <v>348521.4096800499</v>
      </c>
      <c r="J220" s="28" t="n">
        <v>383373.5506480549</v>
      </c>
    </row>
    <row r="221">
      <c r="A221" s="20" t="inlineStr">
        <is>
          <t>BALAJEE CEMENT PRIVATE LIMITED</t>
        </is>
      </c>
      <c r="B221" s="25" t="n">
        <v>1.17530292495379</v>
      </c>
      <c r="C221" s="22" t="n">
        <v>0.1753029249537901</v>
      </c>
      <c r="D221" s="26" t="n">
        <v>314657.73</v>
      </c>
      <c r="E221" s="26" t="n">
        <v>30598</v>
      </c>
      <c r="F221" s="22" t="n">
        <v>-1</v>
      </c>
      <c r="G221" s="22" t="n">
        <v>-1</v>
      </c>
      <c r="H221" s="27" t="n">
        <v>-1</v>
      </c>
      <c r="I221" s="26" t="n">
        <v>369818.1504283199</v>
      </c>
      <c r="J221" s="28" t="n">
        <v>406799.965471152</v>
      </c>
    </row>
    <row r="222">
      <c r="A222" s="20" t="inlineStr">
        <is>
          <t>SHRI KRISHNA ENTERPRISES</t>
        </is>
      </c>
      <c r="B222" s="25" t="n">
        <v>1.115541377479399</v>
      </c>
      <c r="C222" s="22" t="n">
        <v>0.1155413774793994</v>
      </c>
      <c r="D222" s="26" t="n">
        <v>310536.78</v>
      </c>
      <c r="E222" s="26" t="n">
        <v>2038</v>
      </c>
      <c r="F222" s="22" t="n">
        <v>-0.7959758583186185</v>
      </c>
      <c r="G222" s="22" t="n">
        <v>-0.8410206084396468</v>
      </c>
      <c r="H222" s="27" t="n">
        <v>-0.8171075086946749</v>
      </c>
      <c r="I222" s="26" t="n">
        <v>346416.6273192173</v>
      </c>
      <c r="J222" s="28" t="n">
        <v>381058.290051139</v>
      </c>
    </row>
    <row r="223">
      <c r="A223" s="20" t="inlineStr">
        <is>
          <t>VISHWAKARMA HARDWARE</t>
        </is>
      </c>
      <c r="B223" s="29" t="n">
        <v>1.035778772825023</v>
      </c>
      <c r="C223" s="22" t="n">
        <v>0.0357787728250234</v>
      </c>
      <c r="D223" s="26" t="n">
        <v>307111.02</v>
      </c>
      <c r="E223" s="26" t="n">
        <v>1979</v>
      </c>
      <c r="F223" s="22" t="n">
        <v>-1</v>
      </c>
      <c r="G223" s="22" t="n">
        <v>-1</v>
      </c>
      <c r="H223" s="27" t="n">
        <v>-1</v>
      </c>
      <c r="I223" s="26" t="n">
        <v>318099.0754166413</v>
      </c>
      <c r="J223" s="28" t="n">
        <v>349908.9829583054</v>
      </c>
    </row>
    <row r="224">
      <c r="A224" s="20" t="inlineStr">
        <is>
          <t>Rhythm Traders</t>
        </is>
      </c>
      <c r="B224" s="25" t="n">
        <v>1.12459386117176</v>
      </c>
      <c r="C224" s="22" t="n">
        <v>0.1245938611717596</v>
      </c>
      <c r="D224" s="26" t="n">
        <v>302199.07</v>
      </c>
      <c r="E224" s="26" t="n">
        <v>4464</v>
      </c>
      <c r="F224" s="22" t="n">
        <v>0.214758867391617</v>
      </c>
      <c r="G224" s="22" t="n">
        <v>2.197356630824373</v>
      </c>
      <c r="H224" s="22" t="n">
        <v>0.08017561657851369</v>
      </c>
      <c r="I224" s="26" t="n">
        <v>339851.2189738149</v>
      </c>
      <c r="J224" s="28" t="n">
        <v>373836.3408711964</v>
      </c>
    </row>
    <row r="225">
      <c r="A225" s="20" t="inlineStr">
        <is>
          <t>YASH ENTERPRISES (Uttarakhand)</t>
        </is>
      </c>
      <c r="B225" s="25" t="n">
        <v>1.17684040516734</v>
      </c>
      <c r="C225" s="22" t="n">
        <v>0.1768404051673402</v>
      </c>
      <c r="D225" s="26" t="n">
        <v>301666.87</v>
      </c>
      <c r="E225" s="26" t="n">
        <v>75000</v>
      </c>
      <c r="F225" s="22" t="n">
        <v>-0.589783491969138</v>
      </c>
      <c r="G225" s="22" t="n">
        <v>-0.6666666666666667</v>
      </c>
      <c r="H225" s="27" t="n">
        <v>-0.6514255406003574</v>
      </c>
      <c r="I225" s="26" t="n">
        <v>355013.7615163634</v>
      </c>
      <c r="J225" s="28" t="n">
        <v>390515.1376679997</v>
      </c>
    </row>
    <row r="226">
      <c r="A226" s="20" t="inlineStr">
        <is>
          <t>CITY PROMOTER &amp; BUILDWELL PRIVATE LTD</t>
        </is>
      </c>
      <c r="B226" s="29" t="n">
        <v>0.9976386517259844</v>
      </c>
      <c r="C226" s="22" t="n">
        <v>-0.002361348274015573</v>
      </c>
      <c r="D226" s="26" t="n">
        <v>301115.49</v>
      </c>
      <c r="E226" s="26" t="n">
        <v>909</v>
      </c>
      <c r="F226" s="22" t="n">
        <v>-0.905341966964237</v>
      </c>
      <c r="G226" s="22" t="n">
        <v>0.1001100110011002</v>
      </c>
      <c r="H226" s="27" t="n">
        <v>-0.9051179173220703</v>
      </c>
      <c r="I226" s="26" t="n">
        <v>300404.4514574091</v>
      </c>
      <c r="J226" s="28" t="n">
        <v>330444.8966031501</v>
      </c>
    </row>
    <row r="227">
      <c r="A227" s="20" t="inlineStr">
        <is>
          <t>ASHEEMA TRADING COMPANY (KANPUR)</t>
        </is>
      </c>
      <c r="B227" s="29" t="n">
        <v>1.023158490706516</v>
      </c>
      <c r="C227" s="22" t="n">
        <v>0.02315849070651632</v>
      </c>
      <c r="D227" s="26" t="n">
        <v>301089.89</v>
      </c>
      <c r="E227" s="26" t="n">
        <v>2279</v>
      </c>
      <c r="F227" s="22" t="n">
        <v>3.527108665123229</v>
      </c>
      <c r="G227" s="22" t="n">
        <v>7.577007459412023</v>
      </c>
      <c r="H227" s="22" t="n">
        <v>3.424640665394027</v>
      </c>
      <c r="I227" s="26" t="n">
        <v>308062.6774193911</v>
      </c>
      <c r="J227" s="28" t="n">
        <v>338868.9451613302</v>
      </c>
    </row>
    <row r="228">
      <c r="A228" s="20" t="inlineStr">
        <is>
          <t>SRI KALABYRAWESHWARA ENTERPRISES</t>
        </is>
      </c>
      <c r="B228" s="29" t="n">
        <v>1.057186431286722</v>
      </c>
      <c r="C228" s="22" t="n">
        <v>0.05718643128672229</v>
      </c>
      <c r="D228" s="26" t="n">
        <v>300369.86</v>
      </c>
      <c r="E228" s="26" t="n">
        <v>5145</v>
      </c>
      <c r="F228" s="22" t="n">
        <v>-1</v>
      </c>
      <c r="G228" s="22" t="n">
        <v>-1</v>
      </c>
      <c r="H228" s="27" t="n">
        <v>-1</v>
      </c>
      <c r="I228" s="26" t="n">
        <v>317546.9403594924</v>
      </c>
      <c r="J228" s="28" t="n">
        <v>349301.6343954417</v>
      </c>
    </row>
    <row r="229">
      <c r="A229" s="20" t="inlineStr">
        <is>
          <t>SHARMA PIPE FITTINGS &amp; SANITARY STORE</t>
        </is>
      </c>
      <c r="B229" s="25" t="n">
        <v>1.119667119869414</v>
      </c>
      <c r="C229" s="22" t="n">
        <v>0.1196671198694137</v>
      </c>
      <c r="D229" s="26" t="n">
        <v>294385.6</v>
      </c>
      <c r="E229" s="26" t="n">
        <v>368</v>
      </c>
      <c r="F229" s="22" t="n">
        <v>-1</v>
      </c>
      <c r="G229" s="22" t="n">
        <v>-1</v>
      </c>
      <c r="H229" s="27" t="n">
        <v>-1</v>
      </c>
      <c r="I229" s="26" t="n">
        <v>329613.8768830293</v>
      </c>
      <c r="J229" s="28" t="n">
        <v>362575.2645713323</v>
      </c>
    </row>
    <row r="230">
      <c r="A230" s="20" t="inlineStr">
        <is>
          <t>JAI DURGA HARDWARE STORE</t>
        </is>
      </c>
      <c r="B230" s="25" t="n">
        <v>1.254871326768994</v>
      </c>
      <c r="C230" s="22" t="n">
        <v>0.2548713267689942</v>
      </c>
      <c r="D230" s="26" t="n">
        <v>290683</v>
      </c>
      <c r="E230" s="26" t="n">
        <v>542</v>
      </c>
      <c r="F230" s="22" t="n">
        <v>-1</v>
      </c>
      <c r="G230" s="22" t="n">
        <v>-1</v>
      </c>
      <c r="H230" s="27" t="n">
        <v>-1</v>
      </c>
      <c r="I230" s="26" t="n">
        <v>364769.7618791915</v>
      </c>
      <c r="J230" s="28" t="n">
        <v>401246.7380671107</v>
      </c>
    </row>
    <row r="231">
      <c r="A231" s="20" t="inlineStr">
        <is>
          <t>SHIVANSH TRADING COMPANY</t>
        </is>
      </c>
      <c r="B231" s="29" t="n">
        <v>1.024337892719639</v>
      </c>
      <c r="C231" s="22" t="n">
        <v>0.02433789271963893</v>
      </c>
      <c r="D231" s="26" t="n">
        <v>288424.95</v>
      </c>
      <c r="E231" s="26" t="n">
        <v>1525</v>
      </c>
      <c r="F231" s="22" t="n">
        <v>-0.5757821922132603</v>
      </c>
      <c r="G231" s="22" t="n">
        <v>5.448524590163935</v>
      </c>
      <c r="H231" s="27" t="n">
        <v>-0.5858614517711218</v>
      </c>
      <c r="I231" s="26" t="n">
        <v>295444.6054907672</v>
      </c>
      <c r="J231" s="28" t="n">
        <v>324989.066039844</v>
      </c>
    </row>
    <row r="232">
      <c r="A232" s="20" t="inlineStr">
        <is>
          <t>DAKSH POLYMERS</t>
        </is>
      </c>
      <c r="B232" s="25" t="n">
        <v>1.228775965831542</v>
      </c>
      <c r="C232" s="22" t="n">
        <v>0.2287759658315418</v>
      </c>
      <c r="D232" s="26" t="n">
        <v>286475.45</v>
      </c>
      <c r="E232" s="26" t="n">
        <v>73500</v>
      </c>
      <c r="F232" s="22" t="n">
        <v>-1</v>
      </c>
      <c r="G232" s="22" t="n">
        <v>-1</v>
      </c>
      <c r="H232" s="27" t="n">
        <v>-1</v>
      </c>
      <c r="I232" s="26" t="n">
        <v>352014.1477607756</v>
      </c>
      <c r="J232" s="28" t="n">
        <v>387215.5625368532</v>
      </c>
    </row>
    <row r="233">
      <c r="A233" s="20" t="inlineStr">
        <is>
          <t>DINESH ENTERPRISES</t>
        </is>
      </c>
      <c r="B233" s="25" t="n">
        <v>1.167943567770964</v>
      </c>
      <c r="C233" s="22" t="n">
        <v>0.1679435677709638</v>
      </c>
      <c r="D233" s="26" t="n">
        <v>283373.61</v>
      </c>
      <c r="E233" s="26" t="n">
        <v>26838</v>
      </c>
      <c r="F233" s="22" t="n">
        <v>-0.9551793125690144</v>
      </c>
      <c r="G233" s="22" t="n">
        <v>-0.9254787987182354</v>
      </c>
      <c r="H233" s="27" t="n">
        <v>-0.9616242696412752</v>
      </c>
      <c r="I233" s="26" t="n">
        <v>330964.3850755377</v>
      </c>
      <c r="J233" s="28" t="n">
        <v>364060.8235830914</v>
      </c>
    </row>
    <row r="234">
      <c r="A234" s="20" t="inlineStr">
        <is>
          <t>KAYSONS TRADING CO</t>
        </is>
      </c>
      <c r="B234" s="25" t="n">
        <v>1.126777755121965</v>
      </c>
      <c r="C234" s="22" t="n">
        <v>0.1267777551219651</v>
      </c>
      <c r="D234" s="26" t="n">
        <v>279649.12</v>
      </c>
      <c r="E234" s="26" t="n">
        <v>550</v>
      </c>
      <c r="F234" s="22" t="n">
        <v>-1</v>
      </c>
      <c r="G234" s="22" t="n">
        <v>-1</v>
      </c>
      <c r="H234" s="27" t="n">
        <v>-1</v>
      </c>
      <c r="I234" s="26" t="n">
        <v>315102.4076554331</v>
      </c>
      <c r="J234" s="28" t="n">
        <v>346612.6484209764</v>
      </c>
    </row>
    <row r="235">
      <c r="A235" s="20" t="inlineStr">
        <is>
          <t>KLT Constructions Private Limited</t>
        </is>
      </c>
      <c r="B235" s="25" t="n">
        <v>1.129930501946785</v>
      </c>
      <c r="C235" s="22" t="n">
        <v>0.1299305019467851</v>
      </c>
      <c r="D235" s="26" t="n">
        <v>275053</v>
      </c>
      <c r="E235" s="26" t="n">
        <v>125</v>
      </c>
      <c r="F235" s="22" t="n">
        <v>-1</v>
      </c>
      <c r="G235" s="22" t="n">
        <v>-1</v>
      </c>
      <c r="H235" s="27" t="n">
        <v>-1</v>
      </c>
      <c r="I235" s="26" t="n">
        <v>310790.7743519691</v>
      </c>
      <c r="J235" s="28" t="n">
        <v>341869.851787166</v>
      </c>
    </row>
    <row r="236">
      <c r="A236" s="20" t="inlineStr">
        <is>
          <t>ELEGENT INFRASTRUCTURE PRIVATE LIMITED</t>
        </is>
      </c>
      <c r="B236" s="25" t="n">
        <v>1.202411809053795</v>
      </c>
      <c r="C236" s="22" t="n">
        <v>0.202411809053795</v>
      </c>
      <c r="D236" s="26" t="n">
        <v>268876.63</v>
      </c>
      <c r="E236" s="26" t="n">
        <v>1602</v>
      </c>
      <c r="F236" s="22" t="n">
        <v>-1</v>
      </c>
      <c r="G236" s="22" t="n">
        <v>-1</v>
      </c>
      <c r="H236" s="27" t="n">
        <v>-1</v>
      </c>
      <c r="I236" s="26" t="n">
        <v>323300.4350905879</v>
      </c>
      <c r="J236" s="28" t="n">
        <v>355630.4785996467</v>
      </c>
    </row>
    <row r="237">
      <c r="A237" s="20" t="inlineStr">
        <is>
          <t>JAGANNATH ENTERPRISE</t>
        </is>
      </c>
      <c r="B237" s="29" t="n">
        <v>1.061725579237521</v>
      </c>
      <c r="C237" s="22" t="n">
        <v>0.06172557923752087</v>
      </c>
      <c r="D237" s="26" t="n">
        <v>263753.29</v>
      </c>
      <c r="E237" s="26" t="n">
        <v>2090</v>
      </c>
      <c r="F237" s="22" t="n">
        <v>-0.1601507605838776</v>
      </c>
      <c r="G237" s="22" t="n">
        <v>-0.2966507177033493</v>
      </c>
      <c r="H237" s="27" t="n">
        <v>-0.2089771068534857</v>
      </c>
      <c r="I237" s="26" t="n">
        <v>280033.6146010518</v>
      </c>
      <c r="J237" s="28" t="n">
        <v>308036.9760611571</v>
      </c>
    </row>
    <row r="238">
      <c r="A238" s="20" t="inlineStr">
        <is>
          <t>MEHTA CERAMICS</t>
        </is>
      </c>
      <c r="B238" s="25" t="n">
        <v>1.193896418587613</v>
      </c>
      <c r="C238" s="22" t="n">
        <v>0.1938964185876131</v>
      </c>
      <c r="D238" s="26" t="n">
        <v>257958.78</v>
      </c>
      <c r="E238" s="26" t="n">
        <v>434</v>
      </c>
      <c r="F238" s="22" t="n">
        <v>-1</v>
      </c>
      <c r="G238" s="22" t="n">
        <v>-1</v>
      </c>
      <c r="H238" s="27" t="n">
        <v>-1</v>
      </c>
      <c r="I238" s="26" t="n">
        <v>307976.06358523</v>
      </c>
      <c r="J238" s="28" t="n">
        <v>338773.669943753</v>
      </c>
    </row>
    <row r="239">
      <c r="A239" s="20" t="inlineStr">
        <is>
          <t>VIP MARBLES</t>
        </is>
      </c>
      <c r="B239" s="29" t="n">
        <v>1.086296848283558</v>
      </c>
      <c r="C239" s="22" t="n">
        <v>0.08629684828355755</v>
      </c>
      <c r="D239" s="26" t="n">
        <v>257119</v>
      </c>
      <c r="E239" s="26" t="n">
        <v>1794</v>
      </c>
      <c r="F239" s="22" t="n">
        <v>-1</v>
      </c>
      <c r="G239" s="22" t="n">
        <v>-1</v>
      </c>
      <c r="H239" s="27" t="n">
        <v>-1</v>
      </c>
      <c r="I239" s="26" t="n">
        <v>279307.55933382</v>
      </c>
      <c r="J239" s="28" t="n">
        <v>307238.315267202</v>
      </c>
    </row>
    <row r="240">
      <c r="A240" s="20" t="inlineStr">
        <is>
          <t>HARYANA TRADING COMPANY</t>
        </is>
      </c>
      <c r="B240" s="29" t="n">
        <v>1.05662108008733</v>
      </c>
      <c r="C240" s="22" t="n">
        <v>0.05662108008733013</v>
      </c>
      <c r="D240" s="26" t="n">
        <v>252842</v>
      </c>
      <c r="E240" s="26" t="n">
        <v>1926</v>
      </c>
      <c r="F240" s="22" t="n">
        <v>0.8388717064411767</v>
      </c>
      <c r="G240" s="22" t="n">
        <v>0.7346832814122535</v>
      </c>
      <c r="H240" s="22" t="n">
        <v>0.740332216625087</v>
      </c>
      <c r="I240" s="26" t="n">
        <v>267158.1871314407</v>
      </c>
      <c r="J240" s="28" t="n">
        <v>293874.0058445848</v>
      </c>
    </row>
    <row r="241">
      <c r="A241" s="20" t="inlineStr">
        <is>
          <t>SRI RADHAKRISHNA ENTERPRISES</t>
        </is>
      </c>
      <c r="B241" s="29" t="n">
        <v>1.087250179623608</v>
      </c>
      <c r="C241" s="22" t="n">
        <v>0.08725017962360759</v>
      </c>
      <c r="D241" s="26" t="n">
        <v>251505.02</v>
      </c>
      <c r="E241" s="26" t="n">
        <v>2386</v>
      </c>
      <c r="F241" s="22" t="n">
        <v>-1</v>
      </c>
      <c r="G241" s="22" t="n">
        <v>-1</v>
      </c>
      <c r="H241" s="27" t="n">
        <v>-1</v>
      </c>
      <c r="I241" s="26" t="n">
        <v>273448.878171239</v>
      </c>
      <c r="J241" s="28" t="n">
        <v>300793.7659883629</v>
      </c>
    </row>
    <row r="242">
      <c r="A242" s="20" t="inlineStr">
        <is>
          <t>AYAN ENTERPRISE</t>
        </is>
      </c>
      <c r="B242" s="25" t="n">
        <v>1.106417312364809</v>
      </c>
      <c r="C242" s="22" t="n">
        <v>0.1064173123648091</v>
      </c>
      <c r="D242" s="26" t="n">
        <v>250838.93</v>
      </c>
      <c r="E242" s="26" t="n">
        <v>1740</v>
      </c>
      <c r="F242" s="22" t="n">
        <v>1.124665098834539</v>
      </c>
      <c r="G242" s="22" t="n">
        <v>-0.7229885057471264</v>
      </c>
      <c r="H242" s="22" t="n">
        <v>0.9203107860752564</v>
      </c>
      <c r="I242" s="26" t="n">
        <v>277532.5347670645</v>
      </c>
      <c r="J242" s="28" t="n">
        <v>305285.7882437709</v>
      </c>
    </row>
    <row r="243">
      <c r="A243" s="20" t="inlineStr">
        <is>
          <t>KRITI MARKETING</t>
        </is>
      </c>
      <c r="B243" s="25" t="n">
        <v>1.127602069488907</v>
      </c>
      <c r="C243" s="22" t="n">
        <v>0.1276020694889073</v>
      </c>
      <c r="D243" s="26" t="n">
        <v>246794.31</v>
      </c>
      <c r="E243" s="26" t="n">
        <v>1355</v>
      </c>
      <c r="F243" s="22" t="n">
        <v>-0.4211616953405449</v>
      </c>
      <c r="G243" s="22" t="n">
        <v>-0.3439114391143911</v>
      </c>
      <c r="H243" s="27" t="n">
        <v>-0.486664382478637</v>
      </c>
      <c r="I243" s="26" t="n">
        <v>278285.7746940869</v>
      </c>
      <c r="J243" s="28" t="n">
        <v>306114.3521634957</v>
      </c>
    </row>
    <row r="244">
      <c r="A244" s="20" t="inlineStr">
        <is>
          <t>SAURABH SANITARY STORE</t>
        </is>
      </c>
      <c r="B244" s="29" t="n">
        <v>1.097652096608219</v>
      </c>
      <c r="C244" s="22" t="n">
        <v>0.09765209660821883</v>
      </c>
      <c r="D244" s="26" t="n">
        <v>246298.55</v>
      </c>
      <c r="E244" s="26" t="n">
        <v>24200</v>
      </c>
      <c r="F244" s="22" t="n">
        <v>-1</v>
      </c>
      <c r="G244" s="22" t="n">
        <v>-1</v>
      </c>
      <c r="H244" s="27" t="n">
        <v>-1</v>
      </c>
      <c r="I244" s="26" t="n">
        <v>270350.1197990642</v>
      </c>
      <c r="J244" s="28" t="n">
        <v>297385.1317789707</v>
      </c>
    </row>
    <row r="245">
      <c r="A245" s="20" t="inlineStr">
        <is>
          <t>UTSAV ENTERPRISES</t>
        </is>
      </c>
      <c r="B245" s="25" t="n">
        <v>1.143562817857177</v>
      </c>
      <c r="C245" s="22" t="n">
        <v>0.1435628178571771</v>
      </c>
      <c r="D245" s="26" t="n">
        <v>235996.14</v>
      </c>
      <c r="E245" s="26" t="n">
        <v>1201</v>
      </c>
      <c r="F245" s="22" t="n">
        <v>-1</v>
      </c>
      <c r="G245" s="22" t="n">
        <v>-1</v>
      </c>
      <c r="H245" s="27" t="n">
        <v>-1</v>
      </c>
      <c r="I245" s="26" t="n">
        <v>269876.4108618169</v>
      </c>
      <c r="J245" s="28" t="n">
        <v>296864.0519479986</v>
      </c>
    </row>
    <row r="246">
      <c r="A246" s="20" t="inlineStr">
        <is>
          <t>CHATTAR BHOJ AND SONS (KAROL BAGH)</t>
        </is>
      </c>
      <c r="B246" s="29" t="n">
        <v>1.068642460371211</v>
      </c>
      <c r="C246" s="22" t="n">
        <v>0.06864246037121058</v>
      </c>
      <c r="D246" s="26" t="n">
        <v>234300.17</v>
      </c>
      <c r="E246" s="26" t="n">
        <v>1883</v>
      </c>
      <c r="F246" s="22" t="n">
        <v>0.2972034975476117</v>
      </c>
      <c r="G246" s="22" t="n">
        <v>0.4184811471056824</v>
      </c>
      <c r="H246" s="22" t="n">
        <v>0.2138798013855885</v>
      </c>
      <c r="I246" s="26" t="n">
        <v>250383.1101341929</v>
      </c>
      <c r="J246" s="28" t="n">
        <v>275421.4211476122</v>
      </c>
    </row>
    <row r="247">
      <c r="A247" s="20" t="inlineStr">
        <is>
          <t>JAI NARAIN GARG &amp; SONS(KAROL BAGH)</t>
        </is>
      </c>
      <c r="B247" s="29" t="n">
        <v>1.081020130199724</v>
      </c>
      <c r="C247" s="22" t="n">
        <v>0.08102013019972422</v>
      </c>
      <c r="D247" s="26" t="n">
        <v>230181.82</v>
      </c>
      <c r="E247" s="26" t="n">
        <v>2606</v>
      </c>
      <c r="F247" s="22" t="n">
        <v>-0.7853609811582861</v>
      </c>
      <c r="G247" s="22" t="n">
        <v>-0.829623944742901</v>
      </c>
      <c r="H247" s="27" t="n">
        <v>-0.801447713279809</v>
      </c>
      <c r="I247" s="26" t="n">
        <v>248831.1810260095</v>
      </c>
      <c r="J247" s="28" t="n">
        <v>273714.2991286105</v>
      </c>
    </row>
    <row r="248">
      <c r="A248" s="20" t="inlineStr">
        <is>
          <t>SRI LAXMI TRADERS</t>
        </is>
      </c>
      <c r="B248" s="25" t="n">
        <v>1.110444129169179</v>
      </c>
      <c r="C248" s="22" t="n">
        <v>0.1104441291691791</v>
      </c>
      <c r="D248" s="26" t="n">
        <v>228203</v>
      </c>
      <c r="E248" s="26" t="n">
        <v>1774</v>
      </c>
      <c r="F248" s="22" t="n">
        <v>0.3925759082921785</v>
      </c>
      <c r="G248" s="22" t="n">
        <v>0.1657271702367531</v>
      </c>
      <c r="H248" s="22" t="n">
        <v>0.2540711159723874</v>
      </c>
      <c r="I248" s="26" t="n">
        <v>253406.6816087942</v>
      </c>
      <c r="J248" s="28" t="n">
        <v>278747.3497696736</v>
      </c>
    </row>
    <row r="249">
      <c r="A249" s="20" t="inlineStr">
        <is>
          <t>KRISHNA STORE</t>
        </is>
      </c>
      <c r="B249" s="29" t="n">
        <v>1.084867019760039</v>
      </c>
      <c r="C249" s="22" t="n">
        <v>0.08486701976003876</v>
      </c>
      <c r="D249" s="26" t="n">
        <v>220903.36</v>
      </c>
      <c r="E249" s="26" t="n">
        <v>1526</v>
      </c>
      <c r="F249" s="22" t="n">
        <v>-1</v>
      </c>
      <c r="G249" s="22" t="n">
        <v>-1</v>
      </c>
      <c r="H249" s="27" t="n">
        <v>-1</v>
      </c>
      <c r="I249" s="26" t="n">
        <v>239650.769818179</v>
      </c>
      <c r="J249" s="28" t="n">
        <v>263615.8467999969</v>
      </c>
    </row>
    <row r="250">
      <c r="A250" s="20" t="inlineStr">
        <is>
          <t>BADRI BHAGAT JHANDEWALA TEMPLE SOCIETY(R</t>
        </is>
      </c>
      <c r="B250" s="29" t="n">
        <v>1.061168804519364</v>
      </c>
      <c r="C250" s="22" t="n">
        <v>0.06116880451936368</v>
      </c>
      <c r="D250" s="26" t="n">
        <v>218665.6400000001</v>
      </c>
      <c r="E250" s="26" t="n">
        <v>1988</v>
      </c>
      <c r="F250" s="22" t="n">
        <v>-0.5136730215135767</v>
      </c>
      <c r="G250" s="22" t="n">
        <v>2.613682092555332</v>
      </c>
      <c r="H250" s="27" t="n">
        <v>-0.5417062993039117</v>
      </c>
      <c r="I250" s="26" t="n">
        <v>232041.1557882616</v>
      </c>
      <c r="J250" s="28" t="n">
        <v>255245.2713670878</v>
      </c>
    </row>
    <row r="251">
      <c r="A251" s="20" t="inlineStr">
        <is>
          <t>SUTHOR PAINTS&amp; ELECTRIC SENTRI MACHINERY</t>
        </is>
      </c>
      <c r="B251" s="25" t="n">
        <v>1.180368242741032</v>
      </c>
      <c r="C251" s="22" t="n">
        <v>0.1803682427410322</v>
      </c>
      <c r="D251" s="26" t="n">
        <v>218377.86</v>
      </c>
      <c r="E251" s="26" t="n">
        <v>25160</v>
      </c>
      <c r="F251" s="22" t="n">
        <v>-1</v>
      </c>
      <c r="G251" s="22" t="n">
        <v>-1</v>
      </c>
      <c r="H251" s="27" t="n">
        <v>-1</v>
      </c>
      <c r="I251" s="26" t="n">
        <v>257766.2908617471</v>
      </c>
      <c r="J251" s="28" t="n">
        <v>283542.9199479219</v>
      </c>
    </row>
    <row r="252">
      <c r="A252" s="20" t="inlineStr">
        <is>
          <t>BHARAT SANITARY STORE</t>
        </is>
      </c>
      <c r="B252" s="25" t="n">
        <v>1.122344547249311</v>
      </c>
      <c r="C252" s="22" t="n">
        <v>0.1223445472493112</v>
      </c>
      <c r="D252" s="26" t="n">
        <v>216298</v>
      </c>
      <c r="E252" s="26" t="n">
        <v>3556</v>
      </c>
      <c r="F252" s="22" t="n">
        <v>0.752109450850216</v>
      </c>
      <c r="G252" s="22" t="n">
        <v>0.9893138357705287</v>
      </c>
      <c r="H252" s="22" t="n">
        <v>0.5611154837829069</v>
      </c>
      <c r="I252" s="26" t="n">
        <v>242760.8808809315</v>
      </c>
      <c r="J252" s="28" t="n">
        <v>267036.9689690247</v>
      </c>
    </row>
    <row r="253">
      <c r="A253" s="20" t="inlineStr">
        <is>
          <t>MAA BHAGWATI TRADERS (BIHAR)</t>
        </is>
      </c>
      <c r="B253" s="29" t="n">
        <v>1.076665540172931</v>
      </c>
      <c r="C253" s="22" t="n">
        <v>0.07666554017293103</v>
      </c>
      <c r="D253" s="26" t="n">
        <v>214732.96</v>
      </c>
      <c r="E253" s="26" t="n">
        <v>1368</v>
      </c>
      <c r="F253" s="22" t="n">
        <v>-1</v>
      </c>
      <c r="G253" s="22" t="n">
        <v>-1</v>
      </c>
      <c r="H253" s="27" t="n">
        <v>-1</v>
      </c>
      <c r="I253" s="26" t="n">
        <v>231195.5783713324</v>
      </c>
      <c r="J253" s="28" t="n">
        <v>254315.1362084656</v>
      </c>
    </row>
    <row r="254">
      <c r="A254" s="20" t="inlineStr">
        <is>
          <t>ANURAG HOSIERY AURAIYA</t>
        </is>
      </c>
      <c r="B254" s="25" t="n">
        <v>1.114585209220447</v>
      </c>
      <c r="C254" s="22" t="n">
        <v>0.1145852092204473</v>
      </c>
      <c r="D254" s="26" t="n">
        <v>210794.46</v>
      </c>
      <c r="E254" s="26" t="n">
        <v>387</v>
      </c>
      <c r="F254" s="22" t="n">
        <v>-1</v>
      </c>
      <c r="G254" s="22" t="n">
        <v>-1</v>
      </c>
      <c r="H254" s="27" t="n">
        <v>-1</v>
      </c>
      <c r="I254" s="26" t="n">
        <v>234948.3873016112</v>
      </c>
      <c r="J254" s="28" t="n">
        <v>258443.2260317724</v>
      </c>
    </row>
  </sheetData>
  <autoFilter ref="A4:J254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0" t="inlineStr">
        <is>
          <t>How the multiplier updates itself for coming years</t>
        </is>
      </c>
    </row>
    <row r="2">
      <c r="A2" s="17" t="inlineStr"/>
    </row>
    <row r="3">
      <c r="A3" s="18" t="inlineStr">
        <is>
          <t>THE PRINCIPLE</t>
        </is>
      </c>
    </row>
    <row r="4">
      <c r="A4" s="17" t="inlineStr">
        <is>
          <t>The multiplier is not a fixed constant. It is RE-MEASURED from the order data each year, so scheme</t>
        </is>
      </c>
    </row>
    <row r="5">
      <c r="A5" s="17" t="inlineStr">
        <is>
          <t>targets stay honest without anyone re-keying anything.</t>
        </is>
      </c>
    </row>
    <row r="6">
      <c r="A6" s="17" t="inlineStr"/>
    </row>
    <row r="7">
      <c r="A7" s="18" t="inlineStr">
        <is>
          <t>THE ANNUAL CYCLE</t>
        </is>
      </c>
    </row>
    <row r="8">
      <c r="A8" s="17" t="inlineStr">
        <is>
          <t xml:space="preserve">  1. At FY close, compute the Laspeyres index: take LAST year's quantity basket, reprice it at THIS</t>
        </is>
      </c>
    </row>
    <row r="9">
      <c r="A9" s="17" t="inlineStr">
        <is>
          <t xml:space="preserve">     year's realised prices.   multiplier = SUM(q_LY x p_CY) / SUM(q_LY x p_LY)</t>
        </is>
      </c>
    </row>
    <row r="10">
      <c r="A10" s="17" t="inlineStr">
        <is>
          <t xml:space="preserve">  2. Realised price = Taxable Value / Quantity. NEVER use the rate-list MRP (unreliable, often 0).</t>
        </is>
      </c>
    </row>
    <row r="11">
      <c r="A11" s="17" t="inlineStr">
        <is>
          <t xml:space="preserve">  3. Store the multiplier per FY, per category, and per customer. Freeze it — it is the audit trail.</t>
        </is>
      </c>
    </row>
    <row r="12">
      <c r="A12" s="17" t="inlineStr">
        <is>
          <t xml:space="preserve">  4. Next year's scheme target = LY value x multiplier x (1 + desired REAL growth).</t>
        </is>
      </c>
    </row>
    <row r="13">
      <c r="A13" s="17" t="inlineStr">
        <is>
          <t xml:space="preserve">  5. Achievement is judged on DEFLATED value: actual / multiplier.</t>
        </is>
      </c>
    </row>
    <row r="14">
      <c r="A14" s="17" t="inlineStr"/>
    </row>
    <row r="15">
      <c r="A15" s="18" t="inlineStr">
        <is>
          <t>FORWARD-LOOKING (setting next year's target BEFORE the year happens)</t>
        </is>
      </c>
    </row>
    <row r="16">
      <c r="A16" s="17" t="inlineStr">
        <is>
          <t xml:space="preserve">  You do not yet know next year's prices. Two inputs, and the system should take whichever is available:</t>
        </is>
      </c>
    </row>
    <row r="17">
      <c r="A17" s="17" t="inlineStr">
        <is>
          <t xml:space="preserve">    (a) ANNOUNCED price rise — if management has approved, say, a 6% list increase, enter 1.06 as the</t>
        </is>
      </c>
    </row>
    <row r="18">
      <c r="A18" s="17" t="inlineStr">
        <is>
          <t xml:space="preserve">        forward multiplier. This is the most accurate input and should override.</t>
        </is>
      </c>
    </row>
    <row r="19">
      <c r="A19" s="17" t="inlineStr">
        <is>
          <t xml:space="preserve">    (b) TRAILING estimate — if nothing is announced, use the trailing 12-month measured multiplier as</t>
        </is>
      </c>
    </row>
    <row r="20">
      <c r="A20" s="17" t="inlineStr">
        <is>
          <t xml:space="preserve">        the forecast, optionally smoothed over the last 2-3 years.</t>
        </is>
      </c>
    </row>
    <row r="21">
      <c r="A21" s="17" t="inlineStr">
        <is>
          <t xml:space="preserve">  Then TRUE UP at year end: recompute the actual multiplier and restate achievement, so nobody is</t>
        </is>
      </c>
    </row>
    <row r="22">
      <c r="A22" s="17" t="inlineStr">
        <is>
          <t xml:space="preserve">  rewarded or punished for a price move they did not control.</t>
        </is>
      </c>
    </row>
    <row r="23">
      <c r="A23" s="17" t="inlineStr"/>
    </row>
    <row r="24">
      <c r="A24" s="18" t="inlineStr">
        <is>
          <t>GUARDRAILS</t>
        </is>
      </c>
    </row>
    <row r="25">
      <c r="A25" s="17" t="inlineStr">
        <is>
          <t xml:space="preserve">  - Use the LASPEYRES index, not value/qty. Value/qty is contaminated by mix shift and overstates</t>
        </is>
      </c>
    </row>
    <row r="26">
      <c r="A26" s="17" t="inlineStr">
        <is>
          <t xml:space="preserve">    the price rise (company: naive 1.156 vs true 1.107 — 4.9pp of it was mix, not price).</t>
        </is>
      </c>
    </row>
    <row r="27">
      <c r="A27" s="17" t="inlineStr">
        <is>
          <t xml:space="preserve">  - A customer with too few items in common between years has an unstable multiplier: fall back to</t>
        </is>
      </c>
    </row>
    <row r="28">
      <c r="A28" s="17" t="inlineStr">
        <is>
          <t xml:space="preserve">    the CATEGORY multiplier, then the COMPANY multiplier. Show which level was used.</t>
        </is>
      </c>
    </row>
    <row r="29">
      <c r="A29" s="17" t="inlineStr">
        <is>
          <t xml:space="preserve">  - Cap the multiplier to a sane band (e.g. 0.8 - 1.5) and flag anything outside it for review.</t>
        </is>
      </c>
    </row>
    <row r="30">
      <c r="A30" s="17" t="inlineStr">
        <is>
          <t xml:space="preserve">  - If a price FELL (multiplier &lt; 1), the target must fall too. Do not silently floor it at 1.0.</t>
        </is>
      </c>
    </row>
    <row r="31">
      <c r="A31" s="17" t="inlineStr"/>
    </row>
    <row r="32">
      <c r="A32" s="18" t="inlineStr">
        <is>
          <t>THE SIMPLEST ANSWER OF ALL</t>
        </is>
      </c>
    </row>
    <row r="33">
      <c r="A33" s="17" t="inlineStr">
        <is>
          <t xml:space="preserve">  Set the scheme slabs in PIECES rather than rupees. Then no multiplier is needed, price moves are</t>
        </is>
      </c>
    </row>
    <row r="34">
      <c r="A34" s="17" t="inlineStr">
        <is>
          <t xml:space="preserve">  irrelevant, and the scheme rewards exactly what you want: more product sold.</t>
        </is>
      </c>
    </row>
    <row r="35">
      <c r="A35" s="31" t="inlineStr">
        <is>
          <t xml:space="preserve">  Recommendation: run BOTH — a pcs-based slab as the primary, a value slab as a secondary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2026-07-13T05:50:59Z</dcterms:created>
  <dcterms:modified xmlns:dcterms="http://purl.org/dc/terms/" xmlns:xsi="http://www.w3.org/2001/XMLSchema-instance" xsi:type="dcterms:W3CDTF">2026-07-13T05:51:00Z</dcterms:modified>
</cp:coreProperties>
</file>